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2BE94B60-5A78-4E8C-9ACD-E3FD228F300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shboard" sheetId="1" r:id="rId1"/>
    <sheet name="Gantt" sheetId="2" r:id="rId2"/>
    <sheet name="Comparison" sheetId="3" r:id="rId3"/>
    <sheet name="Raw profile" sheetId="4" r:id="rId4"/>
    <sheet name="Growth profile" sheetId="5" r:id="rId5"/>
    <sheet name="Growth (no penalty)" sheetId="6" r:id="rId6"/>
    <sheet name="Fringe cases" sheetId="7" r:id="rId7"/>
    <sheet name="PV by start year" sheetId="8" r:id="rId8"/>
    <sheet name="Pure PV sensitivity" sheetId="9" r:id="rId9"/>
    <sheet name="Notes" sheetId="10" r:id="rId10"/>
  </sheets>
  <definedNames>
    <definedName name="_xlnm._FilterDatabase" localSheetId="2" hidden="1">Comparison!$A$4:$Q$104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7" l="1"/>
  <c r="C5" i="7"/>
  <c r="BJ356" i="6"/>
  <c r="BI356" i="6"/>
  <c r="BH356" i="6"/>
  <c r="BG356" i="6"/>
  <c r="BF356" i="6"/>
  <c r="BE356" i="6"/>
  <c r="BD356" i="6"/>
  <c r="BC356" i="6"/>
  <c r="BB356" i="6"/>
  <c r="BA356" i="6"/>
  <c r="AZ356" i="6"/>
  <c r="AY356" i="6"/>
  <c r="AX356" i="6"/>
  <c r="AW356" i="6"/>
  <c r="AV356" i="6"/>
  <c r="AU356" i="6"/>
  <c r="AT356" i="6"/>
  <c r="AS356" i="6"/>
  <c r="AR356" i="6"/>
  <c r="AQ356" i="6"/>
  <c r="AP356" i="6"/>
  <c r="AO356" i="6"/>
  <c r="AN356" i="6"/>
  <c r="AM356" i="6"/>
  <c r="AL356" i="6"/>
  <c r="AK356" i="6"/>
  <c r="AJ356" i="6"/>
  <c r="AI356" i="6"/>
  <c r="AH356" i="6"/>
  <c r="AG356" i="6"/>
  <c r="AF356" i="6"/>
  <c r="AE356" i="6"/>
  <c r="AD356" i="6"/>
  <c r="AC356" i="6"/>
  <c r="AB356" i="6"/>
  <c r="AA356" i="6"/>
  <c r="Z356" i="6"/>
  <c r="Y356" i="6"/>
  <c r="X356" i="6"/>
  <c r="W356" i="6"/>
  <c r="M356" i="6"/>
  <c r="L356" i="6"/>
  <c r="K356" i="6"/>
  <c r="J356" i="6"/>
  <c r="BJ347" i="6"/>
  <c r="BI347" i="6"/>
  <c r="BH347" i="6"/>
  <c r="BG347" i="6"/>
  <c r="BF347" i="6"/>
  <c r="BE347" i="6"/>
  <c r="BD347" i="6"/>
  <c r="BC347" i="6"/>
  <c r="BB347" i="6"/>
  <c r="BA347" i="6"/>
  <c r="AZ347" i="6"/>
  <c r="AY347" i="6"/>
  <c r="AX347" i="6"/>
  <c r="AW347" i="6"/>
  <c r="AV347" i="6"/>
  <c r="AU347" i="6"/>
  <c r="AT347" i="6"/>
  <c r="AS347" i="6"/>
  <c r="AR347" i="6"/>
  <c r="AQ347" i="6"/>
  <c r="AP347" i="6"/>
  <c r="AO347" i="6"/>
  <c r="AN347" i="6"/>
  <c r="AM347" i="6"/>
  <c r="AL347" i="6"/>
  <c r="AK347" i="6"/>
  <c r="AJ347" i="6"/>
  <c r="AI347" i="6"/>
  <c r="AH347" i="6"/>
  <c r="AG347" i="6"/>
  <c r="AF347" i="6"/>
  <c r="AE347" i="6"/>
  <c r="AD347" i="6"/>
  <c r="AC347" i="6"/>
  <c r="AB347" i="6"/>
  <c r="AA347" i="6"/>
  <c r="Z347" i="6"/>
  <c r="Y347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F347" i="6"/>
  <c r="E347" i="6"/>
  <c r="D347" i="6"/>
  <c r="C347" i="6"/>
  <c r="C342" i="6"/>
  <c r="BJ338" i="6"/>
  <c r="BI338" i="6"/>
  <c r="BH338" i="6"/>
  <c r="BG338" i="6"/>
  <c r="BF338" i="6"/>
  <c r="BE338" i="6"/>
  <c r="BD338" i="6"/>
  <c r="BC338" i="6"/>
  <c r="BB338" i="6"/>
  <c r="BA338" i="6"/>
  <c r="AZ338" i="6"/>
  <c r="AY338" i="6"/>
  <c r="AX338" i="6"/>
  <c r="AW338" i="6"/>
  <c r="AV338" i="6"/>
  <c r="AU338" i="6"/>
  <c r="AT338" i="6"/>
  <c r="AS338" i="6"/>
  <c r="AR338" i="6"/>
  <c r="AQ338" i="6"/>
  <c r="AP338" i="6"/>
  <c r="AO338" i="6"/>
  <c r="AN338" i="6"/>
  <c r="AM338" i="6"/>
  <c r="AL338" i="6"/>
  <c r="AK338" i="6"/>
  <c r="AJ338" i="6"/>
  <c r="AI338" i="6"/>
  <c r="AH338" i="6"/>
  <c r="AG338" i="6"/>
  <c r="AF338" i="6"/>
  <c r="AE338" i="6"/>
  <c r="AD338" i="6"/>
  <c r="AC338" i="6"/>
  <c r="AB338" i="6"/>
  <c r="AA338" i="6"/>
  <c r="Z338" i="6"/>
  <c r="Y338" i="6"/>
  <c r="X338" i="6"/>
  <c r="W338" i="6"/>
  <c r="V338" i="6"/>
  <c r="U338" i="6"/>
  <c r="T338" i="6"/>
  <c r="S338" i="6"/>
  <c r="R338" i="6"/>
  <c r="Q338" i="6"/>
  <c r="P338" i="6"/>
  <c r="O338" i="6"/>
  <c r="N338" i="6"/>
  <c r="M338" i="6"/>
  <c r="L338" i="6"/>
  <c r="K338" i="6"/>
  <c r="J338" i="6"/>
  <c r="I338" i="6"/>
  <c r="H338" i="6"/>
  <c r="G338" i="6"/>
  <c r="F338" i="6"/>
  <c r="E338" i="6"/>
  <c r="D338" i="6"/>
  <c r="C338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BJ231" i="6"/>
  <c r="BI231" i="6"/>
  <c r="BH231" i="6"/>
  <c r="BG231" i="6"/>
  <c r="BF231" i="6"/>
  <c r="BE231" i="6"/>
  <c r="BD231" i="6"/>
  <c r="BC231" i="6"/>
  <c r="BB231" i="6"/>
  <c r="BA231" i="6"/>
  <c r="AZ231" i="6"/>
  <c r="AY231" i="6"/>
  <c r="AX231" i="6"/>
  <c r="AW231" i="6"/>
  <c r="AV231" i="6"/>
  <c r="AU231" i="6"/>
  <c r="AT231" i="6"/>
  <c r="AS231" i="6"/>
  <c r="AR231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AE231" i="6"/>
  <c r="AD231" i="6"/>
  <c r="AC231" i="6"/>
  <c r="AB231" i="6"/>
  <c r="AA231" i="6"/>
  <c r="Z231" i="6"/>
  <c r="Y231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H254" i="2" s="1"/>
  <c r="F231" i="6"/>
  <c r="G254" i="2" s="1"/>
  <c r="E231" i="6"/>
  <c r="F254" i="2" s="1"/>
  <c r="D231" i="6"/>
  <c r="C231" i="6"/>
  <c r="A231" i="6"/>
  <c r="BJ230" i="6"/>
  <c r="BI230" i="6"/>
  <c r="BH230" i="6"/>
  <c r="BG230" i="6"/>
  <c r="BF230" i="6"/>
  <c r="BE230" i="6"/>
  <c r="BD230" i="6"/>
  <c r="BC230" i="6"/>
  <c r="BB230" i="6"/>
  <c r="BA230" i="6"/>
  <c r="AZ230" i="6"/>
  <c r="AY230" i="6"/>
  <c r="AX230" i="6"/>
  <c r="AW230" i="6"/>
  <c r="AV230" i="6"/>
  <c r="AU230" i="6"/>
  <c r="AT230" i="6"/>
  <c r="AS230" i="6"/>
  <c r="AR230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AE230" i="6"/>
  <c r="AD230" i="6"/>
  <c r="AC230" i="6"/>
  <c r="AB230" i="6"/>
  <c r="AA230" i="6"/>
  <c r="Z230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H230" i="6"/>
  <c r="G230" i="6"/>
  <c r="F230" i="6"/>
  <c r="E230" i="6"/>
  <c r="D230" i="6"/>
  <c r="C230" i="6"/>
  <c r="A230" i="6"/>
  <c r="BJ229" i="6"/>
  <c r="BI229" i="6"/>
  <c r="BH229" i="6"/>
  <c r="BG229" i="6"/>
  <c r="BF229" i="6"/>
  <c r="BE229" i="6"/>
  <c r="BD229" i="6"/>
  <c r="BC229" i="6"/>
  <c r="BB229" i="6"/>
  <c r="BA229" i="6"/>
  <c r="AZ229" i="6"/>
  <c r="AY229" i="6"/>
  <c r="AX229" i="6"/>
  <c r="AW229" i="6"/>
  <c r="AV229" i="6"/>
  <c r="AU229" i="6"/>
  <c r="AT229" i="6"/>
  <c r="AS229" i="6"/>
  <c r="AR229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AE229" i="6"/>
  <c r="AD229" i="6"/>
  <c r="AC229" i="6"/>
  <c r="AB229" i="6"/>
  <c r="AA229" i="6"/>
  <c r="Z229" i="6"/>
  <c r="Y229" i="6"/>
  <c r="X229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K229" i="6"/>
  <c r="J229" i="6"/>
  <c r="I229" i="6"/>
  <c r="H229" i="6"/>
  <c r="G229" i="6"/>
  <c r="F229" i="6"/>
  <c r="E229" i="6"/>
  <c r="D229" i="6"/>
  <c r="C229" i="6"/>
  <c r="A229" i="6"/>
  <c r="BJ228" i="6"/>
  <c r="BI228" i="6"/>
  <c r="BH228" i="6"/>
  <c r="BG228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S228" i="6"/>
  <c r="AR228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H228" i="6"/>
  <c r="G228" i="6"/>
  <c r="F228" i="6"/>
  <c r="E228" i="6"/>
  <c r="D228" i="6"/>
  <c r="C228" i="6"/>
  <c r="A228" i="6"/>
  <c r="BJ227" i="6"/>
  <c r="BI227" i="6"/>
  <c r="BH227" i="6"/>
  <c r="BG227" i="6"/>
  <c r="BF227" i="6"/>
  <c r="BE227" i="6"/>
  <c r="BD227" i="6"/>
  <c r="BC227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AE227" i="6"/>
  <c r="AD227" i="6"/>
  <c r="AC227" i="6"/>
  <c r="AB227" i="6"/>
  <c r="AA227" i="6"/>
  <c r="Z227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A227" i="6"/>
  <c r="BJ226" i="6"/>
  <c r="BI226" i="6"/>
  <c r="BH226" i="6"/>
  <c r="BG226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R226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AE226" i="6"/>
  <c r="AD226" i="6"/>
  <c r="AC226" i="6"/>
  <c r="AB226" i="6"/>
  <c r="AA226" i="6"/>
  <c r="Z226" i="6"/>
  <c r="Y226" i="6"/>
  <c r="X226" i="6"/>
  <c r="W226" i="6"/>
  <c r="V226" i="6"/>
  <c r="W146" i="2" s="1"/>
  <c r="U226" i="6"/>
  <c r="V146" i="2" s="1"/>
  <c r="T226" i="6"/>
  <c r="S226" i="6"/>
  <c r="R226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C226" i="6"/>
  <c r="A226" i="6"/>
  <c r="BJ225" i="6"/>
  <c r="BI225" i="6"/>
  <c r="BH225" i="6"/>
  <c r="BG225" i="6"/>
  <c r="BF225" i="6"/>
  <c r="BE225" i="6"/>
  <c r="BD225" i="6"/>
  <c r="BC225" i="6"/>
  <c r="BB225" i="6"/>
  <c r="BA225" i="6"/>
  <c r="AZ225" i="6"/>
  <c r="AY225" i="6"/>
  <c r="AX225" i="6"/>
  <c r="AW225" i="6"/>
  <c r="AV225" i="6"/>
  <c r="AU225" i="6"/>
  <c r="AT225" i="6"/>
  <c r="AS225" i="6"/>
  <c r="AR225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AE225" i="6"/>
  <c r="AD225" i="6"/>
  <c r="AC225" i="6"/>
  <c r="AB225" i="6"/>
  <c r="AA225" i="6"/>
  <c r="Z225" i="6"/>
  <c r="Y225" i="6"/>
  <c r="X225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C225" i="6"/>
  <c r="A225" i="6"/>
  <c r="BJ224" i="6"/>
  <c r="BI224" i="6"/>
  <c r="BH224" i="6"/>
  <c r="BG224" i="6"/>
  <c r="BF224" i="6"/>
  <c r="BE224" i="6"/>
  <c r="BD224" i="6"/>
  <c r="BC224" i="6"/>
  <c r="BB224" i="6"/>
  <c r="BA224" i="6"/>
  <c r="AZ224" i="6"/>
  <c r="AY224" i="6"/>
  <c r="AX224" i="6"/>
  <c r="AW224" i="6"/>
  <c r="AV224" i="6"/>
  <c r="AU224" i="6"/>
  <c r="AT224" i="6"/>
  <c r="AS224" i="6"/>
  <c r="AR224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V299" i="2" s="1"/>
  <c r="T224" i="6"/>
  <c r="S224" i="6"/>
  <c r="R224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A224" i="6"/>
  <c r="BJ223" i="6"/>
  <c r="BI223" i="6"/>
  <c r="BH223" i="6"/>
  <c r="BG223" i="6"/>
  <c r="BF223" i="6"/>
  <c r="BE223" i="6"/>
  <c r="BD223" i="6"/>
  <c r="BC223" i="6"/>
  <c r="BB223" i="6"/>
  <c r="BA223" i="6"/>
  <c r="AZ223" i="6"/>
  <c r="AY223" i="6"/>
  <c r="AX223" i="6"/>
  <c r="AW223" i="6"/>
  <c r="AV223" i="6"/>
  <c r="AU223" i="6"/>
  <c r="AT223" i="6"/>
  <c r="AS223" i="6"/>
  <c r="AR223" i="6"/>
  <c r="AQ223" i="6"/>
  <c r="AP223" i="6"/>
  <c r="AO223" i="6"/>
  <c r="AN223" i="6"/>
  <c r="AM223" i="6"/>
  <c r="AL223" i="6"/>
  <c r="AK223" i="6"/>
  <c r="AJ223" i="6"/>
  <c r="AI223" i="6"/>
  <c r="AH223" i="6"/>
  <c r="AG223" i="6"/>
  <c r="AF223" i="6"/>
  <c r="AE223" i="6"/>
  <c r="AD223" i="6"/>
  <c r="AC223" i="6"/>
  <c r="AB223" i="6"/>
  <c r="AA223" i="6"/>
  <c r="Z223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C223" i="6"/>
  <c r="D176" i="2" s="1"/>
  <c r="A223" i="6"/>
  <c r="BJ222" i="6"/>
  <c r="BI222" i="6"/>
  <c r="BH222" i="6"/>
  <c r="BG222" i="6"/>
  <c r="BF222" i="6"/>
  <c r="BE222" i="6"/>
  <c r="BD222" i="6"/>
  <c r="BC222" i="6"/>
  <c r="BB222" i="6"/>
  <c r="BA222" i="6"/>
  <c r="AZ222" i="6"/>
  <c r="AY222" i="6"/>
  <c r="AX222" i="6"/>
  <c r="AW222" i="6"/>
  <c r="AV222" i="6"/>
  <c r="AU222" i="6"/>
  <c r="AT222" i="6"/>
  <c r="AS222" i="6"/>
  <c r="AR222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AE222" i="6"/>
  <c r="AD222" i="6"/>
  <c r="AC222" i="6"/>
  <c r="AB222" i="6"/>
  <c r="AA222" i="6"/>
  <c r="Z222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H222" i="6"/>
  <c r="G222" i="6"/>
  <c r="H251" i="2" s="1"/>
  <c r="F222" i="6"/>
  <c r="G251" i="2" s="1"/>
  <c r="E222" i="6"/>
  <c r="F251" i="2" s="1"/>
  <c r="D222" i="6"/>
  <c r="C222" i="6"/>
  <c r="A222" i="6"/>
  <c r="BJ221" i="6"/>
  <c r="BI221" i="6"/>
  <c r="BH221" i="6"/>
  <c r="BG221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AE221" i="6"/>
  <c r="AD221" i="6"/>
  <c r="AC221" i="6"/>
  <c r="AB221" i="6"/>
  <c r="AA221" i="6"/>
  <c r="Z221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K293" i="2" s="1"/>
  <c r="I221" i="6"/>
  <c r="J293" i="2" s="1"/>
  <c r="H221" i="6"/>
  <c r="I293" i="2" s="1"/>
  <c r="G221" i="6"/>
  <c r="F221" i="6"/>
  <c r="E221" i="6"/>
  <c r="D221" i="6"/>
  <c r="C221" i="6"/>
  <c r="A221" i="6"/>
  <c r="BJ220" i="6"/>
  <c r="BI220" i="6"/>
  <c r="BH220" i="6"/>
  <c r="BG220" i="6"/>
  <c r="BF220" i="6"/>
  <c r="BE220" i="6"/>
  <c r="BD220" i="6"/>
  <c r="BC220" i="6"/>
  <c r="BB220" i="6"/>
  <c r="BA220" i="6"/>
  <c r="AZ220" i="6"/>
  <c r="AY220" i="6"/>
  <c r="AX220" i="6"/>
  <c r="AW220" i="6"/>
  <c r="AV220" i="6"/>
  <c r="AU220" i="6"/>
  <c r="AT220" i="6"/>
  <c r="AS220" i="6"/>
  <c r="AR220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C220" i="6"/>
  <c r="A220" i="6"/>
  <c r="BJ219" i="6"/>
  <c r="BI219" i="6"/>
  <c r="BH219" i="6"/>
  <c r="BG219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AE219" i="6"/>
  <c r="AD219" i="6"/>
  <c r="AC219" i="6"/>
  <c r="AB219" i="6"/>
  <c r="AA219" i="6"/>
  <c r="Z219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N215" i="2" s="1"/>
  <c r="L219" i="6"/>
  <c r="M215" i="2" s="1"/>
  <c r="K219" i="6"/>
  <c r="L215" i="2" s="1"/>
  <c r="J219" i="6"/>
  <c r="K215" i="2" s="1"/>
  <c r="I219" i="6"/>
  <c r="J215" i="2" s="1"/>
  <c r="H219" i="6"/>
  <c r="I215" i="2" s="1"/>
  <c r="G219" i="6"/>
  <c r="F219" i="6"/>
  <c r="E219" i="6"/>
  <c r="D219" i="6"/>
  <c r="C219" i="6"/>
  <c r="A219" i="6"/>
  <c r="BJ218" i="6"/>
  <c r="BI218" i="6"/>
  <c r="BH218" i="6"/>
  <c r="BG218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AE218" i="6"/>
  <c r="AD218" i="6"/>
  <c r="AC218" i="6"/>
  <c r="AB218" i="6"/>
  <c r="AA218" i="6"/>
  <c r="Z218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D290" i="2" s="1"/>
  <c r="A218" i="6"/>
  <c r="BJ217" i="6"/>
  <c r="BI217" i="6"/>
  <c r="BH217" i="6"/>
  <c r="BG217" i="6"/>
  <c r="BF217" i="6"/>
  <c r="BE217" i="6"/>
  <c r="BD217" i="6"/>
  <c r="BC217" i="6"/>
  <c r="BB217" i="6"/>
  <c r="BA217" i="6"/>
  <c r="AZ217" i="6"/>
  <c r="AY217" i="6"/>
  <c r="AX217" i="6"/>
  <c r="AW217" i="6"/>
  <c r="AV217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AE217" i="6"/>
  <c r="AD217" i="6"/>
  <c r="AC217" i="6"/>
  <c r="AB217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C217" i="6"/>
  <c r="A217" i="6"/>
  <c r="BJ216" i="6"/>
  <c r="BI216" i="6"/>
  <c r="BH216" i="6"/>
  <c r="BG216" i="6"/>
  <c r="BF216" i="6"/>
  <c r="BE216" i="6"/>
  <c r="BD216" i="6"/>
  <c r="BC216" i="6"/>
  <c r="BB216" i="6"/>
  <c r="BA216" i="6"/>
  <c r="AZ216" i="6"/>
  <c r="AY216" i="6"/>
  <c r="AX216" i="6"/>
  <c r="AW216" i="6"/>
  <c r="AV216" i="6"/>
  <c r="AU216" i="6"/>
  <c r="AT216" i="6"/>
  <c r="AS216" i="6"/>
  <c r="AR216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A216" i="6"/>
  <c r="BJ215" i="6"/>
  <c r="BI215" i="6"/>
  <c r="BH215" i="6"/>
  <c r="BG215" i="6"/>
  <c r="BF215" i="6"/>
  <c r="BE215" i="6"/>
  <c r="BD215" i="6"/>
  <c r="BC215" i="6"/>
  <c r="BB215" i="6"/>
  <c r="BA215" i="6"/>
  <c r="AZ215" i="6"/>
  <c r="AY215" i="6"/>
  <c r="AX215" i="6"/>
  <c r="AW215" i="6"/>
  <c r="AV215" i="6"/>
  <c r="AU215" i="6"/>
  <c r="AT215" i="6"/>
  <c r="AS215" i="6"/>
  <c r="AR215" i="6"/>
  <c r="AQ215" i="6"/>
  <c r="AP215" i="6"/>
  <c r="AO215" i="6"/>
  <c r="AN215" i="6"/>
  <c r="AM215" i="6"/>
  <c r="AL215" i="6"/>
  <c r="AK215" i="6"/>
  <c r="AJ215" i="6"/>
  <c r="AI215" i="6"/>
  <c r="AH215" i="6"/>
  <c r="AG215" i="6"/>
  <c r="AF215" i="6"/>
  <c r="AE215" i="6"/>
  <c r="AD215" i="6"/>
  <c r="AC215" i="6"/>
  <c r="AB215" i="6"/>
  <c r="AA215" i="6"/>
  <c r="Z215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C215" i="6"/>
  <c r="A215" i="6"/>
  <c r="BJ214" i="6"/>
  <c r="BI214" i="6"/>
  <c r="BH214" i="6"/>
  <c r="BG214" i="6"/>
  <c r="BF214" i="6"/>
  <c r="BE214" i="6"/>
  <c r="BD214" i="6"/>
  <c r="BC214" i="6"/>
  <c r="BB214" i="6"/>
  <c r="BA214" i="6"/>
  <c r="AZ214" i="6"/>
  <c r="AY214" i="6"/>
  <c r="AX214" i="6"/>
  <c r="AW214" i="6"/>
  <c r="AV214" i="6"/>
  <c r="AU214" i="6"/>
  <c r="AT214" i="6"/>
  <c r="AS214" i="6"/>
  <c r="AR214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AE214" i="6"/>
  <c r="AD214" i="6"/>
  <c r="AC214" i="6"/>
  <c r="AB214" i="6"/>
  <c r="AA214" i="6"/>
  <c r="Z214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C214" i="6"/>
  <c r="A214" i="6"/>
  <c r="BJ213" i="6"/>
  <c r="BI213" i="6"/>
  <c r="BH213" i="6"/>
  <c r="BG213" i="6"/>
  <c r="BF213" i="6"/>
  <c r="BE213" i="6"/>
  <c r="BD213" i="6"/>
  <c r="BC213" i="6"/>
  <c r="BB213" i="6"/>
  <c r="BA213" i="6"/>
  <c r="AZ213" i="6"/>
  <c r="AY213" i="6"/>
  <c r="AX213" i="6"/>
  <c r="AW213" i="6"/>
  <c r="AV213" i="6"/>
  <c r="AU213" i="6"/>
  <c r="AT213" i="6"/>
  <c r="AS213" i="6"/>
  <c r="AR213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AE213" i="6"/>
  <c r="AD213" i="6"/>
  <c r="AC213" i="6"/>
  <c r="AB213" i="6"/>
  <c r="AA213" i="6"/>
  <c r="Z213" i="6"/>
  <c r="Y213" i="6"/>
  <c r="X213" i="6"/>
  <c r="W213" i="6"/>
  <c r="V213" i="6"/>
  <c r="W245" i="2" s="1"/>
  <c r="U213" i="6"/>
  <c r="V245" i="2" s="1"/>
  <c r="T213" i="6"/>
  <c r="U245" i="2" s="1"/>
  <c r="S213" i="6"/>
  <c r="T245" i="2" s="1"/>
  <c r="R213" i="6"/>
  <c r="S245" i="2" s="1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C213" i="6"/>
  <c r="A213" i="6"/>
  <c r="BJ212" i="6"/>
  <c r="BI212" i="6"/>
  <c r="BH212" i="6"/>
  <c r="BG212" i="6"/>
  <c r="BF212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AE212" i="6"/>
  <c r="AD212" i="6"/>
  <c r="AC212" i="6"/>
  <c r="AB212" i="6"/>
  <c r="AA212" i="6"/>
  <c r="Z212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L260" i="2" s="1"/>
  <c r="J212" i="6"/>
  <c r="K260" i="2" s="1"/>
  <c r="I212" i="6"/>
  <c r="J260" i="2" s="1"/>
  <c r="H212" i="6"/>
  <c r="I260" i="2" s="1"/>
  <c r="G212" i="6"/>
  <c r="F212" i="6"/>
  <c r="E212" i="6"/>
  <c r="D212" i="6"/>
  <c r="C212" i="6"/>
  <c r="A212" i="6"/>
  <c r="BJ211" i="6"/>
  <c r="BI211" i="6"/>
  <c r="BH211" i="6"/>
  <c r="BG211" i="6"/>
  <c r="BF211" i="6"/>
  <c r="BE211" i="6"/>
  <c r="BD211" i="6"/>
  <c r="BC211" i="6"/>
  <c r="BB211" i="6"/>
  <c r="BA211" i="6"/>
  <c r="AZ211" i="6"/>
  <c r="AY211" i="6"/>
  <c r="AX211" i="6"/>
  <c r="AW211" i="6"/>
  <c r="AV211" i="6"/>
  <c r="AU211" i="6"/>
  <c r="AT211" i="6"/>
  <c r="AS211" i="6"/>
  <c r="AR211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AE211" i="6"/>
  <c r="AD211" i="6"/>
  <c r="AC211" i="6"/>
  <c r="AB211" i="6"/>
  <c r="AA211" i="6"/>
  <c r="Z211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G107" i="2" s="1"/>
  <c r="E211" i="6"/>
  <c r="F107" i="2" s="1"/>
  <c r="D211" i="6"/>
  <c r="C211" i="6"/>
  <c r="D107" i="2" s="1"/>
  <c r="A211" i="6"/>
  <c r="BJ210" i="6"/>
  <c r="BI210" i="6"/>
  <c r="BH210" i="6"/>
  <c r="BG210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W95" i="2" s="1"/>
  <c r="U210" i="6"/>
  <c r="V95" i="2" s="1"/>
  <c r="T210" i="6"/>
  <c r="U95" i="2" s="1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C210" i="6"/>
  <c r="A210" i="6"/>
  <c r="BJ209" i="6"/>
  <c r="BI209" i="6"/>
  <c r="BH209" i="6"/>
  <c r="BG209" i="6"/>
  <c r="BF209" i="6"/>
  <c r="BE209" i="6"/>
  <c r="BD209" i="6"/>
  <c r="BC209" i="6"/>
  <c r="BB209" i="6"/>
  <c r="BA209" i="6"/>
  <c r="AZ209" i="6"/>
  <c r="AY209" i="6"/>
  <c r="AX209" i="6"/>
  <c r="AW209" i="6"/>
  <c r="AV209" i="6"/>
  <c r="AU209" i="6"/>
  <c r="AT209" i="6"/>
  <c r="AS209" i="6"/>
  <c r="AR209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AE209" i="6"/>
  <c r="AD209" i="6"/>
  <c r="AC209" i="6"/>
  <c r="AB209" i="6"/>
  <c r="AA209" i="6"/>
  <c r="Z209" i="6"/>
  <c r="Y209" i="6"/>
  <c r="X209" i="6"/>
  <c r="W209" i="6"/>
  <c r="V209" i="6"/>
  <c r="W197" i="2" s="1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C209" i="6"/>
  <c r="A209" i="6"/>
  <c r="BJ208" i="6"/>
  <c r="BI208" i="6"/>
  <c r="BH208" i="6"/>
  <c r="BG208" i="6"/>
  <c r="BF208" i="6"/>
  <c r="BE208" i="6"/>
  <c r="BD208" i="6"/>
  <c r="BC208" i="6"/>
  <c r="BB208" i="6"/>
  <c r="BA208" i="6"/>
  <c r="AZ208" i="6"/>
  <c r="AY208" i="6"/>
  <c r="AX208" i="6"/>
  <c r="AW208" i="6"/>
  <c r="AV208" i="6"/>
  <c r="AU208" i="6"/>
  <c r="AT208" i="6"/>
  <c r="AS208" i="6"/>
  <c r="AR208" i="6"/>
  <c r="AQ208" i="6"/>
  <c r="AP208" i="6"/>
  <c r="AO208" i="6"/>
  <c r="AN208" i="6"/>
  <c r="AM208" i="6"/>
  <c r="AL208" i="6"/>
  <c r="AK208" i="6"/>
  <c r="AJ208" i="6"/>
  <c r="AI208" i="6"/>
  <c r="AH208" i="6"/>
  <c r="AG208" i="6"/>
  <c r="AF208" i="6"/>
  <c r="AE208" i="6"/>
  <c r="AD208" i="6"/>
  <c r="AC208" i="6"/>
  <c r="AB208" i="6"/>
  <c r="AA208" i="6"/>
  <c r="Z208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C208" i="6"/>
  <c r="A208" i="6"/>
  <c r="BJ207" i="6"/>
  <c r="BI207" i="6"/>
  <c r="BH207" i="6"/>
  <c r="BG207" i="6"/>
  <c r="BF207" i="6"/>
  <c r="BE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AE207" i="6"/>
  <c r="AD207" i="6"/>
  <c r="AC207" i="6"/>
  <c r="AB207" i="6"/>
  <c r="AA207" i="6"/>
  <c r="Z207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C207" i="6"/>
  <c r="A207" i="6"/>
  <c r="BJ206" i="6"/>
  <c r="BI206" i="6"/>
  <c r="BH206" i="6"/>
  <c r="BG206" i="6"/>
  <c r="BF206" i="6"/>
  <c r="BE206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AE206" i="6"/>
  <c r="AD206" i="6"/>
  <c r="AC206" i="6"/>
  <c r="AB206" i="6"/>
  <c r="AA206" i="6"/>
  <c r="Z206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C206" i="6"/>
  <c r="A206" i="6"/>
  <c r="BJ205" i="6"/>
  <c r="BI205" i="6"/>
  <c r="BH205" i="6"/>
  <c r="BG205" i="6"/>
  <c r="BF205" i="6"/>
  <c r="BE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AE205" i="6"/>
  <c r="AD205" i="6"/>
  <c r="AC205" i="6"/>
  <c r="AB205" i="6"/>
  <c r="AA205" i="6"/>
  <c r="Z205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E35" i="2" s="1"/>
  <c r="C205" i="6"/>
  <c r="D35" i="2" s="1"/>
  <c r="A205" i="6"/>
  <c r="BJ204" i="6"/>
  <c r="BI204" i="6"/>
  <c r="BH204" i="6"/>
  <c r="BG204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AE204" i="6"/>
  <c r="AD204" i="6"/>
  <c r="AC204" i="6"/>
  <c r="AB204" i="6"/>
  <c r="AA204" i="6"/>
  <c r="Z204" i="6"/>
  <c r="Y204" i="6"/>
  <c r="X204" i="6"/>
  <c r="W204" i="6"/>
  <c r="V204" i="6"/>
  <c r="W44" i="2" s="1"/>
  <c r="U204" i="6"/>
  <c r="V44" i="2" s="1"/>
  <c r="T204" i="6"/>
  <c r="S204" i="6"/>
  <c r="R204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C204" i="6"/>
  <c r="A204" i="6"/>
  <c r="BJ203" i="6"/>
  <c r="BI203" i="6"/>
  <c r="BH203" i="6"/>
  <c r="BG203" i="6"/>
  <c r="BF203" i="6"/>
  <c r="BE203" i="6"/>
  <c r="BD203" i="6"/>
  <c r="BC203" i="6"/>
  <c r="BB203" i="6"/>
  <c r="BA203" i="6"/>
  <c r="AZ203" i="6"/>
  <c r="AY203" i="6"/>
  <c r="AX203" i="6"/>
  <c r="AW203" i="6"/>
  <c r="AV203" i="6"/>
  <c r="AU203" i="6"/>
  <c r="AT203" i="6"/>
  <c r="AS203" i="6"/>
  <c r="AR203" i="6"/>
  <c r="AQ203" i="6"/>
  <c r="AP203" i="6"/>
  <c r="AO203" i="6"/>
  <c r="AN203" i="6"/>
  <c r="AM203" i="6"/>
  <c r="AL203" i="6"/>
  <c r="AK203" i="6"/>
  <c r="AJ203" i="6"/>
  <c r="AI203" i="6"/>
  <c r="AH203" i="6"/>
  <c r="AG203" i="6"/>
  <c r="AF203" i="6"/>
  <c r="AE203" i="6"/>
  <c r="AD203" i="6"/>
  <c r="AC203" i="6"/>
  <c r="AB203" i="6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C203" i="6"/>
  <c r="A203" i="6"/>
  <c r="BJ202" i="6"/>
  <c r="BI202" i="6"/>
  <c r="BH202" i="6"/>
  <c r="BG202" i="6"/>
  <c r="BF202" i="6"/>
  <c r="BE202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AE202" i="6"/>
  <c r="AD202" i="6"/>
  <c r="AC202" i="6"/>
  <c r="AB202" i="6"/>
  <c r="AA202" i="6"/>
  <c r="Z202" i="6"/>
  <c r="Y202" i="6"/>
  <c r="X202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G248" i="2" s="1"/>
  <c r="E202" i="6"/>
  <c r="F248" i="2" s="1"/>
  <c r="D202" i="6"/>
  <c r="E248" i="2" s="1"/>
  <c r="C202" i="6"/>
  <c r="D248" i="2" s="1"/>
  <c r="A202" i="6"/>
  <c r="BJ201" i="6"/>
  <c r="BI201" i="6"/>
  <c r="BH201" i="6"/>
  <c r="BG201" i="6"/>
  <c r="BF201" i="6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AE201" i="6"/>
  <c r="AD201" i="6"/>
  <c r="AC201" i="6"/>
  <c r="AB201" i="6"/>
  <c r="AA201" i="6"/>
  <c r="Z201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C201" i="6"/>
  <c r="A201" i="6"/>
  <c r="BJ200" i="6"/>
  <c r="BI200" i="6"/>
  <c r="BH200" i="6"/>
  <c r="BG200" i="6"/>
  <c r="BF200" i="6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AE200" i="6"/>
  <c r="AD200" i="6"/>
  <c r="AC200" i="6"/>
  <c r="AB200" i="6"/>
  <c r="AA200" i="6"/>
  <c r="Z200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C200" i="6"/>
  <c r="A200" i="6"/>
  <c r="BJ199" i="6"/>
  <c r="BI199" i="6"/>
  <c r="BH199" i="6"/>
  <c r="BG199" i="6"/>
  <c r="BF199" i="6"/>
  <c r="BE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AE199" i="6"/>
  <c r="AD199" i="6"/>
  <c r="AC199" i="6"/>
  <c r="AB199" i="6"/>
  <c r="AA199" i="6"/>
  <c r="Z199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H89" i="2" s="1"/>
  <c r="F199" i="6"/>
  <c r="E199" i="6"/>
  <c r="D199" i="6"/>
  <c r="C199" i="6"/>
  <c r="A199" i="6"/>
  <c r="BJ198" i="6"/>
  <c r="BI198" i="6"/>
  <c r="BH198" i="6"/>
  <c r="BG198" i="6"/>
  <c r="BF198" i="6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AE198" i="6"/>
  <c r="AD198" i="6"/>
  <c r="AC198" i="6"/>
  <c r="AB198" i="6"/>
  <c r="AA198" i="6"/>
  <c r="Z198" i="6"/>
  <c r="Y198" i="6"/>
  <c r="X198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C198" i="6"/>
  <c r="A198" i="6"/>
  <c r="BJ197" i="6"/>
  <c r="BI197" i="6"/>
  <c r="BH197" i="6"/>
  <c r="BG197" i="6"/>
  <c r="BF197" i="6"/>
  <c r="BE197" i="6"/>
  <c r="BD197" i="6"/>
  <c r="BC197" i="6"/>
  <c r="BB197" i="6"/>
  <c r="BA197" i="6"/>
  <c r="AZ197" i="6"/>
  <c r="AY197" i="6"/>
  <c r="AX197" i="6"/>
  <c r="AW197" i="6"/>
  <c r="AV197" i="6"/>
  <c r="AU197" i="6"/>
  <c r="AT197" i="6"/>
  <c r="AS197" i="6"/>
  <c r="AR197" i="6"/>
  <c r="AQ197" i="6"/>
  <c r="AP197" i="6"/>
  <c r="AO197" i="6"/>
  <c r="AN197" i="6"/>
  <c r="AM197" i="6"/>
  <c r="AL197" i="6"/>
  <c r="AK197" i="6"/>
  <c r="AJ197" i="6"/>
  <c r="AI197" i="6"/>
  <c r="AH197" i="6"/>
  <c r="AG197" i="6"/>
  <c r="AF197" i="6"/>
  <c r="AE197" i="6"/>
  <c r="AD197" i="6"/>
  <c r="AC197" i="6"/>
  <c r="AB197" i="6"/>
  <c r="AA197" i="6"/>
  <c r="Z197" i="6"/>
  <c r="Y197" i="6"/>
  <c r="X197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F104" i="2" s="1"/>
  <c r="D197" i="6"/>
  <c r="E104" i="2" s="1"/>
  <c r="C197" i="6"/>
  <c r="A197" i="6"/>
  <c r="BJ196" i="6"/>
  <c r="BI196" i="6"/>
  <c r="BH196" i="6"/>
  <c r="BG196" i="6"/>
  <c r="BF196" i="6"/>
  <c r="BE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AE196" i="6"/>
  <c r="AD196" i="6"/>
  <c r="AC196" i="6"/>
  <c r="AB196" i="6"/>
  <c r="AA196" i="6"/>
  <c r="Z196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C196" i="6"/>
  <c r="A196" i="6"/>
  <c r="BJ195" i="6"/>
  <c r="BI195" i="6"/>
  <c r="BH195" i="6"/>
  <c r="BG195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AE195" i="6"/>
  <c r="AD195" i="6"/>
  <c r="AC195" i="6"/>
  <c r="AB195" i="6"/>
  <c r="AA195" i="6"/>
  <c r="Z195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C195" i="6"/>
  <c r="A195" i="6"/>
  <c r="BJ194" i="6"/>
  <c r="BI194" i="6"/>
  <c r="BH194" i="6"/>
  <c r="BG194" i="6"/>
  <c r="BF194" i="6"/>
  <c r="BE194" i="6"/>
  <c r="BD194" i="6"/>
  <c r="BC194" i="6"/>
  <c r="BB194" i="6"/>
  <c r="BA194" i="6"/>
  <c r="AZ194" i="6"/>
  <c r="AY194" i="6"/>
  <c r="AX194" i="6"/>
  <c r="AW194" i="6"/>
  <c r="AV194" i="6"/>
  <c r="AU194" i="6"/>
  <c r="AT194" i="6"/>
  <c r="AS194" i="6"/>
  <c r="AR194" i="6"/>
  <c r="AQ194" i="6"/>
  <c r="AP194" i="6"/>
  <c r="AO194" i="6"/>
  <c r="AN194" i="6"/>
  <c r="AM194" i="6"/>
  <c r="AL194" i="6"/>
  <c r="AK194" i="6"/>
  <c r="AJ194" i="6"/>
  <c r="AI194" i="6"/>
  <c r="AH194" i="6"/>
  <c r="AG194" i="6"/>
  <c r="AF194" i="6"/>
  <c r="AE194" i="6"/>
  <c r="AD194" i="6"/>
  <c r="AC194" i="6"/>
  <c r="AB194" i="6"/>
  <c r="AA194" i="6"/>
  <c r="Z194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C194" i="6"/>
  <c r="A194" i="6"/>
  <c r="BJ193" i="6"/>
  <c r="BI193" i="6"/>
  <c r="BH193" i="6"/>
  <c r="BG193" i="6"/>
  <c r="BF193" i="6"/>
  <c r="BE193" i="6"/>
  <c r="BD193" i="6"/>
  <c r="BC193" i="6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AE193" i="6"/>
  <c r="AD193" i="6"/>
  <c r="AC193" i="6"/>
  <c r="AB193" i="6"/>
  <c r="AA193" i="6"/>
  <c r="Z193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J212" i="2" s="1"/>
  <c r="H193" i="6"/>
  <c r="I212" i="2" s="1"/>
  <c r="G193" i="6"/>
  <c r="H212" i="2" s="1"/>
  <c r="F193" i="6"/>
  <c r="G212" i="2" s="1"/>
  <c r="E193" i="6"/>
  <c r="F212" i="2" s="1"/>
  <c r="D193" i="6"/>
  <c r="C193" i="6"/>
  <c r="A193" i="6"/>
  <c r="BJ192" i="6"/>
  <c r="BI192" i="6"/>
  <c r="BH192" i="6"/>
  <c r="BG192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AE192" i="6"/>
  <c r="AD192" i="6"/>
  <c r="AC192" i="6"/>
  <c r="AB192" i="6"/>
  <c r="AA192" i="6"/>
  <c r="Z192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C192" i="6"/>
  <c r="A192" i="6"/>
  <c r="BJ191" i="6"/>
  <c r="BI191" i="6"/>
  <c r="BH191" i="6"/>
  <c r="BG191" i="6"/>
  <c r="BF191" i="6"/>
  <c r="BE191" i="6"/>
  <c r="BD191" i="6"/>
  <c r="BC191" i="6"/>
  <c r="BB191" i="6"/>
  <c r="BA191" i="6"/>
  <c r="AZ191" i="6"/>
  <c r="AY191" i="6"/>
  <c r="AX191" i="6"/>
  <c r="AW191" i="6"/>
  <c r="AV191" i="6"/>
  <c r="AU191" i="6"/>
  <c r="AT191" i="6"/>
  <c r="AS191" i="6"/>
  <c r="AR191" i="6"/>
  <c r="AQ191" i="6"/>
  <c r="AP191" i="6"/>
  <c r="AO191" i="6"/>
  <c r="AN191" i="6"/>
  <c r="AM191" i="6"/>
  <c r="AL191" i="6"/>
  <c r="AK191" i="6"/>
  <c r="AJ191" i="6"/>
  <c r="AI191" i="6"/>
  <c r="AH191" i="6"/>
  <c r="AG191" i="6"/>
  <c r="AF191" i="6"/>
  <c r="AE191" i="6"/>
  <c r="AD191" i="6"/>
  <c r="AC191" i="6"/>
  <c r="AB191" i="6"/>
  <c r="AA191" i="6"/>
  <c r="Z191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C191" i="6"/>
  <c r="A191" i="6"/>
  <c r="BJ190" i="6"/>
  <c r="BI190" i="6"/>
  <c r="BH190" i="6"/>
  <c r="BG190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AE190" i="6"/>
  <c r="AD190" i="6"/>
  <c r="AC190" i="6"/>
  <c r="AB190" i="6"/>
  <c r="AA190" i="6"/>
  <c r="Z190" i="6"/>
  <c r="Y190" i="6"/>
  <c r="X190" i="6"/>
  <c r="W190" i="6"/>
  <c r="V190" i="6"/>
  <c r="W206" i="2" s="1"/>
  <c r="U190" i="6"/>
  <c r="V206" i="2" s="1"/>
  <c r="T190" i="6"/>
  <c r="U206" i="2" s="1"/>
  <c r="S190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C190" i="6"/>
  <c r="A190" i="6"/>
  <c r="BJ189" i="6"/>
  <c r="BI189" i="6"/>
  <c r="BH189" i="6"/>
  <c r="BG189" i="6"/>
  <c r="BF189" i="6"/>
  <c r="BE189" i="6"/>
  <c r="BD189" i="6"/>
  <c r="BC189" i="6"/>
  <c r="BB189" i="6"/>
  <c r="BA189" i="6"/>
  <c r="AZ189" i="6"/>
  <c r="AY189" i="6"/>
  <c r="AX189" i="6"/>
  <c r="AW189" i="6"/>
  <c r="AV189" i="6"/>
  <c r="AU189" i="6"/>
  <c r="AT189" i="6"/>
  <c r="AS189" i="6"/>
  <c r="AR189" i="6"/>
  <c r="AQ189" i="6"/>
  <c r="AP189" i="6"/>
  <c r="AO189" i="6"/>
  <c r="AN189" i="6"/>
  <c r="AM189" i="6"/>
  <c r="AL189" i="6"/>
  <c r="AK189" i="6"/>
  <c r="AJ189" i="6"/>
  <c r="AI189" i="6"/>
  <c r="AH189" i="6"/>
  <c r="AG189" i="6"/>
  <c r="AF189" i="6"/>
  <c r="AE189" i="6"/>
  <c r="AD189" i="6"/>
  <c r="AC189" i="6"/>
  <c r="AB189" i="6"/>
  <c r="AA189" i="6"/>
  <c r="Z189" i="6"/>
  <c r="Y189" i="6"/>
  <c r="X189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C189" i="6"/>
  <c r="A189" i="6"/>
  <c r="BJ188" i="6"/>
  <c r="BI188" i="6"/>
  <c r="BH188" i="6"/>
  <c r="BG188" i="6"/>
  <c r="BF188" i="6"/>
  <c r="BE188" i="6"/>
  <c r="BD188" i="6"/>
  <c r="BC188" i="6"/>
  <c r="BB188" i="6"/>
  <c r="BA188" i="6"/>
  <c r="AZ188" i="6"/>
  <c r="AY188" i="6"/>
  <c r="AX188" i="6"/>
  <c r="AW188" i="6"/>
  <c r="AV188" i="6"/>
  <c r="AU188" i="6"/>
  <c r="AT188" i="6"/>
  <c r="AS188" i="6"/>
  <c r="AR188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AE188" i="6"/>
  <c r="AD188" i="6"/>
  <c r="AC188" i="6"/>
  <c r="AB188" i="6"/>
  <c r="AA188" i="6"/>
  <c r="Z188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C188" i="6"/>
  <c r="A188" i="6"/>
  <c r="BJ187" i="6"/>
  <c r="BI187" i="6"/>
  <c r="BH187" i="6"/>
  <c r="BG187" i="6"/>
  <c r="BF187" i="6"/>
  <c r="BE187" i="6"/>
  <c r="BD187" i="6"/>
  <c r="BC187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AE187" i="6"/>
  <c r="AD187" i="6"/>
  <c r="AC187" i="6"/>
  <c r="AB187" i="6"/>
  <c r="AA187" i="6"/>
  <c r="Z187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C187" i="6"/>
  <c r="A187" i="6"/>
  <c r="BJ186" i="6"/>
  <c r="BI186" i="6"/>
  <c r="BH186" i="6"/>
  <c r="BG186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AE186" i="6"/>
  <c r="AD186" i="6"/>
  <c r="AC186" i="6"/>
  <c r="AB186" i="6"/>
  <c r="AA186" i="6"/>
  <c r="Z186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C186" i="6"/>
  <c r="A186" i="6"/>
  <c r="BJ185" i="6"/>
  <c r="BI185" i="6"/>
  <c r="BH185" i="6"/>
  <c r="BG185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V185" i="6"/>
  <c r="W149" i="2" s="1"/>
  <c r="U185" i="6"/>
  <c r="V149" i="2" s="1"/>
  <c r="T185" i="6"/>
  <c r="U149" i="2" s="1"/>
  <c r="S185" i="6"/>
  <c r="T149" i="2" s="1"/>
  <c r="R185" i="6"/>
  <c r="Q185" i="6"/>
  <c r="R149" i="2" s="1"/>
  <c r="P185" i="6"/>
  <c r="O185" i="6"/>
  <c r="P149" i="2" s="1"/>
  <c r="N185" i="6"/>
  <c r="M185" i="6"/>
  <c r="L185" i="6"/>
  <c r="K185" i="6"/>
  <c r="J185" i="6"/>
  <c r="I185" i="6"/>
  <c r="H185" i="6"/>
  <c r="G185" i="6"/>
  <c r="F185" i="6"/>
  <c r="E185" i="6"/>
  <c r="D185" i="6"/>
  <c r="C185" i="6"/>
  <c r="A185" i="6"/>
  <c r="BJ184" i="6"/>
  <c r="BI184" i="6"/>
  <c r="BH184" i="6"/>
  <c r="BG184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C184" i="6"/>
  <c r="A184" i="6"/>
  <c r="BJ183" i="6"/>
  <c r="BI183" i="6"/>
  <c r="BH183" i="6"/>
  <c r="BG183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AE183" i="6"/>
  <c r="AD183" i="6"/>
  <c r="AC183" i="6"/>
  <c r="AB183" i="6"/>
  <c r="AA183" i="6"/>
  <c r="Z183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C183" i="6"/>
  <c r="A183" i="6"/>
  <c r="BJ182" i="6"/>
  <c r="BI182" i="6"/>
  <c r="BH182" i="6"/>
  <c r="BG182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A182" i="6"/>
  <c r="BJ181" i="6"/>
  <c r="BI181" i="6"/>
  <c r="BH181" i="6"/>
  <c r="BG181" i="6"/>
  <c r="BF181" i="6"/>
  <c r="BE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A181" i="6"/>
  <c r="BJ180" i="6"/>
  <c r="BI180" i="6"/>
  <c r="BH180" i="6"/>
  <c r="BG180" i="6"/>
  <c r="BF180" i="6"/>
  <c r="BE180" i="6"/>
  <c r="BD180" i="6"/>
  <c r="BC180" i="6"/>
  <c r="BB180" i="6"/>
  <c r="BA180" i="6"/>
  <c r="AZ180" i="6"/>
  <c r="AY180" i="6"/>
  <c r="AX180" i="6"/>
  <c r="AW180" i="6"/>
  <c r="AV180" i="6"/>
  <c r="AU180" i="6"/>
  <c r="AT180" i="6"/>
  <c r="AS180" i="6"/>
  <c r="AR180" i="6"/>
  <c r="AQ180" i="6"/>
  <c r="AP180" i="6"/>
  <c r="AO180" i="6"/>
  <c r="AN180" i="6"/>
  <c r="AM180" i="6"/>
  <c r="AL180" i="6"/>
  <c r="AK180" i="6"/>
  <c r="AJ180" i="6"/>
  <c r="AI180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V180" i="6"/>
  <c r="W263" i="2" s="1"/>
  <c r="U180" i="6"/>
  <c r="V263" i="2" s="1"/>
  <c r="T180" i="6"/>
  <c r="U263" i="2" s="1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C180" i="6"/>
  <c r="A180" i="6"/>
  <c r="BJ179" i="6"/>
  <c r="BI179" i="6"/>
  <c r="BH179" i="6"/>
  <c r="BG179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H257" i="2" s="1"/>
  <c r="F179" i="6"/>
  <c r="G257" i="2" s="1"/>
  <c r="E179" i="6"/>
  <c r="F257" i="2" s="1"/>
  <c r="D179" i="6"/>
  <c r="C179" i="6"/>
  <c r="A179" i="6"/>
  <c r="BJ178" i="6"/>
  <c r="BI178" i="6"/>
  <c r="BH178" i="6"/>
  <c r="BG178" i="6"/>
  <c r="BF178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A178" i="6"/>
  <c r="BJ177" i="6"/>
  <c r="BI177" i="6"/>
  <c r="BH177" i="6"/>
  <c r="BG177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A177" i="6"/>
  <c r="BJ176" i="6"/>
  <c r="BI176" i="6"/>
  <c r="BH176" i="6"/>
  <c r="BG176" i="6"/>
  <c r="BF176" i="6"/>
  <c r="BE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AE176" i="6"/>
  <c r="AD176" i="6"/>
  <c r="AC176" i="6"/>
  <c r="AB176" i="6"/>
  <c r="AA176" i="6"/>
  <c r="Z176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H209" i="2" s="1"/>
  <c r="F176" i="6"/>
  <c r="G209" i="2" s="1"/>
  <c r="E176" i="6"/>
  <c r="F209" i="2" s="1"/>
  <c r="D176" i="6"/>
  <c r="E209" i="2" s="1"/>
  <c r="C176" i="6"/>
  <c r="D209" i="2" s="1"/>
  <c r="A176" i="6"/>
  <c r="BJ175" i="6"/>
  <c r="BI175" i="6"/>
  <c r="BH175" i="6"/>
  <c r="BG175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AE175" i="6"/>
  <c r="AD175" i="6"/>
  <c r="AC175" i="6"/>
  <c r="AB175" i="6"/>
  <c r="AA175" i="6"/>
  <c r="Z175" i="6"/>
  <c r="Y175" i="6"/>
  <c r="X175" i="6"/>
  <c r="W175" i="6"/>
  <c r="V175" i="6"/>
  <c r="W155" i="2" s="1"/>
  <c r="U175" i="6"/>
  <c r="V155" i="2" s="1"/>
  <c r="T175" i="6"/>
  <c r="S175" i="6"/>
  <c r="T155" i="2" s="1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A175" i="6"/>
  <c r="BJ174" i="6"/>
  <c r="BI174" i="6"/>
  <c r="BH174" i="6"/>
  <c r="BG174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A174" i="6"/>
  <c r="BJ173" i="6"/>
  <c r="BI173" i="6"/>
  <c r="BH173" i="6"/>
  <c r="BG173" i="6"/>
  <c r="BF173" i="6"/>
  <c r="BE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AE173" i="6"/>
  <c r="AD173" i="6"/>
  <c r="AC173" i="6"/>
  <c r="AB173" i="6"/>
  <c r="AA173" i="6"/>
  <c r="Z173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A173" i="6"/>
  <c r="BJ172" i="6"/>
  <c r="BI172" i="6"/>
  <c r="BH172" i="6"/>
  <c r="BG172" i="6"/>
  <c r="BF172" i="6"/>
  <c r="BE172" i="6"/>
  <c r="BD172" i="6"/>
  <c r="BC172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AE172" i="6"/>
  <c r="AD172" i="6"/>
  <c r="AC172" i="6"/>
  <c r="AB172" i="6"/>
  <c r="AA172" i="6"/>
  <c r="Z172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A172" i="6"/>
  <c r="BJ171" i="6"/>
  <c r="BI171" i="6"/>
  <c r="BH171" i="6"/>
  <c r="BG171" i="6"/>
  <c r="BF171" i="6"/>
  <c r="BE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A171" i="6"/>
  <c r="BJ170" i="6"/>
  <c r="BI170" i="6"/>
  <c r="BH170" i="6"/>
  <c r="BG170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C170" i="6"/>
  <c r="A170" i="6"/>
  <c r="BJ169" i="6"/>
  <c r="BI169" i="6"/>
  <c r="BH169" i="6"/>
  <c r="BG169" i="6"/>
  <c r="BF169" i="6"/>
  <c r="BE169" i="6"/>
  <c r="BD169" i="6"/>
  <c r="BC169" i="6"/>
  <c r="BB169" i="6"/>
  <c r="BA169" i="6"/>
  <c r="AZ169" i="6"/>
  <c r="AY169" i="6"/>
  <c r="AX169" i="6"/>
  <c r="AW169" i="6"/>
  <c r="AV169" i="6"/>
  <c r="AU169" i="6"/>
  <c r="AT169" i="6"/>
  <c r="AS169" i="6"/>
  <c r="AR169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AE169" i="6"/>
  <c r="AD169" i="6"/>
  <c r="AC169" i="6"/>
  <c r="AB169" i="6"/>
  <c r="AA169" i="6"/>
  <c r="Z169" i="6"/>
  <c r="Y169" i="6"/>
  <c r="X169" i="6"/>
  <c r="W169" i="6"/>
  <c r="V169" i="6"/>
  <c r="U169" i="6"/>
  <c r="T169" i="6"/>
  <c r="S169" i="6"/>
  <c r="R169" i="6"/>
  <c r="S101" i="2" s="1"/>
  <c r="Q169" i="6"/>
  <c r="R101" i="2" s="1"/>
  <c r="P169" i="6"/>
  <c r="Q101" i="2" s="1"/>
  <c r="O169" i="6"/>
  <c r="P101" i="2" s="1"/>
  <c r="N169" i="6"/>
  <c r="O101" i="2" s="1"/>
  <c r="M169" i="6"/>
  <c r="N101" i="2" s="1"/>
  <c r="L169" i="6"/>
  <c r="M101" i="2" s="1"/>
  <c r="K169" i="6"/>
  <c r="L101" i="2" s="1"/>
  <c r="J169" i="6"/>
  <c r="K101" i="2" s="1"/>
  <c r="I169" i="6"/>
  <c r="J101" i="2" s="1"/>
  <c r="H169" i="6"/>
  <c r="I101" i="2" s="1"/>
  <c r="G169" i="6"/>
  <c r="H101" i="2" s="1"/>
  <c r="F169" i="6"/>
  <c r="G101" i="2" s="1"/>
  <c r="E169" i="6"/>
  <c r="F101" i="2" s="1"/>
  <c r="D169" i="6"/>
  <c r="E101" i="2" s="1"/>
  <c r="C169" i="6"/>
  <c r="D101" i="2" s="1"/>
  <c r="A169" i="6"/>
  <c r="BJ168" i="6"/>
  <c r="BI168" i="6"/>
  <c r="BH168" i="6"/>
  <c r="BG168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W242" i="2" s="1"/>
  <c r="U168" i="6"/>
  <c r="V242" i="2" s="1"/>
  <c r="T168" i="6"/>
  <c r="U242" i="2" s="1"/>
  <c r="S168" i="6"/>
  <c r="T242" i="2" s="1"/>
  <c r="R168" i="6"/>
  <c r="S242" i="2" s="1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C168" i="6"/>
  <c r="A168" i="6"/>
  <c r="BJ167" i="6"/>
  <c r="BI167" i="6"/>
  <c r="BH167" i="6"/>
  <c r="BG167" i="6"/>
  <c r="BF167" i="6"/>
  <c r="BE167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R167" i="6"/>
  <c r="AQ167" i="6"/>
  <c r="AP167" i="6"/>
  <c r="AO167" i="6"/>
  <c r="AN167" i="6"/>
  <c r="AM167" i="6"/>
  <c r="AL167" i="6"/>
  <c r="AK167" i="6"/>
  <c r="AJ167" i="6"/>
  <c r="AI167" i="6"/>
  <c r="AH167" i="6"/>
  <c r="AG167" i="6"/>
  <c r="AF167" i="6"/>
  <c r="AE167" i="6"/>
  <c r="AD167" i="6"/>
  <c r="AC167" i="6"/>
  <c r="AB167" i="6"/>
  <c r="AA167" i="6"/>
  <c r="Z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A167" i="6"/>
  <c r="BJ166" i="6"/>
  <c r="BI166" i="6"/>
  <c r="BH166" i="6"/>
  <c r="BG166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AE166" i="6"/>
  <c r="AD166" i="6"/>
  <c r="AC166" i="6"/>
  <c r="AB166" i="6"/>
  <c r="AA166" i="6"/>
  <c r="Z166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A166" i="6"/>
  <c r="BJ165" i="6"/>
  <c r="BI165" i="6"/>
  <c r="BH165" i="6"/>
  <c r="BG165" i="6"/>
  <c r="BF165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AE165" i="6"/>
  <c r="AD165" i="6"/>
  <c r="AC165" i="6"/>
  <c r="AB165" i="6"/>
  <c r="AA165" i="6"/>
  <c r="Z165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C165" i="6"/>
  <c r="A165" i="6"/>
  <c r="BJ164" i="6"/>
  <c r="BI164" i="6"/>
  <c r="BH164" i="6"/>
  <c r="BG164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A164" i="6"/>
  <c r="BJ163" i="6"/>
  <c r="BI163" i="6"/>
  <c r="BH163" i="6"/>
  <c r="BG163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A163" i="6"/>
  <c r="BJ162" i="6"/>
  <c r="BI162" i="6"/>
  <c r="BH162" i="6"/>
  <c r="BG162" i="6"/>
  <c r="BF162" i="6"/>
  <c r="BE162" i="6"/>
  <c r="BD162" i="6"/>
  <c r="BC162" i="6"/>
  <c r="BB162" i="6"/>
  <c r="BA162" i="6"/>
  <c r="AZ162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A162" i="6"/>
  <c r="BJ161" i="6"/>
  <c r="BI161" i="6"/>
  <c r="BH161" i="6"/>
  <c r="BG161" i="6"/>
  <c r="BF161" i="6"/>
  <c r="BE161" i="6"/>
  <c r="BD161" i="6"/>
  <c r="BC161" i="6"/>
  <c r="BB161" i="6"/>
  <c r="BA161" i="6"/>
  <c r="AZ161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W143" i="2" s="1"/>
  <c r="U161" i="6"/>
  <c r="V143" i="2" s="1"/>
  <c r="T161" i="6"/>
  <c r="U143" i="2" s="1"/>
  <c r="S161" i="6"/>
  <c r="T143" i="2" s="1"/>
  <c r="R161" i="6"/>
  <c r="S143" i="2" s="1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A161" i="6"/>
  <c r="BJ160" i="6"/>
  <c r="BI160" i="6"/>
  <c r="BH160" i="6"/>
  <c r="BG160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W92" i="2" s="1"/>
  <c r="U160" i="6"/>
  <c r="V92" i="2" s="1"/>
  <c r="T160" i="6"/>
  <c r="U92" i="2" s="1"/>
  <c r="S160" i="6"/>
  <c r="T92" i="2" s="1"/>
  <c r="R160" i="6"/>
  <c r="S92" i="2" s="1"/>
  <c r="Q160" i="6"/>
  <c r="R92" i="2" s="1"/>
  <c r="P160" i="6"/>
  <c r="Q92" i="2" s="1"/>
  <c r="O160" i="6"/>
  <c r="P92" i="2" s="1"/>
  <c r="N160" i="6"/>
  <c r="M160" i="6"/>
  <c r="L160" i="6"/>
  <c r="K160" i="6"/>
  <c r="J160" i="6"/>
  <c r="I160" i="6"/>
  <c r="H160" i="6"/>
  <c r="G160" i="6"/>
  <c r="F160" i="6"/>
  <c r="E160" i="6"/>
  <c r="D160" i="6"/>
  <c r="C160" i="6"/>
  <c r="A160" i="6"/>
  <c r="BJ159" i="6"/>
  <c r="BI159" i="6"/>
  <c r="BH159" i="6"/>
  <c r="BG159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A159" i="6"/>
  <c r="BJ158" i="6"/>
  <c r="BI158" i="6"/>
  <c r="BH158" i="6"/>
  <c r="BG158" i="6"/>
  <c r="BF158" i="6"/>
  <c r="BE158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Z158" i="6"/>
  <c r="Y158" i="6"/>
  <c r="X158" i="6"/>
  <c r="W158" i="6"/>
  <c r="V158" i="6"/>
  <c r="W185" i="2" s="1"/>
  <c r="U158" i="6"/>
  <c r="V185" i="2" s="1"/>
  <c r="T158" i="6"/>
  <c r="S158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A158" i="6"/>
  <c r="BJ157" i="6"/>
  <c r="BI157" i="6"/>
  <c r="BH157" i="6"/>
  <c r="BG157" i="6"/>
  <c r="BF157" i="6"/>
  <c r="BE157" i="6"/>
  <c r="BD157" i="6"/>
  <c r="BC157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J41" i="2" s="1"/>
  <c r="H157" i="6"/>
  <c r="G157" i="6"/>
  <c r="F157" i="6"/>
  <c r="E157" i="6"/>
  <c r="D157" i="6"/>
  <c r="C157" i="6"/>
  <c r="A157" i="6"/>
  <c r="BJ156" i="6"/>
  <c r="BI156" i="6"/>
  <c r="BH156" i="6"/>
  <c r="BG156" i="6"/>
  <c r="BF156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W50" i="2" s="1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A156" i="6"/>
  <c r="BJ155" i="6"/>
  <c r="BI155" i="6"/>
  <c r="BH155" i="6"/>
  <c r="BG155" i="6"/>
  <c r="BF155" i="6"/>
  <c r="BE155" i="6"/>
  <c r="BD155" i="6"/>
  <c r="BC155" i="6"/>
  <c r="BB155" i="6"/>
  <c r="BA155" i="6"/>
  <c r="AZ155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A155" i="6"/>
  <c r="BJ154" i="6"/>
  <c r="BI154" i="6"/>
  <c r="BH154" i="6"/>
  <c r="BG154" i="6"/>
  <c r="BF154" i="6"/>
  <c r="BE154" i="6"/>
  <c r="BD154" i="6"/>
  <c r="BC154" i="6"/>
  <c r="BB154" i="6"/>
  <c r="BA154" i="6"/>
  <c r="AZ154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A154" i="6"/>
  <c r="BJ153" i="6"/>
  <c r="BI153" i="6"/>
  <c r="BH153" i="6"/>
  <c r="BG153" i="6"/>
  <c r="BF153" i="6"/>
  <c r="BE153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A153" i="6"/>
  <c r="BJ152" i="6"/>
  <c r="BI152" i="6"/>
  <c r="BH152" i="6"/>
  <c r="BG152" i="6"/>
  <c r="BF152" i="6"/>
  <c r="BE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E281" i="2" s="1"/>
  <c r="C152" i="6"/>
  <c r="A152" i="6"/>
  <c r="BJ151" i="6"/>
  <c r="BI151" i="6"/>
  <c r="BH151" i="6"/>
  <c r="BG151" i="6"/>
  <c r="BF151" i="6"/>
  <c r="BE151" i="6"/>
  <c r="BD151" i="6"/>
  <c r="BC151" i="6"/>
  <c r="BB151" i="6"/>
  <c r="BA151" i="6"/>
  <c r="AZ151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G158" i="2" s="1"/>
  <c r="E151" i="6"/>
  <c r="F158" i="2" s="1"/>
  <c r="D151" i="6"/>
  <c r="E158" i="2" s="1"/>
  <c r="C151" i="6"/>
  <c r="D158" i="2" s="1"/>
  <c r="A151" i="6"/>
  <c r="BJ150" i="6"/>
  <c r="BI150" i="6"/>
  <c r="BH150" i="6"/>
  <c r="BG150" i="6"/>
  <c r="BF150" i="6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AE150" i="6"/>
  <c r="AD150" i="6"/>
  <c r="AC150" i="6"/>
  <c r="AB150" i="6"/>
  <c r="AA150" i="6"/>
  <c r="Z150" i="6"/>
  <c r="Y150" i="6"/>
  <c r="X150" i="6"/>
  <c r="W150" i="6"/>
  <c r="V150" i="6"/>
  <c r="W191" i="2" s="1"/>
  <c r="U150" i="6"/>
  <c r="V191" i="2" s="1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A150" i="6"/>
  <c r="BJ149" i="6"/>
  <c r="BI149" i="6"/>
  <c r="BH149" i="6"/>
  <c r="BG149" i="6"/>
  <c r="BF149" i="6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AS149" i="6"/>
  <c r="AR149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A149" i="6"/>
  <c r="BJ148" i="6"/>
  <c r="BI148" i="6"/>
  <c r="BH148" i="6"/>
  <c r="BG148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A148" i="6"/>
  <c r="BJ147" i="6"/>
  <c r="BI147" i="6"/>
  <c r="BH147" i="6"/>
  <c r="BG147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W137" i="2" s="1"/>
  <c r="U147" i="6"/>
  <c r="V137" i="2" s="1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A147" i="6"/>
  <c r="BJ146" i="6"/>
  <c r="BI146" i="6"/>
  <c r="BH146" i="6"/>
  <c r="BG146" i="6"/>
  <c r="BF146" i="6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A146" i="6"/>
  <c r="BJ145" i="6"/>
  <c r="BI145" i="6"/>
  <c r="BH145" i="6"/>
  <c r="BG145" i="6"/>
  <c r="BF145" i="6"/>
  <c r="BE145" i="6"/>
  <c r="BD145" i="6"/>
  <c r="BC145" i="6"/>
  <c r="BB145" i="6"/>
  <c r="BA145" i="6"/>
  <c r="AZ145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W131" i="2" s="1"/>
  <c r="U145" i="6"/>
  <c r="V131" i="2" s="1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A145" i="6"/>
  <c r="BJ144" i="6"/>
  <c r="BI144" i="6"/>
  <c r="BH144" i="6"/>
  <c r="BG144" i="6"/>
  <c r="BF144" i="6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A144" i="6"/>
  <c r="BJ143" i="6"/>
  <c r="BI143" i="6"/>
  <c r="BH143" i="6"/>
  <c r="BG143" i="6"/>
  <c r="BF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A143" i="6"/>
  <c r="BJ142" i="6"/>
  <c r="BI142" i="6"/>
  <c r="BH142" i="6"/>
  <c r="BG142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A142" i="6"/>
  <c r="BJ141" i="6"/>
  <c r="BI141" i="6"/>
  <c r="BH141" i="6"/>
  <c r="BG141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A141" i="6"/>
  <c r="BJ140" i="6"/>
  <c r="BI140" i="6"/>
  <c r="BH140" i="6"/>
  <c r="BG140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A140" i="6"/>
  <c r="BJ139" i="6"/>
  <c r="BI139" i="6"/>
  <c r="BH139" i="6"/>
  <c r="BG139" i="6"/>
  <c r="BF139" i="6"/>
  <c r="BE139" i="6"/>
  <c r="BD139" i="6"/>
  <c r="BC139" i="6"/>
  <c r="BB139" i="6"/>
  <c r="BA139" i="6"/>
  <c r="AZ139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W203" i="2" s="1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A139" i="6"/>
  <c r="BJ138" i="6"/>
  <c r="BI138" i="6"/>
  <c r="BH138" i="6"/>
  <c r="BG138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A138" i="6"/>
  <c r="BJ137" i="6"/>
  <c r="BI137" i="6"/>
  <c r="BH137" i="6"/>
  <c r="BG137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W53" i="2" s="1"/>
  <c r="U137" i="6"/>
  <c r="V53" i="2" s="1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A137" i="6"/>
  <c r="BJ136" i="6"/>
  <c r="BI136" i="6"/>
  <c r="BH136" i="6"/>
  <c r="BG136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A136" i="6"/>
  <c r="BJ135" i="6"/>
  <c r="BI135" i="6"/>
  <c r="BH135" i="6"/>
  <c r="BG135" i="6"/>
  <c r="BF135" i="6"/>
  <c r="BE135" i="6"/>
  <c r="BD135" i="6"/>
  <c r="BC135" i="6"/>
  <c r="BB135" i="6"/>
  <c r="BA135" i="6"/>
  <c r="AZ135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A135" i="6"/>
  <c r="BJ134" i="6"/>
  <c r="BI134" i="6"/>
  <c r="BH134" i="6"/>
  <c r="BG134" i="6"/>
  <c r="BF134" i="6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AE134" i="6"/>
  <c r="AD134" i="6"/>
  <c r="AC134" i="6"/>
  <c r="AB134" i="6"/>
  <c r="AA134" i="6"/>
  <c r="Z134" i="6"/>
  <c r="Y134" i="6"/>
  <c r="X134" i="6"/>
  <c r="W134" i="6"/>
  <c r="V134" i="6"/>
  <c r="W200" i="2" s="1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C134" i="6"/>
  <c r="A134" i="6"/>
  <c r="BJ133" i="6"/>
  <c r="BI133" i="6"/>
  <c r="BH133" i="6"/>
  <c r="BG133" i="6"/>
  <c r="BF133" i="6"/>
  <c r="BE133" i="6"/>
  <c r="BD133" i="6"/>
  <c r="BC133" i="6"/>
  <c r="BB133" i="6"/>
  <c r="BA133" i="6"/>
  <c r="AZ133" i="6"/>
  <c r="AY133" i="6"/>
  <c r="AX133" i="6"/>
  <c r="AW133" i="6"/>
  <c r="AV133" i="6"/>
  <c r="AU133" i="6"/>
  <c r="AT133" i="6"/>
  <c r="AS133" i="6"/>
  <c r="AR133" i="6"/>
  <c r="AQ133" i="6"/>
  <c r="AP133" i="6"/>
  <c r="AO133" i="6"/>
  <c r="AN133" i="6"/>
  <c r="AM133" i="6"/>
  <c r="AL133" i="6"/>
  <c r="AK133" i="6"/>
  <c r="AJ133" i="6"/>
  <c r="AI133" i="6"/>
  <c r="AH133" i="6"/>
  <c r="AG133" i="6"/>
  <c r="AF133" i="6"/>
  <c r="AE133" i="6"/>
  <c r="AD133" i="6"/>
  <c r="AC133" i="6"/>
  <c r="AB133" i="6"/>
  <c r="AA133" i="6"/>
  <c r="Z133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C133" i="6"/>
  <c r="A133" i="6"/>
  <c r="BJ132" i="6"/>
  <c r="BI132" i="6"/>
  <c r="BH132" i="6"/>
  <c r="BG132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A132" i="6"/>
  <c r="BJ128" i="6"/>
  <c r="BI128" i="6"/>
  <c r="BH128" i="6"/>
  <c r="BG128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D129" i="6" s="1"/>
  <c r="C128" i="6"/>
  <c r="P124" i="6"/>
  <c r="E124" i="6"/>
  <c r="K123" i="6"/>
  <c r="J123" i="6"/>
  <c r="K122" i="6"/>
  <c r="J122" i="6"/>
  <c r="K121" i="6"/>
  <c r="J121" i="6"/>
  <c r="K120" i="6"/>
  <c r="J120" i="6"/>
  <c r="K119" i="6"/>
  <c r="J119" i="6"/>
  <c r="K118" i="6"/>
  <c r="J118" i="6"/>
  <c r="K117" i="6"/>
  <c r="J117" i="6"/>
  <c r="K116" i="6"/>
  <c r="J116" i="6"/>
  <c r="K115" i="6"/>
  <c r="J115" i="6"/>
  <c r="K114" i="6"/>
  <c r="J114" i="6"/>
  <c r="K113" i="6"/>
  <c r="J113" i="6"/>
  <c r="K112" i="6"/>
  <c r="J112" i="6"/>
  <c r="K111" i="6"/>
  <c r="J111" i="6"/>
  <c r="K110" i="6"/>
  <c r="J110" i="6"/>
  <c r="K109" i="6"/>
  <c r="J109" i="6"/>
  <c r="K108" i="6"/>
  <c r="J108" i="6"/>
  <c r="K107" i="6"/>
  <c r="J107" i="6"/>
  <c r="K106" i="6"/>
  <c r="J106" i="6"/>
  <c r="K105" i="6"/>
  <c r="J105" i="6"/>
  <c r="K104" i="6"/>
  <c r="J104" i="6"/>
  <c r="K103" i="6"/>
  <c r="J103" i="6"/>
  <c r="K102" i="6"/>
  <c r="J102" i="6"/>
  <c r="K101" i="6"/>
  <c r="J101" i="6"/>
  <c r="K100" i="6"/>
  <c r="J100" i="6"/>
  <c r="K99" i="6"/>
  <c r="J99" i="6"/>
  <c r="K98" i="6"/>
  <c r="J98" i="6"/>
  <c r="K97" i="6"/>
  <c r="J97" i="6"/>
  <c r="K96" i="6"/>
  <c r="J96" i="6"/>
  <c r="K95" i="6"/>
  <c r="J95" i="6"/>
  <c r="K94" i="6"/>
  <c r="J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K66" i="6"/>
  <c r="J66" i="6"/>
  <c r="K65" i="6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B14" i="6" s="1"/>
  <c r="D8" i="1" s="1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N8" i="6"/>
  <c r="N7" i="6"/>
  <c r="N6" i="6"/>
  <c r="N5" i="6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V356" i="5"/>
  <c r="AU356" i="5"/>
  <c r="AT356" i="5"/>
  <c r="AS356" i="5"/>
  <c r="AR356" i="5"/>
  <c r="AQ356" i="5"/>
  <c r="AP356" i="5"/>
  <c r="AO356" i="5"/>
  <c r="AN356" i="5"/>
  <c r="AM356" i="5"/>
  <c r="AL356" i="5"/>
  <c r="AK356" i="5"/>
  <c r="AJ356" i="5"/>
  <c r="AI356" i="5"/>
  <c r="AH356" i="5"/>
  <c r="AG356" i="5"/>
  <c r="AF356" i="5"/>
  <c r="AE356" i="5"/>
  <c r="AD356" i="5"/>
  <c r="AC356" i="5"/>
  <c r="AB356" i="5"/>
  <c r="AA356" i="5"/>
  <c r="Z356" i="5"/>
  <c r="Y356" i="5"/>
  <c r="X356" i="5"/>
  <c r="W356" i="5"/>
  <c r="V356" i="5"/>
  <c r="U356" i="5"/>
  <c r="E356" i="5"/>
  <c r="D356" i="5"/>
  <c r="BJ347" i="5"/>
  <c r="BI347" i="5"/>
  <c r="BH347" i="5"/>
  <c r="BG347" i="5"/>
  <c r="BF347" i="5"/>
  <c r="BE347" i="5"/>
  <c r="BD347" i="5"/>
  <c r="BC347" i="5"/>
  <c r="BB347" i="5"/>
  <c r="BA347" i="5"/>
  <c r="AZ347" i="5"/>
  <c r="AY347" i="5"/>
  <c r="AX347" i="5"/>
  <c r="AW347" i="5"/>
  <c r="AV347" i="5"/>
  <c r="AU347" i="5"/>
  <c r="AT347" i="5"/>
  <c r="AS347" i="5"/>
  <c r="AR347" i="5"/>
  <c r="AQ347" i="5"/>
  <c r="AP347" i="5"/>
  <c r="AO347" i="5"/>
  <c r="AN347" i="5"/>
  <c r="AM347" i="5"/>
  <c r="AL347" i="5"/>
  <c r="AK347" i="5"/>
  <c r="AJ347" i="5"/>
  <c r="AI347" i="5"/>
  <c r="AH347" i="5"/>
  <c r="AG347" i="5"/>
  <c r="AF347" i="5"/>
  <c r="AE347" i="5"/>
  <c r="AD347" i="5"/>
  <c r="AC347" i="5"/>
  <c r="AB347" i="5"/>
  <c r="AA347" i="5"/>
  <c r="Z347" i="5"/>
  <c r="Y347" i="5"/>
  <c r="X347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C342" i="5"/>
  <c r="BJ338" i="5"/>
  <c r="BI338" i="5"/>
  <c r="BH338" i="5"/>
  <c r="BG338" i="5"/>
  <c r="BF338" i="5"/>
  <c r="BE338" i="5"/>
  <c r="BD338" i="5"/>
  <c r="BC338" i="5"/>
  <c r="BB338" i="5"/>
  <c r="BA338" i="5"/>
  <c r="AZ338" i="5"/>
  <c r="AY338" i="5"/>
  <c r="AX338" i="5"/>
  <c r="AW338" i="5"/>
  <c r="AV338" i="5"/>
  <c r="AU338" i="5"/>
  <c r="AT338" i="5"/>
  <c r="AS338" i="5"/>
  <c r="AR338" i="5"/>
  <c r="AQ338" i="5"/>
  <c r="AP338" i="5"/>
  <c r="AO338" i="5"/>
  <c r="AN338" i="5"/>
  <c r="AM338" i="5"/>
  <c r="AL338" i="5"/>
  <c r="AK338" i="5"/>
  <c r="AJ338" i="5"/>
  <c r="AI338" i="5"/>
  <c r="AH338" i="5"/>
  <c r="AG338" i="5"/>
  <c r="AF338" i="5"/>
  <c r="AE338" i="5"/>
  <c r="AD338" i="5"/>
  <c r="AC338" i="5"/>
  <c r="AB338" i="5"/>
  <c r="AA338" i="5"/>
  <c r="Z338" i="5"/>
  <c r="Y338" i="5"/>
  <c r="X338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I253" i="2" s="1"/>
  <c r="G231" i="5"/>
  <c r="H253" i="2" s="1"/>
  <c r="F231" i="5"/>
  <c r="G253" i="2" s="1"/>
  <c r="E231" i="5"/>
  <c r="D231" i="5"/>
  <c r="C231" i="5"/>
  <c r="A231" i="5"/>
  <c r="BJ230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O121" i="2" s="1"/>
  <c r="M230" i="5"/>
  <c r="N121" i="2" s="1"/>
  <c r="L230" i="5"/>
  <c r="K230" i="5"/>
  <c r="J230" i="5"/>
  <c r="I230" i="5"/>
  <c r="H230" i="5"/>
  <c r="G230" i="5"/>
  <c r="F230" i="5"/>
  <c r="E230" i="5"/>
  <c r="D230" i="5"/>
  <c r="C230" i="5"/>
  <c r="A230" i="5"/>
  <c r="BJ229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A229" i="5"/>
  <c r="BJ228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L238" i="2" s="1"/>
  <c r="J228" i="5"/>
  <c r="K238" i="2" s="1"/>
  <c r="I228" i="5"/>
  <c r="J238" i="2" s="1"/>
  <c r="H228" i="5"/>
  <c r="G228" i="5"/>
  <c r="F228" i="5"/>
  <c r="E228" i="5"/>
  <c r="D228" i="5"/>
  <c r="C228" i="5"/>
  <c r="A228" i="5"/>
  <c r="BJ227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A227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A226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A225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A224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A223" i="5"/>
  <c r="BJ222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A222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A221" i="5"/>
  <c r="BJ220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A220" i="5"/>
  <c r="BJ219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A219" i="5"/>
  <c r="BJ218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A218" i="5"/>
  <c r="BJ217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AW217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A217" i="5"/>
  <c r="BJ216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A216" i="5"/>
  <c r="BJ215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A215" i="5"/>
  <c r="BJ214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A214" i="5"/>
  <c r="BJ213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A213" i="5"/>
  <c r="BJ212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K259" i="2" s="1"/>
  <c r="I212" i="5"/>
  <c r="J259" i="2" s="1"/>
  <c r="H212" i="5"/>
  <c r="I259" i="2" s="1"/>
  <c r="G212" i="5"/>
  <c r="H259" i="2" s="1"/>
  <c r="F212" i="5"/>
  <c r="E212" i="5"/>
  <c r="D212" i="5"/>
  <c r="C212" i="5"/>
  <c r="A212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G106" i="2" s="1"/>
  <c r="E211" i="5"/>
  <c r="F106" i="2" s="1"/>
  <c r="D211" i="5"/>
  <c r="C211" i="5"/>
  <c r="D106" i="2" s="1"/>
  <c r="A211" i="5"/>
  <c r="BJ210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A210" i="5"/>
  <c r="BJ209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M196" i="2" s="1"/>
  <c r="K209" i="5"/>
  <c r="J209" i="5"/>
  <c r="I209" i="5"/>
  <c r="H209" i="5"/>
  <c r="G209" i="5"/>
  <c r="F209" i="5"/>
  <c r="E209" i="5"/>
  <c r="D209" i="5"/>
  <c r="C209" i="5"/>
  <c r="A209" i="5"/>
  <c r="BJ208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A208" i="5"/>
  <c r="BJ207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AW207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A207" i="5"/>
  <c r="BJ206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A206" i="5"/>
  <c r="BJ205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A205" i="5"/>
  <c r="BJ204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M43" i="2" s="1"/>
  <c r="K204" i="5"/>
  <c r="L43" i="2" s="1"/>
  <c r="J204" i="5"/>
  <c r="I204" i="5"/>
  <c r="H204" i="5"/>
  <c r="G204" i="5"/>
  <c r="F204" i="5"/>
  <c r="E204" i="5"/>
  <c r="D204" i="5"/>
  <c r="C204" i="5"/>
  <c r="A204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A203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G247" i="2" s="1"/>
  <c r="E202" i="5"/>
  <c r="F247" i="2" s="1"/>
  <c r="D202" i="5"/>
  <c r="E247" i="2" s="1"/>
  <c r="C202" i="5"/>
  <c r="D247" i="2" s="1"/>
  <c r="A202" i="5"/>
  <c r="BJ201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A201" i="5"/>
  <c r="BJ200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A200" i="5"/>
  <c r="BJ199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A199" i="5"/>
  <c r="BJ198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A198" i="5"/>
  <c r="BJ197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F103" i="2" s="1"/>
  <c r="D197" i="5"/>
  <c r="E103" i="2" s="1"/>
  <c r="C197" i="5"/>
  <c r="D103" i="2" s="1"/>
  <c r="A197" i="5"/>
  <c r="BJ196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A196" i="5"/>
  <c r="BJ195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Q187" i="2" s="1"/>
  <c r="O195" i="5"/>
  <c r="P187" i="2" s="1"/>
  <c r="N195" i="5"/>
  <c r="O187" i="2" s="1"/>
  <c r="M195" i="5"/>
  <c r="N187" i="2" s="1"/>
  <c r="L195" i="5"/>
  <c r="M187" i="2" s="1"/>
  <c r="K195" i="5"/>
  <c r="L187" i="2" s="1"/>
  <c r="J195" i="5"/>
  <c r="K187" i="2" s="1"/>
  <c r="I195" i="5"/>
  <c r="H195" i="5"/>
  <c r="G195" i="5"/>
  <c r="F195" i="5"/>
  <c r="E195" i="5"/>
  <c r="D195" i="5"/>
  <c r="C195" i="5"/>
  <c r="A195" i="5"/>
  <c r="BJ194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K151" i="2" s="1"/>
  <c r="I194" i="5"/>
  <c r="J151" i="2" s="1"/>
  <c r="H194" i="5"/>
  <c r="I151" i="2" s="1"/>
  <c r="G194" i="5"/>
  <c r="H151" i="2" s="1"/>
  <c r="F194" i="5"/>
  <c r="G151" i="2" s="1"/>
  <c r="E194" i="5"/>
  <c r="F151" i="2" s="1"/>
  <c r="D194" i="5"/>
  <c r="E151" i="2" s="1"/>
  <c r="C194" i="5"/>
  <c r="D151" i="2" s="1"/>
  <c r="A194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K211" i="2" s="1"/>
  <c r="I193" i="5"/>
  <c r="J211" i="2" s="1"/>
  <c r="H193" i="5"/>
  <c r="I211" i="2" s="1"/>
  <c r="G193" i="5"/>
  <c r="H211" i="2" s="1"/>
  <c r="F193" i="5"/>
  <c r="G211" i="2" s="1"/>
  <c r="E193" i="5"/>
  <c r="D193" i="5"/>
  <c r="C193" i="5"/>
  <c r="A193" i="5"/>
  <c r="BJ192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A192" i="5"/>
  <c r="BJ191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A191" i="5"/>
  <c r="BJ190" i="5"/>
  <c r="BI190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V205" i="2" s="1"/>
  <c r="T190" i="5"/>
  <c r="U205" i="2" s="1"/>
  <c r="S190" i="5"/>
  <c r="T205" i="2" s="1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A190" i="5"/>
  <c r="BJ189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I31" i="2" s="1"/>
  <c r="G189" i="5"/>
  <c r="H31" i="2" s="1"/>
  <c r="F189" i="5"/>
  <c r="G31" i="2" s="1"/>
  <c r="E189" i="5"/>
  <c r="F31" i="2" s="1"/>
  <c r="D189" i="5"/>
  <c r="E31" i="2" s="1"/>
  <c r="C189" i="5"/>
  <c r="D31" i="2" s="1"/>
  <c r="A189" i="5"/>
  <c r="BJ188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L181" i="2" s="1"/>
  <c r="J188" i="5"/>
  <c r="K181" i="2" s="1"/>
  <c r="I188" i="5"/>
  <c r="J181" i="2" s="1"/>
  <c r="H188" i="5"/>
  <c r="I181" i="2" s="1"/>
  <c r="G188" i="5"/>
  <c r="H181" i="2" s="1"/>
  <c r="F188" i="5"/>
  <c r="G181" i="2" s="1"/>
  <c r="E188" i="5"/>
  <c r="D188" i="5"/>
  <c r="C188" i="5"/>
  <c r="A188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H28" i="2" s="1"/>
  <c r="F187" i="5"/>
  <c r="G28" i="2" s="1"/>
  <c r="E187" i="5"/>
  <c r="F28" i="2" s="1"/>
  <c r="D187" i="5"/>
  <c r="E28" i="2" s="1"/>
  <c r="C187" i="5"/>
  <c r="D28" i="2" s="1"/>
  <c r="A187" i="5"/>
  <c r="BJ186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O139" i="2" s="1"/>
  <c r="M186" i="5"/>
  <c r="N139" i="2" s="1"/>
  <c r="L186" i="5"/>
  <c r="M139" i="2" s="1"/>
  <c r="K186" i="5"/>
  <c r="J186" i="5"/>
  <c r="I186" i="5"/>
  <c r="H186" i="5"/>
  <c r="G186" i="5"/>
  <c r="F186" i="5"/>
  <c r="E186" i="5"/>
  <c r="D186" i="5"/>
  <c r="C186" i="5"/>
  <c r="A186" i="5"/>
  <c r="BJ185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Q148" i="2" s="1"/>
  <c r="O185" i="5"/>
  <c r="P148" i="2" s="1"/>
  <c r="N185" i="5"/>
  <c r="O148" i="2" s="1"/>
  <c r="M185" i="5"/>
  <c r="N148" i="2" s="1"/>
  <c r="L185" i="5"/>
  <c r="K185" i="5"/>
  <c r="L148" i="2" s="1"/>
  <c r="J185" i="5"/>
  <c r="I185" i="5"/>
  <c r="J148" i="2" s="1"/>
  <c r="H185" i="5"/>
  <c r="G185" i="5"/>
  <c r="F185" i="5"/>
  <c r="E185" i="5"/>
  <c r="D185" i="5"/>
  <c r="C185" i="5"/>
  <c r="A185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A184" i="5"/>
  <c r="BJ183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S97" i="2" s="1"/>
  <c r="Q183" i="5"/>
  <c r="R97" i="2" s="1"/>
  <c r="P183" i="5"/>
  <c r="Q97" i="2" s="1"/>
  <c r="O183" i="5"/>
  <c r="P97" i="2" s="1"/>
  <c r="N183" i="5"/>
  <c r="O97" i="2" s="1"/>
  <c r="M183" i="5"/>
  <c r="N97" i="2" s="1"/>
  <c r="L183" i="5"/>
  <c r="M97" i="2" s="1"/>
  <c r="K183" i="5"/>
  <c r="J183" i="5"/>
  <c r="K97" i="2" s="1"/>
  <c r="I183" i="5"/>
  <c r="H183" i="5"/>
  <c r="G183" i="5"/>
  <c r="F183" i="5"/>
  <c r="E183" i="5"/>
  <c r="D183" i="5"/>
  <c r="C183" i="5"/>
  <c r="A183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L25" i="2" s="1"/>
  <c r="J182" i="5"/>
  <c r="K25" i="2" s="1"/>
  <c r="I182" i="5"/>
  <c r="J25" i="2" s="1"/>
  <c r="H182" i="5"/>
  <c r="I25" i="2" s="1"/>
  <c r="G182" i="5"/>
  <c r="H25" i="2" s="1"/>
  <c r="F182" i="5"/>
  <c r="G25" i="2" s="1"/>
  <c r="E182" i="5"/>
  <c r="F25" i="2" s="1"/>
  <c r="D182" i="5"/>
  <c r="E25" i="2" s="1"/>
  <c r="C182" i="5"/>
  <c r="D25" i="2" s="1"/>
  <c r="A182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A181" i="5"/>
  <c r="BJ180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M262" i="2" s="1"/>
  <c r="K180" i="5"/>
  <c r="L262" i="2" s="1"/>
  <c r="J180" i="5"/>
  <c r="K262" i="2" s="1"/>
  <c r="I180" i="5"/>
  <c r="H180" i="5"/>
  <c r="G180" i="5"/>
  <c r="F180" i="5"/>
  <c r="E180" i="5"/>
  <c r="D180" i="5"/>
  <c r="C180" i="5"/>
  <c r="A180" i="5"/>
  <c r="BJ179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J256" i="2" s="1"/>
  <c r="H179" i="5"/>
  <c r="I256" i="2" s="1"/>
  <c r="G179" i="5"/>
  <c r="H256" i="2" s="1"/>
  <c r="F179" i="5"/>
  <c r="E179" i="5"/>
  <c r="D179" i="5"/>
  <c r="C179" i="5"/>
  <c r="A179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A178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A177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H208" i="2" s="1"/>
  <c r="F176" i="5"/>
  <c r="G208" i="2" s="1"/>
  <c r="E176" i="5"/>
  <c r="F208" i="2" s="1"/>
  <c r="D176" i="5"/>
  <c r="E208" i="2" s="1"/>
  <c r="C176" i="5"/>
  <c r="D208" i="2" s="1"/>
  <c r="A176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M154" i="2" s="1"/>
  <c r="K175" i="5"/>
  <c r="L154" i="2" s="1"/>
  <c r="J175" i="5"/>
  <c r="I175" i="5"/>
  <c r="J154" i="2" s="1"/>
  <c r="H175" i="5"/>
  <c r="G175" i="5"/>
  <c r="F175" i="5"/>
  <c r="E175" i="5"/>
  <c r="D175" i="5"/>
  <c r="C175" i="5"/>
  <c r="A175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A174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Q115" i="2" s="1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A173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A172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A171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A170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A169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A168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A167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A166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A165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A164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A163" i="5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A162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A161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A160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A159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A158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A157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M49" i="2" s="1"/>
  <c r="K156" i="5"/>
  <c r="J156" i="5"/>
  <c r="I156" i="5"/>
  <c r="H156" i="5"/>
  <c r="G156" i="5"/>
  <c r="F156" i="5"/>
  <c r="E156" i="5"/>
  <c r="D156" i="5"/>
  <c r="C156" i="5"/>
  <c r="A156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A155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A154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A153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A152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G157" i="2" s="1"/>
  <c r="E151" i="5"/>
  <c r="F157" i="2" s="1"/>
  <c r="D151" i="5"/>
  <c r="E157" i="2" s="1"/>
  <c r="C151" i="5"/>
  <c r="A151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M190" i="2" s="1"/>
  <c r="K150" i="5"/>
  <c r="L190" i="2" s="1"/>
  <c r="J150" i="5"/>
  <c r="I150" i="5"/>
  <c r="H150" i="5"/>
  <c r="G150" i="5"/>
  <c r="F150" i="5"/>
  <c r="E150" i="5"/>
  <c r="D150" i="5"/>
  <c r="C150" i="5"/>
  <c r="A150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A149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A148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A147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A146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A145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A144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N193" i="2" s="1"/>
  <c r="L143" i="5"/>
  <c r="M193" i="2" s="1"/>
  <c r="K143" i="5"/>
  <c r="J143" i="5"/>
  <c r="I143" i="5"/>
  <c r="H143" i="5"/>
  <c r="G143" i="5"/>
  <c r="F143" i="5"/>
  <c r="E143" i="5"/>
  <c r="D143" i="5"/>
  <c r="C143" i="5"/>
  <c r="A143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A142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A141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N46" i="2" s="1"/>
  <c r="L140" i="5"/>
  <c r="M46" i="2" s="1"/>
  <c r="K140" i="5"/>
  <c r="J140" i="5"/>
  <c r="I140" i="5"/>
  <c r="H140" i="5"/>
  <c r="G140" i="5"/>
  <c r="F140" i="5"/>
  <c r="E140" i="5"/>
  <c r="D140" i="5"/>
  <c r="C140" i="5"/>
  <c r="A140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T202" i="2" s="1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A139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A138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P52" i="2" s="1"/>
  <c r="N137" i="5"/>
  <c r="O52" i="2" s="1"/>
  <c r="M137" i="5"/>
  <c r="L137" i="5"/>
  <c r="K137" i="5"/>
  <c r="J137" i="5"/>
  <c r="I137" i="5"/>
  <c r="H137" i="5"/>
  <c r="G137" i="5"/>
  <c r="F137" i="5"/>
  <c r="E137" i="5"/>
  <c r="D137" i="5"/>
  <c r="C137" i="5"/>
  <c r="A137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D301" i="2" s="1"/>
  <c r="A136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O271" i="2" s="1"/>
  <c r="M135" i="5"/>
  <c r="L135" i="5"/>
  <c r="K135" i="5"/>
  <c r="J135" i="5"/>
  <c r="I135" i="5"/>
  <c r="H135" i="5"/>
  <c r="G135" i="5"/>
  <c r="F135" i="5"/>
  <c r="E135" i="5"/>
  <c r="D135" i="5"/>
  <c r="C135" i="5"/>
  <c r="A135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P199" i="2" s="1"/>
  <c r="N134" i="5"/>
  <c r="M134" i="5"/>
  <c r="L134" i="5"/>
  <c r="K134" i="5"/>
  <c r="J134" i="5"/>
  <c r="I134" i="5"/>
  <c r="H134" i="5"/>
  <c r="G134" i="5"/>
  <c r="F134" i="5"/>
  <c r="E134" i="5"/>
  <c r="D134" i="5"/>
  <c r="C134" i="5"/>
  <c r="A134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A133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A132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D129" i="5" s="1"/>
  <c r="C128" i="5"/>
  <c r="P124" i="5"/>
  <c r="E124" i="5"/>
  <c r="K123" i="5"/>
  <c r="J123" i="5"/>
  <c r="K122" i="5"/>
  <c r="J122" i="5"/>
  <c r="K121" i="5"/>
  <c r="J121" i="5"/>
  <c r="K120" i="5"/>
  <c r="J120" i="5"/>
  <c r="K119" i="5"/>
  <c r="J119" i="5"/>
  <c r="K118" i="5"/>
  <c r="J118" i="5"/>
  <c r="K117" i="5"/>
  <c r="J117" i="5"/>
  <c r="K116" i="5"/>
  <c r="J116" i="5"/>
  <c r="K115" i="5"/>
  <c r="J115" i="5"/>
  <c r="K114" i="5"/>
  <c r="J114" i="5"/>
  <c r="K113" i="5"/>
  <c r="J113" i="5"/>
  <c r="K112" i="5"/>
  <c r="J112" i="5"/>
  <c r="K111" i="5"/>
  <c r="J111" i="5"/>
  <c r="K110" i="5"/>
  <c r="J110" i="5"/>
  <c r="K109" i="5"/>
  <c r="J109" i="5"/>
  <c r="K108" i="5"/>
  <c r="J108" i="5"/>
  <c r="K107" i="5"/>
  <c r="J107" i="5"/>
  <c r="K106" i="5"/>
  <c r="J106" i="5"/>
  <c r="K105" i="5"/>
  <c r="J105" i="5"/>
  <c r="K104" i="5"/>
  <c r="J104" i="5"/>
  <c r="K103" i="5"/>
  <c r="J103" i="5"/>
  <c r="K102" i="5"/>
  <c r="J102" i="5"/>
  <c r="K101" i="5"/>
  <c r="J101" i="5"/>
  <c r="K100" i="5"/>
  <c r="J100" i="5"/>
  <c r="K99" i="5"/>
  <c r="J99" i="5"/>
  <c r="K98" i="5"/>
  <c r="J98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L84" i="5" s="1"/>
  <c r="L10" i="3" s="1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N8" i="5"/>
  <c r="N7" i="5"/>
  <c r="N6" i="5"/>
  <c r="N5" i="5"/>
  <c r="BJ356" i="4"/>
  <c r="BI356" i="4"/>
  <c r="BH356" i="4"/>
  <c r="BG356" i="4"/>
  <c r="BF356" i="4"/>
  <c r="BE356" i="4"/>
  <c r="BD356" i="4"/>
  <c r="BC356" i="4"/>
  <c r="BB356" i="4"/>
  <c r="BA356" i="4"/>
  <c r="AZ356" i="4"/>
  <c r="AY356" i="4"/>
  <c r="AX356" i="4"/>
  <c r="AW356" i="4"/>
  <c r="AV356" i="4"/>
  <c r="AU356" i="4"/>
  <c r="AT356" i="4"/>
  <c r="AS356" i="4"/>
  <c r="AR356" i="4"/>
  <c r="AQ356" i="4"/>
  <c r="AP356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K356" i="4"/>
  <c r="BJ347" i="4"/>
  <c r="BI347" i="4"/>
  <c r="BH347" i="4"/>
  <c r="BG347" i="4"/>
  <c r="BF347" i="4"/>
  <c r="BE347" i="4"/>
  <c r="BD347" i="4"/>
  <c r="BC347" i="4"/>
  <c r="BB347" i="4"/>
  <c r="BA347" i="4"/>
  <c r="AZ347" i="4"/>
  <c r="AY347" i="4"/>
  <c r="AX347" i="4"/>
  <c r="AW347" i="4"/>
  <c r="AV347" i="4"/>
  <c r="AU347" i="4"/>
  <c r="AT347" i="4"/>
  <c r="AS347" i="4"/>
  <c r="AR347" i="4"/>
  <c r="AQ347" i="4"/>
  <c r="AP347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C342" i="4"/>
  <c r="BJ338" i="4"/>
  <c r="BI338" i="4"/>
  <c r="BH338" i="4"/>
  <c r="BG338" i="4"/>
  <c r="BF338" i="4"/>
  <c r="BE338" i="4"/>
  <c r="BD338" i="4"/>
  <c r="BC338" i="4"/>
  <c r="BB338" i="4"/>
  <c r="BA338" i="4"/>
  <c r="AZ338" i="4"/>
  <c r="AY338" i="4"/>
  <c r="AX338" i="4"/>
  <c r="AW338" i="4"/>
  <c r="AV338" i="4"/>
  <c r="AU338" i="4"/>
  <c r="AT338" i="4"/>
  <c r="AS338" i="4"/>
  <c r="AR338" i="4"/>
  <c r="AQ338" i="4"/>
  <c r="AP338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U252" i="2" s="1"/>
  <c r="S231" i="4"/>
  <c r="T252" i="2" s="1"/>
  <c r="R231" i="4"/>
  <c r="S252" i="2" s="1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A231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J120" i="2" s="1"/>
  <c r="H230" i="4"/>
  <c r="I120" i="2" s="1"/>
  <c r="G230" i="4"/>
  <c r="F230" i="4"/>
  <c r="E230" i="4"/>
  <c r="D230" i="4"/>
  <c r="C230" i="4"/>
  <c r="A230" i="4"/>
  <c r="BJ229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A229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T237" i="2" s="1"/>
  <c r="R228" i="4"/>
  <c r="S237" i="2" s="1"/>
  <c r="Q228" i="4"/>
  <c r="R237" i="2" s="1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A228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E63" i="2" s="1"/>
  <c r="C227" i="4"/>
  <c r="A227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K144" i="2" s="1"/>
  <c r="I226" i="4"/>
  <c r="J144" i="2" s="1"/>
  <c r="H226" i="4"/>
  <c r="G226" i="4"/>
  <c r="F226" i="4"/>
  <c r="E226" i="4"/>
  <c r="D226" i="4"/>
  <c r="C226" i="4"/>
  <c r="A226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O177" i="2" s="1"/>
  <c r="M225" i="4"/>
  <c r="L225" i="4"/>
  <c r="K225" i="4"/>
  <c r="J225" i="4"/>
  <c r="I225" i="4"/>
  <c r="H225" i="4"/>
  <c r="G225" i="4"/>
  <c r="F225" i="4"/>
  <c r="E225" i="4"/>
  <c r="D225" i="4"/>
  <c r="C225" i="4"/>
  <c r="A225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U297" i="2" s="1"/>
  <c r="S224" i="4"/>
  <c r="T297" i="2" s="1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A224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O174" i="2" s="1"/>
  <c r="M223" i="4"/>
  <c r="L223" i="4"/>
  <c r="K223" i="4"/>
  <c r="J223" i="4"/>
  <c r="I223" i="4"/>
  <c r="H223" i="4"/>
  <c r="G223" i="4"/>
  <c r="F223" i="4"/>
  <c r="E223" i="4"/>
  <c r="D223" i="4"/>
  <c r="C223" i="4"/>
  <c r="A223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U249" i="2" s="1"/>
  <c r="S222" i="4"/>
  <c r="T249" i="2" s="1"/>
  <c r="R222" i="4"/>
  <c r="S249" i="2" s="1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A222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V291" i="2" s="1"/>
  <c r="T221" i="4"/>
  <c r="U291" i="2" s="1"/>
  <c r="S221" i="4"/>
  <c r="T291" i="2" s="1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A221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A220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U213" i="2" s="1"/>
  <c r="S219" i="4"/>
  <c r="T213" i="2" s="1"/>
  <c r="R219" i="4"/>
  <c r="S213" i="2" s="1"/>
  <c r="Q219" i="4"/>
  <c r="R213" i="2" s="1"/>
  <c r="P219" i="4"/>
  <c r="Q213" i="2" s="1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A219" i="4"/>
  <c r="BJ218" i="4"/>
  <c r="BI218" i="4"/>
  <c r="BH218" i="4"/>
  <c r="BG218" i="4"/>
  <c r="BF218" i="4"/>
  <c r="BE218" i="4"/>
  <c r="BD218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T288" i="2" s="1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A218" i="4"/>
  <c r="BJ217" i="4"/>
  <c r="BI217" i="4"/>
  <c r="BH217" i="4"/>
  <c r="BG217" i="4"/>
  <c r="BF217" i="4"/>
  <c r="BE217" i="4"/>
  <c r="BD217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S234" i="2" s="1"/>
  <c r="Q217" i="4"/>
  <c r="R234" i="2" s="1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A217" i="4"/>
  <c r="BJ216" i="4"/>
  <c r="BI216" i="4"/>
  <c r="BH216" i="4"/>
  <c r="BG216" i="4"/>
  <c r="BF216" i="4"/>
  <c r="BE216" i="4"/>
  <c r="BD216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V303" i="2" s="1"/>
  <c r="T216" i="4"/>
  <c r="U303" i="2" s="1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A216" i="4"/>
  <c r="BJ215" i="4"/>
  <c r="BI215" i="4"/>
  <c r="BH215" i="4"/>
  <c r="BG215" i="4"/>
  <c r="BF215" i="4"/>
  <c r="BE215" i="4"/>
  <c r="BD215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T222" i="2" s="1"/>
  <c r="R215" i="4"/>
  <c r="S222" i="2" s="1"/>
  <c r="Q215" i="4"/>
  <c r="R222" i="2" s="1"/>
  <c r="P215" i="4"/>
  <c r="Q222" i="2" s="1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A215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S228" i="2" s="1"/>
  <c r="Q214" i="4"/>
  <c r="R228" i="2" s="1"/>
  <c r="P214" i="4"/>
  <c r="Q228" i="2" s="1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A214" i="4"/>
  <c r="BJ213" i="4"/>
  <c r="BI213" i="4"/>
  <c r="BH213" i="4"/>
  <c r="BG213" i="4"/>
  <c r="BF213" i="4"/>
  <c r="BE213" i="4"/>
  <c r="BD213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V243" i="2" s="1"/>
  <c r="T213" i="4"/>
  <c r="U243" i="2" s="1"/>
  <c r="S213" i="4"/>
  <c r="T243" i="2" s="1"/>
  <c r="R213" i="4"/>
  <c r="S243" i="2" s="1"/>
  <c r="Q213" i="4"/>
  <c r="R243" i="2" s="1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A213" i="4"/>
  <c r="BJ212" i="4"/>
  <c r="BI212" i="4"/>
  <c r="BH212" i="4"/>
  <c r="BG212" i="4"/>
  <c r="BF212" i="4"/>
  <c r="BE212" i="4"/>
  <c r="BD212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V258" i="2" s="1"/>
  <c r="T212" i="4"/>
  <c r="U258" i="2" s="1"/>
  <c r="S212" i="4"/>
  <c r="T258" i="2" s="1"/>
  <c r="R212" i="4"/>
  <c r="S258" i="2" s="1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A212" i="4"/>
  <c r="BJ211" i="4"/>
  <c r="BI211" i="4"/>
  <c r="BH211" i="4"/>
  <c r="BG211" i="4"/>
  <c r="BF211" i="4"/>
  <c r="BE211" i="4"/>
  <c r="BD211" i="4"/>
  <c r="BC211" i="4"/>
  <c r="BB211" i="4"/>
  <c r="BA211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J105" i="2" s="1"/>
  <c r="H211" i="4"/>
  <c r="I105" i="2" s="1"/>
  <c r="G211" i="4"/>
  <c r="F211" i="4"/>
  <c r="G105" i="2" s="1"/>
  <c r="E211" i="4"/>
  <c r="D211" i="4"/>
  <c r="C211" i="4"/>
  <c r="A211" i="4"/>
  <c r="BJ210" i="4"/>
  <c r="BI210" i="4"/>
  <c r="BH210" i="4"/>
  <c r="BG210" i="4"/>
  <c r="BF210" i="4"/>
  <c r="BE210" i="4"/>
  <c r="BD210" i="4"/>
  <c r="BC210" i="4"/>
  <c r="BB210" i="4"/>
  <c r="BA210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G93" i="2" s="1"/>
  <c r="E210" i="4"/>
  <c r="F93" i="2" s="1"/>
  <c r="D210" i="4"/>
  <c r="E93" i="2" s="1"/>
  <c r="C210" i="4"/>
  <c r="A210" i="4"/>
  <c r="BJ209" i="4"/>
  <c r="BI209" i="4"/>
  <c r="BH209" i="4"/>
  <c r="BG209" i="4"/>
  <c r="BF209" i="4"/>
  <c r="BE209" i="4"/>
  <c r="BD209" i="4"/>
  <c r="BC209" i="4"/>
  <c r="BB209" i="4"/>
  <c r="BA209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O195" i="2" s="1"/>
  <c r="M209" i="4"/>
  <c r="L209" i="4"/>
  <c r="K209" i="4"/>
  <c r="J209" i="4"/>
  <c r="I209" i="4"/>
  <c r="H209" i="4"/>
  <c r="G209" i="4"/>
  <c r="F209" i="4"/>
  <c r="E209" i="4"/>
  <c r="D209" i="4"/>
  <c r="C209" i="4"/>
  <c r="A209" i="4"/>
  <c r="BJ208" i="4"/>
  <c r="BI208" i="4"/>
  <c r="BH208" i="4"/>
  <c r="BG208" i="4"/>
  <c r="BF208" i="4"/>
  <c r="BE208" i="4"/>
  <c r="BD208" i="4"/>
  <c r="BC208" i="4"/>
  <c r="BB208" i="4"/>
  <c r="BA208" i="4"/>
  <c r="AZ208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V285" i="2" s="1"/>
  <c r="T208" i="4"/>
  <c r="U285" i="2" s="1"/>
  <c r="S208" i="4"/>
  <c r="T285" i="2" s="1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A208" i="4"/>
  <c r="BJ207" i="4"/>
  <c r="BI207" i="4"/>
  <c r="BH207" i="4"/>
  <c r="BG207" i="4"/>
  <c r="BF207" i="4"/>
  <c r="BE207" i="4"/>
  <c r="BD207" i="4"/>
  <c r="BC207" i="4"/>
  <c r="BB207" i="4"/>
  <c r="BA207" i="4"/>
  <c r="AZ207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P162" i="2" s="1"/>
  <c r="N207" i="4"/>
  <c r="O162" i="2" s="1"/>
  <c r="M207" i="4"/>
  <c r="N162" i="2" s="1"/>
  <c r="L207" i="4"/>
  <c r="K207" i="4"/>
  <c r="J207" i="4"/>
  <c r="I207" i="4"/>
  <c r="H207" i="4"/>
  <c r="G207" i="4"/>
  <c r="F207" i="4"/>
  <c r="E207" i="4"/>
  <c r="D207" i="4"/>
  <c r="C207" i="4"/>
  <c r="A207" i="4"/>
  <c r="BJ206" i="4"/>
  <c r="BI206" i="4"/>
  <c r="BH206" i="4"/>
  <c r="BG206" i="4"/>
  <c r="BF206" i="4"/>
  <c r="BE206" i="4"/>
  <c r="BD206" i="4"/>
  <c r="BC206" i="4"/>
  <c r="BB206" i="4"/>
  <c r="BA206" i="4"/>
  <c r="AZ206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G66" i="2" s="1"/>
  <c r="E206" i="4"/>
  <c r="F66" i="2" s="1"/>
  <c r="D206" i="4"/>
  <c r="E66" i="2" s="1"/>
  <c r="C206" i="4"/>
  <c r="A206" i="4"/>
  <c r="BJ205" i="4"/>
  <c r="BI205" i="4"/>
  <c r="BH205" i="4"/>
  <c r="BG205" i="4"/>
  <c r="BF205" i="4"/>
  <c r="BE205" i="4"/>
  <c r="BD205" i="4"/>
  <c r="BC205" i="4"/>
  <c r="BB205" i="4"/>
  <c r="BA205" i="4"/>
  <c r="AZ205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E33" i="2" s="1"/>
  <c r="C205" i="4"/>
  <c r="A205" i="4"/>
  <c r="BJ204" i="4"/>
  <c r="BI204" i="4"/>
  <c r="BH204" i="4"/>
  <c r="BG204" i="4"/>
  <c r="BF204" i="4"/>
  <c r="BE204" i="4"/>
  <c r="BD204" i="4"/>
  <c r="BC204" i="4"/>
  <c r="BB204" i="4"/>
  <c r="BA204" i="4"/>
  <c r="AZ204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E42" i="2" s="1"/>
  <c r="C204" i="4"/>
  <c r="A204" i="4"/>
  <c r="BJ203" i="4"/>
  <c r="BI203" i="4"/>
  <c r="BH203" i="4"/>
  <c r="BG203" i="4"/>
  <c r="BF203" i="4"/>
  <c r="BE203" i="4"/>
  <c r="BD203" i="4"/>
  <c r="BC203" i="4"/>
  <c r="BB203" i="4"/>
  <c r="BA203" i="4"/>
  <c r="AZ203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A203" i="4"/>
  <c r="BJ202" i="4"/>
  <c r="BI202" i="4"/>
  <c r="BH202" i="4"/>
  <c r="BG202" i="4"/>
  <c r="BF202" i="4"/>
  <c r="BE202" i="4"/>
  <c r="BD202" i="4"/>
  <c r="BC202" i="4"/>
  <c r="BB202" i="4"/>
  <c r="BA202" i="4"/>
  <c r="AZ202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V246" i="2" s="1"/>
  <c r="T202" i="4"/>
  <c r="U246" i="2" s="1"/>
  <c r="S202" i="4"/>
  <c r="T246" i="2" s="1"/>
  <c r="R202" i="4"/>
  <c r="S246" i="2" s="1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A202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V219" i="2" s="1"/>
  <c r="T201" i="4"/>
  <c r="U219" i="2" s="1"/>
  <c r="S201" i="4"/>
  <c r="T219" i="2" s="1"/>
  <c r="R201" i="4"/>
  <c r="S219" i="2" s="1"/>
  <c r="Q201" i="4"/>
  <c r="R219" i="2" s="1"/>
  <c r="P201" i="4"/>
  <c r="Q219" i="2" s="1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A201" i="4"/>
  <c r="BJ200" i="4"/>
  <c r="BI200" i="4"/>
  <c r="BH200" i="4"/>
  <c r="BG200" i="4"/>
  <c r="BF200" i="4"/>
  <c r="BE200" i="4"/>
  <c r="BD200" i="4"/>
  <c r="BC200" i="4"/>
  <c r="BB200" i="4"/>
  <c r="BA200" i="4"/>
  <c r="AZ200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A200" i="4"/>
  <c r="BJ199" i="4"/>
  <c r="BI199" i="4"/>
  <c r="BH199" i="4"/>
  <c r="BG199" i="4"/>
  <c r="BF199" i="4"/>
  <c r="BE199" i="4"/>
  <c r="BD199" i="4"/>
  <c r="BC199" i="4"/>
  <c r="BB199" i="4"/>
  <c r="BA199" i="4"/>
  <c r="AZ199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A199" i="4"/>
  <c r="BJ198" i="4"/>
  <c r="BI198" i="4"/>
  <c r="BH198" i="4"/>
  <c r="BG198" i="4"/>
  <c r="BF198" i="4"/>
  <c r="BE198" i="4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U264" i="2" s="1"/>
  <c r="S198" i="4"/>
  <c r="T264" i="2" s="1"/>
  <c r="R198" i="4"/>
  <c r="S264" i="2" s="1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A198" i="4"/>
  <c r="BJ197" i="4"/>
  <c r="BI197" i="4"/>
  <c r="BH197" i="4"/>
  <c r="BG197" i="4"/>
  <c r="BF197" i="4"/>
  <c r="BE197" i="4"/>
  <c r="BD197" i="4"/>
  <c r="BC197" i="4"/>
  <c r="BB197" i="4"/>
  <c r="BA197" i="4"/>
  <c r="AZ197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A197" i="4"/>
  <c r="BJ196" i="4"/>
  <c r="BI196" i="4"/>
  <c r="BH196" i="4"/>
  <c r="BG196" i="4"/>
  <c r="BF196" i="4"/>
  <c r="BE196" i="4"/>
  <c r="BD196" i="4"/>
  <c r="BC196" i="4"/>
  <c r="BB196" i="4"/>
  <c r="BA196" i="4"/>
  <c r="AZ196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A196" i="4"/>
  <c r="BJ195" i="4"/>
  <c r="BI195" i="4"/>
  <c r="BH195" i="4"/>
  <c r="BG195" i="4"/>
  <c r="BF195" i="4"/>
  <c r="BE195" i="4"/>
  <c r="BD195" i="4"/>
  <c r="BC195" i="4"/>
  <c r="BB195" i="4"/>
  <c r="BA195" i="4"/>
  <c r="AZ195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A195" i="4"/>
  <c r="BJ194" i="4"/>
  <c r="BI194" i="4"/>
  <c r="BH194" i="4"/>
  <c r="BG194" i="4"/>
  <c r="BF194" i="4"/>
  <c r="BE194" i="4"/>
  <c r="BD194" i="4"/>
  <c r="BC194" i="4"/>
  <c r="BB194" i="4"/>
  <c r="BA194" i="4"/>
  <c r="AZ194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T150" i="2" s="1"/>
  <c r="R194" i="4"/>
  <c r="S150" i="2" s="1"/>
  <c r="Q194" i="4"/>
  <c r="R150" i="2" s="1"/>
  <c r="P194" i="4"/>
  <c r="Q150" i="2" s="1"/>
  <c r="O194" i="4"/>
  <c r="P150" i="2" s="1"/>
  <c r="N194" i="4"/>
  <c r="O150" i="2" s="1"/>
  <c r="M194" i="4"/>
  <c r="N150" i="2" s="1"/>
  <c r="L194" i="4"/>
  <c r="M150" i="2" s="1"/>
  <c r="K194" i="4"/>
  <c r="J194" i="4"/>
  <c r="I194" i="4"/>
  <c r="H194" i="4"/>
  <c r="G194" i="4"/>
  <c r="F194" i="4"/>
  <c r="E194" i="4"/>
  <c r="D194" i="4"/>
  <c r="C194" i="4"/>
  <c r="A194" i="4"/>
  <c r="BJ193" i="4"/>
  <c r="BI193" i="4"/>
  <c r="BH193" i="4"/>
  <c r="BG193" i="4"/>
  <c r="BF193" i="4"/>
  <c r="BE193" i="4"/>
  <c r="BD193" i="4"/>
  <c r="BC193" i="4"/>
  <c r="BB193" i="4"/>
  <c r="BA193" i="4"/>
  <c r="AZ193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U210" i="2" s="1"/>
  <c r="S193" i="4"/>
  <c r="T210" i="2" s="1"/>
  <c r="R193" i="4"/>
  <c r="S210" i="2" s="1"/>
  <c r="Q193" i="4"/>
  <c r="R210" i="2" s="1"/>
  <c r="P193" i="4"/>
  <c r="Q210" i="2" s="1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A193" i="4"/>
  <c r="BJ192" i="4"/>
  <c r="BI192" i="4"/>
  <c r="BH192" i="4"/>
  <c r="BG192" i="4"/>
  <c r="BF192" i="4"/>
  <c r="BE192" i="4"/>
  <c r="BD192" i="4"/>
  <c r="BC192" i="4"/>
  <c r="BB192" i="4"/>
  <c r="BA192" i="4"/>
  <c r="AZ192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A192" i="4"/>
  <c r="BJ191" i="4"/>
  <c r="BI191" i="4"/>
  <c r="BH191" i="4"/>
  <c r="BG191" i="4"/>
  <c r="BF191" i="4"/>
  <c r="BE191" i="4"/>
  <c r="BD191" i="4"/>
  <c r="BC191" i="4"/>
  <c r="BB191" i="4"/>
  <c r="BA191" i="4"/>
  <c r="AZ191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A191" i="4"/>
  <c r="BJ190" i="4"/>
  <c r="BI190" i="4"/>
  <c r="BH190" i="4"/>
  <c r="BG190" i="4"/>
  <c r="BF190" i="4"/>
  <c r="BE190" i="4"/>
  <c r="BD190" i="4"/>
  <c r="BC190" i="4"/>
  <c r="BB190" i="4"/>
  <c r="BA190" i="4"/>
  <c r="AZ190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Q204" i="2" s="1"/>
  <c r="O190" i="4"/>
  <c r="P204" i="2" s="1"/>
  <c r="N190" i="4"/>
  <c r="O204" i="2" s="1"/>
  <c r="M190" i="4"/>
  <c r="L190" i="4"/>
  <c r="K190" i="4"/>
  <c r="J190" i="4"/>
  <c r="I190" i="4"/>
  <c r="H190" i="4"/>
  <c r="G190" i="4"/>
  <c r="F190" i="4"/>
  <c r="E190" i="4"/>
  <c r="D190" i="4"/>
  <c r="C190" i="4"/>
  <c r="A190" i="4"/>
  <c r="BJ189" i="4"/>
  <c r="BI189" i="4"/>
  <c r="BH189" i="4"/>
  <c r="BG189" i="4"/>
  <c r="BF189" i="4"/>
  <c r="BE189" i="4"/>
  <c r="BD189" i="4"/>
  <c r="BC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A189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A188" i="4"/>
  <c r="BJ187" i="4"/>
  <c r="BI187" i="4"/>
  <c r="BH187" i="4"/>
  <c r="BG187" i="4"/>
  <c r="BF187" i="4"/>
  <c r="BE187" i="4"/>
  <c r="BD187" i="4"/>
  <c r="BC187" i="4"/>
  <c r="BB187" i="4"/>
  <c r="BA187" i="4"/>
  <c r="AZ187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A187" i="4"/>
  <c r="BJ186" i="4"/>
  <c r="BI186" i="4"/>
  <c r="BH186" i="4"/>
  <c r="BG186" i="4"/>
  <c r="BF186" i="4"/>
  <c r="BE186" i="4"/>
  <c r="BD186" i="4"/>
  <c r="BC186" i="4"/>
  <c r="BB186" i="4"/>
  <c r="BA186" i="4"/>
  <c r="AZ186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L138" i="2" s="1"/>
  <c r="J186" i="4"/>
  <c r="K138" i="2" s="1"/>
  <c r="I186" i="4"/>
  <c r="J138" i="2" s="1"/>
  <c r="H186" i="4"/>
  <c r="G186" i="4"/>
  <c r="F186" i="4"/>
  <c r="E186" i="4"/>
  <c r="D186" i="4"/>
  <c r="C186" i="4"/>
  <c r="A186" i="4"/>
  <c r="BJ185" i="4"/>
  <c r="BI185" i="4"/>
  <c r="BH185" i="4"/>
  <c r="BG185" i="4"/>
  <c r="BF185" i="4"/>
  <c r="BE185" i="4"/>
  <c r="BD185" i="4"/>
  <c r="BC185" i="4"/>
  <c r="BB185" i="4"/>
  <c r="BA185" i="4"/>
  <c r="AZ185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R147" i="2" s="1"/>
  <c r="P185" i="4"/>
  <c r="Q147" i="2" s="1"/>
  <c r="O185" i="4"/>
  <c r="P147" i="2" s="1"/>
  <c r="N185" i="4"/>
  <c r="O147" i="2" s="1"/>
  <c r="M185" i="4"/>
  <c r="L185" i="4"/>
  <c r="M147" i="2" s="1"/>
  <c r="K185" i="4"/>
  <c r="J185" i="4"/>
  <c r="K147" i="2" s="1"/>
  <c r="I185" i="4"/>
  <c r="H185" i="4"/>
  <c r="G185" i="4"/>
  <c r="F185" i="4"/>
  <c r="E185" i="4"/>
  <c r="D185" i="4"/>
  <c r="C185" i="4"/>
  <c r="A185" i="4"/>
  <c r="BJ184" i="4"/>
  <c r="BI184" i="4"/>
  <c r="BH184" i="4"/>
  <c r="BG184" i="4"/>
  <c r="BF184" i="4"/>
  <c r="BE184" i="4"/>
  <c r="BD184" i="4"/>
  <c r="BC184" i="4"/>
  <c r="BB184" i="4"/>
  <c r="BA184" i="4"/>
  <c r="AZ184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A184" i="4"/>
  <c r="BJ183" i="4"/>
  <c r="BI183" i="4"/>
  <c r="BH183" i="4"/>
  <c r="BG183" i="4"/>
  <c r="BF183" i="4"/>
  <c r="BE183" i="4"/>
  <c r="BD183" i="4"/>
  <c r="BC183" i="4"/>
  <c r="BB183" i="4"/>
  <c r="BA183" i="4"/>
  <c r="AZ183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N96" i="2" s="1"/>
  <c r="L183" i="4"/>
  <c r="M96" i="2" s="1"/>
  <c r="K183" i="4"/>
  <c r="L96" i="2" s="1"/>
  <c r="J183" i="4"/>
  <c r="K96" i="2" s="1"/>
  <c r="I183" i="4"/>
  <c r="J96" i="2" s="1"/>
  <c r="H183" i="4"/>
  <c r="I96" i="2" s="1"/>
  <c r="G183" i="4"/>
  <c r="H96" i="2" s="1"/>
  <c r="F183" i="4"/>
  <c r="E183" i="4"/>
  <c r="F96" i="2" s="1"/>
  <c r="D183" i="4"/>
  <c r="C183" i="4"/>
  <c r="A183" i="4"/>
  <c r="BJ182" i="4"/>
  <c r="BI182" i="4"/>
  <c r="BH182" i="4"/>
  <c r="BG182" i="4"/>
  <c r="BF182" i="4"/>
  <c r="BE182" i="4"/>
  <c r="BD182" i="4"/>
  <c r="BC182" i="4"/>
  <c r="BB182" i="4"/>
  <c r="BA182" i="4"/>
  <c r="AZ182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A182" i="4"/>
  <c r="BJ181" i="4"/>
  <c r="BI181" i="4"/>
  <c r="BH181" i="4"/>
  <c r="BG181" i="4"/>
  <c r="BF181" i="4"/>
  <c r="BE181" i="4"/>
  <c r="BD181" i="4"/>
  <c r="BC181" i="4"/>
  <c r="BB181" i="4"/>
  <c r="BA181" i="4"/>
  <c r="AZ181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V294" i="2" s="1"/>
  <c r="T181" i="4"/>
  <c r="U294" i="2" s="1"/>
  <c r="S181" i="4"/>
  <c r="T294" i="2" s="1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A181" i="4"/>
  <c r="BJ180" i="4"/>
  <c r="BI180" i="4"/>
  <c r="BH180" i="4"/>
  <c r="BG180" i="4"/>
  <c r="BF180" i="4"/>
  <c r="BE180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U261" i="2" s="1"/>
  <c r="S180" i="4"/>
  <c r="T261" i="2" s="1"/>
  <c r="R180" i="4"/>
  <c r="S261" i="2" s="1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A180" i="4"/>
  <c r="BJ179" i="4"/>
  <c r="BI179" i="4"/>
  <c r="BH179" i="4"/>
  <c r="BG179" i="4"/>
  <c r="BF179" i="4"/>
  <c r="BE179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U255" i="2" s="1"/>
  <c r="S179" i="4"/>
  <c r="T255" i="2" s="1"/>
  <c r="R179" i="4"/>
  <c r="S255" i="2" s="1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A179" i="4"/>
  <c r="BJ178" i="4"/>
  <c r="BI178" i="4"/>
  <c r="BH178" i="4"/>
  <c r="BG178" i="4"/>
  <c r="BF178" i="4"/>
  <c r="BE178" i="4"/>
  <c r="BD178" i="4"/>
  <c r="BC178" i="4"/>
  <c r="BB178" i="4"/>
  <c r="BA178" i="4"/>
  <c r="AZ178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A178" i="4"/>
  <c r="BJ177" i="4"/>
  <c r="BI177" i="4"/>
  <c r="BH177" i="4"/>
  <c r="BG177" i="4"/>
  <c r="BF177" i="4"/>
  <c r="BE177" i="4"/>
  <c r="BD177" i="4"/>
  <c r="BC177" i="4"/>
  <c r="BB177" i="4"/>
  <c r="BA177" i="4"/>
  <c r="AZ177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S276" i="2" s="1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A177" i="4"/>
  <c r="BJ176" i="4"/>
  <c r="BI176" i="4"/>
  <c r="BH176" i="4"/>
  <c r="BG176" i="4"/>
  <c r="BF176" i="4"/>
  <c r="BE176" i="4"/>
  <c r="BD176" i="4"/>
  <c r="BC176" i="4"/>
  <c r="BB176" i="4"/>
  <c r="BA176" i="4"/>
  <c r="AZ176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T207" i="2" s="1"/>
  <c r="R176" i="4"/>
  <c r="S207" i="2" s="1"/>
  <c r="Q176" i="4"/>
  <c r="R207" i="2" s="1"/>
  <c r="P176" i="4"/>
  <c r="Q207" i="2" s="1"/>
  <c r="O176" i="4"/>
  <c r="P207" i="2" s="1"/>
  <c r="N176" i="4"/>
  <c r="M176" i="4"/>
  <c r="L176" i="4"/>
  <c r="K176" i="4"/>
  <c r="J176" i="4"/>
  <c r="I176" i="4"/>
  <c r="H176" i="4"/>
  <c r="G176" i="4"/>
  <c r="F176" i="4"/>
  <c r="E176" i="4"/>
  <c r="D176" i="4"/>
  <c r="C176" i="4"/>
  <c r="A176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P153" i="2" s="1"/>
  <c r="N175" i="4"/>
  <c r="O153" i="2" s="1"/>
  <c r="M175" i="4"/>
  <c r="L175" i="4"/>
  <c r="M153" i="2" s="1"/>
  <c r="K175" i="4"/>
  <c r="J175" i="4"/>
  <c r="I175" i="4"/>
  <c r="H175" i="4"/>
  <c r="G175" i="4"/>
  <c r="F175" i="4"/>
  <c r="E175" i="4"/>
  <c r="D175" i="4"/>
  <c r="C175" i="4"/>
  <c r="A175" i="4"/>
  <c r="BJ174" i="4"/>
  <c r="BI174" i="4"/>
  <c r="BH174" i="4"/>
  <c r="BG174" i="4"/>
  <c r="BF174" i="4"/>
  <c r="BE174" i="4"/>
  <c r="BD174" i="4"/>
  <c r="BC174" i="4"/>
  <c r="BB174" i="4"/>
  <c r="BA174" i="4"/>
  <c r="AZ174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J111" i="2" s="1"/>
  <c r="H174" i="4"/>
  <c r="I111" i="2" s="1"/>
  <c r="G174" i="4"/>
  <c r="H111" i="2" s="1"/>
  <c r="F174" i="4"/>
  <c r="E174" i="4"/>
  <c r="D174" i="4"/>
  <c r="C174" i="4"/>
  <c r="A174" i="4"/>
  <c r="BJ173" i="4"/>
  <c r="BI173" i="4"/>
  <c r="BH173" i="4"/>
  <c r="BG173" i="4"/>
  <c r="BF173" i="4"/>
  <c r="BE173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J114" i="2" s="1"/>
  <c r="H173" i="4"/>
  <c r="I114" i="2" s="1"/>
  <c r="G173" i="4"/>
  <c r="H114" i="2" s="1"/>
  <c r="F173" i="4"/>
  <c r="E173" i="4"/>
  <c r="D173" i="4"/>
  <c r="C173" i="4"/>
  <c r="A173" i="4"/>
  <c r="BJ172" i="4"/>
  <c r="BI172" i="4"/>
  <c r="BH172" i="4"/>
  <c r="BG172" i="4"/>
  <c r="BF172" i="4"/>
  <c r="BE172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D75" i="2" s="1"/>
  <c r="A172" i="4"/>
  <c r="BJ171" i="4"/>
  <c r="BI171" i="4"/>
  <c r="BH171" i="4"/>
  <c r="BG171" i="4"/>
  <c r="BF171" i="4"/>
  <c r="BE171" i="4"/>
  <c r="BD171" i="4"/>
  <c r="BC171" i="4"/>
  <c r="BB171" i="4"/>
  <c r="BA171" i="4"/>
  <c r="AZ171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L132" i="2" s="1"/>
  <c r="J171" i="4"/>
  <c r="K132" i="2" s="1"/>
  <c r="I171" i="4"/>
  <c r="J132" i="2" s="1"/>
  <c r="H171" i="4"/>
  <c r="G171" i="4"/>
  <c r="F171" i="4"/>
  <c r="E171" i="4"/>
  <c r="D171" i="4"/>
  <c r="C171" i="4"/>
  <c r="A171" i="4"/>
  <c r="BJ170" i="4"/>
  <c r="BI170" i="4"/>
  <c r="BH170" i="4"/>
  <c r="BG170" i="4"/>
  <c r="BF170" i="4"/>
  <c r="BE170" i="4"/>
  <c r="BD170" i="4"/>
  <c r="BC170" i="4"/>
  <c r="BB170" i="4"/>
  <c r="BA170" i="4"/>
  <c r="AZ170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I126" i="2" s="1"/>
  <c r="G170" i="4"/>
  <c r="F170" i="4"/>
  <c r="E170" i="4"/>
  <c r="D170" i="4"/>
  <c r="C170" i="4"/>
  <c r="A170" i="4"/>
  <c r="BJ169" i="4"/>
  <c r="BI169" i="4"/>
  <c r="BH169" i="4"/>
  <c r="BG169" i="4"/>
  <c r="BF169" i="4"/>
  <c r="BE169" i="4"/>
  <c r="BD169" i="4"/>
  <c r="BC169" i="4"/>
  <c r="BB169" i="4"/>
  <c r="BA169" i="4"/>
  <c r="AZ169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V99" i="2" s="1"/>
  <c r="T169" i="4"/>
  <c r="U99" i="2" s="1"/>
  <c r="S169" i="4"/>
  <c r="T99" i="2" s="1"/>
  <c r="R169" i="4"/>
  <c r="S99" i="2" s="1"/>
  <c r="Q169" i="4"/>
  <c r="R99" i="2" s="1"/>
  <c r="P169" i="4"/>
  <c r="Q99" i="2" s="1"/>
  <c r="O169" i="4"/>
  <c r="P99" i="2" s="1"/>
  <c r="N169" i="4"/>
  <c r="O99" i="2" s="1"/>
  <c r="M169" i="4"/>
  <c r="N99" i="2" s="1"/>
  <c r="L169" i="4"/>
  <c r="M99" i="2" s="1"/>
  <c r="K169" i="4"/>
  <c r="L99" i="2" s="1"/>
  <c r="J169" i="4"/>
  <c r="K99" i="2" s="1"/>
  <c r="I169" i="4"/>
  <c r="J99" i="2" s="1"/>
  <c r="H169" i="4"/>
  <c r="I99" i="2" s="1"/>
  <c r="G169" i="4"/>
  <c r="H99" i="2" s="1"/>
  <c r="F169" i="4"/>
  <c r="G99" i="2" s="1"/>
  <c r="E169" i="4"/>
  <c r="D169" i="4"/>
  <c r="C169" i="4"/>
  <c r="A169" i="4"/>
  <c r="BJ168" i="4"/>
  <c r="BI168" i="4"/>
  <c r="BH168" i="4"/>
  <c r="BG168" i="4"/>
  <c r="BF168" i="4"/>
  <c r="BE168" i="4"/>
  <c r="BD168" i="4"/>
  <c r="BC168" i="4"/>
  <c r="BB168" i="4"/>
  <c r="BA168" i="4"/>
  <c r="AZ168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V240" i="2" s="1"/>
  <c r="T168" i="4"/>
  <c r="U240" i="2" s="1"/>
  <c r="S168" i="4"/>
  <c r="T240" i="2" s="1"/>
  <c r="R168" i="4"/>
  <c r="S240" i="2" s="1"/>
  <c r="Q168" i="4"/>
  <c r="R240" i="2" s="1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A168" i="4"/>
  <c r="BJ167" i="4"/>
  <c r="BI167" i="4"/>
  <c r="BH167" i="4"/>
  <c r="BG167" i="4"/>
  <c r="BF167" i="4"/>
  <c r="BE167" i="4"/>
  <c r="BD167" i="4"/>
  <c r="BC167" i="4"/>
  <c r="BB167" i="4"/>
  <c r="BA167" i="4"/>
  <c r="AZ167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E21" i="2" s="1"/>
  <c r="C167" i="4"/>
  <c r="D21" i="2" s="1"/>
  <c r="A167" i="4"/>
  <c r="BJ166" i="4"/>
  <c r="BI166" i="4"/>
  <c r="BH166" i="4"/>
  <c r="BG166" i="4"/>
  <c r="BF166" i="4"/>
  <c r="BE166" i="4"/>
  <c r="BD166" i="4"/>
  <c r="BC166" i="4"/>
  <c r="BB166" i="4"/>
  <c r="BA166" i="4"/>
  <c r="AZ166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S267" i="2" s="1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A166" i="4"/>
  <c r="BJ165" i="4"/>
  <c r="BI165" i="4"/>
  <c r="BH165" i="4"/>
  <c r="BG165" i="4"/>
  <c r="BF165" i="4"/>
  <c r="BE165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T225" i="2" s="1"/>
  <c r="R165" i="4"/>
  <c r="S225" i="2" s="1"/>
  <c r="Q165" i="4"/>
  <c r="R225" i="2" s="1"/>
  <c r="P165" i="4"/>
  <c r="Q225" i="2" s="1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A165" i="4"/>
  <c r="BJ164" i="4"/>
  <c r="BI164" i="4"/>
  <c r="BH164" i="4"/>
  <c r="BG164" i="4"/>
  <c r="BF164" i="4"/>
  <c r="BE164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A164" i="4"/>
  <c r="BJ163" i="4"/>
  <c r="BI163" i="4"/>
  <c r="BH163" i="4"/>
  <c r="BG163" i="4"/>
  <c r="BF163" i="4"/>
  <c r="BE163" i="4"/>
  <c r="BD163" i="4"/>
  <c r="BC163" i="4"/>
  <c r="BB163" i="4"/>
  <c r="BA163" i="4"/>
  <c r="AZ163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P171" i="2" s="1"/>
  <c r="N163" i="4"/>
  <c r="O171" i="2" s="1"/>
  <c r="M163" i="4"/>
  <c r="L163" i="4"/>
  <c r="K163" i="4"/>
  <c r="J163" i="4"/>
  <c r="I163" i="4"/>
  <c r="H163" i="4"/>
  <c r="G163" i="4"/>
  <c r="F163" i="4"/>
  <c r="E163" i="4"/>
  <c r="D163" i="4"/>
  <c r="C163" i="4"/>
  <c r="A163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T273" i="2" s="1"/>
  <c r="R162" i="4"/>
  <c r="S273" i="2" s="1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A162" i="4"/>
  <c r="BJ161" i="4"/>
  <c r="BI161" i="4"/>
  <c r="BH161" i="4"/>
  <c r="BG161" i="4"/>
  <c r="BF161" i="4"/>
  <c r="BE161" i="4"/>
  <c r="BD161" i="4"/>
  <c r="BC161" i="4"/>
  <c r="BB161" i="4"/>
  <c r="BA161" i="4"/>
  <c r="AZ161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N141" i="2" s="1"/>
  <c r="L161" i="4"/>
  <c r="M141" i="2" s="1"/>
  <c r="K161" i="4"/>
  <c r="L141" i="2" s="1"/>
  <c r="J161" i="4"/>
  <c r="K141" i="2" s="1"/>
  <c r="I161" i="4"/>
  <c r="J141" i="2" s="1"/>
  <c r="H161" i="4"/>
  <c r="G161" i="4"/>
  <c r="F161" i="4"/>
  <c r="E161" i="4"/>
  <c r="D161" i="4"/>
  <c r="C161" i="4"/>
  <c r="A161" i="4"/>
  <c r="BJ160" i="4"/>
  <c r="BI160" i="4"/>
  <c r="BH160" i="4"/>
  <c r="BG160" i="4"/>
  <c r="BF160" i="4"/>
  <c r="BE160" i="4"/>
  <c r="BD160" i="4"/>
  <c r="BC160" i="4"/>
  <c r="BB160" i="4"/>
  <c r="BA160" i="4"/>
  <c r="AZ160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L90" i="2" s="1"/>
  <c r="J160" i="4"/>
  <c r="K90" i="2" s="1"/>
  <c r="I160" i="4"/>
  <c r="J90" i="2" s="1"/>
  <c r="H160" i="4"/>
  <c r="I90" i="2" s="1"/>
  <c r="G160" i="4"/>
  <c r="H90" i="2" s="1"/>
  <c r="F160" i="4"/>
  <c r="G90" i="2" s="1"/>
  <c r="E160" i="4"/>
  <c r="F90" i="2" s="1"/>
  <c r="D160" i="4"/>
  <c r="E90" i="2" s="1"/>
  <c r="C160" i="4"/>
  <c r="A160" i="4"/>
  <c r="BJ159" i="4"/>
  <c r="BI159" i="4"/>
  <c r="BH159" i="4"/>
  <c r="BG159" i="4"/>
  <c r="BF159" i="4"/>
  <c r="BE159" i="4"/>
  <c r="BD159" i="4"/>
  <c r="BC159" i="4"/>
  <c r="BB159" i="4"/>
  <c r="BA159" i="4"/>
  <c r="AZ159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E84" i="2" s="1"/>
  <c r="C159" i="4"/>
  <c r="D84" i="2" s="1"/>
  <c r="A159" i="4"/>
  <c r="BJ158" i="4"/>
  <c r="BI158" i="4"/>
  <c r="BH158" i="4"/>
  <c r="BG158" i="4"/>
  <c r="BF158" i="4"/>
  <c r="BE158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P183" i="2" s="1"/>
  <c r="N158" i="4"/>
  <c r="O183" i="2" s="1"/>
  <c r="M158" i="4"/>
  <c r="L158" i="4"/>
  <c r="K158" i="4"/>
  <c r="J158" i="4"/>
  <c r="I158" i="4"/>
  <c r="H158" i="4"/>
  <c r="G158" i="4"/>
  <c r="F158" i="4"/>
  <c r="E158" i="4"/>
  <c r="D158" i="4"/>
  <c r="C158" i="4"/>
  <c r="A158" i="4"/>
  <c r="BJ157" i="4"/>
  <c r="BI157" i="4"/>
  <c r="BH157" i="4"/>
  <c r="BG157" i="4"/>
  <c r="BF157" i="4"/>
  <c r="BE157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D39" i="2" s="1"/>
  <c r="A157" i="4"/>
  <c r="BJ156" i="4"/>
  <c r="BI156" i="4"/>
  <c r="BH156" i="4"/>
  <c r="BG156" i="4"/>
  <c r="BF156" i="4"/>
  <c r="BE156" i="4"/>
  <c r="BD156" i="4"/>
  <c r="BC156" i="4"/>
  <c r="BB156" i="4"/>
  <c r="BA156" i="4"/>
  <c r="AZ156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D48" i="2" s="1"/>
  <c r="A156" i="4"/>
  <c r="BJ155" i="4"/>
  <c r="BI155" i="4"/>
  <c r="BH155" i="4"/>
  <c r="BG155" i="4"/>
  <c r="BF155" i="4"/>
  <c r="BE155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I123" i="2" s="1"/>
  <c r="G155" i="4"/>
  <c r="F155" i="4"/>
  <c r="E155" i="4"/>
  <c r="D155" i="4"/>
  <c r="C155" i="4"/>
  <c r="A155" i="4"/>
  <c r="BJ154" i="4"/>
  <c r="BI154" i="4"/>
  <c r="BH154" i="4"/>
  <c r="BG154" i="4"/>
  <c r="BF154" i="4"/>
  <c r="BE154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J117" i="2" s="1"/>
  <c r="H154" i="4"/>
  <c r="I117" i="2" s="1"/>
  <c r="G154" i="4"/>
  <c r="F154" i="4"/>
  <c r="E154" i="4"/>
  <c r="D154" i="4"/>
  <c r="C154" i="4"/>
  <c r="A154" i="4"/>
  <c r="BJ153" i="4"/>
  <c r="BI153" i="4"/>
  <c r="BH153" i="4"/>
  <c r="BG153" i="4"/>
  <c r="BF153" i="4"/>
  <c r="BE153" i="4"/>
  <c r="BD153" i="4"/>
  <c r="BC153" i="4"/>
  <c r="BB153" i="4"/>
  <c r="BA153" i="4"/>
  <c r="AZ153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U282" i="2" s="1"/>
  <c r="S153" i="4"/>
  <c r="T282" i="2" s="1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A153" i="4"/>
  <c r="BJ152" i="4"/>
  <c r="BI152" i="4"/>
  <c r="BH152" i="4"/>
  <c r="BG152" i="4"/>
  <c r="BF152" i="4"/>
  <c r="BE152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U279" i="2" s="1"/>
  <c r="S152" i="4"/>
  <c r="T279" i="2" s="1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A152" i="4"/>
  <c r="BJ151" i="4"/>
  <c r="BI151" i="4"/>
  <c r="BH151" i="4"/>
  <c r="BG151" i="4"/>
  <c r="BF151" i="4"/>
  <c r="BE151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Q156" i="2" s="1"/>
  <c r="O151" i="4"/>
  <c r="P156" i="2" s="1"/>
  <c r="N151" i="4"/>
  <c r="O156" i="2" s="1"/>
  <c r="M151" i="4"/>
  <c r="N156" i="2" s="1"/>
  <c r="L151" i="4"/>
  <c r="K151" i="4"/>
  <c r="J151" i="4"/>
  <c r="I151" i="4"/>
  <c r="H151" i="4"/>
  <c r="G151" i="4"/>
  <c r="F151" i="4"/>
  <c r="E151" i="4"/>
  <c r="D151" i="4"/>
  <c r="C151" i="4"/>
  <c r="A151" i="4"/>
  <c r="BJ150" i="4"/>
  <c r="BI150" i="4"/>
  <c r="BH150" i="4"/>
  <c r="BG150" i="4"/>
  <c r="BF150" i="4"/>
  <c r="BE150" i="4"/>
  <c r="BD150" i="4"/>
  <c r="BC150" i="4"/>
  <c r="BB150" i="4"/>
  <c r="BA150" i="4"/>
  <c r="AZ150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P189" i="2" s="1"/>
  <c r="N150" i="4"/>
  <c r="O189" i="2" s="1"/>
  <c r="M150" i="4"/>
  <c r="L150" i="4"/>
  <c r="K150" i="4"/>
  <c r="J150" i="4"/>
  <c r="I150" i="4"/>
  <c r="H150" i="4"/>
  <c r="G150" i="4"/>
  <c r="F150" i="4"/>
  <c r="E150" i="4"/>
  <c r="D150" i="4"/>
  <c r="C150" i="4"/>
  <c r="A150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E81" i="2" s="1"/>
  <c r="C149" i="4"/>
  <c r="D81" i="2" s="1"/>
  <c r="A149" i="4"/>
  <c r="BJ148" i="4"/>
  <c r="BI148" i="4"/>
  <c r="BH148" i="4"/>
  <c r="BG148" i="4"/>
  <c r="BF148" i="4"/>
  <c r="BE148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F18" i="2" s="1"/>
  <c r="D148" i="4"/>
  <c r="E18" i="2" s="1"/>
  <c r="C148" i="4"/>
  <c r="D18" i="2" s="1"/>
  <c r="A148" i="4"/>
  <c r="BJ147" i="4"/>
  <c r="BI147" i="4"/>
  <c r="BH147" i="4"/>
  <c r="BG147" i="4"/>
  <c r="BF147" i="4"/>
  <c r="BE147" i="4"/>
  <c r="BD147" i="4"/>
  <c r="BC147" i="4"/>
  <c r="BB147" i="4"/>
  <c r="BA147" i="4"/>
  <c r="AZ147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K135" i="2" s="1"/>
  <c r="I147" i="4"/>
  <c r="J135" i="2" s="1"/>
  <c r="H147" i="4"/>
  <c r="G147" i="4"/>
  <c r="F147" i="4"/>
  <c r="E147" i="4"/>
  <c r="D147" i="4"/>
  <c r="C147" i="4"/>
  <c r="A147" i="4"/>
  <c r="BJ146" i="4"/>
  <c r="BI146" i="4"/>
  <c r="BH146" i="4"/>
  <c r="BG146" i="4"/>
  <c r="BF146" i="4"/>
  <c r="BE146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E15" i="2" s="1"/>
  <c r="C146" i="4"/>
  <c r="D15" i="2" s="1"/>
  <c r="A146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J129" i="2" s="1"/>
  <c r="H145" i="4"/>
  <c r="I129" i="2" s="1"/>
  <c r="G145" i="4"/>
  <c r="F145" i="4"/>
  <c r="E145" i="4"/>
  <c r="D145" i="4"/>
  <c r="C145" i="4"/>
  <c r="A145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D12" i="2" s="1"/>
  <c r="A144" i="4"/>
  <c r="BJ143" i="4"/>
  <c r="BI143" i="4"/>
  <c r="BH143" i="4"/>
  <c r="BG143" i="4"/>
  <c r="BF143" i="4"/>
  <c r="BE143" i="4"/>
  <c r="BD143" i="4"/>
  <c r="BC143" i="4"/>
  <c r="BB143" i="4"/>
  <c r="BA143" i="4"/>
  <c r="AZ143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P192" i="2" s="1"/>
  <c r="N143" i="4"/>
  <c r="O192" i="2" s="1"/>
  <c r="M143" i="4"/>
  <c r="L143" i="4"/>
  <c r="K143" i="4"/>
  <c r="J143" i="4"/>
  <c r="I143" i="4"/>
  <c r="H143" i="4"/>
  <c r="G143" i="4"/>
  <c r="F143" i="4"/>
  <c r="E143" i="4"/>
  <c r="D143" i="4"/>
  <c r="C143" i="4"/>
  <c r="A143" i="4"/>
  <c r="BJ142" i="4"/>
  <c r="BI142" i="4"/>
  <c r="BH142" i="4"/>
  <c r="BG142" i="4"/>
  <c r="BF142" i="4"/>
  <c r="BE142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O168" i="2" s="1"/>
  <c r="M142" i="4"/>
  <c r="L142" i="4"/>
  <c r="K142" i="4"/>
  <c r="J142" i="4"/>
  <c r="I142" i="4"/>
  <c r="H142" i="4"/>
  <c r="G142" i="4"/>
  <c r="F142" i="4"/>
  <c r="E142" i="4"/>
  <c r="D142" i="4"/>
  <c r="C142" i="4"/>
  <c r="A142" i="4"/>
  <c r="BJ141" i="4"/>
  <c r="BI141" i="4"/>
  <c r="BH141" i="4"/>
  <c r="BG141" i="4"/>
  <c r="BF141" i="4"/>
  <c r="BE141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E9" i="2" s="1"/>
  <c r="C141" i="4"/>
  <c r="D9" i="2" s="1"/>
  <c r="A141" i="4"/>
  <c r="BJ140" i="4"/>
  <c r="BI140" i="4"/>
  <c r="BH140" i="4"/>
  <c r="BG140" i="4"/>
  <c r="BF140" i="4"/>
  <c r="BE140" i="4"/>
  <c r="BD140" i="4"/>
  <c r="BC140" i="4"/>
  <c r="BB140" i="4"/>
  <c r="BA140" i="4"/>
  <c r="AZ140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E45" i="2" s="1"/>
  <c r="C140" i="4"/>
  <c r="D45" i="2" s="1"/>
  <c r="A140" i="4"/>
  <c r="BJ139" i="4"/>
  <c r="BI139" i="4"/>
  <c r="BH139" i="4"/>
  <c r="BG139" i="4"/>
  <c r="BF139" i="4"/>
  <c r="BE139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O201" i="2" s="1"/>
  <c r="M139" i="4"/>
  <c r="L139" i="4"/>
  <c r="K139" i="4"/>
  <c r="J139" i="4"/>
  <c r="I139" i="4"/>
  <c r="H139" i="4"/>
  <c r="G139" i="4"/>
  <c r="F139" i="4"/>
  <c r="E139" i="4"/>
  <c r="D139" i="4"/>
  <c r="C139" i="4"/>
  <c r="A139" i="4"/>
  <c r="BJ138" i="4"/>
  <c r="BI138" i="4"/>
  <c r="BH138" i="4"/>
  <c r="BG138" i="4"/>
  <c r="BF138" i="4"/>
  <c r="BE138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O165" i="2" s="1"/>
  <c r="M138" i="4"/>
  <c r="L138" i="4"/>
  <c r="K138" i="4"/>
  <c r="J138" i="4"/>
  <c r="I138" i="4"/>
  <c r="H138" i="4"/>
  <c r="G138" i="4"/>
  <c r="F138" i="4"/>
  <c r="E138" i="4"/>
  <c r="D138" i="4"/>
  <c r="C138" i="4"/>
  <c r="A138" i="4"/>
  <c r="BJ137" i="4"/>
  <c r="BI137" i="4"/>
  <c r="BH137" i="4"/>
  <c r="BG137" i="4"/>
  <c r="BF137" i="4"/>
  <c r="BE137" i="4"/>
  <c r="BD137" i="4"/>
  <c r="BC137" i="4"/>
  <c r="BB137" i="4"/>
  <c r="BA137" i="4"/>
  <c r="AZ137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E51" i="2" s="1"/>
  <c r="C137" i="4"/>
  <c r="D51" i="2" s="1"/>
  <c r="A137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U300" i="2" s="1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136" i="4"/>
  <c r="BJ135" i="4"/>
  <c r="BI135" i="4"/>
  <c r="BH135" i="4"/>
  <c r="BG135" i="4"/>
  <c r="BF135" i="4"/>
  <c r="BE135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S270" i="2" s="1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A135" i="4"/>
  <c r="BJ134" i="4"/>
  <c r="BI134" i="4"/>
  <c r="BH134" i="4"/>
  <c r="BG134" i="4"/>
  <c r="BF134" i="4"/>
  <c r="BE134" i="4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O198" i="2" s="1"/>
  <c r="M134" i="4"/>
  <c r="L134" i="4"/>
  <c r="K134" i="4"/>
  <c r="J134" i="4"/>
  <c r="I134" i="4"/>
  <c r="H134" i="4"/>
  <c r="G134" i="4"/>
  <c r="F134" i="4"/>
  <c r="E134" i="4"/>
  <c r="D134" i="4"/>
  <c r="C134" i="4"/>
  <c r="A134" i="4"/>
  <c r="BJ133" i="4"/>
  <c r="BI133" i="4"/>
  <c r="BH133" i="4"/>
  <c r="BG133" i="4"/>
  <c r="BF133" i="4"/>
  <c r="BE133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E6" i="2" s="1"/>
  <c r="C133" i="4"/>
  <c r="D6" i="2" s="1"/>
  <c r="A133" i="4"/>
  <c r="BJ132" i="4"/>
  <c r="BI132" i="4"/>
  <c r="BH132" i="4"/>
  <c r="BG132" i="4"/>
  <c r="BF132" i="4"/>
  <c r="BE132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I60" i="2" s="1"/>
  <c r="G132" i="4"/>
  <c r="H60" i="2" s="1"/>
  <c r="F132" i="4"/>
  <c r="G60" i="2" s="1"/>
  <c r="E132" i="4"/>
  <c r="F60" i="2" s="1"/>
  <c r="D132" i="4"/>
  <c r="E60" i="2" s="1"/>
  <c r="C132" i="4"/>
  <c r="D60" i="2" s="1"/>
  <c r="A132" i="4"/>
  <c r="BJ128" i="4"/>
  <c r="BI128" i="4"/>
  <c r="BH128" i="4"/>
  <c r="BG128" i="4"/>
  <c r="BF128" i="4"/>
  <c r="BE128" i="4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D129" i="4" s="1"/>
  <c r="C128" i="4"/>
  <c r="P124" i="4"/>
  <c r="E124" i="4"/>
  <c r="K123" i="4"/>
  <c r="J123" i="4"/>
  <c r="K122" i="4"/>
  <c r="J122" i="4"/>
  <c r="K121" i="4"/>
  <c r="J121" i="4"/>
  <c r="K120" i="4"/>
  <c r="J120" i="4"/>
  <c r="K119" i="4"/>
  <c r="J119" i="4"/>
  <c r="K118" i="4"/>
  <c r="J118" i="4"/>
  <c r="K117" i="4"/>
  <c r="J117" i="4"/>
  <c r="K116" i="4"/>
  <c r="J116" i="4"/>
  <c r="K115" i="4"/>
  <c r="J115" i="4"/>
  <c r="K114" i="4"/>
  <c r="J114" i="4"/>
  <c r="K113" i="4"/>
  <c r="J113" i="4"/>
  <c r="K112" i="4"/>
  <c r="J112" i="4"/>
  <c r="K111" i="4"/>
  <c r="J111" i="4"/>
  <c r="K110" i="4"/>
  <c r="J110" i="4"/>
  <c r="K109" i="4"/>
  <c r="J109" i="4"/>
  <c r="K108" i="4"/>
  <c r="J108" i="4"/>
  <c r="K107" i="4"/>
  <c r="J107" i="4"/>
  <c r="K106" i="4"/>
  <c r="J106" i="4"/>
  <c r="K105" i="4"/>
  <c r="J105" i="4"/>
  <c r="K104" i="4"/>
  <c r="J104" i="4"/>
  <c r="K103" i="4"/>
  <c r="J103" i="4"/>
  <c r="K102" i="4"/>
  <c r="J102" i="4"/>
  <c r="K101" i="4"/>
  <c r="J101" i="4"/>
  <c r="K100" i="4"/>
  <c r="J100" i="4"/>
  <c r="K99" i="4"/>
  <c r="J99" i="4"/>
  <c r="K98" i="4"/>
  <c r="J98" i="4"/>
  <c r="K97" i="4"/>
  <c r="J97" i="4"/>
  <c r="K96" i="4"/>
  <c r="J96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B14" i="4"/>
  <c r="B8" i="1" s="1"/>
  <c r="N8" i="4"/>
  <c r="N7" i="4"/>
  <c r="N6" i="4"/>
  <c r="N5" i="4"/>
  <c r="P104" i="3"/>
  <c r="Q104" i="3" s="1"/>
  <c r="H104" i="3"/>
  <c r="I104" i="3" s="1"/>
  <c r="O104" i="3" s="1"/>
  <c r="G104" i="3"/>
  <c r="F104" i="3"/>
  <c r="N104" i="3" s="1"/>
  <c r="E104" i="3"/>
  <c r="D104" i="3"/>
  <c r="C104" i="3"/>
  <c r="B104" i="3"/>
  <c r="A104" i="3"/>
  <c r="P103" i="3"/>
  <c r="Q103" i="3" s="1"/>
  <c r="H103" i="3"/>
  <c r="I103" i="3" s="1"/>
  <c r="O103" i="3" s="1"/>
  <c r="G103" i="3"/>
  <c r="F103" i="3"/>
  <c r="N103" i="3" s="1"/>
  <c r="E103" i="3"/>
  <c r="D103" i="3"/>
  <c r="C103" i="3"/>
  <c r="B103" i="3"/>
  <c r="A103" i="3"/>
  <c r="P102" i="3"/>
  <c r="H102" i="3"/>
  <c r="I102" i="3" s="1"/>
  <c r="O102" i="3" s="1"/>
  <c r="G102" i="3"/>
  <c r="F102" i="3"/>
  <c r="N102" i="3" s="1"/>
  <c r="E102" i="3"/>
  <c r="D102" i="3"/>
  <c r="C102" i="3"/>
  <c r="B102" i="3"/>
  <c r="A102" i="3"/>
  <c r="P101" i="3"/>
  <c r="Q101" i="3" s="1"/>
  <c r="H101" i="3"/>
  <c r="I101" i="3" s="1"/>
  <c r="O101" i="3" s="1"/>
  <c r="G101" i="3"/>
  <c r="F101" i="3"/>
  <c r="N101" i="3" s="1"/>
  <c r="E101" i="3"/>
  <c r="D101" i="3"/>
  <c r="C101" i="3"/>
  <c r="B101" i="3"/>
  <c r="A101" i="3"/>
  <c r="P100" i="3"/>
  <c r="H100" i="3"/>
  <c r="I100" i="3" s="1"/>
  <c r="O100" i="3" s="1"/>
  <c r="G100" i="3"/>
  <c r="F100" i="3"/>
  <c r="N100" i="3" s="1"/>
  <c r="E100" i="3"/>
  <c r="D100" i="3"/>
  <c r="C100" i="3"/>
  <c r="B100" i="3"/>
  <c r="A100" i="3"/>
  <c r="P99" i="3"/>
  <c r="Q99" i="3" s="1"/>
  <c r="H99" i="3"/>
  <c r="I99" i="3" s="1"/>
  <c r="O99" i="3" s="1"/>
  <c r="G99" i="3"/>
  <c r="F99" i="3"/>
  <c r="N99" i="3" s="1"/>
  <c r="E99" i="3"/>
  <c r="D99" i="3"/>
  <c r="C99" i="3"/>
  <c r="B99" i="3"/>
  <c r="A99" i="3"/>
  <c r="P98" i="3"/>
  <c r="Q98" i="3" s="1"/>
  <c r="H98" i="3"/>
  <c r="I98" i="3" s="1"/>
  <c r="O98" i="3" s="1"/>
  <c r="G98" i="3"/>
  <c r="F98" i="3"/>
  <c r="N98" i="3" s="1"/>
  <c r="E98" i="3"/>
  <c r="D98" i="3"/>
  <c r="C98" i="3"/>
  <c r="B98" i="3"/>
  <c r="A98" i="3"/>
  <c r="P97" i="3"/>
  <c r="Q97" i="3" s="1"/>
  <c r="H97" i="3"/>
  <c r="I97" i="3" s="1"/>
  <c r="O97" i="3" s="1"/>
  <c r="G97" i="3"/>
  <c r="F97" i="3"/>
  <c r="N97" i="3" s="1"/>
  <c r="E97" i="3"/>
  <c r="D97" i="3"/>
  <c r="C97" i="3"/>
  <c r="B97" i="3"/>
  <c r="A97" i="3"/>
  <c r="P96" i="3"/>
  <c r="H96" i="3"/>
  <c r="I96" i="3" s="1"/>
  <c r="O96" i="3" s="1"/>
  <c r="G96" i="3"/>
  <c r="F96" i="3"/>
  <c r="N96" i="3" s="1"/>
  <c r="E96" i="3"/>
  <c r="D96" i="3"/>
  <c r="C96" i="3"/>
  <c r="B96" i="3"/>
  <c r="A96" i="3"/>
  <c r="P95" i="3"/>
  <c r="Q95" i="3" s="1"/>
  <c r="H95" i="3"/>
  <c r="I95" i="3" s="1"/>
  <c r="O95" i="3" s="1"/>
  <c r="G95" i="3"/>
  <c r="F95" i="3"/>
  <c r="N95" i="3" s="1"/>
  <c r="E95" i="3"/>
  <c r="D95" i="3"/>
  <c r="C95" i="3"/>
  <c r="B95" i="3"/>
  <c r="A95" i="3"/>
  <c r="P94" i="3"/>
  <c r="H94" i="3"/>
  <c r="G94" i="3"/>
  <c r="F94" i="3"/>
  <c r="N94" i="3" s="1"/>
  <c r="E94" i="3"/>
  <c r="D94" i="3"/>
  <c r="C94" i="3"/>
  <c r="B94" i="3"/>
  <c r="A94" i="3"/>
  <c r="P93" i="3"/>
  <c r="H93" i="3"/>
  <c r="I93" i="3" s="1"/>
  <c r="O93" i="3" s="1"/>
  <c r="G93" i="3"/>
  <c r="F93" i="3"/>
  <c r="N93" i="3" s="1"/>
  <c r="E93" i="3"/>
  <c r="D93" i="3"/>
  <c r="C93" i="3"/>
  <c r="B93" i="3"/>
  <c r="A93" i="3"/>
  <c r="P92" i="3"/>
  <c r="H92" i="3"/>
  <c r="G92" i="3"/>
  <c r="F92" i="3"/>
  <c r="N92" i="3" s="1"/>
  <c r="E92" i="3"/>
  <c r="D92" i="3"/>
  <c r="C92" i="3"/>
  <c r="B92" i="3"/>
  <c r="A92" i="3"/>
  <c r="P91" i="3"/>
  <c r="H91" i="3"/>
  <c r="I91" i="3" s="1"/>
  <c r="O91" i="3" s="1"/>
  <c r="G91" i="3"/>
  <c r="F91" i="3"/>
  <c r="N91" i="3" s="1"/>
  <c r="E91" i="3"/>
  <c r="D91" i="3"/>
  <c r="C91" i="3"/>
  <c r="B91" i="3"/>
  <c r="A91" i="3"/>
  <c r="P90" i="3"/>
  <c r="Q90" i="3" s="1"/>
  <c r="H90" i="3"/>
  <c r="I90" i="3" s="1"/>
  <c r="O90" i="3" s="1"/>
  <c r="G90" i="3"/>
  <c r="F90" i="3"/>
  <c r="N90" i="3" s="1"/>
  <c r="E90" i="3"/>
  <c r="D90" i="3"/>
  <c r="C90" i="3"/>
  <c r="B90" i="3"/>
  <c r="A90" i="3"/>
  <c r="P89" i="3"/>
  <c r="Q89" i="3" s="1"/>
  <c r="H89" i="3"/>
  <c r="I89" i="3" s="1"/>
  <c r="O89" i="3" s="1"/>
  <c r="G89" i="3"/>
  <c r="F89" i="3"/>
  <c r="N89" i="3" s="1"/>
  <c r="E89" i="3"/>
  <c r="D89" i="3"/>
  <c r="C89" i="3"/>
  <c r="B89" i="3"/>
  <c r="A89" i="3"/>
  <c r="P88" i="3"/>
  <c r="H88" i="3"/>
  <c r="I88" i="3" s="1"/>
  <c r="O88" i="3" s="1"/>
  <c r="G88" i="3"/>
  <c r="F88" i="3"/>
  <c r="N88" i="3" s="1"/>
  <c r="E88" i="3"/>
  <c r="D88" i="3"/>
  <c r="C88" i="3"/>
  <c r="B88" i="3"/>
  <c r="A88" i="3"/>
  <c r="P87" i="3"/>
  <c r="Q87" i="3" s="1"/>
  <c r="H87" i="3"/>
  <c r="I87" i="3" s="1"/>
  <c r="O87" i="3" s="1"/>
  <c r="G87" i="3"/>
  <c r="F87" i="3"/>
  <c r="N87" i="3" s="1"/>
  <c r="E87" i="3"/>
  <c r="D87" i="3"/>
  <c r="C87" i="3"/>
  <c r="B87" i="3"/>
  <c r="A87" i="3"/>
  <c r="P86" i="3"/>
  <c r="Q86" i="3" s="1"/>
  <c r="H86" i="3"/>
  <c r="I86" i="3" s="1"/>
  <c r="O86" i="3" s="1"/>
  <c r="G86" i="3"/>
  <c r="F86" i="3"/>
  <c r="N86" i="3" s="1"/>
  <c r="E86" i="3"/>
  <c r="D86" i="3"/>
  <c r="C86" i="3"/>
  <c r="B86" i="3"/>
  <c r="A86" i="3"/>
  <c r="P85" i="3"/>
  <c r="Q85" i="3" s="1"/>
  <c r="H85" i="3"/>
  <c r="I85" i="3" s="1"/>
  <c r="O85" i="3" s="1"/>
  <c r="G85" i="3"/>
  <c r="F85" i="3"/>
  <c r="N85" i="3" s="1"/>
  <c r="E85" i="3"/>
  <c r="D85" i="3"/>
  <c r="C85" i="3"/>
  <c r="B85" i="3"/>
  <c r="A85" i="3"/>
  <c r="P84" i="3"/>
  <c r="H84" i="3"/>
  <c r="I84" i="3" s="1"/>
  <c r="O84" i="3" s="1"/>
  <c r="G84" i="3"/>
  <c r="F84" i="3"/>
  <c r="N84" i="3" s="1"/>
  <c r="E84" i="3"/>
  <c r="D84" i="3"/>
  <c r="C84" i="3"/>
  <c r="B84" i="3"/>
  <c r="A84" i="3"/>
  <c r="P83" i="3"/>
  <c r="Q83" i="3" s="1"/>
  <c r="H83" i="3"/>
  <c r="I83" i="3" s="1"/>
  <c r="O83" i="3" s="1"/>
  <c r="G83" i="3"/>
  <c r="F83" i="3"/>
  <c r="N83" i="3" s="1"/>
  <c r="E83" i="3"/>
  <c r="D83" i="3"/>
  <c r="C83" i="3"/>
  <c r="B83" i="3"/>
  <c r="A83" i="3"/>
  <c r="P82" i="3"/>
  <c r="Q82" i="3" s="1"/>
  <c r="H82" i="3"/>
  <c r="I82" i="3" s="1"/>
  <c r="O82" i="3" s="1"/>
  <c r="G82" i="3"/>
  <c r="F82" i="3"/>
  <c r="N82" i="3" s="1"/>
  <c r="E82" i="3"/>
  <c r="D82" i="3"/>
  <c r="C82" i="3"/>
  <c r="B82" i="3"/>
  <c r="A82" i="3"/>
  <c r="P81" i="3"/>
  <c r="Q81" i="3" s="1"/>
  <c r="H81" i="3"/>
  <c r="I81" i="3" s="1"/>
  <c r="O81" i="3" s="1"/>
  <c r="G81" i="3"/>
  <c r="F81" i="3"/>
  <c r="N81" i="3" s="1"/>
  <c r="E81" i="3"/>
  <c r="D81" i="3"/>
  <c r="C81" i="3"/>
  <c r="B81" i="3"/>
  <c r="A81" i="3"/>
  <c r="P80" i="3"/>
  <c r="H80" i="3"/>
  <c r="I80" i="3" s="1"/>
  <c r="O80" i="3" s="1"/>
  <c r="G80" i="3"/>
  <c r="Q80" i="3" s="1"/>
  <c r="F80" i="3"/>
  <c r="N80" i="3" s="1"/>
  <c r="E80" i="3"/>
  <c r="D80" i="3"/>
  <c r="C80" i="3"/>
  <c r="B80" i="3"/>
  <c r="A80" i="3"/>
  <c r="P79" i="3"/>
  <c r="H79" i="3"/>
  <c r="I79" i="3" s="1"/>
  <c r="O79" i="3" s="1"/>
  <c r="G79" i="3"/>
  <c r="F79" i="3"/>
  <c r="N79" i="3" s="1"/>
  <c r="E79" i="3"/>
  <c r="D79" i="3"/>
  <c r="C79" i="3"/>
  <c r="B79" i="3"/>
  <c r="A79" i="3"/>
  <c r="P78" i="3"/>
  <c r="H78" i="3"/>
  <c r="G78" i="3"/>
  <c r="F78" i="3"/>
  <c r="N78" i="3" s="1"/>
  <c r="E78" i="3"/>
  <c r="D78" i="3"/>
  <c r="C78" i="3"/>
  <c r="B78" i="3"/>
  <c r="A78" i="3"/>
  <c r="P77" i="3"/>
  <c r="H77" i="3"/>
  <c r="I77" i="3" s="1"/>
  <c r="O77" i="3" s="1"/>
  <c r="G77" i="3"/>
  <c r="F77" i="3"/>
  <c r="N77" i="3" s="1"/>
  <c r="E77" i="3"/>
  <c r="D77" i="3"/>
  <c r="C77" i="3"/>
  <c r="B77" i="3"/>
  <c r="A77" i="3"/>
  <c r="P76" i="3"/>
  <c r="H76" i="3"/>
  <c r="G76" i="3"/>
  <c r="F76" i="3"/>
  <c r="N76" i="3" s="1"/>
  <c r="E76" i="3"/>
  <c r="D76" i="3"/>
  <c r="C76" i="3"/>
  <c r="B76" i="3"/>
  <c r="A76" i="3"/>
  <c r="P75" i="3"/>
  <c r="H75" i="3"/>
  <c r="G75" i="3"/>
  <c r="F75" i="3"/>
  <c r="N75" i="3" s="1"/>
  <c r="E75" i="3"/>
  <c r="D75" i="3"/>
  <c r="C75" i="3"/>
  <c r="B75" i="3"/>
  <c r="A75" i="3"/>
  <c r="P74" i="3"/>
  <c r="Q74" i="3" s="1"/>
  <c r="H74" i="3"/>
  <c r="I74" i="3" s="1"/>
  <c r="O74" i="3" s="1"/>
  <c r="G74" i="3"/>
  <c r="F74" i="3"/>
  <c r="N74" i="3" s="1"/>
  <c r="E74" i="3"/>
  <c r="D74" i="3"/>
  <c r="C74" i="3"/>
  <c r="B74" i="3"/>
  <c r="A74" i="3"/>
  <c r="P73" i="3"/>
  <c r="H73" i="3"/>
  <c r="I73" i="3" s="1"/>
  <c r="O73" i="3" s="1"/>
  <c r="G73" i="3"/>
  <c r="F73" i="3"/>
  <c r="N73" i="3" s="1"/>
  <c r="E73" i="3"/>
  <c r="D73" i="3"/>
  <c r="C73" i="3"/>
  <c r="B73" i="3"/>
  <c r="A73" i="3"/>
  <c r="P72" i="3"/>
  <c r="H72" i="3"/>
  <c r="I72" i="3" s="1"/>
  <c r="O72" i="3" s="1"/>
  <c r="G72" i="3"/>
  <c r="F72" i="3"/>
  <c r="N72" i="3" s="1"/>
  <c r="E72" i="3"/>
  <c r="D72" i="3"/>
  <c r="C72" i="3"/>
  <c r="B72" i="3"/>
  <c r="A72" i="3"/>
  <c r="P71" i="3"/>
  <c r="H71" i="3"/>
  <c r="G71" i="3"/>
  <c r="F71" i="3"/>
  <c r="N71" i="3" s="1"/>
  <c r="E71" i="3"/>
  <c r="D71" i="3"/>
  <c r="C71" i="3"/>
  <c r="B71" i="3"/>
  <c r="A71" i="3"/>
  <c r="P70" i="3"/>
  <c r="Q70" i="3" s="1"/>
  <c r="H70" i="3"/>
  <c r="I70" i="3" s="1"/>
  <c r="O70" i="3" s="1"/>
  <c r="G70" i="3"/>
  <c r="F70" i="3"/>
  <c r="N70" i="3" s="1"/>
  <c r="E70" i="3"/>
  <c r="D70" i="3"/>
  <c r="C70" i="3"/>
  <c r="B70" i="3"/>
  <c r="A70" i="3"/>
  <c r="P69" i="3"/>
  <c r="Q69" i="3" s="1"/>
  <c r="H69" i="3"/>
  <c r="G69" i="3"/>
  <c r="F69" i="3"/>
  <c r="N69" i="3" s="1"/>
  <c r="E69" i="3"/>
  <c r="D69" i="3"/>
  <c r="C69" i="3"/>
  <c r="B69" i="3"/>
  <c r="A69" i="3"/>
  <c r="P68" i="3"/>
  <c r="H68" i="3"/>
  <c r="I68" i="3" s="1"/>
  <c r="O68" i="3" s="1"/>
  <c r="G68" i="3"/>
  <c r="F68" i="3"/>
  <c r="N68" i="3" s="1"/>
  <c r="E68" i="3"/>
  <c r="D68" i="3"/>
  <c r="C68" i="3"/>
  <c r="B68" i="3"/>
  <c r="A68" i="3"/>
  <c r="P67" i="3"/>
  <c r="Q67" i="3" s="1"/>
  <c r="H67" i="3"/>
  <c r="I67" i="3" s="1"/>
  <c r="O67" i="3" s="1"/>
  <c r="G67" i="3"/>
  <c r="F67" i="3"/>
  <c r="N67" i="3" s="1"/>
  <c r="E67" i="3"/>
  <c r="D67" i="3"/>
  <c r="C67" i="3"/>
  <c r="B67" i="3"/>
  <c r="A67" i="3"/>
  <c r="P66" i="3"/>
  <c r="Q66" i="3" s="1"/>
  <c r="H66" i="3"/>
  <c r="I66" i="3" s="1"/>
  <c r="O66" i="3" s="1"/>
  <c r="G66" i="3"/>
  <c r="F66" i="3"/>
  <c r="N66" i="3" s="1"/>
  <c r="E66" i="3"/>
  <c r="D66" i="3"/>
  <c r="C66" i="3"/>
  <c r="B66" i="3"/>
  <c r="A66" i="3"/>
  <c r="P65" i="3"/>
  <c r="Q65" i="3" s="1"/>
  <c r="H65" i="3"/>
  <c r="I65" i="3" s="1"/>
  <c r="O65" i="3" s="1"/>
  <c r="G65" i="3"/>
  <c r="F65" i="3"/>
  <c r="N65" i="3" s="1"/>
  <c r="E65" i="3"/>
  <c r="D65" i="3"/>
  <c r="C65" i="3"/>
  <c r="B65" i="3"/>
  <c r="A65" i="3"/>
  <c r="P64" i="3"/>
  <c r="Q64" i="3" s="1"/>
  <c r="H64" i="3"/>
  <c r="I64" i="3" s="1"/>
  <c r="O64" i="3" s="1"/>
  <c r="G64" i="3"/>
  <c r="F64" i="3"/>
  <c r="N64" i="3" s="1"/>
  <c r="E64" i="3"/>
  <c r="D64" i="3"/>
  <c r="C64" i="3"/>
  <c r="B64" i="3"/>
  <c r="A64" i="3"/>
  <c r="P63" i="3"/>
  <c r="Q63" i="3" s="1"/>
  <c r="H63" i="3"/>
  <c r="I63" i="3" s="1"/>
  <c r="O63" i="3" s="1"/>
  <c r="G63" i="3"/>
  <c r="F63" i="3"/>
  <c r="N63" i="3" s="1"/>
  <c r="E63" i="3"/>
  <c r="D63" i="3"/>
  <c r="C63" i="3"/>
  <c r="B63" i="3"/>
  <c r="A63" i="3"/>
  <c r="P62" i="3"/>
  <c r="H62" i="3"/>
  <c r="I62" i="3" s="1"/>
  <c r="O62" i="3" s="1"/>
  <c r="G62" i="3"/>
  <c r="F62" i="3"/>
  <c r="N62" i="3" s="1"/>
  <c r="E62" i="3"/>
  <c r="D62" i="3"/>
  <c r="C62" i="3"/>
  <c r="B62" i="3"/>
  <c r="A62" i="3"/>
  <c r="P61" i="3"/>
  <c r="Q61" i="3" s="1"/>
  <c r="H61" i="3"/>
  <c r="I61" i="3" s="1"/>
  <c r="O61" i="3" s="1"/>
  <c r="G61" i="3"/>
  <c r="F61" i="3"/>
  <c r="N61" i="3" s="1"/>
  <c r="E61" i="3"/>
  <c r="D61" i="3"/>
  <c r="C61" i="3"/>
  <c r="B61" i="3"/>
  <c r="A61" i="3"/>
  <c r="P60" i="3"/>
  <c r="H60" i="3"/>
  <c r="I60" i="3" s="1"/>
  <c r="O60" i="3" s="1"/>
  <c r="G60" i="3"/>
  <c r="F60" i="3"/>
  <c r="N60" i="3" s="1"/>
  <c r="E60" i="3"/>
  <c r="D60" i="3"/>
  <c r="C60" i="3"/>
  <c r="B60" i="3"/>
  <c r="A60" i="3"/>
  <c r="P59" i="3"/>
  <c r="Q59" i="3" s="1"/>
  <c r="H59" i="3"/>
  <c r="I59" i="3" s="1"/>
  <c r="O59" i="3" s="1"/>
  <c r="G59" i="3"/>
  <c r="F59" i="3"/>
  <c r="N59" i="3" s="1"/>
  <c r="E59" i="3"/>
  <c r="D59" i="3"/>
  <c r="C59" i="3"/>
  <c r="B59" i="3"/>
  <c r="A59" i="3"/>
  <c r="P58" i="3"/>
  <c r="Q58" i="3" s="1"/>
  <c r="H58" i="3"/>
  <c r="I58" i="3" s="1"/>
  <c r="O58" i="3" s="1"/>
  <c r="G58" i="3"/>
  <c r="F58" i="3"/>
  <c r="N58" i="3" s="1"/>
  <c r="E58" i="3"/>
  <c r="D58" i="3"/>
  <c r="C58" i="3"/>
  <c r="B58" i="3"/>
  <c r="A58" i="3"/>
  <c r="P57" i="3"/>
  <c r="H57" i="3"/>
  <c r="I57" i="3" s="1"/>
  <c r="O57" i="3" s="1"/>
  <c r="G57" i="3"/>
  <c r="F57" i="3"/>
  <c r="N57" i="3" s="1"/>
  <c r="E57" i="3"/>
  <c r="D57" i="3"/>
  <c r="C57" i="3"/>
  <c r="B57" i="3"/>
  <c r="A57" i="3"/>
  <c r="P56" i="3"/>
  <c r="H56" i="3"/>
  <c r="I56" i="3" s="1"/>
  <c r="O56" i="3" s="1"/>
  <c r="G56" i="3"/>
  <c r="Q56" i="3" s="1"/>
  <c r="F56" i="3"/>
  <c r="N56" i="3" s="1"/>
  <c r="E56" i="3"/>
  <c r="D56" i="3"/>
  <c r="C56" i="3"/>
  <c r="B56" i="3"/>
  <c r="A56" i="3"/>
  <c r="P55" i="3"/>
  <c r="Q55" i="3" s="1"/>
  <c r="H55" i="3"/>
  <c r="I55" i="3" s="1"/>
  <c r="O55" i="3" s="1"/>
  <c r="G55" i="3"/>
  <c r="F55" i="3"/>
  <c r="N55" i="3" s="1"/>
  <c r="E55" i="3"/>
  <c r="D55" i="3"/>
  <c r="C55" i="3"/>
  <c r="B55" i="3"/>
  <c r="A55" i="3"/>
  <c r="P54" i="3"/>
  <c r="H54" i="3"/>
  <c r="G54" i="3"/>
  <c r="F54" i="3"/>
  <c r="N54" i="3" s="1"/>
  <c r="E54" i="3"/>
  <c r="D54" i="3"/>
  <c r="C54" i="3"/>
  <c r="B54" i="3"/>
  <c r="A54" i="3"/>
  <c r="P53" i="3"/>
  <c r="Q53" i="3" s="1"/>
  <c r="H53" i="3"/>
  <c r="I53" i="3" s="1"/>
  <c r="O53" i="3" s="1"/>
  <c r="G53" i="3"/>
  <c r="F53" i="3"/>
  <c r="N53" i="3" s="1"/>
  <c r="E53" i="3"/>
  <c r="D53" i="3"/>
  <c r="C53" i="3"/>
  <c r="B53" i="3"/>
  <c r="A53" i="3"/>
  <c r="P52" i="3"/>
  <c r="H52" i="3"/>
  <c r="I52" i="3" s="1"/>
  <c r="O52" i="3" s="1"/>
  <c r="G52" i="3"/>
  <c r="Q52" i="3" s="1"/>
  <c r="F52" i="3"/>
  <c r="N52" i="3" s="1"/>
  <c r="E52" i="3"/>
  <c r="D52" i="3"/>
  <c r="C52" i="3"/>
  <c r="B52" i="3"/>
  <c r="A52" i="3"/>
  <c r="P51" i="3"/>
  <c r="H51" i="3"/>
  <c r="I51" i="3" s="1"/>
  <c r="O51" i="3" s="1"/>
  <c r="G51" i="3"/>
  <c r="F51" i="3"/>
  <c r="N51" i="3" s="1"/>
  <c r="E51" i="3"/>
  <c r="D51" i="3"/>
  <c r="C51" i="3"/>
  <c r="B51" i="3"/>
  <c r="A51" i="3"/>
  <c r="P50" i="3"/>
  <c r="H50" i="3"/>
  <c r="I50" i="3" s="1"/>
  <c r="O50" i="3" s="1"/>
  <c r="G50" i="3"/>
  <c r="F50" i="3"/>
  <c r="N50" i="3" s="1"/>
  <c r="E50" i="3"/>
  <c r="D50" i="3"/>
  <c r="C50" i="3"/>
  <c r="B50" i="3"/>
  <c r="A50" i="3"/>
  <c r="P49" i="3"/>
  <c r="Q49" i="3" s="1"/>
  <c r="H49" i="3"/>
  <c r="I49" i="3" s="1"/>
  <c r="O49" i="3" s="1"/>
  <c r="G49" i="3"/>
  <c r="F49" i="3"/>
  <c r="N49" i="3" s="1"/>
  <c r="E49" i="3"/>
  <c r="D49" i="3"/>
  <c r="C49" i="3"/>
  <c r="B49" i="3"/>
  <c r="A49" i="3"/>
  <c r="P48" i="3"/>
  <c r="Q48" i="3" s="1"/>
  <c r="H48" i="3"/>
  <c r="I48" i="3" s="1"/>
  <c r="O48" i="3" s="1"/>
  <c r="G48" i="3"/>
  <c r="F48" i="3"/>
  <c r="N48" i="3" s="1"/>
  <c r="E48" i="3"/>
  <c r="D48" i="3"/>
  <c r="C48" i="3"/>
  <c r="B48" i="3"/>
  <c r="A48" i="3"/>
  <c r="P47" i="3"/>
  <c r="Q47" i="3" s="1"/>
  <c r="H47" i="3"/>
  <c r="G47" i="3"/>
  <c r="F47" i="3"/>
  <c r="N47" i="3" s="1"/>
  <c r="E47" i="3"/>
  <c r="D47" i="3"/>
  <c r="C47" i="3"/>
  <c r="B47" i="3"/>
  <c r="A47" i="3"/>
  <c r="P46" i="3"/>
  <c r="H46" i="3"/>
  <c r="I46" i="3" s="1"/>
  <c r="O46" i="3" s="1"/>
  <c r="G46" i="3"/>
  <c r="F46" i="3"/>
  <c r="N46" i="3" s="1"/>
  <c r="E46" i="3"/>
  <c r="D46" i="3"/>
  <c r="C46" i="3"/>
  <c r="B46" i="3"/>
  <c r="A46" i="3"/>
  <c r="P45" i="3"/>
  <c r="Q45" i="3" s="1"/>
  <c r="H45" i="3"/>
  <c r="G45" i="3"/>
  <c r="F45" i="3"/>
  <c r="N45" i="3" s="1"/>
  <c r="E45" i="3"/>
  <c r="D45" i="3"/>
  <c r="C45" i="3"/>
  <c r="B45" i="3"/>
  <c r="A45" i="3"/>
  <c r="P44" i="3"/>
  <c r="H44" i="3"/>
  <c r="I44" i="3" s="1"/>
  <c r="O44" i="3" s="1"/>
  <c r="G44" i="3"/>
  <c r="F44" i="3"/>
  <c r="N44" i="3" s="1"/>
  <c r="E44" i="3"/>
  <c r="D44" i="3"/>
  <c r="C44" i="3"/>
  <c r="B44" i="3"/>
  <c r="A44" i="3"/>
  <c r="P43" i="3"/>
  <c r="Q43" i="3" s="1"/>
  <c r="H43" i="3"/>
  <c r="I43" i="3" s="1"/>
  <c r="O43" i="3" s="1"/>
  <c r="G43" i="3"/>
  <c r="F43" i="3"/>
  <c r="N43" i="3" s="1"/>
  <c r="E43" i="3"/>
  <c r="D43" i="3"/>
  <c r="C43" i="3"/>
  <c r="B43" i="3"/>
  <c r="A43" i="3"/>
  <c r="P42" i="3"/>
  <c r="H42" i="3"/>
  <c r="I42" i="3" s="1"/>
  <c r="O42" i="3" s="1"/>
  <c r="G42" i="3"/>
  <c r="F42" i="3"/>
  <c r="N42" i="3" s="1"/>
  <c r="E42" i="3"/>
  <c r="D42" i="3"/>
  <c r="C42" i="3"/>
  <c r="B42" i="3"/>
  <c r="A42" i="3"/>
  <c r="P41" i="3"/>
  <c r="Q41" i="3" s="1"/>
  <c r="H41" i="3"/>
  <c r="I41" i="3" s="1"/>
  <c r="O41" i="3" s="1"/>
  <c r="G41" i="3"/>
  <c r="F41" i="3"/>
  <c r="N41" i="3" s="1"/>
  <c r="E41" i="3"/>
  <c r="D41" i="3"/>
  <c r="C41" i="3"/>
  <c r="B41" i="3"/>
  <c r="A41" i="3"/>
  <c r="P40" i="3"/>
  <c r="Q40" i="3" s="1"/>
  <c r="H40" i="3"/>
  <c r="I40" i="3" s="1"/>
  <c r="O40" i="3" s="1"/>
  <c r="G40" i="3"/>
  <c r="F40" i="3"/>
  <c r="N40" i="3" s="1"/>
  <c r="E40" i="3"/>
  <c r="D40" i="3"/>
  <c r="C40" i="3"/>
  <c r="B40" i="3"/>
  <c r="A40" i="3"/>
  <c r="P39" i="3"/>
  <c r="Q39" i="3" s="1"/>
  <c r="H39" i="3"/>
  <c r="I39" i="3" s="1"/>
  <c r="O39" i="3" s="1"/>
  <c r="G39" i="3"/>
  <c r="F39" i="3"/>
  <c r="N39" i="3" s="1"/>
  <c r="E39" i="3"/>
  <c r="D39" i="3"/>
  <c r="C39" i="3"/>
  <c r="B39" i="3"/>
  <c r="A39" i="3"/>
  <c r="P38" i="3"/>
  <c r="H38" i="3"/>
  <c r="I38" i="3" s="1"/>
  <c r="O38" i="3" s="1"/>
  <c r="G38" i="3"/>
  <c r="F38" i="3"/>
  <c r="N38" i="3" s="1"/>
  <c r="E38" i="3"/>
  <c r="D38" i="3"/>
  <c r="C38" i="3"/>
  <c r="B38" i="3"/>
  <c r="A38" i="3"/>
  <c r="P37" i="3"/>
  <c r="Q37" i="3" s="1"/>
  <c r="H37" i="3"/>
  <c r="I37" i="3" s="1"/>
  <c r="O37" i="3" s="1"/>
  <c r="G37" i="3"/>
  <c r="F37" i="3"/>
  <c r="N37" i="3" s="1"/>
  <c r="E37" i="3"/>
  <c r="D37" i="3"/>
  <c r="C37" i="3"/>
  <c r="B37" i="3"/>
  <c r="A37" i="3"/>
  <c r="P36" i="3"/>
  <c r="H36" i="3"/>
  <c r="G36" i="3"/>
  <c r="F36" i="3"/>
  <c r="N36" i="3" s="1"/>
  <c r="E36" i="3"/>
  <c r="D36" i="3"/>
  <c r="C36" i="3"/>
  <c r="B36" i="3"/>
  <c r="A36" i="3"/>
  <c r="P35" i="3"/>
  <c r="H35" i="3"/>
  <c r="I35" i="3" s="1"/>
  <c r="G35" i="3"/>
  <c r="F35" i="3"/>
  <c r="N35" i="3" s="1"/>
  <c r="E35" i="3"/>
  <c r="D35" i="3"/>
  <c r="C35" i="3"/>
  <c r="B35" i="3"/>
  <c r="A35" i="3"/>
  <c r="P34" i="3"/>
  <c r="Q34" i="3" s="1"/>
  <c r="H34" i="3"/>
  <c r="I34" i="3" s="1"/>
  <c r="G34" i="3"/>
  <c r="F34" i="3"/>
  <c r="N34" i="3" s="1"/>
  <c r="E34" i="3"/>
  <c r="D34" i="3"/>
  <c r="C34" i="3"/>
  <c r="B34" i="3"/>
  <c r="A34" i="3"/>
  <c r="P33" i="3"/>
  <c r="Q33" i="3" s="1"/>
  <c r="H33" i="3"/>
  <c r="I33" i="3" s="1"/>
  <c r="G33" i="3"/>
  <c r="F33" i="3"/>
  <c r="N33" i="3" s="1"/>
  <c r="E33" i="3"/>
  <c r="D33" i="3"/>
  <c r="C33" i="3"/>
  <c r="B33" i="3"/>
  <c r="A33" i="3"/>
  <c r="P32" i="3"/>
  <c r="H32" i="3"/>
  <c r="I32" i="3" s="1"/>
  <c r="G32" i="3"/>
  <c r="F32" i="3"/>
  <c r="N32" i="3" s="1"/>
  <c r="E32" i="3"/>
  <c r="D32" i="3"/>
  <c r="C32" i="3"/>
  <c r="B32" i="3"/>
  <c r="A32" i="3"/>
  <c r="P31" i="3"/>
  <c r="Q31" i="3" s="1"/>
  <c r="H31" i="3"/>
  <c r="G31" i="3"/>
  <c r="F31" i="3"/>
  <c r="N31" i="3" s="1"/>
  <c r="E31" i="3"/>
  <c r="D31" i="3"/>
  <c r="C31" i="3"/>
  <c r="B31" i="3"/>
  <c r="A31" i="3"/>
  <c r="P30" i="3"/>
  <c r="Q30" i="3" s="1"/>
  <c r="H30" i="3"/>
  <c r="I30" i="3" s="1"/>
  <c r="G30" i="3"/>
  <c r="F30" i="3"/>
  <c r="N30" i="3" s="1"/>
  <c r="E30" i="3"/>
  <c r="D30" i="3"/>
  <c r="C30" i="3"/>
  <c r="B30" i="3"/>
  <c r="A30" i="3"/>
  <c r="P29" i="3"/>
  <c r="H29" i="3"/>
  <c r="G29" i="3"/>
  <c r="F29" i="3"/>
  <c r="N29" i="3" s="1"/>
  <c r="E29" i="3"/>
  <c r="D29" i="3"/>
  <c r="C29" i="3"/>
  <c r="B29" i="3"/>
  <c r="A29" i="3"/>
  <c r="P28" i="3"/>
  <c r="Q28" i="3" s="1"/>
  <c r="H28" i="3"/>
  <c r="I28" i="3" s="1"/>
  <c r="G28" i="3"/>
  <c r="F28" i="3"/>
  <c r="N28" i="3" s="1"/>
  <c r="E28" i="3"/>
  <c r="D28" i="3"/>
  <c r="C28" i="3"/>
  <c r="B28" i="3"/>
  <c r="A28" i="3"/>
  <c r="P27" i="3"/>
  <c r="Q27" i="3" s="1"/>
  <c r="H27" i="3"/>
  <c r="G27" i="3"/>
  <c r="F27" i="3"/>
  <c r="N27" i="3" s="1"/>
  <c r="E27" i="3"/>
  <c r="D27" i="3"/>
  <c r="C27" i="3"/>
  <c r="B27" i="3"/>
  <c r="A27" i="3"/>
  <c r="P26" i="3"/>
  <c r="H26" i="3"/>
  <c r="G26" i="3"/>
  <c r="F26" i="3"/>
  <c r="N26" i="3" s="1"/>
  <c r="E26" i="3"/>
  <c r="D26" i="3"/>
  <c r="C26" i="3"/>
  <c r="B26" i="3"/>
  <c r="A26" i="3"/>
  <c r="P25" i="3"/>
  <c r="Q25" i="3" s="1"/>
  <c r="H25" i="3"/>
  <c r="I25" i="3" s="1"/>
  <c r="G25" i="3"/>
  <c r="F25" i="3"/>
  <c r="N25" i="3" s="1"/>
  <c r="E25" i="3"/>
  <c r="D25" i="3"/>
  <c r="C25" i="3"/>
  <c r="B25" i="3"/>
  <c r="A25" i="3"/>
  <c r="P24" i="3"/>
  <c r="H24" i="3"/>
  <c r="I24" i="3" s="1"/>
  <c r="G24" i="3"/>
  <c r="F24" i="3"/>
  <c r="N24" i="3" s="1"/>
  <c r="E24" i="3"/>
  <c r="D24" i="3"/>
  <c r="C24" i="3"/>
  <c r="B24" i="3"/>
  <c r="A24" i="3"/>
  <c r="P23" i="3"/>
  <c r="Q23" i="3" s="1"/>
  <c r="H23" i="3"/>
  <c r="I23" i="3" s="1"/>
  <c r="G23" i="3"/>
  <c r="F23" i="3"/>
  <c r="N23" i="3" s="1"/>
  <c r="E23" i="3"/>
  <c r="D23" i="3"/>
  <c r="C23" i="3"/>
  <c r="B23" i="3"/>
  <c r="A23" i="3"/>
  <c r="P22" i="3"/>
  <c r="H22" i="3"/>
  <c r="I22" i="3" s="1"/>
  <c r="G22" i="3"/>
  <c r="F22" i="3"/>
  <c r="N22" i="3" s="1"/>
  <c r="E22" i="3"/>
  <c r="D22" i="3"/>
  <c r="C22" i="3"/>
  <c r="B22" i="3"/>
  <c r="A22" i="3"/>
  <c r="P21" i="3"/>
  <c r="Q21" i="3" s="1"/>
  <c r="H21" i="3"/>
  <c r="I21" i="3" s="1"/>
  <c r="G21" i="3"/>
  <c r="F21" i="3"/>
  <c r="N21" i="3" s="1"/>
  <c r="E21" i="3"/>
  <c r="D21" i="3"/>
  <c r="C21" i="3"/>
  <c r="B21" i="3"/>
  <c r="A21" i="3"/>
  <c r="P20" i="3"/>
  <c r="H20" i="3"/>
  <c r="I20" i="3" s="1"/>
  <c r="G20" i="3"/>
  <c r="F20" i="3"/>
  <c r="N20" i="3" s="1"/>
  <c r="E20" i="3"/>
  <c r="D20" i="3"/>
  <c r="C20" i="3"/>
  <c r="B20" i="3"/>
  <c r="A20" i="3"/>
  <c r="P19" i="3"/>
  <c r="Q19" i="3" s="1"/>
  <c r="H19" i="3"/>
  <c r="G19" i="3"/>
  <c r="F19" i="3"/>
  <c r="N19" i="3" s="1"/>
  <c r="E19" i="3"/>
  <c r="D19" i="3"/>
  <c r="C19" i="3"/>
  <c r="B19" i="3"/>
  <c r="A19" i="3"/>
  <c r="P18" i="3"/>
  <c r="H18" i="3"/>
  <c r="G18" i="3"/>
  <c r="F18" i="3"/>
  <c r="N18" i="3" s="1"/>
  <c r="E18" i="3"/>
  <c r="D18" i="3"/>
  <c r="C18" i="3"/>
  <c r="B18" i="3"/>
  <c r="A18" i="3"/>
  <c r="P17" i="3"/>
  <c r="H17" i="3"/>
  <c r="G17" i="3"/>
  <c r="F17" i="3"/>
  <c r="N17" i="3" s="1"/>
  <c r="E17" i="3"/>
  <c r="D17" i="3"/>
  <c r="C17" i="3"/>
  <c r="B17" i="3"/>
  <c r="A17" i="3"/>
  <c r="P16" i="3"/>
  <c r="H16" i="3"/>
  <c r="G16" i="3"/>
  <c r="F16" i="3"/>
  <c r="N16" i="3" s="1"/>
  <c r="E16" i="3"/>
  <c r="D16" i="3"/>
  <c r="C16" i="3"/>
  <c r="B16" i="3"/>
  <c r="A16" i="3"/>
  <c r="P15" i="3"/>
  <c r="H15" i="3"/>
  <c r="G15" i="3"/>
  <c r="F15" i="3"/>
  <c r="N15" i="3" s="1"/>
  <c r="E15" i="3"/>
  <c r="D15" i="3"/>
  <c r="C15" i="3"/>
  <c r="B15" i="3"/>
  <c r="A15" i="3"/>
  <c r="P14" i="3"/>
  <c r="H14" i="3"/>
  <c r="G14" i="3"/>
  <c r="F14" i="3"/>
  <c r="N14" i="3" s="1"/>
  <c r="E14" i="3"/>
  <c r="D14" i="3"/>
  <c r="C14" i="3"/>
  <c r="B14" i="3"/>
  <c r="A14" i="3"/>
  <c r="P13" i="3"/>
  <c r="H13" i="3"/>
  <c r="G13" i="3"/>
  <c r="F13" i="3"/>
  <c r="N13" i="3" s="1"/>
  <c r="E13" i="3"/>
  <c r="D13" i="3"/>
  <c r="C13" i="3"/>
  <c r="B13" i="3"/>
  <c r="A13" i="3"/>
  <c r="P12" i="3"/>
  <c r="H12" i="3"/>
  <c r="G12" i="3"/>
  <c r="F12" i="3"/>
  <c r="N12" i="3" s="1"/>
  <c r="E12" i="3"/>
  <c r="D12" i="3"/>
  <c r="C12" i="3"/>
  <c r="B12" i="3"/>
  <c r="A12" i="3"/>
  <c r="P11" i="3"/>
  <c r="H11" i="3"/>
  <c r="G11" i="3"/>
  <c r="F11" i="3"/>
  <c r="N11" i="3" s="1"/>
  <c r="E11" i="3"/>
  <c r="D11" i="3"/>
  <c r="C11" i="3"/>
  <c r="B11" i="3"/>
  <c r="A11" i="3"/>
  <c r="P10" i="3"/>
  <c r="H10" i="3"/>
  <c r="G10" i="3"/>
  <c r="F10" i="3"/>
  <c r="N10" i="3" s="1"/>
  <c r="E10" i="3"/>
  <c r="D10" i="3"/>
  <c r="C10" i="3"/>
  <c r="B10" i="3"/>
  <c r="A10" i="3"/>
  <c r="P9" i="3"/>
  <c r="H9" i="3"/>
  <c r="G9" i="3"/>
  <c r="F9" i="3"/>
  <c r="N9" i="3" s="1"/>
  <c r="E9" i="3"/>
  <c r="D9" i="3"/>
  <c r="C9" i="3"/>
  <c r="B9" i="3"/>
  <c r="A9" i="3"/>
  <c r="P8" i="3"/>
  <c r="H8" i="3"/>
  <c r="G8" i="3"/>
  <c r="F8" i="3"/>
  <c r="N8" i="3" s="1"/>
  <c r="E8" i="3"/>
  <c r="D8" i="3"/>
  <c r="C8" i="3"/>
  <c r="B8" i="3"/>
  <c r="A8" i="3"/>
  <c r="P7" i="3"/>
  <c r="H7" i="3"/>
  <c r="G7" i="3"/>
  <c r="F7" i="3"/>
  <c r="N7" i="3" s="1"/>
  <c r="E7" i="3"/>
  <c r="D7" i="3"/>
  <c r="C7" i="3"/>
  <c r="B7" i="3"/>
  <c r="A7" i="3"/>
  <c r="P6" i="3"/>
  <c r="H6" i="3"/>
  <c r="G6" i="3"/>
  <c r="F6" i="3"/>
  <c r="N6" i="3" s="1"/>
  <c r="E6" i="3"/>
  <c r="D6" i="3"/>
  <c r="C6" i="3"/>
  <c r="B6" i="3"/>
  <c r="A6" i="3"/>
  <c r="P5" i="3"/>
  <c r="H5" i="3"/>
  <c r="G5" i="3"/>
  <c r="F5" i="3"/>
  <c r="N5" i="3" s="1"/>
  <c r="E5" i="3"/>
  <c r="D5" i="3"/>
  <c r="C5" i="3"/>
  <c r="B5" i="3"/>
  <c r="A5" i="3"/>
  <c r="W305" i="2"/>
  <c r="V305" i="2"/>
  <c r="C305" i="2"/>
  <c r="M304" i="2"/>
  <c r="L304" i="2"/>
  <c r="C304" i="2"/>
  <c r="C303" i="2"/>
  <c r="A303" i="2"/>
  <c r="G302" i="2"/>
  <c r="C302" i="2"/>
  <c r="C301" i="2"/>
  <c r="C300" i="2"/>
  <c r="A300" i="2"/>
  <c r="W299" i="2"/>
  <c r="C299" i="2"/>
  <c r="N298" i="2"/>
  <c r="M298" i="2"/>
  <c r="C298" i="2"/>
  <c r="C297" i="2"/>
  <c r="A297" i="2"/>
  <c r="W296" i="2"/>
  <c r="V296" i="2"/>
  <c r="U296" i="2"/>
  <c r="C296" i="2"/>
  <c r="N295" i="2"/>
  <c r="M295" i="2"/>
  <c r="L295" i="2"/>
  <c r="C295" i="2"/>
  <c r="C294" i="2"/>
  <c r="A294" i="2"/>
  <c r="C293" i="2"/>
  <c r="K292" i="2"/>
  <c r="J292" i="2"/>
  <c r="I292" i="2"/>
  <c r="C292" i="2"/>
  <c r="C291" i="2"/>
  <c r="A291" i="2"/>
  <c r="C290" i="2"/>
  <c r="D289" i="2"/>
  <c r="C289" i="2"/>
  <c r="C288" i="2"/>
  <c r="A288" i="2"/>
  <c r="F287" i="2"/>
  <c r="E287" i="2"/>
  <c r="D287" i="2"/>
  <c r="C287" i="2"/>
  <c r="F286" i="2"/>
  <c r="E286" i="2"/>
  <c r="D286" i="2"/>
  <c r="C286" i="2"/>
  <c r="C285" i="2"/>
  <c r="A285" i="2"/>
  <c r="E284" i="2"/>
  <c r="D284" i="2"/>
  <c r="C284" i="2"/>
  <c r="E283" i="2"/>
  <c r="D283" i="2"/>
  <c r="C283" i="2"/>
  <c r="C282" i="2"/>
  <c r="A282" i="2"/>
  <c r="D281" i="2"/>
  <c r="C281" i="2"/>
  <c r="E280" i="2"/>
  <c r="D280" i="2"/>
  <c r="C280" i="2"/>
  <c r="C279" i="2"/>
  <c r="A279" i="2"/>
  <c r="W278" i="2"/>
  <c r="C278" i="2"/>
  <c r="P277" i="2"/>
  <c r="C277" i="2"/>
  <c r="C276" i="2"/>
  <c r="A276" i="2"/>
  <c r="W275" i="2"/>
  <c r="V275" i="2"/>
  <c r="C275" i="2"/>
  <c r="Q274" i="2"/>
  <c r="P274" i="2"/>
  <c r="C274" i="2"/>
  <c r="C273" i="2"/>
  <c r="A273" i="2"/>
  <c r="W272" i="2"/>
  <c r="C272" i="2"/>
  <c r="C271" i="2"/>
  <c r="C270" i="2"/>
  <c r="A270" i="2"/>
  <c r="W269" i="2"/>
  <c r="C269" i="2"/>
  <c r="M268" i="2"/>
  <c r="C268" i="2"/>
  <c r="C267" i="2"/>
  <c r="A267" i="2"/>
  <c r="W266" i="2"/>
  <c r="V266" i="2"/>
  <c r="U266" i="2"/>
  <c r="C266" i="2"/>
  <c r="M265" i="2"/>
  <c r="L265" i="2"/>
  <c r="K265" i="2"/>
  <c r="C265" i="2"/>
  <c r="C264" i="2"/>
  <c r="A264" i="2"/>
  <c r="C263" i="2"/>
  <c r="C262" i="2"/>
  <c r="C261" i="2"/>
  <c r="A261" i="2"/>
  <c r="C260" i="2"/>
  <c r="C259" i="2"/>
  <c r="C258" i="2"/>
  <c r="A258" i="2"/>
  <c r="C257" i="2"/>
  <c r="C256" i="2"/>
  <c r="C255" i="2"/>
  <c r="A255" i="2"/>
  <c r="C254" i="2"/>
  <c r="C253" i="2"/>
  <c r="C252" i="2"/>
  <c r="A252" i="2"/>
  <c r="C251" i="2"/>
  <c r="F250" i="2"/>
  <c r="E250" i="2"/>
  <c r="D250" i="2"/>
  <c r="C250" i="2"/>
  <c r="C249" i="2"/>
  <c r="A249" i="2"/>
  <c r="C248" i="2"/>
  <c r="C247" i="2"/>
  <c r="C246" i="2"/>
  <c r="A246" i="2"/>
  <c r="C245" i="2"/>
  <c r="Q244" i="2"/>
  <c r="P244" i="2"/>
  <c r="O244" i="2"/>
  <c r="N244" i="2"/>
  <c r="M244" i="2"/>
  <c r="C244" i="2"/>
  <c r="C243" i="2"/>
  <c r="A243" i="2"/>
  <c r="C242" i="2"/>
  <c r="O241" i="2"/>
  <c r="N241" i="2"/>
  <c r="M241" i="2"/>
  <c r="L241" i="2"/>
  <c r="K241" i="2"/>
  <c r="C241" i="2"/>
  <c r="C240" i="2"/>
  <c r="A240" i="2"/>
  <c r="G239" i="2"/>
  <c r="F239" i="2"/>
  <c r="E239" i="2"/>
  <c r="C239" i="2"/>
  <c r="C238" i="2"/>
  <c r="C237" i="2"/>
  <c r="A237" i="2"/>
  <c r="E236" i="2"/>
  <c r="D236" i="2"/>
  <c r="C236" i="2"/>
  <c r="E235" i="2"/>
  <c r="D235" i="2"/>
  <c r="C235" i="2"/>
  <c r="C234" i="2"/>
  <c r="A234" i="2"/>
  <c r="W233" i="2"/>
  <c r="V233" i="2"/>
  <c r="U233" i="2"/>
  <c r="T233" i="2"/>
  <c r="S233" i="2"/>
  <c r="R233" i="2"/>
  <c r="C233" i="2"/>
  <c r="Q232" i="2"/>
  <c r="P232" i="2"/>
  <c r="O232" i="2"/>
  <c r="N232" i="2"/>
  <c r="M232" i="2"/>
  <c r="L232" i="2"/>
  <c r="C232" i="2"/>
  <c r="V231" i="2"/>
  <c r="U231" i="2"/>
  <c r="T231" i="2"/>
  <c r="S231" i="2"/>
  <c r="R231" i="2"/>
  <c r="Q231" i="2"/>
  <c r="C231" i="2"/>
  <c r="A231" i="2"/>
  <c r="W230" i="2"/>
  <c r="V230" i="2"/>
  <c r="U230" i="2"/>
  <c r="C230" i="2"/>
  <c r="M229" i="2"/>
  <c r="L229" i="2"/>
  <c r="K229" i="2"/>
  <c r="C229" i="2"/>
  <c r="C228" i="2"/>
  <c r="A228" i="2"/>
  <c r="W227" i="2"/>
  <c r="V227" i="2"/>
  <c r="U227" i="2"/>
  <c r="T227" i="2"/>
  <c r="C227" i="2"/>
  <c r="N226" i="2"/>
  <c r="M226" i="2"/>
  <c r="L226" i="2"/>
  <c r="K226" i="2"/>
  <c r="C226" i="2"/>
  <c r="C225" i="2"/>
  <c r="A225" i="2"/>
  <c r="W224" i="2"/>
  <c r="V224" i="2"/>
  <c r="U224" i="2"/>
  <c r="T224" i="2"/>
  <c r="C224" i="2"/>
  <c r="M223" i="2"/>
  <c r="L223" i="2"/>
  <c r="K223" i="2"/>
  <c r="J223" i="2"/>
  <c r="C223" i="2"/>
  <c r="C222" i="2"/>
  <c r="A222" i="2"/>
  <c r="W221" i="2"/>
  <c r="V221" i="2"/>
  <c r="U221" i="2"/>
  <c r="T221" i="2"/>
  <c r="S221" i="2"/>
  <c r="R221" i="2"/>
  <c r="C221" i="2"/>
  <c r="O220" i="2"/>
  <c r="N220" i="2"/>
  <c r="M220" i="2"/>
  <c r="L220" i="2"/>
  <c r="K220" i="2"/>
  <c r="J220" i="2"/>
  <c r="C220" i="2"/>
  <c r="C219" i="2"/>
  <c r="A219" i="2"/>
  <c r="W218" i="2"/>
  <c r="S218" i="2"/>
  <c r="C218" i="2"/>
  <c r="M217" i="2"/>
  <c r="I217" i="2"/>
  <c r="C217" i="2"/>
  <c r="U216" i="2"/>
  <c r="Q216" i="2"/>
  <c r="C216" i="2"/>
  <c r="A216" i="2"/>
  <c r="C215" i="2"/>
  <c r="M214" i="2"/>
  <c r="L214" i="2"/>
  <c r="K214" i="2"/>
  <c r="J214" i="2"/>
  <c r="I214" i="2"/>
  <c r="H214" i="2"/>
  <c r="C214" i="2"/>
  <c r="V213" i="2"/>
  <c r="C213" i="2"/>
  <c r="A213" i="2"/>
  <c r="C212" i="2"/>
  <c r="C211" i="2"/>
  <c r="C210" i="2"/>
  <c r="A210" i="2"/>
  <c r="C209" i="2"/>
  <c r="C208" i="2"/>
  <c r="C207" i="2"/>
  <c r="A207" i="2"/>
  <c r="C206" i="2"/>
  <c r="C205" i="2"/>
  <c r="C204" i="2"/>
  <c r="A204" i="2"/>
  <c r="C203" i="2"/>
  <c r="C202" i="2"/>
  <c r="C201" i="2"/>
  <c r="A201" i="2"/>
  <c r="C200" i="2"/>
  <c r="C199" i="2"/>
  <c r="C198" i="2"/>
  <c r="A198" i="2"/>
  <c r="C197" i="2"/>
  <c r="C196" i="2"/>
  <c r="C195" i="2"/>
  <c r="A195" i="2"/>
  <c r="W194" i="2"/>
  <c r="V194" i="2"/>
  <c r="C194" i="2"/>
  <c r="C193" i="2"/>
  <c r="C192" i="2"/>
  <c r="A192" i="2"/>
  <c r="C191" i="2"/>
  <c r="C190" i="2"/>
  <c r="C189" i="2"/>
  <c r="A189" i="2"/>
  <c r="W188" i="2"/>
  <c r="V188" i="2"/>
  <c r="U188" i="2"/>
  <c r="T188" i="2"/>
  <c r="S188" i="2"/>
  <c r="R188" i="2"/>
  <c r="Q188" i="2"/>
  <c r="C188" i="2"/>
  <c r="C187" i="2"/>
  <c r="U186" i="2"/>
  <c r="T186" i="2"/>
  <c r="S186" i="2"/>
  <c r="R186" i="2"/>
  <c r="Q186" i="2"/>
  <c r="P186" i="2"/>
  <c r="O186" i="2"/>
  <c r="C186" i="2"/>
  <c r="A186" i="2"/>
  <c r="C185" i="2"/>
  <c r="L184" i="2"/>
  <c r="K184" i="2"/>
  <c r="C184" i="2"/>
  <c r="C183" i="2"/>
  <c r="A183" i="2"/>
  <c r="K182" i="2"/>
  <c r="J182" i="2"/>
  <c r="I182" i="2"/>
  <c r="H182" i="2"/>
  <c r="G182" i="2"/>
  <c r="F182" i="2"/>
  <c r="C182" i="2"/>
  <c r="C181" i="2"/>
  <c r="T180" i="2"/>
  <c r="S180" i="2"/>
  <c r="R180" i="2"/>
  <c r="Q180" i="2"/>
  <c r="P180" i="2"/>
  <c r="O180" i="2"/>
  <c r="C180" i="2"/>
  <c r="A180" i="2"/>
  <c r="D179" i="2"/>
  <c r="C179" i="2"/>
  <c r="D178" i="2"/>
  <c r="C178" i="2"/>
  <c r="C177" i="2"/>
  <c r="A177" i="2"/>
  <c r="C176" i="2"/>
  <c r="D175" i="2"/>
  <c r="C175" i="2"/>
  <c r="C174" i="2"/>
  <c r="A174" i="2"/>
  <c r="E173" i="2"/>
  <c r="D173" i="2"/>
  <c r="C173" i="2"/>
  <c r="E172" i="2"/>
  <c r="D172" i="2"/>
  <c r="C172" i="2"/>
  <c r="C171" i="2"/>
  <c r="A171" i="2"/>
  <c r="D170" i="2"/>
  <c r="C170" i="2"/>
  <c r="D169" i="2"/>
  <c r="C169" i="2"/>
  <c r="C168" i="2"/>
  <c r="A168" i="2"/>
  <c r="W167" i="2"/>
  <c r="C167" i="2"/>
  <c r="D166" i="2"/>
  <c r="C166" i="2"/>
  <c r="C165" i="2"/>
  <c r="A165" i="2"/>
  <c r="W164" i="2"/>
  <c r="V164" i="2"/>
  <c r="U164" i="2"/>
  <c r="C164" i="2"/>
  <c r="M163" i="2"/>
  <c r="L163" i="2"/>
  <c r="K163" i="2"/>
  <c r="C163" i="2"/>
  <c r="C162" i="2"/>
  <c r="A162" i="2"/>
  <c r="W161" i="2"/>
  <c r="V161" i="2"/>
  <c r="U161" i="2"/>
  <c r="C161" i="2"/>
  <c r="M160" i="2"/>
  <c r="L160" i="2"/>
  <c r="K160" i="2"/>
  <c r="C160" i="2"/>
  <c r="C159" i="2"/>
  <c r="A159" i="2"/>
  <c r="C158" i="2"/>
  <c r="C157" i="2"/>
  <c r="C156" i="2"/>
  <c r="A156" i="2"/>
  <c r="C155" i="2"/>
  <c r="C154" i="2"/>
  <c r="C153" i="2"/>
  <c r="A153" i="2"/>
  <c r="K152" i="2"/>
  <c r="J152" i="2"/>
  <c r="I152" i="2"/>
  <c r="H152" i="2"/>
  <c r="G152" i="2"/>
  <c r="F152" i="2"/>
  <c r="E152" i="2"/>
  <c r="D152" i="2"/>
  <c r="C152" i="2"/>
  <c r="C151" i="2"/>
  <c r="C150" i="2"/>
  <c r="A150" i="2"/>
  <c r="C149" i="2"/>
  <c r="C148" i="2"/>
  <c r="C147" i="2"/>
  <c r="A147" i="2"/>
  <c r="C146" i="2"/>
  <c r="C145" i="2"/>
  <c r="C144" i="2"/>
  <c r="A144" i="2"/>
  <c r="C143" i="2"/>
  <c r="V142" i="2"/>
  <c r="U142" i="2"/>
  <c r="T142" i="2"/>
  <c r="S142" i="2"/>
  <c r="R142" i="2"/>
  <c r="C142" i="2"/>
  <c r="C141" i="2"/>
  <c r="A141" i="2"/>
  <c r="W140" i="2"/>
  <c r="V140" i="2"/>
  <c r="U140" i="2"/>
  <c r="C140" i="2"/>
  <c r="C139" i="2"/>
  <c r="C138" i="2"/>
  <c r="A138" i="2"/>
  <c r="C137" i="2"/>
  <c r="M136" i="2"/>
  <c r="L136" i="2"/>
  <c r="C136" i="2"/>
  <c r="C135" i="2"/>
  <c r="A135" i="2"/>
  <c r="W134" i="2"/>
  <c r="V134" i="2"/>
  <c r="U134" i="2"/>
  <c r="C134" i="2"/>
  <c r="L133" i="2"/>
  <c r="K133" i="2"/>
  <c r="J133" i="2"/>
  <c r="C133" i="2"/>
  <c r="C132" i="2"/>
  <c r="A132" i="2"/>
  <c r="C131" i="2"/>
  <c r="Q130" i="2"/>
  <c r="P130" i="2"/>
  <c r="C130" i="2"/>
  <c r="C129" i="2"/>
  <c r="A129" i="2"/>
  <c r="W128" i="2"/>
  <c r="C128" i="2"/>
  <c r="O127" i="2"/>
  <c r="C127" i="2"/>
  <c r="C126" i="2"/>
  <c r="A126" i="2"/>
  <c r="W125" i="2"/>
  <c r="C125" i="2"/>
  <c r="O124" i="2"/>
  <c r="C124" i="2"/>
  <c r="C123" i="2"/>
  <c r="A123" i="2"/>
  <c r="W122" i="2"/>
  <c r="V122" i="2"/>
  <c r="C122" i="2"/>
  <c r="C121" i="2"/>
  <c r="C120" i="2"/>
  <c r="A120" i="2"/>
  <c r="W119" i="2"/>
  <c r="V119" i="2"/>
  <c r="C119" i="2"/>
  <c r="O118" i="2"/>
  <c r="N118" i="2"/>
  <c r="C118" i="2"/>
  <c r="C117" i="2"/>
  <c r="A117" i="2"/>
  <c r="W116" i="2"/>
  <c r="V116" i="2"/>
  <c r="U116" i="2"/>
  <c r="C116" i="2"/>
  <c r="P115" i="2"/>
  <c r="O115" i="2"/>
  <c r="C115" i="2"/>
  <c r="C114" i="2"/>
  <c r="A114" i="2"/>
  <c r="F113" i="2"/>
  <c r="E113" i="2"/>
  <c r="D113" i="2"/>
  <c r="C113" i="2"/>
  <c r="F112" i="2"/>
  <c r="E112" i="2"/>
  <c r="D112" i="2"/>
  <c r="C112" i="2"/>
  <c r="C111" i="2"/>
  <c r="A111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C110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C109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C108" i="2"/>
  <c r="A108" i="2"/>
  <c r="C107" i="2"/>
  <c r="C106" i="2"/>
  <c r="C105" i="2"/>
  <c r="A105" i="2"/>
  <c r="C104" i="2"/>
  <c r="C103" i="2"/>
  <c r="I102" i="2"/>
  <c r="H102" i="2"/>
  <c r="G102" i="2"/>
  <c r="C102" i="2"/>
  <c r="A102" i="2"/>
  <c r="C101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C99" i="2"/>
  <c r="A99" i="2"/>
  <c r="W98" i="2"/>
  <c r="V98" i="2"/>
  <c r="U98" i="2"/>
  <c r="T98" i="2"/>
  <c r="S98" i="2"/>
  <c r="R98" i="2"/>
  <c r="Q98" i="2"/>
  <c r="O98" i="2"/>
  <c r="C98" i="2"/>
  <c r="C97" i="2"/>
  <c r="C96" i="2"/>
  <c r="A96" i="2"/>
  <c r="C95" i="2"/>
  <c r="U94" i="2"/>
  <c r="T94" i="2"/>
  <c r="S94" i="2"/>
  <c r="C94" i="2"/>
  <c r="C93" i="2"/>
  <c r="A93" i="2"/>
  <c r="C92" i="2"/>
  <c r="Q91" i="2"/>
  <c r="P91" i="2"/>
  <c r="O91" i="2"/>
  <c r="N91" i="2"/>
  <c r="M91" i="2"/>
  <c r="L91" i="2"/>
  <c r="K91" i="2"/>
  <c r="J91" i="2"/>
  <c r="C91" i="2"/>
  <c r="C90" i="2"/>
  <c r="A90" i="2"/>
  <c r="C89" i="2"/>
  <c r="H88" i="2"/>
  <c r="D88" i="2"/>
  <c r="C88" i="2"/>
  <c r="I87" i="2"/>
  <c r="E87" i="2"/>
  <c r="C87" i="2"/>
  <c r="A87" i="2"/>
  <c r="W86" i="2"/>
  <c r="V86" i="2"/>
  <c r="C86" i="2"/>
  <c r="V85" i="2"/>
  <c r="U85" i="2"/>
  <c r="C85" i="2"/>
  <c r="C84" i="2"/>
  <c r="A84" i="2"/>
  <c r="W83" i="2"/>
  <c r="V83" i="2"/>
  <c r="C83" i="2"/>
  <c r="V82" i="2"/>
  <c r="U82" i="2"/>
  <c r="C82" i="2"/>
  <c r="C81" i="2"/>
  <c r="A81" i="2"/>
  <c r="W80" i="2"/>
  <c r="V80" i="2"/>
  <c r="C80" i="2"/>
  <c r="U79" i="2"/>
  <c r="T79" i="2"/>
  <c r="C79" i="2"/>
  <c r="E78" i="2"/>
  <c r="D78" i="2"/>
  <c r="C78" i="2"/>
  <c r="A78" i="2"/>
  <c r="W77" i="2"/>
  <c r="C77" i="2"/>
  <c r="T76" i="2"/>
  <c r="C76" i="2"/>
  <c r="C75" i="2"/>
  <c r="A75" i="2"/>
  <c r="W74" i="2"/>
  <c r="C74" i="2"/>
  <c r="T73" i="2"/>
  <c r="C73" i="2"/>
  <c r="D72" i="2"/>
  <c r="C72" i="2"/>
  <c r="A72" i="2"/>
  <c r="W71" i="2"/>
  <c r="V71" i="2"/>
  <c r="U71" i="2"/>
  <c r="T71" i="2"/>
  <c r="C71" i="2"/>
  <c r="V70" i="2"/>
  <c r="U70" i="2"/>
  <c r="T70" i="2"/>
  <c r="S70" i="2"/>
  <c r="C70" i="2"/>
  <c r="G69" i="2"/>
  <c r="F69" i="2"/>
  <c r="E69" i="2"/>
  <c r="D69" i="2"/>
  <c r="C69" i="2"/>
  <c r="A69" i="2"/>
  <c r="W68" i="2"/>
  <c r="V68" i="2"/>
  <c r="U68" i="2"/>
  <c r="T68" i="2"/>
  <c r="C68" i="2"/>
  <c r="U67" i="2"/>
  <c r="T67" i="2"/>
  <c r="S67" i="2"/>
  <c r="R67" i="2"/>
  <c r="C67" i="2"/>
  <c r="C66" i="2"/>
  <c r="A66" i="2"/>
  <c r="W65" i="2"/>
  <c r="V65" i="2"/>
  <c r="C65" i="2"/>
  <c r="R64" i="2"/>
  <c r="Q64" i="2"/>
  <c r="C64" i="2"/>
  <c r="C63" i="2"/>
  <c r="A63" i="2"/>
  <c r="W62" i="2"/>
  <c r="V62" i="2"/>
  <c r="U62" i="2"/>
  <c r="T62" i="2"/>
  <c r="S62" i="2"/>
  <c r="R62" i="2"/>
  <c r="C62" i="2"/>
  <c r="V61" i="2"/>
  <c r="U61" i="2"/>
  <c r="T61" i="2"/>
  <c r="S61" i="2"/>
  <c r="R61" i="2"/>
  <c r="Q61" i="2"/>
  <c r="C61" i="2"/>
  <c r="C60" i="2"/>
  <c r="A60" i="2"/>
  <c r="W59" i="2"/>
  <c r="V59" i="2"/>
  <c r="C59" i="2"/>
  <c r="Q58" i="2"/>
  <c r="P58" i="2"/>
  <c r="C58" i="2"/>
  <c r="E57" i="2"/>
  <c r="D57" i="2"/>
  <c r="C57" i="2"/>
  <c r="A57" i="2"/>
  <c r="W56" i="2"/>
  <c r="C56" i="2"/>
  <c r="O55" i="2"/>
  <c r="C55" i="2"/>
  <c r="C54" i="2"/>
  <c r="A54" i="2"/>
  <c r="C53" i="2"/>
  <c r="C52" i="2"/>
  <c r="C51" i="2"/>
  <c r="A51" i="2"/>
  <c r="C50" i="2"/>
  <c r="C49" i="2"/>
  <c r="C48" i="2"/>
  <c r="A48" i="2"/>
  <c r="W47" i="2"/>
  <c r="V47" i="2"/>
  <c r="C47" i="2"/>
  <c r="C46" i="2"/>
  <c r="C45" i="2"/>
  <c r="A45" i="2"/>
  <c r="C44" i="2"/>
  <c r="C43" i="2"/>
  <c r="C42" i="2"/>
  <c r="A42" i="2"/>
  <c r="C41" i="2"/>
  <c r="I40" i="2"/>
  <c r="C40" i="2"/>
  <c r="C39" i="2"/>
  <c r="A39" i="2"/>
  <c r="D38" i="2"/>
  <c r="C38" i="2"/>
  <c r="C37" i="2"/>
  <c r="C36" i="2"/>
  <c r="A36" i="2"/>
  <c r="C35" i="2"/>
  <c r="E34" i="2"/>
  <c r="D34" i="2"/>
  <c r="C34" i="2"/>
  <c r="C33" i="2"/>
  <c r="A33" i="2"/>
  <c r="I32" i="2"/>
  <c r="H32" i="2"/>
  <c r="G32" i="2"/>
  <c r="F32" i="2"/>
  <c r="E32" i="2"/>
  <c r="D32" i="2"/>
  <c r="C32" i="2"/>
  <c r="C31" i="2"/>
  <c r="I30" i="2"/>
  <c r="H30" i="2"/>
  <c r="G30" i="2"/>
  <c r="F30" i="2"/>
  <c r="E30" i="2"/>
  <c r="D30" i="2"/>
  <c r="C30" i="2"/>
  <c r="A30" i="2"/>
  <c r="H29" i="2"/>
  <c r="G29" i="2"/>
  <c r="F29" i="2"/>
  <c r="E29" i="2"/>
  <c r="D29" i="2"/>
  <c r="C29" i="2"/>
  <c r="C28" i="2"/>
  <c r="H27" i="2"/>
  <c r="G27" i="2"/>
  <c r="F27" i="2"/>
  <c r="E27" i="2"/>
  <c r="D27" i="2"/>
  <c r="C27" i="2"/>
  <c r="A27" i="2"/>
  <c r="L26" i="2"/>
  <c r="K26" i="2"/>
  <c r="J26" i="2"/>
  <c r="I26" i="2"/>
  <c r="H26" i="2"/>
  <c r="G26" i="2"/>
  <c r="F26" i="2"/>
  <c r="E26" i="2"/>
  <c r="D26" i="2"/>
  <c r="C26" i="2"/>
  <c r="C25" i="2"/>
  <c r="L24" i="2"/>
  <c r="K24" i="2"/>
  <c r="J24" i="2"/>
  <c r="I24" i="2"/>
  <c r="H24" i="2"/>
  <c r="G24" i="2"/>
  <c r="F24" i="2"/>
  <c r="E24" i="2"/>
  <c r="D24" i="2"/>
  <c r="C24" i="2"/>
  <c r="A24" i="2"/>
  <c r="E23" i="2"/>
  <c r="D23" i="2"/>
  <c r="C23" i="2"/>
  <c r="E22" i="2"/>
  <c r="D22" i="2"/>
  <c r="C22" i="2"/>
  <c r="C21" i="2"/>
  <c r="A21" i="2"/>
  <c r="F20" i="2"/>
  <c r="E20" i="2"/>
  <c r="D20" i="2"/>
  <c r="C20" i="2"/>
  <c r="F19" i="2"/>
  <c r="E19" i="2"/>
  <c r="D19" i="2"/>
  <c r="C19" i="2"/>
  <c r="C18" i="2"/>
  <c r="A18" i="2"/>
  <c r="E17" i="2"/>
  <c r="D17" i="2"/>
  <c r="C17" i="2"/>
  <c r="E16" i="2"/>
  <c r="D16" i="2"/>
  <c r="C16" i="2"/>
  <c r="C15" i="2"/>
  <c r="A15" i="2"/>
  <c r="D14" i="2"/>
  <c r="C14" i="2"/>
  <c r="D13" i="2"/>
  <c r="C13" i="2"/>
  <c r="C12" i="2"/>
  <c r="A12" i="2"/>
  <c r="E11" i="2"/>
  <c r="D11" i="2"/>
  <c r="C11" i="2"/>
  <c r="E10" i="2"/>
  <c r="D10" i="2"/>
  <c r="C10" i="2"/>
  <c r="C9" i="2"/>
  <c r="A9" i="2"/>
  <c r="E8" i="2"/>
  <c r="D8" i="2"/>
  <c r="C8" i="2"/>
  <c r="E7" i="2"/>
  <c r="D7" i="2"/>
  <c r="C7" i="2"/>
  <c r="C6" i="2"/>
  <c r="A6" i="2"/>
  <c r="N155" i="1"/>
  <c r="N154" i="1"/>
  <c r="N153" i="1"/>
  <c r="N152" i="1"/>
  <c r="N151" i="1"/>
  <c r="N150" i="1"/>
  <c r="N149" i="1"/>
  <c r="N148" i="1"/>
  <c r="N147" i="1"/>
  <c r="D7" i="1"/>
  <c r="C7" i="1"/>
  <c r="B7" i="1"/>
  <c r="D6" i="1"/>
  <c r="C6" i="1"/>
  <c r="B6" i="1"/>
  <c r="Q84" i="3" l="1"/>
  <c r="I71" i="3"/>
  <c r="O71" i="3" s="1"/>
  <c r="Q75" i="3"/>
  <c r="Q44" i="3"/>
  <c r="Q42" i="3"/>
  <c r="I29" i="3"/>
  <c r="Q26" i="3"/>
  <c r="Q94" i="3"/>
  <c r="Q88" i="3"/>
  <c r="Q73" i="3"/>
  <c r="Q62" i="3"/>
  <c r="Q50" i="3"/>
  <c r="I31" i="3"/>
  <c r="I26" i="3"/>
  <c r="I69" i="3"/>
  <c r="O69" i="3" s="1"/>
  <c r="Q60" i="3"/>
  <c r="BJ232" i="6"/>
  <c r="BI232" i="6"/>
  <c r="BH232" i="6"/>
  <c r="BG232" i="6"/>
  <c r="BF232" i="6"/>
  <c r="BE232" i="6"/>
  <c r="BD232" i="6"/>
  <c r="BC232" i="6"/>
  <c r="BB232" i="6"/>
  <c r="BA232" i="6"/>
  <c r="AZ232" i="6"/>
  <c r="AY232" i="6"/>
  <c r="AX232" i="6"/>
  <c r="AW232" i="6"/>
  <c r="AV232" i="6"/>
  <c r="AU232" i="6"/>
  <c r="AT232" i="6"/>
  <c r="AS232" i="6"/>
  <c r="AR232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AE232" i="6"/>
  <c r="AD232" i="6"/>
  <c r="AC232" i="6"/>
  <c r="AB232" i="6"/>
  <c r="AA232" i="6"/>
  <c r="Z232" i="6"/>
  <c r="Y232" i="6"/>
  <c r="X232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H232" i="6"/>
  <c r="G232" i="6"/>
  <c r="F232" i="6"/>
  <c r="E232" i="6"/>
  <c r="D232" i="6"/>
  <c r="C232" i="6"/>
  <c r="Q100" i="3"/>
  <c r="Q93" i="3"/>
  <c r="Q68" i="3"/>
  <c r="I75" i="3"/>
  <c r="O75" i="3" s="1"/>
  <c r="Q78" i="3"/>
  <c r="Q76" i="3"/>
  <c r="Q35" i="3"/>
  <c r="Q20" i="3"/>
  <c r="B14" i="5"/>
  <c r="Q92" i="3"/>
  <c r="Q91" i="3"/>
  <c r="Q79" i="3"/>
  <c r="Q72" i="3"/>
  <c r="I47" i="3"/>
  <c r="Q46" i="3"/>
  <c r="I45" i="3"/>
  <c r="I36" i="3"/>
  <c r="Q24" i="3"/>
  <c r="I92" i="3"/>
  <c r="O92" i="3" s="1"/>
  <c r="I76" i="3"/>
  <c r="O76" i="3" s="1"/>
  <c r="Q57" i="3"/>
  <c r="Q29" i="3"/>
  <c r="Q102" i="3"/>
  <c r="I78" i="3"/>
  <c r="Q54" i="3"/>
  <c r="Q38" i="3"/>
  <c r="Q22" i="3"/>
  <c r="I19" i="3"/>
  <c r="Q18" i="3"/>
  <c r="I18" i="3"/>
  <c r="Q17" i="3"/>
  <c r="I17" i="3"/>
  <c r="Q16" i="3"/>
  <c r="I16" i="3"/>
  <c r="Q15" i="3"/>
  <c r="I15" i="3"/>
  <c r="Q14" i="3"/>
  <c r="I14" i="3"/>
  <c r="Q13" i="3"/>
  <c r="I13" i="3"/>
  <c r="Q12" i="3"/>
  <c r="I12" i="3"/>
  <c r="Q11" i="3"/>
  <c r="I11" i="3"/>
  <c r="Q10" i="3"/>
  <c r="I10" i="3"/>
  <c r="O10" i="3" s="1"/>
  <c r="Q9" i="3"/>
  <c r="I9" i="3"/>
  <c r="Q8" i="3"/>
  <c r="I8" i="3"/>
  <c r="Q7" i="3"/>
  <c r="I7" i="3"/>
  <c r="Q6" i="3"/>
  <c r="I6" i="3"/>
  <c r="Q5" i="3"/>
  <c r="I5" i="3"/>
  <c r="Q96" i="3"/>
  <c r="I94" i="3"/>
  <c r="O94" i="3" s="1"/>
  <c r="Q77" i="3"/>
  <c r="Q71" i="3"/>
  <c r="I54" i="3"/>
  <c r="O54" i="3" s="1"/>
  <c r="Q51" i="3"/>
  <c r="Q36" i="3"/>
  <c r="Q32" i="3"/>
  <c r="I27" i="3"/>
  <c r="D89" i="2"/>
  <c r="D104" i="2"/>
  <c r="BJ341" i="6"/>
  <c r="BJ355" i="6"/>
  <c r="BI341" i="6"/>
  <c r="BI355" i="6"/>
  <c r="BH341" i="6"/>
  <c r="BH355" i="6"/>
  <c r="BG341" i="6"/>
  <c r="BG355" i="6"/>
  <c r="BF341" i="6"/>
  <c r="BF355" i="6"/>
  <c r="BE341" i="6"/>
  <c r="BE355" i="6"/>
  <c r="BD341" i="6"/>
  <c r="BD355" i="6"/>
  <c r="BC341" i="6"/>
  <c r="BC355" i="6"/>
  <c r="BB341" i="6"/>
  <c r="BB355" i="6"/>
  <c r="BA341" i="6"/>
  <c r="BA355" i="6"/>
  <c r="AZ341" i="6"/>
  <c r="AZ355" i="6"/>
  <c r="AY341" i="6"/>
  <c r="AY355" i="6"/>
  <c r="AX341" i="6"/>
  <c r="AX355" i="6"/>
  <c r="AW341" i="6"/>
  <c r="AW355" i="6"/>
  <c r="AV341" i="6"/>
  <c r="AV355" i="6"/>
  <c r="AU341" i="6"/>
  <c r="AU355" i="6"/>
  <c r="AT341" i="6"/>
  <c r="AT355" i="6"/>
  <c r="AS341" i="6"/>
  <c r="AS355" i="6"/>
  <c r="AR341" i="6"/>
  <c r="AR355" i="6"/>
  <c r="AQ341" i="6"/>
  <c r="AQ355" i="6"/>
  <c r="AP341" i="6"/>
  <c r="AP355" i="6"/>
  <c r="AO341" i="6"/>
  <c r="AO355" i="6"/>
  <c r="AN341" i="6"/>
  <c r="AN355" i="6"/>
  <c r="AM341" i="6"/>
  <c r="AM355" i="6"/>
  <c r="AL341" i="6"/>
  <c r="AL355" i="6"/>
  <c r="AK341" i="6"/>
  <c r="AK355" i="6"/>
  <c r="AJ341" i="6"/>
  <c r="AJ355" i="6"/>
  <c r="AI341" i="6"/>
  <c r="AI355" i="6"/>
  <c r="AH341" i="6"/>
  <c r="AH355" i="6"/>
  <c r="AG341" i="6"/>
  <c r="AG355" i="6"/>
  <c r="AF341" i="6"/>
  <c r="AF355" i="6"/>
  <c r="AE341" i="6"/>
  <c r="AE355" i="6"/>
  <c r="AD341" i="6"/>
  <c r="AD355" i="6"/>
  <c r="AC341" i="6"/>
  <c r="AC355" i="6"/>
  <c r="AB341" i="6"/>
  <c r="AB355" i="6"/>
  <c r="AA341" i="6"/>
  <c r="AA355" i="6"/>
  <c r="Z341" i="6"/>
  <c r="Z355" i="6"/>
  <c r="Y341" i="6"/>
  <c r="Y355" i="6"/>
  <c r="X341" i="6"/>
  <c r="X355" i="6"/>
  <c r="W341" i="6"/>
  <c r="W355" i="6"/>
  <c r="V341" i="6"/>
  <c r="U341" i="6"/>
  <c r="T341" i="6"/>
  <c r="S341" i="6"/>
  <c r="R341" i="6"/>
  <c r="Q341" i="6"/>
  <c r="P341" i="6"/>
  <c r="O341" i="6"/>
  <c r="N341" i="6"/>
  <c r="M341" i="6"/>
  <c r="L341" i="6"/>
  <c r="K341" i="6"/>
  <c r="J341" i="6"/>
  <c r="I341" i="6"/>
  <c r="H341" i="6"/>
  <c r="G341" i="6"/>
  <c r="F341" i="6"/>
  <c r="E341" i="6"/>
  <c r="D341" i="6"/>
  <c r="C341" i="6"/>
  <c r="E129" i="6"/>
  <c r="L123" i="6"/>
  <c r="M123" i="6" s="1"/>
  <c r="N123" i="6" s="1"/>
  <c r="L122" i="6"/>
  <c r="M122" i="6" s="1"/>
  <c r="N122" i="6" s="1"/>
  <c r="L121" i="6"/>
  <c r="M121" i="6" s="1"/>
  <c r="N121" i="6" s="1"/>
  <c r="L120" i="6"/>
  <c r="M120" i="6"/>
  <c r="N120" i="6" s="1"/>
  <c r="L119" i="6"/>
  <c r="M119" i="6" s="1"/>
  <c r="N119" i="6" s="1"/>
  <c r="L118" i="6"/>
  <c r="M118" i="6" s="1"/>
  <c r="N118" i="6" s="1"/>
  <c r="L117" i="6"/>
  <c r="M117" i="6"/>
  <c r="N117" i="6" s="1"/>
  <c r="L116" i="6"/>
  <c r="M116" i="6" s="1"/>
  <c r="N116" i="6" s="1"/>
  <c r="L115" i="6"/>
  <c r="M115" i="6" s="1"/>
  <c r="N115" i="6" s="1"/>
  <c r="L114" i="6"/>
  <c r="M114" i="6"/>
  <c r="N114" i="6" s="1"/>
  <c r="L113" i="6"/>
  <c r="M113" i="6"/>
  <c r="N113" i="6" s="1"/>
  <c r="L112" i="6"/>
  <c r="M112" i="6" s="1"/>
  <c r="N112" i="6" s="1"/>
  <c r="L111" i="6"/>
  <c r="M111" i="6" s="1"/>
  <c r="N111" i="6" s="1"/>
  <c r="L110" i="6"/>
  <c r="M110" i="6" s="1"/>
  <c r="N110" i="6" s="1"/>
  <c r="L109" i="6"/>
  <c r="M109" i="6" s="1"/>
  <c r="N109" i="6" s="1"/>
  <c r="L108" i="6"/>
  <c r="M108" i="6" s="1"/>
  <c r="N108" i="6" s="1"/>
  <c r="L107" i="6"/>
  <c r="M107" i="6" s="1"/>
  <c r="N107" i="6" s="1"/>
  <c r="L106" i="6"/>
  <c r="M106" i="6" s="1"/>
  <c r="N106" i="6" s="1"/>
  <c r="L105" i="6"/>
  <c r="M105" i="6"/>
  <c r="N105" i="6" s="1"/>
  <c r="L104" i="6"/>
  <c r="M104" i="6" s="1"/>
  <c r="N104" i="6" s="1"/>
  <c r="L103" i="6"/>
  <c r="M103" i="6"/>
  <c r="N103" i="6" s="1"/>
  <c r="L102" i="6"/>
  <c r="M102" i="6"/>
  <c r="N102" i="6" s="1"/>
  <c r="L101" i="6"/>
  <c r="M101" i="6" s="1"/>
  <c r="N101" i="6" s="1"/>
  <c r="L100" i="6"/>
  <c r="M100" i="6"/>
  <c r="N100" i="6" s="1"/>
  <c r="L99" i="6"/>
  <c r="M99" i="6" s="1"/>
  <c r="N99" i="6" s="1"/>
  <c r="L98" i="6"/>
  <c r="M98" i="6" s="1"/>
  <c r="N98" i="6" s="1"/>
  <c r="L97" i="6"/>
  <c r="M97" i="6" s="1"/>
  <c r="N97" i="6" s="1"/>
  <c r="L96" i="6"/>
  <c r="M96" i="6" s="1"/>
  <c r="N96" i="6" s="1"/>
  <c r="L95" i="6"/>
  <c r="M95" i="6" s="1"/>
  <c r="N95" i="6" s="1"/>
  <c r="L94" i="6"/>
  <c r="M94" i="6"/>
  <c r="N94" i="6" s="1"/>
  <c r="L93" i="6"/>
  <c r="M93" i="6" s="1"/>
  <c r="N93" i="6" s="1"/>
  <c r="L92" i="6"/>
  <c r="M92" i="6" s="1"/>
  <c r="N92" i="6" s="1"/>
  <c r="T303" i="6"/>
  <c r="U218" i="2" s="1"/>
  <c r="R303" i="6"/>
  <c r="Q303" i="6"/>
  <c r="R218" i="2" s="1"/>
  <c r="U303" i="6"/>
  <c r="V218" i="2" s="1"/>
  <c r="P303" i="6"/>
  <c r="Q218" i="2" s="1"/>
  <c r="O303" i="6"/>
  <c r="P218" i="2" s="1"/>
  <c r="N303" i="6"/>
  <c r="O218" i="2" s="1"/>
  <c r="M303" i="6"/>
  <c r="N218" i="2" s="1"/>
  <c r="L303" i="6"/>
  <c r="M218" i="2" s="1"/>
  <c r="K303" i="6"/>
  <c r="L218" i="2" s="1"/>
  <c r="D303" i="6"/>
  <c r="E218" i="2" s="1"/>
  <c r="J303" i="6"/>
  <c r="K218" i="2" s="1"/>
  <c r="H303" i="6"/>
  <c r="I218" i="2" s="1"/>
  <c r="G303" i="6"/>
  <c r="H218" i="2" s="1"/>
  <c r="I303" i="6"/>
  <c r="J218" i="2" s="1"/>
  <c r="F303" i="6"/>
  <c r="G218" i="2" s="1"/>
  <c r="E303" i="6"/>
  <c r="F218" i="2" s="1"/>
  <c r="C303" i="6"/>
  <c r="S303" i="6"/>
  <c r="T218" i="2" s="1"/>
  <c r="L91" i="6"/>
  <c r="AG302" i="6"/>
  <c r="AH89" i="2" s="1"/>
  <c r="AF302" i="6"/>
  <c r="AG89" i="2" s="1"/>
  <c r="AE302" i="6"/>
  <c r="AF89" i="2" s="1"/>
  <c r="AD302" i="6"/>
  <c r="AE89" i="2" s="1"/>
  <c r="AC302" i="6"/>
  <c r="AD89" i="2" s="1"/>
  <c r="AB302" i="6"/>
  <c r="AC89" i="2" s="1"/>
  <c r="Z302" i="6"/>
  <c r="AA89" i="2" s="1"/>
  <c r="Y302" i="6"/>
  <c r="Z89" i="2" s="1"/>
  <c r="X302" i="6"/>
  <c r="Y89" i="2" s="1"/>
  <c r="W302" i="6"/>
  <c r="X89" i="2" s="1"/>
  <c r="V302" i="6"/>
  <c r="W89" i="2" s="1"/>
  <c r="U302" i="6"/>
  <c r="V89" i="2" s="1"/>
  <c r="T302" i="6"/>
  <c r="U89" i="2" s="1"/>
  <c r="R302" i="6"/>
  <c r="S89" i="2" s="1"/>
  <c r="Q302" i="6"/>
  <c r="R89" i="2" s="1"/>
  <c r="P302" i="6"/>
  <c r="Q89" i="2" s="1"/>
  <c r="O302" i="6"/>
  <c r="P89" i="2" s="1"/>
  <c r="N302" i="6"/>
  <c r="O89" i="2" s="1"/>
  <c r="M302" i="6"/>
  <c r="N89" i="2" s="1"/>
  <c r="L302" i="6"/>
  <c r="M89" i="2" s="1"/>
  <c r="K302" i="6"/>
  <c r="L89" i="2" s="1"/>
  <c r="AO302" i="6"/>
  <c r="AP89" i="2" s="1"/>
  <c r="L90" i="6"/>
  <c r="H301" i="6"/>
  <c r="I266" i="2" s="1"/>
  <c r="I301" i="6"/>
  <c r="J266" i="2" s="1"/>
  <c r="J301" i="6"/>
  <c r="K266" i="2" s="1"/>
  <c r="K301" i="6"/>
  <c r="L266" i="2" s="1"/>
  <c r="L301" i="6"/>
  <c r="M266" i="2" s="1"/>
  <c r="M301" i="6"/>
  <c r="N266" i="2" s="1"/>
  <c r="N301" i="6"/>
  <c r="O266" i="2" s="1"/>
  <c r="O301" i="6"/>
  <c r="P266" i="2" s="1"/>
  <c r="P301" i="6"/>
  <c r="Q266" i="2" s="1"/>
  <c r="E301" i="6"/>
  <c r="F266" i="2" s="1"/>
  <c r="Q301" i="6"/>
  <c r="R266" i="2" s="1"/>
  <c r="R301" i="6"/>
  <c r="S266" i="2" s="1"/>
  <c r="S301" i="6"/>
  <c r="T266" i="2" s="1"/>
  <c r="F301" i="6"/>
  <c r="G266" i="2" s="1"/>
  <c r="T301" i="6"/>
  <c r="U301" i="6"/>
  <c r="V301" i="6"/>
  <c r="W301" i="6"/>
  <c r="X266" i="2" s="1"/>
  <c r="X301" i="6"/>
  <c r="Y266" i="2" s="1"/>
  <c r="Y301" i="6"/>
  <c r="Z266" i="2" s="1"/>
  <c r="Z301" i="6"/>
  <c r="AA266" i="2" s="1"/>
  <c r="AA301" i="6"/>
  <c r="AB266" i="2" s="1"/>
  <c r="AB301" i="6"/>
  <c r="AC266" i="2" s="1"/>
  <c r="AC301" i="6"/>
  <c r="AD266" i="2" s="1"/>
  <c r="AD301" i="6"/>
  <c r="AE266" i="2" s="1"/>
  <c r="AE301" i="6"/>
  <c r="AF266" i="2" s="1"/>
  <c r="AF301" i="6"/>
  <c r="AG266" i="2" s="1"/>
  <c r="AG301" i="6"/>
  <c r="AH266" i="2" s="1"/>
  <c r="AH301" i="6"/>
  <c r="AI266" i="2" s="1"/>
  <c r="AI301" i="6"/>
  <c r="AJ266" i="2" s="1"/>
  <c r="AJ301" i="6"/>
  <c r="AK266" i="2" s="1"/>
  <c r="D301" i="6"/>
  <c r="E266" i="2" s="1"/>
  <c r="C301" i="6"/>
  <c r="AL301" i="6"/>
  <c r="AM266" i="2" s="1"/>
  <c r="L89" i="6"/>
  <c r="M89" i="6"/>
  <c r="N89" i="6" s="1"/>
  <c r="AM300" i="6"/>
  <c r="AN104" i="2" s="1"/>
  <c r="AN300" i="6"/>
  <c r="AO104" i="2" s="1"/>
  <c r="AO300" i="6"/>
  <c r="AP104" i="2" s="1"/>
  <c r="AP300" i="6"/>
  <c r="AQ104" i="2" s="1"/>
  <c r="AQ300" i="6"/>
  <c r="AR104" i="2" s="1"/>
  <c r="AR300" i="6"/>
  <c r="AS104" i="2" s="1"/>
  <c r="AS300" i="6"/>
  <c r="AT104" i="2" s="1"/>
  <c r="AT300" i="6"/>
  <c r="AU104" i="2" s="1"/>
  <c r="AU300" i="6"/>
  <c r="AV104" i="2" s="1"/>
  <c r="AV300" i="6"/>
  <c r="AW104" i="2" s="1"/>
  <c r="AW300" i="6"/>
  <c r="AX104" i="2" s="1"/>
  <c r="AX300" i="6"/>
  <c r="AY104" i="2" s="1"/>
  <c r="AY300" i="6"/>
  <c r="AZ104" i="2" s="1"/>
  <c r="AZ300" i="6"/>
  <c r="BA104" i="2" s="1"/>
  <c r="BA300" i="6"/>
  <c r="BB104" i="2" s="1"/>
  <c r="L88" i="6"/>
  <c r="AM299" i="6"/>
  <c r="AN233" i="2" s="1"/>
  <c r="AN299" i="6"/>
  <c r="AO233" i="2" s="1"/>
  <c r="AO299" i="6"/>
  <c r="AP233" i="2" s="1"/>
  <c r="AP299" i="6"/>
  <c r="AQ233" i="2" s="1"/>
  <c r="AQ299" i="6"/>
  <c r="AR233" i="2" s="1"/>
  <c r="AR299" i="6"/>
  <c r="AS233" i="2" s="1"/>
  <c r="AS299" i="6"/>
  <c r="AT233" i="2" s="1"/>
  <c r="AT299" i="6"/>
  <c r="AU233" i="2" s="1"/>
  <c r="AU299" i="6"/>
  <c r="AV233" i="2" s="1"/>
  <c r="AV299" i="6"/>
  <c r="AW233" i="2" s="1"/>
  <c r="AW299" i="6"/>
  <c r="AX233" i="2" s="1"/>
  <c r="AY299" i="6"/>
  <c r="AZ233" i="2" s="1"/>
  <c r="AZ299" i="6"/>
  <c r="BA233" i="2" s="1"/>
  <c r="BA299" i="6"/>
  <c r="BB233" i="2" s="1"/>
  <c r="BC299" i="6"/>
  <c r="BD233" i="2" s="1"/>
  <c r="BD299" i="6"/>
  <c r="BE233" i="2" s="1"/>
  <c r="BE299" i="6"/>
  <c r="BF233" i="2" s="1"/>
  <c r="BF299" i="6"/>
  <c r="BG233" i="2" s="1"/>
  <c r="BG299" i="6"/>
  <c r="BH233" i="2" s="1"/>
  <c r="L87" i="6"/>
  <c r="T298" i="6"/>
  <c r="S298" i="6"/>
  <c r="R298" i="6"/>
  <c r="Y298" i="6"/>
  <c r="Z188" i="2" s="1"/>
  <c r="L86" i="6"/>
  <c r="C297" i="6"/>
  <c r="D297" i="6"/>
  <c r="E297" i="6"/>
  <c r="F297" i="6"/>
  <c r="G297" i="6"/>
  <c r="H297" i="6"/>
  <c r="I297" i="6"/>
  <c r="J297" i="6"/>
  <c r="K297" i="6"/>
  <c r="L152" i="2" s="1"/>
  <c r="L297" i="6"/>
  <c r="M152" i="2" s="1"/>
  <c r="M297" i="6"/>
  <c r="N152" i="2" s="1"/>
  <c r="N297" i="6"/>
  <c r="O152" i="2" s="1"/>
  <c r="O297" i="6"/>
  <c r="P152" i="2" s="1"/>
  <c r="P297" i="6"/>
  <c r="Q152" i="2" s="1"/>
  <c r="Q297" i="6"/>
  <c r="R152" i="2" s="1"/>
  <c r="R297" i="6"/>
  <c r="S152" i="2" s="1"/>
  <c r="T297" i="6"/>
  <c r="U152" i="2" s="1"/>
  <c r="U297" i="6"/>
  <c r="V152" i="2" s="1"/>
  <c r="V297" i="6"/>
  <c r="W152" i="2" s="1"/>
  <c r="W297" i="6"/>
  <c r="X152" i="2" s="1"/>
  <c r="X297" i="6"/>
  <c r="Y152" i="2" s="1"/>
  <c r="Y297" i="6"/>
  <c r="Z152" i="2" s="1"/>
  <c r="Z297" i="6"/>
  <c r="AA152" i="2" s="1"/>
  <c r="AA297" i="6"/>
  <c r="AB152" i="2" s="1"/>
  <c r="AB297" i="6"/>
  <c r="AC152" i="2" s="1"/>
  <c r="AC297" i="6"/>
  <c r="AD152" i="2" s="1"/>
  <c r="AD297" i="6"/>
  <c r="AE152" i="2" s="1"/>
  <c r="AE297" i="6"/>
  <c r="AF152" i="2" s="1"/>
  <c r="AF297" i="6"/>
  <c r="AG152" i="2" s="1"/>
  <c r="AG297" i="6"/>
  <c r="AH152" i="2" s="1"/>
  <c r="AH297" i="6"/>
  <c r="AI152" i="2" s="1"/>
  <c r="AI297" i="6"/>
  <c r="AJ152" i="2" s="1"/>
  <c r="AJ297" i="6"/>
  <c r="AK152" i="2" s="1"/>
  <c r="AK297" i="6"/>
  <c r="AL152" i="2" s="1"/>
  <c r="L85" i="6"/>
  <c r="M85" i="6"/>
  <c r="N85" i="6" s="1"/>
  <c r="AG296" i="6"/>
  <c r="AH212" i="2" s="1"/>
  <c r="AF296" i="6"/>
  <c r="AG212" i="2" s="1"/>
  <c r="AE296" i="6"/>
  <c r="AF212" i="2" s="1"/>
  <c r="AD296" i="6"/>
  <c r="AE212" i="2" s="1"/>
  <c r="AC296" i="6"/>
  <c r="AD212" i="2" s="1"/>
  <c r="AB296" i="6"/>
  <c r="AC212" i="2" s="1"/>
  <c r="AA296" i="6"/>
  <c r="AB212" i="2" s="1"/>
  <c r="Z296" i="6"/>
  <c r="AA212" i="2" s="1"/>
  <c r="Y296" i="6"/>
  <c r="Z212" i="2" s="1"/>
  <c r="X296" i="6"/>
  <c r="Y212" i="2" s="1"/>
  <c r="W296" i="6"/>
  <c r="X212" i="2" s="1"/>
  <c r="V296" i="6"/>
  <c r="W212" i="2" s="1"/>
  <c r="U296" i="6"/>
  <c r="V212" i="2" s="1"/>
  <c r="T296" i="6"/>
  <c r="U212" i="2" s="1"/>
  <c r="S296" i="6"/>
  <c r="T212" i="2" s="1"/>
  <c r="R296" i="6"/>
  <c r="S212" i="2" s="1"/>
  <c r="Q296" i="6"/>
  <c r="R212" i="2" s="1"/>
  <c r="P296" i="6"/>
  <c r="Q212" i="2" s="1"/>
  <c r="O296" i="6"/>
  <c r="P212" i="2" s="1"/>
  <c r="N296" i="6"/>
  <c r="O212" i="2" s="1"/>
  <c r="M296" i="6"/>
  <c r="N212" i="2" s="1"/>
  <c r="L296" i="6"/>
  <c r="M212" i="2" s="1"/>
  <c r="K296" i="6"/>
  <c r="L212" i="2" s="1"/>
  <c r="J296" i="6"/>
  <c r="K212" i="2" s="1"/>
  <c r="I296" i="6"/>
  <c r="AX296" i="6"/>
  <c r="AY212" i="2" s="1"/>
  <c r="G296" i="6"/>
  <c r="F296" i="6"/>
  <c r="E296" i="6"/>
  <c r="D296" i="6"/>
  <c r="E212" i="2" s="1"/>
  <c r="C296" i="6"/>
  <c r="BI296" i="6"/>
  <c r="BJ212" i="2" s="1"/>
  <c r="BH296" i="6"/>
  <c r="BI212" i="2" s="1"/>
  <c r="BF296" i="6"/>
  <c r="BG212" i="2" s="1"/>
  <c r="BE296" i="6"/>
  <c r="BF212" i="2" s="1"/>
  <c r="BD296" i="6"/>
  <c r="BE212" i="2" s="1"/>
  <c r="BC296" i="6"/>
  <c r="BD212" i="2" s="1"/>
  <c r="BB296" i="6"/>
  <c r="BC212" i="2" s="1"/>
  <c r="BA296" i="6"/>
  <c r="BB212" i="2" s="1"/>
  <c r="AZ296" i="6"/>
  <c r="BA212" i="2" s="1"/>
  <c r="AY296" i="6"/>
  <c r="AZ212" i="2" s="1"/>
  <c r="BG296" i="6"/>
  <c r="BH212" i="2" s="1"/>
  <c r="AW296" i="6"/>
  <c r="AX212" i="2" s="1"/>
  <c r="AV296" i="6"/>
  <c r="AW212" i="2" s="1"/>
  <c r="AU296" i="6"/>
  <c r="AV212" i="2" s="1"/>
  <c r="AT296" i="6"/>
  <c r="AU212" i="2" s="1"/>
  <c r="AS296" i="6"/>
  <c r="AT212" i="2" s="1"/>
  <c r="AH296" i="6"/>
  <c r="AI212" i="2" s="1"/>
  <c r="AR296" i="6"/>
  <c r="AS212" i="2" s="1"/>
  <c r="AQ296" i="6"/>
  <c r="AR212" i="2" s="1"/>
  <c r="AP296" i="6"/>
  <c r="AQ212" i="2" s="1"/>
  <c r="AO296" i="6"/>
  <c r="AP212" i="2" s="1"/>
  <c r="AN296" i="6"/>
  <c r="AO212" i="2" s="1"/>
  <c r="AM296" i="6"/>
  <c r="AN212" i="2" s="1"/>
  <c r="AL296" i="6"/>
  <c r="AM212" i="2" s="1"/>
  <c r="AK296" i="6"/>
  <c r="AL212" i="2" s="1"/>
  <c r="L84" i="6"/>
  <c r="M84" i="6"/>
  <c r="N84" i="6" s="1"/>
  <c r="AK295" i="6"/>
  <c r="AL71" i="2" s="1"/>
  <c r="BJ295" i="6"/>
  <c r="BK71" i="2" s="1"/>
  <c r="BI295" i="6"/>
  <c r="BJ71" i="2" s="1"/>
  <c r="BH295" i="6"/>
  <c r="BI71" i="2" s="1"/>
  <c r="BG295" i="6"/>
  <c r="BH71" i="2" s="1"/>
  <c r="BF295" i="6"/>
  <c r="BG71" i="2" s="1"/>
  <c r="BE295" i="6"/>
  <c r="BF71" i="2" s="1"/>
  <c r="BD295" i="6"/>
  <c r="BE71" i="2" s="1"/>
  <c r="BC295" i="6"/>
  <c r="BD71" i="2" s="1"/>
  <c r="BB295" i="6"/>
  <c r="BC71" i="2" s="1"/>
  <c r="BA295" i="6"/>
  <c r="BB71" i="2" s="1"/>
  <c r="AY295" i="6"/>
  <c r="AZ71" i="2" s="1"/>
  <c r="AX295" i="6"/>
  <c r="AY71" i="2" s="1"/>
  <c r="AW295" i="6"/>
  <c r="AX71" i="2" s="1"/>
  <c r="AV295" i="6"/>
  <c r="AW71" i="2" s="1"/>
  <c r="AU295" i="6"/>
  <c r="AV71" i="2" s="1"/>
  <c r="AT295" i="6"/>
  <c r="AU71" i="2" s="1"/>
  <c r="AS295" i="6"/>
  <c r="AT71" i="2" s="1"/>
  <c r="AR295" i="6"/>
  <c r="AS71" i="2" s="1"/>
  <c r="AQ295" i="6"/>
  <c r="AR71" i="2" s="1"/>
  <c r="AP295" i="6"/>
  <c r="AQ71" i="2" s="1"/>
  <c r="AO295" i="6"/>
  <c r="AP71" i="2" s="1"/>
  <c r="AN295" i="6"/>
  <c r="AO71" i="2" s="1"/>
  <c r="AM295" i="6"/>
  <c r="AN71" i="2" s="1"/>
  <c r="AL295" i="6"/>
  <c r="AM71" i="2" s="1"/>
  <c r="K295" i="6"/>
  <c r="L71" i="2" s="1"/>
  <c r="J295" i="6"/>
  <c r="K71" i="2" s="1"/>
  <c r="I295" i="6"/>
  <c r="J71" i="2" s="1"/>
  <c r="H295" i="6"/>
  <c r="I71" i="2" s="1"/>
  <c r="AI295" i="6"/>
  <c r="AJ71" i="2" s="1"/>
  <c r="F295" i="6"/>
  <c r="G71" i="2" s="1"/>
  <c r="E295" i="6"/>
  <c r="F71" i="2" s="1"/>
  <c r="D295" i="6"/>
  <c r="E71" i="2" s="1"/>
  <c r="C295" i="6"/>
  <c r="AH295" i="6"/>
  <c r="AI71" i="2" s="1"/>
  <c r="AG295" i="6"/>
  <c r="AH71" i="2" s="1"/>
  <c r="AF295" i="6"/>
  <c r="AG71" i="2" s="1"/>
  <c r="AE295" i="6"/>
  <c r="AF71" i="2" s="1"/>
  <c r="AD295" i="6"/>
  <c r="AE71" i="2" s="1"/>
  <c r="AC295" i="6"/>
  <c r="AD71" i="2" s="1"/>
  <c r="AB295" i="6"/>
  <c r="AC71" i="2" s="1"/>
  <c r="AA295" i="6"/>
  <c r="AB71" i="2" s="1"/>
  <c r="Z295" i="6"/>
  <c r="AA71" i="2" s="1"/>
  <c r="Y295" i="6"/>
  <c r="Z71" i="2" s="1"/>
  <c r="AZ295" i="6"/>
  <c r="BA71" i="2" s="1"/>
  <c r="X295" i="6"/>
  <c r="Y71" i="2" s="1"/>
  <c r="W295" i="6"/>
  <c r="X71" i="2" s="1"/>
  <c r="V295" i="6"/>
  <c r="U295" i="6"/>
  <c r="T295" i="6"/>
  <c r="S295" i="6"/>
  <c r="R295" i="6"/>
  <c r="S71" i="2" s="1"/>
  <c r="Q295" i="6"/>
  <c r="R71" i="2" s="1"/>
  <c r="P295" i="6"/>
  <c r="Q71" i="2" s="1"/>
  <c r="O295" i="6"/>
  <c r="P71" i="2" s="1"/>
  <c r="AJ295" i="6"/>
  <c r="AK71" i="2" s="1"/>
  <c r="N295" i="6"/>
  <c r="O71" i="2" s="1"/>
  <c r="M295" i="6"/>
  <c r="N71" i="2" s="1"/>
  <c r="L295" i="6"/>
  <c r="M71" i="2" s="1"/>
  <c r="G295" i="6"/>
  <c r="H71" i="2" s="1"/>
  <c r="L83" i="6"/>
  <c r="BJ294" i="6"/>
  <c r="BK80" i="2" s="1"/>
  <c r="BI294" i="6"/>
  <c r="BJ80" i="2" s="1"/>
  <c r="BH294" i="6"/>
  <c r="BI80" i="2" s="1"/>
  <c r="BG294" i="6"/>
  <c r="BH80" i="2" s="1"/>
  <c r="BF294" i="6"/>
  <c r="BG80" i="2" s="1"/>
  <c r="BE294" i="6"/>
  <c r="BF80" i="2" s="1"/>
  <c r="BD294" i="6"/>
  <c r="BE80" i="2" s="1"/>
  <c r="BC294" i="6"/>
  <c r="BD80" i="2" s="1"/>
  <c r="BB294" i="6"/>
  <c r="BC80" i="2" s="1"/>
  <c r="BA294" i="6"/>
  <c r="BB80" i="2" s="1"/>
  <c r="AZ294" i="6"/>
  <c r="BA80" i="2" s="1"/>
  <c r="AY294" i="6"/>
  <c r="AZ80" i="2" s="1"/>
  <c r="AX294" i="6"/>
  <c r="AY80" i="2" s="1"/>
  <c r="AW294" i="6"/>
  <c r="AX80" i="2" s="1"/>
  <c r="AV294" i="6"/>
  <c r="AW80" i="2" s="1"/>
  <c r="AU294" i="6"/>
  <c r="AV80" i="2" s="1"/>
  <c r="AT294" i="6"/>
  <c r="AU80" i="2" s="1"/>
  <c r="AS294" i="6"/>
  <c r="AT80" i="2" s="1"/>
  <c r="AR294" i="6"/>
  <c r="AS80" i="2" s="1"/>
  <c r="AQ294" i="6"/>
  <c r="AR80" i="2" s="1"/>
  <c r="AP294" i="6"/>
  <c r="AQ80" i="2" s="1"/>
  <c r="AO294" i="6"/>
  <c r="AP80" i="2" s="1"/>
  <c r="AN294" i="6"/>
  <c r="AO80" i="2" s="1"/>
  <c r="AM294" i="6"/>
  <c r="AN80" i="2" s="1"/>
  <c r="AL294" i="6"/>
  <c r="AM80" i="2" s="1"/>
  <c r="AK294" i="6"/>
  <c r="AL80" i="2" s="1"/>
  <c r="L82" i="6"/>
  <c r="M293" i="6"/>
  <c r="N206" i="2" s="1"/>
  <c r="L293" i="6"/>
  <c r="M206" i="2" s="1"/>
  <c r="AB293" i="6"/>
  <c r="AC206" i="2" s="1"/>
  <c r="K293" i="6"/>
  <c r="L206" i="2" s="1"/>
  <c r="J293" i="6"/>
  <c r="K206" i="2" s="1"/>
  <c r="I293" i="6"/>
  <c r="J206" i="2" s="1"/>
  <c r="H293" i="6"/>
  <c r="I206" i="2" s="1"/>
  <c r="G293" i="6"/>
  <c r="H206" i="2" s="1"/>
  <c r="F293" i="6"/>
  <c r="G206" i="2" s="1"/>
  <c r="E293" i="6"/>
  <c r="F206" i="2" s="1"/>
  <c r="D293" i="6"/>
  <c r="E206" i="2" s="1"/>
  <c r="C293" i="6"/>
  <c r="P293" i="6"/>
  <c r="Q206" i="2" s="1"/>
  <c r="Q293" i="6"/>
  <c r="R206" i="2" s="1"/>
  <c r="R293" i="6"/>
  <c r="S206" i="2" s="1"/>
  <c r="S293" i="6"/>
  <c r="T206" i="2" s="1"/>
  <c r="BJ293" i="6"/>
  <c r="BK206" i="2" s="1"/>
  <c r="BI293" i="6"/>
  <c r="BJ206" i="2" s="1"/>
  <c r="BA293" i="6"/>
  <c r="BB206" i="2" s="1"/>
  <c r="M82" i="6"/>
  <c r="N82" i="6" s="1"/>
  <c r="T293" i="6"/>
  <c r="BH293" i="6"/>
  <c r="BI206" i="2" s="1"/>
  <c r="O293" i="6"/>
  <c r="P206" i="2" s="1"/>
  <c r="AI293" i="6"/>
  <c r="AJ206" i="2" s="1"/>
  <c r="BF293" i="6"/>
  <c r="BG206" i="2" s="1"/>
  <c r="BE293" i="6"/>
  <c r="BF206" i="2" s="1"/>
  <c r="BD293" i="6"/>
  <c r="BE206" i="2" s="1"/>
  <c r="BC293" i="6"/>
  <c r="BD206" i="2" s="1"/>
  <c r="BB293" i="6"/>
  <c r="BC206" i="2" s="1"/>
  <c r="N293" i="6"/>
  <c r="O206" i="2" s="1"/>
  <c r="AZ293" i="6"/>
  <c r="BA206" i="2" s="1"/>
  <c r="AY293" i="6"/>
  <c r="AZ206" i="2" s="1"/>
  <c r="AX293" i="6"/>
  <c r="AY206" i="2" s="1"/>
  <c r="AW293" i="6"/>
  <c r="AX206" i="2" s="1"/>
  <c r="AV293" i="6"/>
  <c r="AW206" i="2" s="1"/>
  <c r="AU293" i="6"/>
  <c r="AV206" i="2" s="1"/>
  <c r="AT293" i="6"/>
  <c r="AU206" i="2" s="1"/>
  <c r="AS293" i="6"/>
  <c r="AT206" i="2" s="1"/>
  <c r="AR293" i="6"/>
  <c r="AS206" i="2" s="1"/>
  <c r="AQ293" i="6"/>
  <c r="AR206" i="2" s="1"/>
  <c r="AP293" i="6"/>
  <c r="AQ206" i="2" s="1"/>
  <c r="AO293" i="6"/>
  <c r="AP206" i="2" s="1"/>
  <c r="AN293" i="6"/>
  <c r="AO206" i="2" s="1"/>
  <c r="AM293" i="6"/>
  <c r="AN206" i="2" s="1"/>
  <c r="AL293" i="6"/>
  <c r="AM206" i="2" s="1"/>
  <c r="AK293" i="6"/>
  <c r="AL206" i="2" s="1"/>
  <c r="AJ293" i="6"/>
  <c r="AK206" i="2" s="1"/>
  <c r="U293" i="6"/>
  <c r="AA293" i="6"/>
  <c r="AB206" i="2" s="1"/>
  <c r="Z293" i="6"/>
  <c r="AA206" i="2" s="1"/>
  <c r="Y293" i="6"/>
  <c r="Z206" i="2" s="1"/>
  <c r="X293" i="6"/>
  <c r="Y206" i="2" s="1"/>
  <c r="W293" i="6"/>
  <c r="X206" i="2" s="1"/>
  <c r="V293" i="6"/>
  <c r="BG293" i="6"/>
  <c r="BH206" i="2" s="1"/>
  <c r="L81" i="6"/>
  <c r="M81" i="6" s="1"/>
  <c r="N81" i="6" s="1"/>
  <c r="N292" i="6"/>
  <c r="O32" i="2" s="1"/>
  <c r="BJ292" i="6"/>
  <c r="BK32" i="2" s="1"/>
  <c r="BI292" i="6"/>
  <c r="BJ32" i="2" s="1"/>
  <c r="BH292" i="6"/>
  <c r="BI32" i="2" s="1"/>
  <c r="BG292" i="6"/>
  <c r="BH32" i="2" s="1"/>
  <c r="BF292" i="6"/>
  <c r="BG32" i="2" s="1"/>
  <c r="BE292" i="6"/>
  <c r="BF32" i="2" s="1"/>
  <c r="L80" i="6"/>
  <c r="AI291" i="6" s="1"/>
  <c r="AJ182" i="2" s="1"/>
  <c r="M80" i="6"/>
  <c r="N80" i="6" s="1"/>
  <c r="AK291" i="6"/>
  <c r="AL182" i="2" s="1"/>
  <c r="AL291" i="6"/>
  <c r="AM182" i="2" s="1"/>
  <c r="AM291" i="6"/>
  <c r="AN182" i="2" s="1"/>
  <c r="AN291" i="6"/>
  <c r="AO182" i="2" s="1"/>
  <c r="AO291" i="6"/>
  <c r="AP182" i="2" s="1"/>
  <c r="AP291" i="6"/>
  <c r="AQ182" i="2" s="1"/>
  <c r="J291" i="6"/>
  <c r="AQ291" i="6"/>
  <c r="AR182" i="2" s="1"/>
  <c r="AR291" i="6"/>
  <c r="AS182" i="2" s="1"/>
  <c r="AS291" i="6"/>
  <c r="AT182" i="2" s="1"/>
  <c r="AT291" i="6"/>
  <c r="AU182" i="2" s="1"/>
  <c r="AU291" i="6"/>
  <c r="AV182" i="2" s="1"/>
  <c r="AV291" i="6"/>
  <c r="AW182" i="2" s="1"/>
  <c r="AW291" i="6"/>
  <c r="AX182" i="2" s="1"/>
  <c r="AX291" i="6"/>
  <c r="AY182" i="2" s="1"/>
  <c r="AY291" i="6"/>
  <c r="AZ182" i="2" s="1"/>
  <c r="AZ291" i="6"/>
  <c r="BA182" i="2" s="1"/>
  <c r="BA291" i="6"/>
  <c r="BB182" i="2" s="1"/>
  <c r="BB291" i="6"/>
  <c r="BC182" i="2" s="1"/>
  <c r="BC291" i="6"/>
  <c r="BD182" i="2" s="1"/>
  <c r="BJ291" i="6"/>
  <c r="BK182" i="2" s="1"/>
  <c r="BI291" i="6"/>
  <c r="BJ182" i="2" s="1"/>
  <c r="L79" i="6"/>
  <c r="D290" i="6"/>
  <c r="E290" i="6"/>
  <c r="F290" i="6"/>
  <c r="G290" i="6"/>
  <c r="H290" i="6"/>
  <c r="I29" i="2" s="1"/>
  <c r="C290" i="6"/>
  <c r="I290" i="6"/>
  <c r="J29" i="2" s="1"/>
  <c r="J290" i="6"/>
  <c r="K29" i="2" s="1"/>
  <c r="K290" i="6"/>
  <c r="L29" i="2" s="1"/>
  <c r="L290" i="6"/>
  <c r="M29" i="2" s="1"/>
  <c r="M290" i="6"/>
  <c r="N29" i="2" s="1"/>
  <c r="N290" i="6"/>
  <c r="O29" i="2" s="1"/>
  <c r="O290" i="6"/>
  <c r="P29" i="2" s="1"/>
  <c r="P290" i="6"/>
  <c r="Q29" i="2" s="1"/>
  <c r="Q290" i="6"/>
  <c r="R29" i="2" s="1"/>
  <c r="R290" i="6"/>
  <c r="S29" i="2" s="1"/>
  <c r="S290" i="6"/>
  <c r="T29" i="2" s="1"/>
  <c r="T290" i="6"/>
  <c r="U29" i="2" s="1"/>
  <c r="U290" i="6"/>
  <c r="V29" i="2" s="1"/>
  <c r="V290" i="6"/>
  <c r="W29" i="2" s="1"/>
  <c r="W290" i="6"/>
  <c r="X29" i="2" s="1"/>
  <c r="Y290" i="6"/>
  <c r="Z29" i="2" s="1"/>
  <c r="Z290" i="6"/>
  <c r="AA29" i="2" s="1"/>
  <c r="AA290" i="6"/>
  <c r="AB29" i="2" s="1"/>
  <c r="AB290" i="6"/>
  <c r="AC29" i="2" s="1"/>
  <c r="L78" i="6"/>
  <c r="L77" i="6"/>
  <c r="J288" i="6"/>
  <c r="K149" i="2" s="1"/>
  <c r="AA288" i="6"/>
  <c r="AB149" i="2" s="1"/>
  <c r="BJ288" i="6"/>
  <c r="BK149" i="2" s="1"/>
  <c r="BI288" i="6"/>
  <c r="BJ149" i="2" s="1"/>
  <c r="BH288" i="6"/>
  <c r="BI149" i="2" s="1"/>
  <c r="BG288" i="6"/>
  <c r="BH149" i="2" s="1"/>
  <c r="BF288" i="6"/>
  <c r="BG149" i="2" s="1"/>
  <c r="BE288" i="6"/>
  <c r="BF149" i="2" s="1"/>
  <c r="BD288" i="6"/>
  <c r="BE149" i="2" s="1"/>
  <c r="BC288" i="6"/>
  <c r="BD149" i="2" s="1"/>
  <c r="BB288" i="6"/>
  <c r="BC149" i="2" s="1"/>
  <c r="BA288" i="6"/>
  <c r="BB149" i="2" s="1"/>
  <c r="L76" i="6"/>
  <c r="AN287" i="6"/>
  <c r="AO110" i="2" s="1"/>
  <c r="AO287" i="6"/>
  <c r="AP110" i="2" s="1"/>
  <c r="AP287" i="6"/>
  <c r="AQ110" i="2" s="1"/>
  <c r="AQ287" i="6"/>
  <c r="AR110" i="2" s="1"/>
  <c r="AR287" i="6"/>
  <c r="AS110" i="2" s="1"/>
  <c r="AS287" i="6"/>
  <c r="AT110" i="2" s="1"/>
  <c r="AT287" i="6"/>
  <c r="AU110" i="2" s="1"/>
  <c r="AU287" i="6"/>
  <c r="AV110" i="2" s="1"/>
  <c r="AV287" i="6"/>
  <c r="AW110" i="2" s="1"/>
  <c r="AW287" i="6"/>
  <c r="AX110" i="2" s="1"/>
  <c r="L75" i="6"/>
  <c r="C286" i="6" s="1"/>
  <c r="M75" i="6"/>
  <c r="N75" i="6" s="1"/>
  <c r="D286" i="6"/>
  <c r="E98" i="2" s="1"/>
  <c r="E286" i="6"/>
  <c r="F98" i="2" s="1"/>
  <c r="F286" i="6"/>
  <c r="G98" i="2" s="1"/>
  <c r="G286" i="6"/>
  <c r="H98" i="2" s="1"/>
  <c r="H286" i="6"/>
  <c r="I98" i="2" s="1"/>
  <c r="I286" i="6"/>
  <c r="J98" i="2" s="1"/>
  <c r="J286" i="6"/>
  <c r="K98" i="2" s="1"/>
  <c r="K286" i="6"/>
  <c r="L98" i="2" s="1"/>
  <c r="L286" i="6"/>
  <c r="M98" i="2" s="1"/>
  <c r="M286" i="6"/>
  <c r="N98" i="2" s="1"/>
  <c r="N286" i="6"/>
  <c r="AC286" i="6"/>
  <c r="AD98" i="2" s="1"/>
  <c r="O286" i="6"/>
  <c r="P98" i="2" s="1"/>
  <c r="AD286" i="6"/>
  <c r="AE98" i="2" s="1"/>
  <c r="AE286" i="6"/>
  <c r="AF98" i="2" s="1"/>
  <c r="AF286" i="6"/>
  <c r="AG98" i="2" s="1"/>
  <c r="AG286" i="6"/>
  <c r="AH98" i="2" s="1"/>
  <c r="AH286" i="6"/>
  <c r="AI98" i="2" s="1"/>
  <c r="AI286" i="6"/>
  <c r="AJ98" i="2" s="1"/>
  <c r="AJ286" i="6"/>
  <c r="AK98" i="2" s="1"/>
  <c r="AK286" i="6"/>
  <c r="AL98" i="2" s="1"/>
  <c r="AL286" i="6"/>
  <c r="AM98" i="2" s="1"/>
  <c r="AM286" i="6"/>
  <c r="AN98" i="2" s="1"/>
  <c r="AN286" i="6"/>
  <c r="AO98" i="2" s="1"/>
  <c r="AO286" i="6"/>
  <c r="AP98" i="2" s="1"/>
  <c r="AP286" i="6"/>
  <c r="AQ98" i="2" s="1"/>
  <c r="AQ286" i="6"/>
  <c r="AR98" i="2" s="1"/>
  <c r="P286" i="6"/>
  <c r="AS286" i="6"/>
  <c r="AT98" i="2" s="1"/>
  <c r="AT286" i="6"/>
  <c r="AU98" i="2" s="1"/>
  <c r="AU286" i="6"/>
  <c r="AV98" i="2" s="1"/>
  <c r="AV286" i="6"/>
  <c r="AW98" i="2" s="1"/>
  <c r="AW286" i="6"/>
  <c r="AX98" i="2" s="1"/>
  <c r="AR286" i="6"/>
  <c r="AS98" i="2" s="1"/>
  <c r="AX286" i="6"/>
  <c r="AY98" i="2" s="1"/>
  <c r="Q286" i="6"/>
  <c r="AZ286" i="6"/>
  <c r="BA98" i="2" s="1"/>
  <c r="BA286" i="6"/>
  <c r="BB98" i="2" s="1"/>
  <c r="BB286" i="6"/>
  <c r="BC98" i="2" s="1"/>
  <c r="BC286" i="6"/>
  <c r="BD98" i="2" s="1"/>
  <c r="BD286" i="6"/>
  <c r="BE98" i="2" s="1"/>
  <c r="BE286" i="6"/>
  <c r="BF98" i="2" s="1"/>
  <c r="BF286" i="6"/>
  <c r="BG98" i="2" s="1"/>
  <c r="BG286" i="6"/>
  <c r="BH98" i="2" s="1"/>
  <c r="BH286" i="6"/>
  <c r="BI98" i="2" s="1"/>
  <c r="BI286" i="6"/>
  <c r="BJ98" i="2" s="1"/>
  <c r="BJ286" i="6"/>
  <c r="BK98" i="2" s="1"/>
  <c r="R286" i="6"/>
  <c r="S286" i="6"/>
  <c r="T286" i="6"/>
  <c r="U286" i="6"/>
  <c r="V286" i="6"/>
  <c r="W286" i="6"/>
  <c r="X98" i="2" s="1"/>
  <c r="X286" i="6"/>
  <c r="Y98" i="2" s="1"/>
  <c r="Y286" i="6"/>
  <c r="Z98" i="2" s="1"/>
  <c r="Z286" i="6"/>
  <c r="AA98" i="2" s="1"/>
  <c r="AA286" i="6"/>
  <c r="AB98" i="2" s="1"/>
  <c r="AB286" i="6"/>
  <c r="AC98" i="2" s="1"/>
  <c r="AY286" i="6"/>
  <c r="AZ98" i="2" s="1"/>
  <c r="L74" i="6"/>
  <c r="M74" i="6"/>
  <c r="N74" i="6" s="1"/>
  <c r="BA285" i="6"/>
  <c r="BB26" i="2" s="1"/>
  <c r="AZ285" i="6"/>
  <c r="BA26" i="2" s="1"/>
  <c r="AY285" i="6"/>
  <c r="AZ26" i="2" s="1"/>
  <c r="AX285" i="6"/>
  <c r="AY26" i="2" s="1"/>
  <c r="AW285" i="6"/>
  <c r="AX26" i="2" s="1"/>
  <c r="L73" i="6"/>
  <c r="Q284" i="6"/>
  <c r="R296" i="2" s="1"/>
  <c r="R284" i="6"/>
  <c r="S296" i="2" s="1"/>
  <c r="AX284" i="6"/>
  <c r="AY296" i="2" s="1"/>
  <c r="C284" i="6"/>
  <c r="D284" i="6"/>
  <c r="E296" i="2" s="1"/>
  <c r="E284" i="6"/>
  <c r="F296" i="2" s="1"/>
  <c r="M73" i="6"/>
  <c r="N73" i="6" s="1"/>
  <c r="AY284" i="6"/>
  <c r="AZ296" i="2" s="1"/>
  <c r="AZ284" i="6"/>
  <c r="BA296" i="2" s="1"/>
  <c r="F284" i="6"/>
  <c r="G296" i="2" s="1"/>
  <c r="AU284" i="6"/>
  <c r="AV296" i="2" s="1"/>
  <c r="BB284" i="6"/>
  <c r="BC296" i="2" s="1"/>
  <c r="G284" i="6"/>
  <c r="H296" i="2" s="1"/>
  <c r="H284" i="6"/>
  <c r="I296" i="2" s="1"/>
  <c r="I284" i="6"/>
  <c r="J296" i="2" s="1"/>
  <c r="J284" i="6"/>
  <c r="K296" i="2" s="1"/>
  <c r="K284" i="6"/>
  <c r="L296" i="2" s="1"/>
  <c r="L284" i="6"/>
  <c r="M296" i="2" s="1"/>
  <c r="M284" i="6"/>
  <c r="N296" i="2" s="1"/>
  <c r="AV284" i="6"/>
  <c r="AW296" i="2" s="1"/>
  <c r="BA284" i="6"/>
  <c r="BB296" i="2" s="1"/>
  <c r="N284" i="6"/>
  <c r="O296" i="2" s="1"/>
  <c r="O284" i="6"/>
  <c r="P296" i="2" s="1"/>
  <c r="BC284" i="6"/>
  <c r="BD296" i="2" s="1"/>
  <c r="BD284" i="6"/>
  <c r="BE296" i="2" s="1"/>
  <c r="BE284" i="6"/>
  <c r="BF296" i="2" s="1"/>
  <c r="BG284" i="6"/>
  <c r="BH296" i="2" s="1"/>
  <c r="BH284" i="6"/>
  <c r="BI296" i="2" s="1"/>
  <c r="BI284" i="6"/>
  <c r="BJ296" i="2" s="1"/>
  <c r="BJ284" i="6"/>
  <c r="BK296" i="2" s="1"/>
  <c r="T284" i="6"/>
  <c r="U284" i="6"/>
  <c r="V284" i="6"/>
  <c r="W284" i="6"/>
  <c r="X296" i="2" s="1"/>
  <c r="AI284" i="6"/>
  <c r="AJ296" i="2" s="1"/>
  <c r="X284" i="6"/>
  <c r="Y296" i="2" s="1"/>
  <c r="S284" i="6"/>
  <c r="T296" i="2" s="1"/>
  <c r="Y284" i="6"/>
  <c r="Z296" i="2" s="1"/>
  <c r="Z284" i="6"/>
  <c r="AA296" i="2" s="1"/>
  <c r="AA284" i="6"/>
  <c r="AB296" i="2" s="1"/>
  <c r="AB284" i="6"/>
  <c r="AC296" i="2" s="1"/>
  <c r="AC284" i="6"/>
  <c r="AD296" i="2" s="1"/>
  <c r="AD284" i="6"/>
  <c r="AE296" i="2" s="1"/>
  <c r="AE284" i="6"/>
  <c r="AF296" i="2" s="1"/>
  <c r="AF284" i="6"/>
  <c r="AG296" i="2" s="1"/>
  <c r="AG284" i="6"/>
  <c r="AH296" i="2" s="1"/>
  <c r="AH284" i="6"/>
  <c r="AI296" i="2" s="1"/>
  <c r="AJ284" i="6"/>
  <c r="AK296" i="2" s="1"/>
  <c r="AK284" i="6"/>
  <c r="AL296" i="2" s="1"/>
  <c r="AL284" i="6"/>
  <c r="AM296" i="2" s="1"/>
  <c r="AM284" i="6"/>
  <c r="AN296" i="2" s="1"/>
  <c r="AN284" i="6"/>
  <c r="AO296" i="2" s="1"/>
  <c r="AO284" i="6"/>
  <c r="AP296" i="2" s="1"/>
  <c r="AP284" i="6"/>
  <c r="AQ296" i="2" s="1"/>
  <c r="AQ284" i="6"/>
  <c r="AR296" i="2" s="1"/>
  <c r="AR284" i="6"/>
  <c r="AS296" i="2" s="1"/>
  <c r="AS284" i="6"/>
  <c r="AT296" i="2" s="1"/>
  <c r="AT284" i="6"/>
  <c r="AU296" i="2" s="1"/>
  <c r="L72" i="6"/>
  <c r="Q283" i="6"/>
  <c r="R263" i="2" s="1"/>
  <c r="M72" i="6"/>
  <c r="N72" i="6" s="1"/>
  <c r="AD283" i="6"/>
  <c r="AE263" i="2" s="1"/>
  <c r="AC283" i="6"/>
  <c r="AD263" i="2" s="1"/>
  <c r="AB283" i="6"/>
  <c r="AC263" i="2" s="1"/>
  <c r="AA283" i="6"/>
  <c r="AB263" i="2" s="1"/>
  <c r="Z283" i="6"/>
  <c r="AA263" i="2" s="1"/>
  <c r="Y283" i="6"/>
  <c r="Z263" i="2" s="1"/>
  <c r="X283" i="6"/>
  <c r="Y263" i="2" s="1"/>
  <c r="W283" i="6"/>
  <c r="X263" i="2" s="1"/>
  <c r="V283" i="6"/>
  <c r="U283" i="6"/>
  <c r="T283" i="6"/>
  <c r="S283" i="6"/>
  <c r="T263" i="2" s="1"/>
  <c r="R283" i="6"/>
  <c r="S263" i="2" s="1"/>
  <c r="P283" i="6"/>
  <c r="Q263" i="2" s="1"/>
  <c r="O283" i="6"/>
  <c r="P263" i="2" s="1"/>
  <c r="N283" i="6"/>
  <c r="O263" i="2" s="1"/>
  <c r="M283" i="6"/>
  <c r="N263" i="2" s="1"/>
  <c r="L283" i="6"/>
  <c r="M263" i="2" s="1"/>
  <c r="K283" i="6"/>
  <c r="L263" i="2" s="1"/>
  <c r="J283" i="6"/>
  <c r="K263" i="2" s="1"/>
  <c r="I283" i="6"/>
  <c r="J263" i="2" s="1"/>
  <c r="H283" i="6"/>
  <c r="I263" i="2" s="1"/>
  <c r="G283" i="6"/>
  <c r="H263" i="2" s="1"/>
  <c r="F283" i="6"/>
  <c r="G263" i="2" s="1"/>
  <c r="E283" i="6"/>
  <c r="F263" i="2" s="1"/>
  <c r="D283" i="6"/>
  <c r="E263" i="2" s="1"/>
  <c r="L71" i="6"/>
  <c r="BI282" i="6"/>
  <c r="BJ257" i="2" s="1"/>
  <c r="BH282" i="6"/>
  <c r="BI257" i="2" s="1"/>
  <c r="BG282" i="6"/>
  <c r="BH257" i="2" s="1"/>
  <c r="BF282" i="6"/>
  <c r="BG257" i="2" s="1"/>
  <c r="BE282" i="6"/>
  <c r="BF257" i="2" s="1"/>
  <c r="BD282" i="6"/>
  <c r="BE257" i="2" s="1"/>
  <c r="BC282" i="6"/>
  <c r="BD257" i="2" s="1"/>
  <c r="BB282" i="6"/>
  <c r="BC257" i="2" s="1"/>
  <c r="BA282" i="6"/>
  <c r="BB257" i="2" s="1"/>
  <c r="AZ282" i="6"/>
  <c r="BA257" i="2" s="1"/>
  <c r="AY282" i="6"/>
  <c r="AZ257" i="2" s="1"/>
  <c r="AX282" i="6"/>
  <c r="AY257" i="2" s="1"/>
  <c r="AW282" i="6"/>
  <c r="AX257" i="2" s="1"/>
  <c r="AV282" i="6"/>
  <c r="AW257" i="2" s="1"/>
  <c r="AU282" i="6"/>
  <c r="AV257" i="2" s="1"/>
  <c r="AT282" i="6"/>
  <c r="AU257" i="2" s="1"/>
  <c r="AS282" i="6"/>
  <c r="AT257" i="2" s="1"/>
  <c r="AR282" i="6"/>
  <c r="AS257" i="2" s="1"/>
  <c r="AP282" i="6"/>
  <c r="AQ257" i="2" s="1"/>
  <c r="AO282" i="6"/>
  <c r="AP257" i="2" s="1"/>
  <c r="AN282" i="6"/>
  <c r="AO257" i="2" s="1"/>
  <c r="AM282" i="6"/>
  <c r="AN257" i="2" s="1"/>
  <c r="AL282" i="6"/>
  <c r="AM257" i="2" s="1"/>
  <c r="L70" i="6"/>
  <c r="J281" i="6"/>
  <c r="K59" i="2" s="1"/>
  <c r="I281" i="6"/>
  <c r="J59" i="2" s="1"/>
  <c r="BF281" i="6"/>
  <c r="BG59" i="2" s="1"/>
  <c r="H281" i="6"/>
  <c r="I59" i="2" s="1"/>
  <c r="G281" i="6"/>
  <c r="H59" i="2" s="1"/>
  <c r="F281" i="6"/>
  <c r="G59" i="2" s="1"/>
  <c r="E281" i="6"/>
  <c r="F59" i="2" s="1"/>
  <c r="D281" i="6"/>
  <c r="E59" i="2" s="1"/>
  <c r="C281" i="6"/>
  <c r="BH281" i="6"/>
  <c r="BI59" i="2" s="1"/>
  <c r="BI281" i="6"/>
  <c r="BJ59" i="2" s="1"/>
  <c r="BJ281" i="6"/>
  <c r="BK59" i="2" s="1"/>
  <c r="BD281" i="6"/>
  <c r="BE59" i="2" s="1"/>
  <c r="BE281" i="6"/>
  <c r="BF59" i="2" s="1"/>
  <c r="BB281" i="6"/>
  <c r="BC59" i="2" s="1"/>
  <c r="BA281" i="6"/>
  <c r="BB59" i="2" s="1"/>
  <c r="AZ281" i="6"/>
  <c r="BA59" i="2" s="1"/>
  <c r="AY281" i="6"/>
  <c r="AZ59" i="2" s="1"/>
  <c r="BG281" i="6"/>
  <c r="BH59" i="2" s="1"/>
  <c r="AX281" i="6"/>
  <c r="AY59" i="2" s="1"/>
  <c r="AW281" i="6"/>
  <c r="AX59" i="2" s="1"/>
  <c r="Q281" i="6"/>
  <c r="R59" i="2" s="1"/>
  <c r="AV281" i="6"/>
  <c r="AW59" i="2" s="1"/>
  <c r="AU281" i="6"/>
  <c r="AV59" i="2" s="1"/>
  <c r="AT281" i="6"/>
  <c r="AU59" i="2" s="1"/>
  <c r="AS281" i="6"/>
  <c r="AT59" i="2" s="1"/>
  <c r="AR281" i="6"/>
  <c r="AS59" i="2" s="1"/>
  <c r="AQ281" i="6"/>
  <c r="AR59" i="2" s="1"/>
  <c r="AP281" i="6"/>
  <c r="AQ59" i="2" s="1"/>
  <c r="AO281" i="6"/>
  <c r="AP59" i="2" s="1"/>
  <c r="AN281" i="6"/>
  <c r="AO59" i="2" s="1"/>
  <c r="AM281" i="6"/>
  <c r="AN59" i="2" s="1"/>
  <c r="AL281" i="6"/>
  <c r="AM59" i="2" s="1"/>
  <c r="AK281" i="6"/>
  <c r="AL59" i="2" s="1"/>
  <c r="AJ281" i="6"/>
  <c r="AK59" i="2" s="1"/>
  <c r="L69" i="6"/>
  <c r="M69" i="6"/>
  <c r="N69" i="6" s="1"/>
  <c r="BJ280" i="6"/>
  <c r="BK278" i="2" s="1"/>
  <c r="BI280" i="6"/>
  <c r="BJ278" i="2" s="1"/>
  <c r="BH280" i="6"/>
  <c r="BI278" i="2" s="1"/>
  <c r="AK280" i="6"/>
  <c r="AL278" i="2" s="1"/>
  <c r="BG280" i="6"/>
  <c r="BH278" i="2" s="1"/>
  <c r="BF280" i="6"/>
  <c r="BG278" i="2" s="1"/>
  <c r="BE280" i="6"/>
  <c r="BF278" i="2" s="1"/>
  <c r="BD280" i="6"/>
  <c r="BE278" i="2" s="1"/>
  <c r="BC280" i="6"/>
  <c r="BD278" i="2" s="1"/>
  <c r="BB280" i="6"/>
  <c r="BC278" i="2" s="1"/>
  <c r="BA280" i="6"/>
  <c r="BB278" i="2" s="1"/>
  <c r="AY280" i="6"/>
  <c r="AZ278" i="2" s="1"/>
  <c r="AX280" i="6"/>
  <c r="AY278" i="2" s="1"/>
  <c r="AW280" i="6"/>
  <c r="AX278" i="2" s="1"/>
  <c r="AV280" i="6"/>
  <c r="AW278" i="2" s="1"/>
  <c r="AU280" i="6"/>
  <c r="AV278" i="2" s="1"/>
  <c r="AT280" i="6"/>
  <c r="AU278" i="2" s="1"/>
  <c r="AS280" i="6"/>
  <c r="AT278" i="2" s="1"/>
  <c r="AR280" i="6"/>
  <c r="AS278" i="2" s="1"/>
  <c r="AQ280" i="6"/>
  <c r="AR278" i="2" s="1"/>
  <c r="AP280" i="6"/>
  <c r="AQ278" i="2" s="1"/>
  <c r="AO280" i="6"/>
  <c r="AP278" i="2" s="1"/>
  <c r="AN280" i="6"/>
  <c r="AO278" i="2" s="1"/>
  <c r="AM280" i="6"/>
  <c r="AN278" i="2" s="1"/>
  <c r="AL280" i="6"/>
  <c r="AM278" i="2" s="1"/>
  <c r="AA280" i="6"/>
  <c r="AB278" i="2" s="1"/>
  <c r="Z280" i="6"/>
  <c r="AA278" i="2" s="1"/>
  <c r="Y280" i="6"/>
  <c r="Z278" i="2" s="1"/>
  <c r="X280" i="6"/>
  <c r="Y278" i="2" s="1"/>
  <c r="W280" i="6"/>
  <c r="X278" i="2" s="1"/>
  <c r="V280" i="6"/>
  <c r="U280" i="6"/>
  <c r="V278" i="2" s="1"/>
  <c r="T280" i="6"/>
  <c r="U278" i="2" s="1"/>
  <c r="S280" i="6"/>
  <c r="T278" i="2" s="1"/>
  <c r="R280" i="6"/>
  <c r="S278" i="2" s="1"/>
  <c r="Q280" i="6"/>
  <c r="R278" i="2" s="1"/>
  <c r="P280" i="6"/>
  <c r="Q278" i="2" s="1"/>
  <c r="O280" i="6"/>
  <c r="P278" i="2" s="1"/>
  <c r="N280" i="6"/>
  <c r="O278" i="2" s="1"/>
  <c r="M280" i="6"/>
  <c r="N278" i="2" s="1"/>
  <c r="L280" i="6"/>
  <c r="M278" i="2" s="1"/>
  <c r="K280" i="6"/>
  <c r="L278" i="2" s="1"/>
  <c r="J280" i="6"/>
  <c r="K278" i="2" s="1"/>
  <c r="I280" i="6"/>
  <c r="J278" i="2" s="1"/>
  <c r="H280" i="6"/>
  <c r="I278" i="2" s="1"/>
  <c r="G280" i="6"/>
  <c r="H278" i="2" s="1"/>
  <c r="F280" i="6"/>
  <c r="G278" i="2" s="1"/>
  <c r="E280" i="6"/>
  <c r="F278" i="2" s="1"/>
  <c r="D280" i="6"/>
  <c r="E278" i="2" s="1"/>
  <c r="C280" i="6"/>
  <c r="L68" i="6"/>
  <c r="BD279" i="6"/>
  <c r="BE209" i="2" s="1"/>
  <c r="BC279" i="6"/>
  <c r="BD209" i="2" s="1"/>
  <c r="BB279" i="6"/>
  <c r="BC209" i="2" s="1"/>
  <c r="BA279" i="6"/>
  <c r="BB209" i="2" s="1"/>
  <c r="AZ279" i="6"/>
  <c r="BA209" i="2" s="1"/>
  <c r="AY279" i="6"/>
  <c r="AZ209" i="2" s="1"/>
  <c r="AX279" i="6"/>
  <c r="AY209" i="2" s="1"/>
  <c r="AW279" i="6"/>
  <c r="AX209" i="2" s="1"/>
  <c r="AV279" i="6"/>
  <c r="AW209" i="2" s="1"/>
  <c r="AU279" i="6"/>
  <c r="AV209" i="2" s="1"/>
  <c r="AT279" i="6"/>
  <c r="AU209" i="2" s="1"/>
  <c r="AS279" i="6"/>
  <c r="AT209" i="2" s="1"/>
  <c r="AR279" i="6"/>
  <c r="AS209" i="2" s="1"/>
  <c r="AQ279" i="6"/>
  <c r="AR209" i="2" s="1"/>
  <c r="AP279" i="6"/>
  <c r="AQ209" i="2" s="1"/>
  <c r="AO279" i="6"/>
  <c r="AP209" i="2" s="1"/>
  <c r="AN279" i="6"/>
  <c r="AO209" i="2" s="1"/>
  <c r="AM279" i="6"/>
  <c r="AN209" i="2" s="1"/>
  <c r="AL279" i="6"/>
  <c r="AM209" i="2" s="1"/>
  <c r="AK279" i="6"/>
  <c r="AL209" i="2" s="1"/>
  <c r="AJ279" i="6"/>
  <c r="AK209" i="2" s="1"/>
  <c r="AI279" i="6"/>
  <c r="AJ209" i="2" s="1"/>
  <c r="BJ279" i="6"/>
  <c r="BK209" i="2" s="1"/>
  <c r="BI279" i="6"/>
  <c r="BJ209" i="2" s="1"/>
  <c r="BH279" i="6"/>
  <c r="BI209" i="2" s="1"/>
  <c r="BG279" i="6"/>
  <c r="BH209" i="2" s="1"/>
  <c r="BF279" i="6"/>
  <c r="BG209" i="2" s="1"/>
  <c r="L67" i="6"/>
  <c r="J278" i="6"/>
  <c r="K155" i="2" s="1"/>
  <c r="AY278" i="6"/>
  <c r="AZ155" i="2" s="1"/>
  <c r="K278" i="6"/>
  <c r="L155" i="2" s="1"/>
  <c r="L278" i="6"/>
  <c r="M155" i="2" s="1"/>
  <c r="O278" i="6"/>
  <c r="P155" i="2" s="1"/>
  <c r="M278" i="6"/>
  <c r="N155" i="2" s="1"/>
  <c r="N278" i="6"/>
  <c r="O155" i="2" s="1"/>
  <c r="C278" i="6"/>
  <c r="P278" i="6"/>
  <c r="Q155" i="2" s="1"/>
  <c r="Q278" i="6"/>
  <c r="R155" i="2" s="1"/>
  <c r="R278" i="6"/>
  <c r="S155" i="2" s="1"/>
  <c r="S278" i="6"/>
  <c r="T278" i="6"/>
  <c r="U155" i="2" s="1"/>
  <c r="U278" i="6"/>
  <c r="V278" i="6"/>
  <c r="W278" i="6"/>
  <c r="X155" i="2" s="1"/>
  <c r="X278" i="6"/>
  <c r="Y155" i="2" s="1"/>
  <c r="Y278" i="6"/>
  <c r="Z155" i="2" s="1"/>
  <c r="Z278" i="6"/>
  <c r="AA155" i="2" s="1"/>
  <c r="AA278" i="6"/>
  <c r="AB155" i="2" s="1"/>
  <c r="AB278" i="6"/>
  <c r="AC155" i="2" s="1"/>
  <c r="AC278" i="6"/>
  <c r="AD155" i="2" s="1"/>
  <c r="AD278" i="6"/>
  <c r="AE155" i="2" s="1"/>
  <c r="AE278" i="6"/>
  <c r="AF155" i="2" s="1"/>
  <c r="AF278" i="6"/>
  <c r="AG155" i="2" s="1"/>
  <c r="AG278" i="6"/>
  <c r="AH155" i="2" s="1"/>
  <c r="AH278" i="6"/>
  <c r="AI155" i="2" s="1"/>
  <c r="AI278" i="6"/>
  <c r="AJ155" i="2" s="1"/>
  <c r="L66" i="6"/>
  <c r="M66" i="6"/>
  <c r="N66" i="6" s="1"/>
  <c r="AL277" i="6"/>
  <c r="AM113" i="2" s="1"/>
  <c r="AK277" i="6"/>
  <c r="AL113" i="2" s="1"/>
  <c r="AJ277" i="6"/>
  <c r="AK113" i="2" s="1"/>
  <c r="AI277" i="6"/>
  <c r="AJ113" i="2" s="1"/>
  <c r="AH277" i="6"/>
  <c r="AI113" i="2" s="1"/>
  <c r="AG277" i="6"/>
  <c r="AH113" i="2" s="1"/>
  <c r="AF277" i="6"/>
  <c r="AG113" i="2" s="1"/>
  <c r="AE277" i="6"/>
  <c r="AF113" i="2" s="1"/>
  <c r="AD277" i="6"/>
  <c r="AE113" i="2" s="1"/>
  <c r="AC277" i="6"/>
  <c r="AD113" i="2" s="1"/>
  <c r="AB277" i="6"/>
  <c r="AC113" i="2" s="1"/>
  <c r="AA277" i="6"/>
  <c r="AB113" i="2" s="1"/>
  <c r="Z277" i="6"/>
  <c r="AA113" i="2" s="1"/>
  <c r="Y277" i="6"/>
  <c r="Z113" i="2" s="1"/>
  <c r="X277" i="6"/>
  <c r="Y113" i="2" s="1"/>
  <c r="W277" i="6"/>
  <c r="X113" i="2" s="1"/>
  <c r="V277" i="6"/>
  <c r="W113" i="2" s="1"/>
  <c r="U277" i="6"/>
  <c r="V113" i="2" s="1"/>
  <c r="T277" i="6"/>
  <c r="U113" i="2" s="1"/>
  <c r="S277" i="6"/>
  <c r="T113" i="2" s="1"/>
  <c r="R277" i="6"/>
  <c r="S113" i="2" s="1"/>
  <c r="Q277" i="6"/>
  <c r="R113" i="2" s="1"/>
  <c r="P277" i="6"/>
  <c r="Q113" i="2" s="1"/>
  <c r="O277" i="6"/>
  <c r="P113" i="2" s="1"/>
  <c r="N277" i="6"/>
  <c r="O113" i="2" s="1"/>
  <c r="M277" i="6"/>
  <c r="N113" i="2" s="1"/>
  <c r="L277" i="6"/>
  <c r="M113" i="2" s="1"/>
  <c r="K277" i="6"/>
  <c r="L113" i="2" s="1"/>
  <c r="J277" i="6"/>
  <c r="K113" i="2" s="1"/>
  <c r="I277" i="6"/>
  <c r="J113" i="2" s="1"/>
  <c r="H277" i="6"/>
  <c r="I113" i="2" s="1"/>
  <c r="G277" i="6"/>
  <c r="H113" i="2" s="1"/>
  <c r="F277" i="6"/>
  <c r="G113" i="2" s="1"/>
  <c r="E277" i="6"/>
  <c r="D277" i="6"/>
  <c r="C277" i="6"/>
  <c r="BJ277" i="6"/>
  <c r="BK113" i="2" s="1"/>
  <c r="BI277" i="6"/>
  <c r="BJ113" i="2" s="1"/>
  <c r="BH277" i="6"/>
  <c r="BI113" i="2" s="1"/>
  <c r="BG277" i="6"/>
  <c r="BH113" i="2" s="1"/>
  <c r="BF277" i="6"/>
  <c r="BG113" i="2" s="1"/>
  <c r="BE277" i="6"/>
  <c r="BF113" i="2" s="1"/>
  <c r="BD277" i="6"/>
  <c r="BE113" i="2" s="1"/>
  <c r="BC277" i="6"/>
  <c r="BD113" i="2" s="1"/>
  <c r="BB277" i="6"/>
  <c r="BC113" i="2" s="1"/>
  <c r="BA277" i="6"/>
  <c r="BB113" i="2" s="1"/>
  <c r="AZ277" i="6"/>
  <c r="BA113" i="2" s="1"/>
  <c r="AY277" i="6"/>
  <c r="AZ113" i="2" s="1"/>
  <c r="AX277" i="6"/>
  <c r="AY113" i="2" s="1"/>
  <c r="AW277" i="6"/>
  <c r="AX113" i="2" s="1"/>
  <c r="AV277" i="6"/>
  <c r="AW113" i="2" s="1"/>
  <c r="AU277" i="6"/>
  <c r="AV113" i="2" s="1"/>
  <c r="AT277" i="6"/>
  <c r="AU113" i="2" s="1"/>
  <c r="AS277" i="6"/>
  <c r="AT113" i="2" s="1"/>
  <c r="L65" i="6"/>
  <c r="AO276" i="6"/>
  <c r="AP116" i="2" s="1"/>
  <c r="AN276" i="6"/>
  <c r="AO116" i="2" s="1"/>
  <c r="AM276" i="6"/>
  <c r="AN116" i="2" s="1"/>
  <c r="AL276" i="6"/>
  <c r="AM116" i="2" s="1"/>
  <c r="AK276" i="6"/>
  <c r="AL116" i="2" s="1"/>
  <c r="AJ276" i="6"/>
  <c r="AK116" i="2" s="1"/>
  <c r="AI276" i="6"/>
  <c r="AJ116" i="2" s="1"/>
  <c r="AH276" i="6"/>
  <c r="AI116" i="2" s="1"/>
  <c r="AG276" i="6"/>
  <c r="AH116" i="2" s="1"/>
  <c r="AF276" i="6"/>
  <c r="AG116" i="2" s="1"/>
  <c r="AE276" i="6"/>
  <c r="AF116" i="2" s="1"/>
  <c r="AD276" i="6"/>
  <c r="AE116" i="2" s="1"/>
  <c r="AC276" i="6"/>
  <c r="AD116" i="2" s="1"/>
  <c r="AB276" i="6"/>
  <c r="AC116" i="2" s="1"/>
  <c r="AA276" i="6"/>
  <c r="AB116" i="2" s="1"/>
  <c r="Z276" i="6"/>
  <c r="AA116" i="2" s="1"/>
  <c r="Y276" i="6"/>
  <c r="Z116" i="2" s="1"/>
  <c r="X276" i="6"/>
  <c r="Y116" i="2" s="1"/>
  <c r="W276" i="6"/>
  <c r="X116" i="2" s="1"/>
  <c r="K276" i="6"/>
  <c r="L116" i="2" s="1"/>
  <c r="V276" i="6"/>
  <c r="U276" i="6"/>
  <c r="T276" i="6"/>
  <c r="S276" i="6"/>
  <c r="T116" i="2" s="1"/>
  <c r="R276" i="6"/>
  <c r="S116" i="2" s="1"/>
  <c r="Q276" i="6"/>
  <c r="R116" i="2" s="1"/>
  <c r="P276" i="6"/>
  <c r="Q116" i="2" s="1"/>
  <c r="O276" i="6"/>
  <c r="P116" i="2" s="1"/>
  <c r="N276" i="6"/>
  <c r="O116" i="2" s="1"/>
  <c r="M276" i="6"/>
  <c r="N116" i="2" s="1"/>
  <c r="L276" i="6"/>
  <c r="M116" i="2" s="1"/>
  <c r="C276" i="6"/>
  <c r="D276" i="6"/>
  <c r="E116" i="2" s="1"/>
  <c r="E276" i="6"/>
  <c r="F116" i="2" s="1"/>
  <c r="F276" i="6"/>
  <c r="G116" i="2" s="1"/>
  <c r="G276" i="6"/>
  <c r="H116" i="2" s="1"/>
  <c r="H276" i="6"/>
  <c r="I116" i="2" s="1"/>
  <c r="I276" i="6"/>
  <c r="J116" i="2" s="1"/>
  <c r="BJ276" i="6"/>
  <c r="BK116" i="2" s="1"/>
  <c r="BI276" i="6"/>
  <c r="BJ116" i="2" s="1"/>
  <c r="BH276" i="6"/>
  <c r="BI116" i="2" s="1"/>
  <c r="BG276" i="6"/>
  <c r="BH116" i="2" s="1"/>
  <c r="J276" i="6"/>
  <c r="K116" i="2" s="1"/>
  <c r="BE276" i="6"/>
  <c r="BF116" i="2" s="1"/>
  <c r="BD276" i="6"/>
  <c r="BE116" i="2" s="1"/>
  <c r="BC276" i="6"/>
  <c r="BD116" i="2" s="1"/>
  <c r="BB276" i="6"/>
  <c r="BC116" i="2" s="1"/>
  <c r="BA276" i="6"/>
  <c r="BB116" i="2" s="1"/>
  <c r="AZ276" i="6"/>
  <c r="BA116" i="2" s="1"/>
  <c r="AY276" i="6"/>
  <c r="AZ116" i="2" s="1"/>
  <c r="AX276" i="6"/>
  <c r="AY116" i="2" s="1"/>
  <c r="AW276" i="6"/>
  <c r="AX116" i="2" s="1"/>
  <c r="AV276" i="6"/>
  <c r="AW116" i="2" s="1"/>
  <c r="AU276" i="6"/>
  <c r="AV116" i="2" s="1"/>
  <c r="AT276" i="6"/>
  <c r="AU116" i="2" s="1"/>
  <c r="AS276" i="6"/>
  <c r="AT116" i="2" s="1"/>
  <c r="AR276" i="6"/>
  <c r="AS116" i="2" s="1"/>
  <c r="AQ276" i="6"/>
  <c r="AR116" i="2" s="1"/>
  <c r="L64" i="6"/>
  <c r="BJ275" i="6"/>
  <c r="BK77" i="2" s="1"/>
  <c r="BI275" i="6"/>
  <c r="BJ77" i="2" s="1"/>
  <c r="BH275" i="6"/>
  <c r="BI77" i="2" s="1"/>
  <c r="BG275" i="6"/>
  <c r="BH77" i="2" s="1"/>
  <c r="BF275" i="6"/>
  <c r="BG77" i="2" s="1"/>
  <c r="BE275" i="6"/>
  <c r="BF77" i="2" s="1"/>
  <c r="BD275" i="6"/>
  <c r="BE77" i="2" s="1"/>
  <c r="BC275" i="6"/>
  <c r="BD77" i="2" s="1"/>
  <c r="BB275" i="6"/>
  <c r="BC77" i="2" s="1"/>
  <c r="BA275" i="6"/>
  <c r="BB77" i="2" s="1"/>
  <c r="AZ275" i="6"/>
  <c r="BA77" i="2" s="1"/>
  <c r="AY275" i="6"/>
  <c r="AZ77" i="2" s="1"/>
  <c r="AX275" i="6"/>
  <c r="AY77" i="2" s="1"/>
  <c r="AW275" i="6"/>
  <c r="AX77" i="2" s="1"/>
  <c r="AV275" i="6"/>
  <c r="AW77" i="2" s="1"/>
  <c r="AU275" i="6"/>
  <c r="AV77" i="2" s="1"/>
  <c r="AT275" i="6"/>
  <c r="AU77" i="2" s="1"/>
  <c r="AS275" i="6"/>
  <c r="AT77" i="2" s="1"/>
  <c r="AR275" i="6"/>
  <c r="AS77" i="2" s="1"/>
  <c r="AQ275" i="6"/>
  <c r="AR77" i="2" s="1"/>
  <c r="AP275" i="6"/>
  <c r="AQ77" i="2" s="1"/>
  <c r="AO275" i="6"/>
  <c r="AP77" i="2" s="1"/>
  <c r="AN275" i="6"/>
  <c r="AO77" i="2" s="1"/>
  <c r="AM275" i="6"/>
  <c r="AN77" i="2" s="1"/>
  <c r="AL275" i="6"/>
  <c r="AM77" i="2" s="1"/>
  <c r="AK275" i="6"/>
  <c r="AL77" i="2" s="1"/>
  <c r="AJ275" i="6"/>
  <c r="AK77" i="2" s="1"/>
  <c r="AI275" i="6"/>
  <c r="AJ77" i="2" s="1"/>
  <c r="AH275" i="6"/>
  <c r="AI77" i="2" s="1"/>
  <c r="AG275" i="6"/>
  <c r="AH77" i="2" s="1"/>
  <c r="L63" i="6"/>
  <c r="M63" i="6" s="1"/>
  <c r="N63" i="6" s="1"/>
  <c r="C274" i="6"/>
  <c r="D274" i="6"/>
  <c r="E134" i="2" s="1"/>
  <c r="E274" i="6"/>
  <c r="F134" i="2" s="1"/>
  <c r="F274" i="6"/>
  <c r="G134" i="2" s="1"/>
  <c r="H274" i="6"/>
  <c r="I134" i="2" s="1"/>
  <c r="I274" i="6"/>
  <c r="J134" i="2" s="1"/>
  <c r="J274" i="6"/>
  <c r="K134" i="2" s="1"/>
  <c r="K274" i="6"/>
  <c r="L134" i="2" s="1"/>
  <c r="L274" i="6"/>
  <c r="M134" i="2" s="1"/>
  <c r="M274" i="6"/>
  <c r="N134" i="2" s="1"/>
  <c r="N274" i="6"/>
  <c r="O134" i="2" s="1"/>
  <c r="O274" i="6"/>
  <c r="P134" i="2" s="1"/>
  <c r="P274" i="6"/>
  <c r="Q134" i="2" s="1"/>
  <c r="Q274" i="6"/>
  <c r="R134" i="2" s="1"/>
  <c r="R274" i="6"/>
  <c r="S134" i="2" s="1"/>
  <c r="S274" i="6"/>
  <c r="T134" i="2" s="1"/>
  <c r="T274" i="6"/>
  <c r="V274" i="6"/>
  <c r="W274" i="6"/>
  <c r="X134" i="2" s="1"/>
  <c r="X274" i="6"/>
  <c r="Y134" i="2" s="1"/>
  <c r="Y274" i="6"/>
  <c r="Z134" i="2" s="1"/>
  <c r="Z274" i="6"/>
  <c r="AA134" i="2" s="1"/>
  <c r="AA274" i="6"/>
  <c r="AB134" i="2" s="1"/>
  <c r="AB274" i="6"/>
  <c r="AC134" i="2" s="1"/>
  <c r="AC274" i="6"/>
  <c r="AD134" i="2" s="1"/>
  <c r="AD274" i="6"/>
  <c r="AE134" i="2" s="1"/>
  <c r="AE274" i="6"/>
  <c r="AF134" i="2" s="1"/>
  <c r="AF274" i="6"/>
  <c r="AG134" i="2" s="1"/>
  <c r="AJ274" i="6"/>
  <c r="AK134" i="2" s="1"/>
  <c r="AI274" i="6"/>
  <c r="AJ134" i="2" s="1"/>
  <c r="AH274" i="6"/>
  <c r="AI134" i="2" s="1"/>
  <c r="AG274" i="6"/>
  <c r="AH134" i="2" s="1"/>
  <c r="U274" i="6"/>
  <c r="G274" i="6"/>
  <c r="H134" i="2" s="1"/>
  <c r="AL274" i="6"/>
  <c r="AM134" i="2" s="1"/>
  <c r="AK274" i="6"/>
  <c r="AL134" i="2" s="1"/>
  <c r="BJ274" i="6"/>
  <c r="BK134" i="2" s="1"/>
  <c r="BI274" i="6"/>
  <c r="BJ134" i="2" s="1"/>
  <c r="BH274" i="6"/>
  <c r="BI134" i="2" s="1"/>
  <c r="BG274" i="6"/>
  <c r="BH134" i="2" s="1"/>
  <c r="BF274" i="6"/>
  <c r="BG134" i="2" s="1"/>
  <c r="BE274" i="6"/>
  <c r="BF134" i="2" s="1"/>
  <c r="BD274" i="6"/>
  <c r="BE134" i="2" s="1"/>
  <c r="BC274" i="6"/>
  <c r="BD134" i="2" s="1"/>
  <c r="BB274" i="6"/>
  <c r="BC134" i="2" s="1"/>
  <c r="BA274" i="6"/>
  <c r="BB134" i="2" s="1"/>
  <c r="AZ274" i="6"/>
  <c r="BA134" i="2" s="1"/>
  <c r="AY274" i="6"/>
  <c r="AZ134" i="2" s="1"/>
  <c r="AX274" i="6"/>
  <c r="AY134" i="2" s="1"/>
  <c r="AW274" i="6"/>
  <c r="AX134" i="2" s="1"/>
  <c r="AV274" i="6"/>
  <c r="AW134" i="2" s="1"/>
  <c r="AU274" i="6"/>
  <c r="AV134" i="2" s="1"/>
  <c r="AT274" i="6"/>
  <c r="AU134" i="2" s="1"/>
  <c r="AS274" i="6"/>
  <c r="AT134" i="2" s="1"/>
  <c r="AR274" i="6"/>
  <c r="AS134" i="2" s="1"/>
  <c r="AQ274" i="6"/>
  <c r="AR134" i="2" s="1"/>
  <c r="AP274" i="6"/>
  <c r="AQ134" i="2" s="1"/>
  <c r="AO274" i="6"/>
  <c r="AP134" i="2" s="1"/>
  <c r="AN274" i="6"/>
  <c r="AO134" i="2" s="1"/>
  <c r="AM274" i="6"/>
  <c r="AN134" i="2" s="1"/>
  <c r="L62" i="6"/>
  <c r="M62" i="6"/>
  <c r="N62" i="6" s="1"/>
  <c r="C273" i="6"/>
  <c r="D273" i="6"/>
  <c r="E128" i="2" s="1"/>
  <c r="E273" i="6"/>
  <c r="F128" i="2" s="1"/>
  <c r="F273" i="6"/>
  <c r="G128" i="2" s="1"/>
  <c r="G273" i="6"/>
  <c r="H128" i="2" s="1"/>
  <c r="H273" i="6"/>
  <c r="I128" i="2" s="1"/>
  <c r="I273" i="6"/>
  <c r="J128" i="2" s="1"/>
  <c r="J273" i="6"/>
  <c r="K128" i="2" s="1"/>
  <c r="K273" i="6"/>
  <c r="L128" i="2" s="1"/>
  <c r="L273" i="6"/>
  <c r="M128" i="2" s="1"/>
  <c r="M273" i="6"/>
  <c r="N128" i="2" s="1"/>
  <c r="N273" i="6"/>
  <c r="O128" i="2" s="1"/>
  <c r="O273" i="6"/>
  <c r="P128" i="2" s="1"/>
  <c r="P273" i="6"/>
  <c r="Q128" i="2" s="1"/>
  <c r="Q273" i="6"/>
  <c r="R128" i="2" s="1"/>
  <c r="R273" i="6"/>
  <c r="S128" i="2" s="1"/>
  <c r="S273" i="6"/>
  <c r="T128" i="2" s="1"/>
  <c r="T273" i="6"/>
  <c r="U128" i="2" s="1"/>
  <c r="U273" i="6"/>
  <c r="V128" i="2" s="1"/>
  <c r="W273" i="6"/>
  <c r="X128" i="2" s="1"/>
  <c r="X273" i="6"/>
  <c r="Y128" i="2" s="1"/>
  <c r="Y273" i="6"/>
  <c r="Z128" i="2" s="1"/>
  <c r="Z273" i="6"/>
  <c r="AA128" i="2" s="1"/>
  <c r="AA273" i="6"/>
  <c r="AB128" i="2" s="1"/>
  <c r="AB273" i="6"/>
  <c r="AC128" i="2" s="1"/>
  <c r="AC273" i="6"/>
  <c r="AD128" i="2" s="1"/>
  <c r="AD273" i="6"/>
  <c r="AE128" i="2" s="1"/>
  <c r="AE273" i="6"/>
  <c r="AF128" i="2" s="1"/>
  <c r="AF273" i="6"/>
  <c r="AG128" i="2" s="1"/>
  <c r="L61" i="6"/>
  <c r="AJ272" i="6"/>
  <c r="AK101" i="2" s="1"/>
  <c r="AK272" i="6"/>
  <c r="AL101" i="2" s="1"/>
  <c r="AL272" i="6"/>
  <c r="AM101" i="2" s="1"/>
  <c r="AM272" i="6"/>
  <c r="AN101" i="2" s="1"/>
  <c r="AN272" i="6"/>
  <c r="AO101" i="2" s="1"/>
  <c r="AO272" i="6"/>
  <c r="AP101" i="2" s="1"/>
  <c r="AP272" i="6"/>
  <c r="AQ101" i="2" s="1"/>
  <c r="AQ272" i="6"/>
  <c r="AR101" i="2" s="1"/>
  <c r="AR272" i="6"/>
  <c r="AS101" i="2" s="1"/>
  <c r="AS272" i="6"/>
  <c r="AT101" i="2" s="1"/>
  <c r="AT272" i="6"/>
  <c r="AU101" i="2" s="1"/>
  <c r="AU272" i="6"/>
  <c r="AV101" i="2" s="1"/>
  <c r="AV272" i="6"/>
  <c r="AW101" i="2" s="1"/>
  <c r="AX272" i="6"/>
  <c r="AY101" i="2" s="1"/>
  <c r="AY272" i="6"/>
  <c r="AZ101" i="2" s="1"/>
  <c r="AZ272" i="6"/>
  <c r="BA101" i="2" s="1"/>
  <c r="BA272" i="6"/>
  <c r="BB101" i="2" s="1"/>
  <c r="BB272" i="6"/>
  <c r="BC101" i="2" s="1"/>
  <c r="BC272" i="6"/>
  <c r="BD101" i="2" s="1"/>
  <c r="BD272" i="6"/>
  <c r="BE101" i="2" s="1"/>
  <c r="BE272" i="6"/>
  <c r="BF101" i="2" s="1"/>
  <c r="BF272" i="6"/>
  <c r="BG101" i="2" s="1"/>
  <c r="BG272" i="6"/>
  <c r="BH101" i="2" s="1"/>
  <c r="BH272" i="6"/>
  <c r="BI101" i="2" s="1"/>
  <c r="BI272" i="6"/>
  <c r="BJ101" i="2" s="1"/>
  <c r="BJ272" i="6"/>
  <c r="BK101" i="2" s="1"/>
  <c r="M61" i="6"/>
  <c r="N61" i="6" s="1"/>
  <c r="T272" i="6"/>
  <c r="U101" i="2" s="1"/>
  <c r="AW272" i="6"/>
  <c r="AX101" i="2" s="1"/>
  <c r="C272" i="6"/>
  <c r="AI272" i="6"/>
  <c r="AJ101" i="2" s="1"/>
  <c r="E272" i="6"/>
  <c r="F272" i="6"/>
  <c r="G272" i="6"/>
  <c r="H272" i="6"/>
  <c r="I272" i="6"/>
  <c r="J272" i="6"/>
  <c r="D272" i="6"/>
  <c r="K272" i="6"/>
  <c r="L272" i="6"/>
  <c r="M272" i="6"/>
  <c r="N272" i="6"/>
  <c r="O272" i="6"/>
  <c r="P272" i="6"/>
  <c r="Q272" i="6"/>
  <c r="R272" i="6"/>
  <c r="S272" i="6"/>
  <c r="T101" i="2" s="1"/>
  <c r="U272" i="6"/>
  <c r="V101" i="2" s="1"/>
  <c r="V272" i="6"/>
  <c r="W101" i="2" s="1"/>
  <c r="W272" i="6"/>
  <c r="X101" i="2" s="1"/>
  <c r="X272" i="6"/>
  <c r="Y101" i="2" s="1"/>
  <c r="Y272" i="6"/>
  <c r="Z101" i="2" s="1"/>
  <c r="Z272" i="6"/>
  <c r="AA101" i="2" s="1"/>
  <c r="AA272" i="6"/>
  <c r="AB101" i="2" s="1"/>
  <c r="AB272" i="6"/>
  <c r="AC101" i="2" s="1"/>
  <c r="AC272" i="6"/>
  <c r="AD101" i="2" s="1"/>
  <c r="AD272" i="6"/>
  <c r="AE101" i="2" s="1"/>
  <c r="AE272" i="6"/>
  <c r="AF101" i="2" s="1"/>
  <c r="AF272" i="6"/>
  <c r="AG101" i="2" s="1"/>
  <c r="AG272" i="6"/>
  <c r="AH101" i="2" s="1"/>
  <c r="AH272" i="6"/>
  <c r="AI101" i="2" s="1"/>
  <c r="L60" i="6"/>
  <c r="AN271" i="6"/>
  <c r="AO242" i="2" s="1"/>
  <c r="AM271" i="6"/>
  <c r="AN242" i="2" s="1"/>
  <c r="AL271" i="6"/>
  <c r="AM242" i="2" s="1"/>
  <c r="AK271" i="6"/>
  <c r="AL242" i="2" s="1"/>
  <c r="AJ271" i="6"/>
  <c r="AK242" i="2" s="1"/>
  <c r="AI271" i="6"/>
  <c r="AJ242" i="2" s="1"/>
  <c r="AG271" i="6"/>
  <c r="AH242" i="2" s="1"/>
  <c r="AF271" i="6"/>
  <c r="AG242" i="2" s="1"/>
  <c r="AB271" i="6"/>
  <c r="AC242" i="2" s="1"/>
  <c r="AA271" i="6"/>
  <c r="AB242" i="2" s="1"/>
  <c r="C271" i="6"/>
  <c r="D271" i="6"/>
  <c r="E242" i="2" s="1"/>
  <c r="E271" i="6"/>
  <c r="F242" i="2" s="1"/>
  <c r="F271" i="6"/>
  <c r="G242" i="2" s="1"/>
  <c r="G271" i="6"/>
  <c r="H242" i="2" s="1"/>
  <c r="H271" i="6"/>
  <c r="I242" i="2" s="1"/>
  <c r="AE271" i="6"/>
  <c r="AF242" i="2" s="1"/>
  <c r="AD271" i="6"/>
  <c r="AE242" i="2" s="1"/>
  <c r="I271" i="6"/>
  <c r="J242" i="2" s="1"/>
  <c r="J271" i="6"/>
  <c r="K242" i="2" s="1"/>
  <c r="K271" i="6"/>
  <c r="L242" i="2" s="1"/>
  <c r="L271" i="6"/>
  <c r="M242" i="2" s="1"/>
  <c r="M271" i="6"/>
  <c r="N242" i="2" s="1"/>
  <c r="N271" i="6"/>
  <c r="O242" i="2" s="1"/>
  <c r="O271" i="6"/>
  <c r="P242" i="2" s="1"/>
  <c r="P271" i="6"/>
  <c r="Q242" i="2" s="1"/>
  <c r="Q271" i="6"/>
  <c r="R242" i="2" s="1"/>
  <c r="R271" i="6"/>
  <c r="S271" i="6"/>
  <c r="W271" i="6"/>
  <c r="X242" i="2" s="1"/>
  <c r="X271" i="6"/>
  <c r="Y242" i="2" s="1"/>
  <c r="Y271" i="6"/>
  <c r="Z242" i="2" s="1"/>
  <c r="Z271" i="6"/>
  <c r="AA242" i="2" s="1"/>
  <c r="AP271" i="6"/>
  <c r="AQ242" i="2" s="1"/>
  <c r="AQ271" i="6"/>
  <c r="AR242" i="2" s="1"/>
  <c r="AR271" i="6"/>
  <c r="AS242" i="2" s="1"/>
  <c r="AS271" i="6"/>
  <c r="AT242" i="2" s="1"/>
  <c r="AT271" i="6"/>
  <c r="AU242" i="2" s="1"/>
  <c r="AU271" i="6"/>
  <c r="AV242" i="2" s="1"/>
  <c r="AV271" i="6"/>
  <c r="AW242" i="2" s="1"/>
  <c r="AW271" i="6"/>
  <c r="AX242" i="2" s="1"/>
  <c r="AX271" i="6"/>
  <c r="AY242" i="2" s="1"/>
  <c r="AY271" i="6"/>
  <c r="AZ242" i="2" s="1"/>
  <c r="AC271" i="6"/>
  <c r="AD242" i="2" s="1"/>
  <c r="AZ271" i="6"/>
  <c r="BA242" i="2" s="1"/>
  <c r="BA271" i="6"/>
  <c r="BB242" i="2" s="1"/>
  <c r="BB271" i="6"/>
  <c r="BC242" i="2" s="1"/>
  <c r="BC271" i="6"/>
  <c r="BD242" i="2" s="1"/>
  <c r="BD271" i="6"/>
  <c r="BE242" i="2" s="1"/>
  <c r="BE271" i="6"/>
  <c r="BF242" i="2" s="1"/>
  <c r="BF271" i="6"/>
  <c r="BG242" i="2" s="1"/>
  <c r="T271" i="6"/>
  <c r="BG271" i="6"/>
  <c r="BH242" i="2" s="1"/>
  <c r="BH271" i="6"/>
  <c r="BI242" i="2" s="1"/>
  <c r="BI271" i="6"/>
  <c r="BJ242" i="2" s="1"/>
  <c r="BJ271" i="6"/>
  <c r="BK242" i="2" s="1"/>
  <c r="U271" i="6"/>
  <c r="V271" i="6"/>
  <c r="AH271" i="6"/>
  <c r="AI242" i="2" s="1"/>
  <c r="L59" i="6"/>
  <c r="M59" i="6"/>
  <c r="N59" i="6" s="1"/>
  <c r="Q270" i="6"/>
  <c r="R23" i="2" s="1"/>
  <c r="R270" i="6"/>
  <c r="S23" i="2" s="1"/>
  <c r="S270" i="6"/>
  <c r="T23" i="2" s="1"/>
  <c r="T270" i="6"/>
  <c r="U23" i="2" s="1"/>
  <c r="U270" i="6"/>
  <c r="V23" i="2" s="1"/>
  <c r="V270" i="6"/>
  <c r="W23" i="2" s="1"/>
  <c r="W270" i="6"/>
  <c r="X23" i="2" s="1"/>
  <c r="X270" i="6"/>
  <c r="Y23" i="2" s="1"/>
  <c r="Y270" i="6"/>
  <c r="Z23" i="2" s="1"/>
  <c r="Z270" i="6"/>
  <c r="AA23" i="2" s="1"/>
  <c r="AC270" i="6"/>
  <c r="AD23" i="2" s="1"/>
  <c r="AD270" i="6"/>
  <c r="AE23" i="2" s="1"/>
  <c r="AE270" i="6"/>
  <c r="AF23" i="2" s="1"/>
  <c r="AF270" i="6"/>
  <c r="AG23" i="2" s="1"/>
  <c r="AG270" i="6"/>
  <c r="AH23" i="2" s="1"/>
  <c r="AH270" i="6"/>
  <c r="AI23" i="2" s="1"/>
  <c r="AB270" i="6"/>
  <c r="AC23" i="2" s="1"/>
  <c r="AI270" i="6"/>
  <c r="AJ23" i="2" s="1"/>
  <c r="AJ270" i="6"/>
  <c r="AK23" i="2" s="1"/>
  <c r="AK270" i="6"/>
  <c r="AL23" i="2" s="1"/>
  <c r="AL270" i="6"/>
  <c r="AM23" i="2" s="1"/>
  <c r="AM270" i="6"/>
  <c r="AN23" i="2" s="1"/>
  <c r="AN270" i="6"/>
  <c r="AO23" i="2" s="1"/>
  <c r="AO270" i="6"/>
  <c r="AP23" i="2" s="1"/>
  <c r="AP270" i="6"/>
  <c r="AQ23" i="2" s="1"/>
  <c r="AQ270" i="6"/>
  <c r="AR23" i="2" s="1"/>
  <c r="AR270" i="6"/>
  <c r="AS23" i="2" s="1"/>
  <c r="AS270" i="6"/>
  <c r="AT23" i="2" s="1"/>
  <c r="AT270" i="6"/>
  <c r="AU23" i="2" s="1"/>
  <c r="AU270" i="6"/>
  <c r="AV23" i="2" s="1"/>
  <c r="AV270" i="6"/>
  <c r="AW23" i="2" s="1"/>
  <c r="AW270" i="6"/>
  <c r="AX23" i="2" s="1"/>
  <c r="AX270" i="6"/>
  <c r="AY23" i="2" s="1"/>
  <c r="AY270" i="6"/>
  <c r="AZ23" i="2" s="1"/>
  <c r="AZ270" i="6"/>
  <c r="BA23" i="2" s="1"/>
  <c r="BA270" i="6"/>
  <c r="BB23" i="2" s="1"/>
  <c r="BB270" i="6"/>
  <c r="BC23" i="2" s="1"/>
  <c r="BC270" i="6"/>
  <c r="BD23" i="2" s="1"/>
  <c r="BD270" i="6"/>
  <c r="BE23" i="2" s="1"/>
  <c r="BE270" i="6"/>
  <c r="BF23" i="2" s="1"/>
  <c r="BF270" i="6"/>
  <c r="BG23" i="2" s="1"/>
  <c r="BG270" i="6"/>
  <c r="BH23" i="2" s="1"/>
  <c r="BH270" i="6"/>
  <c r="BI23" i="2" s="1"/>
  <c r="BI270" i="6"/>
  <c r="BJ23" i="2" s="1"/>
  <c r="BJ270" i="6"/>
  <c r="BK23" i="2" s="1"/>
  <c r="L58" i="6"/>
  <c r="V269" i="6"/>
  <c r="W269" i="6"/>
  <c r="X269" i="2" s="1"/>
  <c r="X269" i="6"/>
  <c r="Y269" i="2" s="1"/>
  <c r="Y269" i="6"/>
  <c r="Z269" i="2" s="1"/>
  <c r="Z269" i="6"/>
  <c r="AA269" i="2" s="1"/>
  <c r="AA269" i="6"/>
  <c r="AB269" i="2" s="1"/>
  <c r="M269" i="6"/>
  <c r="N269" i="2" s="1"/>
  <c r="AC269" i="6"/>
  <c r="AD269" i="2" s="1"/>
  <c r="AD269" i="6"/>
  <c r="AE269" i="2" s="1"/>
  <c r="AE269" i="6"/>
  <c r="AF269" i="2" s="1"/>
  <c r="AF269" i="6"/>
  <c r="AG269" i="2" s="1"/>
  <c r="AG269" i="6"/>
  <c r="AH269" i="2" s="1"/>
  <c r="AH269" i="6"/>
  <c r="AI269" i="2" s="1"/>
  <c r="O269" i="6"/>
  <c r="P269" i="2" s="1"/>
  <c r="P269" i="6"/>
  <c r="Q269" i="2" s="1"/>
  <c r="AI269" i="6"/>
  <c r="AJ269" i="2" s="1"/>
  <c r="Q269" i="6"/>
  <c r="R269" i="2" s="1"/>
  <c r="R269" i="6"/>
  <c r="S269" i="2" s="1"/>
  <c r="S269" i="6"/>
  <c r="T269" i="2" s="1"/>
  <c r="T269" i="6"/>
  <c r="U269" i="2" s="1"/>
  <c r="U269" i="6"/>
  <c r="V269" i="2" s="1"/>
  <c r="BJ269" i="6"/>
  <c r="BK269" i="2" s="1"/>
  <c r="BI269" i="6"/>
  <c r="BJ269" i="2" s="1"/>
  <c r="N269" i="6"/>
  <c r="O269" i="2" s="1"/>
  <c r="BH269" i="6"/>
  <c r="BI269" i="2" s="1"/>
  <c r="BG269" i="6"/>
  <c r="BH269" i="2" s="1"/>
  <c r="BF269" i="6"/>
  <c r="BG269" i="2" s="1"/>
  <c r="BE269" i="6"/>
  <c r="BF269" i="2" s="1"/>
  <c r="BD269" i="6"/>
  <c r="BE269" i="2" s="1"/>
  <c r="BC269" i="6"/>
  <c r="BD269" i="2" s="1"/>
  <c r="BB269" i="6"/>
  <c r="BC269" i="2" s="1"/>
  <c r="BA269" i="6"/>
  <c r="BB269" i="2" s="1"/>
  <c r="AZ269" i="6"/>
  <c r="BA269" i="2" s="1"/>
  <c r="AY269" i="6"/>
  <c r="AZ269" i="2" s="1"/>
  <c r="AX269" i="6"/>
  <c r="AY269" i="2" s="1"/>
  <c r="AW269" i="6"/>
  <c r="AX269" i="2" s="1"/>
  <c r="AV269" i="6"/>
  <c r="AW269" i="2" s="1"/>
  <c r="AU269" i="6"/>
  <c r="AV269" i="2" s="1"/>
  <c r="AT269" i="6"/>
  <c r="AU269" i="2" s="1"/>
  <c r="AS269" i="6"/>
  <c r="AT269" i="2" s="1"/>
  <c r="AR269" i="6"/>
  <c r="AS269" i="2" s="1"/>
  <c r="AQ269" i="6"/>
  <c r="AR269" i="2" s="1"/>
  <c r="AP269" i="6"/>
  <c r="AQ269" i="2" s="1"/>
  <c r="AO269" i="6"/>
  <c r="AP269" i="2" s="1"/>
  <c r="AN269" i="6"/>
  <c r="AO269" i="2" s="1"/>
  <c r="AM269" i="6"/>
  <c r="AN269" i="2" s="1"/>
  <c r="AL269" i="6"/>
  <c r="AM269" i="2" s="1"/>
  <c r="AK269" i="6"/>
  <c r="AL269" i="2" s="1"/>
  <c r="L269" i="6"/>
  <c r="M269" i="2" s="1"/>
  <c r="AB269" i="6"/>
  <c r="AC269" i="2" s="1"/>
  <c r="AJ269" i="6"/>
  <c r="AK269" i="2" s="1"/>
  <c r="M58" i="6"/>
  <c r="N58" i="6" s="1"/>
  <c r="C269" i="6"/>
  <c r="D269" i="6"/>
  <c r="E269" i="2" s="1"/>
  <c r="E269" i="6"/>
  <c r="F269" i="2" s="1"/>
  <c r="L57" i="6"/>
  <c r="C268" i="6"/>
  <c r="D268" i="6"/>
  <c r="E227" i="2" s="1"/>
  <c r="E268" i="6"/>
  <c r="F227" i="2" s="1"/>
  <c r="F268" i="6"/>
  <c r="G227" i="2" s="1"/>
  <c r="G268" i="6"/>
  <c r="H227" i="2" s="1"/>
  <c r="H268" i="6"/>
  <c r="I227" i="2" s="1"/>
  <c r="I268" i="6"/>
  <c r="J227" i="2" s="1"/>
  <c r="J268" i="6"/>
  <c r="K227" i="2" s="1"/>
  <c r="K268" i="6"/>
  <c r="L227" i="2" s="1"/>
  <c r="L268" i="6"/>
  <c r="M227" i="2" s="1"/>
  <c r="M268" i="6"/>
  <c r="N227" i="2" s="1"/>
  <c r="N268" i="6"/>
  <c r="O227" i="2" s="1"/>
  <c r="O268" i="6"/>
  <c r="P227" i="2" s="1"/>
  <c r="P268" i="6"/>
  <c r="Q227" i="2" s="1"/>
  <c r="Q268" i="6"/>
  <c r="R227" i="2" s="1"/>
  <c r="R268" i="6"/>
  <c r="S227" i="2" s="1"/>
  <c r="S268" i="6"/>
  <c r="T268" i="6"/>
  <c r="U268" i="6"/>
  <c r="V268" i="6"/>
  <c r="W268" i="6"/>
  <c r="X227" i="2" s="1"/>
  <c r="X268" i="6"/>
  <c r="Y227" i="2" s="1"/>
  <c r="Y268" i="6"/>
  <c r="Z227" i="2" s="1"/>
  <c r="Z268" i="6"/>
  <c r="AA227" i="2" s="1"/>
  <c r="AA268" i="6"/>
  <c r="AB227" i="2" s="1"/>
  <c r="AB268" i="6"/>
  <c r="AC227" i="2" s="1"/>
  <c r="AC268" i="6"/>
  <c r="AD227" i="2" s="1"/>
  <c r="AD268" i="6"/>
  <c r="AE227" i="2" s="1"/>
  <c r="AE268" i="6"/>
  <c r="AF227" i="2" s="1"/>
  <c r="AF268" i="6"/>
  <c r="AG227" i="2" s="1"/>
  <c r="AG268" i="6"/>
  <c r="AH227" i="2" s="1"/>
  <c r="AH268" i="6"/>
  <c r="AI227" i="2" s="1"/>
  <c r="AI268" i="6"/>
  <c r="AJ227" i="2" s="1"/>
  <c r="AJ268" i="6"/>
  <c r="AK227" i="2" s="1"/>
  <c r="L56" i="6"/>
  <c r="M56" i="6"/>
  <c r="N56" i="6" s="1"/>
  <c r="AG267" i="6"/>
  <c r="AH74" i="2" s="1"/>
  <c r="BF267" i="6"/>
  <c r="BG74" i="2" s="1"/>
  <c r="BE267" i="6"/>
  <c r="BF74" i="2" s="1"/>
  <c r="BJ267" i="6"/>
  <c r="BK74" i="2" s="1"/>
  <c r="Y267" i="6"/>
  <c r="Z74" i="2" s="1"/>
  <c r="BB267" i="6"/>
  <c r="BC74" i="2" s="1"/>
  <c r="BA267" i="6"/>
  <c r="BB74" i="2" s="1"/>
  <c r="AZ267" i="6"/>
  <c r="BA74" i="2" s="1"/>
  <c r="AY267" i="6"/>
  <c r="AZ74" i="2" s="1"/>
  <c r="AX267" i="6"/>
  <c r="AY74" i="2" s="1"/>
  <c r="AW267" i="6"/>
  <c r="AX74" i="2" s="1"/>
  <c r="BI267" i="6"/>
  <c r="BJ74" i="2" s="1"/>
  <c r="AV267" i="6"/>
  <c r="AW74" i="2" s="1"/>
  <c r="AU267" i="6"/>
  <c r="AV74" i="2" s="1"/>
  <c r="AT267" i="6"/>
  <c r="AU74" i="2" s="1"/>
  <c r="AS267" i="6"/>
  <c r="AT74" i="2" s="1"/>
  <c r="AR267" i="6"/>
  <c r="AS74" i="2" s="1"/>
  <c r="AQ267" i="6"/>
  <c r="AR74" i="2" s="1"/>
  <c r="AP267" i="6"/>
  <c r="AQ74" i="2" s="1"/>
  <c r="AO267" i="6"/>
  <c r="AP74" i="2" s="1"/>
  <c r="AN267" i="6"/>
  <c r="AO74" i="2" s="1"/>
  <c r="AM267" i="6"/>
  <c r="AN74" i="2" s="1"/>
  <c r="AL267" i="6"/>
  <c r="AM74" i="2" s="1"/>
  <c r="AK267" i="6"/>
  <c r="AL74" i="2" s="1"/>
  <c r="AJ267" i="6"/>
  <c r="AK74" i="2" s="1"/>
  <c r="BH267" i="6"/>
  <c r="BI74" i="2" s="1"/>
  <c r="AI267" i="6"/>
  <c r="AJ74" i="2" s="1"/>
  <c r="AH267" i="6"/>
  <c r="AI74" i="2" s="1"/>
  <c r="AF267" i="6"/>
  <c r="AG74" i="2" s="1"/>
  <c r="AE267" i="6"/>
  <c r="AF74" i="2" s="1"/>
  <c r="AD267" i="6"/>
  <c r="AE74" i="2" s="1"/>
  <c r="AC267" i="6"/>
  <c r="AD74" i="2" s="1"/>
  <c r="AB267" i="6"/>
  <c r="AC74" i="2" s="1"/>
  <c r="AA267" i="6"/>
  <c r="AB74" i="2" s="1"/>
  <c r="Z267" i="6"/>
  <c r="AA74" i="2" s="1"/>
  <c r="L55" i="6"/>
  <c r="M55" i="6"/>
  <c r="N55" i="6" s="1"/>
  <c r="D266" i="6"/>
  <c r="AH266" i="6"/>
  <c r="AI173" i="2" s="1"/>
  <c r="BG266" i="6"/>
  <c r="BH173" i="2" s="1"/>
  <c r="AV266" i="6"/>
  <c r="AW173" i="2" s="1"/>
  <c r="BE266" i="6"/>
  <c r="BF173" i="2" s="1"/>
  <c r="BD266" i="6"/>
  <c r="BE173" i="2" s="1"/>
  <c r="BC266" i="6"/>
  <c r="BD173" i="2" s="1"/>
  <c r="BB266" i="6"/>
  <c r="BC173" i="2" s="1"/>
  <c r="C266" i="6"/>
  <c r="AZ266" i="6"/>
  <c r="BA173" i="2" s="1"/>
  <c r="AY266" i="6"/>
  <c r="AZ173" i="2" s="1"/>
  <c r="AX266" i="6"/>
  <c r="AY173" i="2" s="1"/>
  <c r="BJ266" i="6"/>
  <c r="BK173" i="2" s="1"/>
  <c r="BI266" i="6"/>
  <c r="BJ173" i="2" s="1"/>
  <c r="BH266" i="6"/>
  <c r="BI173" i="2" s="1"/>
  <c r="BF266" i="6"/>
  <c r="BG173" i="2" s="1"/>
  <c r="Z266" i="6"/>
  <c r="AA173" i="2" s="1"/>
  <c r="Y266" i="6"/>
  <c r="Z173" i="2" s="1"/>
  <c r="X266" i="6"/>
  <c r="Y173" i="2" s="1"/>
  <c r="W266" i="6"/>
  <c r="X173" i="2" s="1"/>
  <c r="V266" i="6"/>
  <c r="W173" i="2" s="1"/>
  <c r="U266" i="6"/>
  <c r="V173" i="2" s="1"/>
  <c r="T266" i="6"/>
  <c r="U173" i="2" s="1"/>
  <c r="BA266" i="6"/>
  <c r="BB173" i="2" s="1"/>
  <c r="R266" i="6"/>
  <c r="S173" i="2" s="1"/>
  <c r="Q266" i="6"/>
  <c r="R173" i="2" s="1"/>
  <c r="P266" i="6"/>
  <c r="Q173" i="2" s="1"/>
  <c r="O266" i="6"/>
  <c r="P173" i="2" s="1"/>
  <c r="N266" i="6"/>
  <c r="O173" i="2" s="1"/>
  <c r="M266" i="6"/>
  <c r="N173" i="2" s="1"/>
  <c r="L266" i="6"/>
  <c r="M173" i="2" s="1"/>
  <c r="K266" i="6"/>
  <c r="L173" i="2" s="1"/>
  <c r="J266" i="6"/>
  <c r="K173" i="2" s="1"/>
  <c r="I266" i="6"/>
  <c r="J173" i="2" s="1"/>
  <c r="H266" i="6"/>
  <c r="I173" i="2" s="1"/>
  <c r="G266" i="6"/>
  <c r="H173" i="2" s="1"/>
  <c r="F266" i="6"/>
  <c r="G173" i="2" s="1"/>
  <c r="E266" i="6"/>
  <c r="F173" i="2" s="1"/>
  <c r="S266" i="6"/>
  <c r="T173" i="2" s="1"/>
  <c r="L54" i="6"/>
  <c r="N265" i="6" s="1"/>
  <c r="O275" i="2" s="1"/>
  <c r="O265" i="6"/>
  <c r="P275" i="2" s="1"/>
  <c r="P265" i="6"/>
  <c r="Q275" i="2" s="1"/>
  <c r="BJ265" i="6"/>
  <c r="BK275" i="2" s="1"/>
  <c r="Q265" i="6"/>
  <c r="R275" i="2" s="1"/>
  <c r="R265" i="6"/>
  <c r="S275" i="2" s="1"/>
  <c r="S265" i="6"/>
  <c r="T275" i="2" s="1"/>
  <c r="T265" i="6"/>
  <c r="U275" i="2" s="1"/>
  <c r="U265" i="6"/>
  <c r="V265" i="6"/>
  <c r="W265" i="6"/>
  <c r="X275" i="2" s="1"/>
  <c r="BI265" i="6"/>
  <c r="BJ275" i="2" s="1"/>
  <c r="BH265" i="6"/>
  <c r="BI275" i="2" s="1"/>
  <c r="BG265" i="6"/>
  <c r="BH275" i="2" s="1"/>
  <c r="X265" i="6"/>
  <c r="Y275" i="2" s="1"/>
  <c r="Y265" i="6"/>
  <c r="Z275" i="2" s="1"/>
  <c r="Z265" i="6"/>
  <c r="AA275" i="2" s="1"/>
  <c r="AA265" i="6"/>
  <c r="AB275" i="2" s="1"/>
  <c r="AC265" i="6"/>
  <c r="AD275" i="2" s="1"/>
  <c r="AD265" i="6"/>
  <c r="AE275" i="2" s="1"/>
  <c r="AE265" i="6"/>
  <c r="AF275" i="2" s="1"/>
  <c r="AF265" i="6"/>
  <c r="AG275" i="2" s="1"/>
  <c r="BF265" i="6"/>
  <c r="BG275" i="2" s="1"/>
  <c r="BE265" i="6"/>
  <c r="BF275" i="2" s="1"/>
  <c r="BD265" i="6"/>
  <c r="BE275" i="2" s="1"/>
  <c r="BC265" i="6"/>
  <c r="BD275" i="2" s="1"/>
  <c r="BB265" i="6"/>
  <c r="BC275" i="2" s="1"/>
  <c r="BA265" i="6"/>
  <c r="BB275" i="2" s="1"/>
  <c r="AZ265" i="6"/>
  <c r="BA275" i="2" s="1"/>
  <c r="AY265" i="6"/>
  <c r="AZ275" i="2" s="1"/>
  <c r="AX265" i="6"/>
  <c r="AY275" i="2" s="1"/>
  <c r="AW265" i="6"/>
  <c r="AX275" i="2" s="1"/>
  <c r="AV265" i="6"/>
  <c r="AW275" i="2" s="1"/>
  <c r="AU265" i="6"/>
  <c r="AV275" i="2" s="1"/>
  <c r="AT265" i="6"/>
  <c r="AU275" i="2" s="1"/>
  <c r="AS265" i="6"/>
  <c r="AT275" i="2" s="1"/>
  <c r="AR265" i="6"/>
  <c r="AS275" i="2" s="1"/>
  <c r="AQ265" i="6"/>
  <c r="AR275" i="2" s="1"/>
  <c r="AP265" i="6"/>
  <c r="AQ275" i="2" s="1"/>
  <c r="AO265" i="6"/>
  <c r="AP275" i="2" s="1"/>
  <c r="AN265" i="6"/>
  <c r="AO275" i="2" s="1"/>
  <c r="AM265" i="6"/>
  <c r="AN275" i="2" s="1"/>
  <c r="AL265" i="6"/>
  <c r="AM275" i="2" s="1"/>
  <c r="AK265" i="6"/>
  <c r="AL275" i="2" s="1"/>
  <c r="AG265" i="6"/>
  <c r="AH275" i="2" s="1"/>
  <c r="AH265" i="6"/>
  <c r="AI275" i="2" s="1"/>
  <c r="AI265" i="6"/>
  <c r="AJ275" i="2" s="1"/>
  <c r="AJ265" i="6"/>
  <c r="AK275" i="2" s="1"/>
  <c r="M54" i="6"/>
  <c r="N54" i="6" s="1"/>
  <c r="L53" i="6"/>
  <c r="T264" i="6"/>
  <c r="U264" i="6"/>
  <c r="V264" i="6"/>
  <c r="W264" i="6"/>
  <c r="X143" i="2" s="1"/>
  <c r="X264" i="6"/>
  <c r="Y143" i="2" s="1"/>
  <c r="Y264" i="6"/>
  <c r="Z143" i="2" s="1"/>
  <c r="Z264" i="6"/>
  <c r="AA143" i="2" s="1"/>
  <c r="AA264" i="6"/>
  <c r="AB143" i="2" s="1"/>
  <c r="AB264" i="6"/>
  <c r="AC143" i="2" s="1"/>
  <c r="AC264" i="6"/>
  <c r="AD143" i="2" s="1"/>
  <c r="AD264" i="6"/>
  <c r="AE143" i="2" s="1"/>
  <c r="AE264" i="6"/>
  <c r="AF143" i="2" s="1"/>
  <c r="AF264" i="6"/>
  <c r="AG143" i="2" s="1"/>
  <c r="AG264" i="6"/>
  <c r="AH143" i="2" s="1"/>
  <c r="AH264" i="6"/>
  <c r="AI143" i="2" s="1"/>
  <c r="AI264" i="6"/>
  <c r="AJ143" i="2" s="1"/>
  <c r="AJ264" i="6"/>
  <c r="AK143" i="2" s="1"/>
  <c r="AK264" i="6"/>
  <c r="AL143" i="2" s="1"/>
  <c r="G264" i="6"/>
  <c r="H143" i="2" s="1"/>
  <c r="AL264" i="6"/>
  <c r="AM143" i="2" s="1"/>
  <c r="AM264" i="6"/>
  <c r="AN143" i="2" s="1"/>
  <c r="AN264" i="6"/>
  <c r="AO143" i="2" s="1"/>
  <c r="AO264" i="6"/>
  <c r="AP143" i="2" s="1"/>
  <c r="AP264" i="6"/>
  <c r="AQ143" i="2" s="1"/>
  <c r="AQ264" i="6"/>
  <c r="AR143" i="2" s="1"/>
  <c r="AR264" i="6"/>
  <c r="AS143" i="2" s="1"/>
  <c r="AS264" i="6"/>
  <c r="AT143" i="2" s="1"/>
  <c r="AT264" i="6"/>
  <c r="AU143" i="2" s="1"/>
  <c r="AU264" i="6"/>
  <c r="AV143" i="2" s="1"/>
  <c r="AV264" i="6"/>
  <c r="AW143" i="2" s="1"/>
  <c r="AW264" i="6"/>
  <c r="AX143" i="2" s="1"/>
  <c r="AX264" i="6"/>
  <c r="AY143" i="2" s="1"/>
  <c r="AY264" i="6"/>
  <c r="AZ143" i="2" s="1"/>
  <c r="AZ264" i="6"/>
  <c r="BA143" i="2" s="1"/>
  <c r="BA264" i="6"/>
  <c r="BB143" i="2" s="1"/>
  <c r="BB264" i="6"/>
  <c r="BC143" i="2" s="1"/>
  <c r="BD264" i="6"/>
  <c r="BE143" i="2" s="1"/>
  <c r="BE264" i="6"/>
  <c r="BF143" i="2" s="1"/>
  <c r="BF264" i="6"/>
  <c r="BG143" i="2" s="1"/>
  <c r="BG264" i="6"/>
  <c r="BH143" i="2" s="1"/>
  <c r="BH264" i="6"/>
  <c r="BI143" i="2" s="1"/>
  <c r="BI264" i="6"/>
  <c r="BJ143" i="2" s="1"/>
  <c r="F264" i="6"/>
  <c r="G143" i="2" s="1"/>
  <c r="BJ264" i="6"/>
  <c r="BK143" i="2" s="1"/>
  <c r="H264" i="6"/>
  <c r="I143" i="2" s="1"/>
  <c r="I264" i="6"/>
  <c r="J143" i="2" s="1"/>
  <c r="J264" i="6"/>
  <c r="K143" i="2" s="1"/>
  <c r="K264" i="6"/>
  <c r="L143" i="2" s="1"/>
  <c r="L264" i="6"/>
  <c r="M143" i="2" s="1"/>
  <c r="M264" i="6"/>
  <c r="N143" i="2" s="1"/>
  <c r="L52" i="6"/>
  <c r="AK263" i="6"/>
  <c r="AL92" i="2" s="1"/>
  <c r="M52" i="6"/>
  <c r="N52" i="6" s="1"/>
  <c r="BJ263" i="6"/>
  <c r="BK92" i="2" s="1"/>
  <c r="BI263" i="6"/>
  <c r="BJ92" i="2" s="1"/>
  <c r="BH263" i="6"/>
  <c r="BI92" i="2" s="1"/>
  <c r="BG263" i="6"/>
  <c r="BH92" i="2" s="1"/>
  <c r="BF263" i="6"/>
  <c r="BG92" i="2" s="1"/>
  <c r="BE263" i="6"/>
  <c r="BF92" i="2" s="1"/>
  <c r="BD263" i="6"/>
  <c r="BE92" i="2" s="1"/>
  <c r="BC263" i="6"/>
  <c r="BD92" i="2" s="1"/>
  <c r="BB263" i="6"/>
  <c r="BC92" i="2" s="1"/>
  <c r="BA263" i="6"/>
  <c r="BB92" i="2" s="1"/>
  <c r="AZ263" i="6"/>
  <c r="BA92" i="2" s="1"/>
  <c r="AY263" i="6"/>
  <c r="AZ92" i="2" s="1"/>
  <c r="AX263" i="6"/>
  <c r="AY92" i="2" s="1"/>
  <c r="AW263" i="6"/>
  <c r="AX92" i="2" s="1"/>
  <c r="AV263" i="6"/>
  <c r="AW92" i="2" s="1"/>
  <c r="AU263" i="6"/>
  <c r="AV92" i="2" s="1"/>
  <c r="AT263" i="6"/>
  <c r="AU92" i="2" s="1"/>
  <c r="AS263" i="6"/>
  <c r="AT92" i="2" s="1"/>
  <c r="AR263" i="6"/>
  <c r="AS92" i="2" s="1"/>
  <c r="AQ263" i="6"/>
  <c r="AR92" i="2" s="1"/>
  <c r="AP263" i="6"/>
  <c r="AQ92" i="2" s="1"/>
  <c r="AO263" i="6"/>
  <c r="AP92" i="2" s="1"/>
  <c r="AN263" i="6"/>
  <c r="AO92" i="2" s="1"/>
  <c r="AM263" i="6"/>
  <c r="AN92" i="2" s="1"/>
  <c r="AL263" i="6"/>
  <c r="AM92" i="2" s="1"/>
  <c r="AJ263" i="6"/>
  <c r="AK92" i="2" s="1"/>
  <c r="AI263" i="6"/>
  <c r="AJ92" i="2" s="1"/>
  <c r="C263" i="6"/>
  <c r="D263" i="6"/>
  <c r="E92" i="2" s="1"/>
  <c r="E263" i="6"/>
  <c r="F92" i="2" s="1"/>
  <c r="L51" i="6"/>
  <c r="BA262" i="6"/>
  <c r="BB86" i="2" s="1"/>
  <c r="AA262" i="6"/>
  <c r="AB86" i="2" s="1"/>
  <c r="Z262" i="6"/>
  <c r="AA86" i="2" s="1"/>
  <c r="Y262" i="6"/>
  <c r="Z86" i="2" s="1"/>
  <c r="O262" i="6"/>
  <c r="P86" i="2" s="1"/>
  <c r="W262" i="6"/>
  <c r="X86" i="2" s="1"/>
  <c r="V262" i="6"/>
  <c r="U262" i="6"/>
  <c r="T262" i="6"/>
  <c r="U86" i="2" s="1"/>
  <c r="X262" i="6"/>
  <c r="Y86" i="2" s="1"/>
  <c r="R262" i="6"/>
  <c r="S86" i="2" s="1"/>
  <c r="AM262" i="6"/>
  <c r="AN86" i="2" s="1"/>
  <c r="C262" i="6"/>
  <c r="D262" i="6"/>
  <c r="E86" i="2" s="1"/>
  <c r="Q262" i="6"/>
  <c r="R86" i="2" s="1"/>
  <c r="P262" i="6"/>
  <c r="Q86" i="2" s="1"/>
  <c r="E262" i="6"/>
  <c r="F86" i="2" s="1"/>
  <c r="F262" i="6"/>
  <c r="G86" i="2" s="1"/>
  <c r="G262" i="6"/>
  <c r="H86" i="2" s="1"/>
  <c r="H262" i="6"/>
  <c r="I86" i="2" s="1"/>
  <c r="I262" i="6"/>
  <c r="J86" i="2" s="1"/>
  <c r="J262" i="6"/>
  <c r="K86" i="2" s="1"/>
  <c r="BJ262" i="6"/>
  <c r="BK86" i="2" s="1"/>
  <c r="K262" i="6"/>
  <c r="L86" i="2" s="1"/>
  <c r="L262" i="6"/>
  <c r="M86" i="2" s="1"/>
  <c r="AZ262" i="6"/>
  <c r="BA86" i="2" s="1"/>
  <c r="AY262" i="6"/>
  <c r="AZ86" i="2" s="1"/>
  <c r="AX262" i="6"/>
  <c r="AY86" i="2" s="1"/>
  <c r="AW262" i="6"/>
  <c r="AX86" i="2" s="1"/>
  <c r="AV262" i="6"/>
  <c r="AW86" i="2" s="1"/>
  <c r="AU262" i="6"/>
  <c r="AV86" i="2" s="1"/>
  <c r="AT262" i="6"/>
  <c r="AU86" i="2" s="1"/>
  <c r="AS262" i="6"/>
  <c r="AT86" i="2" s="1"/>
  <c r="AR262" i="6"/>
  <c r="AS86" i="2" s="1"/>
  <c r="AQ262" i="6"/>
  <c r="AR86" i="2" s="1"/>
  <c r="AP262" i="6"/>
  <c r="AQ86" i="2" s="1"/>
  <c r="AO262" i="6"/>
  <c r="AP86" i="2" s="1"/>
  <c r="AN262" i="6"/>
  <c r="AO86" i="2" s="1"/>
  <c r="AL262" i="6"/>
  <c r="AM86" i="2" s="1"/>
  <c r="M262" i="6"/>
  <c r="N86" i="2" s="1"/>
  <c r="BD262" i="6"/>
  <c r="BE86" i="2" s="1"/>
  <c r="BE262" i="6"/>
  <c r="BF86" i="2" s="1"/>
  <c r="BF262" i="6"/>
  <c r="BG86" i="2" s="1"/>
  <c r="BG262" i="6"/>
  <c r="BH86" i="2" s="1"/>
  <c r="BH262" i="6"/>
  <c r="BI86" i="2" s="1"/>
  <c r="BI262" i="6"/>
  <c r="BJ86" i="2" s="1"/>
  <c r="L50" i="6"/>
  <c r="AH261" i="6"/>
  <c r="AI185" i="2" s="1"/>
  <c r="BJ261" i="6"/>
  <c r="BK185" i="2" s="1"/>
  <c r="BI261" i="6"/>
  <c r="BJ185" i="2" s="1"/>
  <c r="BH261" i="6"/>
  <c r="BI185" i="2" s="1"/>
  <c r="BG261" i="6"/>
  <c r="BH185" i="2" s="1"/>
  <c r="BF261" i="6"/>
  <c r="BG185" i="2" s="1"/>
  <c r="BD261" i="6"/>
  <c r="BE185" i="2" s="1"/>
  <c r="BC261" i="6"/>
  <c r="BD185" i="2" s="1"/>
  <c r="BB261" i="6"/>
  <c r="BC185" i="2" s="1"/>
  <c r="BA261" i="6"/>
  <c r="BB185" i="2" s="1"/>
  <c r="AZ261" i="6"/>
  <c r="BA185" i="2" s="1"/>
  <c r="AY261" i="6"/>
  <c r="AZ185" i="2" s="1"/>
  <c r="AX261" i="6"/>
  <c r="AY185" i="2" s="1"/>
  <c r="AW261" i="6"/>
  <c r="AX185" i="2" s="1"/>
  <c r="AV261" i="6"/>
  <c r="AW185" i="2" s="1"/>
  <c r="AT261" i="6"/>
  <c r="AU185" i="2" s="1"/>
  <c r="AR261" i="6"/>
  <c r="AS185" i="2" s="1"/>
  <c r="AQ261" i="6"/>
  <c r="AR185" i="2" s="1"/>
  <c r="E261" i="6"/>
  <c r="F185" i="2" s="1"/>
  <c r="AP261" i="6"/>
  <c r="AQ185" i="2" s="1"/>
  <c r="AO261" i="6"/>
  <c r="AP185" i="2" s="1"/>
  <c r="AN261" i="6"/>
  <c r="AO185" i="2" s="1"/>
  <c r="AF261" i="6"/>
  <c r="AG185" i="2" s="1"/>
  <c r="AE261" i="6"/>
  <c r="AF185" i="2" s="1"/>
  <c r="AS261" i="6"/>
  <c r="AT185" i="2" s="1"/>
  <c r="L49" i="6"/>
  <c r="Y260" i="6"/>
  <c r="Z41" i="2" s="1"/>
  <c r="R260" i="6"/>
  <c r="S41" i="2" s="1"/>
  <c r="S260" i="6"/>
  <c r="T41" i="2" s="1"/>
  <c r="T260" i="6"/>
  <c r="U41" i="2" s="1"/>
  <c r="U260" i="6"/>
  <c r="V41" i="2" s="1"/>
  <c r="W260" i="6"/>
  <c r="X41" i="2" s="1"/>
  <c r="AA260" i="6"/>
  <c r="AB41" i="2" s="1"/>
  <c r="AB260" i="6"/>
  <c r="AC41" i="2" s="1"/>
  <c r="L48" i="6"/>
  <c r="C259" i="6"/>
  <c r="D259" i="6"/>
  <c r="E50" i="2" s="1"/>
  <c r="E259" i="6"/>
  <c r="F50" i="2" s="1"/>
  <c r="F259" i="6"/>
  <c r="G50" i="2" s="1"/>
  <c r="G259" i="6"/>
  <c r="H50" i="2" s="1"/>
  <c r="H259" i="6"/>
  <c r="I50" i="2" s="1"/>
  <c r="I259" i="6"/>
  <c r="J50" i="2" s="1"/>
  <c r="J259" i="6"/>
  <c r="K50" i="2" s="1"/>
  <c r="K259" i="6"/>
  <c r="L50" i="2" s="1"/>
  <c r="L259" i="6"/>
  <c r="M50" i="2" s="1"/>
  <c r="M259" i="6"/>
  <c r="N50" i="2" s="1"/>
  <c r="N259" i="6"/>
  <c r="O50" i="2" s="1"/>
  <c r="O259" i="6"/>
  <c r="P50" i="2" s="1"/>
  <c r="P259" i="6"/>
  <c r="Q50" i="2" s="1"/>
  <c r="Q259" i="6"/>
  <c r="R50" i="2" s="1"/>
  <c r="R259" i="6"/>
  <c r="S50" i="2" s="1"/>
  <c r="S259" i="6"/>
  <c r="T50" i="2" s="1"/>
  <c r="T259" i="6"/>
  <c r="U50" i="2" s="1"/>
  <c r="U259" i="6"/>
  <c r="V50" i="2" s="1"/>
  <c r="V259" i="6"/>
  <c r="W259" i="6"/>
  <c r="X50" i="2" s="1"/>
  <c r="X259" i="6"/>
  <c r="Y50" i="2" s="1"/>
  <c r="Y259" i="6"/>
  <c r="Z50" i="2" s="1"/>
  <c r="AA259" i="6"/>
  <c r="AB50" i="2" s="1"/>
  <c r="AB259" i="6"/>
  <c r="AC50" i="2" s="1"/>
  <c r="AC259" i="6"/>
  <c r="AD50" i="2" s="1"/>
  <c r="AD259" i="6"/>
  <c r="AE50" i="2" s="1"/>
  <c r="AE259" i="6"/>
  <c r="AF50" i="2" s="1"/>
  <c r="AF259" i="6"/>
  <c r="AG50" i="2" s="1"/>
  <c r="AG259" i="6"/>
  <c r="AH50" i="2" s="1"/>
  <c r="AH259" i="6"/>
  <c r="AI50" i="2" s="1"/>
  <c r="L47" i="6"/>
  <c r="BD258" i="6"/>
  <c r="BE125" i="2" s="1"/>
  <c r="BE258" i="6"/>
  <c r="BF125" i="2" s="1"/>
  <c r="AV258" i="6"/>
  <c r="AW125" i="2" s="1"/>
  <c r="BF258" i="6"/>
  <c r="BG125" i="2" s="1"/>
  <c r="J258" i="6"/>
  <c r="K125" i="2" s="1"/>
  <c r="BG258" i="6"/>
  <c r="BH125" i="2" s="1"/>
  <c r="BH258" i="6"/>
  <c r="BI125" i="2" s="1"/>
  <c r="BI258" i="6"/>
  <c r="BJ125" i="2" s="1"/>
  <c r="BJ258" i="6"/>
  <c r="BK125" i="2" s="1"/>
  <c r="AW258" i="6"/>
  <c r="AX125" i="2" s="1"/>
  <c r="AX258" i="6"/>
  <c r="AY125" i="2" s="1"/>
  <c r="AY258" i="6"/>
  <c r="AZ125" i="2" s="1"/>
  <c r="AZ258" i="6"/>
  <c r="BA125" i="2" s="1"/>
  <c r="BA258" i="6"/>
  <c r="BB125" i="2" s="1"/>
  <c r="BB258" i="6"/>
  <c r="BC125" i="2" s="1"/>
  <c r="BC258" i="6"/>
  <c r="BD125" i="2" s="1"/>
  <c r="AU258" i="6"/>
  <c r="AV125" i="2" s="1"/>
  <c r="AT258" i="6"/>
  <c r="AU125" i="2" s="1"/>
  <c r="AS258" i="6"/>
  <c r="AT125" i="2" s="1"/>
  <c r="AR258" i="6"/>
  <c r="AS125" i="2" s="1"/>
  <c r="AQ258" i="6"/>
  <c r="AR125" i="2" s="1"/>
  <c r="AP258" i="6"/>
  <c r="AQ125" i="2" s="1"/>
  <c r="AO258" i="6"/>
  <c r="AP125" i="2" s="1"/>
  <c r="AN258" i="6"/>
  <c r="AO125" i="2" s="1"/>
  <c r="AM258" i="6"/>
  <c r="AN125" i="2" s="1"/>
  <c r="AL258" i="6"/>
  <c r="AM125" i="2" s="1"/>
  <c r="AK258" i="6"/>
  <c r="AL125" i="2" s="1"/>
  <c r="AJ258" i="6"/>
  <c r="AK125" i="2" s="1"/>
  <c r="L46" i="6"/>
  <c r="AC257" i="6"/>
  <c r="AD119" i="2" s="1"/>
  <c r="AD257" i="6"/>
  <c r="AE119" i="2" s="1"/>
  <c r="AE257" i="6"/>
  <c r="AF119" i="2" s="1"/>
  <c r="AF257" i="6"/>
  <c r="AG119" i="2" s="1"/>
  <c r="AG257" i="6"/>
  <c r="AH119" i="2" s="1"/>
  <c r="M46" i="6"/>
  <c r="N46" i="6" s="1"/>
  <c r="BJ257" i="6"/>
  <c r="BK119" i="2" s="1"/>
  <c r="BI257" i="6"/>
  <c r="BJ119" i="2" s="1"/>
  <c r="BH257" i="6"/>
  <c r="BI119" i="2" s="1"/>
  <c r="BG257" i="6"/>
  <c r="BH119" i="2" s="1"/>
  <c r="BF257" i="6"/>
  <c r="BG119" i="2" s="1"/>
  <c r="BE257" i="6"/>
  <c r="BF119" i="2" s="1"/>
  <c r="BD257" i="6"/>
  <c r="BE119" i="2" s="1"/>
  <c r="BC257" i="6"/>
  <c r="BD119" i="2" s="1"/>
  <c r="BB257" i="6"/>
  <c r="BC119" i="2" s="1"/>
  <c r="BA257" i="6"/>
  <c r="BB119" i="2" s="1"/>
  <c r="AZ257" i="6"/>
  <c r="BA119" i="2" s="1"/>
  <c r="AY257" i="6"/>
  <c r="AZ119" i="2" s="1"/>
  <c r="AX257" i="6"/>
  <c r="AY119" i="2" s="1"/>
  <c r="AW257" i="6"/>
  <c r="AX119" i="2" s="1"/>
  <c r="AV257" i="6"/>
  <c r="AW119" i="2" s="1"/>
  <c r="AU257" i="6"/>
  <c r="AV119" i="2" s="1"/>
  <c r="AT257" i="6"/>
  <c r="AU119" i="2" s="1"/>
  <c r="AS257" i="6"/>
  <c r="AT119" i="2" s="1"/>
  <c r="AR257" i="6"/>
  <c r="AS119" i="2" s="1"/>
  <c r="AQ257" i="6"/>
  <c r="AR119" i="2" s="1"/>
  <c r="AP257" i="6"/>
  <c r="AQ119" i="2" s="1"/>
  <c r="AO257" i="6"/>
  <c r="AP119" i="2" s="1"/>
  <c r="AN257" i="6"/>
  <c r="AO119" i="2" s="1"/>
  <c r="AM257" i="6"/>
  <c r="AN119" i="2" s="1"/>
  <c r="AL257" i="6"/>
  <c r="AM119" i="2" s="1"/>
  <c r="Z257" i="6"/>
  <c r="AA119" i="2" s="1"/>
  <c r="AA257" i="6"/>
  <c r="AB119" i="2" s="1"/>
  <c r="AB257" i="6"/>
  <c r="AC119" i="2" s="1"/>
  <c r="L45" i="6"/>
  <c r="M45" i="6"/>
  <c r="N45" i="6" s="1"/>
  <c r="C256" i="6"/>
  <c r="D256" i="6"/>
  <c r="E256" i="6"/>
  <c r="F284" i="2" s="1"/>
  <c r="G256" i="6"/>
  <c r="H284" i="2" s="1"/>
  <c r="H256" i="6"/>
  <c r="I284" i="2" s="1"/>
  <c r="I256" i="6"/>
  <c r="J284" i="2" s="1"/>
  <c r="J256" i="6"/>
  <c r="K284" i="2" s="1"/>
  <c r="K256" i="6"/>
  <c r="L284" i="2" s="1"/>
  <c r="L256" i="6"/>
  <c r="M284" i="2" s="1"/>
  <c r="M256" i="6"/>
  <c r="N284" i="2" s="1"/>
  <c r="N256" i="6"/>
  <c r="O284" i="2" s="1"/>
  <c r="O256" i="6"/>
  <c r="P284" i="2" s="1"/>
  <c r="P256" i="6"/>
  <c r="Q284" i="2" s="1"/>
  <c r="Q256" i="6"/>
  <c r="R284" i="2" s="1"/>
  <c r="R256" i="6"/>
  <c r="S284" i="2" s="1"/>
  <c r="BG256" i="6"/>
  <c r="BH284" i="2" s="1"/>
  <c r="T256" i="6"/>
  <c r="U284" i="2" s="1"/>
  <c r="U256" i="6"/>
  <c r="V284" i="2" s="1"/>
  <c r="V256" i="6"/>
  <c r="W284" i="2" s="1"/>
  <c r="W256" i="6"/>
  <c r="X284" i="2" s="1"/>
  <c r="X256" i="6"/>
  <c r="Y284" i="2" s="1"/>
  <c r="Y256" i="6"/>
  <c r="Z284" i="2" s="1"/>
  <c r="Z256" i="6"/>
  <c r="AA284" i="2" s="1"/>
  <c r="AA256" i="6"/>
  <c r="AB284" i="2" s="1"/>
  <c r="AB256" i="6"/>
  <c r="AC284" i="2" s="1"/>
  <c r="AC256" i="6"/>
  <c r="AD284" i="2" s="1"/>
  <c r="AD256" i="6"/>
  <c r="AE284" i="2" s="1"/>
  <c r="AE256" i="6"/>
  <c r="AF284" i="2" s="1"/>
  <c r="AF256" i="6"/>
  <c r="AG284" i="2" s="1"/>
  <c r="AG256" i="6"/>
  <c r="AH284" i="2" s="1"/>
  <c r="AH256" i="6"/>
  <c r="AI284" i="2" s="1"/>
  <c r="L44" i="6"/>
  <c r="BH255" i="6"/>
  <c r="BI281" i="2" s="1"/>
  <c r="BI255" i="6"/>
  <c r="BJ281" i="2" s="1"/>
  <c r="BJ255" i="6"/>
  <c r="BK281" i="2" s="1"/>
  <c r="AL255" i="6"/>
  <c r="AM281" i="2" s="1"/>
  <c r="AJ255" i="6"/>
  <c r="AK281" i="2" s="1"/>
  <c r="M44" i="6"/>
  <c r="N44" i="6" s="1"/>
  <c r="AK255" i="6"/>
  <c r="AL281" i="2" s="1"/>
  <c r="AH255" i="6"/>
  <c r="AI281" i="2" s="1"/>
  <c r="AG255" i="6"/>
  <c r="AH281" i="2" s="1"/>
  <c r="AF255" i="6"/>
  <c r="AG281" i="2" s="1"/>
  <c r="AE255" i="6"/>
  <c r="AF281" i="2" s="1"/>
  <c r="AD255" i="6"/>
  <c r="AE281" i="2" s="1"/>
  <c r="AC255" i="6"/>
  <c r="AD281" i="2" s="1"/>
  <c r="AB255" i="6"/>
  <c r="AC281" i="2" s="1"/>
  <c r="AA255" i="6"/>
  <c r="AB281" i="2" s="1"/>
  <c r="Z255" i="6"/>
  <c r="AA281" i="2" s="1"/>
  <c r="Y255" i="6"/>
  <c r="Z281" i="2" s="1"/>
  <c r="X255" i="6"/>
  <c r="Y281" i="2" s="1"/>
  <c r="W255" i="6"/>
  <c r="X281" i="2" s="1"/>
  <c r="V255" i="6"/>
  <c r="W281" i="2" s="1"/>
  <c r="U255" i="6"/>
  <c r="V281" i="2" s="1"/>
  <c r="T255" i="6"/>
  <c r="U281" i="2" s="1"/>
  <c r="S255" i="6"/>
  <c r="T281" i="2" s="1"/>
  <c r="R255" i="6"/>
  <c r="S281" i="2" s="1"/>
  <c r="Q255" i="6"/>
  <c r="R281" i="2" s="1"/>
  <c r="P255" i="6"/>
  <c r="Q281" i="2" s="1"/>
  <c r="O255" i="6"/>
  <c r="P281" i="2" s="1"/>
  <c r="N255" i="6"/>
  <c r="O281" i="2" s="1"/>
  <c r="M255" i="6"/>
  <c r="N281" i="2" s="1"/>
  <c r="L255" i="6"/>
  <c r="M281" i="2" s="1"/>
  <c r="K255" i="6"/>
  <c r="L281" i="2" s="1"/>
  <c r="AI255" i="6"/>
  <c r="AJ281" i="2" s="1"/>
  <c r="J255" i="6"/>
  <c r="K281" i="2" s="1"/>
  <c r="I255" i="6"/>
  <c r="J281" i="2" s="1"/>
  <c r="H255" i="6"/>
  <c r="I281" i="2" s="1"/>
  <c r="G255" i="6"/>
  <c r="H281" i="2" s="1"/>
  <c r="F255" i="6"/>
  <c r="G281" i="2" s="1"/>
  <c r="E255" i="6"/>
  <c r="F281" i="2" s="1"/>
  <c r="D255" i="6"/>
  <c r="L43" i="6"/>
  <c r="M43" i="6"/>
  <c r="N43" i="6" s="1"/>
  <c r="C254" i="6"/>
  <c r="D254" i="6"/>
  <c r="BG254" i="6"/>
  <c r="BH158" i="2" s="1"/>
  <c r="BF254" i="6"/>
  <c r="BG158" i="2" s="1"/>
  <c r="BE254" i="6"/>
  <c r="BF158" i="2" s="1"/>
  <c r="BD254" i="6"/>
  <c r="BE158" i="2" s="1"/>
  <c r="BC254" i="6"/>
  <c r="BD158" i="2" s="1"/>
  <c r="BB254" i="6"/>
  <c r="BC158" i="2" s="1"/>
  <c r="BA254" i="6"/>
  <c r="BB158" i="2" s="1"/>
  <c r="AZ254" i="6"/>
  <c r="BA158" i="2" s="1"/>
  <c r="AY254" i="6"/>
  <c r="AZ158" i="2" s="1"/>
  <c r="AX254" i="6"/>
  <c r="AY158" i="2" s="1"/>
  <c r="AW254" i="6"/>
  <c r="AX158" i="2" s="1"/>
  <c r="BJ254" i="6"/>
  <c r="BK158" i="2" s="1"/>
  <c r="AU254" i="6"/>
  <c r="AV158" i="2" s="1"/>
  <c r="AT254" i="6"/>
  <c r="AU158" i="2" s="1"/>
  <c r="AS254" i="6"/>
  <c r="AT158" i="2" s="1"/>
  <c r="AR254" i="6"/>
  <c r="AS158" i="2" s="1"/>
  <c r="AQ254" i="6"/>
  <c r="AR158" i="2" s="1"/>
  <c r="AP254" i="6"/>
  <c r="AQ158" i="2" s="1"/>
  <c r="AO254" i="6"/>
  <c r="AP158" i="2" s="1"/>
  <c r="AN254" i="6"/>
  <c r="AO158" i="2" s="1"/>
  <c r="AM254" i="6"/>
  <c r="AN158" i="2" s="1"/>
  <c r="AL254" i="6"/>
  <c r="AM158" i="2" s="1"/>
  <c r="AK254" i="6"/>
  <c r="AL158" i="2" s="1"/>
  <c r="AJ254" i="6"/>
  <c r="AK158" i="2" s="1"/>
  <c r="AI254" i="6"/>
  <c r="AJ158" i="2" s="1"/>
  <c r="AH254" i="6"/>
  <c r="AI158" i="2" s="1"/>
  <c r="AG254" i="6"/>
  <c r="AH158" i="2" s="1"/>
  <c r="AF254" i="6"/>
  <c r="AG158" i="2" s="1"/>
  <c r="AE254" i="6"/>
  <c r="AF158" i="2" s="1"/>
  <c r="AD254" i="6"/>
  <c r="AE158" i="2" s="1"/>
  <c r="AC254" i="6"/>
  <c r="AD158" i="2" s="1"/>
  <c r="AB254" i="6"/>
  <c r="AC158" i="2" s="1"/>
  <c r="AA254" i="6"/>
  <c r="AB158" i="2" s="1"/>
  <c r="Z254" i="6"/>
  <c r="AA158" i="2" s="1"/>
  <c r="AV254" i="6"/>
  <c r="AW158" i="2" s="1"/>
  <c r="X254" i="6"/>
  <c r="Y158" i="2" s="1"/>
  <c r="W254" i="6"/>
  <c r="X158" i="2" s="1"/>
  <c r="V254" i="6"/>
  <c r="W158" i="2" s="1"/>
  <c r="U254" i="6"/>
  <c r="V158" i="2" s="1"/>
  <c r="T254" i="6"/>
  <c r="U158" i="2" s="1"/>
  <c r="S254" i="6"/>
  <c r="T158" i="2" s="1"/>
  <c r="R254" i="6"/>
  <c r="S158" i="2" s="1"/>
  <c r="Q254" i="6"/>
  <c r="R158" i="2" s="1"/>
  <c r="P254" i="6"/>
  <c r="Q158" i="2" s="1"/>
  <c r="O254" i="6"/>
  <c r="P158" i="2" s="1"/>
  <c r="N254" i="6"/>
  <c r="O158" i="2" s="1"/>
  <c r="M254" i="6"/>
  <c r="N158" i="2" s="1"/>
  <c r="L254" i="6"/>
  <c r="M158" i="2" s="1"/>
  <c r="K254" i="6"/>
  <c r="L158" i="2" s="1"/>
  <c r="J254" i="6"/>
  <c r="K158" i="2" s="1"/>
  <c r="I254" i="6"/>
  <c r="J158" i="2" s="1"/>
  <c r="H254" i="6"/>
  <c r="I158" i="2" s="1"/>
  <c r="G254" i="6"/>
  <c r="H158" i="2" s="1"/>
  <c r="F254" i="6"/>
  <c r="E254" i="6"/>
  <c r="BI254" i="6"/>
  <c r="BJ158" i="2" s="1"/>
  <c r="BH254" i="6"/>
  <c r="BI158" i="2" s="1"/>
  <c r="Y254" i="6"/>
  <c r="Z158" i="2" s="1"/>
  <c r="L42" i="6"/>
  <c r="L41" i="6"/>
  <c r="P252" i="6"/>
  <c r="Q83" i="2" s="1"/>
  <c r="BA252" i="6"/>
  <c r="BB83" i="2" s="1"/>
  <c r="BC252" i="6"/>
  <c r="BD83" i="2" s="1"/>
  <c r="BD252" i="6"/>
  <c r="BE83" i="2" s="1"/>
  <c r="BE252" i="6"/>
  <c r="BF83" i="2" s="1"/>
  <c r="BF252" i="6"/>
  <c r="BG83" i="2" s="1"/>
  <c r="BG252" i="6"/>
  <c r="BH83" i="2" s="1"/>
  <c r="BH252" i="6"/>
  <c r="BI83" i="2" s="1"/>
  <c r="BI252" i="6"/>
  <c r="BJ83" i="2" s="1"/>
  <c r="BJ252" i="6"/>
  <c r="BK83" i="2" s="1"/>
  <c r="AA252" i="6"/>
  <c r="AB83" i="2" s="1"/>
  <c r="Q252" i="6"/>
  <c r="R83" i="2" s="1"/>
  <c r="BB252" i="6"/>
  <c r="BC83" i="2" s="1"/>
  <c r="C252" i="6"/>
  <c r="D252" i="6"/>
  <c r="E83" i="2" s="1"/>
  <c r="E252" i="6"/>
  <c r="F83" i="2" s="1"/>
  <c r="F252" i="6"/>
  <c r="G83" i="2" s="1"/>
  <c r="G252" i="6"/>
  <c r="H83" i="2" s="1"/>
  <c r="H252" i="6"/>
  <c r="I83" i="2" s="1"/>
  <c r="I252" i="6"/>
  <c r="J83" i="2" s="1"/>
  <c r="J252" i="6"/>
  <c r="K83" i="2" s="1"/>
  <c r="K252" i="6"/>
  <c r="L83" i="2" s="1"/>
  <c r="L252" i="6"/>
  <c r="M83" i="2" s="1"/>
  <c r="M252" i="6"/>
  <c r="N83" i="2" s="1"/>
  <c r="AY252" i="6"/>
  <c r="AZ83" i="2" s="1"/>
  <c r="AX252" i="6"/>
  <c r="AY83" i="2" s="1"/>
  <c r="AW252" i="6"/>
  <c r="AX83" i="2" s="1"/>
  <c r="AV252" i="6"/>
  <c r="AW83" i="2" s="1"/>
  <c r="AU252" i="6"/>
  <c r="AV83" i="2" s="1"/>
  <c r="L40" i="6"/>
  <c r="AM251" i="6"/>
  <c r="AN20" i="2" s="1"/>
  <c r="AN251" i="6"/>
  <c r="AO20" i="2" s="1"/>
  <c r="AO251" i="6"/>
  <c r="AP20" i="2" s="1"/>
  <c r="AP251" i="6"/>
  <c r="AQ20" i="2" s="1"/>
  <c r="AQ251" i="6"/>
  <c r="AR20" i="2" s="1"/>
  <c r="AR251" i="6"/>
  <c r="AS20" i="2" s="1"/>
  <c r="AS251" i="6"/>
  <c r="AT20" i="2" s="1"/>
  <c r="AT251" i="6"/>
  <c r="AU20" i="2" s="1"/>
  <c r="AU251" i="6"/>
  <c r="AV20" i="2" s="1"/>
  <c r="AV251" i="6"/>
  <c r="AW20" i="2" s="1"/>
  <c r="AW251" i="6"/>
  <c r="AX20" i="2" s="1"/>
  <c r="AX251" i="6"/>
  <c r="AY20" i="2" s="1"/>
  <c r="AY251" i="6"/>
  <c r="AZ20" i="2" s="1"/>
  <c r="AZ251" i="6"/>
  <c r="BA20" i="2" s="1"/>
  <c r="AG251" i="6"/>
  <c r="AH20" i="2" s="1"/>
  <c r="BA251" i="6"/>
  <c r="BB20" i="2" s="1"/>
  <c r="BB251" i="6"/>
  <c r="BC20" i="2" s="1"/>
  <c r="BC251" i="6"/>
  <c r="BD20" i="2" s="1"/>
  <c r="C251" i="6"/>
  <c r="BD251" i="6"/>
  <c r="BE20" i="2" s="1"/>
  <c r="BE251" i="6"/>
  <c r="BF20" i="2" s="1"/>
  <c r="BF251" i="6"/>
  <c r="BG20" i="2" s="1"/>
  <c r="BG251" i="6"/>
  <c r="BH20" i="2" s="1"/>
  <c r="BH251" i="6"/>
  <c r="BI20" i="2" s="1"/>
  <c r="BI251" i="6"/>
  <c r="BJ20" i="2" s="1"/>
  <c r="BJ251" i="6"/>
  <c r="BK20" i="2" s="1"/>
  <c r="V251" i="6"/>
  <c r="W20" i="2" s="1"/>
  <c r="U251" i="6"/>
  <c r="V20" i="2" s="1"/>
  <c r="T251" i="6"/>
  <c r="U20" i="2" s="1"/>
  <c r="S251" i="6"/>
  <c r="T20" i="2" s="1"/>
  <c r="AF251" i="6"/>
  <c r="AG20" i="2" s="1"/>
  <c r="M40" i="6"/>
  <c r="N40" i="6" s="1"/>
  <c r="Z251" i="6"/>
  <c r="AA20" i="2" s="1"/>
  <c r="AE251" i="6"/>
  <c r="AF20" i="2" s="1"/>
  <c r="AD251" i="6"/>
  <c r="AE20" i="2" s="1"/>
  <c r="AC251" i="6"/>
  <c r="AD20" i="2" s="1"/>
  <c r="AB251" i="6"/>
  <c r="AC20" i="2" s="1"/>
  <c r="Y251" i="6"/>
  <c r="Z20" i="2" s="1"/>
  <c r="N251" i="6"/>
  <c r="O20" i="2" s="1"/>
  <c r="M251" i="6"/>
  <c r="N20" i="2" s="1"/>
  <c r="AH251" i="6"/>
  <c r="AI20" i="2" s="1"/>
  <c r="K251" i="6"/>
  <c r="L20" i="2" s="1"/>
  <c r="J251" i="6"/>
  <c r="K20" i="2" s="1"/>
  <c r="I251" i="6"/>
  <c r="J20" i="2" s="1"/>
  <c r="H251" i="6"/>
  <c r="I20" i="2" s="1"/>
  <c r="G251" i="6"/>
  <c r="H20" i="2" s="1"/>
  <c r="F251" i="6"/>
  <c r="G20" i="2" s="1"/>
  <c r="E251" i="6"/>
  <c r="D251" i="6"/>
  <c r="X251" i="6"/>
  <c r="Y20" i="2" s="1"/>
  <c r="R251" i="6"/>
  <c r="S20" i="2" s="1"/>
  <c r="Q251" i="6"/>
  <c r="R20" i="2" s="1"/>
  <c r="P251" i="6"/>
  <c r="Q20" i="2" s="1"/>
  <c r="W251" i="6"/>
  <c r="X20" i="2" s="1"/>
  <c r="AA251" i="6"/>
  <c r="AB20" i="2" s="1"/>
  <c r="L251" i="6"/>
  <c r="M20" i="2" s="1"/>
  <c r="AL250" i="6"/>
  <c r="AM137" i="2" s="1"/>
  <c r="L39" i="6"/>
  <c r="C250" i="6"/>
  <c r="D250" i="6"/>
  <c r="E137" i="2" s="1"/>
  <c r="E250" i="6"/>
  <c r="F137" i="2" s="1"/>
  <c r="F250" i="6"/>
  <c r="G137" i="2" s="1"/>
  <c r="G250" i="6"/>
  <c r="H137" i="2" s="1"/>
  <c r="H250" i="6"/>
  <c r="I137" i="2" s="1"/>
  <c r="I250" i="6"/>
  <c r="J137" i="2" s="1"/>
  <c r="J250" i="6"/>
  <c r="K137" i="2" s="1"/>
  <c r="K250" i="6"/>
  <c r="L137" i="2" s="1"/>
  <c r="L250" i="6"/>
  <c r="M137" i="2" s="1"/>
  <c r="M250" i="6"/>
  <c r="N137" i="2" s="1"/>
  <c r="O250" i="6"/>
  <c r="P137" i="2" s="1"/>
  <c r="P250" i="6"/>
  <c r="Q137" i="2" s="1"/>
  <c r="Q250" i="6"/>
  <c r="R137" i="2" s="1"/>
  <c r="R250" i="6"/>
  <c r="S137" i="2" s="1"/>
  <c r="S250" i="6"/>
  <c r="T137" i="2" s="1"/>
  <c r="T250" i="6"/>
  <c r="U137" i="2" s="1"/>
  <c r="U250" i="6"/>
  <c r="V250" i="6"/>
  <c r="W250" i="6"/>
  <c r="X137" i="2" s="1"/>
  <c r="X250" i="6"/>
  <c r="Y137" i="2" s="1"/>
  <c r="Y250" i="6"/>
  <c r="Z137" i="2" s="1"/>
  <c r="Z250" i="6"/>
  <c r="AA137" i="2" s="1"/>
  <c r="AA250" i="6"/>
  <c r="AB137" i="2" s="1"/>
  <c r="AB250" i="6"/>
  <c r="AC137" i="2" s="1"/>
  <c r="AC250" i="6"/>
  <c r="AD137" i="2" s="1"/>
  <c r="AE250" i="6"/>
  <c r="AF137" i="2" s="1"/>
  <c r="AF250" i="6"/>
  <c r="AG137" i="2" s="1"/>
  <c r="AG250" i="6"/>
  <c r="AH137" i="2" s="1"/>
  <c r="L38" i="6"/>
  <c r="AL249" i="6"/>
  <c r="AM17" i="2" s="1"/>
  <c r="AM249" i="6"/>
  <c r="AN17" i="2" s="1"/>
  <c r="AN249" i="6"/>
  <c r="AO17" i="2" s="1"/>
  <c r="AP249" i="6"/>
  <c r="AQ17" i="2" s="1"/>
  <c r="AQ249" i="6"/>
  <c r="AR17" i="2" s="1"/>
  <c r="AR249" i="6"/>
  <c r="AS17" i="2" s="1"/>
  <c r="AO249" i="6"/>
  <c r="AP17" i="2" s="1"/>
  <c r="U249" i="6"/>
  <c r="V17" i="2" s="1"/>
  <c r="V249" i="6"/>
  <c r="W17" i="2" s="1"/>
  <c r="W249" i="6"/>
  <c r="X17" i="2" s="1"/>
  <c r="X249" i="6"/>
  <c r="Y17" i="2" s="1"/>
  <c r="Y249" i="6"/>
  <c r="Z17" i="2" s="1"/>
  <c r="Z249" i="6"/>
  <c r="AA17" i="2" s="1"/>
  <c r="AA249" i="6"/>
  <c r="AB17" i="2" s="1"/>
  <c r="AB249" i="6"/>
  <c r="AC17" i="2" s="1"/>
  <c r="AC249" i="6"/>
  <c r="AD17" i="2" s="1"/>
  <c r="AD249" i="6"/>
  <c r="AE17" i="2" s="1"/>
  <c r="L37" i="6"/>
  <c r="M37" i="6"/>
  <c r="N37" i="6" s="1"/>
  <c r="AY248" i="6"/>
  <c r="AZ131" i="2" s="1"/>
  <c r="L36" i="6"/>
  <c r="M36" i="6"/>
  <c r="N36" i="6" s="1"/>
  <c r="L35" i="6"/>
  <c r="R246" i="6"/>
  <c r="S194" i="2" s="1"/>
  <c r="Q246" i="6"/>
  <c r="R194" i="2" s="1"/>
  <c r="V246" i="6"/>
  <c r="K246" i="6"/>
  <c r="L194" i="2" s="1"/>
  <c r="L246" i="6"/>
  <c r="M194" i="2" s="1"/>
  <c r="M246" i="6"/>
  <c r="N194" i="2" s="1"/>
  <c r="N246" i="6"/>
  <c r="O194" i="2" s="1"/>
  <c r="O246" i="6"/>
  <c r="P194" i="2" s="1"/>
  <c r="AW246" i="6"/>
  <c r="AX194" i="2" s="1"/>
  <c r="AV246" i="6"/>
  <c r="AW194" i="2" s="1"/>
  <c r="AU246" i="6"/>
  <c r="AV194" i="2" s="1"/>
  <c r="AT246" i="6"/>
  <c r="AU194" i="2" s="1"/>
  <c r="AA246" i="6"/>
  <c r="AB194" i="2" s="1"/>
  <c r="AS246" i="6"/>
  <c r="AT194" i="2" s="1"/>
  <c r="AR246" i="6"/>
  <c r="AS194" i="2" s="1"/>
  <c r="AQ246" i="6"/>
  <c r="AR194" i="2" s="1"/>
  <c r="AP246" i="6"/>
  <c r="AQ194" i="2" s="1"/>
  <c r="AO246" i="6"/>
  <c r="AP194" i="2" s="1"/>
  <c r="AN246" i="6"/>
  <c r="AO194" i="2" s="1"/>
  <c r="AM246" i="6"/>
  <c r="AN194" i="2" s="1"/>
  <c r="W246" i="6"/>
  <c r="X194" i="2" s="1"/>
  <c r="AK246" i="6"/>
  <c r="AL194" i="2" s="1"/>
  <c r="AJ246" i="6"/>
  <c r="AK194" i="2" s="1"/>
  <c r="AI246" i="6"/>
  <c r="AJ194" i="2" s="1"/>
  <c r="AH246" i="6"/>
  <c r="AI194" i="2" s="1"/>
  <c r="AG246" i="6"/>
  <c r="AH194" i="2" s="1"/>
  <c r="AB246" i="6"/>
  <c r="AC194" i="2" s="1"/>
  <c r="T246" i="6"/>
  <c r="U194" i="2" s="1"/>
  <c r="AF246" i="6"/>
  <c r="AG194" i="2" s="1"/>
  <c r="I246" i="6"/>
  <c r="J194" i="2" s="1"/>
  <c r="G246" i="6"/>
  <c r="H194" i="2" s="1"/>
  <c r="F246" i="6"/>
  <c r="G194" i="2" s="1"/>
  <c r="E246" i="6"/>
  <c r="F194" i="2" s="1"/>
  <c r="D246" i="6"/>
  <c r="E194" i="2" s="1"/>
  <c r="C246" i="6"/>
  <c r="AX246" i="6"/>
  <c r="AY194" i="2" s="1"/>
  <c r="AY246" i="6"/>
  <c r="AZ194" i="2" s="1"/>
  <c r="AZ246" i="6"/>
  <c r="BA194" i="2" s="1"/>
  <c r="BA246" i="6"/>
  <c r="BB194" i="2" s="1"/>
  <c r="BB246" i="6"/>
  <c r="BC194" i="2" s="1"/>
  <c r="BC246" i="6"/>
  <c r="BD194" i="2" s="1"/>
  <c r="BD246" i="6"/>
  <c r="BE194" i="2" s="1"/>
  <c r="BE246" i="6"/>
  <c r="BF194" i="2" s="1"/>
  <c r="BF246" i="6"/>
  <c r="BG194" i="2" s="1"/>
  <c r="BG246" i="6"/>
  <c r="BH194" i="2" s="1"/>
  <c r="BH246" i="6"/>
  <c r="BI194" i="2" s="1"/>
  <c r="BI246" i="6"/>
  <c r="BJ194" i="2" s="1"/>
  <c r="BJ246" i="6"/>
  <c r="BK194" i="2" s="1"/>
  <c r="L34" i="6"/>
  <c r="L245" i="6"/>
  <c r="M170" i="2" s="1"/>
  <c r="M245" i="6"/>
  <c r="N170" i="2" s="1"/>
  <c r="N245" i="6"/>
  <c r="O170" i="2" s="1"/>
  <c r="O245" i="6"/>
  <c r="P170" i="2" s="1"/>
  <c r="P245" i="6"/>
  <c r="Q170" i="2" s="1"/>
  <c r="Q245" i="6"/>
  <c r="R170" i="2" s="1"/>
  <c r="R245" i="6"/>
  <c r="S170" i="2" s="1"/>
  <c r="S245" i="6"/>
  <c r="T170" i="2" s="1"/>
  <c r="T245" i="6"/>
  <c r="U170" i="2" s="1"/>
  <c r="U245" i="6"/>
  <c r="V170" i="2" s="1"/>
  <c r="V245" i="6"/>
  <c r="W170" i="2" s="1"/>
  <c r="W245" i="6"/>
  <c r="X170" i="2" s="1"/>
  <c r="AQ245" i="6"/>
  <c r="AR170" i="2" s="1"/>
  <c r="BJ245" i="6"/>
  <c r="BK170" i="2" s="1"/>
  <c r="AB245" i="6"/>
  <c r="AC170" i="2" s="1"/>
  <c r="L33" i="6"/>
  <c r="AZ244" i="6"/>
  <c r="BA11" i="2" s="1"/>
  <c r="BA244" i="6"/>
  <c r="BB11" i="2" s="1"/>
  <c r="BB244" i="6"/>
  <c r="BC11" i="2" s="1"/>
  <c r="BC244" i="6"/>
  <c r="BD11" i="2" s="1"/>
  <c r="BD244" i="6"/>
  <c r="BE11" i="2" s="1"/>
  <c r="BE244" i="6"/>
  <c r="BF11" i="2" s="1"/>
  <c r="BF244" i="6"/>
  <c r="BG11" i="2" s="1"/>
  <c r="BG244" i="6"/>
  <c r="BH11" i="2" s="1"/>
  <c r="BH244" i="6"/>
  <c r="BI11" i="2" s="1"/>
  <c r="BI244" i="6"/>
  <c r="BJ11" i="2" s="1"/>
  <c r="BJ244" i="6"/>
  <c r="BK11" i="2" s="1"/>
  <c r="AK244" i="6"/>
  <c r="AL11" i="2" s="1"/>
  <c r="AL244" i="6"/>
  <c r="AM11" i="2" s="1"/>
  <c r="AM244" i="6"/>
  <c r="AN11" i="2" s="1"/>
  <c r="AN244" i="6"/>
  <c r="AO11" i="2" s="1"/>
  <c r="R244" i="6"/>
  <c r="S11" i="2" s="1"/>
  <c r="L32" i="6"/>
  <c r="J243" i="6"/>
  <c r="K47" i="2" s="1"/>
  <c r="I243" i="6"/>
  <c r="J47" i="2" s="1"/>
  <c r="H243" i="6"/>
  <c r="I47" i="2" s="1"/>
  <c r="G243" i="6"/>
  <c r="H47" i="2" s="1"/>
  <c r="F243" i="6"/>
  <c r="G47" i="2" s="1"/>
  <c r="E243" i="6"/>
  <c r="F47" i="2" s="1"/>
  <c r="R243" i="6"/>
  <c r="S47" i="2" s="1"/>
  <c r="D243" i="6"/>
  <c r="E47" i="2" s="1"/>
  <c r="C243" i="6"/>
  <c r="L31" i="6"/>
  <c r="M31" i="6"/>
  <c r="N31" i="6" s="1"/>
  <c r="BF242" i="6"/>
  <c r="BG203" i="2" s="1"/>
  <c r="BC242" i="6"/>
  <c r="BD203" i="2" s="1"/>
  <c r="BE242" i="6"/>
  <c r="BF203" i="2" s="1"/>
  <c r="AX242" i="6"/>
  <c r="AY203" i="2" s="1"/>
  <c r="AW242" i="6"/>
  <c r="AX203" i="2" s="1"/>
  <c r="AV242" i="6"/>
  <c r="AW203" i="2" s="1"/>
  <c r="AU242" i="6"/>
  <c r="AV203" i="2" s="1"/>
  <c r="AT242" i="6"/>
  <c r="AU203" i="2" s="1"/>
  <c r="AS242" i="6"/>
  <c r="AT203" i="2" s="1"/>
  <c r="AR242" i="6"/>
  <c r="AS203" i="2" s="1"/>
  <c r="AQ242" i="6"/>
  <c r="AR203" i="2" s="1"/>
  <c r="AP242" i="6"/>
  <c r="AQ203" i="2" s="1"/>
  <c r="AO242" i="6"/>
  <c r="AP203" i="2" s="1"/>
  <c r="AN242" i="6"/>
  <c r="AO203" i="2" s="1"/>
  <c r="AM242" i="6"/>
  <c r="AN203" i="2" s="1"/>
  <c r="AL242" i="6"/>
  <c r="AM203" i="2" s="1"/>
  <c r="AK242" i="6"/>
  <c r="AL203" i="2" s="1"/>
  <c r="BB242" i="6"/>
  <c r="BC203" i="2" s="1"/>
  <c r="AJ242" i="6"/>
  <c r="AK203" i="2" s="1"/>
  <c r="AI242" i="6"/>
  <c r="AJ203" i="2" s="1"/>
  <c r="AH242" i="6"/>
  <c r="AI203" i="2" s="1"/>
  <c r="AG242" i="6"/>
  <c r="AH203" i="2" s="1"/>
  <c r="AF242" i="6"/>
  <c r="AG203" i="2" s="1"/>
  <c r="AE242" i="6"/>
  <c r="AF203" i="2" s="1"/>
  <c r="AD242" i="6"/>
  <c r="AE203" i="2" s="1"/>
  <c r="BA242" i="6"/>
  <c r="BB203" i="2" s="1"/>
  <c r="AC242" i="6"/>
  <c r="AD203" i="2" s="1"/>
  <c r="AB242" i="6"/>
  <c r="AC203" i="2" s="1"/>
  <c r="AA242" i="6"/>
  <c r="AB203" i="2" s="1"/>
  <c r="Z242" i="6"/>
  <c r="AA203" i="2" s="1"/>
  <c r="Y242" i="6"/>
  <c r="Z203" i="2" s="1"/>
  <c r="X242" i="6"/>
  <c r="Y203" i="2" s="1"/>
  <c r="W242" i="6"/>
  <c r="X203" i="2" s="1"/>
  <c r="BG242" i="6"/>
  <c r="BH203" i="2" s="1"/>
  <c r="U242" i="6"/>
  <c r="V203" i="2" s="1"/>
  <c r="T242" i="6"/>
  <c r="U203" i="2" s="1"/>
  <c r="S242" i="6"/>
  <c r="T203" i="2" s="1"/>
  <c r="R242" i="6"/>
  <c r="S203" i="2" s="1"/>
  <c r="Q242" i="6"/>
  <c r="R203" i="2" s="1"/>
  <c r="P242" i="6"/>
  <c r="Q203" i="2" s="1"/>
  <c r="O242" i="6"/>
  <c r="P203" i="2" s="1"/>
  <c r="N242" i="6"/>
  <c r="O203" i="2" s="1"/>
  <c r="M242" i="6"/>
  <c r="N203" i="2" s="1"/>
  <c r="L242" i="6"/>
  <c r="M203" i="2" s="1"/>
  <c r="K242" i="6"/>
  <c r="L203" i="2" s="1"/>
  <c r="J242" i="6"/>
  <c r="K203" i="2" s="1"/>
  <c r="I242" i="6"/>
  <c r="J203" i="2" s="1"/>
  <c r="H242" i="6"/>
  <c r="I203" i="2" s="1"/>
  <c r="L30" i="6"/>
  <c r="BI241" i="6"/>
  <c r="BJ167" i="2" s="1"/>
  <c r="V241" i="6"/>
  <c r="E241" i="6"/>
  <c r="F167" i="2" s="1"/>
  <c r="G241" i="6"/>
  <c r="H167" i="2" s="1"/>
  <c r="D241" i="6"/>
  <c r="E167" i="2" s="1"/>
  <c r="C241" i="6"/>
  <c r="F241" i="6"/>
  <c r="G167" i="2" s="1"/>
  <c r="AK241" i="6"/>
  <c r="AL167" i="2" s="1"/>
  <c r="L29" i="6"/>
  <c r="AJ240" i="6"/>
  <c r="AK53" i="2" s="1"/>
  <c r="BJ240" i="6"/>
  <c r="BK53" i="2" s="1"/>
  <c r="BI240" i="6"/>
  <c r="BJ53" i="2" s="1"/>
  <c r="BH240" i="6"/>
  <c r="BI53" i="2" s="1"/>
  <c r="BG240" i="6"/>
  <c r="BH53" i="2" s="1"/>
  <c r="BF240" i="6"/>
  <c r="BG53" i="2" s="1"/>
  <c r="BE240" i="6"/>
  <c r="BF53" i="2" s="1"/>
  <c r="BD240" i="6"/>
  <c r="BE53" i="2" s="1"/>
  <c r="BC240" i="6"/>
  <c r="BD53" i="2" s="1"/>
  <c r="BB240" i="6"/>
  <c r="BC53" i="2" s="1"/>
  <c r="BA240" i="6"/>
  <c r="BB53" i="2" s="1"/>
  <c r="AZ240" i="6"/>
  <c r="BA53" i="2" s="1"/>
  <c r="AY240" i="6"/>
  <c r="AZ53" i="2" s="1"/>
  <c r="AX240" i="6"/>
  <c r="AY53" i="2" s="1"/>
  <c r="AW240" i="6"/>
  <c r="AX53" i="2" s="1"/>
  <c r="AV240" i="6"/>
  <c r="AW53" i="2" s="1"/>
  <c r="AU240" i="6"/>
  <c r="AV53" i="2" s="1"/>
  <c r="AT240" i="6"/>
  <c r="AU53" i="2" s="1"/>
  <c r="AS240" i="6"/>
  <c r="AT53" i="2" s="1"/>
  <c r="AR240" i="6"/>
  <c r="AS53" i="2" s="1"/>
  <c r="AQ240" i="6"/>
  <c r="AR53" i="2" s="1"/>
  <c r="AP240" i="6"/>
  <c r="AQ53" i="2" s="1"/>
  <c r="AO240" i="6"/>
  <c r="AP53" i="2" s="1"/>
  <c r="AN240" i="6"/>
  <c r="AO53" i="2" s="1"/>
  <c r="AM240" i="6"/>
  <c r="AN53" i="2" s="1"/>
  <c r="AL240" i="6"/>
  <c r="AM53" i="2" s="1"/>
  <c r="AK240" i="6"/>
  <c r="AL53" i="2" s="1"/>
  <c r="AI240" i="6"/>
  <c r="AJ53" i="2" s="1"/>
  <c r="AH240" i="6"/>
  <c r="AI53" i="2" s="1"/>
  <c r="L28" i="6"/>
  <c r="AE239" i="6"/>
  <c r="AF302" i="2" s="1"/>
  <c r="AD239" i="6"/>
  <c r="AE302" i="2" s="1"/>
  <c r="AC239" i="6"/>
  <c r="AD302" i="2" s="1"/>
  <c r="AB239" i="6"/>
  <c r="AC302" i="2" s="1"/>
  <c r="AA239" i="6"/>
  <c r="AB302" i="2" s="1"/>
  <c r="BH239" i="6"/>
  <c r="BI302" i="2" s="1"/>
  <c r="BI239" i="6"/>
  <c r="BJ302" i="2" s="1"/>
  <c r="BJ239" i="6"/>
  <c r="BK302" i="2" s="1"/>
  <c r="Z239" i="6"/>
  <c r="AA302" i="2" s="1"/>
  <c r="Y239" i="6"/>
  <c r="Z302" i="2" s="1"/>
  <c r="X239" i="6"/>
  <c r="Y302" i="2" s="1"/>
  <c r="W239" i="6"/>
  <c r="X302" i="2" s="1"/>
  <c r="V239" i="6"/>
  <c r="W302" i="2" s="1"/>
  <c r="U239" i="6"/>
  <c r="V302" i="2" s="1"/>
  <c r="S239" i="6"/>
  <c r="T302" i="2" s="1"/>
  <c r="R239" i="6"/>
  <c r="S302" i="2" s="1"/>
  <c r="Q239" i="6"/>
  <c r="R302" i="2" s="1"/>
  <c r="P239" i="6"/>
  <c r="Q302" i="2" s="1"/>
  <c r="L27" i="6"/>
  <c r="M27" i="6"/>
  <c r="N27" i="6" s="1"/>
  <c r="Z238" i="6"/>
  <c r="AA272" i="2" s="1"/>
  <c r="Y238" i="6"/>
  <c r="Z272" i="2" s="1"/>
  <c r="X238" i="6"/>
  <c r="Y272" i="2" s="1"/>
  <c r="W238" i="6"/>
  <c r="X272" i="2" s="1"/>
  <c r="V238" i="6"/>
  <c r="AC238" i="6"/>
  <c r="AD272" i="2" s="1"/>
  <c r="U238" i="6"/>
  <c r="V272" i="2" s="1"/>
  <c r="T238" i="6"/>
  <c r="U272" i="2" s="1"/>
  <c r="S238" i="6"/>
  <c r="T272" i="2" s="1"/>
  <c r="AU238" i="6"/>
  <c r="AV272" i="2" s="1"/>
  <c r="Q238" i="6"/>
  <c r="R272" i="2" s="1"/>
  <c r="P238" i="6"/>
  <c r="Q272" i="2" s="1"/>
  <c r="O238" i="6"/>
  <c r="P272" i="2" s="1"/>
  <c r="N238" i="6"/>
  <c r="O272" i="2" s="1"/>
  <c r="M238" i="6"/>
  <c r="N272" i="2" s="1"/>
  <c r="AD238" i="6"/>
  <c r="AE272" i="2" s="1"/>
  <c r="AE238" i="6"/>
  <c r="AF272" i="2" s="1"/>
  <c r="AF238" i="6"/>
  <c r="AG272" i="2" s="1"/>
  <c r="AG238" i="6"/>
  <c r="AH272" i="2" s="1"/>
  <c r="AH238" i="6"/>
  <c r="AI272" i="2" s="1"/>
  <c r="AI238" i="6"/>
  <c r="AJ272" i="2" s="1"/>
  <c r="AJ238" i="6"/>
  <c r="AK272" i="2" s="1"/>
  <c r="AK238" i="6"/>
  <c r="AL272" i="2" s="1"/>
  <c r="AL238" i="6"/>
  <c r="AM272" i="2" s="1"/>
  <c r="AM238" i="6"/>
  <c r="AN272" i="2" s="1"/>
  <c r="AN238" i="6"/>
  <c r="AO272" i="2" s="1"/>
  <c r="AP238" i="6"/>
  <c r="AQ272" i="2" s="1"/>
  <c r="AQ238" i="6"/>
  <c r="AR272" i="2" s="1"/>
  <c r="AR238" i="6"/>
  <c r="AS272" i="2" s="1"/>
  <c r="AS238" i="6"/>
  <c r="AT272" i="2" s="1"/>
  <c r="AT238" i="6"/>
  <c r="AU272" i="2" s="1"/>
  <c r="AV238" i="6"/>
  <c r="AW272" i="2" s="1"/>
  <c r="AW238" i="6"/>
  <c r="AX272" i="2" s="1"/>
  <c r="AX238" i="6"/>
  <c r="AY272" i="2" s="1"/>
  <c r="AY238" i="6"/>
  <c r="AZ272" i="2" s="1"/>
  <c r="AZ238" i="6"/>
  <c r="BA272" i="2" s="1"/>
  <c r="BA238" i="6"/>
  <c r="BB272" i="2" s="1"/>
  <c r="BB238" i="6"/>
  <c r="BC272" i="2" s="1"/>
  <c r="BC238" i="6"/>
  <c r="BD272" i="2" s="1"/>
  <c r="BD238" i="6"/>
  <c r="BE272" i="2" s="1"/>
  <c r="L26" i="6"/>
  <c r="M26" i="6"/>
  <c r="N26" i="6" s="1"/>
  <c r="BC237" i="6"/>
  <c r="BD200" i="2" s="1"/>
  <c r="BD237" i="6"/>
  <c r="BE200" i="2" s="1"/>
  <c r="O237" i="6"/>
  <c r="P200" i="2" s="1"/>
  <c r="Q237" i="6"/>
  <c r="R200" i="2" s="1"/>
  <c r="R237" i="6"/>
  <c r="S200" i="2" s="1"/>
  <c r="S237" i="6"/>
  <c r="T200" i="2" s="1"/>
  <c r="T237" i="6"/>
  <c r="U200" i="2" s="1"/>
  <c r="U237" i="6"/>
  <c r="V200" i="2" s="1"/>
  <c r="V237" i="6"/>
  <c r="W237" i="6"/>
  <c r="X200" i="2" s="1"/>
  <c r="X237" i="6"/>
  <c r="Y200" i="2" s="1"/>
  <c r="Y237" i="6"/>
  <c r="Z200" i="2" s="1"/>
  <c r="Z237" i="6"/>
  <c r="AA200" i="2" s="1"/>
  <c r="AA237" i="6"/>
  <c r="AB200" i="2" s="1"/>
  <c r="AB237" i="6"/>
  <c r="AC200" i="2" s="1"/>
  <c r="AC237" i="6"/>
  <c r="AD200" i="2" s="1"/>
  <c r="AD237" i="6"/>
  <c r="AE200" i="2" s="1"/>
  <c r="AE237" i="6"/>
  <c r="AF200" i="2" s="1"/>
  <c r="AF237" i="6"/>
  <c r="AG200" i="2" s="1"/>
  <c r="AG237" i="6"/>
  <c r="AH200" i="2" s="1"/>
  <c r="AH237" i="6"/>
  <c r="AI200" i="2" s="1"/>
  <c r="BE237" i="6"/>
  <c r="BF200" i="2" s="1"/>
  <c r="BF237" i="6"/>
  <c r="BG200" i="2" s="1"/>
  <c r="BG237" i="6"/>
  <c r="BH200" i="2" s="1"/>
  <c r="BI237" i="6"/>
  <c r="BJ200" i="2" s="1"/>
  <c r="BJ237" i="6"/>
  <c r="BK200" i="2" s="1"/>
  <c r="AS237" i="6"/>
  <c r="AT200" i="2" s="1"/>
  <c r="AR237" i="6"/>
  <c r="AS200" i="2" s="1"/>
  <c r="AQ237" i="6"/>
  <c r="AR200" i="2" s="1"/>
  <c r="AU237" i="6"/>
  <c r="AV200" i="2" s="1"/>
  <c r="AP237" i="6"/>
  <c r="AQ200" i="2" s="1"/>
  <c r="BH237" i="6"/>
  <c r="BI200" i="2" s="1"/>
  <c r="AO237" i="6"/>
  <c r="AP200" i="2" s="1"/>
  <c r="AN237" i="6"/>
  <c r="AO200" i="2" s="1"/>
  <c r="L25" i="6"/>
  <c r="M25" i="6"/>
  <c r="N25" i="6" s="1"/>
  <c r="V236" i="6"/>
  <c r="W8" i="2" s="1"/>
  <c r="U236" i="6"/>
  <c r="V8" i="2" s="1"/>
  <c r="T236" i="6"/>
  <c r="U8" i="2" s="1"/>
  <c r="S236" i="6"/>
  <c r="T8" i="2" s="1"/>
  <c r="R236" i="6"/>
  <c r="S8" i="2" s="1"/>
  <c r="Q236" i="6"/>
  <c r="R8" i="2" s="1"/>
  <c r="P236" i="6"/>
  <c r="Q8" i="2" s="1"/>
  <c r="O236" i="6"/>
  <c r="P8" i="2" s="1"/>
  <c r="N236" i="6"/>
  <c r="O8" i="2" s="1"/>
  <c r="M236" i="6"/>
  <c r="N8" i="2" s="1"/>
  <c r="L236" i="6"/>
  <c r="M8" i="2" s="1"/>
  <c r="K236" i="6"/>
  <c r="L8" i="2" s="1"/>
  <c r="G236" i="6"/>
  <c r="H8" i="2" s="1"/>
  <c r="J236" i="6"/>
  <c r="K8" i="2" s="1"/>
  <c r="I236" i="6"/>
  <c r="J8" i="2" s="1"/>
  <c r="H236" i="6"/>
  <c r="I8" i="2" s="1"/>
  <c r="F236" i="6"/>
  <c r="G8" i="2" s="1"/>
  <c r="E236" i="6"/>
  <c r="F8" i="2" s="1"/>
  <c r="D236" i="6"/>
  <c r="C236" i="6"/>
  <c r="AK236" i="6"/>
  <c r="AL8" i="2" s="1"/>
  <c r="Z236" i="6"/>
  <c r="AA8" i="2" s="1"/>
  <c r="Y236" i="6"/>
  <c r="Z8" i="2" s="1"/>
  <c r="X236" i="6"/>
  <c r="Y8" i="2" s="1"/>
  <c r="W236" i="6"/>
  <c r="X8" i="2" s="1"/>
  <c r="BJ236" i="6"/>
  <c r="BK8" i="2" s="1"/>
  <c r="BI236" i="6"/>
  <c r="BJ8" i="2" s="1"/>
  <c r="BH236" i="6"/>
  <c r="BI8" i="2" s="1"/>
  <c r="BG236" i="6"/>
  <c r="BH8" i="2" s="1"/>
  <c r="BF236" i="6"/>
  <c r="BG8" i="2" s="1"/>
  <c r="BE236" i="6"/>
  <c r="BF8" i="2" s="1"/>
  <c r="BD236" i="6"/>
  <c r="BE8" i="2" s="1"/>
  <c r="BC236" i="6"/>
  <c r="BD8" i="2" s="1"/>
  <c r="BB236" i="6"/>
  <c r="BC8" i="2" s="1"/>
  <c r="BA236" i="6"/>
  <c r="BB8" i="2" s="1"/>
  <c r="AZ236" i="6"/>
  <c r="BA8" i="2" s="1"/>
  <c r="AY236" i="6"/>
  <c r="AZ8" i="2" s="1"/>
  <c r="AX236" i="6"/>
  <c r="AY8" i="2" s="1"/>
  <c r="AW236" i="6"/>
  <c r="AX8" i="2" s="1"/>
  <c r="AV236" i="6"/>
  <c r="AW8" i="2" s="1"/>
  <c r="AU236" i="6"/>
  <c r="AV8" i="2" s="1"/>
  <c r="AT236" i="6"/>
  <c r="AU8" i="2" s="1"/>
  <c r="AS236" i="6"/>
  <c r="AT8" i="2" s="1"/>
  <c r="AR236" i="6"/>
  <c r="AS8" i="2" s="1"/>
  <c r="AQ236" i="6"/>
  <c r="AR8" i="2" s="1"/>
  <c r="AP236" i="6"/>
  <c r="AQ8" i="2" s="1"/>
  <c r="AO236" i="6"/>
  <c r="AP8" i="2" s="1"/>
  <c r="AN236" i="6"/>
  <c r="AO8" i="2" s="1"/>
  <c r="AM236" i="6"/>
  <c r="AN8" i="2" s="1"/>
  <c r="AL236" i="6"/>
  <c r="AM8" i="2" s="1"/>
  <c r="AJ236" i="6"/>
  <c r="AK8" i="2" s="1"/>
  <c r="L24" i="6"/>
  <c r="AW235" i="6"/>
  <c r="AV235" i="6"/>
  <c r="AU235" i="6"/>
  <c r="AT235" i="6"/>
  <c r="AS235" i="6"/>
  <c r="BA235" i="6"/>
  <c r="AZ235" i="6"/>
  <c r="AY235" i="6"/>
  <c r="AX235" i="6"/>
  <c r="BC235" i="6"/>
  <c r="BD235" i="6"/>
  <c r="BE235" i="6"/>
  <c r="BF235" i="6"/>
  <c r="AQ235" i="6"/>
  <c r="AP235" i="6"/>
  <c r="AO235" i="6"/>
  <c r="AN235" i="6"/>
  <c r="AM235" i="6"/>
  <c r="AL235" i="6"/>
  <c r="AK235" i="6"/>
  <c r="AJ235" i="6"/>
  <c r="AI235" i="6"/>
  <c r="AR235" i="6"/>
  <c r="AH235" i="6"/>
  <c r="AG235" i="6"/>
  <c r="AF235" i="6"/>
  <c r="M345" i="6"/>
  <c r="N345" i="6"/>
  <c r="O345" i="6"/>
  <c r="P345" i="6"/>
  <c r="Q345" i="6"/>
  <c r="R345" i="6"/>
  <c r="S345" i="6"/>
  <c r="T345" i="6"/>
  <c r="U345" i="6"/>
  <c r="W345" i="6"/>
  <c r="X345" i="6"/>
  <c r="Y345" i="6"/>
  <c r="Z345" i="6"/>
  <c r="AA345" i="6"/>
  <c r="AB345" i="6"/>
  <c r="AC345" i="6"/>
  <c r="AD345" i="6"/>
  <c r="AE345" i="6"/>
  <c r="AF345" i="6"/>
  <c r="AG345" i="6"/>
  <c r="AH345" i="6"/>
  <c r="AI345" i="6"/>
  <c r="AJ345" i="6"/>
  <c r="AK345" i="6"/>
  <c r="AM345" i="6"/>
  <c r="AN345" i="6"/>
  <c r="AO345" i="6"/>
  <c r="AP345" i="6"/>
  <c r="AQ345" i="6"/>
  <c r="AR345" i="6"/>
  <c r="AS345" i="6"/>
  <c r="AT345" i="6"/>
  <c r="AU345" i="6"/>
  <c r="AV345" i="6"/>
  <c r="AW345" i="6"/>
  <c r="AX345" i="6"/>
  <c r="AY345" i="6"/>
  <c r="AZ345" i="6"/>
  <c r="BA345" i="6"/>
  <c r="BB345" i="6"/>
  <c r="BC345" i="6"/>
  <c r="BD345" i="6"/>
  <c r="BE345" i="6"/>
  <c r="BF345" i="6"/>
  <c r="BG345" i="6"/>
  <c r="BH345" i="6"/>
  <c r="BI345" i="6"/>
  <c r="AM339" i="6"/>
  <c r="AM340" i="6" s="1"/>
  <c r="P343" i="6"/>
  <c r="BJ345" i="6"/>
  <c r="C339" i="6"/>
  <c r="C340" i="6" s="1"/>
  <c r="D339" i="6"/>
  <c r="D340" i="6" s="1"/>
  <c r="E339" i="6"/>
  <c r="E340" i="6" s="1"/>
  <c r="F339" i="6"/>
  <c r="F340" i="6" s="1"/>
  <c r="G339" i="6"/>
  <c r="G340" i="6" s="1"/>
  <c r="H339" i="6"/>
  <c r="H340" i="6" s="1"/>
  <c r="I339" i="6"/>
  <c r="I340" i="6" s="1"/>
  <c r="J339" i="6"/>
  <c r="J340" i="6" s="1"/>
  <c r="K339" i="6"/>
  <c r="K340" i="6" s="1"/>
  <c r="L339" i="6"/>
  <c r="L340" i="6" s="1"/>
  <c r="M339" i="6"/>
  <c r="M340" i="6" s="1"/>
  <c r="N339" i="6"/>
  <c r="N340" i="6" s="1"/>
  <c r="O339" i="6"/>
  <c r="O340" i="6" s="1"/>
  <c r="P339" i="6"/>
  <c r="P340" i="6" s="1"/>
  <c r="Q339" i="6"/>
  <c r="Q340" i="6" s="1"/>
  <c r="R339" i="6"/>
  <c r="R340" i="6" s="1"/>
  <c r="S339" i="6"/>
  <c r="S340" i="6" s="1"/>
  <c r="T339" i="6"/>
  <c r="T340" i="6" s="1"/>
  <c r="U339" i="6"/>
  <c r="U340" i="6" s="1"/>
  <c r="V339" i="6"/>
  <c r="V340" i="6" s="1"/>
  <c r="W339" i="6"/>
  <c r="W340" i="6" s="1"/>
  <c r="X339" i="6"/>
  <c r="X340" i="6" s="1"/>
  <c r="Y339" i="6"/>
  <c r="Y340" i="6" s="1"/>
  <c r="Z339" i="6"/>
  <c r="Z340" i="6" s="1"/>
  <c r="AA339" i="6"/>
  <c r="AA340" i="6" s="1"/>
  <c r="AB339" i="6"/>
  <c r="AB340" i="6" s="1"/>
  <c r="AC339" i="6"/>
  <c r="AC340" i="6" s="1"/>
  <c r="AD339" i="6"/>
  <c r="AD340" i="6" s="1"/>
  <c r="AE339" i="6"/>
  <c r="AE340" i="6" s="1"/>
  <c r="AF339" i="6"/>
  <c r="AF340" i="6" s="1"/>
  <c r="AG339" i="6"/>
  <c r="AG340" i="6" s="1"/>
  <c r="AH339" i="6"/>
  <c r="AH340" i="6" s="1"/>
  <c r="AI339" i="6"/>
  <c r="AI340" i="6" s="1"/>
  <c r="AJ339" i="6"/>
  <c r="AJ340" i="6" s="1"/>
  <c r="AK339" i="6"/>
  <c r="AK340" i="6" s="1"/>
  <c r="AL339" i="6"/>
  <c r="AL340" i="6" s="1"/>
  <c r="AN339" i="6"/>
  <c r="AN340" i="6" s="1"/>
  <c r="AO339" i="6"/>
  <c r="AO340" i="6" s="1"/>
  <c r="AP339" i="6"/>
  <c r="AP340" i="6" s="1"/>
  <c r="AQ339" i="6"/>
  <c r="AQ340" i="6" s="1"/>
  <c r="AR339" i="6"/>
  <c r="AR340" i="6" s="1"/>
  <c r="AL345" i="6"/>
  <c r="AS339" i="6"/>
  <c r="AS340" i="6" s="1"/>
  <c r="AT339" i="6"/>
  <c r="AT340" i="6" s="1"/>
  <c r="AU339" i="6"/>
  <c r="AU340" i="6" s="1"/>
  <c r="AV339" i="6"/>
  <c r="AV340" i="6" s="1"/>
  <c r="AW339" i="6"/>
  <c r="AW340" i="6" s="1"/>
  <c r="AX339" i="6"/>
  <c r="AX340" i="6" s="1"/>
  <c r="AY339" i="6"/>
  <c r="AY340" i="6" s="1"/>
  <c r="AZ339" i="6"/>
  <c r="AZ340" i="6" s="1"/>
  <c r="BA339" i="6"/>
  <c r="BA340" i="6" s="1"/>
  <c r="BB339" i="6"/>
  <c r="BB340" i="6" s="1"/>
  <c r="BC339" i="6"/>
  <c r="BC340" i="6" s="1"/>
  <c r="BD339" i="6"/>
  <c r="BD340" i="6" s="1"/>
  <c r="BE339" i="6"/>
  <c r="BE340" i="6" s="1"/>
  <c r="BF339" i="6"/>
  <c r="BF340" i="6" s="1"/>
  <c r="BG339" i="6"/>
  <c r="BG340" i="6" s="1"/>
  <c r="BH339" i="6"/>
  <c r="BH340" i="6" s="1"/>
  <c r="BI339" i="6"/>
  <c r="BI340" i="6" s="1"/>
  <c r="BJ339" i="6"/>
  <c r="BJ340" i="6" s="1"/>
  <c r="C343" i="6"/>
  <c r="D343" i="6"/>
  <c r="E343" i="6"/>
  <c r="F343" i="6"/>
  <c r="G343" i="6"/>
  <c r="H343" i="6"/>
  <c r="I343" i="6"/>
  <c r="J343" i="6"/>
  <c r="K343" i="6"/>
  <c r="L343" i="6"/>
  <c r="M343" i="6"/>
  <c r="N343" i="6"/>
  <c r="O343" i="6"/>
  <c r="V345" i="6"/>
  <c r="Q343" i="6"/>
  <c r="R343" i="6"/>
  <c r="S343" i="6"/>
  <c r="T343" i="6"/>
  <c r="U343" i="6"/>
  <c r="W343" i="6"/>
  <c r="X343" i="6"/>
  <c r="Y343" i="6"/>
  <c r="Z343" i="6"/>
  <c r="AA343" i="6"/>
  <c r="AB343" i="6"/>
  <c r="AC343" i="6"/>
  <c r="AD343" i="6"/>
  <c r="AE343" i="6"/>
  <c r="AF343" i="6"/>
  <c r="AG343" i="6"/>
  <c r="AH343" i="6"/>
  <c r="AI343" i="6"/>
  <c r="AJ343" i="6"/>
  <c r="AK343" i="6"/>
  <c r="AL343" i="6"/>
  <c r="AM343" i="6"/>
  <c r="AN343" i="6"/>
  <c r="AO343" i="6"/>
  <c r="AP343" i="6"/>
  <c r="AQ343" i="6"/>
  <c r="AR343" i="6"/>
  <c r="AS343" i="6"/>
  <c r="AT343" i="6"/>
  <c r="AU343" i="6"/>
  <c r="AV343" i="6"/>
  <c r="AW343" i="6"/>
  <c r="AX343" i="6"/>
  <c r="AY343" i="6"/>
  <c r="AZ343" i="6"/>
  <c r="BA343" i="6"/>
  <c r="BB343" i="6"/>
  <c r="BC343" i="6"/>
  <c r="BD343" i="6"/>
  <c r="BE343" i="6"/>
  <c r="BF343" i="6"/>
  <c r="BG343" i="6"/>
  <c r="BH343" i="6"/>
  <c r="BI343" i="6"/>
  <c r="BJ343" i="6"/>
  <c r="C345" i="6"/>
  <c r="D345" i="6"/>
  <c r="E345" i="6"/>
  <c r="F345" i="6"/>
  <c r="G345" i="6"/>
  <c r="H345" i="6"/>
  <c r="I345" i="6"/>
  <c r="J345" i="6"/>
  <c r="K345" i="6"/>
  <c r="L345" i="6"/>
  <c r="D37" i="2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U145" i="2"/>
  <c r="T145" i="2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AQ232" i="5"/>
  <c r="AP232" i="5"/>
  <c r="AO232" i="5"/>
  <c r="AN232" i="5"/>
  <c r="D157" i="2"/>
  <c r="E129" i="5"/>
  <c r="L123" i="5"/>
  <c r="M123" i="5" s="1"/>
  <c r="N123" i="5" s="1"/>
  <c r="M95" i="3" s="1"/>
  <c r="L122" i="5"/>
  <c r="M122" i="5" s="1"/>
  <c r="N122" i="5" s="1"/>
  <c r="M30" i="3" s="1"/>
  <c r="L121" i="5"/>
  <c r="AB332" i="5"/>
  <c r="AC37" i="2" s="1"/>
  <c r="AA332" i="5"/>
  <c r="AB37" i="2" s="1"/>
  <c r="Z332" i="5"/>
  <c r="AA37" i="2" s="1"/>
  <c r="Y332" i="5"/>
  <c r="Z37" i="2" s="1"/>
  <c r="T332" i="5"/>
  <c r="U37" i="2" s="1"/>
  <c r="L120" i="5"/>
  <c r="AC331" i="5"/>
  <c r="AD238" i="2" s="1"/>
  <c r="C331" i="5"/>
  <c r="D238" i="2" s="1"/>
  <c r="D331" i="5"/>
  <c r="E238" i="2" s="1"/>
  <c r="E331" i="5"/>
  <c r="F238" i="2" s="1"/>
  <c r="F331" i="5"/>
  <c r="G238" i="2" s="1"/>
  <c r="H331" i="5"/>
  <c r="I238" i="2" s="1"/>
  <c r="L119" i="5"/>
  <c r="BJ330" i="5"/>
  <c r="BK64" i="2" s="1"/>
  <c r="BI330" i="5"/>
  <c r="BJ64" i="2" s="1"/>
  <c r="BH330" i="5"/>
  <c r="BI64" i="2" s="1"/>
  <c r="BG330" i="5"/>
  <c r="BH64" i="2" s="1"/>
  <c r="BF330" i="5"/>
  <c r="BG64" i="2" s="1"/>
  <c r="BE330" i="5"/>
  <c r="BF64" i="2" s="1"/>
  <c r="BD330" i="5"/>
  <c r="BE64" i="2" s="1"/>
  <c r="BC330" i="5"/>
  <c r="BD64" i="2" s="1"/>
  <c r="BB330" i="5"/>
  <c r="BC64" i="2" s="1"/>
  <c r="L118" i="5"/>
  <c r="M118" i="5"/>
  <c r="N118" i="5" s="1"/>
  <c r="M18" i="3" s="1"/>
  <c r="AR329" i="5"/>
  <c r="AS145" i="2" s="1"/>
  <c r="C329" i="5"/>
  <c r="D145" i="2" s="1"/>
  <c r="D329" i="5"/>
  <c r="E145" i="2" s="1"/>
  <c r="E329" i="5"/>
  <c r="F145" i="2" s="1"/>
  <c r="F329" i="5"/>
  <c r="G145" i="2" s="1"/>
  <c r="G329" i="5"/>
  <c r="H145" i="2" s="1"/>
  <c r="H329" i="5"/>
  <c r="I145" i="2" s="1"/>
  <c r="I329" i="5"/>
  <c r="J145" i="2" s="1"/>
  <c r="J329" i="5"/>
  <c r="K145" i="2" s="1"/>
  <c r="K329" i="5"/>
  <c r="L145" i="2" s="1"/>
  <c r="L329" i="5"/>
  <c r="M145" i="2" s="1"/>
  <c r="L117" i="5"/>
  <c r="M328" i="5"/>
  <c r="N178" i="2" s="1"/>
  <c r="N328" i="5"/>
  <c r="O178" i="2" s="1"/>
  <c r="O328" i="5"/>
  <c r="P178" i="2" s="1"/>
  <c r="P328" i="5"/>
  <c r="Q178" i="2" s="1"/>
  <c r="AU328" i="5"/>
  <c r="AV178" i="2" s="1"/>
  <c r="C328" i="5"/>
  <c r="D328" i="5"/>
  <c r="E178" i="2" s="1"/>
  <c r="E328" i="5"/>
  <c r="F178" i="2" s="1"/>
  <c r="L116" i="5"/>
  <c r="BI327" i="5"/>
  <c r="BJ298" i="2" s="1"/>
  <c r="BJ327" i="5"/>
  <c r="BK298" i="2" s="1"/>
  <c r="S327" i="5"/>
  <c r="T298" i="2" s="1"/>
  <c r="C327" i="5"/>
  <c r="D327" i="5"/>
  <c r="E298" i="2" s="1"/>
  <c r="E327" i="5"/>
  <c r="F298" i="2" s="1"/>
  <c r="F327" i="5"/>
  <c r="G298" i="2" s="1"/>
  <c r="G327" i="5"/>
  <c r="H298" i="2" s="1"/>
  <c r="H327" i="5"/>
  <c r="I298" i="2" s="1"/>
  <c r="I327" i="5"/>
  <c r="J298" i="2" s="1"/>
  <c r="J327" i="5"/>
  <c r="K298" i="2" s="1"/>
  <c r="K327" i="5"/>
  <c r="L298" i="2" s="1"/>
  <c r="L327" i="5"/>
  <c r="M327" i="5"/>
  <c r="N327" i="5"/>
  <c r="O298" i="2" s="1"/>
  <c r="O327" i="5"/>
  <c r="P298" i="2" s="1"/>
  <c r="P327" i="5"/>
  <c r="Q298" i="2" s="1"/>
  <c r="Q327" i="5"/>
  <c r="R298" i="2" s="1"/>
  <c r="R327" i="5"/>
  <c r="S298" i="2" s="1"/>
  <c r="M116" i="5"/>
  <c r="N116" i="5" s="1"/>
  <c r="M74" i="3" s="1"/>
  <c r="T327" i="5"/>
  <c r="U298" i="2" s="1"/>
  <c r="U327" i="5"/>
  <c r="V298" i="2" s="1"/>
  <c r="V327" i="5"/>
  <c r="W298" i="2" s="1"/>
  <c r="W327" i="5"/>
  <c r="X298" i="2" s="1"/>
  <c r="X327" i="5"/>
  <c r="Y298" i="2" s="1"/>
  <c r="Y327" i="5"/>
  <c r="Z298" i="2" s="1"/>
  <c r="Z327" i="5"/>
  <c r="AA298" i="2" s="1"/>
  <c r="AA327" i="5"/>
  <c r="AB298" i="2" s="1"/>
  <c r="BG327" i="5"/>
  <c r="BH298" i="2" s="1"/>
  <c r="L115" i="5"/>
  <c r="BG326" i="5"/>
  <c r="BH175" i="2" s="1"/>
  <c r="BH326" i="5"/>
  <c r="BI175" i="2" s="1"/>
  <c r="BI326" i="5"/>
  <c r="BJ175" i="2" s="1"/>
  <c r="BJ326" i="5"/>
  <c r="BK175" i="2" s="1"/>
  <c r="BE326" i="5"/>
  <c r="BF175" i="2" s="1"/>
  <c r="M326" i="5"/>
  <c r="N175" i="2" s="1"/>
  <c r="L326" i="5"/>
  <c r="M175" i="2" s="1"/>
  <c r="K326" i="5"/>
  <c r="L175" i="2" s="1"/>
  <c r="J326" i="5"/>
  <c r="K175" i="2" s="1"/>
  <c r="I326" i="5"/>
  <c r="J175" i="2" s="1"/>
  <c r="H326" i="5"/>
  <c r="I175" i="2" s="1"/>
  <c r="G326" i="5"/>
  <c r="H175" i="2" s="1"/>
  <c r="F326" i="5"/>
  <c r="G175" i="2" s="1"/>
  <c r="E326" i="5"/>
  <c r="F175" i="2" s="1"/>
  <c r="D326" i="5"/>
  <c r="E175" i="2" s="1"/>
  <c r="C326" i="5"/>
  <c r="P326" i="5"/>
  <c r="Q175" i="2" s="1"/>
  <c r="Q326" i="5"/>
  <c r="R175" i="2" s="1"/>
  <c r="R326" i="5"/>
  <c r="S175" i="2" s="1"/>
  <c r="S326" i="5"/>
  <c r="T175" i="2" s="1"/>
  <c r="T326" i="5"/>
  <c r="U175" i="2" s="1"/>
  <c r="U326" i="5"/>
  <c r="V175" i="2" s="1"/>
  <c r="V326" i="5"/>
  <c r="W175" i="2" s="1"/>
  <c r="W326" i="5"/>
  <c r="X175" i="2" s="1"/>
  <c r="X326" i="5"/>
  <c r="Y175" i="2" s="1"/>
  <c r="Y326" i="5"/>
  <c r="Z175" i="2" s="1"/>
  <c r="AA326" i="5"/>
  <c r="AB175" i="2" s="1"/>
  <c r="AB326" i="5"/>
  <c r="AC175" i="2" s="1"/>
  <c r="AC326" i="5"/>
  <c r="AD175" i="2" s="1"/>
  <c r="AD326" i="5"/>
  <c r="AE175" i="2" s="1"/>
  <c r="AE326" i="5"/>
  <c r="AF175" i="2" s="1"/>
  <c r="AF326" i="5"/>
  <c r="AG175" i="2" s="1"/>
  <c r="AG326" i="5"/>
  <c r="AH175" i="2" s="1"/>
  <c r="AI326" i="5"/>
  <c r="AJ175" i="2" s="1"/>
  <c r="AJ326" i="5"/>
  <c r="AK175" i="2" s="1"/>
  <c r="AK326" i="5"/>
  <c r="AL175" i="2" s="1"/>
  <c r="AL326" i="5"/>
  <c r="AM175" i="2" s="1"/>
  <c r="AM326" i="5"/>
  <c r="AN175" i="2" s="1"/>
  <c r="AN326" i="5"/>
  <c r="AO175" i="2" s="1"/>
  <c r="AO326" i="5"/>
  <c r="AP175" i="2" s="1"/>
  <c r="AP326" i="5"/>
  <c r="AQ175" i="2" s="1"/>
  <c r="AQ326" i="5"/>
  <c r="AR175" i="2" s="1"/>
  <c r="AR326" i="5"/>
  <c r="AS175" i="2" s="1"/>
  <c r="AS326" i="5"/>
  <c r="AT175" i="2" s="1"/>
  <c r="AT326" i="5"/>
  <c r="AU175" i="2" s="1"/>
  <c r="AU326" i="5"/>
  <c r="AV175" i="2" s="1"/>
  <c r="AV326" i="5"/>
  <c r="AW175" i="2" s="1"/>
  <c r="AW326" i="5"/>
  <c r="AX175" i="2" s="1"/>
  <c r="AX326" i="5"/>
  <c r="AY175" i="2" s="1"/>
  <c r="AY326" i="5"/>
  <c r="AZ175" i="2" s="1"/>
  <c r="AZ326" i="5"/>
  <c r="BA175" i="2" s="1"/>
  <c r="BA326" i="5"/>
  <c r="BB175" i="2" s="1"/>
  <c r="BB326" i="5"/>
  <c r="BC175" i="2" s="1"/>
  <c r="BC326" i="5"/>
  <c r="BD175" i="2" s="1"/>
  <c r="BD326" i="5"/>
  <c r="BE175" i="2" s="1"/>
  <c r="N326" i="5"/>
  <c r="O175" i="2" s="1"/>
  <c r="Z326" i="5"/>
  <c r="AA175" i="2" s="1"/>
  <c r="L114" i="5"/>
  <c r="AT325" i="5"/>
  <c r="AU250" i="2" s="1"/>
  <c r="AS325" i="5"/>
  <c r="AT250" i="2" s="1"/>
  <c r="AR325" i="5"/>
  <c r="AS250" i="2" s="1"/>
  <c r="AQ325" i="5"/>
  <c r="AR250" i="2" s="1"/>
  <c r="AP325" i="5"/>
  <c r="AQ250" i="2" s="1"/>
  <c r="AO325" i="5"/>
  <c r="AP250" i="2" s="1"/>
  <c r="AN325" i="5"/>
  <c r="AO250" i="2" s="1"/>
  <c r="AM325" i="5"/>
  <c r="AN250" i="2" s="1"/>
  <c r="AL325" i="5"/>
  <c r="AM250" i="2" s="1"/>
  <c r="BI325" i="5"/>
  <c r="BJ250" i="2" s="1"/>
  <c r="AK325" i="5"/>
  <c r="AL250" i="2" s="1"/>
  <c r="AJ325" i="5"/>
  <c r="AK250" i="2" s="1"/>
  <c r="AI325" i="5"/>
  <c r="AJ250" i="2" s="1"/>
  <c r="AH325" i="5"/>
  <c r="AI250" i="2" s="1"/>
  <c r="AG325" i="5"/>
  <c r="AH250" i="2" s="1"/>
  <c r="AD325" i="5"/>
  <c r="AE250" i="2" s="1"/>
  <c r="AC325" i="5"/>
  <c r="AD250" i="2" s="1"/>
  <c r="AB325" i="5"/>
  <c r="AC250" i="2" s="1"/>
  <c r="AA325" i="5"/>
  <c r="AB250" i="2" s="1"/>
  <c r="Z325" i="5"/>
  <c r="AA250" i="2" s="1"/>
  <c r="Y325" i="5"/>
  <c r="Z250" i="2" s="1"/>
  <c r="X325" i="5"/>
  <c r="Y250" i="2" s="1"/>
  <c r="W325" i="5"/>
  <c r="X250" i="2" s="1"/>
  <c r="V325" i="5"/>
  <c r="W250" i="2" s="1"/>
  <c r="U325" i="5"/>
  <c r="V250" i="2" s="1"/>
  <c r="T325" i="5"/>
  <c r="U250" i="2" s="1"/>
  <c r="S325" i="5"/>
  <c r="T250" i="2" s="1"/>
  <c r="R325" i="5"/>
  <c r="S250" i="2" s="1"/>
  <c r="Q325" i="5"/>
  <c r="R250" i="2" s="1"/>
  <c r="P325" i="5"/>
  <c r="Q250" i="2" s="1"/>
  <c r="O325" i="5"/>
  <c r="P250" i="2" s="1"/>
  <c r="N325" i="5"/>
  <c r="O250" i="2" s="1"/>
  <c r="M325" i="5"/>
  <c r="N250" i="2" s="1"/>
  <c r="L325" i="5"/>
  <c r="M250" i="2" s="1"/>
  <c r="K325" i="5"/>
  <c r="L250" i="2" s="1"/>
  <c r="J325" i="5"/>
  <c r="K250" i="2" s="1"/>
  <c r="I325" i="5"/>
  <c r="J250" i="2" s="1"/>
  <c r="H325" i="5"/>
  <c r="I250" i="2" s="1"/>
  <c r="BF325" i="5"/>
  <c r="BG250" i="2" s="1"/>
  <c r="G325" i="5"/>
  <c r="H250" i="2" s="1"/>
  <c r="F325" i="5"/>
  <c r="G250" i="2" s="1"/>
  <c r="L113" i="5"/>
  <c r="L112" i="5"/>
  <c r="M112" i="5" s="1"/>
  <c r="N112" i="5" s="1"/>
  <c r="M17" i="3" s="1"/>
  <c r="AR323" i="5"/>
  <c r="AS55" i="2" s="1"/>
  <c r="AS323" i="5"/>
  <c r="AT55" i="2" s="1"/>
  <c r="AT323" i="5"/>
  <c r="AU55" i="2" s="1"/>
  <c r="AU323" i="5"/>
  <c r="AV55" i="2" s="1"/>
  <c r="AV323" i="5"/>
  <c r="AW55" i="2" s="1"/>
  <c r="AW323" i="5"/>
  <c r="AX55" i="2" s="1"/>
  <c r="AX323" i="5"/>
  <c r="AY55" i="2" s="1"/>
  <c r="AY323" i="5"/>
  <c r="AZ55" i="2" s="1"/>
  <c r="AZ323" i="5"/>
  <c r="BA55" i="2" s="1"/>
  <c r="AC323" i="5"/>
  <c r="AD55" i="2" s="1"/>
  <c r="AD323" i="5"/>
  <c r="AE55" i="2" s="1"/>
  <c r="AE323" i="5"/>
  <c r="AF55" i="2" s="1"/>
  <c r="AF323" i="5"/>
  <c r="AG55" i="2" s="1"/>
  <c r="AG323" i="5"/>
  <c r="AH55" i="2" s="1"/>
  <c r="AH323" i="5"/>
  <c r="AI55" i="2" s="1"/>
  <c r="AI323" i="5"/>
  <c r="AJ55" i="2" s="1"/>
  <c r="AJ323" i="5"/>
  <c r="AK55" i="2" s="1"/>
  <c r="AK323" i="5"/>
  <c r="AL55" i="2" s="1"/>
  <c r="AL323" i="5"/>
  <c r="AM55" i="2" s="1"/>
  <c r="BA323" i="5"/>
  <c r="BB55" i="2" s="1"/>
  <c r="BB323" i="5"/>
  <c r="BC55" i="2" s="1"/>
  <c r="BC323" i="5"/>
  <c r="BD55" i="2" s="1"/>
  <c r="BD323" i="5"/>
  <c r="BE55" i="2" s="1"/>
  <c r="BE323" i="5"/>
  <c r="BF55" i="2" s="1"/>
  <c r="BF323" i="5"/>
  <c r="BG55" i="2" s="1"/>
  <c r="BG323" i="5"/>
  <c r="BH55" i="2" s="1"/>
  <c r="BH323" i="5"/>
  <c r="BI55" i="2" s="1"/>
  <c r="BI323" i="5"/>
  <c r="BJ55" i="2" s="1"/>
  <c r="BJ323" i="5"/>
  <c r="BK55" i="2" s="1"/>
  <c r="AB323" i="5"/>
  <c r="AC55" i="2" s="1"/>
  <c r="AA323" i="5"/>
  <c r="AB55" i="2" s="1"/>
  <c r="Z323" i="5"/>
  <c r="AA55" i="2" s="1"/>
  <c r="Y323" i="5"/>
  <c r="Z55" i="2" s="1"/>
  <c r="X323" i="5"/>
  <c r="Y55" i="2" s="1"/>
  <c r="W323" i="5"/>
  <c r="X55" i="2" s="1"/>
  <c r="V323" i="5"/>
  <c r="W55" i="2" s="1"/>
  <c r="U323" i="5"/>
  <c r="V55" i="2" s="1"/>
  <c r="T323" i="5"/>
  <c r="U55" i="2" s="1"/>
  <c r="S323" i="5"/>
  <c r="T55" i="2" s="1"/>
  <c r="R323" i="5"/>
  <c r="S55" i="2" s="1"/>
  <c r="Q323" i="5"/>
  <c r="R55" i="2" s="1"/>
  <c r="P323" i="5"/>
  <c r="Q55" i="2" s="1"/>
  <c r="O323" i="5"/>
  <c r="P55" i="2" s="1"/>
  <c r="N323" i="5"/>
  <c r="M323" i="5"/>
  <c r="N55" i="2" s="1"/>
  <c r="L323" i="5"/>
  <c r="M55" i="2" s="1"/>
  <c r="K323" i="5"/>
  <c r="L55" i="2" s="1"/>
  <c r="J323" i="5"/>
  <c r="K55" i="2" s="1"/>
  <c r="I323" i="5"/>
  <c r="J55" i="2" s="1"/>
  <c r="H323" i="5"/>
  <c r="I55" i="2" s="1"/>
  <c r="G323" i="5"/>
  <c r="H55" i="2" s="1"/>
  <c r="F323" i="5"/>
  <c r="G55" i="2" s="1"/>
  <c r="E323" i="5"/>
  <c r="F55" i="2" s="1"/>
  <c r="D323" i="5"/>
  <c r="E55" i="2" s="1"/>
  <c r="C323" i="5"/>
  <c r="L111" i="5"/>
  <c r="M111" i="5" s="1"/>
  <c r="N111" i="5" s="1"/>
  <c r="M84" i="3" s="1"/>
  <c r="O322" i="5"/>
  <c r="P214" i="2" s="1"/>
  <c r="F322" i="5"/>
  <c r="G214" i="2" s="1"/>
  <c r="Y322" i="5"/>
  <c r="Z214" i="2" s="1"/>
  <c r="G322" i="5"/>
  <c r="H322" i="5"/>
  <c r="I322" i="5"/>
  <c r="AI322" i="5"/>
  <c r="AJ214" i="2" s="1"/>
  <c r="K322" i="5"/>
  <c r="L322" i="5"/>
  <c r="M322" i="5"/>
  <c r="N214" i="2" s="1"/>
  <c r="N322" i="5"/>
  <c r="O214" i="2" s="1"/>
  <c r="P322" i="5"/>
  <c r="Q214" i="2" s="1"/>
  <c r="Q322" i="5"/>
  <c r="R214" i="2" s="1"/>
  <c r="R322" i="5"/>
  <c r="S214" i="2" s="1"/>
  <c r="S322" i="5"/>
  <c r="T214" i="2" s="1"/>
  <c r="T322" i="5"/>
  <c r="U214" i="2" s="1"/>
  <c r="BC322" i="5"/>
  <c r="BD214" i="2" s="1"/>
  <c r="BB322" i="5"/>
  <c r="BC214" i="2" s="1"/>
  <c r="BA322" i="5"/>
  <c r="BB214" i="2" s="1"/>
  <c r="AZ322" i="5"/>
  <c r="BA214" i="2" s="1"/>
  <c r="AX322" i="5"/>
  <c r="AY214" i="2" s="1"/>
  <c r="AW322" i="5"/>
  <c r="AX214" i="2" s="1"/>
  <c r="AV322" i="5"/>
  <c r="AW214" i="2" s="1"/>
  <c r="AU322" i="5"/>
  <c r="AV214" i="2" s="1"/>
  <c r="AT322" i="5"/>
  <c r="AU214" i="2" s="1"/>
  <c r="AS322" i="5"/>
  <c r="AT214" i="2" s="1"/>
  <c r="AR322" i="5"/>
  <c r="AS214" i="2" s="1"/>
  <c r="AQ322" i="5"/>
  <c r="AR214" i="2" s="1"/>
  <c r="AP322" i="5"/>
  <c r="AQ214" i="2" s="1"/>
  <c r="AY322" i="5"/>
  <c r="AZ214" i="2" s="1"/>
  <c r="AO322" i="5"/>
  <c r="AP214" i="2" s="1"/>
  <c r="AN322" i="5"/>
  <c r="AO214" i="2" s="1"/>
  <c r="AM322" i="5"/>
  <c r="AN214" i="2" s="1"/>
  <c r="AL322" i="5"/>
  <c r="AM214" i="2" s="1"/>
  <c r="AK322" i="5"/>
  <c r="AL214" i="2" s="1"/>
  <c r="AJ322" i="5"/>
  <c r="AK214" i="2" s="1"/>
  <c r="AH322" i="5"/>
  <c r="AI214" i="2" s="1"/>
  <c r="AG322" i="5"/>
  <c r="AH214" i="2" s="1"/>
  <c r="AF322" i="5"/>
  <c r="AG214" i="2" s="1"/>
  <c r="AE322" i="5"/>
  <c r="AF214" i="2" s="1"/>
  <c r="AD322" i="5"/>
  <c r="AE214" i="2" s="1"/>
  <c r="W322" i="5"/>
  <c r="X214" i="2" s="1"/>
  <c r="U322" i="5"/>
  <c r="V214" i="2" s="1"/>
  <c r="V322" i="5"/>
  <c r="W214" i="2" s="1"/>
  <c r="X322" i="5"/>
  <c r="Y214" i="2" s="1"/>
  <c r="Z322" i="5"/>
  <c r="AA214" i="2" s="1"/>
  <c r="AC322" i="5"/>
  <c r="AD214" i="2" s="1"/>
  <c r="BE322" i="5"/>
  <c r="BF214" i="2" s="1"/>
  <c r="BF322" i="5"/>
  <c r="BG214" i="2" s="1"/>
  <c r="BG322" i="5"/>
  <c r="BH214" i="2" s="1"/>
  <c r="BH322" i="5"/>
  <c r="BI214" i="2" s="1"/>
  <c r="BI322" i="5"/>
  <c r="BJ214" i="2" s="1"/>
  <c r="BJ322" i="5"/>
  <c r="BK214" i="2" s="1"/>
  <c r="L110" i="5"/>
  <c r="BI321" i="5"/>
  <c r="BJ289" i="2" s="1"/>
  <c r="BH321" i="5"/>
  <c r="BI289" i="2" s="1"/>
  <c r="BG321" i="5"/>
  <c r="BH289" i="2" s="1"/>
  <c r="BF321" i="5"/>
  <c r="BG289" i="2" s="1"/>
  <c r="BE321" i="5"/>
  <c r="BF289" i="2" s="1"/>
  <c r="BD321" i="5"/>
  <c r="BE289" i="2" s="1"/>
  <c r="BC321" i="5"/>
  <c r="BD289" i="2" s="1"/>
  <c r="BB321" i="5"/>
  <c r="BC289" i="2" s="1"/>
  <c r="BA321" i="5"/>
  <c r="BB289" i="2" s="1"/>
  <c r="AZ321" i="5"/>
  <c r="BA289" i="2" s="1"/>
  <c r="AY321" i="5"/>
  <c r="AZ289" i="2" s="1"/>
  <c r="M321" i="5"/>
  <c r="N289" i="2" s="1"/>
  <c r="Z321" i="5"/>
  <c r="AA289" i="2" s="1"/>
  <c r="AA321" i="5"/>
  <c r="AB289" i="2" s="1"/>
  <c r="AB321" i="5"/>
  <c r="AC289" i="2" s="1"/>
  <c r="AC321" i="5"/>
  <c r="AD289" i="2" s="1"/>
  <c r="AD321" i="5"/>
  <c r="AE289" i="2" s="1"/>
  <c r="AE321" i="5"/>
  <c r="AF289" i="2" s="1"/>
  <c r="AF321" i="5"/>
  <c r="AG289" i="2" s="1"/>
  <c r="AG321" i="5"/>
  <c r="AH289" i="2" s="1"/>
  <c r="AH321" i="5"/>
  <c r="AI289" i="2" s="1"/>
  <c r="AI321" i="5"/>
  <c r="AJ289" i="2" s="1"/>
  <c r="AJ321" i="5"/>
  <c r="AK289" i="2" s="1"/>
  <c r="AK321" i="5"/>
  <c r="AL289" i="2" s="1"/>
  <c r="AL321" i="5"/>
  <c r="AM289" i="2" s="1"/>
  <c r="AM321" i="5"/>
  <c r="AN289" i="2" s="1"/>
  <c r="AN321" i="5"/>
  <c r="AO289" i="2" s="1"/>
  <c r="AO321" i="5"/>
  <c r="AP289" i="2" s="1"/>
  <c r="AP321" i="5"/>
  <c r="AQ289" i="2" s="1"/>
  <c r="AQ321" i="5"/>
  <c r="AR289" i="2" s="1"/>
  <c r="AR321" i="5"/>
  <c r="AS289" i="2" s="1"/>
  <c r="AS321" i="5"/>
  <c r="AT289" i="2" s="1"/>
  <c r="AT321" i="5"/>
  <c r="AU289" i="2" s="1"/>
  <c r="AU321" i="5"/>
  <c r="AV289" i="2" s="1"/>
  <c r="AV321" i="5"/>
  <c r="AW289" i="2" s="1"/>
  <c r="N321" i="5"/>
  <c r="O289" i="2" s="1"/>
  <c r="AW321" i="5"/>
  <c r="AX289" i="2" s="1"/>
  <c r="O321" i="5"/>
  <c r="P289" i="2" s="1"/>
  <c r="P321" i="5"/>
  <c r="Q289" i="2" s="1"/>
  <c r="Q321" i="5"/>
  <c r="R289" i="2" s="1"/>
  <c r="S321" i="5"/>
  <c r="T289" i="2" s="1"/>
  <c r="T321" i="5"/>
  <c r="U289" i="2" s="1"/>
  <c r="L109" i="5"/>
  <c r="AB320" i="5"/>
  <c r="AC235" i="2" s="1"/>
  <c r="AA320" i="5"/>
  <c r="AB235" i="2" s="1"/>
  <c r="Z320" i="5"/>
  <c r="AA235" i="2" s="1"/>
  <c r="Y320" i="5"/>
  <c r="Z235" i="2" s="1"/>
  <c r="X320" i="5"/>
  <c r="Y235" i="2" s="1"/>
  <c r="W320" i="5"/>
  <c r="X235" i="2" s="1"/>
  <c r="V320" i="5"/>
  <c r="W235" i="2" s="1"/>
  <c r="U320" i="5"/>
  <c r="V235" i="2" s="1"/>
  <c r="S320" i="5"/>
  <c r="T235" i="2" s="1"/>
  <c r="R320" i="5"/>
  <c r="S235" i="2" s="1"/>
  <c r="P320" i="5"/>
  <c r="Q235" i="2" s="1"/>
  <c r="O320" i="5"/>
  <c r="P235" i="2" s="1"/>
  <c r="N320" i="5"/>
  <c r="O235" i="2" s="1"/>
  <c r="M320" i="5"/>
  <c r="N235" i="2" s="1"/>
  <c r="L320" i="5"/>
  <c r="M235" i="2" s="1"/>
  <c r="K320" i="5"/>
  <c r="L235" i="2" s="1"/>
  <c r="J320" i="5"/>
  <c r="K235" i="2" s="1"/>
  <c r="I320" i="5"/>
  <c r="J235" i="2" s="1"/>
  <c r="H320" i="5"/>
  <c r="I235" i="2" s="1"/>
  <c r="G320" i="5"/>
  <c r="H235" i="2" s="1"/>
  <c r="F320" i="5"/>
  <c r="G235" i="2" s="1"/>
  <c r="E320" i="5"/>
  <c r="F235" i="2" s="1"/>
  <c r="D320" i="5"/>
  <c r="C320" i="5"/>
  <c r="BJ320" i="5"/>
  <c r="BK235" i="2" s="1"/>
  <c r="BI320" i="5"/>
  <c r="BJ235" i="2" s="1"/>
  <c r="BH320" i="5"/>
  <c r="BI235" i="2" s="1"/>
  <c r="BG320" i="5"/>
  <c r="BH235" i="2" s="1"/>
  <c r="BF320" i="5"/>
  <c r="BG235" i="2" s="1"/>
  <c r="BE320" i="5"/>
  <c r="BF235" i="2" s="1"/>
  <c r="BD320" i="5"/>
  <c r="BE235" i="2" s="1"/>
  <c r="BC320" i="5"/>
  <c r="BD235" i="2" s="1"/>
  <c r="BB320" i="5"/>
  <c r="BC235" i="2" s="1"/>
  <c r="BA320" i="5"/>
  <c r="BB235" i="2" s="1"/>
  <c r="AZ320" i="5"/>
  <c r="BA235" i="2" s="1"/>
  <c r="AY320" i="5"/>
  <c r="AZ235" i="2" s="1"/>
  <c r="AX320" i="5"/>
  <c r="AY235" i="2" s="1"/>
  <c r="AW320" i="5"/>
  <c r="AX235" i="2" s="1"/>
  <c r="AV320" i="5"/>
  <c r="AW235" i="2" s="1"/>
  <c r="AU320" i="5"/>
  <c r="AV235" i="2" s="1"/>
  <c r="AT320" i="5"/>
  <c r="AU235" i="2" s="1"/>
  <c r="AS320" i="5"/>
  <c r="AT235" i="2" s="1"/>
  <c r="AR320" i="5"/>
  <c r="AS235" i="2" s="1"/>
  <c r="AQ320" i="5"/>
  <c r="AR235" i="2" s="1"/>
  <c r="L108" i="5"/>
  <c r="M108" i="5"/>
  <c r="N108" i="5" s="1"/>
  <c r="M83" i="3" s="1"/>
  <c r="AW319" i="5"/>
  <c r="AX304" i="2" s="1"/>
  <c r="AV319" i="5"/>
  <c r="AW304" i="2" s="1"/>
  <c r="AU319" i="5"/>
  <c r="AV304" i="2" s="1"/>
  <c r="AT319" i="5"/>
  <c r="AU304" i="2" s="1"/>
  <c r="AS319" i="5"/>
  <c r="AT304" i="2" s="1"/>
  <c r="AR319" i="5"/>
  <c r="AS304" i="2" s="1"/>
  <c r="AQ319" i="5"/>
  <c r="AR304" i="2" s="1"/>
  <c r="BJ319" i="5"/>
  <c r="BK304" i="2" s="1"/>
  <c r="L107" i="5"/>
  <c r="M107" i="5"/>
  <c r="N107" i="5" s="1"/>
  <c r="M73" i="3" s="1"/>
  <c r="BJ318" i="5"/>
  <c r="BK223" i="2" s="1"/>
  <c r="AL318" i="5"/>
  <c r="AM223" i="2" s="1"/>
  <c r="AM318" i="5"/>
  <c r="AN223" i="2" s="1"/>
  <c r="AN318" i="5"/>
  <c r="AO223" i="2" s="1"/>
  <c r="AO318" i="5"/>
  <c r="AP223" i="2" s="1"/>
  <c r="AP318" i="5"/>
  <c r="AQ223" i="2" s="1"/>
  <c r="AQ318" i="5"/>
  <c r="AR223" i="2" s="1"/>
  <c r="AR318" i="5"/>
  <c r="AS223" i="2" s="1"/>
  <c r="AS318" i="5"/>
  <c r="AT223" i="2" s="1"/>
  <c r="AT318" i="5"/>
  <c r="AU223" i="2" s="1"/>
  <c r="AU318" i="5"/>
  <c r="AV223" i="2" s="1"/>
  <c r="AK318" i="5"/>
  <c r="AL223" i="2" s="1"/>
  <c r="AV318" i="5"/>
  <c r="AW223" i="2" s="1"/>
  <c r="AW318" i="5"/>
  <c r="AX223" i="2" s="1"/>
  <c r="AX318" i="5"/>
  <c r="AY223" i="2" s="1"/>
  <c r="AY318" i="5"/>
  <c r="AZ223" i="2" s="1"/>
  <c r="AZ318" i="5"/>
  <c r="BA223" i="2" s="1"/>
  <c r="BA318" i="5"/>
  <c r="BB223" i="2" s="1"/>
  <c r="BB318" i="5"/>
  <c r="BC223" i="2" s="1"/>
  <c r="BC318" i="5"/>
  <c r="BD223" i="2" s="1"/>
  <c r="BD318" i="5"/>
  <c r="BE223" i="2" s="1"/>
  <c r="BE318" i="5"/>
  <c r="BF223" i="2" s="1"/>
  <c r="BF318" i="5"/>
  <c r="BG223" i="2" s="1"/>
  <c r="BG318" i="5"/>
  <c r="BH223" i="2" s="1"/>
  <c r="BH318" i="5"/>
  <c r="BI223" i="2" s="1"/>
  <c r="BI318" i="5"/>
  <c r="BJ223" i="2" s="1"/>
  <c r="C318" i="5"/>
  <c r="D318" i="5"/>
  <c r="E223" i="2" s="1"/>
  <c r="E318" i="5"/>
  <c r="F223" i="2" s="1"/>
  <c r="F318" i="5"/>
  <c r="G223" i="2" s="1"/>
  <c r="G318" i="5"/>
  <c r="H223" i="2" s="1"/>
  <c r="H318" i="5"/>
  <c r="I223" i="2" s="1"/>
  <c r="I318" i="5"/>
  <c r="J318" i="5"/>
  <c r="K318" i="5"/>
  <c r="L318" i="5"/>
  <c r="M318" i="5"/>
  <c r="N223" i="2" s="1"/>
  <c r="N318" i="5"/>
  <c r="O223" i="2" s="1"/>
  <c r="O318" i="5"/>
  <c r="P223" i="2" s="1"/>
  <c r="P318" i="5"/>
  <c r="Q223" i="2" s="1"/>
  <c r="Q318" i="5"/>
  <c r="R223" i="2" s="1"/>
  <c r="R318" i="5"/>
  <c r="S223" i="2" s="1"/>
  <c r="S318" i="5"/>
  <c r="T223" i="2" s="1"/>
  <c r="T318" i="5"/>
  <c r="U223" i="2" s="1"/>
  <c r="U318" i="5"/>
  <c r="V223" i="2" s="1"/>
  <c r="V318" i="5"/>
  <c r="W223" i="2" s="1"/>
  <c r="W318" i="5"/>
  <c r="X223" i="2" s="1"/>
  <c r="X318" i="5"/>
  <c r="Y223" i="2" s="1"/>
  <c r="Y318" i="5"/>
  <c r="Z223" i="2" s="1"/>
  <c r="Z318" i="5"/>
  <c r="AA223" i="2" s="1"/>
  <c r="AA318" i="5"/>
  <c r="AB223" i="2" s="1"/>
  <c r="AB318" i="5"/>
  <c r="AC223" i="2" s="1"/>
  <c r="AC318" i="5"/>
  <c r="AD223" i="2" s="1"/>
  <c r="AD318" i="5"/>
  <c r="AE223" i="2" s="1"/>
  <c r="AE318" i="5"/>
  <c r="AF223" i="2" s="1"/>
  <c r="AF318" i="5"/>
  <c r="AG223" i="2" s="1"/>
  <c r="AG318" i="5"/>
  <c r="AH223" i="2" s="1"/>
  <c r="AH318" i="5"/>
  <c r="AI223" i="2" s="1"/>
  <c r="AI318" i="5"/>
  <c r="AJ223" i="2" s="1"/>
  <c r="L106" i="5"/>
  <c r="M106" i="5"/>
  <c r="N106" i="5" s="1"/>
  <c r="M69" i="3" s="1"/>
  <c r="AO317" i="5"/>
  <c r="AP229" i="2" s="1"/>
  <c r="AN317" i="5"/>
  <c r="AO229" i="2" s="1"/>
  <c r="BF317" i="5"/>
  <c r="BG229" i="2" s="1"/>
  <c r="BE317" i="5"/>
  <c r="BF229" i="2" s="1"/>
  <c r="BD317" i="5"/>
  <c r="BE229" i="2" s="1"/>
  <c r="BC317" i="5"/>
  <c r="BD229" i="2" s="1"/>
  <c r="BB317" i="5"/>
  <c r="BC229" i="2" s="1"/>
  <c r="BA317" i="5"/>
  <c r="BB229" i="2" s="1"/>
  <c r="AZ317" i="5"/>
  <c r="BA229" i="2" s="1"/>
  <c r="AY317" i="5"/>
  <c r="AZ229" i="2" s="1"/>
  <c r="AX317" i="5"/>
  <c r="AY229" i="2" s="1"/>
  <c r="AW317" i="5"/>
  <c r="AX229" i="2" s="1"/>
  <c r="AM317" i="5"/>
  <c r="AN229" i="2" s="1"/>
  <c r="AL317" i="5"/>
  <c r="AM229" i="2" s="1"/>
  <c r="AV317" i="5"/>
  <c r="AW229" i="2" s="1"/>
  <c r="AU317" i="5"/>
  <c r="AV229" i="2" s="1"/>
  <c r="AT317" i="5"/>
  <c r="AU229" i="2" s="1"/>
  <c r="AK317" i="5"/>
  <c r="AL229" i="2" s="1"/>
  <c r="AJ317" i="5"/>
  <c r="AK229" i="2" s="1"/>
  <c r="AI317" i="5"/>
  <c r="AJ229" i="2" s="1"/>
  <c r="F317" i="5"/>
  <c r="G229" i="2" s="1"/>
  <c r="AG317" i="5"/>
  <c r="AH229" i="2" s="1"/>
  <c r="AF317" i="5"/>
  <c r="AG229" i="2" s="1"/>
  <c r="AE317" i="5"/>
  <c r="AF229" i="2" s="1"/>
  <c r="AD317" i="5"/>
  <c r="AE229" i="2" s="1"/>
  <c r="AC317" i="5"/>
  <c r="AD229" i="2" s="1"/>
  <c r="AB317" i="5"/>
  <c r="AC229" i="2" s="1"/>
  <c r="AA317" i="5"/>
  <c r="AB229" i="2" s="1"/>
  <c r="Z317" i="5"/>
  <c r="AA229" i="2" s="1"/>
  <c r="Y317" i="5"/>
  <c r="Z229" i="2" s="1"/>
  <c r="X317" i="5"/>
  <c r="Y229" i="2" s="1"/>
  <c r="W317" i="5"/>
  <c r="X229" i="2" s="1"/>
  <c r="V317" i="5"/>
  <c r="W229" i="2" s="1"/>
  <c r="U317" i="5"/>
  <c r="V229" i="2" s="1"/>
  <c r="T317" i="5"/>
  <c r="U229" i="2" s="1"/>
  <c r="S317" i="5"/>
  <c r="T229" i="2" s="1"/>
  <c r="R317" i="5"/>
  <c r="S229" i="2" s="1"/>
  <c r="Q317" i="5"/>
  <c r="R229" i="2" s="1"/>
  <c r="P317" i="5"/>
  <c r="Q229" i="2" s="1"/>
  <c r="O317" i="5"/>
  <c r="P229" i="2" s="1"/>
  <c r="N317" i="5"/>
  <c r="O229" i="2" s="1"/>
  <c r="M317" i="5"/>
  <c r="N229" i="2" s="1"/>
  <c r="L317" i="5"/>
  <c r="K317" i="5"/>
  <c r="J317" i="5"/>
  <c r="I317" i="5"/>
  <c r="J229" i="2" s="1"/>
  <c r="AS317" i="5"/>
  <c r="AT229" i="2" s="1"/>
  <c r="AR317" i="5"/>
  <c r="AS229" i="2" s="1"/>
  <c r="BJ317" i="5"/>
  <c r="BK229" i="2" s="1"/>
  <c r="H317" i="5"/>
  <c r="I229" i="2" s="1"/>
  <c r="G317" i="5"/>
  <c r="H229" i="2" s="1"/>
  <c r="L105" i="5"/>
  <c r="L104" i="5"/>
  <c r="Y315" i="5"/>
  <c r="Z259" i="2" s="1"/>
  <c r="X315" i="5"/>
  <c r="Y259" i="2" s="1"/>
  <c r="W315" i="5"/>
  <c r="X259" i="2" s="1"/>
  <c r="V315" i="5"/>
  <c r="W259" i="2" s="1"/>
  <c r="U315" i="5"/>
  <c r="V259" i="2" s="1"/>
  <c r="T315" i="5"/>
  <c r="U259" i="2" s="1"/>
  <c r="S315" i="5"/>
  <c r="T259" i="2" s="1"/>
  <c r="R315" i="5"/>
  <c r="S259" i="2" s="1"/>
  <c r="Q315" i="5"/>
  <c r="R259" i="2" s="1"/>
  <c r="P315" i="5"/>
  <c r="Q259" i="2" s="1"/>
  <c r="O315" i="5"/>
  <c r="P259" i="2" s="1"/>
  <c r="N315" i="5"/>
  <c r="O259" i="2" s="1"/>
  <c r="M315" i="5"/>
  <c r="N259" i="2" s="1"/>
  <c r="L315" i="5"/>
  <c r="M259" i="2" s="1"/>
  <c r="K315" i="5"/>
  <c r="L259" i="2" s="1"/>
  <c r="J315" i="5"/>
  <c r="I315" i="5"/>
  <c r="H315" i="5"/>
  <c r="G315" i="5"/>
  <c r="F315" i="5"/>
  <c r="G259" i="2" s="1"/>
  <c r="AH315" i="5"/>
  <c r="AI259" i="2" s="1"/>
  <c r="E315" i="5"/>
  <c r="F259" i="2" s="1"/>
  <c r="D315" i="5"/>
  <c r="E259" i="2" s="1"/>
  <c r="AL315" i="5"/>
  <c r="AM259" i="2" s="1"/>
  <c r="M104" i="5"/>
  <c r="N104" i="5" s="1"/>
  <c r="M89" i="3" s="1"/>
  <c r="C315" i="5"/>
  <c r="AW315" i="5"/>
  <c r="AX259" i="2" s="1"/>
  <c r="BJ315" i="5"/>
  <c r="BK259" i="2" s="1"/>
  <c r="BI315" i="5"/>
  <c r="BJ259" i="2" s="1"/>
  <c r="BH315" i="5"/>
  <c r="BI259" i="2" s="1"/>
  <c r="BG315" i="5"/>
  <c r="BH259" i="2" s="1"/>
  <c r="BF315" i="5"/>
  <c r="BG259" i="2" s="1"/>
  <c r="BE315" i="5"/>
  <c r="BF259" i="2" s="1"/>
  <c r="BD315" i="5"/>
  <c r="BE259" i="2" s="1"/>
  <c r="BC315" i="5"/>
  <c r="BD259" i="2" s="1"/>
  <c r="BA315" i="5"/>
  <c r="BB259" i="2" s="1"/>
  <c r="AZ315" i="5"/>
  <c r="BA259" i="2" s="1"/>
  <c r="BB315" i="5"/>
  <c r="BC259" i="2" s="1"/>
  <c r="AY315" i="5"/>
  <c r="AZ259" i="2" s="1"/>
  <c r="AX315" i="5"/>
  <c r="AY259" i="2" s="1"/>
  <c r="AV315" i="5"/>
  <c r="AW259" i="2" s="1"/>
  <c r="AU315" i="5"/>
  <c r="AV259" i="2" s="1"/>
  <c r="AT315" i="5"/>
  <c r="AU259" i="2" s="1"/>
  <c r="AS315" i="5"/>
  <c r="AT259" i="2" s="1"/>
  <c r="AR315" i="5"/>
  <c r="AS259" i="2" s="1"/>
  <c r="AQ315" i="5"/>
  <c r="AR259" i="2" s="1"/>
  <c r="AP315" i="5"/>
  <c r="AQ259" i="2" s="1"/>
  <c r="AO315" i="5"/>
  <c r="AP259" i="2" s="1"/>
  <c r="AN315" i="5"/>
  <c r="AO259" i="2" s="1"/>
  <c r="AM315" i="5"/>
  <c r="AN259" i="2" s="1"/>
  <c r="AK315" i="5"/>
  <c r="AL259" i="2" s="1"/>
  <c r="AJ315" i="5"/>
  <c r="AK259" i="2" s="1"/>
  <c r="AI315" i="5"/>
  <c r="AJ259" i="2" s="1"/>
  <c r="L103" i="5"/>
  <c r="M314" i="5"/>
  <c r="N106" i="2" s="1"/>
  <c r="L314" i="5"/>
  <c r="M106" i="2" s="1"/>
  <c r="K314" i="5"/>
  <c r="L106" i="2" s="1"/>
  <c r="L102" i="5"/>
  <c r="AI313" i="5"/>
  <c r="AJ94" i="2" s="1"/>
  <c r="AJ313" i="5"/>
  <c r="AK94" i="2" s="1"/>
  <c r="AK313" i="5"/>
  <c r="AL94" i="2" s="1"/>
  <c r="AL313" i="5"/>
  <c r="AM94" i="2" s="1"/>
  <c r="AM313" i="5"/>
  <c r="AN94" i="2" s="1"/>
  <c r="AN313" i="5"/>
  <c r="AO94" i="2" s="1"/>
  <c r="AO313" i="5"/>
  <c r="AP94" i="2" s="1"/>
  <c r="L101" i="5"/>
  <c r="U312" i="5"/>
  <c r="V196" i="2" s="1"/>
  <c r="N312" i="5"/>
  <c r="O196" i="2" s="1"/>
  <c r="AA312" i="5"/>
  <c r="AB196" i="2" s="1"/>
  <c r="Z312" i="5"/>
  <c r="AA196" i="2" s="1"/>
  <c r="AV312" i="5"/>
  <c r="AW196" i="2" s="1"/>
  <c r="AU312" i="5"/>
  <c r="AV196" i="2" s="1"/>
  <c r="Y312" i="5"/>
  <c r="Z196" i="2" s="1"/>
  <c r="X312" i="5"/>
  <c r="Y196" i="2" s="1"/>
  <c r="W312" i="5"/>
  <c r="X196" i="2" s="1"/>
  <c r="T312" i="5"/>
  <c r="U196" i="2" s="1"/>
  <c r="M312" i="5"/>
  <c r="N196" i="2" s="1"/>
  <c r="L312" i="5"/>
  <c r="K312" i="5"/>
  <c r="L196" i="2" s="1"/>
  <c r="J312" i="5"/>
  <c r="K196" i="2" s="1"/>
  <c r="BC312" i="5"/>
  <c r="BD196" i="2" s="1"/>
  <c r="AS312" i="5"/>
  <c r="AT196" i="2" s="1"/>
  <c r="AR312" i="5"/>
  <c r="AS196" i="2" s="1"/>
  <c r="AQ312" i="5"/>
  <c r="AR196" i="2" s="1"/>
  <c r="AP312" i="5"/>
  <c r="AQ196" i="2" s="1"/>
  <c r="AO312" i="5"/>
  <c r="AP196" i="2" s="1"/>
  <c r="AN312" i="5"/>
  <c r="AO196" i="2" s="1"/>
  <c r="AM312" i="5"/>
  <c r="AN196" i="2" s="1"/>
  <c r="AL312" i="5"/>
  <c r="AM196" i="2" s="1"/>
  <c r="AK312" i="5"/>
  <c r="AL196" i="2" s="1"/>
  <c r="BH312" i="5"/>
  <c r="BI196" i="2" s="1"/>
  <c r="BG312" i="5"/>
  <c r="BH196" i="2" s="1"/>
  <c r="BF312" i="5"/>
  <c r="BG196" i="2" s="1"/>
  <c r="BE312" i="5"/>
  <c r="BF196" i="2" s="1"/>
  <c r="AJ312" i="5"/>
  <c r="AK196" i="2" s="1"/>
  <c r="BD312" i="5"/>
  <c r="BE196" i="2" s="1"/>
  <c r="BB312" i="5"/>
  <c r="BC196" i="2" s="1"/>
  <c r="BA312" i="5"/>
  <c r="BB196" i="2" s="1"/>
  <c r="AZ312" i="5"/>
  <c r="BA196" i="2" s="1"/>
  <c r="AY312" i="5"/>
  <c r="AZ196" i="2" s="1"/>
  <c r="AX312" i="5"/>
  <c r="AY196" i="2" s="1"/>
  <c r="AW312" i="5"/>
  <c r="AX196" i="2" s="1"/>
  <c r="AG312" i="5"/>
  <c r="AH196" i="2" s="1"/>
  <c r="V312" i="5"/>
  <c r="W196" i="2" s="1"/>
  <c r="AI312" i="5"/>
  <c r="AJ196" i="2" s="1"/>
  <c r="AH312" i="5"/>
  <c r="AI196" i="2" s="1"/>
  <c r="L100" i="5"/>
  <c r="P311" i="5"/>
  <c r="Q286" i="2" s="1"/>
  <c r="Q311" i="5"/>
  <c r="R286" i="2" s="1"/>
  <c r="R311" i="5"/>
  <c r="S286" i="2" s="1"/>
  <c r="S311" i="5"/>
  <c r="T286" i="2" s="1"/>
  <c r="T311" i="5"/>
  <c r="U286" i="2" s="1"/>
  <c r="U311" i="5"/>
  <c r="V286" i="2" s="1"/>
  <c r="V311" i="5"/>
  <c r="W286" i="2" s="1"/>
  <c r="W311" i="5"/>
  <c r="X286" i="2" s="1"/>
  <c r="X311" i="5"/>
  <c r="Y286" i="2" s="1"/>
  <c r="Y311" i="5"/>
  <c r="Z286" i="2" s="1"/>
  <c r="L99" i="5"/>
  <c r="AK310" i="5"/>
  <c r="AL163" i="2" s="1"/>
  <c r="AL310" i="5"/>
  <c r="AM163" i="2" s="1"/>
  <c r="AM310" i="5"/>
  <c r="AN163" i="2" s="1"/>
  <c r="AN310" i="5"/>
  <c r="AO163" i="2" s="1"/>
  <c r="M99" i="5"/>
  <c r="N99" i="5" s="1"/>
  <c r="M56" i="3" s="1"/>
  <c r="AO310" i="5"/>
  <c r="AP163" i="2" s="1"/>
  <c r="AP310" i="5"/>
  <c r="AQ163" i="2" s="1"/>
  <c r="AR310" i="5"/>
  <c r="AS163" i="2" s="1"/>
  <c r="AS310" i="5"/>
  <c r="AT163" i="2" s="1"/>
  <c r="AT310" i="5"/>
  <c r="AU163" i="2" s="1"/>
  <c r="AU310" i="5"/>
  <c r="AV163" i="2" s="1"/>
  <c r="AV310" i="5"/>
  <c r="AW163" i="2" s="1"/>
  <c r="W310" i="5"/>
  <c r="X163" i="2" s="1"/>
  <c r="V310" i="5"/>
  <c r="W163" i="2" s="1"/>
  <c r="U310" i="5"/>
  <c r="V163" i="2" s="1"/>
  <c r="T310" i="5"/>
  <c r="U163" i="2" s="1"/>
  <c r="BJ310" i="5"/>
  <c r="BK163" i="2" s="1"/>
  <c r="BI310" i="5"/>
  <c r="BJ163" i="2" s="1"/>
  <c r="AW310" i="5"/>
  <c r="AX163" i="2" s="1"/>
  <c r="AX310" i="5"/>
  <c r="AY163" i="2" s="1"/>
  <c r="AY310" i="5"/>
  <c r="AZ163" i="2" s="1"/>
  <c r="AZ310" i="5"/>
  <c r="BA163" i="2" s="1"/>
  <c r="BA310" i="5"/>
  <c r="BB163" i="2" s="1"/>
  <c r="BB310" i="5"/>
  <c r="BC163" i="2" s="1"/>
  <c r="L98" i="5"/>
  <c r="BJ309" i="5"/>
  <c r="BK67" i="2" s="1"/>
  <c r="BI309" i="5"/>
  <c r="BJ67" i="2" s="1"/>
  <c r="BH309" i="5"/>
  <c r="BI67" i="2" s="1"/>
  <c r="BG309" i="5"/>
  <c r="BH67" i="2" s="1"/>
  <c r="BF309" i="5"/>
  <c r="BG67" i="2" s="1"/>
  <c r="Z309" i="5"/>
  <c r="AA67" i="2" s="1"/>
  <c r="BE309" i="5"/>
  <c r="BF67" i="2" s="1"/>
  <c r="BD309" i="5"/>
  <c r="BE67" i="2" s="1"/>
  <c r="BC309" i="5"/>
  <c r="BD67" i="2" s="1"/>
  <c r="BB309" i="5"/>
  <c r="BC67" i="2" s="1"/>
  <c r="BA309" i="5"/>
  <c r="BB67" i="2" s="1"/>
  <c r="AZ309" i="5"/>
  <c r="BA67" i="2" s="1"/>
  <c r="AY309" i="5"/>
  <c r="AZ67" i="2" s="1"/>
  <c r="AX309" i="5"/>
  <c r="AY67" i="2" s="1"/>
  <c r="AW309" i="5"/>
  <c r="AX67" i="2" s="1"/>
  <c r="AV309" i="5"/>
  <c r="AW67" i="2" s="1"/>
  <c r="AT309" i="5"/>
  <c r="AU67" i="2" s="1"/>
  <c r="AS309" i="5"/>
  <c r="AT67" i="2" s="1"/>
  <c r="AR309" i="5"/>
  <c r="AS67" i="2" s="1"/>
  <c r="AQ309" i="5"/>
  <c r="AR67" i="2" s="1"/>
  <c r="AP309" i="5"/>
  <c r="AQ67" i="2" s="1"/>
  <c r="AO309" i="5"/>
  <c r="AP67" i="2" s="1"/>
  <c r="AN309" i="5"/>
  <c r="AO67" i="2" s="1"/>
  <c r="AM309" i="5"/>
  <c r="AN67" i="2" s="1"/>
  <c r="AL309" i="5"/>
  <c r="AM67" i="2" s="1"/>
  <c r="AK309" i="5"/>
  <c r="AL67" i="2" s="1"/>
  <c r="AJ309" i="5"/>
  <c r="AK67" i="2" s="1"/>
  <c r="AI309" i="5"/>
  <c r="AJ67" i="2" s="1"/>
  <c r="AH309" i="5"/>
  <c r="AI67" i="2" s="1"/>
  <c r="AG309" i="5"/>
  <c r="AH67" i="2" s="1"/>
  <c r="AF309" i="5"/>
  <c r="AG67" i="2" s="1"/>
  <c r="AE309" i="5"/>
  <c r="AF67" i="2" s="1"/>
  <c r="AD309" i="5"/>
  <c r="AE67" i="2" s="1"/>
  <c r="AC309" i="5"/>
  <c r="AD67" i="2" s="1"/>
  <c r="AB309" i="5"/>
  <c r="AC67" i="2" s="1"/>
  <c r="AA309" i="5"/>
  <c r="AB67" i="2" s="1"/>
  <c r="C309" i="5"/>
  <c r="D309" i="5"/>
  <c r="E67" i="2" s="1"/>
  <c r="E309" i="5"/>
  <c r="F67" i="2" s="1"/>
  <c r="F309" i="5"/>
  <c r="G67" i="2" s="1"/>
  <c r="G309" i="5"/>
  <c r="H67" i="2" s="1"/>
  <c r="H309" i="5"/>
  <c r="I67" i="2" s="1"/>
  <c r="I309" i="5"/>
  <c r="J67" i="2" s="1"/>
  <c r="J309" i="5"/>
  <c r="K67" i="2" s="1"/>
  <c r="K309" i="5"/>
  <c r="L67" i="2" s="1"/>
  <c r="L309" i="5"/>
  <c r="M67" i="2" s="1"/>
  <c r="M309" i="5"/>
  <c r="N67" i="2" s="1"/>
  <c r="N309" i="5"/>
  <c r="O67" i="2" s="1"/>
  <c r="O309" i="5"/>
  <c r="P67" i="2" s="1"/>
  <c r="P309" i="5"/>
  <c r="Q67" i="2" s="1"/>
  <c r="Q309" i="5"/>
  <c r="R309" i="5"/>
  <c r="S309" i="5"/>
  <c r="T309" i="5"/>
  <c r="U309" i="5"/>
  <c r="V67" i="2" s="1"/>
  <c r="V309" i="5"/>
  <c r="W67" i="2" s="1"/>
  <c r="W309" i="5"/>
  <c r="X67" i="2" s="1"/>
  <c r="X309" i="5"/>
  <c r="Y67" i="2" s="1"/>
  <c r="Y309" i="5"/>
  <c r="Z67" i="2" s="1"/>
  <c r="L97" i="5"/>
  <c r="H308" i="5"/>
  <c r="I34" i="2" s="1"/>
  <c r="I308" i="5"/>
  <c r="J34" i="2" s="1"/>
  <c r="J308" i="5"/>
  <c r="K34" i="2" s="1"/>
  <c r="K308" i="5"/>
  <c r="L34" i="2" s="1"/>
  <c r="L308" i="5"/>
  <c r="M34" i="2" s="1"/>
  <c r="M308" i="5"/>
  <c r="N34" i="2" s="1"/>
  <c r="N308" i="5"/>
  <c r="O34" i="2" s="1"/>
  <c r="O308" i="5"/>
  <c r="P34" i="2" s="1"/>
  <c r="P308" i="5"/>
  <c r="Q34" i="2" s="1"/>
  <c r="Q308" i="5"/>
  <c r="R34" i="2" s="1"/>
  <c r="R308" i="5"/>
  <c r="S34" i="2" s="1"/>
  <c r="S308" i="5"/>
  <c r="T34" i="2" s="1"/>
  <c r="T308" i="5"/>
  <c r="U34" i="2" s="1"/>
  <c r="U308" i="5"/>
  <c r="V34" i="2" s="1"/>
  <c r="V308" i="5"/>
  <c r="W34" i="2" s="1"/>
  <c r="W308" i="5"/>
  <c r="X34" i="2" s="1"/>
  <c r="X308" i="5"/>
  <c r="Y34" i="2" s="1"/>
  <c r="Y308" i="5"/>
  <c r="Z34" i="2" s="1"/>
  <c r="Z308" i="5"/>
  <c r="AA34" i="2" s="1"/>
  <c r="AA308" i="5"/>
  <c r="AB34" i="2" s="1"/>
  <c r="AB308" i="5"/>
  <c r="AC34" i="2" s="1"/>
  <c r="AC308" i="5"/>
  <c r="AD34" i="2" s="1"/>
  <c r="AD308" i="5"/>
  <c r="AE34" i="2" s="1"/>
  <c r="AE308" i="5"/>
  <c r="AF34" i="2" s="1"/>
  <c r="AF308" i="5"/>
  <c r="AG34" i="2" s="1"/>
  <c r="AG308" i="5"/>
  <c r="AH34" i="2" s="1"/>
  <c r="AH308" i="5"/>
  <c r="AI34" i="2" s="1"/>
  <c r="BI308" i="5"/>
  <c r="BJ34" i="2" s="1"/>
  <c r="BJ308" i="5"/>
  <c r="BK34" i="2" s="1"/>
  <c r="AI308" i="5"/>
  <c r="AJ34" i="2" s="1"/>
  <c r="AJ308" i="5"/>
  <c r="AK34" i="2" s="1"/>
  <c r="AK308" i="5"/>
  <c r="AL34" i="2" s="1"/>
  <c r="AL308" i="5"/>
  <c r="AM34" i="2" s="1"/>
  <c r="AM308" i="5"/>
  <c r="AN34" i="2" s="1"/>
  <c r="AN308" i="5"/>
  <c r="AO34" i="2" s="1"/>
  <c r="AO308" i="5"/>
  <c r="AP34" i="2" s="1"/>
  <c r="AP308" i="5"/>
  <c r="AQ34" i="2" s="1"/>
  <c r="AR308" i="5"/>
  <c r="AS34" i="2" s="1"/>
  <c r="AS308" i="5"/>
  <c r="AT34" i="2" s="1"/>
  <c r="AT308" i="5"/>
  <c r="AU34" i="2" s="1"/>
  <c r="AU308" i="5"/>
  <c r="AV34" i="2" s="1"/>
  <c r="AV308" i="5"/>
  <c r="AW34" i="2" s="1"/>
  <c r="AW308" i="5"/>
  <c r="AX34" i="2" s="1"/>
  <c r="M97" i="5"/>
  <c r="N97" i="5" s="1"/>
  <c r="M41" i="3" s="1"/>
  <c r="AY308" i="5"/>
  <c r="AZ34" i="2" s="1"/>
  <c r="AZ308" i="5"/>
  <c r="BA34" i="2" s="1"/>
  <c r="BA308" i="5"/>
  <c r="BB34" i="2" s="1"/>
  <c r="BB308" i="5"/>
  <c r="BC34" i="2" s="1"/>
  <c r="BC308" i="5"/>
  <c r="BD34" i="2" s="1"/>
  <c r="BD308" i="5"/>
  <c r="BE34" i="2" s="1"/>
  <c r="BE308" i="5"/>
  <c r="BF34" i="2" s="1"/>
  <c r="L96" i="5"/>
  <c r="C307" i="5"/>
  <c r="D307" i="5"/>
  <c r="E43" i="2" s="1"/>
  <c r="E307" i="5"/>
  <c r="F43" i="2" s="1"/>
  <c r="F307" i="5"/>
  <c r="G43" i="2" s="1"/>
  <c r="G307" i="5"/>
  <c r="H43" i="2" s="1"/>
  <c r="H307" i="5"/>
  <c r="I43" i="2" s="1"/>
  <c r="I307" i="5"/>
  <c r="J43" i="2" s="1"/>
  <c r="J307" i="5"/>
  <c r="K43" i="2" s="1"/>
  <c r="K307" i="5"/>
  <c r="L307" i="5"/>
  <c r="M307" i="5"/>
  <c r="N43" i="2" s="1"/>
  <c r="N307" i="5"/>
  <c r="O43" i="2" s="1"/>
  <c r="BI307" i="5"/>
  <c r="BJ43" i="2" s="1"/>
  <c r="P307" i="5"/>
  <c r="Q43" i="2" s="1"/>
  <c r="Q307" i="5"/>
  <c r="R43" i="2" s="1"/>
  <c r="R307" i="5"/>
  <c r="S43" i="2" s="1"/>
  <c r="S307" i="5"/>
  <c r="T43" i="2" s="1"/>
  <c r="T307" i="5"/>
  <c r="U43" i="2" s="1"/>
  <c r="U307" i="5"/>
  <c r="V43" i="2" s="1"/>
  <c r="V307" i="5"/>
  <c r="W43" i="2" s="1"/>
  <c r="W307" i="5"/>
  <c r="X43" i="2" s="1"/>
  <c r="X307" i="5"/>
  <c r="Y43" i="2" s="1"/>
  <c r="Y307" i="5"/>
  <c r="Z43" i="2" s="1"/>
  <c r="Z307" i="5"/>
  <c r="AA43" i="2" s="1"/>
  <c r="AA307" i="5"/>
  <c r="AB43" i="2" s="1"/>
  <c r="AB307" i="5"/>
  <c r="AC43" i="2" s="1"/>
  <c r="AC307" i="5"/>
  <c r="AD43" i="2" s="1"/>
  <c r="AD307" i="5"/>
  <c r="AE43" i="2" s="1"/>
  <c r="M96" i="5"/>
  <c r="N96" i="5" s="1"/>
  <c r="M21" i="3" s="1"/>
  <c r="AF307" i="5"/>
  <c r="AG43" i="2" s="1"/>
  <c r="AG307" i="5"/>
  <c r="AH43" i="2" s="1"/>
  <c r="AH307" i="5"/>
  <c r="AI43" i="2" s="1"/>
  <c r="AI307" i="5"/>
  <c r="AJ43" i="2" s="1"/>
  <c r="AJ307" i="5"/>
  <c r="AK43" i="2" s="1"/>
  <c r="AK307" i="5"/>
  <c r="AL43" i="2" s="1"/>
  <c r="AL307" i="5"/>
  <c r="AM43" i="2" s="1"/>
  <c r="AM307" i="5"/>
  <c r="AN43" i="2" s="1"/>
  <c r="AN307" i="5"/>
  <c r="AO43" i="2" s="1"/>
  <c r="AO307" i="5"/>
  <c r="AP43" i="2" s="1"/>
  <c r="AP307" i="5"/>
  <c r="AQ43" i="2" s="1"/>
  <c r="AQ307" i="5"/>
  <c r="AR43" i="2" s="1"/>
  <c r="AR307" i="5"/>
  <c r="AS43" i="2" s="1"/>
  <c r="AS307" i="5"/>
  <c r="AT43" i="2" s="1"/>
  <c r="AT307" i="5"/>
  <c r="AU43" i="2" s="1"/>
  <c r="AU307" i="5"/>
  <c r="AV43" i="2" s="1"/>
  <c r="AV307" i="5"/>
  <c r="AW43" i="2" s="1"/>
  <c r="AW307" i="5"/>
  <c r="AX43" i="2" s="1"/>
  <c r="AX307" i="5"/>
  <c r="AY43" i="2" s="1"/>
  <c r="AY307" i="5"/>
  <c r="AZ43" i="2" s="1"/>
  <c r="AZ307" i="5"/>
  <c r="BA43" i="2" s="1"/>
  <c r="BA307" i="5"/>
  <c r="BB43" i="2" s="1"/>
  <c r="BB307" i="5"/>
  <c r="BC43" i="2" s="1"/>
  <c r="BC307" i="5"/>
  <c r="BD43" i="2" s="1"/>
  <c r="BD307" i="5"/>
  <c r="BE43" i="2" s="1"/>
  <c r="BE307" i="5"/>
  <c r="BF43" i="2" s="1"/>
  <c r="BF307" i="5"/>
  <c r="BG43" i="2" s="1"/>
  <c r="BG307" i="5"/>
  <c r="BH43" i="2" s="1"/>
  <c r="BH307" i="5"/>
  <c r="BI43" i="2" s="1"/>
  <c r="AE307" i="5"/>
  <c r="AF43" i="2" s="1"/>
  <c r="L95" i="5"/>
  <c r="AT306" i="5"/>
  <c r="AU160" i="2" s="1"/>
  <c r="L94" i="5"/>
  <c r="M94" i="5"/>
  <c r="N94" i="5" s="1"/>
  <c r="M98" i="3" s="1"/>
  <c r="L93" i="5"/>
  <c r="M93" i="5"/>
  <c r="N93" i="5" s="1"/>
  <c r="M72" i="3" s="1"/>
  <c r="AZ304" i="5"/>
  <c r="BA220" i="2" s="1"/>
  <c r="BA304" i="5"/>
  <c r="BB220" i="2" s="1"/>
  <c r="AL304" i="5"/>
  <c r="AM220" i="2" s="1"/>
  <c r="AM304" i="5"/>
  <c r="AN220" i="2" s="1"/>
  <c r="AN304" i="5"/>
  <c r="AO220" i="2" s="1"/>
  <c r="AO304" i="5"/>
  <c r="AP220" i="2" s="1"/>
  <c r="AP304" i="5"/>
  <c r="AQ220" i="2" s="1"/>
  <c r="AR304" i="5"/>
  <c r="AS220" i="2" s="1"/>
  <c r="AS304" i="5"/>
  <c r="AT220" i="2" s="1"/>
  <c r="AT304" i="5"/>
  <c r="AU220" i="2" s="1"/>
  <c r="AU304" i="5"/>
  <c r="AV220" i="2" s="1"/>
  <c r="AV304" i="5"/>
  <c r="AW220" i="2" s="1"/>
  <c r="AW304" i="5"/>
  <c r="AX220" i="2" s="1"/>
  <c r="AX304" i="5"/>
  <c r="AY220" i="2" s="1"/>
  <c r="Z304" i="5"/>
  <c r="AA220" i="2" s="1"/>
  <c r="Y304" i="5"/>
  <c r="Z220" i="2" s="1"/>
  <c r="X304" i="5"/>
  <c r="Y220" i="2" s="1"/>
  <c r="W304" i="5"/>
  <c r="X220" i="2" s="1"/>
  <c r="V304" i="5"/>
  <c r="W220" i="2" s="1"/>
  <c r="U304" i="5"/>
  <c r="V220" i="2" s="1"/>
  <c r="BB304" i="5"/>
  <c r="BC220" i="2" s="1"/>
  <c r="S304" i="5"/>
  <c r="T220" i="2" s="1"/>
  <c r="R304" i="5"/>
  <c r="S220" i="2" s="1"/>
  <c r="Q304" i="5"/>
  <c r="R220" i="2" s="1"/>
  <c r="P304" i="5"/>
  <c r="Q220" i="2" s="1"/>
  <c r="O304" i="5"/>
  <c r="P220" i="2" s="1"/>
  <c r="N304" i="5"/>
  <c r="M304" i="5"/>
  <c r="L304" i="5"/>
  <c r="K304" i="5"/>
  <c r="J304" i="5"/>
  <c r="I304" i="5"/>
  <c r="H304" i="5"/>
  <c r="I220" i="2" s="1"/>
  <c r="G304" i="5"/>
  <c r="H220" i="2" s="1"/>
  <c r="F304" i="5"/>
  <c r="G220" i="2" s="1"/>
  <c r="T304" i="5"/>
  <c r="U220" i="2" s="1"/>
  <c r="D304" i="5"/>
  <c r="E220" i="2" s="1"/>
  <c r="C304" i="5"/>
  <c r="BC304" i="5"/>
  <c r="BD220" i="2" s="1"/>
  <c r="BD304" i="5"/>
  <c r="BE220" i="2" s="1"/>
  <c r="BE304" i="5"/>
  <c r="BF220" i="2" s="1"/>
  <c r="BF304" i="5"/>
  <c r="BG220" i="2" s="1"/>
  <c r="BG304" i="5"/>
  <c r="BH220" i="2" s="1"/>
  <c r="AQ304" i="5"/>
  <c r="AR220" i="2" s="1"/>
  <c r="BH304" i="5"/>
  <c r="BI220" i="2" s="1"/>
  <c r="BI304" i="5"/>
  <c r="BJ220" i="2" s="1"/>
  <c r="BJ304" i="5"/>
  <c r="BK220" i="2" s="1"/>
  <c r="AA304" i="5"/>
  <c r="AB220" i="2" s="1"/>
  <c r="AB304" i="5"/>
  <c r="AC220" i="2" s="1"/>
  <c r="AC304" i="5"/>
  <c r="AD220" i="2" s="1"/>
  <c r="E304" i="5"/>
  <c r="F220" i="2" s="1"/>
  <c r="L92" i="5"/>
  <c r="T303" i="5"/>
  <c r="U217" i="2" s="1"/>
  <c r="U303" i="5"/>
  <c r="V217" i="2" s="1"/>
  <c r="V303" i="5"/>
  <c r="W217" i="2" s="1"/>
  <c r="W303" i="5"/>
  <c r="X217" i="2" s="1"/>
  <c r="X303" i="5"/>
  <c r="Y217" i="2" s="1"/>
  <c r="Y303" i="5"/>
  <c r="Z217" i="2" s="1"/>
  <c r="Z303" i="5"/>
  <c r="AA217" i="2" s="1"/>
  <c r="AA303" i="5"/>
  <c r="AB217" i="2" s="1"/>
  <c r="AB303" i="5"/>
  <c r="AC217" i="2" s="1"/>
  <c r="AC303" i="5"/>
  <c r="AD217" i="2" s="1"/>
  <c r="AD303" i="5"/>
  <c r="AE217" i="2" s="1"/>
  <c r="AE303" i="5"/>
  <c r="AF217" i="2" s="1"/>
  <c r="BJ303" i="5"/>
  <c r="BK217" i="2" s="1"/>
  <c r="BI303" i="5"/>
  <c r="BJ217" i="2" s="1"/>
  <c r="BH303" i="5"/>
  <c r="BI217" i="2" s="1"/>
  <c r="BG303" i="5"/>
  <c r="BH217" i="2" s="1"/>
  <c r="BF303" i="5"/>
  <c r="BG217" i="2" s="1"/>
  <c r="BE303" i="5"/>
  <c r="BF217" i="2" s="1"/>
  <c r="BD303" i="5"/>
  <c r="BE217" i="2" s="1"/>
  <c r="BC303" i="5"/>
  <c r="BD217" i="2" s="1"/>
  <c r="BB303" i="5"/>
  <c r="BC217" i="2" s="1"/>
  <c r="BA303" i="5"/>
  <c r="BB217" i="2" s="1"/>
  <c r="AZ303" i="5"/>
  <c r="BA217" i="2" s="1"/>
  <c r="AY303" i="5"/>
  <c r="AZ217" i="2" s="1"/>
  <c r="AX303" i="5"/>
  <c r="AY217" i="2" s="1"/>
  <c r="AW303" i="5"/>
  <c r="AX217" i="2" s="1"/>
  <c r="AV303" i="5"/>
  <c r="AW217" i="2" s="1"/>
  <c r="AT303" i="5"/>
  <c r="AU217" i="2" s="1"/>
  <c r="AS303" i="5"/>
  <c r="AT217" i="2" s="1"/>
  <c r="AR303" i="5"/>
  <c r="AS217" i="2" s="1"/>
  <c r="AQ303" i="5"/>
  <c r="AR217" i="2" s="1"/>
  <c r="AP303" i="5"/>
  <c r="AQ217" i="2" s="1"/>
  <c r="C303" i="5"/>
  <c r="D303" i="5"/>
  <c r="E217" i="2" s="1"/>
  <c r="E303" i="5"/>
  <c r="F217" i="2" s="1"/>
  <c r="F303" i="5"/>
  <c r="G217" i="2" s="1"/>
  <c r="G303" i="5"/>
  <c r="H217" i="2" s="1"/>
  <c r="H303" i="5"/>
  <c r="AL303" i="5"/>
  <c r="AM217" i="2" s="1"/>
  <c r="AK303" i="5"/>
  <c r="AL217" i="2" s="1"/>
  <c r="AJ303" i="5"/>
  <c r="AK217" i="2" s="1"/>
  <c r="AI303" i="5"/>
  <c r="AJ217" i="2" s="1"/>
  <c r="AH303" i="5"/>
  <c r="AI217" i="2" s="1"/>
  <c r="AG303" i="5"/>
  <c r="AH217" i="2" s="1"/>
  <c r="AF303" i="5"/>
  <c r="AG217" i="2" s="1"/>
  <c r="L91" i="5"/>
  <c r="W302" i="5"/>
  <c r="X88" i="2" s="1"/>
  <c r="BH302" i="5"/>
  <c r="BI88" i="2" s="1"/>
  <c r="V302" i="5"/>
  <c r="W88" i="2" s="1"/>
  <c r="U302" i="5"/>
  <c r="V88" i="2" s="1"/>
  <c r="T302" i="5"/>
  <c r="U88" i="2" s="1"/>
  <c r="S302" i="5"/>
  <c r="T88" i="2" s="1"/>
  <c r="R302" i="5"/>
  <c r="S88" i="2" s="1"/>
  <c r="Q302" i="5"/>
  <c r="R88" i="2" s="1"/>
  <c r="P302" i="5"/>
  <c r="Q88" i="2" s="1"/>
  <c r="O302" i="5"/>
  <c r="P88" i="2" s="1"/>
  <c r="N302" i="5"/>
  <c r="O88" i="2" s="1"/>
  <c r="M302" i="5"/>
  <c r="N88" i="2" s="1"/>
  <c r="L302" i="5"/>
  <c r="M88" i="2" s="1"/>
  <c r="BG302" i="5"/>
  <c r="BH88" i="2" s="1"/>
  <c r="BF302" i="5"/>
  <c r="BG88" i="2" s="1"/>
  <c r="BE302" i="5"/>
  <c r="BF88" i="2" s="1"/>
  <c r="BD302" i="5"/>
  <c r="BE88" i="2" s="1"/>
  <c r="BC302" i="5"/>
  <c r="BD88" i="2" s="1"/>
  <c r="K302" i="5"/>
  <c r="L88" i="2" s="1"/>
  <c r="J302" i="5"/>
  <c r="K88" i="2" s="1"/>
  <c r="I302" i="5"/>
  <c r="J88" i="2" s="1"/>
  <c r="H302" i="5"/>
  <c r="I88" i="2" s="1"/>
  <c r="G302" i="5"/>
  <c r="F302" i="5"/>
  <c r="G88" i="2" s="1"/>
  <c r="E302" i="5"/>
  <c r="F88" i="2" s="1"/>
  <c r="D302" i="5"/>
  <c r="E88" i="2" s="1"/>
  <c r="C302" i="5"/>
  <c r="L90" i="5"/>
  <c r="L301" i="5"/>
  <c r="AJ301" i="5"/>
  <c r="AK265" i="2" s="1"/>
  <c r="AQ301" i="5"/>
  <c r="AR265" i="2" s="1"/>
  <c r="J301" i="5"/>
  <c r="I301" i="5"/>
  <c r="J265" i="2" s="1"/>
  <c r="H301" i="5"/>
  <c r="I265" i="2" s="1"/>
  <c r="G301" i="5"/>
  <c r="H265" i="2" s="1"/>
  <c r="F301" i="5"/>
  <c r="G265" i="2" s="1"/>
  <c r="E301" i="5"/>
  <c r="F265" i="2" s="1"/>
  <c r="D301" i="5"/>
  <c r="E265" i="2" s="1"/>
  <c r="C301" i="5"/>
  <c r="BB301" i="5"/>
  <c r="BC265" i="2" s="1"/>
  <c r="BA301" i="5"/>
  <c r="BB265" i="2" s="1"/>
  <c r="AZ301" i="5"/>
  <c r="BA265" i="2" s="1"/>
  <c r="AY301" i="5"/>
  <c r="AZ265" i="2" s="1"/>
  <c r="AX301" i="5"/>
  <c r="AY265" i="2" s="1"/>
  <c r="AW301" i="5"/>
  <c r="AX265" i="2" s="1"/>
  <c r="AV301" i="5"/>
  <c r="AW265" i="2" s="1"/>
  <c r="AU301" i="5"/>
  <c r="AV265" i="2" s="1"/>
  <c r="AT301" i="5"/>
  <c r="AU265" i="2" s="1"/>
  <c r="L89" i="5"/>
  <c r="M89" i="5"/>
  <c r="N89" i="5" s="1"/>
  <c r="M54" i="3" s="1"/>
  <c r="AR300" i="5"/>
  <c r="AS103" i="2" s="1"/>
  <c r="R300" i="5"/>
  <c r="S103" i="2" s="1"/>
  <c r="S300" i="5"/>
  <c r="T103" i="2" s="1"/>
  <c r="T300" i="5"/>
  <c r="U103" i="2" s="1"/>
  <c r="U300" i="5"/>
  <c r="V103" i="2" s="1"/>
  <c r="V300" i="5"/>
  <c r="W103" i="2" s="1"/>
  <c r="W300" i="5"/>
  <c r="X103" i="2" s="1"/>
  <c r="X300" i="5"/>
  <c r="Y103" i="2" s="1"/>
  <c r="Y300" i="5"/>
  <c r="Z103" i="2" s="1"/>
  <c r="AK300" i="5"/>
  <c r="AL103" i="2" s="1"/>
  <c r="BF300" i="5"/>
  <c r="BG103" i="2" s="1"/>
  <c r="AH300" i="5"/>
  <c r="AI103" i="2" s="1"/>
  <c r="AJ300" i="5"/>
  <c r="AK103" i="2" s="1"/>
  <c r="AI300" i="5"/>
  <c r="AJ103" i="2" s="1"/>
  <c r="AE300" i="5"/>
  <c r="AF103" i="2" s="1"/>
  <c r="AF300" i="5"/>
  <c r="AG103" i="2" s="1"/>
  <c r="AG300" i="5"/>
  <c r="AH103" i="2" s="1"/>
  <c r="Z300" i="5"/>
  <c r="AA103" i="2" s="1"/>
  <c r="AA300" i="5"/>
  <c r="AB103" i="2" s="1"/>
  <c r="AB300" i="5"/>
  <c r="AC103" i="2" s="1"/>
  <c r="AC300" i="5"/>
  <c r="AD103" i="2" s="1"/>
  <c r="AD300" i="5"/>
  <c r="AE103" i="2" s="1"/>
  <c r="AQ300" i="5"/>
  <c r="AR103" i="2" s="1"/>
  <c r="AP300" i="5"/>
  <c r="AQ103" i="2" s="1"/>
  <c r="AO300" i="5"/>
  <c r="AP103" i="2" s="1"/>
  <c r="C300" i="5"/>
  <c r="D300" i="5"/>
  <c r="E300" i="5"/>
  <c r="F300" i="5"/>
  <c r="G103" i="2" s="1"/>
  <c r="G300" i="5"/>
  <c r="H103" i="2" s="1"/>
  <c r="H300" i="5"/>
  <c r="I103" i="2" s="1"/>
  <c r="I300" i="5"/>
  <c r="J103" i="2" s="1"/>
  <c r="J300" i="5"/>
  <c r="K103" i="2" s="1"/>
  <c r="AV300" i="5"/>
  <c r="AW103" i="2" s="1"/>
  <c r="L300" i="5"/>
  <c r="M103" i="2" s="1"/>
  <c r="AW300" i="5"/>
  <c r="AX103" i="2" s="1"/>
  <c r="AX300" i="5"/>
  <c r="AY103" i="2" s="1"/>
  <c r="AY300" i="5"/>
  <c r="AZ103" i="2" s="1"/>
  <c r="AZ300" i="5"/>
  <c r="BA103" i="2" s="1"/>
  <c r="BA300" i="5"/>
  <c r="BB103" i="2" s="1"/>
  <c r="BB300" i="5"/>
  <c r="BC103" i="2" s="1"/>
  <c r="BC300" i="5"/>
  <c r="BD103" i="2" s="1"/>
  <c r="BD300" i="5"/>
  <c r="BE103" i="2" s="1"/>
  <c r="BE300" i="5"/>
  <c r="BF103" i="2" s="1"/>
  <c r="BG300" i="5"/>
  <c r="BH103" i="2" s="1"/>
  <c r="BH300" i="5"/>
  <c r="BI103" i="2" s="1"/>
  <c r="BI300" i="5"/>
  <c r="BJ103" i="2" s="1"/>
  <c r="BJ300" i="5"/>
  <c r="BK103" i="2" s="1"/>
  <c r="AU300" i="5"/>
  <c r="AV103" i="2" s="1"/>
  <c r="L88" i="5"/>
  <c r="M88" i="5"/>
  <c r="N88" i="5" s="1"/>
  <c r="M67" i="3" s="1"/>
  <c r="I299" i="5"/>
  <c r="J232" i="2" s="1"/>
  <c r="G299" i="5"/>
  <c r="H232" i="2" s="1"/>
  <c r="F299" i="5"/>
  <c r="G232" i="2" s="1"/>
  <c r="E299" i="5"/>
  <c r="F232" i="2" s="1"/>
  <c r="D299" i="5"/>
  <c r="E232" i="2" s="1"/>
  <c r="C299" i="5"/>
  <c r="BH299" i="5"/>
  <c r="BI232" i="2" s="1"/>
  <c r="Z299" i="5"/>
  <c r="AA232" i="2" s="1"/>
  <c r="AA299" i="5"/>
  <c r="AB232" i="2" s="1"/>
  <c r="AB299" i="5"/>
  <c r="AC232" i="2" s="1"/>
  <c r="AC299" i="5"/>
  <c r="AD232" i="2" s="1"/>
  <c r="AD299" i="5"/>
  <c r="AE232" i="2" s="1"/>
  <c r="AE299" i="5"/>
  <c r="AF232" i="2" s="1"/>
  <c r="AF299" i="5"/>
  <c r="AG232" i="2" s="1"/>
  <c r="AG299" i="5"/>
  <c r="AH232" i="2" s="1"/>
  <c r="AH299" i="5"/>
  <c r="AI232" i="2" s="1"/>
  <c r="H299" i="5"/>
  <c r="I232" i="2" s="1"/>
  <c r="AI299" i="5"/>
  <c r="AJ232" i="2" s="1"/>
  <c r="AJ299" i="5"/>
  <c r="AK232" i="2" s="1"/>
  <c r="AK299" i="5"/>
  <c r="AL232" i="2" s="1"/>
  <c r="AL299" i="5"/>
  <c r="AM232" i="2" s="1"/>
  <c r="AM299" i="5"/>
  <c r="AN232" i="2" s="1"/>
  <c r="Y299" i="5"/>
  <c r="Z232" i="2" s="1"/>
  <c r="K299" i="5"/>
  <c r="L299" i="5"/>
  <c r="M299" i="5"/>
  <c r="N299" i="5"/>
  <c r="O299" i="5"/>
  <c r="P299" i="5"/>
  <c r="Q299" i="5"/>
  <c r="R232" i="2" s="1"/>
  <c r="R299" i="5"/>
  <c r="S232" i="2" s="1"/>
  <c r="S299" i="5"/>
  <c r="T232" i="2" s="1"/>
  <c r="T299" i="5"/>
  <c r="U232" i="2" s="1"/>
  <c r="U299" i="5"/>
  <c r="V232" i="2" s="1"/>
  <c r="V299" i="5"/>
  <c r="W232" i="2" s="1"/>
  <c r="W299" i="5"/>
  <c r="X232" i="2" s="1"/>
  <c r="X299" i="5"/>
  <c r="Y232" i="2" s="1"/>
  <c r="L87" i="5"/>
  <c r="AW298" i="5"/>
  <c r="AX187" i="2" s="1"/>
  <c r="BB298" i="5"/>
  <c r="BC187" i="2" s="1"/>
  <c r="AJ298" i="5"/>
  <c r="AK187" i="2" s="1"/>
  <c r="AI298" i="5"/>
  <c r="AJ187" i="2" s="1"/>
  <c r="BC298" i="5"/>
  <c r="BD187" i="2" s="1"/>
  <c r="AP298" i="5"/>
  <c r="AQ187" i="2" s="1"/>
  <c r="L86" i="5"/>
  <c r="M86" i="5"/>
  <c r="N86" i="5" s="1"/>
  <c r="M82" i="3" s="1"/>
  <c r="U297" i="5"/>
  <c r="V151" i="2" s="1"/>
  <c r="L85" i="5"/>
  <c r="I296" i="5"/>
  <c r="H296" i="5"/>
  <c r="G296" i="5"/>
  <c r="F296" i="5"/>
  <c r="E296" i="5"/>
  <c r="F211" i="2" s="1"/>
  <c r="D296" i="5"/>
  <c r="E211" i="2" s="1"/>
  <c r="C296" i="5"/>
  <c r="AH296" i="5"/>
  <c r="AI211" i="2" s="1"/>
  <c r="AG296" i="5"/>
  <c r="AH211" i="2" s="1"/>
  <c r="AF296" i="5"/>
  <c r="AG211" i="2" s="1"/>
  <c r="AE296" i="5"/>
  <c r="AF211" i="2" s="1"/>
  <c r="J296" i="5"/>
  <c r="AD296" i="5"/>
  <c r="AE211" i="2" s="1"/>
  <c r="AQ295" i="5"/>
  <c r="AR70" i="2" s="1"/>
  <c r="AP295" i="5"/>
  <c r="AQ70" i="2" s="1"/>
  <c r="AO295" i="5"/>
  <c r="AP70" i="2" s="1"/>
  <c r="AN295" i="5"/>
  <c r="AO70" i="2" s="1"/>
  <c r="AM295" i="5"/>
  <c r="AN70" i="2" s="1"/>
  <c r="AL295" i="5"/>
  <c r="AM70" i="2" s="1"/>
  <c r="AK295" i="5"/>
  <c r="AL70" i="2" s="1"/>
  <c r="AJ295" i="5"/>
  <c r="AK70" i="2" s="1"/>
  <c r="AI295" i="5"/>
  <c r="AJ70" i="2" s="1"/>
  <c r="AH295" i="5"/>
  <c r="AI70" i="2" s="1"/>
  <c r="AG295" i="5"/>
  <c r="AH70" i="2" s="1"/>
  <c r="AF295" i="5"/>
  <c r="AG70" i="2" s="1"/>
  <c r="AE295" i="5"/>
  <c r="AF70" i="2" s="1"/>
  <c r="AD295" i="5"/>
  <c r="AE70" i="2" s="1"/>
  <c r="AC295" i="5"/>
  <c r="AD70" i="2" s="1"/>
  <c r="AB295" i="5"/>
  <c r="AC70" i="2" s="1"/>
  <c r="AA295" i="5"/>
  <c r="AB70" i="2" s="1"/>
  <c r="V295" i="5"/>
  <c r="W70" i="2" s="1"/>
  <c r="M84" i="5"/>
  <c r="N84" i="5" s="1"/>
  <c r="M10" i="3" s="1"/>
  <c r="AR295" i="5"/>
  <c r="AS70" i="2" s="1"/>
  <c r="BJ295" i="5"/>
  <c r="BK70" i="2" s="1"/>
  <c r="U295" i="5"/>
  <c r="T295" i="5"/>
  <c r="S295" i="5"/>
  <c r="R295" i="5"/>
  <c r="Q295" i="5"/>
  <c r="R70" i="2" s="1"/>
  <c r="P295" i="5"/>
  <c r="Q70" i="2" s="1"/>
  <c r="O295" i="5"/>
  <c r="P70" i="2" s="1"/>
  <c r="N295" i="5"/>
  <c r="O70" i="2" s="1"/>
  <c r="M295" i="5"/>
  <c r="N70" i="2" s="1"/>
  <c r="L295" i="5"/>
  <c r="M70" i="2" s="1"/>
  <c r="K295" i="5"/>
  <c r="L70" i="2" s="1"/>
  <c r="J295" i="5"/>
  <c r="K70" i="2" s="1"/>
  <c r="I295" i="5"/>
  <c r="J70" i="2" s="1"/>
  <c r="H295" i="5"/>
  <c r="I70" i="2" s="1"/>
  <c r="G295" i="5"/>
  <c r="H70" i="2" s="1"/>
  <c r="F295" i="5"/>
  <c r="G70" i="2" s="1"/>
  <c r="E295" i="5"/>
  <c r="F70" i="2" s="1"/>
  <c r="D295" i="5"/>
  <c r="E70" i="2" s="1"/>
  <c r="C295" i="5"/>
  <c r="Z295" i="5"/>
  <c r="AA70" i="2" s="1"/>
  <c r="Y295" i="5"/>
  <c r="Z70" i="2" s="1"/>
  <c r="X295" i="5"/>
  <c r="Y70" i="2" s="1"/>
  <c r="W295" i="5"/>
  <c r="X70" i="2" s="1"/>
  <c r="AT295" i="5"/>
  <c r="AU70" i="2" s="1"/>
  <c r="AU295" i="5"/>
  <c r="AV70" i="2" s="1"/>
  <c r="AV295" i="5"/>
  <c r="AW70" i="2" s="1"/>
  <c r="AW295" i="5"/>
  <c r="AX70" i="2" s="1"/>
  <c r="AX295" i="5"/>
  <c r="AY70" i="2" s="1"/>
  <c r="AY295" i="5"/>
  <c r="AZ70" i="2" s="1"/>
  <c r="AZ295" i="5"/>
  <c r="BA70" i="2" s="1"/>
  <c r="BA295" i="5"/>
  <c r="BB70" i="2" s="1"/>
  <c r="BB295" i="5"/>
  <c r="BC70" i="2" s="1"/>
  <c r="BC295" i="5"/>
  <c r="BD70" i="2" s="1"/>
  <c r="BD295" i="5"/>
  <c r="BE70" i="2" s="1"/>
  <c r="BE295" i="5"/>
  <c r="BF70" i="2" s="1"/>
  <c r="AS295" i="5"/>
  <c r="AT70" i="2" s="1"/>
  <c r="BF295" i="5"/>
  <c r="BG70" i="2" s="1"/>
  <c r="BG295" i="5"/>
  <c r="BH70" i="2" s="1"/>
  <c r="BH295" i="5"/>
  <c r="BI70" i="2" s="1"/>
  <c r="BI295" i="5"/>
  <c r="BJ70" i="2" s="1"/>
  <c r="L83" i="5"/>
  <c r="M83" i="5"/>
  <c r="N83" i="5" s="1"/>
  <c r="M7" i="3" s="1"/>
  <c r="P294" i="5"/>
  <c r="Q79" i="2" s="1"/>
  <c r="BG294" i="5"/>
  <c r="BH79" i="2" s="1"/>
  <c r="BF294" i="5"/>
  <c r="BG79" i="2" s="1"/>
  <c r="BE294" i="5"/>
  <c r="BF79" i="2" s="1"/>
  <c r="BD294" i="5"/>
  <c r="BE79" i="2" s="1"/>
  <c r="BC294" i="5"/>
  <c r="BD79" i="2" s="1"/>
  <c r="BB294" i="5"/>
  <c r="BC79" i="2" s="1"/>
  <c r="BA294" i="5"/>
  <c r="BB79" i="2" s="1"/>
  <c r="AZ294" i="5"/>
  <c r="BA79" i="2" s="1"/>
  <c r="AY294" i="5"/>
  <c r="AZ79" i="2" s="1"/>
  <c r="AX294" i="5"/>
  <c r="AY79" i="2" s="1"/>
  <c r="AW294" i="5"/>
  <c r="AX79" i="2" s="1"/>
  <c r="AV294" i="5"/>
  <c r="AW79" i="2" s="1"/>
  <c r="AU294" i="5"/>
  <c r="AV79" i="2" s="1"/>
  <c r="BJ294" i="5"/>
  <c r="BK79" i="2" s="1"/>
  <c r="L82" i="5"/>
  <c r="AR293" i="5"/>
  <c r="AS205" i="2" s="1"/>
  <c r="AQ293" i="5"/>
  <c r="AR205" i="2" s="1"/>
  <c r="AP293" i="5"/>
  <c r="AQ205" i="2" s="1"/>
  <c r="AO293" i="5"/>
  <c r="AP205" i="2" s="1"/>
  <c r="AN293" i="5"/>
  <c r="AO205" i="2" s="1"/>
  <c r="AM293" i="5"/>
  <c r="AN205" i="2" s="1"/>
  <c r="AD293" i="5"/>
  <c r="AE205" i="2" s="1"/>
  <c r="AK293" i="5"/>
  <c r="AL205" i="2" s="1"/>
  <c r="AJ293" i="5"/>
  <c r="AK205" i="2" s="1"/>
  <c r="AI293" i="5"/>
  <c r="AJ205" i="2" s="1"/>
  <c r="H293" i="5"/>
  <c r="I205" i="2" s="1"/>
  <c r="I293" i="5"/>
  <c r="J205" i="2" s="1"/>
  <c r="J293" i="5"/>
  <c r="K205" i="2" s="1"/>
  <c r="K293" i="5"/>
  <c r="L205" i="2" s="1"/>
  <c r="L293" i="5"/>
  <c r="M205" i="2" s="1"/>
  <c r="AC293" i="5"/>
  <c r="AD205" i="2" s="1"/>
  <c r="M82" i="5"/>
  <c r="N82" i="5" s="1"/>
  <c r="M28" i="3" s="1"/>
  <c r="AB293" i="5"/>
  <c r="AC205" i="2" s="1"/>
  <c r="AA293" i="5"/>
  <c r="AB205" i="2" s="1"/>
  <c r="Z293" i="5"/>
  <c r="AA205" i="2" s="1"/>
  <c r="E293" i="5"/>
  <c r="F205" i="2" s="1"/>
  <c r="F293" i="5"/>
  <c r="G205" i="2" s="1"/>
  <c r="Y293" i="5"/>
  <c r="Z205" i="2" s="1"/>
  <c r="X293" i="5"/>
  <c r="Y205" i="2" s="1"/>
  <c r="V293" i="5"/>
  <c r="W205" i="2" s="1"/>
  <c r="U293" i="5"/>
  <c r="S293" i="5"/>
  <c r="R293" i="5"/>
  <c r="S205" i="2" s="1"/>
  <c r="Q293" i="5"/>
  <c r="R205" i="2" s="1"/>
  <c r="P293" i="5"/>
  <c r="Q205" i="2" s="1"/>
  <c r="O293" i="5"/>
  <c r="P205" i="2" s="1"/>
  <c r="N293" i="5"/>
  <c r="O205" i="2" s="1"/>
  <c r="M293" i="5"/>
  <c r="N205" i="2" s="1"/>
  <c r="W293" i="5"/>
  <c r="X205" i="2" s="1"/>
  <c r="T293" i="5"/>
  <c r="G293" i="5"/>
  <c r="H205" i="2" s="1"/>
  <c r="AL293" i="5"/>
  <c r="AM205" i="2" s="1"/>
  <c r="L81" i="5"/>
  <c r="M81" i="5"/>
  <c r="N81" i="5" s="1"/>
  <c r="M40" i="3" s="1"/>
  <c r="BJ292" i="5"/>
  <c r="BK31" i="2" s="1"/>
  <c r="BI292" i="5"/>
  <c r="BJ31" i="2" s="1"/>
  <c r="BH292" i="5"/>
  <c r="BI31" i="2" s="1"/>
  <c r="BG292" i="5"/>
  <c r="BH31" i="2" s="1"/>
  <c r="BF292" i="5"/>
  <c r="BG31" i="2" s="1"/>
  <c r="BE292" i="5"/>
  <c r="BF31" i="2" s="1"/>
  <c r="BD292" i="5"/>
  <c r="BE31" i="2" s="1"/>
  <c r="BC292" i="5"/>
  <c r="BD31" i="2" s="1"/>
  <c r="BB292" i="5"/>
  <c r="BC31" i="2" s="1"/>
  <c r="BA292" i="5"/>
  <c r="BB31" i="2" s="1"/>
  <c r="AZ292" i="5"/>
  <c r="BA31" i="2" s="1"/>
  <c r="AY292" i="5"/>
  <c r="AZ31" i="2" s="1"/>
  <c r="AX292" i="5"/>
  <c r="AY31" i="2" s="1"/>
  <c r="AW292" i="5"/>
  <c r="AX31" i="2" s="1"/>
  <c r="AV292" i="5"/>
  <c r="AW31" i="2" s="1"/>
  <c r="AU292" i="5"/>
  <c r="AV31" i="2" s="1"/>
  <c r="AT292" i="5"/>
  <c r="AU31" i="2" s="1"/>
  <c r="AS292" i="5"/>
  <c r="AT31" i="2" s="1"/>
  <c r="G292" i="5"/>
  <c r="AR292" i="5"/>
  <c r="AS31" i="2" s="1"/>
  <c r="AQ292" i="5"/>
  <c r="AR31" i="2" s="1"/>
  <c r="AP292" i="5"/>
  <c r="AQ31" i="2" s="1"/>
  <c r="AO292" i="5"/>
  <c r="AP31" i="2" s="1"/>
  <c r="AN292" i="5"/>
  <c r="AO31" i="2" s="1"/>
  <c r="AM292" i="5"/>
  <c r="AN31" i="2" s="1"/>
  <c r="AL292" i="5"/>
  <c r="AM31" i="2" s="1"/>
  <c r="AK292" i="5"/>
  <c r="AL31" i="2" s="1"/>
  <c r="AJ292" i="5"/>
  <c r="AK31" i="2" s="1"/>
  <c r="L80" i="5"/>
  <c r="H291" i="5"/>
  <c r="G291" i="5"/>
  <c r="F291" i="5"/>
  <c r="E291" i="5"/>
  <c r="F181" i="2" s="1"/>
  <c r="D291" i="5"/>
  <c r="E181" i="2" s="1"/>
  <c r="C291" i="5"/>
  <c r="BJ291" i="5"/>
  <c r="BK181" i="2" s="1"/>
  <c r="BI291" i="5"/>
  <c r="BJ181" i="2" s="1"/>
  <c r="BH291" i="5"/>
  <c r="BI181" i="2" s="1"/>
  <c r="BF291" i="5"/>
  <c r="BG181" i="2" s="1"/>
  <c r="BE291" i="5"/>
  <c r="BF181" i="2" s="1"/>
  <c r="BD291" i="5"/>
  <c r="BE181" i="2" s="1"/>
  <c r="BG291" i="5"/>
  <c r="BH181" i="2" s="1"/>
  <c r="BC291" i="5"/>
  <c r="BD181" i="2" s="1"/>
  <c r="BB291" i="5"/>
  <c r="BC181" i="2" s="1"/>
  <c r="BA291" i="5"/>
  <c r="BB181" i="2" s="1"/>
  <c r="AZ291" i="5"/>
  <c r="BA181" i="2" s="1"/>
  <c r="AY291" i="5"/>
  <c r="AZ181" i="2" s="1"/>
  <c r="AX291" i="5"/>
  <c r="AY181" i="2" s="1"/>
  <c r="AW291" i="5"/>
  <c r="AX181" i="2" s="1"/>
  <c r="AV291" i="5"/>
  <c r="AW181" i="2" s="1"/>
  <c r="AU291" i="5"/>
  <c r="AV181" i="2" s="1"/>
  <c r="AT291" i="5"/>
  <c r="AU181" i="2" s="1"/>
  <c r="AS291" i="5"/>
  <c r="AT181" i="2" s="1"/>
  <c r="AR291" i="5"/>
  <c r="AS181" i="2" s="1"/>
  <c r="AQ291" i="5"/>
  <c r="AR181" i="2" s="1"/>
  <c r="AP291" i="5"/>
  <c r="AQ181" i="2" s="1"/>
  <c r="AO291" i="5"/>
  <c r="AP181" i="2" s="1"/>
  <c r="AN291" i="5"/>
  <c r="AO181" i="2" s="1"/>
  <c r="AM291" i="5"/>
  <c r="AN181" i="2" s="1"/>
  <c r="AL291" i="5"/>
  <c r="AM181" i="2" s="1"/>
  <c r="AK291" i="5"/>
  <c r="AL181" i="2" s="1"/>
  <c r="AJ291" i="5"/>
  <c r="AK181" i="2" s="1"/>
  <c r="AI291" i="5"/>
  <c r="AJ181" i="2" s="1"/>
  <c r="AH291" i="5"/>
  <c r="AI181" i="2" s="1"/>
  <c r="AG291" i="5"/>
  <c r="AH181" i="2" s="1"/>
  <c r="AF291" i="5"/>
  <c r="AG181" i="2" s="1"/>
  <c r="AE291" i="5"/>
  <c r="AF181" i="2" s="1"/>
  <c r="AD291" i="5"/>
  <c r="AE181" i="2" s="1"/>
  <c r="AC291" i="5"/>
  <c r="AD181" i="2" s="1"/>
  <c r="AB291" i="5"/>
  <c r="AC181" i="2" s="1"/>
  <c r="AA291" i="5"/>
  <c r="AB181" i="2" s="1"/>
  <c r="Z291" i="5"/>
  <c r="AA181" i="2" s="1"/>
  <c r="L79" i="5"/>
  <c r="C290" i="5"/>
  <c r="D290" i="5"/>
  <c r="E290" i="5"/>
  <c r="F290" i="5"/>
  <c r="G290" i="5"/>
  <c r="H290" i="5"/>
  <c r="I28" i="2" s="1"/>
  <c r="I290" i="5"/>
  <c r="J28" i="2" s="1"/>
  <c r="J290" i="5"/>
  <c r="K28" i="2" s="1"/>
  <c r="K290" i="5"/>
  <c r="L28" i="2" s="1"/>
  <c r="L290" i="5"/>
  <c r="M28" i="2" s="1"/>
  <c r="M290" i="5"/>
  <c r="N28" i="2" s="1"/>
  <c r="N290" i="5"/>
  <c r="O28" i="2" s="1"/>
  <c r="O290" i="5"/>
  <c r="P28" i="2" s="1"/>
  <c r="P290" i="5"/>
  <c r="Q28" i="2" s="1"/>
  <c r="Q290" i="5"/>
  <c r="R28" i="2" s="1"/>
  <c r="R290" i="5"/>
  <c r="S28" i="2" s="1"/>
  <c r="S290" i="5"/>
  <c r="T28" i="2" s="1"/>
  <c r="T290" i="5"/>
  <c r="U28" i="2" s="1"/>
  <c r="U290" i="5"/>
  <c r="V28" i="2" s="1"/>
  <c r="V290" i="5"/>
  <c r="W28" i="2" s="1"/>
  <c r="W290" i="5"/>
  <c r="X28" i="2" s="1"/>
  <c r="X290" i="5"/>
  <c r="Y28" i="2" s="1"/>
  <c r="Y290" i="5"/>
  <c r="Z28" i="2" s="1"/>
  <c r="Z290" i="5"/>
  <c r="AA28" i="2" s="1"/>
  <c r="AA290" i="5"/>
  <c r="AB28" i="2" s="1"/>
  <c r="AB290" i="5"/>
  <c r="AC28" i="2" s="1"/>
  <c r="AC290" i="5"/>
  <c r="AD28" i="2" s="1"/>
  <c r="AD290" i="5"/>
  <c r="AE28" i="2" s="1"/>
  <c r="AE290" i="5"/>
  <c r="AF28" i="2" s="1"/>
  <c r="AF290" i="5"/>
  <c r="AG28" i="2" s="1"/>
  <c r="AG290" i="5"/>
  <c r="AH28" i="2" s="1"/>
  <c r="AH290" i="5"/>
  <c r="AI28" i="2" s="1"/>
  <c r="AI290" i="5"/>
  <c r="AJ28" i="2" s="1"/>
  <c r="AJ290" i="5"/>
  <c r="AK28" i="2" s="1"/>
  <c r="AK290" i="5"/>
  <c r="AL28" i="2" s="1"/>
  <c r="AL290" i="5"/>
  <c r="AM28" i="2" s="1"/>
  <c r="AM290" i="5"/>
  <c r="AN28" i="2" s="1"/>
  <c r="L78" i="5"/>
  <c r="Y289" i="5"/>
  <c r="Z139" i="2" s="1"/>
  <c r="AT289" i="5"/>
  <c r="AU139" i="2" s="1"/>
  <c r="AS289" i="5"/>
  <c r="AT139" i="2" s="1"/>
  <c r="AR289" i="5"/>
  <c r="AS139" i="2" s="1"/>
  <c r="AQ289" i="5"/>
  <c r="AR139" i="2" s="1"/>
  <c r="AP289" i="5"/>
  <c r="AQ139" i="2" s="1"/>
  <c r="Z289" i="5"/>
  <c r="AA139" i="2" s="1"/>
  <c r="AZ289" i="5"/>
  <c r="BA139" i="2" s="1"/>
  <c r="AA289" i="5"/>
  <c r="AB139" i="2" s="1"/>
  <c r="AB289" i="5"/>
  <c r="AC139" i="2" s="1"/>
  <c r="AC289" i="5"/>
  <c r="AD139" i="2" s="1"/>
  <c r="AD289" i="5"/>
  <c r="AE139" i="2" s="1"/>
  <c r="AE289" i="5"/>
  <c r="AF139" i="2" s="1"/>
  <c r="AF289" i="5"/>
  <c r="AG139" i="2" s="1"/>
  <c r="AG289" i="5"/>
  <c r="AH139" i="2" s="1"/>
  <c r="L77" i="5"/>
  <c r="C288" i="5"/>
  <c r="M77" i="5"/>
  <c r="N77" i="5" s="1"/>
  <c r="M50" i="3" s="1"/>
  <c r="E288" i="5"/>
  <c r="F148" i="2" s="1"/>
  <c r="F288" i="5"/>
  <c r="G148" i="2" s="1"/>
  <c r="G288" i="5"/>
  <c r="H148" i="2" s="1"/>
  <c r="H288" i="5"/>
  <c r="I148" i="2" s="1"/>
  <c r="I288" i="5"/>
  <c r="J288" i="5"/>
  <c r="K148" i="2" s="1"/>
  <c r="K288" i="5"/>
  <c r="L288" i="5"/>
  <c r="M148" i="2" s="1"/>
  <c r="AP288" i="5"/>
  <c r="AQ148" i="2" s="1"/>
  <c r="AQ288" i="5"/>
  <c r="AR148" i="2" s="1"/>
  <c r="AN288" i="5"/>
  <c r="AO148" i="2" s="1"/>
  <c r="N288" i="5"/>
  <c r="AS288" i="5"/>
  <c r="AT148" i="2" s="1"/>
  <c r="AT288" i="5"/>
  <c r="AU148" i="2" s="1"/>
  <c r="O288" i="5"/>
  <c r="P288" i="5"/>
  <c r="Q288" i="5"/>
  <c r="R148" i="2" s="1"/>
  <c r="R288" i="5"/>
  <c r="S148" i="2" s="1"/>
  <c r="S288" i="5"/>
  <c r="T148" i="2" s="1"/>
  <c r="T288" i="5"/>
  <c r="U148" i="2" s="1"/>
  <c r="U288" i="5"/>
  <c r="V148" i="2" s="1"/>
  <c r="V288" i="5"/>
  <c r="W148" i="2" s="1"/>
  <c r="W288" i="5"/>
  <c r="X148" i="2" s="1"/>
  <c r="X288" i="5"/>
  <c r="Y148" i="2" s="1"/>
  <c r="Y288" i="5"/>
  <c r="Z148" i="2" s="1"/>
  <c r="Z288" i="5"/>
  <c r="AA148" i="2" s="1"/>
  <c r="M288" i="5"/>
  <c r="AA288" i="5"/>
  <c r="AB148" i="2" s="1"/>
  <c r="AB288" i="5"/>
  <c r="AC148" i="2" s="1"/>
  <c r="AC288" i="5"/>
  <c r="AD148" i="2" s="1"/>
  <c r="AD288" i="5"/>
  <c r="AE148" i="2" s="1"/>
  <c r="AE288" i="5"/>
  <c r="AF148" i="2" s="1"/>
  <c r="AF288" i="5"/>
  <c r="AG148" i="2" s="1"/>
  <c r="AG288" i="5"/>
  <c r="AH148" i="2" s="1"/>
  <c r="AH288" i="5"/>
  <c r="AI148" i="2" s="1"/>
  <c r="AI288" i="5"/>
  <c r="AJ148" i="2" s="1"/>
  <c r="AJ288" i="5"/>
  <c r="AK148" i="2" s="1"/>
  <c r="AK288" i="5"/>
  <c r="AL148" i="2" s="1"/>
  <c r="AL288" i="5"/>
  <c r="AM148" i="2" s="1"/>
  <c r="AM288" i="5"/>
  <c r="AN148" i="2" s="1"/>
  <c r="AO288" i="5"/>
  <c r="AP148" i="2" s="1"/>
  <c r="AR288" i="5"/>
  <c r="AS148" i="2" s="1"/>
  <c r="L76" i="5"/>
  <c r="BH287" i="5"/>
  <c r="BI109" i="2" s="1"/>
  <c r="BG287" i="5"/>
  <c r="BH109" i="2" s="1"/>
  <c r="BF287" i="5"/>
  <c r="BG109" i="2" s="1"/>
  <c r="BE287" i="5"/>
  <c r="BF109" i="2" s="1"/>
  <c r="BD287" i="5"/>
  <c r="BE109" i="2" s="1"/>
  <c r="BC287" i="5"/>
  <c r="BD109" i="2" s="1"/>
  <c r="BB287" i="5"/>
  <c r="BC109" i="2" s="1"/>
  <c r="BA287" i="5"/>
  <c r="BB109" i="2" s="1"/>
  <c r="AZ287" i="5"/>
  <c r="BA109" i="2" s="1"/>
  <c r="AY287" i="5"/>
  <c r="AZ109" i="2" s="1"/>
  <c r="AX287" i="5"/>
  <c r="AY109" i="2" s="1"/>
  <c r="AW287" i="5"/>
  <c r="AX109" i="2" s="1"/>
  <c r="AV287" i="5"/>
  <c r="AW109" i="2" s="1"/>
  <c r="AU287" i="5"/>
  <c r="AV109" i="2" s="1"/>
  <c r="AT287" i="5"/>
  <c r="AU109" i="2" s="1"/>
  <c r="AS287" i="5"/>
  <c r="AT109" i="2" s="1"/>
  <c r="AR287" i="5"/>
  <c r="AS109" i="2" s="1"/>
  <c r="AP287" i="5"/>
  <c r="AQ109" i="2" s="1"/>
  <c r="AO287" i="5"/>
  <c r="AP109" i="2" s="1"/>
  <c r="AN287" i="5"/>
  <c r="AO109" i="2" s="1"/>
  <c r="AM287" i="5"/>
  <c r="AN109" i="2" s="1"/>
  <c r="AL287" i="5"/>
  <c r="AM109" i="2" s="1"/>
  <c r="AK287" i="5"/>
  <c r="AL109" i="2" s="1"/>
  <c r="AJ287" i="5"/>
  <c r="AK109" i="2" s="1"/>
  <c r="AI287" i="5"/>
  <c r="AJ109" i="2" s="1"/>
  <c r="AH287" i="5"/>
  <c r="AI109" i="2" s="1"/>
  <c r="AG287" i="5"/>
  <c r="AH109" i="2" s="1"/>
  <c r="AF287" i="5"/>
  <c r="AG109" i="2" s="1"/>
  <c r="AE287" i="5"/>
  <c r="AF109" i="2" s="1"/>
  <c r="AD287" i="5"/>
  <c r="AE109" i="2" s="1"/>
  <c r="AC287" i="5"/>
  <c r="AD109" i="2" s="1"/>
  <c r="AB287" i="5"/>
  <c r="AC109" i="2" s="1"/>
  <c r="AA287" i="5"/>
  <c r="AB109" i="2" s="1"/>
  <c r="Z287" i="5"/>
  <c r="AA109" i="2" s="1"/>
  <c r="Y287" i="5"/>
  <c r="Z109" i="2" s="1"/>
  <c r="W287" i="5"/>
  <c r="X109" i="2" s="1"/>
  <c r="V287" i="5"/>
  <c r="W109" i="2" s="1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AQ287" i="5"/>
  <c r="AR109" i="2" s="1"/>
  <c r="L75" i="5"/>
  <c r="BI286" i="5"/>
  <c r="BJ97" i="2" s="1"/>
  <c r="L74" i="5"/>
  <c r="AK285" i="5" s="1"/>
  <c r="AL25" i="2" s="1"/>
  <c r="W285" i="5"/>
  <c r="X25" i="2" s="1"/>
  <c r="H285" i="5"/>
  <c r="AN285" i="5"/>
  <c r="AO25" i="2" s="1"/>
  <c r="G285" i="5"/>
  <c r="F285" i="5"/>
  <c r="E285" i="5"/>
  <c r="D285" i="5"/>
  <c r="C285" i="5"/>
  <c r="K285" i="5"/>
  <c r="L73" i="5"/>
  <c r="AZ284" i="5"/>
  <c r="BA295" i="2" s="1"/>
  <c r="BA284" i="5"/>
  <c r="BB295" i="2" s="1"/>
  <c r="BB284" i="5"/>
  <c r="BC295" i="2" s="1"/>
  <c r="BC284" i="5"/>
  <c r="BD295" i="2" s="1"/>
  <c r="BD284" i="5"/>
  <c r="BE295" i="2" s="1"/>
  <c r="BE284" i="5"/>
  <c r="BF295" i="2" s="1"/>
  <c r="BF284" i="5"/>
  <c r="BG295" i="2" s="1"/>
  <c r="BG284" i="5"/>
  <c r="BH295" i="2" s="1"/>
  <c r="BJ284" i="5"/>
  <c r="BK295" i="2" s="1"/>
  <c r="BI284" i="5"/>
  <c r="BJ295" i="2" s="1"/>
  <c r="S284" i="5"/>
  <c r="T295" i="2" s="1"/>
  <c r="R284" i="5"/>
  <c r="S295" i="2" s="1"/>
  <c r="Q284" i="5"/>
  <c r="R295" i="2" s="1"/>
  <c r="P284" i="5"/>
  <c r="Q295" i="2" s="1"/>
  <c r="O284" i="5"/>
  <c r="P295" i="2" s="1"/>
  <c r="N284" i="5"/>
  <c r="O295" i="2" s="1"/>
  <c r="M284" i="5"/>
  <c r="L284" i="5"/>
  <c r="K284" i="5"/>
  <c r="J284" i="5"/>
  <c r="K295" i="2" s="1"/>
  <c r="I284" i="5"/>
  <c r="J295" i="2" s="1"/>
  <c r="H284" i="5"/>
  <c r="I295" i="2" s="1"/>
  <c r="G284" i="5"/>
  <c r="H295" i="2" s="1"/>
  <c r="F284" i="5"/>
  <c r="G295" i="2" s="1"/>
  <c r="E284" i="5"/>
  <c r="F295" i="2" s="1"/>
  <c r="D284" i="5"/>
  <c r="E295" i="2" s="1"/>
  <c r="C284" i="5"/>
  <c r="L72" i="5"/>
  <c r="BJ283" i="5"/>
  <c r="BK262" i="2" s="1"/>
  <c r="BI283" i="5"/>
  <c r="BJ262" i="2" s="1"/>
  <c r="BH283" i="5"/>
  <c r="BI262" i="2" s="1"/>
  <c r="BF283" i="5"/>
  <c r="BG262" i="2" s="1"/>
  <c r="BE283" i="5"/>
  <c r="BF262" i="2" s="1"/>
  <c r="BD283" i="5"/>
  <c r="BE262" i="2" s="1"/>
  <c r="BC283" i="5"/>
  <c r="BD262" i="2" s="1"/>
  <c r="BB283" i="5"/>
  <c r="BC262" i="2" s="1"/>
  <c r="BA283" i="5"/>
  <c r="BB262" i="2" s="1"/>
  <c r="AZ283" i="5"/>
  <c r="BA262" i="2" s="1"/>
  <c r="AY283" i="5"/>
  <c r="AZ262" i="2" s="1"/>
  <c r="AX283" i="5"/>
  <c r="AY262" i="2" s="1"/>
  <c r="AW283" i="5"/>
  <c r="AX262" i="2" s="1"/>
  <c r="AV283" i="5"/>
  <c r="AW262" i="2" s="1"/>
  <c r="AU283" i="5"/>
  <c r="AV262" i="2" s="1"/>
  <c r="AT283" i="5"/>
  <c r="AU262" i="2" s="1"/>
  <c r="AS283" i="5"/>
  <c r="AT262" i="2" s="1"/>
  <c r="AR283" i="5"/>
  <c r="AS262" i="2" s="1"/>
  <c r="AQ283" i="5"/>
  <c r="AR262" i="2" s="1"/>
  <c r="AP283" i="5"/>
  <c r="AQ262" i="2" s="1"/>
  <c r="AO283" i="5"/>
  <c r="AP262" i="2" s="1"/>
  <c r="AN283" i="5"/>
  <c r="AO262" i="2" s="1"/>
  <c r="AM283" i="5"/>
  <c r="AN262" i="2" s="1"/>
  <c r="AL283" i="5"/>
  <c r="AM262" i="2" s="1"/>
  <c r="AK283" i="5"/>
  <c r="AL262" i="2" s="1"/>
  <c r="AJ283" i="5"/>
  <c r="AK262" i="2" s="1"/>
  <c r="AI283" i="5"/>
  <c r="AJ262" i="2" s="1"/>
  <c r="AH283" i="5"/>
  <c r="AI262" i="2" s="1"/>
  <c r="AG283" i="5"/>
  <c r="AH262" i="2" s="1"/>
  <c r="AF283" i="5"/>
  <c r="AG262" i="2" s="1"/>
  <c r="AE283" i="5"/>
  <c r="AF262" i="2" s="1"/>
  <c r="AD283" i="5"/>
  <c r="AE262" i="2" s="1"/>
  <c r="AC283" i="5"/>
  <c r="AD262" i="2" s="1"/>
  <c r="AB283" i="5"/>
  <c r="AC262" i="2" s="1"/>
  <c r="AA283" i="5"/>
  <c r="AB262" i="2" s="1"/>
  <c r="Z283" i="5"/>
  <c r="AA262" i="2" s="1"/>
  <c r="Y283" i="5"/>
  <c r="Z262" i="2" s="1"/>
  <c r="X283" i="5"/>
  <c r="Y262" i="2" s="1"/>
  <c r="W283" i="5"/>
  <c r="X262" i="2" s="1"/>
  <c r="V283" i="5"/>
  <c r="W262" i="2" s="1"/>
  <c r="U283" i="5"/>
  <c r="V262" i="2" s="1"/>
  <c r="T283" i="5"/>
  <c r="U262" i="2" s="1"/>
  <c r="S283" i="5"/>
  <c r="T262" i="2" s="1"/>
  <c r="R283" i="5"/>
  <c r="S262" i="2" s="1"/>
  <c r="Q283" i="5"/>
  <c r="R262" i="2" s="1"/>
  <c r="P283" i="5"/>
  <c r="Q262" i="2" s="1"/>
  <c r="O283" i="5"/>
  <c r="P262" i="2" s="1"/>
  <c r="N283" i="5"/>
  <c r="O262" i="2" s="1"/>
  <c r="M283" i="5"/>
  <c r="N262" i="2" s="1"/>
  <c r="L283" i="5"/>
  <c r="K283" i="5"/>
  <c r="J283" i="5"/>
  <c r="I283" i="5"/>
  <c r="J262" i="2" s="1"/>
  <c r="H283" i="5"/>
  <c r="I262" i="2" s="1"/>
  <c r="G283" i="5"/>
  <c r="H262" i="2" s="1"/>
  <c r="F283" i="5"/>
  <c r="G262" i="2" s="1"/>
  <c r="E283" i="5"/>
  <c r="F262" i="2" s="1"/>
  <c r="L71" i="5"/>
  <c r="M71" i="5"/>
  <c r="N71" i="5" s="1"/>
  <c r="M87" i="3" s="1"/>
  <c r="O282" i="5"/>
  <c r="P256" i="2" s="1"/>
  <c r="C282" i="5"/>
  <c r="D282" i="5"/>
  <c r="E256" i="2" s="1"/>
  <c r="E282" i="5"/>
  <c r="F256" i="2" s="1"/>
  <c r="F282" i="5"/>
  <c r="G256" i="2" s="1"/>
  <c r="G282" i="5"/>
  <c r="H282" i="5"/>
  <c r="I282" i="5"/>
  <c r="J282" i="5"/>
  <c r="K256" i="2" s="1"/>
  <c r="K282" i="5"/>
  <c r="L256" i="2" s="1"/>
  <c r="L282" i="5"/>
  <c r="M256" i="2" s="1"/>
  <c r="M282" i="5"/>
  <c r="N256" i="2" s="1"/>
  <c r="L70" i="5"/>
  <c r="BH281" i="5"/>
  <c r="BI58" i="2" s="1"/>
  <c r="BG281" i="5"/>
  <c r="BH58" i="2" s="1"/>
  <c r="BF281" i="5"/>
  <c r="BG58" i="2" s="1"/>
  <c r="BE281" i="5"/>
  <c r="BF58" i="2" s="1"/>
  <c r="BD281" i="5"/>
  <c r="BE58" i="2" s="1"/>
  <c r="BC281" i="5"/>
  <c r="BD58" i="2" s="1"/>
  <c r="C281" i="5"/>
  <c r="BB281" i="5"/>
  <c r="BC58" i="2" s="1"/>
  <c r="M70" i="5"/>
  <c r="N70" i="5" s="1"/>
  <c r="M15" i="3" s="1"/>
  <c r="BJ281" i="5"/>
  <c r="BK58" i="2" s="1"/>
  <c r="BI281" i="5"/>
  <c r="BJ58" i="2" s="1"/>
  <c r="AZ281" i="5"/>
  <c r="BA58" i="2" s="1"/>
  <c r="AY281" i="5"/>
  <c r="AZ58" i="2" s="1"/>
  <c r="L69" i="5"/>
  <c r="D280" i="5"/>
  <c r="E277" i="2" s="1"/>
  <c r="M69" i="5"/>
  <c r="N69" i="5" s="1"/>
  <c r="M62" i="3" s="1"/>
  <c r="C280" i="5"/>
  <c r="AJ280" i="5"/>
  <c r="AK277" i="2" s="1"/>
  <c r="BJ280" i="5"/>
  <c r="BK277" i="2" s="1"/>
  <c r="BI280" i="5"/>
  <c r="BJ277" i="2" s="1"/>
  <c r="BH280" i="5"/>
  <c r="BI277" i="2" s="1"/>
  <c r="BG280" i="5"/>
  <c r="BH277" i="2" s="1"/>
  <c r="BF280" i="5"/>
  <c r="BG277" i="2" s="1"/>
  <c r="BE280" i="5"/>
  <c r="BF277" i="2" s="1"/>
  <c r="BD280" i="5"/>
  <c r="BE277" i="2" s="1"/>
  <c r="BC280" i="5"/>
  <c r="BD277" i="2" s="1"/>
  <c r="BB280" i="5"/>
  <c r="BC277" i="2" s="1"/>
  <c r="BA280" i="5"/>
  <c r="BB277" i="2" s="1"/>
  <c r="AZ280" i="5"/>
  <c r="BA277" i="2" s="1"/>
  <c r="L68" i="5"/>
  <c r="M68" i="5"/>
  <c r="N68" i="5" s="1"/>
  <c r="M96" i="3" s="1"/>
  <c r="I279" i="5"/>
  <c r="J208" i="2" s="1"/>
  <c r="K279" i="5"/>
  <c r="L208" i="2" s="1"/>
  <c r="L279" i="5"/>
  <c r="M208" i="2" s="1"/>
  <c r="M279" i="5"/>
  <c r="N208" i="2" s="1"/>
  <c r="N279" i="5"/>
  <c r="O208" i="2" s="1"/>
  <c r="O279" i="5"/>
  <c r="P208" i="2" s="1"/>
  <c r="C279" i="5"/>
  <c r="D279" i="5"/>
  <c r="E279" i="5"/>
  <c r="F279" i="5"/>
  <c r="G279" i="5"/>
  <c r="H279" i="5"/>
  <c r="I208" i="2" s="1"/>
  <c r="L67" i="5"/>
  <c r="P278" i="5"/>
  <c r="Q154" i="2" s="1"/>
  <c r="AL278" i="5"/>
  <c r="AM154" i="2" s="1"/>
  <c r="AV278" i="5"/>
  <c r="AW154" i="2" s="1"/>
  <c r="C278" i="5"/>
  <c r="D278" i="5"/>
  <c r="E154" i="2" s="1"/>
  <c r="E278" i="5"/>
  <c r="F154" i="2" s="1"/>
  <c r="F278" i="5"/>
  <c r="G154" i="2" s="1"/>
  <c r="G278" i="5"/>
  <c r="H154" i="2" s="1"/>
  <c r="H278" i="5"/>
  <c r="I154" i="2" s="1"/>
  <c r="I278" i="5"/>
  <c r="J278" i="5"/>
  <c r="K154" i="2" s="1"/>
  <c r="K278" i="5"/>
  <c r="L278" i="5"/>
  <c r="M278" i="5"/>
  <c r="N154" i="2" s="1"/>
  <c r="N278" i="5"/>
  <c r="O154" i="2" s="1"/>
  <c r="O278" i="5"/>
  <c r="P154" i="2" s="1"/>
  <c r="Q278" i="5"/>
  <c r="R154" i="2" s="1"/>
  <c r="R278" i="5"/>
  <c r="S154" i="2" s="1"/>
  <c r="S278" i="5"/>
  <c r="T154" i="2" s="1"/>
  <c r="T278" i="5"/>
  <c r="U154" i="2" s="1"/>
  <c r="U278" i="5"/>
  <c r="V154" i="2" s="1"/>
  <c r="V278" i="5"/>
  <c r="W154" i="2" s="1"/>
  <c r="W278" i="5"/>
  <c r="X154" i="2" s="1"/>
  <c r="X278" i="5"/>
  <c r="Y154" i="2" s="1"/>
  <c r="Y278" i="5"/>
  <c r="Z154" i="2" s="1"/>
  <c r="Z278" i="5"/>
  <c r="AA154" i="2" s="1"/>
  <c r="AA278" i="5"/>
  <c r="AB154" i="2" s="1"/>
  <c r="AB278" i="5"/>
  <c r="AC154" i="2" s="1"/>
  <c r="AC278" i="5"/>
  <c r="AD154" i="2" s="1"/>
  <c r="AD278" i="5"/>
  <c r="AE154" i="2" s="1"/>
  <c r="AE278" i="5"/>
  <c r="AF154" i="2" s="1"/>
  <c r="AF278" i="5"/>
  <c r="AG154" i="2" s="1"/>
  <c r="AG278" i="5"/>
  <c r="AH154" i="2" s="1"/>
  <c r="AH278" i="5"/>
  <c r="AI154" i="2" s="1"/>
  <c r="AI278" i="5"/>
  <c r="AJ154" i="2" s="1"/>
  <c r="AJ278" i="5"/>
  <c r="AK154" i="2" s="1"/>
  <c r="AK278" i="5"/>
  <c r="AL154" i="2" s="1"/>
  <c r="AM278" i="5"/>
  <c r="AN154" i="2" s="1"/>
  <c r="AN278" i="5"/>
  <c r="AO154" i="2" s="1"/>
  <c r="AO278" i="5"/>
  <c r="AP154" i="2" s="1"/>
  <c r="AP278" i="5"/>
  <c r="AQ154" i="2" s="1"/>
  <c r="AQ278" i="5"/>
  <c r="AR154" i="2" s="1"/>
  <c r="AR278" i="5"/>
  <c r="AS154" i="2" s="1"/>
  <c r="AS278" i="5"/>
  <c r="AT154" i="2" s="1"/>
  <c r="AT278" i="5"/>
  <c r="AU154" i="2" s="1"/>
  <c r="AU278" i="5"/>
  <c r="AV154" i="2" s="1"/>
  <c r="AW278" i="5"/>
  <c r="AX154" i="2" s="1"/>
  <c r="AX278" i="5"/>
  <c r="AY154" i="2" s="1"/>
  <c r="AY278" i="5"/>
  <c r="AZ154" i="2" s="1"/>
  <c r="AZ278" i="5"/>
  <c r="BA154" i="2" s="1"/>
  <c r="BA278" i="5"/>
  <c r="BB154" i="2" s="1"/>
  <c r="BB278" i="5"/>
  <c r="BC154" i="2" s="1"/>
  <c r="BC278" i="5"/>
  <c r="BD154" i="2" s="1"/>
  <c r="BD278" i="5"/>
  <c r="BE154" i="2" s="1"/>
  <c r="BE278" i="5"/>
  <c r="BF154" i="2" s="1"/>
  <c r="BF278" i="5"/>
  <c r="BG154" i="2" s="1"/>
  <c r="BG278" i="5"/>
  <c r="BH154" i="2" s="1"/>
  <c r="BH278" i="5"/>
  <c r="BI154" i="2" s="1"/>
  <c r="BI278" i="5"/>
  <c r="BJ154" i="2" s="1"/>
  <c r="BJ278" i="5"/>
  <c r="BK154" i="2" s="1"/>
  <c r="L66" i="5"/>
  <c r="P277" i="5"/>
  <c r="Q112" i="2" s="1"/>
  <c r="O277" i="5"/>
  <c r="P112" i="2" s="1"/>
  <c r="N277" i="5"/>
  <c r="O112" i="2" s="1"/>
  <c r="BG277" i="5"/>
  <c r="BH112" i="2" s="1"/>
  <c r="L277" i="5"/>
  <c r="M112" i="2" s="1"/>
  <c r="K277" i="5"/>
  <c r="L112" i="2" s="1"/>
  <c r="C277" i="5"/>
  <c r="D277" i="5"/>
  <c r="E277" i="5"/>
  <c r="F277" i="5"/>
  <c r="G112" i="2" s="1"/>
  <c r="G277" i="5"/>
  <c r="H112" i="2" s="1"/>
  <c r="H277" i="5"/>
  <c r="I112" i="2" s="1"/>
  <c r="J277" i="5"/>
  <c r="K112" i="2" s="1"/>
  <c r="I277" i="5"/>
  <c r="J112" i="2" s="1"/>
  <c r="BF277" i="5"/>
  <c r="BG112" i="2" s="1"/>
  <c r="BE277" i="5"/>
  <c r="BF112" i="2" s="1"/>
  <c r="BD277" i="5"/>
  <c r="BE112" i="2" s="1"/>
  <c r="BC277" i="5"/>
  <c r="BD112" i="2" s="1"/>
  <c r="BB277" i="5"/>
  <c r="BC112" i="2" s="1"/>
  <c r="BA277" i="5"/>
  <c r="BB112" i="2" s="1"/>
  <c r="AZ277" i="5"/>
  <c r="BA112" i="2" s="1"/>
  <c r="AY277" i="5"/>
  <c r="AZ112" i="2" s="1"/>
  <c r="AX277" i="5"/>
  <c r="AY112" i="2" s="1"/>
  <c r="AW277" i="5"/>
  <c r="AX112" i="2" s="1"/>
  <c r="AV277" i="5"/>
  <c r="AW112" i="2" s="1"/>
  <c r="AU277" i="5"/>
  <c r="AV112" i="2" s="1"/>
  <c r="AT277" i="5"/>
  <c r="AU112" i="2" s="1"/>
  <c r="AS277" i="5"/>
  <c r="AT112" i="2" s="1"/>
  <c r="AR277" i="5"/>
  <c r="AS112" i="2" s="1"/>
  <c r="AQ277" i="5"/>
  <c r="AR112" i="2" s="1"/>
  <c r="AP277" i="5"/>
  <c r="AQ112" i="2" s="1"/>
  <c r="AK277" i="5"/>
  <c r="AL112" i="2" s="1"/>
  <c r="AO277" i="5"/>
  <c r="AP112" i="2" s="1"/>
  <c r="AN277" i="5"/>
  <c r="AO112" i="2" s="1"/>
  <c r="AM277" i="5"/>
  <c r="AN112" i="2" s="1"/>
  <c r="AL277" i="5"/>
  <c r="AM112" i="2" s="1"/>
  <c r="AI277" i="5"/>
  <c r="AJ112" i="2" s="1"/>
  <c r="AH277" i="5"/>
  <c r="AI112" i="2" s="1"/>
  <c r="AG277" i="5"/>
  <c r="AH112" i="2" s="1"/>
  <c r="AF277" i="5"/>
  <c r="AG112" i="2" s="1"/>
  <c r="AE277" i="5"/>
  <c r="AF112" i="2" s="1"/>
  <c r="AD277" i="5"/>
  <c r="AE112" i="2" s="1"/>
  <c r="AC277" i="5"/>
  <c r="AD112" i="2" s="1"/>
  <c r="AB277" i="5"/>
  <c r="AC112" i="2" s="1"/>
  <c r="AA277" i="5"/>
  <c r="AB112" i="2" s="1"/>
  <c r="Z277" i="5"/>
  <c r="AA112" i="2" s="1"/>
  <c r="Y277" i="5"/>
  <c r="Z112" i="2" s="1"/>
  <c r="X277" i="5"/>
  <c r="Y112" i="2" s="1"/>
  <c r="W277" i="5"/>
  <c r="X112" i="2" s="1"/>
  <c r="AJ277" i="5"/>
  <c r="AK112" i="2" s="1"/>
  <c r="L65" i="5"/>
  <c r="BD276" i="5"/>
  <c r="BE115" i="2" s="1"/>
  <c r="BE276" i="5"/>
  <c r="BF115" i="2" s="1"/>
  <c r="BF276" i="5"/>
  <c r="BG115" i="2" s="1"/>
  <c r="BG276" i="5"/>
  <c r="BH115" i="2" s="1"/>
  <c r="BH276" i="5"/>
  <c r="BI115" i="2" s="1"/>
  <c r="BI276" i="5"/>
  <c r="BJ115" i="2" s="1"/>
  <c r="BJ276" i="5"/>
  <c r="BK115" i="2" s="1"/>
  <c r="BB276" i="5"/>
  <c r="BC115" i="2" s="1"/>
  <c r="BA276" i="5"/>
  <c r="BB115" i="2" s="1"/>
  <c r="AZ276" i="5"/>
  <c r="BA115" i="2" s="1"/>
  <c r="AY276" i="5"/>
  <c r="AZ115" i="2" s="1"/>
  <c r="AX276" i="5"/>
  <c r="AY115" i="2" s="1"/>
  <c r="AW276" i="5"/>
  <c r="AX115" i="2" s="1"/>
  <c r="AV276" i="5"/>
  <c r="AW115" i="2" s="1"/>
  <c r="AT276" i="5"/>
  <c r="AU115" i="2" s="1"/>
  <c r="AS276" i="5"/>
  <c r="AT115" i="2" s="1"/>
  <c r="AR276" i="5"/>
  <c r="AS115" i="2" s="1"/>
  <c r="AQ276" i="5"/>
  <c r="AR115" i="2" s="1"/>
  <c r="AP276" i="5"/>
  <c r="AQ115" i="2" s="1"/>
  <c r="AO276" i="5"/>
  <c r="AP115" i="2" s="1"/>
  <c r="AN276" i="5"/>
  <c r="AO115" i="2" s="1"/>
  <c r="AM276" i="5"/>
  <c r="AN115" i="2" s="1"/>
  <c r="AL276" i="5"/>
  <c r="AM115" i="2" s="1"/>
  <c r="AK276" i="5"/>
  <c r="AL115" i="2" s="1"/>
  <c r="L64" i="5"/>
  <c r="M64" i="5"/>
  <c r="N64" i="5" s="1"/>
  <c r="M9" i="3" s="1"/>
  <c r="C275" i="5"/>
  <c r="L275" i="5"/>
  <c r="M76" i="2" s="1"/>
  <c r="K275" i="5"/>
  <c r="L76" i="2" s="1"/>
  <c r="O275" i="5"/>
  <c r="P76" i="2" s="1"/>
  <c r="P275" i="5"/>
  <c r="Q76" i="2" s="1"/>
  <c r="J275" i="5"/>
  <c r="K76" i="2" s="1"/>
  <c r="I275" i="5"/>
  <c r="J76" i="2" s="1"/>
  <c r="H275" i="5"/>
  <c r="I76" i="2" s="1"/>
  <c r="G275" i="5"/>
  <c r="H76" i="2" s="1"/>
  <c r="F275" i="5"/>
  <c r="G76" i="2" s="1"/>
  <c r="E275" i="5"/>
  <c r="F76" i="2" s="1"/>
  <c r="Q275" i="5"/>
  <c r="R76" i="2" s="1"/>
  <c r="L63" i="5"/>
  <c r="BG274" i="5"/>
  <c r="BH133" i="2" s="1"/>
  <c r="BF274" i="5"/>
  <c r="BG133" i="2" s="1"/>
  <c r="BE274" i="5"/>
  <c r="BF133" i="2" s="1"/>
  <c r="BD274" i="5"/>
  <c r="BE133" i="2" s="1"/>
  <c r="BC274" i="5"/>
  <c r="BD133" i="2" s="1"/>
  <c r="BB274" i="5"/>
  <c r="BC133" i="2" s="1"/>
  <c r="BA274" i="5"/>
  <c r="BB133" i="2" s="1"/>
  <c r="AZ274" i="5"/>
  <c r="BA133" i="2" s="1"/>
  <c r="AY274" i="5"/>
  <c r="AZ133" i="2" s="1"/>
  <c r="AX274" i="5"/>
  <c r="AY133" i="2" s="1"/>
  <c r="AW274" i="5"/>
  <c r="AX133" i="2" s="1"/>
  <c r="AV274" i="5"/>
  <c r="AW133" i="2" s="1"/>
  <c r="AU274" i="5"/>
  <c r="AV133" i="2" s="1"/>
  <c r="AT274" i="5"/>
  <c r="AU133" i="2" s="1"/>
  <c r="AS274" i="5"/>
  <c r="AT133" i="2" s="1"/>
  <c r="AR274" i="5"/>
  <c r="AS133" i="2" s="1"/>
  <c r="AQ274" i="5"/>
  <c r="AR133" i="2" s="1"/>
  <c r="AP274" i="5"/>
  <c r="AQ133" i="2" s="1"/>
  <c r="AO274" i="5"/>
  <c r="AP133" i="2" s="1"/>
  <c r="AN274" i="5"/>
  <c r="AO133" i="2" s="1"/>
  <c r="AM274" i="5"/>
  <c r="AN133" i="2" s="1"/>
  <c r="AL274" i="5"/>
  <c r="AM133" i="2" s="1"/>
  <c r="AK274" i="5"/>
  <c r="AL133" i="2" s="1"/>
  <c r="AJ274" i="5"/>
  <c r="AK133" i="2" s="1"/>
  <c r="AI274" i="5"/>
  <c r="AJ133" i="2" s="1"/>
  <c r="AH274" i="5"/>
  <c r="AI133" i="2" s="1"/>
  <c r="AG274" i="5"/>
  <c r="AH133" i="2" s="1"/>
  <c r="AF274" i="5"/>
  <c r="AG133" i="2" s="1"/>
  <c r="AE274" i="5"/>
  <c r="AF133" i="2" s="1"/>
  <c r="AD274" i="5"/>
  <c r="AE133" i="2" s="1"/>
  <c r="F339" i="5"/>
  <c r="F340" i="5" s="1"/>
  <c r="J339" i="5"/>
  <c r="J340" i="5" s="1"/>
  <c r="O339" i="5"/>
  <c r="O340" i="5" s="1"/>
  <c r="R339" i="5"/>
  <c r="R340" i="5" s="1"/>
  <c r="W339" i="5"/>
  <c r="W340" i="5" s="1"/>
  <c r="AA339" i="5"/>
  <c r="AA340" i="5" s="1"/>
  <c r="AD339" i="5"/>
  <c r="AD340" i="5" s="1"/>
  <c r="AK339" i="5"/>
  <c r="AK340" i="5" s="1"/>
  <c r="AP339" i="5"/>
  <c r="AP340" i="5" s="1"/>
  <c r="AT339" i="5"/>
  <c r="AT340" i="5" s="1"/>
  <c r="AW339" i="5"/>
  <c r="AW340" i="5" s="1"/>
  <c r="AZ339" i="5"/>
  <c r="AZ340" i="5" s="1"/>
  <c r="BC339" i="5"/>
  <c r="BC340" i="5" s="1"/>
  <c r="BH339" i="5"/>
  <c r="BH340" i="5" s="1"/>
  <c r="E343" i="5"/>
  <c r="H343" i="5"/>
  <c r="J343" i="5"/>
  <c r="M343" i="5"/>
  <c r="O343" i="5"/>
  <c r="Q343" i="5"/>
  <c r="T343" i="5"/>
  <c r="X343" i="5"/>
  <c r="AC343" i="5"/>
  <c r="AE343" i="5"/>
  <c r="AG343" i="5"/>
  <c r="AJ343" i="5"/>
  <c r="AQ343" i="5"/>
  <c r="AU343" i="5"/>
  <c r="AX343" i="5"/>
  <c r="BB343" i="5"/>
  <c r="BH343" i="5"/>
  <c r="D345" i="5"/>
  <c r="G345" i="5"/>
  <c r="J345" i="5"/>
  <c r="M345" i="5"/>
  <c r="N345" i="5"/>
  <c r="R345" i="5"/>
  <c r="W345" i="5"/>
  <c r="Z345" i="5"/>
  <c r="AF345" i="5"/>
  <c r="AL345" i="5"/>
  <c r="AY345" i="5"/>
  <c r="BD345" i="5"/>
  <c r="BJ345" i="5"/>
  <c r="D339" i="5"/>
  <c r="D340" i="5" s="1"/>
  <c r="G339" i="5"/>
  <c r="G340" i="5" s="1"/>
  <c r="L339" i="5"/>
  <c r="L340" i="5" s="1"/>
  <c r="N339" i="5"/>
  <c r="N340" i="5" s="1"/>
  <c r="Q339" i="5"/>
  <c r="Q340" i="5" s="1"/>
  <c r="T339" i="5"/>
  <c r="T340" i="5" s="1"/>
  <c r="Y339" i="5"/>
  <c r="Y340" i="5" s="1"/>
  <c r="AB339" i="5"/>
  <c r="AB340" i="5" s="1"/>
  <c r="AH339" i="5"/>
  <c r="AH340" i="5" s="1"/>
  <c r="AM339" i="5"/>
  <c r="AM340" i="5" s="1"/>
  <c r="AO339" i="5"/>
  <c r="AO340" i="5" s="1"/>
  <c r="AQ339" i="5"/>
  <c r="AQ340" i="5" s="1"/>
  <c r="AU339" i="5"/>
  <c r="AU340" i="5" s="1"/>
  <c r="AY339" i="5"/>
  <c r="AY340" i="5" s="1"/>
  <c r="BB339" i="5"/>
  <c r="BB340" i="5" s="1"/>
  <c r="BF339" i="5"/>
  <c r="BF340" i="5" s="1"/>
  <c r="G343" i="5"/>
  <c r="L343" i="5"/>
  <c r="R343" i="5"/>
  <c r="V343" i="5"/>
  <c r="Z343" i="5"/>
  <c r="AF343" i="5"/>
  <c r="AK343" i="5"/>
  <c r="AS343" i="5"/>
  <c r="AW343" i="5"/>
  <c r="BA343" i="5"/>
  <c r="BD343" i="5"/>
  <c r="BG343" i="5"/>
  <c r="E345" i="5"/>
  <c r="I345" i="5"/>
  <c r="O345" i="5"/>
  <c r="V345" i="5"/>
  <c r="AD345" i="5"/>
  <c r="AH345" i="5"/>
  <c r="AN345" i="5"/>
  <c r="AP345" i="5"/>
  <c r="AU345" i="5"/>
  <c r="AZ345" i="5"/>
  <c r="BF345" i="5"/>
  <c r="BG345" i="5"/>
  <c r="C339" i="5"/>
  <c r="C340" i="5" s="1"/>
  <c r="E339" i="5"/>
  <c r="E340" i="5" s="1"/>
  <c r="H339" i="5"/>
  <c r="H340" i="5" s="1"/>
  <c r="I339" i="5"/>
  <c r="I340" i="5" s="1"/>
  <c r="K339" i="5"/>
  <c r="K340" i="5" s="1"/>
  <c r="M339" i="5"/>
  <c r="M340" i="5" s="1"/>
  <c r="P339" i="5"/>
  <c r="P340" i="5" s="1"/>
  <c r="S339" i="5"/>
  <c r="S340" i="5" s="1"/>
  <c r="U339" i="5"/>
  <c r="U340" i="5" s="1"/>
  <c r="V339" i="5"/>
  <c r="V340" i="5" s="1"/>
  <c r="X339" i="5"/>
  <c r="X340" i="5" s="1"/>
  <c r="Z339" i="5"/>
  <c r="Z340" i="5" s="1"/>
  <c r="AC339" i="5"/>
  <c r="AC340" i="5" s="1"/>
  <c r="AE339" i="5"/>
  <c r="AE340" i="5" s="1"/>
  <c r="AF339" i="5"/>
  <c r="AF340" i="5" s="1"/>
  <c r="AG339" i="5"/>
  <c r="AG340" i="5" s="1"/>
  <c r="AI339" i="5"/>
  <c r="AI340" i="5" s="1"/>
  <c r="AJ339" i="5"/>
  <c r="AJ340" i="5" s="1"/>
  <c r="AL339" i="5"/>
  <c r="AL340" i="5" s="1"/>
  <c r="AN339" i="5"/>
  <c r="AN340" i="5" s="1"/>
  <c r="AR339" i="5"/>
  <c r="AR340" i="5" s="1"/>
  <c r="AS339" i="5"/>
  <c r="AS340" i="5" s="1"/>
  <c r="AV339" i="5"/>
  <c r="AV340" i="5" s="1"/>
  <c r="AX339" i="5"/>
  <c r="AX340" i="5" s="1"/>
  <c r="BA339" i="5"/>
  <c r="BA340" i="5" s="1"/>
  <c r="BD339" i="5"/>
  <c r="BD340" i="5" s="1"/>
  <c r="BE339" i="5"/>
  <c r="BE340" i="5" s="1"/>
  <c r="BG339" i="5"/>
  <c r="BG340" i="5" s="1"/>
  <c r="BI339" i="5"/>
  <c r="BI340" i="5" s="1"/>
  <c r="BJ339" i="5"/>
  <c r="BJ340" i="5" s="1"/>
  <c r="C343" i="5"/>
  <c r="D343" i="5"/>
  <c r="F343" i="5"/>
  <c r="I343" i="5"/>
  <c r="K343" i="5"/>
  <c r="N343" i="5"/>
  <c r="P343" i="5"/>
  <c r="S343" i="5"/>
  <c r="W343" i="5"/>
  <c r="Y343" i="5"/>
  <c r="AA343" i="5"/>
  <c r="AB343" i="5"/>
  <c r="AD343" i="5"/>
  <c r="AH343" i="5"/>
  <c r="AI343" i="5"/>
  <c r="AL343" i="5"/>
  <c r="AM343" i="5"/>
  <c r="AN343" i="5"/>
  <c r="AO343" i="5"/>
  <c r="AP343" i="5"/>
  <c r="AR343" i="5"/>
  <c r="AT343" i="5"/>
  <c r="AV343" i="5"/>
  <c r="AY343" i="5"/>
  <c r="AZ343" i="5"/>
  <c r="BC343" i="5"/>
  <c r="BE343" i="5"/>
  <c r="BF343" i="5"/>
  <c r="BI343" i="5"/>
  <c r="BJ343" i="5"/>
  <c r="C345" i="5"/>
  <c r="F345" i="5"/>
  <c r="H345" i="5"/>
  <c r="K345" i="5"/>
  <c r="L345" i="5"/>
  <c r="P345" i="5"/>
  <c r="Q345" i="5"/>
  <c r="S345" i="5"/>
  <c r="T345" i="5"/>
  <c r="U345" i="5"/>
  <c r="X345" i="5"/>
  <c r="Y345" i="5"/>
  <c r="AA345" i="5"/>
  <c r="AB345" i="5"/>
  <c r="AC345" i="5"/>
  <c r="AE345" i="5"/>
  <c r="AG345" i="5"/>
  <c r="AI345" i="5"/>
  <c r="AJ345" i="5"/>
  <c r="AK345" i="5"/>
  <c r="AM345" i="5"/>
  <c r="AO345" i="5"/>
  <c r="AQ345" i="5"/>
  <c r="AR345" i="5"/>
  <c r="AS345" i="5"/>
  <c r="AT345" i="5"/>
  <c r="AV345" i="5"/>
  <c r="AW345" i="5"/>
  <c r="AX345" i="5"/>
  <c r="BA345" i="5"/>
  <c r="BB345" i="5"/>
  <c r="BC345" i="5"/>
  <c r="BE345" i="5"/>
  <c r="BH345" i="5"/>
  <c r="BI345" i="5"/>
  <c r="C8" i="1"/>
  <c r="L62" i="5"/>
  <c r="AH273" i="5"/>
  <c r="AI127" i="2" s="1"/>
  <c r="AI273" i="5"/>
  <c r="AJ127" i="2" s="1"/>
  <c r="AJ273" i="5"/>
  <c r="AK127" i="2" s="1"/>
  <c r="AK273" i="5"/>
  <c r="AL127" i="2" s="1"/>
  <c r="AL273" i="5"/>
  <c r="AM127" i="2" s="1"/>
  <c r="AM273" i="5"/>
  <c r="AN127" i="2" s="1"/>
  <c r="AZ273" i="5"/>
  <c r="BA127" i="2" s="1"/>
  <c r="AA273" i="5"/>
  <c r="AB127" i="2" s="1"/>
  <c r="AN273" i="5"/>
  <c r="AO127" i="2" s="1"/>
  <c r="AO273" i="5"/>
  <c r="AP127" i="2" s="1"/>
  <c r="AP273" i="5"/>
  <c r="AQ127" i="2" s="1"/>
  <c r="AQ273" i="5"/>
  <c r="AR127" i="2" s="1"/>
  <c r="AR273" i="5"/>
  <c r="AS127" i="2" s="1"/>
  <c r="AS273" i="5"/>
  <c r="AT127" i="2" s="1"/>
  <c r="AT273" i="5"/>
  <c r="AU127" i="2" s="1"/>
  <c r="AU273" i="5"/>
  <c r="AV127" i="2" s="1"/>
  <c r="AV273" i="5"/>
  <c r="AW127" i="2" s="1"/>
  <c r="AW273" i="5"/>
  <c r="AX127" i="2" s="1"/>
  <c r="AX273" i="5"/>
  <c r="AY127" i="2" s="1"/>
  <c r="AY273" i="5"/>
  <c r="AZ127" i="2" s="1"/>
  <c r="T273" i="5"/>
  <c r="U127" i="2" s="1"/>
  <c r="J273" i="5"/>
  <c r="K127" i="2" s="1"/>
  <c r="K273" i="5"/>
  <c r="L127" i="2" s="1"/>
  <c r="BJ273" i="5"/>
  <c r="BK127" i="2" s="1"/>
  <c r="BI273" i="5"/>
  <c r="BJ127" i="2" s="1"/>
  <c r="BH273" i="5"/>
  <c r="BI127" i="2" s="1"/>
  <c r="BG273" i="5"/>
  <c r="BH127" i="2" s="1"/>
  <c r="BF273" i="5"/>
  <c r="BG127" i="2" s="1"/>
  <c r="BE273" i="5"/>
  <c r="BF127" i="2" s="1"/>
  <c r="BD273" i="5"/>
  <c r="BE127" i="2" s="1"/>
  <c r="BC273" i="5"/>
  <c r="BD127" i="2" s="1"/>
  <c r="BB273" i="5"/>
  <c r="BC127" i="2" s="1"/>
  <c r="Y273" i="5"/>
  <c r="Z127" i="2" s="1"/>
  <c r="R273" i="5"/>
  <c r="S127" i="2" s="1"/>
  <c r="U273" i="5"/>
  <c r="V127" i="2" s="1"/>
  <c r="V273" i="5"/>
  <c r="W127" i="2" s="1"/>
  <c r="W273" i="5"/>
  <c r="X127" i="2" s="1"/>
  <c r="X273" i="5"/>
  <c r="Y127" i="2" s="1"/>
  <c r="Z273" i="5"/>
  <c r="AA127" i="2" s="1"/>
  <c r="AB273" i="5"/>
  <c r="AC127" i="2" s="1"/>
  <c r="AC273" i="5"/>
  <c r="AD127" i="2" s="1"/>
  <c r="AD273" i="5"/>
  <c r="AE127" i="2" s="1"/>
  <c r="AE273" i="5"/>
  <c r="AF127" i="2" s="1"/>
  <c r="AF273" i="5"/>
  <c r="AG127" i="2" s="1"/>
  <c r="AG273" i="5"/>
  <c r="AH127" i="2" s="1"/>
  <c r="L61" i="5"/>
  <c r="M61" i="5" s="1"/>
  <c r="N61" i="5" s="1"/>
  <c r="M60" i="3" s="1"/>
  <c r="L60" i="5"/>
  <c r="M60" i="5" s="1"/>
  <c r="N60" i="5" s="1"/>
  <c r="M75" i="3" s="1"/>
  <c r="L59" i="5"/>
  <c r="M59" i="5" s="1"/>
  <c r="N59" i="5" s="1"/>
  <c r="M48" i="3" s="1"/>
  <c r="L58" i="5"/>
  <c r="M58" i="5" s="1"/>
  <c r="N58" i="5" s="1"/>
  <c r="M71" i="3" s="1"/>
  <c r="L57" i="5"/>
  <c r="M57" i="5" s="1"/>
  <c r="N57" i="5" s="1"/>
  <c r="M70" i="3" s="1"/>
  <c r="L56" i="5"/>
  <c r="M56" i="5" s="1"/>
  <c r="N56" i="5" s="1"/>
  <c r="M8" i="3" s="1"/>
  <c r="L55" i="5"/>
  <c r="M55" i="5" s="1"/>
  <c r="N55" i="5" s="1"/>
  <c r="M94" i="3" s="1"/>
  <c r="L54" i="5"/>
  <c r="M54" i="5" s="1"/>
  <c r="N54" i="5" s="1"/>
  <c r="M59" i="3" s="1"/>
  <c r="L53" i="5"/>
  <c r="M53" i="5"/>
  <c r="N53" i="5" s="1"/>
  <c r="M22" i="3" s="1"/>
  <c r="L52" i="5"/>
  <c r="M52" i="5"/>
  <c r="N52" i="5" s="1"/>
  <c r="M33" i="3" s="1"/>
  <c r="L51" i="5"/>
  <c r="M51" i="5" s="1"/>
  <c r="N51" i="5" s="1"/>
  <c r="M6" i="3" s="1"/>
  <c r="L50" i="5"/>
  <c r="M50" i="5" s="1"/>
  <c r="N50" i="5" s="1"/>
  <c r="M64" i="3" s="1"/>
  <c r="L49" i="5"/>
  <c r="M49" i="5"/>
  <c r="N49" i="5" s="1"/>
  <c r="M32" i="3" s="1"/>
  <c r="L48" i="5"/>
  <c r="M48" i="5" s="1"/>
  <c r="N48" i="5" s="1"/>
  <c r="M20" i="3" s="1"/>
  <c r="L47" i="5"/>
  <c r="M47" i="5" s="1"/>
  <c r="N47" i="5" s="1"/>
  <c r="M25" i="3" s="1"/>
  <c r="L46" i="5"/>
  <c r="M46" i="5"/>
  <c r="N46" i="5" s="1"/>
  <c r="M31" i="3" s="1"/>
  <c r="L45" i="5"/>
  <c r="M45" i="5"/>
  <c r="N45" i="5" s="1"/>
  <c r="M103" i="3" s="1"/>
  <c r="L44" i="5"/>
  <c r="M44" i="5"/>
  <c r="N44" i="5" s="1"/>
  <c r="M102" i="3" s="1"/>
  <c r="L43" i="5"/>
  <c r="M43" i="5"/>
  <c r="N43" i="5" s="1"/>
  <c r="M86" i="3" s="1"/>
  <c r="L42" i="5"/>
  <c r="M42" i="5"/>
  <c r="N42" i="5" s="1"/>
  <c r="M58" i="3" s="1"/>
  <c r="L41" i="5"/>
  <c r="M41" i="5"/>
  <c r="N41" i="5" s="1"/>
  <c r="M5" i="3" s="1"/>
  <c r="L40" i="5"/>
  <c r="M40" i="5" s="1"/>
  <c r="N40" i="5" s="1"/>
  <c r="M46" i="3" s="1"/>
  <c r="L39" i="5"/>
  <c r="M39" i="5"/>
  <c r="N39" i="5" s="1"/>
  <c r="M35" i="3" s="1"/>
  <c r="L38" i="5"/>
  <c r="M38" i="5"/>
  <c r="N38" i="5" s="1"/>
  <c r="M45" i="3" s="1"/>
  <c r="L37" i="5"/>
  <c r="M37" i="5"/>
  <c r="N37" i="5" s="1"/>
  <c r="M23" i="3" s="1"/>
  <c r="L36" i="5"/>
  <c r="M36" i="5"/>
  <c r="N36" i="5" s="1"/>
  <c r="M44" i="3" s="1"/>
  <c r="L35" i="5"/>
  <c r="M35" i="5" s="1"/>
  <c r="N35" i="5" s="1"/>
  <c r="M53" i="3" s="1"/>
  <c r="L34" i="5"/>
  <c r="M34" i="5"/>
  <c r="N34" i="5" s="1"/>
  <c r="M93" i="3" s="1"/>
  <c r="L33" i="5"/>
  <c r="M33" i="5"/>
  <c r="N33" i="5" s="1"/>
  <c r="M43" i="3" s="1"/>
  <c r="L32" i="5"/>
  <c r="M32" i="5"/>
  <c r="N32" i="5" s="1"/>
  <c r="M19" i="3" s="1"/>
  <c r="L31" i="5"/>
  <c r="M31" i="5"/>
  <c r="N31" i="5" s="1"/>
  <c r="M29" i="3" s="1"/>
  <c r="L30" i="5"/>
  <c r="M30" i="5"/>
  <c r="N30" i="5" s="1"/>
  <c r="M88" i="3" s="1"/>
  <c r="L29" i="5"/>
  <c r="M29" i="5" s="1"/>
  <c r="N29" i="5" s="1"/>
  <c r="M16" i="3" s="1"/>
  <c r="L28" i="5"/>
  <c r="M28" i="5" s="1"/>
  <c r="N28" i="5" s="1"/>
  <c r="M104" i="3" s="1"/>
  <c r="L27" i="5"/>
  <c r="M27" i="5"/>
  <c r="N27" i="5" s="1"/>
  <c r="M65" i="3" s="1"/>
  <c r="L26" i="5"/>
  <c r="M26" i="5"/>
  <c r="N26" i="5" s="1"/>
  <c r="M36" i="3" s="1"/>
  <c r="L25" i="5"/>
  <c r="M25" i="5" s="1"/>
  <c r="N25" i="5" s="1"/>
  <c r="M47" i="3" s="1"/>
  <c r="L24" i="5"/>
  <c r="M24" i="5" s="1"/>
  <c r="N24" i="5" s="1"/>
  <c r="D36" i="2"/>
  <c r="D63" i="2"/>
  <c r="D54" i="2"/>
  <c r="D66" i="2"/>
  <c r="D33" i="2"/>
  <c r="D42" i="2"/>
  <c r="V232" i="4"/>
  <c r="U232" i="4"/>
  <c r="T232" i="4"/>
  <c r="S232" i="4"/>
  <c r="R232" i="4"/>
  <c r="Q232" i="4"/>
  <c r="P232" i="4"/>
  <c r="P159" i="2"/>
  <c r="O232" i="4"/>
  <c r="O159" i="2"/>
  <c r="N232" i="4"/>
  <c r="N159" i="2"/>
  <c r="M232" i="4"/>
  <c r="L232" i="4"/>
  <c r="K232" i="4"/>
  <c r="J232" i="4"/>
  <c r="I232" i="4"/>
  <c r="H232" i="4"/>
  <c r="G232" i="4"/>
  <c r="F232" i="4"/>
  <c r="E232" i="4"/>
  <c r="D232" i="4"/>
  <c r="C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E129" i="4"/>
  <c r="L123" i="4"/>
  <c r="M123" i="4" s="1"/>
  <c r="N123" i="4" s="1"/>
  <c r="L122" i="4"/>
  <c r="M122" i="4" s="1"/>
  <c r="N122" i="4" s="1"/>
  <c r="L121" i="4"/>
  <c r="M121" i="4" s="1"/>
  <c r="N121" i="4" s="1"/>
  <c r="L120" i="4"/>
  <c r="M120" i="4" s="1"/>
  <c r="N120" i="4" s="1"/>
  <c r="L119" i="4"/>
  <c r="M119" i="4"/>
  <c r="N119" i="4" s="1"/>
  <c r="L118" i="4"/>
  <c r="M118" i="4" s="1"/>
  <c r="N118" i="4" s="1"/>
  <c r="L117" i="4"/>
  <c r="M117" i="4" s="1"/>
  <c r="N117" i="4" s="1"/>
  <c r="L116" i="4"/>
  <c r="M116" i="4"/>
  <c r="N116" i="4" s="1"/>
  <c r="L115" i="4"/>
  <c r="M115" i="4"/>
  <c r="N115" i="4" s="1"/>
  <c r="L114" i="4"/>
  <c r="M114" i="4" s="1"/>
  <c r="N114" i="4" s="1"/>
  <c r="L113" i="4"/>
  <c r="M113" i="4" s="1"/>
  <c r="N113" i="4" s="1"/>
  <c r="L112" i="4"/>
  <c r="M112" i="4" s="1"/>
  <c r="N112" i="4" s="1"/>
  <c r="L111" i="4"/>
  <c r="M111" i="4" s="1"/>
  <c r="N111" i="4" s="1"/>
  <c r="L110" i="4"/>
  <c r="M110" i="4" s="1"/>
  <c r="N110" i="4" s="1"/>
  <c r="L109" i="4"/>
  <c r="M109" i="4" s="1"/>
  <c r="N109" i="4" s="1"/>
  <c r="L108" i="4"/>
  <c r="M108" i="4" s="1"/>
  <c r="N108" i="4" s="1"/>
  <c r="L107" i="4"/>
  <c r="M107" i="4" s="1"/>
  <c r="N107" i="4" s="1"/>
  <c r="L106" i="4"/>
  <c r="M106" i="4" s="1"/>
  <c r="N106" i="4" s="1"/>
  <c r="L105" i="4"/>
  <c r="M105" i="4"/>
  <c r="N105" i="4" s="1"/>
  <c r="L104" i="4"/>
  <c r="M104" i="4" s="1"/>
  <c r="N104" i="4" s="1"/>
  <c r="L103" i="4"/>
  <c r="M103" i="4"/>
  <c r="N103" i="4" s="1"/>
  <c r="L102" i="4"/>
  <c r="M102" i="4"/>
  <c r="N102" i="4" s="1"/>
  <c r="L101" i="4"/>
  <c r="M101" i="4"/>
  <c r="N101" i="4" s="1"/>
  <c r="L100" i="4"/>
  <c r="M100" i="4" s="1"/>
  <c r="N100" i="4" s="1"/>
  <c r="L99" i="4"/>
  <c r="M99" i="4" s="1"/>
  <c r="N99" i="4" s="1"/>
  <c r="L98" i="4"/>
  <c r="D309" i="4" s="1"/>
  <c r="M98" i="4"/>
  <c r="N98" i="4" s="1"/>
  <c r="C309" i="4"/>
  <c r="E309" i="4"/>
  <c r="F309" i="4"/>
  <c r="G309" i="4"/>
  <c r="H66" i="2" s="1"/>
  <c r="H309" i="4"/>
  <c r="I66" i="2" s="1"/>
  <c r="I309" i="4"/>
  <c r="J66" i="2" s="1"/>
  <c r="J309" i="4"/>
  <c r="K66" i="2" s="1"/>
  <c r="K309" i="4"/>
  <c r="L66" i="2" s="1"/>
  <c r="L97" i="4"/>
  <c r="M97" i="4"/>
  <c r="N97" i="4" s="1"/>
  <c r="BJ308" i="4"/>
  <c r="BK33" i="2" s="1"/>
  <c r="BI308" i="4"/>
  <c r="BJ33" i="2" s="1"/>
  <c r="BH308" i="4"/>
  <c r="BI33" i="2" s="1"/>
  <c r="BG308" i="4"/>
  <c r="BH33" i="2" s="1"/>
  <c r="BF308" i="4"/>
  <c r="BG33" i="2" s="1"/>
  <c r="BE308" i="4"/>
  <c r="BF33" i="2" s="1"/>
  <c r="BD308" i="4"/>
  <c r="BE33" i="2" s="1"/>
  <c r="BC308" i="4"/>
  <c r="BD33" i="2" s="1"/>
  <c r="W308" i="4"/>
  <c r="X33" i="2" s="1"/>
  <c r="X308" i="4"/>
  <c r="Y33" i="2" s="1"/>
  <c r="Y308" i="4"/>
  <c r="Z33" i="2" s="1"/>
  <c r="Z308" i="4"/>
  <c r="AA33" i="2" s="1"/>
  <c r="AA308" i="4"/>
  <c r="AB33" i="2" s="1"/>
  <c r="AB308" i="4"/>
  <c r="AC33" i="2" s="1"/>
  <c r="L96" i="4"/>
  <c r="M96" i="4"/>
  <c r="N96" i="4" s="1"/>
  <c r="AQ307" i="4"/>
  <c r="AR42" i="2" s="1"/>
  <c r="BF307" i="4"/>
  <c r="BG42" i="2" s="1"/>
  <c r="BG307" i="4"/>
  <c r="BH42" i="2" s="1"/>
  <c r="AP307" i="4"/>
  <c r="AQ42" i="2" s="1"/>
  <c r="AO307" i="4"/>
  <c r="AP42" i="2" s="1"/>
  <c r="AN307" i="4"/>
  <c r="AO42" i="2" s="1"/>
  <c r="AM307" i="4"/>
  <c r="AN42" i="2" s="1"/>
  <c r="AL307" i="4"/>
  <c r="AM42" i="2" s="1"/>
  <c r="AK307" i="4"/>
  <c r="AL42" i="2" s="1"/>
  <c r="Q307" i="4"/>
  <c r="R42" i="2" s="1"/>
  <c r="BH307" i="4"/>
  <c r="BI42" i="2" s="1"/>
  <c r="BI307" i="4"/>
  <c r="BJ42" i="2" s="1"/>
  <c r="BJ307" i="4"/>
  <c r="BK42" i="2" s="1"/>
  <c r="F307" i="4"/>
  <c r="G42" i="2" s="1"/>
  <c r="G307" i="4"/>
  <c r="H42" i="2" s="1"/>
  <c r="H307" i="4"/>
  <c r="I42" i="2" s="1"/>
  <c r="I307" i="4"/>
  <c r="J42" i="2" s="1"/>
  <c r="J307" i="4"/>
  <c r="K42" i="2" s="1"/>
  <c r="K307" i="4"/>
  <c r="L42" i="2" s="1"/>
  <c r="L307" i="4"/>
  <c r="M42" i="2" s="1"/>
  <c r="M307" i="4"/>
  <c r="N42" i="2" s="1"/>
  <c r="N307" i="4"/>
  <c r="O42" i="2" s="1"/>
  <c r="O307" i="4"/>
  <c r="P42" i="2" s="1"/>
  <c r="P307" i="4"/>
  <c r="Q42" i="2" s="1"/>
  <c r="AU307" i="4"/>
  <c r="AV42" i="2" s="1"/>
  <c r="L95" i="4"/>
  <c r="M95" i="4"/>
  <c r="N95" i="4" s="1"/>
  <c r="C306" i="4"/>
  <c r="D159" i="2" s="1"/>
  <c r="D306" i="4"/>
  <c r="E159" i="2" s="1"/>
  <c r="E306" i="4"/>
  <c r="F159" i="2" s="1"/>
  <c r="F306" i="4"/>
  <c r="G159" i="2" s="1"/>
  <c r="G306" i="4"/>
  <c r="H159" i="2" s="1"/>
  <c r="H306" i="4"/>
  <c r="I159" i="2" s="1"/>
  <c r="I306" i="4"/>
  <c r="J159" i="2" s="1"/>
  <c r="J306" i="4"/>
  <c r="K159" i="2" s="1"/>
  <c r="K306" i="4"/>
  <c r="L159" i="2" s="1"/>
  <c r="L306" i="4"/>
  <c r="M159" i="2" s="1"/>
  <c r="M306" i="4"/>
  <c r="N306" i="4"/>
  <c r="O306" i="4"/>
  <c r="P306" i="4"/>
  <c r="Q159" i="2" s="1"/>
  <c r="Q306" i="4"/>
  <c r="R159" i="2" s="1"/>
  <c r="R306" i="4"/>
  <c r="S159" i="2" s="1"/>
  <c r="S306" i="4"/>
  <c r="T159" i="2" s="1"/>
  <c r="T306" i="4"/>
  <c r="U159" i="2" s="1"/>
  <c r="L94" i="4"/>
  <c r="M94" i="4"/>
  <c r="N94" i="4" s="1"/>
  <c r="L305" i="4"/>
  <c r="M246" i="2" s="1"/>
  <c r="C305" i="4"/>
  <c r="D305" i="4"/>
  <c r="E246" i="2" s="1"/>
  <c r="E305" i="4"/>
  <c r="F246" i="2" s="1"/>
  <c r="F305" i="4"/>
  <c r="G246" i="2" s="1"/>
  <c r="BH305" i="4"/>
  <c r="BI246" i="2" s="1"/>
  <c r="BG305" i="4"/>
  <c r="BH246" i="2" s="1"/>
  <c r="BF305" i="4"/>
  <c r="BG246" i="2" s="1"/>
  <c r="BE305" i="4"/>
  <c r="BF246" i="2" s="1"/>
  <c r="G305" i="4"/>
  <c r="H246" i="2" s="1"/>
  <c r="BD305" i="4"/>
  <c r="BE246" i="2" s="1"/>
  <c r="BC305" i="4"/>
  <c r="BD246" i="2" s="1"/>
  <c r="BB305" i="4"/>
  <c r="BC246" i="2" s="1"/>
  <c r="BA305" i="4"/>
  <c r="BB246" i="2" s="1"/>
  <c r="AZ305" i="4"/>
  <c r="BA246" i="2" s="1"/>
  <c r="AY305" i="4"/>
  <c r="AZ246" i="2" s="1"/>
  <c r="AW305" i="4"/>
  <c r="AX246" i="2" s="1"/>
  <c r="AV305" i="4"/>
  <c r="AW246" i="2" s="1"/>
  <c r="AU305" i="4"/>
  <c r="AV246" i="2" s="1"/>
  <c r="AT305" i="4"/>
  <c r="AU246" i="2" s="1"/>
  <c r="AS305" i="4"/>
  <c r="AT246" i="2" s="1"/>
  <c r="AR305" i="4"/>
  <c r="AS246" i="2" s="1"/>
  <c r="AQ305" i="4"/>
  <c r="AR246" i="2" s="1"/>
  <c r="AP305" i="4"/>
  <c r="AQ246" i="2" s="1"/>
  <c r="AO305" i="4"/>
  <c r="AP246" i="2" s="1"/>
  <c r="L93" i="4"/>
  <c r="AS304" i="4"/>
  <c r="AT219" i="2" s="1"/>
  <c r="AX304" i="4"/>
  <c r="AY219" i="2" s="1"/>
  <c r="AW304" i="4"/>
  <c r="AX219" i="2" s="1"/>
  <c r="AV304" i="4"/>
  <c r="AW219" i="2" s="1"/>
  <c r="AU304" i="4"/>
  <c r="AV219" i="2" s="1"/>
  <c r="F304" i="4"/>
  <c r="G219" i="2" s="1"/>
  <c r="G304" i="4"/>
  <c r="H219" i="2" s="1"/>
  <c r="H304" i="4"/>
  <c r="I219" i="2" s="1"/>
  <c r="I304" i="4"/>
  <c r="J219" i="2" s="1"/>
  <c r="J304" i="4"/>
  <c r="K219" i="2" s="1"/>
  <c r="K304" i="4"/>
  <c r="L219" i="2" s="1"/>
  <c r="L304" i="4"/>
  <c r="M219" i="2" s="1"/>
  <c r="M304" i="4"/>
  <c r="N219" i="2" s="1"/>
  <c r="L92" i="4"/>
  <c r="AN303" i="4"/>
  <c r="AO216" i="2" s="1"/>
  <c r="AM303" i="4"/>
  <c r="AN216" i="2" s="1"/>
  <c r="AP303" i="4"/>
  <c r="AQ216" i="2" s="1"/>
  <c r="C303" i="4"/>
  <c r="M92" i="4"/>
  <c r="N92" i="4" s="1"/>
  <c r="AL303" i="4"/>
  <c r="AM216" i="2" s="1"/>
  <c r="AK303" i="4"/>
  <c r="AL216" i="2" s="1"/>
  <c r="D303" i="4"/>
  <c r="E216" i="2" s="1"/>
  <c r="AT303" i="4"/>
  <c r="AU216" i="2" s="1"/>
  <c r="AA303" i="4"/>
  <c r="AB216" i="2" s="1"/>
  <c r="AO303" i="4"/>
  <c r="AP216" i="2" s="1"/>
  <c r="AU303" i="4"/>
  <c r="AV216" i="2" s="1"/>
  <c r="AV303" i="4"/>
  <c r="AW216" i="2" s="1"/>
  <c r="AW303" i="4"/>
  <c r="AX216" i="2" s="1"/>
  <c r="AX303" i="4"/>
  <c r="AY216" i="2" s="1"/>
  <c r="AY303" i="4"/>
  <c r="AZ216" i="2" s="1"/>
  <c r="AZ303" i="4"/>
  <c r="BA216" i="2" s="1"/>
  <c r="BA303" i="4"/>
  <c r="BB216" i="2" s="1"/>
  <c r="BB303" i="4"/>
  <c r="BC216" i="2" s="1"/>
  <c r="AJ303" i="4"/>
  <c r="AK216" i="2" s="1"/>
  <c r="BC303" i="4"/>
  <c r="BD216" i="2" s="1"/>
  <c r="L91" i="4"/>
  <c r="L90" i="4"/>
  <c r="M90" i="4"/>
  <c r="N90" i="4" s="1"/>
  <c r="AT301" i="4"/>
  <c r="AU264" i="2" s="1"/>
  <c r="AS301" i="4"/>
  <c r="AT264" i="2" s="1"/>
  <c r="AR301" i="4"/>
  <c r="AS264" i="2" s="1"/>
  <c r="AQ301" i="4"/>
  <c r="AR264" i="2" s="1"/>
  <c r="AP301" i="4"/>
  <c r="AQ264" i="2" s="1"/>
  <c r="AO301" i="4"/>
  <c r="AP264" i="2" s="1"/>
  <c r="AN301" i="4"/>
  <c r="AO264" i="2" s="1"/>
  <c r="AM301" i="4"/>
  <c r="AN264" i="2" s="1"/>
  <c r="AL301" i="4"/>
  <c r="AM264" i="2" s="1"/>
  <c r="AK301" i="4"/>
  <c r="AL264" i="2" s="1"/>
  <c r="AJ301" i="4"/>
  <c r="AK264" i="2" s="1"/>
  <c r="AI301" i="4"/>
  <c r="AJ264" i="2" s="1"/>
  <c r="D301" i="4"/>
  <c r="E264" i="2" s="1"/>
  <c r="AH301" i="4"/>
  <c r="AI264" i="2" s="1"/>
  <c r="AG301" i="4"/>
  <c r="AH264" i="2" s="1"/>
  <c r="AF301" i="4"/>
  <c r="AG264" i="2" s="1"/>
  <c r="AE301" i="4"/>
  <c r="AF264" i="2" s="1"/>
  <c r="AD301" i="4"/>
  <c r="AE264" i="2" s="1"/>
  <c r="AC301" i="4"/>
  <c r="AD264" i="2" s="1"/>
  <c r="AB301" i="4"/>
  <c r="AC264" i="2" s="1"/>
  <c r="AA301" i="4"/>
  <c r="AB264" i="2" s="1"/>
  <c r="Z301" i="4"/>
  <c r="AA264" i="2" s="1"/>
  <c r="BF301" i="4"/>
  <c r="BG264" i="2" s="1"/>
  <c r="X301" i="4"/>
  <c r="Y264" i="2" s="1"/>
  <c r="W301" i="4"/>
  <c r="X264" i="2" s="1"/>
  <c r="C301" i="4"/>
  <c r="BG301" i="4"/>
  <c r="BH264" i="2" s="1"/>
  <c r="V301" i="4"/>
  <c r="W264" i="2" s="1"/>
  <c r="U301" i="4"/>
  <c r="V264" i="2" s="1"/>
  <c r="T301" i="4"/>
  <c r="S301" i="4"/>
  <c r="R301" i="4"/>
  <c r="Q301" i="4"/>
  <c r="R264" i="2" s="1"/>
  <c r="P301" i="4"/>
  <c r="Q264" i="2" s="1"/>
  <c r="O301" i="4"/>
  <c r="P264" i="2" s="1"/>
  <c r="N301" i="4"/>
  <c r="O264" i="2" s="1"/>
  <c r="M301" i="4"/>
  <c r="N264" i="2" s="1"/>
  <c r="L301" i="4"/>
  <c r="M264" i="2" s="1"/>
  <c r="K301" i="4"/>
  <c r="L264" i="2" s="1"/>
  <c r="J301" i="4"/>
  <c r="K264" i="2" s="1"/>
  <c r="I301" i="4"/>
  <c r="J264" i="2" s="1"/>
  <c r="H301" i="4"/>
  <c r="I264" i="2" s="1"/>
  <c r="G301" i="4"/>
  <c r="H264" i="2" s="1"/>
  <c r="F301" i="4"/>
  <c r="G264" i="2" s="1"/>
  <c r="BH301" i="4"/>
  <c r="BI264" i="2" s="1"/>
  <c r="E301" i="4"/>
  <c r="F264" i="2" s="1"/>
  <c r="AU301" i="4"/>
  <c r="AV264" i="2" s="1"/>
  <c r="AV301" i="4"/>
  <c r="AW264" i="2" s="1"/>
  <c r="AW301" i="4"/>
  <c r="AX264" i="2" s="1"/>
  <c r="AX301" i="4"/>
  <c r="AY264" i="2" s="1"/>
  <c r="AY301" i="4"/>
  <c r="AZ264" i="2" s="1"/>
  <c r="AZ301" i="4"/>
  <c r="BA264" i="2" s="1"/>
  <c r="BA301" i="4"/>
  <c r="BB264" i="2" s="1"/>
  <c r="BB301" i="4"/>
  <c r="BC264" i="2" s="1"/>
  <c r="BC301" i="4"/>
  <c r="BD264" i="2" s="1"/>
  <c r="BD301" i="4"/>
  <c r="BE264" i="2" s="1"/>
  <c r="BE301" i="4"/>
  <c r="BF264" i="2" s="1"/>
  <c r="L89" i="4"/>
  <c r="BB300" i="4"/>
  <c r="BC102" i="2" s="1"/>
  <c r="BA300" i="4"/>
  <c r="BB102" i="2" s="1"/>
  <c r="AZ300" i="4"/>
  <c r="BA102" i="2" s="1"/>
  <c r="AY300" i="4"/>
  <c r="AZ102" i="2" s="1"/>
  <c r="AX300" i="4"/>
  <c r="AY102" i="2" s="1"/>
  <c r="AW300" i="4"/>
  <c r="AX102" i="2" s="1"/>
  <c r="AV300" i="4"/>
  <c r="AW102" i="2" s="1"/>
  <c r="AU300" i="4"/>
  <c r="AV102" i="2" s="1"/>
  <c r="AT300" i="4"/>
  <c r="AU102" i="2" s="1"/>
  <c r="BI300" i="4"/>
  <c r="BJ102" i="2" s="1"/>
  <c r="AS300" i="4"/>
  <c r="AT102" i="2" s="1"/>
  <c r="AR300" i="4"/>
  <c r="AS102" i="2" s="1"/>
  <c r="AQ300" i="4"/>
  <c r="AR102" i="2" s="1"/>
  <c r="AP300" i="4"/>
  <c r="AQ102" i="2" s="1"/>
  <c r="AO300" i="4"/>
  <c r="AP102" i="2" s="1"/>
  <c r="AN300" i="4"/>
  <c r="AO102" i="2" s="1"/>
  <c r="AL300" i="4"/>
  <c r="AM102" i="2" s="1"/>
  <c r="AK300" i="4"/>
  <c r="AL102" i="2" s="1"/>
  <c r="AJ300" i="4"/>
  <c r="AK102" i="2" s="1"/>
  <c r="AI300" i="4"/>
  <c r="AJ102" i="2" s="1"/>
  <c r="BH300" i="4"/>
  <c r="BI102" i="2" s="1"/>
  <c r="BG300" i="4"/>
  <c r="BH102" i="2" s="1"/>
  <c r="E300" i="4"/>
  <c r="F102" i="2" s="1"/>
  <c r="D300" i="4"/>
  <c r="E102" i="2" s="1"/>
  <c r="C300" i="4"/>
  <c r="BF300" i="4"/>
  <c r="BG102" i="2" s="1"/>
  <c r="BE300" i="4"/>
  <c r="BF102" i="2" s="1"/>
  <c r="AH300" i="4"/>
  <c r="AI102" i="2" s="1"/>
  <c r="AG300" i="4"/>
  <c r="AH102" i="2" s="1"/>
  <c r="AF300" i="4"/>
  <c r="AG102" i="2" s="1"/>
  <c r="L88" i="4"/>
  <c r="F299" i="4"/>
  <c r="G231" i="2" s="1"/>
  <c r="G299" i="4"/>
  <c r="H231" i="2" s="1"/>
  <c r="H299" i="4"/>
  <c r="I231" i="2" s="1"/>
  <c r="I299" i="4"/>
  <c r="J231" i="2" s="1"/>
  <c r="J299" i="4"/>
  <c r="K231" i="2" s="1"/>
  <c r="K299" i="4"/>
  <c r="L231" i="2" s="1"/>
  <c r="L299" i="4"/>
  <c r="M231" i="2" s="1"/>
  <c r="M299" i="4"/>
  <c r="N231" i="2" s="1"/>
  <c r="N299" i="4"/>
  <c r="O231" i="2" s="1"/>
  <c r="O299" i="4"/>
  <c r="P231" i="2" s="1"/>
  <c r="P299" i="4"/>
  <c r="Q299" i="4"/>
  <c r="R299" i="4"/>
  <c r="S299" i="4"/>
  <c r="T299" i="4"/>
  <c r="U299" i="4"/>
  <c r="V299" i="4"/>
  <c r="W231" i="2" s="1"/>
  <c r="W299" i="4"/>
  <c r="X231" i="2" s="1"/>
  <c r="X299" i="4"/>
  <c r="Y231" i="2" s="1"/>
  <c r="Y299" i="4"/>
  <c r="Z231" i="2" s="1"/>
  <c r="Z299" i="4"/>
  <c r="AA231" i="2" s="1"/>
  <c r="AA299" i="4"/>
  <c r="AB231" i="2" s="1"/>
  <c r="AB299" i="4"/>
  <c r="AC231" i="2" s="1"/>
  <c r="AC299" i="4"/>
  <c r="AD231" i="2" s="1"/>
  <c r="AD299" i="4"/>
  <c r="AE231" i="2" s="1"/>
  <c r="AE299" i="4"/>
  <c r="AF231" i="2" s="1"/>
  <c r="AF299" i="4"/>
  <c r="AG231" i="2" s="1"/>
  <c r="AG299" i="4"/>
  <c r="AH231" i="2" s="1"/>
  <c r="AH299" i="4"/>
  <c r="AI231" i="2" s="1"/>
  <c r="AI299" i="4"/>
  <c r="AJ231" i="2" s="1"/>
  <c r="AJ299" i="4"/>
  <c r="AK231" i="2" s="1"/>
  <c r="AK299" i="4"/>
  <c r="AL231" i="2" s="1"/>
  <c r="AL299" i="4"/>
  <c r="AM231" i="2" s="1"/>
  <c r="AM299" i="4"/>
  <c r="AN231" i="2" s="1"/>
  <c r="AN299" i="4"/>
  <c r="AO231" i="2" s="1"/>
  <c r="AO299" i="4"/>
  <c r="AP231" i="2" s="1"/>
  <c r="AP299" i="4"/>
  <c r="AQ231" i="2" s="1"/>
  <c r="AQ299" i="4"/>
  <c r="AR231" i="2" s="1"/>
  <c r="AR299" i="4"/>
  <c r="AS231" i="2" s="1"/>
  <c r="AS299" i="4"/>
  <c r="AT231" i="2" s="1"/>
  <c r="AT299" i="4"/>
  <c r="AU231" i="2" s="1"/>
  <c r="AU299" i="4"/>
  <c r="AV231" i="2" s="1"/>
  <c r="AV299" i="4"/>
  <c r="AW231" i="2" s="1"/>
  <c r="AW299" i="4"/>
  <c r="AX231" i="2" s="1"/>
  <c r="AX299" i="4"/>
  <c r="AY231" i="2" s="1"/>
  <c r="AY299" i="4"/>
  <c r="AZ231" i="2" s="1"/>
  <c r="AZ299" i="4"/>
  <c r="BA231" i="2" s="1"/>
  <c r="BA299" i="4"/>
  <c r="BB231" i="2" s="1"/>
  <c r="BB299" i="4"/>
  <c r="BC231" i="2" s="1"/>
  <c r="BC299" i="4"/>
  <c r="BD231" i="2" s="1"/>
  <c r="BD299" i="4"/>
  <c r="BE231" i="2" s="1"/>
  <c r="BE299" i="4"/>
  <c r="BF231" i="2" s="1"/>
  <c r="BF299" i="4"/>
  <c r="BG231" i="2" s="1"/>
  <c r="BG299" i="4"/>
  <c r="BH231" i="2" s="1"/>
  <c r="BH299" i="4"/>
  <c r="BI231" i="2" s="1"/>
  <c r="BI299" i="4"/>
  <c r="BJ231" i="2" s="1"/>
  <c r="BJ299" i="4"/>
  <c r="BK231" i="2" s="1"/>
  <c r="C299" i="4"/>
  <c r="D299" i="4"/>
  <c r="E231" i="2" s="1"/>
  <c r="E299" i="4"/>
  <c r="F231" i="2" s="1"/>
  <c r="M88" i="4"/>
  <c r="N88" i="4" s="1"/>
  <c r="L87" i="4"/>
  <c r="BH298" i="4"/>
  <c r="BI186" i="2" s="1"/>
  <c r="AZ298" i="4"/>
  <c r="BA186" i="2" s="1"/>
  <c r="AY298" i="4"/>
  <c r="AZ186" i="2" s="1"/>
  <c r="BG298" i="4"/>
  <c r="BH186" i="2" s="1"/>
  <c r="Q298" i="4"/>
  <c r="P298" i="4"/>
  <c r="O298" i="4"/>
  <c r="N298" i="4"/>
  <c r="M298" i="4"/>
  <c r="N186" i="2" s="1"/>
  <c r="AK298" i="4"/>
  <c r="AL186" i="2" s="1"/>
  <c r="L298" i="4"/>
  <c r="M186" i="2" s="1"/>
  <c r="K298" i="4"/>
  <c r="L186" i="2" s="1"/>
  <c r="J298" i="4"/>
  <c r="K186" i="2" s="1"/>
  <c r="I298" i="4"/>
  <c r="J186" i="2" s="1"/>
  <c r="H298" i="4"/>
  <c r="I186" i="2" s="1"/>
  <c r="G298" i="4"/>
  <c r="H186" i="2" s="1"/>
  <c r="F298" i="4"/>
  <c r="G186" i="2" s="1"/>
  <c r="E298" i="4"/>
  <c r="F186" i="2" s="1"/>
  <c r="D298" i="4"/>
  <c r="E186" i="2" s="1"/>
  <c r="C298" i="4"/>
  <c r="BF298" i="4"/>
  <c r="BG186" i="2" s="1"/>
  <c r="BE298" i="4"/>
  <c r="BF186" i="2" s="1"/>
  <c r="BD298" i="4"/>
  <c r="BE186" i="2" s="1"/>
  <c r="BC298" i="4"/>
  <c r="BD186" i="2" s="1"/>
  <c r="BB298" i="4"/>
  <c r="BC186" i="2" s="1"/>
  <c r="AX298" i="4"/>
  <c r="AY186" i="2" s="1"/>
  <c r="BJ298" i="4"/>
  <c r="BK186" i="2" s="1"/>
  <c r="AV298" i="4"/>
  <c r="AW186" i="2" s="1"/>
  <c r="AM298" i="4"/>
  <c r="AN186" i="2" s="1"/>
  <c r="AN298" i="4"/>
  <c r="AO186" i="2" s="1"/>
  <c r="BA298" i="4"/>
  <c r="BB186" i="2" s="1"/>
  <c r="AO298" i="4"/>
  <c r="AP186" i="2" s="1"/>
  <c r="AP298" i="4"/>
  <c r="AQ186" i="2" s="1"/>
  <c r="AQ298" i="4"/>
  <c r="AR186" i="2" s="1"/>
  <c r="AR298" i="4"/>
  <c r="AS186" i="2" s="1"/>
  <c r="AS298" i="4"/>
  <c r="AT186" i="2" s="1"/>
  <c r="AT298" i="4"/>
  <c r="AU186" i="2" s="1"/>
  <c r="AU298" i="4"/>
  <c r="AV186" i="2" s="1"/>
  <c r="AW298" i="4"/>
  <c r="AX186" i="2" s="1"/>
  <c r="BI298" i="4"/>
  <c r="BJ186" i="2" s="1"/>
  <c r="AL298" i="4"/>
  <c r="AM186" i="2" s="1"/>
  <c r="AJ298" i="4"/>
  <c r="AK186" i="2" s="1"/>
  <c r="AI298" i="4"/>
  <c r="AJ186" i="2" s="1"/>
  <c r="AH298" i="4"/>
  <c r="AI186" i="2" s="1"/>
  <c r="AG298" i="4"/>
  <c r="AH186" i="2" s="1"/>
  <c r="AF298" i="4"/>
  <c r="AG186" i="2" s="1"/>
  <c r="AE298" i="4"/>
  <c r="AF186" i="2" s="1"/>
  <c r="AD298" i="4"/>
  <c r="AE186" i="2" s="1"/>
  <c r="AC298" i="4"/>
  <c r="AD186" i="2" s="1"/>
  <c r="AB298" i="4"/>
  <c r="AC186" i="2" s="1"/>
  <c r="AA298" i="4"/>
  <c r="AB186" i="2" s="1"/>
  <c r="Z298" i="4"/>
  <c r="AA186" i="2" s="1"/>
  <c r="Y298" i="4"/>
  <c r="Z186" i="2" s="1"/>
  <c r="X298" i="4"/>
  <c r="Y186" i="2" s="1"/>
  <c r="W298" i="4"/>
  <c r="X186" i="2" s="1"/>
  <c r="V298" i="4"/>
  <c r="W186" i="2" s="1"/>
  <c r="U298" i="4"/>
  <c r="V186" i="2" s="1"/>
  <c r="T298" i="4"/>
  <c r="S298" i="4"/>
  <c r="R298" i="4"/>
  <c r="M87" i="4"/>
  <c r="N87" i="4" s="1"/>
  <c r="L86" i="4"/>
  <c r="C297" i="4"/>
  <c r="BE297" i="4"/>
  <c r="BF150" i="2" s="1"/>
  <c r="BD297" i="4"/>
  <c r="BE150" i="2" s="1"/>
  <c r="BC297" i="4"/>
  <c r="BD150" i="2" s="1"/>
  <c r="BB297" i="4"/>
  <c r="BC150" i="2" s="1"/>
  <c r="BA297" i="4"/>
  <c r="BB150" i="2" s="1"/>
  <c r="AZ297" i="4"/>
  <c r="BA150" i="2" s="1"/>
  <c r="AY297" i="4"/>
  <c r="AZ150" i="2" s="1"/>
  <c r="AX297" i="4"/>
  <c r="AY150" i="2" s="1"/>
  <c r="AW297" i="4"/>
  <c r="AX150" i="2" s="1"/>
  <c r="AV297" i="4"/>
  <c r="AW150" i="2" s="1"/>
  <c r="AU297" i="4"/>
  <c r="AV150" i="2" s="1"/>
  <c r="AT297" i="4"/>
  <c r="AU150" i="2" s="1"/>
  <c r="AS297" i="4"/>
  <c r="AT150" i="2" s="1"/>
  <c r="AR297" i="4"/>
  <c r="AS150" i="2" s="1"/>
  <c r="AQ297" i="4"/>
  <c r="AR150" i="2" s="1"/>
  <c r="AP297" i="4"/>
  <c r="AQ150" i="2" s="1"/>
  <c r="AO297" i="4"/>
  <c r="AP150" i="2" s="1"/>
  <c r="AN297" i="4"/>
  <c r="AO150" i="2" s="1"/>
  <c r="AM297" i="4"/>
  <c r="AN150" i="2" s="1"/>
  <c r="AL297" i="4"/>
  <c r="AM150" i="2" s="1"/>
  <c r="AK297" i="4"/>
  <c r="AL150" i="2" s="1"/>
  <c r="AJ297" i="4"/>
  <c r="AK150" i="2" s="1"/>
  <c r="AI297" i="4"/>
  <c r="AJ150" i="2" s="1"/>
  <c r="AH297" i="4"/>
  <c r="AI150" i="2" s="1"/>
  <c r="AG297" i="4"/>
  <c r="AH150" i="2" s="1"/>
  <c r="AF297" i="4"/>
  <c r="AG150" i="2" s="1"/>
  <c r="AE297" i="4"/>
  <c r="AF150" i="2" s="1"/>
  <c r="AD297" i="4"/>
  <c r="AE150" i="2" s="1"/>
  <c r="AC297" i="4"/>
  <c r="AD150" i="2" s="1"/>
  <c r="AB297" i="4"/>
  <c r="AC150" i="2" s="1"/>
  <c r="L85" i="4"/>
  <c r="AR296" i="4"/>
  <c r="AS210" i="2" s="1"/>
  <c r="AS296" i="4"/>
  <c r="AT210" i="2" s="1"/>
  <c r="AT296" i="4"/>
  <c r="AU210" i="2" s="1"/>
  <c r="AU296" i="4"/>
  <c r="AV210" i="2" s="1"/>
  <c r="AV296" i="4"/>
  <c r="AW210" i="2" s="1"/>
  <c r="AW296" i="4"/>
  <c r="AX210" i="2" s="1"/>
  <c r="BB296" i="4"/>
  <c r="BC210" i="2" s="1"/>
  <c r="BC296" i="4"/>
  <c r="BD210" i="2" s="1"/>
  <c r="BJ296" i="4"/>
  <c r="BK210" i="2" s="1"/>
  <c r="BI296" i="4"/>
  <c r="BJ210" i="2" s="1"/>
  <c r="BH296" i="4"/>
  <c r="BI210" i="2" s="1"/>
  <c r="BG296" i="4"/>
  <c r="BH210" i="2" s="1"/>
  <c r="BF296" i="4"/>
  <c r="BG210" i="2" s="1"/>
  <c r="BE296" i="4"/>
  <c r="BF210" i="2" s="1"/>
  <c r="BD296" i="4"/>
  <c r="BE210" i="2" s="1"/>
  <c r="AX296" i="4"/>
  <c r="AY210" i="2" s="1"/>
  <c r="AZ296" i="4"/>
  <c r="BA210" i="2" s="1"/>
  <c r="BA296" i="4"/>
  <c r="BB210" i="2" s="1"/>
  <c r="H296" i="4"/>
  <c r="I210" i="2" s="1"/>
  <c r="G296" i="4"/>
  <c r="H210" i="2" s="1"/>
  <c r="F296" i="4"/>
  <c r="G210" i="2" s="1"/>
  <c r="E296" i="4"/>
  <c r="F210" i="2" s="1"/>
  <c r="D296" i="4"/>
  <c r="E210" i="2" s="1"/>
  <c r="L84" i="4"/>
  <c r="M84" i="4"/>
  <c r="N84" i="4" s="1"/>
  <c r="Z295" i="4"/>
  <c r="AA69" i="2" s="1"/>
  <c r="Q295" i="4"/>
  <c r="R69" i="2" s="1"/>
  <c r="R295" i="4"/>
  <c r="S69" i="2" s="1"/>
  <c r="J295" i="4"/>
  <c r="K69" i="2" s="1"/>
  <c r="I295" i="4"/>
  <c r="J69" i="2" s="1"/>
  <c r="H295" i="4"/>
  <c r="I69" i="2" s="1"/>
  <c r="G295" i="4"/>
  <c r="H69" i="2" s="1"/>
  <c r="F295" i="4"/>
  <c r="E295" i="4"/>
  <c r="D295" i="4"/>
  <c r="C295" i="4"/>
  <c r="S295" i="4"/>
  <c r="T69" i="2" s="1"/>
  <c r="T295" i="4"/>
  <c r="U69" i="2" s="1"/>
  <c r="U295" i="4"/>
  <c r="V69" i="2" s="1"/>
  <c r="V295" i="4"/>
  <c r="W69" i="2" s="1"/>
  <c r="W295" i="4"/>
  <c r="X69" i="2" s="1"/>
  <c r="X295" i="4"/>
  <c r="Y69" i="2" s="1"/>
  <c r="Y295" i="4"/>
  <c r="Z69" i="2" s="1"/>
  <c r="AA295" i="4"/>
  <c r="AB69" i="2" s="1"/>
  <c r="AC295" i="4"/>
  <c r="AD69" i="2" s="1"/>
  <c r="AD295" i="4"/>
  <c r="AE69" i="2" s="1"/>
  <c r="AN295" i="4"/>
  <c r="AO69" i="2" s="1"/>
  <c r="AE295" i="4"/>
  <c r="AF69" i="2" s="1"/>
  <c r="AB295" i="4"/>
  <c r="AC69" i="2" s="1"/>
  <c r="BJ295" i="4"/>
  <c r="BK69" i="2" s="1"/>
  <c r="BI295" i="4"/>
  <c r="BJ69" i="2" s="1"/>
  <c r="BH295" i="4"/>
  <c r="BI69" i="2" s="1"/>
  <c r="BG295" i="4"/>
  <c r="BH69" i="2" s="1"/>
  <c r="BF295" i="4"/>
  <c r="BG69" i="2" s="1"/>
  <c r="BE295" i="4"/>
  <c r="BF69" i="2" s="1"/>
  <c r="BD295" i="4"/>
  <c r="BE69" i="2" s="1"/>
  <c r="BC295" i="4"/>
  <c r="BD69" i="2" s="1"/>
  <c r="L83" i="4"/>
  <c r="M83" i="4" s="1"/>
  <c r="N83" i="4" s="1"/>
  <c r="O294" i="4"/>
  <c r="P78" i="2" s="1"/>
  <c r="N294" i="4"/>
  <c r="O78" i="2" s="1"/>
  <c r="M294" i="4"/>
  <c r="N78" i="2" s="1"/>
  <c r="L294" i="4"/>
  <c r="M78" i="2" s="1"/>
  <c r="K294" i="4"/>
  <c r="L78" i="2" s="1"/>
  <c r="J294" i="4"/>
  <c r="K78" i="2" s="1"/>
  <c r="I294" i="4"/>
  <c r="J78" i="2" s="1"/>
  <c r="H294" i="4"/>
  <c r="I78" i="2" s="1"/>
  <c r="G294" i="4"/>
  <c r="H78" i="2" s="1"/>
  <c r="F294" i="4"/>
  <c r="G78" i="2" s="1"/>
  <c r="E294" i="4"/>
  <c r="F78" i="2" s="1"/>
  <c r="D294" i="4"/>
  <c r="C294" i="4"/>
  <c r="BJ294" i="4"/>
  <c r="BK78" i="2" s="1"/>
  <c r="BI294" i="4"/>
  <c r="BJ78" i="2" s="1"/>
  <c r="BH294" i="4"/>
  <c r="BI78" i="2" s="1"/>
  <c r="BG294" i="4"/>
  <c r="BH78" i="2" s="1"/>
  <c r="BF294" i="4"/>
  <c r="BG78" i="2" s="1"/>
  <c r="BE294" i="4"/>
  <c r="BF78" i="2" s="1"/>
  <c r="BD294" i="4"/>
  <c r="BE78" i="2" s="1"/>
  <c r="L82" i="4"/>
  <c r="S293" i="4"/>
  <c r="T204" i="2" s="1"/>
  <c r="R293" i="4"/>
  <c r="S204" i="2" s="1"/>
  <c r="D293" i="4"/>
  <c r="E204" i="2" s="1"/>
  <c r="Q293" i="4"/>
  <c r="R204" i="2" s="1"/>
  <c r="P293" i="4"/>
  <c r="G293" i="4"/>
  <c r="H204" i="2" s="1"/>
  <c r="O293" i="4"/>
  <c r="N293" i="4"/>
  <c r="F293" i="4"/>
  <c r="G204" i="2" s="1"/>
  <c r="M293" i="4"/>
  <c r="N204" i="2" s="1"/>
  <c r="BJ293" i="4"/>
  <c r="BK204" i="2" s="1"/>
  <c r="BI293" i="4"/>
  <c r="BJ204" i="2" s="1"/>
  <c r="BH293" i="4"/>
  <c r="BI204" i="2" s="1"/>
  <c r="BG293" i="4"/>
  <c r="BH204" i="2" s="1"/>
  <c r="BF293" i="4"/>
  <c r="BG204" i="2" s="1"/>
  <c r="BE293" i="4"/>
  <c r="BF204" i="2" s="1"/>
  <c r="BD293" i="4"/>
  <c r="BE204" i="2" s="1"/>
  <c r="BC293" i="4"/>
  <c r="BD204" i="2" s="1"/>
  <c r="BB293" i="4"/>
  <c r="BC204" i="2" s="1"/>
  <c r="L81" i="4"/>
  <c r="BF292" i="4"/>
  <c r="BG30" i="2" s="1"/>
  <c r="AJ292" i="4"/>
  <c r="AK30" i="2" s="1"/>
  <c r="BE292" i="4"/>
  <c r="BF30" i="2" s="1"/>
  <c r="BD292" i="4"/>
  <c r="BE30" i="2" s="1"/>
  <c r="BC292" i="4"/>
  <c r="BD30" i="2" s="1"/>
  <c r="BB292" i="4"/>
  <c r="BC30" i="2" s="1"/>
  <c r="BA292" i="4"/>
  <c r="BB30" i="2" s="1"/>
  <c r="AZ292" i="4"/>
  <c r="BA30" i="2" s="1"/>
  <c r="AK292" i="4"/>
  <c r="AL30" i="2" s="1"/>
  <c r="AL292" i="4"/>
  <c r="AM30" i="2" s="1"/>
  <c r="AY292" i="4"/>
  <c r="AZ30" i="2" s="1"/>
  <c r="AH292" i="4"/>
  <c r="AI30" i="2" s="1"/>
  <c r="AN292" i="4"/>
  <c r="AO30" i="2" s="1"/>
  <c r="AO292" i="4"/>
  <c r="AP30" i="2" s="1"/>
  <c r="AP292" i="4"/>
  <c r="AQ30" i="2" s="1"/>
  <c r="AQ292" i="4"/>
  <c r="AR30" i="2" s="1"/>
  <c r="AR292" i="4"/>
  <c r="AS30" i="2" s="1"/>
  <c r="AS292" i="4"/>
  <c r="AT30" i="2" s="1"/>
  <c r="AT292" i="4"/>
  <c r="AU30" i="2" s="1"/>
  <c r="L80" i="4"/>
  <c r="AF291" i="4"/>
  <c r="AG180" i="2" s="1"/>
  <c r="AG291" i="4"/>
  <c r="AH180" i="2" s="1"/>
  <c r="AH291" i="4"/>
  <c r="AI180" i="2" s="1"/>
  <c r="AI291" i="4"/>
  <c r="AJ180" i="2" s="1"/>
  <c r="AJ291" i="4"/>
  <c r="AK180" i="2" s="1"/>
  <c r="AK291" i="4"/>
  <c r="AL180" i="2" s="1"/>
  <c r="AL291" i="4"/>
  <c r="AM180" i="2" s="1"/>
  <c r="AM291" i="4"/>
  <c r="AN180" i="2" s="1"/>
  <c r="AN291" i="4"/>
  <c r="AO180" i="2" s="1"/>
  <c r="AO291" i="4"/>
  <c r="AP180" i="2" s="1"/>
  <c r="AP291" i="4"/>
  <c r="AQ180" i="2" s="1"/>
  <c r="J291" i="4"/>
  <c r="K180" i="2" s="1"/>
  <c r="L291" i="4"/>
  <c r="M180" i="2" s="1"/>
  <c r="M291" i="4"/>
  <c r="N180" i="2" s="1"/>
  <c r="N291" i="4"/>
  <c r="O291" i="4"/>
  <c r="P291" i="4"/>
  <c r="Q291" i="4"/>
  <c r="R291" i="4"/>
  <c r="S291" i="4"/>
  <c r="T291" i="4"/>
  <c r="U180" i="2" s="1"/>
  <c r="U291" i="4"/>
  <c r="V180" i="2" s="1"/>
  <c r="V291" i="4"/>
  <c r="W180" i="2" s="1"/>
  <c r="W291" i="4"/>
  <c r="X180" i="2" s="1"/>
  <c r="X291" i="4"/>
  <c r="Y180" i="2" s="1"/>
  <c r="Y291" i="4"/>
  <c r="Z180" i="2" s="1"/>
  <c r="AA291" i="4"/>
  <c r="AB180" i="2" s="1"/>
  <c r="AB291" i="4"/>
  <c r="AC180" i="2" s="1"/>
  <c r="AC291" i="4"/>
  <c r="AD180" i="2" s="1"/>
  <c r="AD291" i="4"/>
  <c r="AE180" i="2" s="1"/>
  <c r="AQ291" i="4"/>
  <c r="AR180" i="2" s="1"/>
  <c r="AR291" i="4"/>
  <c r="AS180" i="2" s="1"/>
  <c r="K291" i="4"/>
  <c r="L180" i="2" s="1"/>
  <c r="AS291" i="4"/>
  <c r="AT180" i="2" s="1"/>
  <c r="AT291" i="4"/>
  <c r="AU180" i="2" s="1"/>
  <c r="AU291" i="4"/>
  <c r="AV180" i="2" s="1"/>
  <c r="AV291" i="4"/>
  <c r="AW180" i="2" s="1"/>
  <c r="AW291" i="4"/>
  <c r="AX180" i="2" s="1"/>
  <c r="AX291" i="4"/>
  <c r="AY180" i="2" s="1"/>
  <c r="AY291" i="4"/>
  <c r="AZ180" i="2" s="1"/>
  <c r="AZ291" i="4"/>
  <c r="BA180" i="2" s="1"/>
  <c r="BA291" i="4"/>
  <c r="BB180" i="2" s="1"/>
  <c r="L79" i="4"/>
  <c r="J290" i="4"/>
  <c r="K27" i="2" s="1"/>
  <c r="BG290" i="4"/>
  <c r="BH27" i="2" s="1"/>
  <c r="BD290" i="4"/>
  <c r="BE27" i="2" s="1"/>
  <c r="BC290" i="4"/>
  <c r="BD27" i="2" s="1"/>
  <c r="BB290" i="4"/>
  <c r="BC27" i="2" s="1"/>
  <c r="BA290" i="4"/>
  <c r="BB27" i="2" s="1"/>
  <c r="AZ290" i="4"/>
  <c r="BA27" i="2" s="1"/>
  <c r="L78" i="4"/>
  <c r="C289" i="4"/>
  <c r="D289" i="4"/>
  <c r="E138" i="2" s="1"/>
  <c r="E289" i="4"/>
  <c r="F138" i="2" s="1"/>
  <c r="F289" i="4"/>
  <c r="G138" i="2" s="1"/>
  <c r="G289" i="4"/>
  <c r="H138" i="2" s="1"/>
  <c r="I289" i="4"/>
  <c r="J289" i="4"/>
  <c r="K289" i="4"/>
  <c r="L289" i="4"/>
  <c r="M138" i="2" s="1"/>
  <c r="M289" i="4"/>
  <c r="N138" i="2" s="1"/>
  <c r="N289" i="4"/>
  <c r="O138" i="2" s="1"/>
  <c r="O289" i="4"/>
  <c r="P138" i="2" s="1"/>
  <c r="P289" i="4"/>
  <c r="Q138" i="2" s="1"/>
  <c r="Q289" i="4"/>
  <c r="R138" i="2" s="1"/>
  <c r="R289" i="4"/>
  <c r="S138" i="2" s="1"/>
  <c r="S289" i="4"/>
  <c r="T138" i="2" s="1"/>
  <c r="T289" i="4"/>
  <c r="U138" i="2" s="1"/>
  <c r="U289" i="4"/>
  <c r="V138" i="2" s="1"/>
  <c r="V289" i="4"/>
  <c r="W138" i="2" s="1"/>
  <c r="X289" i="4"/>
  <c r="Y138" i="2" s="1"/>
  <c r="Y289" i="4"/>
  <c r="Z138" i="2" s="1"/>
  <c r="Z289" i="4"/>
  <c r="AA138" i="2" s="1"/>
  <c r="AA289" i="4"/>
  <c r="AB138" i="2" s="1"/>
  <c r="AB289" i="4"/>
  <c r="AC138" i="2" s="1"/>
  <c r="AC289" i="4"/>
  <c r="AD138" i="2" s="1"/>
  <c r="AD289" i="4"/>
  <c r="AE138" i="2" s="1"/>
  <c r="AE289" i="4"/>
  <c r="AF138" i="2" s="1"/>
  <c r="AF289" i="4"/>
  <c r="AG138" i="2" s="1"/>
  <c r="AG289" i="4"/>
  <c r="AH138" i="2" s="1"/>
  <c r="AH289" i="4"/>
  <c r="AI138" i="2" s="1"/>
  <c r="AI289" i="4"/>
  <c r="AJ138" i="2" s="1"/>
  <c r="AJ289" i="4"/>
  <c r="AK138" i="2" s="1"/>
  <c r="AK289" i="4"/>
  <c r="AL138" i="2" s="1"/>
  <c r="AL289" i="4"/>
  <c r="AM138" i="2" s="1"/>
  <c r="L77" i="4"/>
  <c r="M77" i="4"/>
  <c r="N77" i="4" s="1"/>
  <c r="BI288" i="4"/>
  <c r="BJ147" i="2" s="1"/>
  <c r="BH288" i="4"/>
  <c r="BI147" i="2" s="1"/>
  <c r="BG288" i="4"/>
  <c r="BH147" i="2" s="1"/>
  <c r="BF288" i="4"/>
  <c r="BG147" i="2" s="1"/>
  <c r="BE288" i="4"/>
  <c r="BF147" i="2" s="1"/>
  <c r="AK288" i="4"/>
  <c r="AL147" i="2" s="1"/>
  <c r="E288" i="4"/>
  <c r="F147" i="2" s="1"/>
  <c r="BD288" i="4"/>
  <c r="BE147" i="2" s="1"/>
  <c r="BC288" i="4"/>
  <c r="BD147" i="2" s="1"/>
  <c r="BB288" i="4"/>
  <c r="BC147" i="2" s="1"/>
  <c r="BA288" i="4"/>
  <c r="BB147" i="2" s="1"/>
  <c r="AY288" i="4"/>
  <c r="AZ147" i="2" s="1"/>
  <c r="AX288" i="4"/>
  <c r="AY147" i="2" s="1"/>
  <c r="BJ288" i="4"/>
  <c r="BK147" i="2" s="1"/>
  <c r="AW288" i="4"/>
  <c r="AX147" i="2" s="1"/>
  <c r="AV288" i="4"/>
  <c r="AW147" i="2" s="1"/>
  <c r="AU288" i="4"/>
  <c r="AV147" i="2" s="1"/>
  <c r="AT288" i="4"/>
  <c r="AU147" i="2" s="1"/>
  <c r="AS288" i="4"/>
  <c r="AT147" i="2" s="1"/>
  <c r="AR288" i="4"/>
  <c r="AS147" i="2" s="1"/>
  <c r="AQ288" i="4"/>
  <c r="AR147" i="2" s="1"/>
  <c r="AP288" i="4"/>
  <c r="AQ147" i="2" s="1"/>
  <c r="AO288" i="4"/>
  <c r="AP147" i="2" s="1"/>
  <c r="AN288" i="4"/>
  <c r="AO147" i="2" s="1"/>
  <c r="AM288" i="4"/>
  <c r="AN147" i="2" s="1"/>
  <c r="AL288" i="4"/>
  <c r="AM147" i="2" s="1"/>
  <c r="AJ288" i="4"/>
  <c r="AK147" i="2" s="1"/>
  <c r="AI288" i="4"/>
  <c r="AJ147" i="2" s="1"/>
  <c r="AH288" i="4"/>
  <c r="AI147" i="2" s="1"/>
  <c r="AG288" i="4"/>
  <c r="AH147" i="2" s="1"/>
  <c r="AF288" i="4"/>
  <c r="AG147" i="2" s="1"/>
  <c r="AE288" i="4"/>
  <c r="AF147" i="2" s="1"/>
  <c r="AD288" i="4"/>
  <c r="AE147" i="2" s="1"/>
  <c r="AC288" i="4"/>
  <c r="AD147" i="2" s="1"/>
  <c r="AB288" i="4"/>
  <c r="AC147" i="2" s="1"/>
  <c r="AA288" i="4"/>
  <c r="AB147" i="2" s="1"/>
  <c r="Z288" i="4"/>
  <c r="AA147" i="2" s="1"/>
  <c r="AZ288" i="4"/>
  <c r="BA147" i="2" s="1"/>
  <c r="L76" i="4"/>
  <c r="BJ287" i="4"/>
  <c r="BK108" i="2" s="1"/>
  <c r="BI287" i="4"/>
  <c r="BJ108" i="2" s="1"/>
  <c r="BH287" i="4"/>
  <c r="BI108" i="2" s="1"/>
  <c r="BG287" i="4"/>
  <c r="BH108" i="2" s="1"/>
  <c r="BF287" i="4"/>
  <c r="BG108" i="2" s="1"/>
  <c r="BE287" i="4"/>
  <c r="BF108" i="2" s="1"/>
  <c r="BD287" i="4"/>
  <c r="BE108" i="2" s="1"/>
  <c r="BC287" i="4"/>
  <c r="BD108" i="2" s="1"/>
  <c r="BB287" i="4"/>
  <c r="BC108" i="2" s="1"/>
  <c r="BA287" i="4"/>
  <c r="BB108" i="2" s="1"/>
  <c r="AZ287" i="4"/>
  <c r="BA108" i="2" s="1"/>
  <c r="AY287" i="4"/>
  <c r="AZ108" i="2" s="1"/>
  <c r="AX287" i="4"/>
  <c r="AY108" i="2" s="1"/>
  <c r="AW287" i="4"/>
  <c r="AX108" i="2" s="1"/>
  <c r="AV287" i="4"/>
  <c r="AW108" i="2" s="1"/>
  <c r="AU287" i="4"/>
  <c r="AV108" i="2" s="1"/>
  <c r="AT287" i="4"/>
  <c r="AU108" i="2" s="1"/>
  <c r="AS287" i="4"/>
  <c r="AT108" i="2" s="1"/>
  <c r="AR287" i="4"/>
  <c r="AS108" i="2" s="1"/>
  <c r="AQ287" i="4"/>
  <c r="AR108" i="2" s="1"/>
  <c r="AP287" i="4"/>
  <c r="AQ108" i="2" s="1"/>
  <c r="AO287" i="4"/>
  <c r="AP108" i="2" s="1"/>
  <c r="AN287" i="4"/>
  <c r="AO108" i="2" s="1"/>
  <c r="AM287" i="4"/>
  <c r="AN108" i="2" s="1"/>
  <c r="AL287" i="4"/>
  <c r="AM108" i="2" s="1"/>
  <c r="AK287" i="4"/>
  <c r="AL108" i="2" s="1"/>
  <c r="AJ287" i="4"/>
  <c r="AK108" i="2" s="1"/>
  <c r="AI287" i="4"/>
  <c r="AJ108" i="2" s="1"/>
  <c r="AH287" i="4"/>
  <c r="AI108" i="2" s="1"/>
  <c r="AG287" i="4"/>
  <c r="AH108" i="2" s="1"/>
  <c r="AF287" i="4"/>
  <c r="AG108" i="2" s="1"/>
  <c r="AE287" i="4"/>
  <c r="AF108" i="2" s="1"/>
  <c r="AD287" i="4"/>
  <c r="AE108" i="2" s="1"/>
  <c r="AC287" i="4"/>
  <c r="AD108" i="2" s="1"/>
  <c r="AB287" i="4"/>
  <c r="AC108" i="2" s="1"/>
  <c r="Z287" i="4"/>
  <c r="AA108" i="2" s="1"/>
  <c r="Y287" i="4"/>
  <c r="Z108" i="2" s="1"/>
  <c r="X287" i="4"/>
  <c r="Y108" i="2" s="1"/>
  <c r="W287" i="4"/>
  <c r="X108" i="2" s="1"/>
  <c r="V287" i="4"/>
  <c r="W108" i="2" s="1"/>
  <c r="U287" i="4"/>
  <c r="T287" i="4"/>
  <c r="S287" i="4"/>
  <c r="R287" i="4"/>
  <c r="Q287" i="4"/>
  <c r="P287" i="4"/>
  <c r="L75" i="4"/>
  <c r="BC286" i="4"/>
  <c r="BD96" i="2" s="1"/>
  <c r="BD286" i="4"/>
  <c r="BE96" i="2" s="1"/>
  <c r="BE286" i="4"/>
  <c r="BF96" i="2" s="1"/>
  <c r="BF286" i="4"/>
  <c r="BG96" i="2" s="1"/>
  <c r="L74" i="4"/>
  <c r="E285" i="4"/>
  <c r="F285" i="4"/>
  <c r="G285" i="4"/>
  <c r="H285" i="4"/>
  <c r="I285" i="4"/>
  <c r="J285" i="4"/>
  <c r="K285" i="4"/>
  <c r="L285" i="4"/>
  <c r="M24" i="2" s="1"/>
  <c r="M285" i="4"/>
  <c r="N24" i="2" s="1"/>
  <c r="N285" i="4"/>
  <c r="O24" i="2" s="1"/>
  <c r="O285" i="4"/>
  <c r="P24" i="2" s="1"/>
  <c r="P285" i="4"/>
  <c r="Q24" i="2" s="1"/>
  <c r="Q285" i="4"/>
  <c r="R24" i="2" s="1"/>
  <c r="R285" i="4"/>
  <c r="S24" i="2" s="1"/>
  <c r="S285" i="4"/>
  <c r="T24" i="2" s="1"/>
  <c r="T285" i="4"/>
  <c r="U24" i="2" s="1"/>
  <c r="U285" i="4"/>
  <c r="V24" i="2" s="1"/>
  <c r="V285" i="4"/>
  <c r="W24" i="2" s="1"/>
  <c r="W285" i="4"/>
  <c r="X24" i="2" s="1"/>
  <c r="X285" i="4"/>
  <c r="Y24" i="2" s="1"/>
  <c r="Y285" i="4"/>
  <c r="Z24" i="2" s="1"/>
  <c r="Z285" i="4"/>
  <c r="AA24" i="2" s="1"/>
  <c r="AA285" i="4"/>
  <c r="AB24" i="2" s="1"/>
  <c r="AB285" i="4"/>
  <c r="AC24" i="2" s="1"/>
  <c r="AC285" i="4"/>
  <c r="AD24" i="2" s="1"/>
  <c r="AD285" i="4"/>
  <c r="AE24" i="2" s="1"/>
  <c r="AE285" i="4"/>
  <c r="AF24" i="2" s="1"/>
  <c r="AF285" i="4"/>
  <c r="AG24" i="2" s="1"/>
  <c r="AG285" i="4"/>
  <c r="AH24" i="2" s="1"/>
  <c r="AH285" i="4"/>
  <c r="AI24" i="2" s="1"/>
  <c r="AI285" i="4"/>
  <c r="AJ24" i="2" s="1"/>
  <c r="AJ285" i="4"/>
  <c r="AK24" i="2" s="1"/>
  <c r="AX285" i="4"/>
  <c r="AY24" i="2" s="1"/>
  <c r="AK285" i="4"/>
  <c r="AL24" i="2" s="1"/>
  <c r="AL285" i="4"/>
  <c r="AM24" i="2" s="1"/>
  <c r="AM285" i="4"/>
  <c r="AN24" i="2" s="1"/>
  <c r="AN285" i="4"/>
  <c r="AO24" i="2" s="1"/>
  <c r="AO285" i="4"/>
  <c r="AP24" i="2" s="1"/>
  <c r="AP285" i="4"/>
  <c r="AQ24" i="2" s="1"/>
  <c r="AQ285" i="4"/>
  <c r="AR24" i="2" s="1"/>
  <c r="AR285" i="4"/>
  <c r="AS24" i="2" s="1"/>
  <c r="AS285" i="4"/>
  <c r="AT24" i="2" s="1"/>
  <c r="AT285" i="4"/>
  <c r="AU24" i="2" s="1"/>
  <c r="L73" i="4"/>
  <c r="L72" i="4"/>
  <c r="M72" i="4" s="1"/>
  <c r="N72" i="4" s="1"/>
  <c r="L71" i="4"/>
  <c r="M71" i="4" s="1"/>
  <c r="N71" i="4" s="1"/>
  <c r="L70" i="4"/>
  <c r="M70" i="4" s="1"/>
  <c r="N70" i="4" s="1"/>
  <c r="L69" i="4"/>
  <c r="M69" i="4" s="1"/>
  <c r="N69" i="4" s="1"/>
  <c r="L68" i="4"/>
  <c r="M68" i="4" s="1"/>
  <c r="N68" i="4" s="1"/>
  <c r="L67" i="4"/>
  <c r="M67" i="4" s="1"/>
  <c r="N67" i="4" s="1"/>
  <c r="L66" i="4"/>
  <c r="M66" i="4" s="1"/>
  <c r="N66" i="4" s="1"/>
  <c r="L65" i="4"/>
  <c r="M65" i="4" s="1"/>
  <c r="N65" i="4" s="1"/>
  <c r="L64" i="4"/>
  <c r="M64" i="4" s="1"/>
  <c r="N64" i="4" s="1"/>
  <c r="L63" i="4"/>
  <c r="M63" i="4" s="1"/>
  <c r="N63" i="4" s="1"/>
  <c r="L62" i="4"/>
  <c r="M62" i="4" s="1"/>
  <c r="N62" i="4" s="1"/>
  <c r="L61" i="4"/>
  <c r="M61" i="4" s="1"/>
  <c r="N61" i="4" s="1"/>
  <c r="L60" i="4"/>
  <c r="M60" i="4"/>
  <c r="N60" i="4" s="1"/>
  <c r="L59" i="4"/>
  <c r="M59" i="4" s="1"/>
  <c r="N59" i="4" s="1"/>
  <c r="L58" i="4"/>
  <c r="M58" i="4" s="1"/>
  <c r="N58" i="4" s="1"/>
  <c r="L57" i="4"/>
  <c r="M57" i="4" s="1"/>
  <c r="N57" i="4" s="1"/>
  <c r="L56" i="4"/>
  <c r="M56" i="4"/>
  <c r="N56" i="4" s="1"/>
  <c r="L55" i="4"/>
  <c r="M55" i="4" s="1"/>
  <c r="N55" i="4" s="1"/>
  <c r="L54" i="4"/>
  <c r="M54" i="4" s="1"/>
  <c r="N54" i="4" s="1"/>
  <c r="L53" i="4"/>
  <c r="M53" i="4"/>
  <c r="N53" i="4" s="1"/>
  <c r="L52" i="4"/>
  <c r="M52" i="4"/>
  <c r="N52" i="4" s="1"/>
  <c r="L51" i="4"/>
  <c r="M51" i="4" s="1"/>
  <c r="N51" i="4" s="1"/>
  <c r="L50" i="4"/>
  <c r="M50" i="4"/>
  <c r="N50" i="4" s="1"/>
  <c r="L49" i="4"/>
  <c r="M49" i="4" s="1"/>
  <c r="N49" i="4" s="1"/>
  <c r="L48" i="4"/>
  <c r="M48" i="4"/>
  <c r="N48" i="4" s="1"/>
  <c r="L47" i="4"/>
  <c r="M47" i="4" s="1"/>
  <c r="N47" i="4" s="1"/>
  <c r="L46" i="4"/>
  <c r="M46" i="4"/>
  <c r="N46" i="4" s="1"/>
  <c r="L45" i="4"/>
  <c r="M45" i="4"/>
  <c r="N45" i="4" s="1"/>
  <c r="N256" i="4"/>
  <c r="O282" i="2" s="1"/>
  <c r="K256" i="4"/>
  <c r="L282" i="2" s="1"/>
  <c r="J256" i="4"/>
  <c r="K282" i="2" s="1"/>
  <c r="I256" i="4"/>
  <c r="J282" i="2" s="1"/>
  <c r="H256" i="4"/>
  <c r="I282" i="2" s="1"/>
  <c r="G256" i="4"/>
  <c r="H282" i="2" s="1"/>
  <c r="F256" i="4"/>
  <c r="G282" i="2" s="1"/>
  <c r="L256" i="4"/>
  <c r="M282" i="2" s="1"/>
  <c r="L44" i="4"/>
  <c r="M44" i="4"/>
  <c r="N44" i="4" s="1"/>
  <c r="C255" i="4"/>
  <c r="D255" i="4"/>
  <c r="E279" i="2" s="1"/>
  <c r="E255" i="4"/>
  <c r="F279" i="2" s="1"/>
  <c r="F255" i="4"/>
  <c r="G279" i="2" s="1"/>
  <c r="G255" i="4"/>
  <c r="H279" i="2" s="1"/>
  <c r="H255" i="4"/>
  <c r="I279" i="2" s="1"/>
  <c r="I255" i="4"/>
  <c r="J279" i="2" s="1"/>
  <c r="J255" i="4"/>
  <c r="K279" i="2" s="1"/>
  <c r="K255" i="4"/>
  <c r="L279" i="2" s="1"/>
  <c r="L255" i="4"/>
  <c r="M279" i="2" s="1"/>
  <c r="M255" i="4"/>
  <c r="N279" i="2" s="1"/>
  <c r="N255" i="4"/>
  <c r="O279" i="2" s="1"/>
  <c r="O255" i="4"/>
  <c r="P279" i="2" s="1"/>
  <c r="P255" i="4"/>
  <c r="Q279" i="2" s="1"/>
  <c r="Q255" i="4"/>
  <c r="R279" i="2" s="1"/>
  <c r="R255" i="4"/>
  <c r="S279" i="2" s="1"/>
  <c r="S255" i="4"/>
  <c r="T255" i="4"/>
  <c r="U255" i="4"/>
  <c r="V279" i="2" s="1"/>
  <c r="V255" i="4"/>
  <c r="W279" i="2" s="1"/>
  <c r="W255" i="4"/>
  <c r="X279" i="2" s="1"/>
  <c r="X255" i="4"/>
  <c r="Y279" i="2" s="1"/>
  <c r="L43" i="4"/>
  <c r="M43" i="4"/>
  <c r="N43" i="4" s="1"/>
  <c r="BJ254" i="4"/>
  <c r="BK156" i="2" s="1"/>
  <c r="AV254" i="4"/>
  <c r="AW156" i="2" s="1"/>
  <c r="AW254" i="4"/>
  <c r="AX156" i="2" s="1"/>
  <c r="AX254" i="4"/>
  <c r="AY156" i="2" s="1"/>
  <c r="AY254" i="4"/>
  <c r="AZ156" i="2" s="1"/>
  <c r="BA254" i="4"/>
  <c r="BB156" i="2" s="1"/>
  <c r="BB254" i="4"/>
  <c r="BC156" i="2" s="1"/>
  <c r="BC254" i="4"/>
  <c r="BD156" i="2" s="1"/>
  <c r="BD254" i="4"/>
  <c r="BE156" i="2" s="1"/>
  <c r="BE254" i="4"/>
  <c r="BF156" i="2" s="1"/>
  <c r="BF254" i="4"/>
  <c r="BG156" i="2" s="1"/>
  <c r="BG254" i="4"/>
  <c r="BH156" i="2" s="1"/>
  <c r="BH254" i="4"/>
  <c r="BI156" i="2" s="1"/>
  <c r="C254" i="4"/>
  <c r="D254" i="4"/>
  <c r="E156" i="2" s="1"/>
  <c r="L42" i="4"/>
  <c r="M42" i="4"/>
  <c r="N42" i="4" s="1"/>
  <c r="AX253" i="4"/>
  <c r="AY189" i="2" s="1"/>
  <c r="AY253" i="4"/>
  <c r="AZ189" i="2" s="1"/>
  <c r="AZ253" i="4"/>
  <c r="BA189" i="2" s="1"/>
  <c r="BB253" i="4"/>
  <c r="BC189" i="2" s="1"/>
  <c r="BC253" i="4"/>
  <c r="BD189" i="2" s="1"/>
  <c r="BD253" i="4"/>
  <c r="BE189" i="2" s="1"/>
  <c r="BE253" i="4"/>
  <c r="BF189" i="2" s="1"/>
  <c r="BF253" i="4"/>
  <c r="BG189" i="2" s="1"/>
  <c r="BG253" i="4"/>
  <c r="BH189" i="2" s="1"/>
  <c r="BH253" i="4"/>
  <c r="BI189" i="2" s="1"/>
  <c r="BI253" i="4"/>
  <c r="BJ189" i="2" s="1"/>
  <c r="BJ253" i="4"/>
  <c r="BK189" i="2" s="1"/>
  <c r="AS253" i="4"/>
  <c r="AT189" i="2" s="1"/>
  <c r="J253" i="4"/>
  <c r="K189" i="2" s="1"/>
  <c r="I253" i="4"/>
  <c r="J189" i="2" s="1"/>
  <c r="H253" i="4"/>
  <c r="I189" i="2" s="1"/>
  <c r="F253" i="4"/>
  <c r="G189" i="2" s="1"/>
  <c r="E253" i="4"/>
  <c r="F189" i="2" s="1"/>
  <c r="D253" i="4"/>
  <c r="E189" i="2" s="1"/>
  <c r="C253" i="4"/>
  <c r="L41" i="4"/>
  <c r="AO252" i="4"/>
  <c r="AP81" i="2" s="1"/>
  <c r="C252" i="4"/>
  <c r="E252" i="4"/>
  <c r="F81" i="2" s="1"/>
  <c r="F252" i="4"/>
  <c r="G81" i="2" s="1"/>
  <c r="L40" i="4"/>
  <c r="AS251" i="4"/>
  <c r="AT18" i="2" s="1"/>
  <c r="AR251" i="4"/>
  <c r="AS18" i="2" s="1"/>
  <c r="AQ251" i="4"/>
  <c r="AR18" i="2" s="1"/>
  <c r="AP251" i="4"/>
  <c r="AQ18" i="2" s="1"/>
  <c r="L39" i="4"/>
  <c r="D250" i="4"/>
  <c r="E135" i="2" s="1"/>
  <c r="C250" i="4"/>
  <c r="Z250" i="4"/>
  <c r="AA135" i="2" s="1"/>
  <c r="Y250" i="4"/>
  <c r="Z135" i="2" s="1"/>
  <c r="AU250" i="4"/>
  <c r="AV135" i="2" s="1"/>
  <c r="X250" i="4"/>
  <c r="Y135" i="2" s="1"/>
  <c r="W250" i="4"/>
  <c r="X135" i="2" s="1"/>
  <c r="V250" i="4"/>
  <c r="W135" i="2" s="1"/>
  <c r="U250" i="4"/>
  <c r="V135" i="2" s="1"/>
  <c r="T250" i="4"/>
  <c r="U135" i="2" s="1"/>
  <c r="S250" i="4"/>
  <c r="T135" i="2" s="1"/>
  <c r="R250" i="4"/>
  <c r="S135" i="2" s="1"/>
  <c r="AT250" i="4"/>
  <c r="AU135" i="2" s="1"/>
  <c r="P250" i="4"/>
  <c r="Q135" i="2" s="1"/>
  <c r="AS250" i="4"/>
  <c r="AT135" i="2" s="1"/>
  <c r="O250" i="4"/>
  <c r="P135" i="2" s="1"/>
  <c r="N250" i="4"/>
  <c r="O135" i="2" s="1"/>
  <c r="M250" i="4"/>
  <c r="N135" i="2" s="1"/>
  <c r="L250" i="4"/>
  <c r="M135" i="2" s="1"/>
  <c r="K250" i="4"/>
  <c r="L135" i="2" s="1"/>
  <c r="J250" i="4"/>
  <c r="I250" i="4"/>
  <c r="H250" i="4"/>
  <c r="I135" i="2" s="1"/>
  <c r="G250" i="4"/>
  <c r="H135" i="2" s="1"/>
  <c r="AQ250" i="4"/>
  <c r="AR135" i="2" s="1"/>
  <c r="AP250" i="4"/>
  <c r="AQ135" i="2" s="1"/>
  <c r="AO250" i="4"/>
  <c r="AP135" i="2" s="1"/>
  <c r="AV250" i="4"/>
  <c r="AW135" i="2" s="1"/>
  <c r="AN250" i="4"/>
  <c r="AO135" i="2" s="1"/>
  <c r="AM250" i="4"/>
  <c r="AN135" i="2" s="1"/>
  <c r="AL250" i="4"/>
  <c r="AM135" i="2" s="1"/>
  <c r="AK250" i="4"/>
  <c r="AL135" i="2" s="1"/>
  <c r="AJ250" i="4"/>
  <c r="AK135" i="2" s="1"/>
  <c r="AI250" i="4"/>
  <c r="AJ135" i="2" s="1"/>
  <c r="AH250" i="4"/>
  <c r="AI135" i="2" s="1"/>
  <c r="AG250" i="4"/>
  <c r="AH135" i="2" s="1"/>
  <c r="AF250" i="4"/>
  <c r="AG135" i="2" s="1"/>
  <c r="AE250" i="4"/>
  <c r="AF135" i="2" s="1"/>
  <c r="AD250" i="4"/>
  <c r="AE135" i="2" s="1"/>
  <c r="AC250" i="4"/>
  <c r="AD135" i="2" s="1"/>
  <c r="AB250" i="4"/>
  <c r="AC135" i="2" s="1"/>
  <c r="AA250" i="4"/>
  <c r="AB135" i="2" s="1"/>
  <c r="Q250" i="4"/>
  <c r="R135" i="2" s="1"/>
  <c r="L38" i="4"/>
  <c r="BJ249" i="4"/>
  <c r="BK15" i="2" s="1"/>
  <c r="BI249" i="4"/>
  <c r="BJ15" i="2" s="1"/>
  <c r="BH249" i="4"/>
  <c r="BI15" i="2" s="1"/>
  <c r="BG249" i="4"/>
  <c r="BH15" i="2" s="1"/>
  <c r="BF249" i="4"/>
  <c r="BG15" i="2" s="1"/>
  <c r="BE249" i="4"/>
  <c r="BF15" i="2" s="1"/>
  <c r="BD249" i="4"/>
  <c r="BE15" i="2" s="1"/>
  <c r="BC249" i="4"/>
  <c r="BD15" i="2" s="1"/>
  <c r="BB249" i="4"/>
  <c r="BC15" i="2" s="1"/>
  <c r="BA249" i="4"/>
  <c r="BB15" i="2" s="1"/>
  <c r="AZ249" i="4"/>
  <c r="BA15" i="2" s="1"/>
  <c r="AY249" i="4"/>
  <c r="AZ15" i="2" s="1"/>
  <c r="AX249" i="4"/>
  <c r="AY15" i="2" s="1"/>
  <c r="AW249" i="4"/>
  <c r="AX15" i="2" s="1"/>
  <c r="AV249" i="4"/>
  <c r="AW15" i="2" s="1"/>
  <c r="AU249" i="4"/>
  <c r="AV15" i="2" s="1"/>
  <c r="AT249" i="4"/>
  <c r="AU15" i="2" s="1"/>
  <c r="AS249" i="4"/>
  <c r="AT15" i="2" s="1"/>
  <c r="AR249" i="4"/>
  <c r="AS15" i="2" s="1"/>
  <c r="AQ249" i="4"/>
  <c r="AR15" i="2" s="1"/>
  <c r="AP249" i="4"/>
  <c r="AQ15" i="2" s="1"/>
  <c r="AO249" i="4"/>
  <c r="AP15" i="2" s="1"/>
  <c r="AN249" i="4"/>
  <c r="AO15" i="2" s="1"/>
  <c r="AM249" i="4"/>
  <c r="AN15" i="2" s="1"/>
  <c r="AL249" i="4"/>
  <c r="AM15" i="2" s="1"/>
  <c r="L37" i="4"/>
  <c r="E248" i="4"/>
  <c r="F129" i="2" s="1"/>
  <c r="AY248" i="4"/>
  <c r="AZ129" i="2" s="1"/>
  <c r="BF248" i="4"/>
  <c r="BG129" i="2" s="1"/>
  <c r="BE248" i="4"/>
  <c r="BF129" i="2" s="1"/>
  <c r="BD248" i="4"/>
  <c r="BE129" i="2" s="1"/>
  <c r="BC248" i="4"/>
  <c r="BD129" i="2" s="1"/>
  <c r="BB248" i="4"/>
  <c r="BC129" i="2" s="1"/>
  <c r="BA248" i="4"/>
  <c r="BB129" i="2" s="1"/>
  <c r="AZ248" i="4"/>
  <c r="BA129" i="2" s="1"/>
  <c r="P248" i="4"/>
  <c r="Q129" i="2" s="1"/>
  <c r="AX248" i="4"/>
  <c r="AY129" i="2" s="1"/>
  <c r="AW248" i="4"/>
  <c r="AX129" i="2" s="1"/>
  <c r="AV248" i="4"/>
  <c r="AW129" i="2" s="1"/>
  <c r="AU248" i="4"/>
  <c r="AV129" i="2" s="1"/>
  <c r="AT248" i="4"/>
  <c r="AU129" i="2" s="1"/>
  <c r="AS248" i="4"/>
  <c r="AT129" i="2" s="1"/>
  <c r="AR248" i="4"/>
  <c r="AS129" i="2" s="1"/>
  <c r="AQ248" i="4"/>
  <c r="AR129" i="2" s="1"/>
  <c r="AP248" i="4"/>
  <c r="AQ129" i="2" s="1"/>
  <c r="AO248" i="4"/>
  <c r="AP129" i="2" s="1"/>
  <c r="AN248" i="4"/>
  <c r="AO129" i="2" s="1"/>
  <c r="AM248" i="4"/>
  <c r="AN129" i="2" s="1"/>
  <c r="AL248" i="4"/>
  <c r="AM129" i="2" s="1"/>
  <c r="AK248" i="4"/>
  <c r="AL129" i="2" s="1"/>
  <c r="L36" i="4"/>
  <c r="H247" i="4"/>
  <c r="I12" i="2" s="1"/>
  <c r="G247" i="4"/>
  <c r="H12" i="2" s="1"/>
  <c r="F247" i="4"/>
  <c r="G12" i="2" s="1"/>
  <c r="E247" i="4"/>
  <c r="F12" i="2" s="1"/>
  <c r="D247" i="4"/>
  <c r="E12" i="2" s="1"/>
  <c r="M36" i="4"/>
  <c r="N36" i="4" s="1"/>
  <c r="AE247" i="4"/>
  <c r="AF12" i="2" s="1"/>
  <c r="AD247" i="4"/>
  <c r="AE12" i="2" s="1"/>
  <c r="AC247" i="4"/>
  <c r="AD12" i="2" s="1"/>
  <c r="AB247" i="4"/>
  <c r="AC12" i="2" s="1"/>
  <c r="AA247" i="4"/>
  <c r="AB12" i="2" s="1"/>
  <c r="Z247" i="4"/>
  <c r="AA12" i="2" s="1"/>
  <c r="Y247" i="4"/>
  <c r="Z12" i="2" s="1"/>
  <c r="I247" i="4"/>
  <c r="J12" i="2" s="1"/>
  <c r="AF247" i="4"/>
  <c r="AG12" i="2" s="1"/>
  <c r="X247" i="4"/>
  <c r="Y12" i="2" s="1"/>
  <c r="W247" i="4"/>
  <c r="X12" i="2" s="1"/>
  <c r="V247" i="4"/>
  <c r="W12" i="2" s="1"/>
  <c r="U247" i="4"/>
  <c r="V12" i="2" s="1"/>
  <c r="T247" i="4"/>
  <c r="U12" i="2" s="1"/>
  <c r="S247" i="4"/>
  <c r="T12" i="2" s="1"/>
  <c r="R247" i="4"/>
  <c r="S12" i="2" s="1"/>
  <c r="Q247" i="4"/>
  <c r="R12" i="2" s="1"/>
  <c r="P247" i="4"/>
  <c r="Q12" i="2" s="1"/>
  <c r="O247" i="4"/>
  <c r="P12" i="2" s="1"/>
  <c r="N247" i="4"/>
  <c r="O12" i="2" s="1"/>
  <c r="M247" i="4"/>
  <c r="N12" i="2" s="1"/>
  <c r="L247" i="4"/>
  <c r="M12" i="2" s="1"/>
  <c r="K247" i="4"/>
  <c r="L12" i="2" s="1"/>
  <c r="C247" i="4"/>
  <c r="L35" i="4"/>
  <c r="AK246" i="4"/>
  <c r="AL192" i="2" s="1"/>
  <c r="AJ246" i="4"/>
  <c r="AK192" i="2" s="1"/>
  <c r="AI246" i="4"/>
  <c r="AJ192" i="2" s="1"/>
  <c r="AH246" i="4"/>
  <c r="AI192" i="2" s="1"/>
  <c r="AG246" i="4"/>
  <c r="AH192" i="2" s="1"/>
  <c r="M35" i="4"/>
  <c r="N35" i="4" s="1"/>
  <c r="AL246" i="4"/>
  <c r="AM192" i="2" s="1"/>
  <c r="BJ246" i="4"/>
  <c r="BK192" i="2" s="1"/>
  <c r="BI246" i="4"/>
  <c r="BJ192" i="2" s="1"/>
  <c r="BH246" i="4"/>
  <c r="BI192" i="2" s="1"/>
  <c r="BG246" i="4"/>
  <c r="BH192" i="2" s="1"/>
  <c r="BF246" i="4"/>
  <c r="BG192" i="2" s="1"/>
  <c r="BE246" i="4"/>
  <c r="BF192" i="2" s="1"/>
  <c r="BD246" i="4"/>
  <c r="BE192" i="2" s="1"/>
  <c r="AF246" i="4"/>
  <c r="AG192" i="2" s="1"/>
  <c r="AE246" i="4"/>
  <c r="AF192" i="2" s="1"/>
  <c r="AD246" i="4"/>
  <c r="AE192" i="2" s="1"/>
  <c r="AC246" i="4"/>
  <c r="AD192" i="2" s="1"/>
  <c r="AB246" i="4"/>
  <c r="AC192" i="2" s="1"/>
  <c r="AA246" i="4"/>
  <c r="AB192" i="2" s="1"/>
  <c r="Z246" i="4"/>
  <c r="AA192" i="2" s="1"/>
  <c r="Y246" i="4"/>
  <c r="Z192" i="2" s="1"/>
  <c r="X246" i="4"/>
  <c r="Y192" i="2" s="1"/>
  <c r="W246" i="4"/>
  <c r="X192" i="2" s="1"/>
  <c r="V246" i="4"/>
  <c r="W192" i="2" s="1"/>
  <c r="U246" i="4"/>
  <c r="V192" i="2" s="1"/>
  <c r="T246" i="4"/>
  <c r="U192" i="2" s="1"/>
  <c r="S246" i="4"/>
  <c r="T192" i="2" s="1"/>
  <c r="BC246" i="4"/>
  <c r="BD192" i="2" s="1"/>
  <c r="Q246" i="4"/>
  <c r="R192" i="2" s="1"/>
  <c r="P246" i="4"/>
  <c r="Q192" i="2" s="1"/>
  <c r="O246" i="4"/>
  <c r="N246" i="4"/>
  <c r="M246" i="4"/>
  <c r="N192" i="2" s="1"/>
  <c r="L246" i="4"/>
  <c r="M192" i="2" s="1"/>
  <c r="K246" i="4"/>
  <c r="L192" i="2" s="1"/>
  <c r="J246" i="4"/>
  <c r="K192" i="2" s="1"/>
  <c r="I246" i="4"/>
  <c r="J192" i="2" s="1"/>
  <c r="H246" i="4"/>
  <c r="I192" i="2" s="1"/>
  <c r="G246" i="4"/>
  <c r="H192" i="2" s="1"/>
  <c r="F246" i="4"/>
  <c r="G192" i="2" s="1"/>
  <c r="E246" i="4"/>
  <c r="F192" i="2" s="1"/>
  <c r="D246" i="4"/>
  <c r="E192" i="2" s="1"/>
  <c r="C246" i="4"/>
  <c r="R246" i="4"/>
  <c r="S192" i="2" s="1"/>
  <c r="BB246" i="4"/>
  <c r="BC192" i="2" s="1"/>
  <c r="BA246" i="4"/>
  <c r="BB192" i="2" s="1"/>
  <c r="AZ246" i="4"/>
  <c r="BA192" i="2" s="1"/>
  <c r="AY246" i="4"/>
  <c r="AZ192" i="2" s="1"/>
  <c r="AX246" i="4"/>
  <c r="AY192" i="2" s="1"/>
  <c r="AW246" i="4"/>
  <c r="AX192" i="2" s="1"/>
  <c r="AV246" i="4"/>
  <c r="AW192" i="2" s="1"/>
  <c r="AU246" i="4"/>
  <c r="AV192" i="2" s="1"/>
  <c r="AT246" i="4"/>
  <c r="AU192" i="2" s="1"/>
  <c r="AS246" i="4"/>
  <c r="AT192" i="2" s="1"/>
  <c r="AR246" i="4"/>
  <c r="AS192" i="2" s="1"/>
  <c r="AQ246" i="4"/>
  <c r="AR192" i="2" s="1"/>
  <c r="AP246" i="4"/>
  <c r="AQ192" i="2" s="1"/>
  <c r="AO246" i="4"/>
  <c r="AP192" i="2" s="1"/>
  <c r="AN246" i="4"/>
  <c r="AO192" i="2" s="1"/>
  <c r="AM246" i="4"/>
  <c r="AN192" i="2" s="1"/>
  <c r="L34" i="4"/>
  <c r="I245" i="4"/>
  <c r="J168" i="2" s="1"/>
  <c r="J245" i="4"/>
  <c r="K168" i="2" s="1"/>
  <c r="G245" i="4"/>
  <c r="H168" i="2" s="1"/>
  <c r="F245" i="4"/>
  <c r="G168" i="2" s="1"/>
  <c r="E245" i="4"/>
  <c r="F168" i="2" s="1"/>
  <c r="M34" i="4"/>
  <c r="N34" i="4" s="1"/>
  <c r="C245" i="4"/>
  <c r="D245" i="4"/>
  <c r="E168" i="2" s="1"/>
  <c r="K245" i="4"/>
  <c r="L168" i="2" s="1"/>
  <c r="L245" i="4"/>
  <c r="M168" i="2" s="1"/>
  <c r="M245" i="4"/>
  <c r="N168" i="2" s="1"/>
  <c r="N245" i="4"/>
  <c r="O245" i="4"/>
  <c r="P168" i="2" s="1"/>
  <c r="P245" i="4"/>
  <c r="Q168" i="2" s="1"/>
  <c r="BJ245" i="4"/>
  <c r="BK168" i="2" s="1"/>
  <c r="BI245" i="4"/>
  <c r="BJ168" i="2" s="1"/>
  <c r="BH245" i="4"/>
  <c r="BI168" i="2" s="1"/>
  <c r="BG245" i="4"/>
  <c r="BH168" i="2" s="1"/>
  <c r="BF245" i="4"/>
  <c r="BG168" i="2" s="1"/>
  <c r="BE245" i="4"/>
  <c r="BF168" i="2" s="1"/>
  <c r="BD245" i="4"/>
  <c r="BE168" i="2" s="1"/>
  <c r="BC245" i="4"/>
  <c r="BD168" i="2" s="1"/>
  <c r="BB245" i="4"/>
  <c r="BC168" i="2" s="1"/>
  <c r="BA245" i="4"/>
  <c r="BB168" i="2" s="1"/>
  <c r="AZ245" i="4"/>
  <c r="BA168" i="2" s="1"/>
  <c r="AY245" i="4"/>
  <c r="AZ168" i="2" s="1"/>
  <c r="AX245" i="4"/>
  <c r="AY168" i="2" s="1"/>
  <c r="AW245" i="4"/>
  <c r="AX168" i="2" s="1"/>
  <c r="AV245" i="4"/>
  <c r="AW168" i="2" s="1"/>
  <c r="Q245" i="4"/>
  <c r="R168" i="2" s="1"/>
  <c r="AT245" i="4"/>
  <c r="AU168" i="2" s="1"/>
  <c r="AS245" i="4"/>
  <c r="AT168" i="2" s="1"/>
  <c r="AR245" i="4"/>
  <c r="AS168" i="2" s="1"/>
  <c r="AQ245" i="4"/>
  <c r="AR168" i="2" s="1"/>
  <c r="AP245" i="4"/>
  <c r="AQ168" i="2" s="1"/>
  <c r="AO245" i="4"/>
  <c r="AP168" i="2" s="1"/>
  <c r="AN245" i="4"/>
  <c r="AO168" i="2" s="1"/>
  <c r="AM245" i="4"/>
  <c r="AN168" i="2" s="1"/>
  <c r="AL245" i="4"/>
  <c r="AM168" i="2" s="1"/>
  <c r="AK245" i="4"/>
  <c r="AL168" i="2" s="1"/>
  <c r="AJ245" i="4"/>
  <c r="AK168" i="2" s="1"/>
  <c r="AI245" i="4"/>
  <c r="AJ168" i="2" s="1"/>
  <c r="AH245" i="4"/>
  <c r="AI168" i="2" s="1"/>
  <c r="AG245" i="4"/>
  <c r="AH168" i="2" s="1"/>
  <c r="R245" i="4"/>
  <c r="S168" i="2" s="1"/>
  <c r="S245" i="4"/>
  <c r="T168" i="2" s="1"/>
  <c r="T245" i="4"/>
  <c r="U168" i="2" s="1"/>
  <c r="U245" i="4"/>
  <c r="V168" i="2" s="1"/>
  <c r="V245" i="4"/>
  <c r="W168" i="2" s="1"/>
  <c r="W245" i="4"/>
  <c r="X168" i="2" s="1"/>
  <c r="X245" i="4"/>
  <c r="Y168" i="2" s="1"/>
  <c r="Y245" i="4"/>
  <c r="Z168" i="2" s="1"/>
  <c r="Z245" i="4"/>
  <c r="AA168" i="2" s="1"/>
  <c r="AA245" i="4"/>
  <c r="AB168" i="2" s="1"/>
  <c r="AB245" i="4"/>
  <c r="AC168" i="2" s="1"/>
  <c r="AC245" i="4"/>
  <c r="AD168" i="2" s="1"/>
  <c r="AD245" i="4"/>
  <c r="AE168" i="2" s="1"/>
  <c r="AE245" i="4"/>
  <c r="AF168" i="2" s="1"/>
  <c r="AF245" i="4"/>
  <c r="AG168" i="2" s="1"/>
  <c r="H245" i="4"/>
  <c r="I168" i="2" s="1"/>
  <c r="AU245" i="4"/>
  <c r="AV168" i="2" s="1"/>
  <c r="L33" i="4"/>
  <c r="M33" i="4" s="1"/>
  <c r="N33" i="4" s="1"/>
  <c r="AL244" i="4"/>
  <c r="AM9" i="2" s="1"/>
  <c r="C244" i="4"/>
  <c r="D244" i="4"/>
  <c r="E244" i="4"/>
  <c r="F9" i="2" s="1"/>
  <c r="F244" i="4"/>
  <c r="G9" i="2" s="1"/>
  <c r="G244" i="4"/>
  <c r="H9" i="2" s="1"/>
  <c r="H244" i="4"/>
  <c r="I9" i="2" s="1"/>
  <c r="I244" i="4"/>
  <c r="J9" i="2" s="1"/>
  <c r="J244" i="4"/>
  <c r="K9" i="2" s="1"/>
  <c r="K244" i="4"/>
  <c r="L9" i="2" s="1"/>
  <c r="L244" i="4"/>
  <c r="M9" i="2" s="1"/>
  <c r="L32" i="4"/>
  <c r="M32" i="4"/>
  <c r="N32" i="4" s="1"/>
  <c r="AO243" i="4"/>
  <c r="AP45" i="2" s="1"/>
  <c r="L31" i="4"/>
  <c r="M31" i="4"/>
  <c r="N31" i="4" s="1"/>
  <c r="Z242" i="4"/>
  <c r="AA201" i="2" s="1"/>
  <c r="G242" i="4"/>
  <c r="H201" i="2" s="1"/>
  <c r="AA242" i="4"/>
  <c r="AB201" i="2" s="1"/>
  <c r="AB242" i="4"/>
  <c r="AC201" i="2" s="1"/>
  <c r="BA242" i="4"/>
  <c r="BB201" i="2" s="1"/>
  <c r="L30" i="4"/>
  <c r="BE241" i="4"/>
  <c r="BF165" i="2" s="1"/>
  <c r="BD241" i="4"/>
  <c r="BE165" i="2" s="1"/>
  <c r="BC241" i="4"/>
  <c r="BD165" i="2" s="1"/>
  <c r="BB241" i="4"/>
  <c r="BC165" i="2" s="1"/>
  <c r="M30" i="4"/>
  <c r="N30" i="4" s="1"/>
  <c r="BA241" i="4"/>
  <c r="BB165" i="2" s="1"/>
  <c r="AZ241" i="4"/>
  <c r="BA165" i="2" s="1"/>
  <c r="C241" i="4"/>
  <c r="D241" i="4"/>
  <c r="E165" i="2" s="1"/>
  <c r="E241" i="4"/>
  <c r="F165" i="2" s="1"/>
  <c r="F241" i="4"/>
  <c r="G165" i="2" s="1"/>
  <c r="G241" i="4"/>
  <c r="H165" i="2" s="1"/>
  <c r="H241" i="4"/>
  <c r="I165" i="2" s="1"/>
  <c r="I241" i="4"/>
  <c r="J165" i="2" s="1"/>
  <c r="J241" i="4"/>
  <c r="K165" i="2" s="1"/>
  <c r="K241" i="4"/>
  <c r="L165" i="2" s="1"/>
  <c r="L241" i="4"/>
  <c r="M165" i="2" s="1"/>
  <c r="M241" i="4"/>
  <c r="N165" i="2" s="1"/>
  <c r="N241" i="4"/>
  <c r="O241" i="4"/>
  <c r="P165" i="2" s="1"/>
  <c r="P241" i="4"/>
  <c r="Q165" i="2" s="1"/>
  <c r="Q241" i="4"/>
  <c r="R165" i="2" s="1"/>
  <c r="R241" i="4"/>
  <c r="S165" i="2" s="1"/>
  <c r="S241" i="4"/>
  <c r="T165" i="2" s="1"/>
  <c r="T241" i="4"/>
  <c r="U165" i="2" s="1"/>
  <c r="U241" i="4"/>
  <c r="V165" i="2" s="1"/>
  <c r="V241" i="4"/>
  <c r="W165" i="2" s="1"/>
  <c r="L29" i="4"/>
  <c r="C240" i="4"/>
  <c r="D240" i="4"/>
  <c r="E240" i="4"/>
  <c r="F51" i="2" s="1"/>
  <c r="F240" i="4"/>
  <c r="G51" i="2" s="1"/>
  <c r="G240" i="4"/>
  <c r="H51" i="2" s="1"/>
  <c r="H240" i="4"/>
  <c r="I51" i="2" s="1"/>
  <c r="I240" i="4"/>
  <c r="J51" i="2" s="1"/>
  <c r="J240" i="4"/>
  <c r="K51" i="2" s="1"/>
  <c r="K240" i="4"/>
  <c r="L51" i="2" s="1"/>
  <c r="L240" i="4"/>
  <c r="M51" i="2" s="1"/>
  <c r="M240" i="4"/>
  <c r="N51" i="2" s="1"/>
  <c r="N240" i="4"/>
  <c r="O51" i="2" s="1"/>
  <c r="O240" i="4"/>
  <c r="P51" i="2" s="1"/>
  <c r="P240" i="4"/>
  <c r="Q51" i="2" s="1"/>
  <c r="Q240" i="4"/>
  <c r="R51" i="2" s="1"/>
  <c r="R240" i="4"/>
  <c r="S51" i="2" s="1"/>
  <c r="U240" i="4"/>
  <c r="V51" i="2" s="1"/>
  <c r="V240" i="4"/>
  <c r="W51" i="2" s="1"/>
  <c r="W240" i="4"/>
  <c r="X51" i="2" s="1"/>
  <c r="X240" i="4"/>
  <c r="Y51" i="2" s="1"/>
  <c r="Y240" i="4"/>
  <c r="Z51" i="2" s="1"/>
  <c r="Z240" i="4"/>
  <c r="AA51" i="2" s="1"/>
  <c r="AA240" i="4"/>
  <c r="AB51" i="2" s="1"/>
  <c r="AB240" i="4"/>
  <c r="AC51" i="2" s="1"/>
  <c r="AC240" i="4"/>
  <c r="AD51" i="2" s="1"/>
  <c r="AD240" i="4"/>
  <c r="AE51" i="2" s="1"/>
  <c r="AE240" i="4"/>
  <c r="AF51" i="2" s="1"/>
  <c r="AF240" i="4"/>
  <c r="AG51" i="2" s="1"/>
  <c r="AG240" i="4"/>
  <c r="AH51" i="2" s="1"/>
  <c r="AH240" i="4"/>
  <c r="AI51" i="2" s="1"/>
  <c r="AI240" i="4"/>
  <c r="AJ51" i="2" s="1"/>
  <c r="AJ240" i="4"/>
  <c r="AK51" i="2" s="1"/>
  <c r="AK240" i="4"/>
  <c r="AL51" i="2" s="1"/>
  <c r="AL240" i="4"/>
  <c r="AM51" i="2" s="1"/>
  <c r="AM240" i="4"/>
  <c r="AN51" i="2" s="1"/>
  <c r="AN240" i="4"/>
  <c r="AO51" i="2" s="1"/>
  <c r="AO240" i="4"/>
  <c r="AP51" i="2" s="1"/>
  <c r="AP240" i="4"/>
  <c r="AQ51" i="2" s="1"/>
  <c r="AQ240" i="4"/>
  <c r="AR51" i="2" s="1"/>
  <c r="AR240" i="4"/>
  <c r="AS51" i="2" s="1"/>
  <c r="L28" i="4"/>
  <c r="Y239" i="4"/>
  <c r="Z300" i="2" s="1"/>
  <c r="AC239" i="4"/>
  <c r="AD300" i="2" s="1"/>
  <c r="U239" i="4"/>
  <c r="V300" i="2" s="1"/>
  <c r="V239" i="4"/>
  <c r="W300" i="2" s="1"/>
  <c r="W239" i="4"/>
  <c r="X300" i="2" s="1"/>
  <c r="X239" i="4"/>
  <c r="Y300" i="2" s="1"/>
  <c r="AA239" i="4"/>
  <c r="AB300" i="2" s="1"/>
  <c r="Z239" i="4"/>
  <c r="AA300" i="2" s="1"/>
  <c r="C239" i="4"/>
  <c r="D239" i="4"/>
  <c r="E300" i="2" s="1"/>
  <c r="E239" i="4"/>
  <c r="F300" i="2" s="1"/>
  <c r="F239" i="4"/>
  <c r="G300" i="2" s="1"/>
  <c r="G239" i="4"/>
  <c r="H300" i="2" s="1"/>
  <c r="H239" i="4"/>
  <c r="I300" i="2" s="1"/>
  <c r="I239" i="4"/>
  <c r="J300" i="2" s="1"/>
  <c r="J239" i="4"/>
  <c r="K300" i="2" s="1"/>
  <c r="K239" i="4"/>
  <c r="L300" i="2" s="1"/>
  <c r="L239" i="4"/>
  <c r="M300" i="2" s="1"/>
  <c r="M239" i="4"/>
  <c r="N300" i="2" s="1"/>
  <c r="N239" i="4"/>
  <c r="O300" i="2" s="1"/>
  <c r="O239" i="4"/>
  <c r="P300" i="2" s="1"/>
  <c r="P239" i="4"/>
  <c r="Q300" i="2" s="1"/>
  <c r="Q239" i="4"/>
  <c r="R300" i="2" s="1"/>
  <c r="R239" i="4"/>
  <c r="S300" i="2" s="1"/>
  <c r="S239" i="4"/>
  <c r="T300" i="2" s="1"/>
  <c r="T239" i="4"/>
  <c r="BJ239" i="4"/>
  <c r="BK300" i="2" s="1"/>
  <c r="AB239" i="4"/>
  <c r="AC300" i="2" s="1"/>
  <c r="AD239" i="4"/>
  <c r="AE300" i="2" s="1"/>
  <c r="AE239" i="4"/>
  <c r="AF300" i="2" s="1"/>
  <c r="AF239" i="4"/>
  <c r="AG300" i="2" s="1"/>
  <c r="AG239" i="4"/>
  <c r="AH300" i="2" s="1"/>
  <c r="AH239" i="4"/>
  <c r="AI300" i="2" s="1"/>
  <c r="AI239" i="4"/>
  <c r="AJ300" i="2" s="1"/>
  <c r="AJ239" i="4"/>
  <c r="AK300" i="2" s="1"/>
  <c r="AK239" i="4"/>
  <c r="AL300" i="2" s="1"/>
  <c r="AL239" i="4"/>
  <c r="AM300" i="2" s="1"/>
  <c r="AM239" i="4"/>
  <c r="AN300" i="2" s="1"/>
  <c r="AN239" i="4"/>
  <c r="AO300" i="2" s="1"/>
  <c r="AO239" i="4"/>
  <c r="AP300" i="2" s="1"/>
  <c r="AP239" i="4"/>
  <c r="AQ300" i="2" s="1"/>
  <c r="L27" i="4"/>
  <c r="M27" i="4"/>
  <c r="N27" i="4" s="1"/>
  <c r="AJ238" i="4"/>
  <c r="AK270" i="2" s="1"/>
  <c r="AI238" i="4"/>
  <c r="AJ270" i="2" s="1"/>
  <c r="AH238" i="4"/>
  <c r="AI270" i="2" s="1"/>
  <c r="AG238" i="4"/>
  <c r="AH270" i="2" s="1"/>
  <c r="AF238" i="4"/>
  <c r="AG270" i="2" s="1"/>
  <c r="AE238" i="4"/>
  <c r="AF270" i="2" s="1"/>
  <c r="AD238" i="4"/>
  <c r="AE270" i="2" s="1"/>
  <c r="AC238" i="4"/>
  <c r="AD270" i="2" s="1"/>
  <c r="AB238" i="4"/>
  <c r="AC270" i="2" s="1"/>
  <c r="AA238" i="4"/>
  <c r="AB270" i="2" s="1"/>
  <c r="AV238" i="4"/>
  <c r="AW270" i="2" s="1"/>
  <c r="C238" i="4"/>
  <c r="D238" i="4"/>
  <c r="E270" i="2" s="1"/>
  <c r="E238" i="4"/>
  <c r="F270" i="2" s="1"/>
  <c r="F238" i="4"/>
  <c r="G270" i="2" s="1"/>
  <c r="G238" i="4"/>
  <c r="H270" i="2" s="1"/>
  <c r="H238" i="4"/>
  <c r="I270" i="2" s="1"/>
  <c r="I238" i="4"/>
  <c r="J270" i="2" s="1"/>
  <c r="J238" i="4"/>
  <c r="K270" i="2" s="1"/>
  <c r="K238" i="4"/>
  <c r="L270" i="2" s="1"/>
  <c r="T238" i="4"/>
  <c r="U270" i="2" s="1"/>
  <c r="L238" i="4"/>
  <c r="M270" i="2" s="1"/>
  <c r="M238" i="4"/>
  <c r="N270" i="2" s="1"/>
  <c r="N238" i="4"/>
  <c r="O270" i="2" s="1"/>
  <c r="O238" i="4"/>
  <c r="P270" i="2" s="1"/>
  <c r="P238" i="4"/>
  <c r="Q270" i="2" s="1"/>
  <c r="Q238" i="4"/>
  <c r="R270" i="2" s="1"/>
  <c r="BJ238" i="4"/>
  <c r="BK270" i="2" s="1"/>
  <c r="BI238" i="4"/>
  <c r="BJ270" i="2" s="1"/>
  <c r="BH238" i="4"/>
  <c r="BI270" i="2" s="1"/>
  <c r="BG238" i="4"/>
  <c r="BH270" i="2" s="1"/>
  <c r="BF238" i="4"/>
  <c r="BG270" i="2" s="1"/>
  <c r="BE238" i="4"/>
  <c r="BF270" i="2" s="1"/>
  <c r="BD238" i="4"/>
  <c r="BE270" i="2" s="1"/>
  <c r="BC238" i="4"/>
  <c r="BD270" i="2" s="1"/>
  <c r="BB238" i="4"/>
  <c r="BC270" i="2" s="1"/>
  <c r="BA238" i="4"/>
  <c r="BB270" i="2" s="1"/>
  <c r="AZ238" i="4"/>
  <c r="BA270" i="2" s="1"/>
  <c r="AY238" i="4"/>
  <c r="AZ270" i="2" s="1"/>
  <c r="AX238" i="4"/>
  <c r="AY270" i="2" s="1"/>
  <c r="AW238" i="4"/>
  <c r="AX270" i="2" s="1"/>
  <c r="AU238" i="4"/>
  <c r="AV270" i="2" s="1"/>
  <c r="AT238" i="4"/>
  <c r="AU270" i="2" s="1"/>
  <c r="AS238" i="4"/>
  <c r="AT270" i="2" s="1"/>
  <c r="AR238" i="4"/>
  <c r="AS270" i="2" s="1"/>
  <c r="AQ238" i="4"/>
  <c r="AR270" i="2" s="1"/>
  <c r="AP238" i="4"/>
  <c r="AQ270" i="2" s="1"/>
  <c r="AO238" i="4"/>
  <c r="AP270" i="2" s="1"/>
  <c r="AN238" i="4"/>
  <c r="AO270" i="2" s="1"/>
  <c r="AM238" i="4"/>
  <c r="AN270" i="2" s="1"/>
  <c r="L26" i="4"/>
  <c r="M26" i="4"/>
  <c r="N26" i="4" s="1"/>
  <c r="BD237" i="4"/>
  <c r="BE198" i="2" s="1"/>
  <c r="BC237" i="4"/>
  <c r="BD198" i="2" s="1"/>
  <c r="BB237" i="4"/>
  <c r="BC198" i="2" s="1"/>
  <c r="BA237" i="4"/>
  <c r="BB198" i="2" s="1"/>
  <c r="AB237" i="4"/>
  <c r="AC198" i="2" s="1"/>
  <c r="AZ237" i="4"/>
  <c r="BA198" i="2" s="1"/>
  <c r="AY237" i="4"/>
  <c r="AZ198" i="2" s="1"/>
  <c r="AX237" i="4"/>
  <c r="AY198" i="2" s="1"/>
  <c r="AW237" i="4"/>
  <c r="AX198" i="2" s="1"/>
  <c r="AV237" i="4"/>
  <c r="AW198" i="2" s="1"/>
  <c r="AU237" i="4"/>
  <c r="AV198" i="2" s="1"/>
  <c r="AT237" i="4"/>
  <c r="AU198" i="2" s="1"/>
  <c r="AS237" i="4"/>
  <c r="AT198" i="2" s="1"/>
  <c r="AR237" i="4"/>
  <c r="AS198" i="2" s="1"/>
  <c r="AQ237" i="4"/>
  <c r="AR198" i="2" s="1"/>
  <c r="AP237" i="4"/>
  <c r="AQ198" i="2" s="1"/>
  <c r="AO237" i="4"/>
  <c r="AP198" i="2" s="1"/>
  <c r="AN237" i="4"/>
  <c r="AO198" i="2" s="1"/>
  <c r="AM237" i="4"/>
  <c r="AN198" i="2" s="1"/>
  <c r="AL237" i="4"/>
  <c r="AM198" i="2" s="1"/>
  <c r="AK237" i="4"/>
  <c r="AL198" i="2" s="1"/>
  <c r="AJ237" i="4"/>
  <c r="AK198" i="2" s="1"/>
  <c r="L25" i="4"/>
  <c r="M25" i="4" s="1"/>
  <c r="N25" i="4" s="1"/>
  <c r="L24" i="4"/>
  <c r="M24" i="4" s="1"/>
  <c r="N24" i="4" s="1"/>
  <c r="BI345" i="4"/>
  <c r="BH345" i="4"/>
  <c r="BG345" i="4"/>
  <c r="BF345" i="4"/>
  <c r="BE345" i="4"/>
  <c r="BD345" i="4"/>
  <c r="BC345" i="4"/>
  <c r="BB345" i="4"/>
  <c r="BA345" i="4"/>
  <c r="AZ345" i="4"/>
  <c r="AY345" i="4"/>
  <c r="AX345" i="4"/>
  <c r="AW345" i="4"/>
  <c r="AV345" i="4"/>
  <c r="AU345" i="4"/>
  <c r="AT345" i="4"/>
  <c r="AS345" i="4"/>
  <c r="AR345" i="4"/>
  <c r="AQ345" i="4"/>
  <c r="AP345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I339" i="4"/>
  <c r="I340" i="4" s="1"/>
  <c r="J339" i="4"/>
  <c r="J340" i="4" s="1"/>
  <c r="K339" i="4"/>
  <c r="K340" i="4" s="1"/>
  <c r="L339" i="4"/>
  <c r="L340" i="4" s="1"/>
  <c r="M339" i="4"/>
  <c r="M340" i="4" s="1"/>
  <c r="N339" i="4"/>
  <c r="N340" i="4" s="1"/>
  <c r="O339" i="4"/>
  <c r="O340" i="4" s="1"/>
  <c r="AV343" i="4"/>
  <c r="P339" i="4"/>
  <c r="P340" i="4" s="1"/>
  <c r="Q339" i="4"/>
  <c r="Q340" i="4" s="1"/>
  <c r="R339" i="4"/>
  <c r="R340" i="4" s="1"/>
  <c r="S339" i="4"/>
  <c r="S340" i="4" s="1"/>
  <c r="T339" i="4"/>
  <c r="T340" i="4" s="1"/>
  <c r="U339" i="4"/>
  <c r="U340" i="4" s="1"/>
  <c r="V339" i="4"/>
  <c r="V340" i="4" s="1"/>
  <c r="W339" i="4"/>
  <c r="W340" i="4" s="1"/>
  <c r="X339" i="4"/>
  <c r="X340" i="4" s="1"/>
  <c r="Y339" i="4"/>
  <c r="Y340" i="4" s="1"/>
  <c r="Z339" i="4"/>
  <c r="Z340" i="4" s="1"/>
  <c r="AA339" i="4"/>
  <c r="AA340" i="4" s="1"/>
  <c r="AB339" i="4"/>
  <c r="AB340" i="4" s="1"/>
  <c r="AC339" i="4"/>
  <c r="AC340" i="4" s="1"/>
  <c r="AD339" i="4"/>
  <c r="AD340" i="4" s="1"/>
  <c r="AE339" i="4"/>
  <c r="AE340" i="4" s="1"/>
  <c r="AF339" i="4"/>
  <c r="AF340" i="4" s="1"/>
  <c r="AG339" i="4"/>
  <c r="AG340" i="4" s="1"/>
  <c r="AH339" i="4"/>
  <c r="AH340" i="4" s="1"/>
  <c r="AI339" i="4"/>
  <c r="AI340" i="4" s="1"/>
  <c r="AJ339" i="4"/>
  <c r="AJ340" i="4" s="1"/>
  <c r="AK339" i="4"/>
  <c r="AK340" i="4" s="1"/>
  <c r="AL339" i="4"/>
  <c r="AL340" i="4" s="1"/>
  <c r="AM339" i="4"/>
  <c r="AM340" i="4" s="1"/>
  <c r="AN339" i="4"/>
  <c r="AN340" i="4" s="1"/>
  <c r="AO339" i="4"/>
  <c r="AO340" i="4" s="1"/>
  <c r="AP339" i="4"/>
  <c r="AP340" i="4" s="1"/>
  <c r="AQ339" i="4"/>
  <c r="AQ340" i="4" s="1"/>
  <c r="AR339" i="4"/>
  <c r="AR340" i="4" s="1"/>
  <c r="AS339" i="4"/>
  <c r="AS340" i="4" s="1"/>
  <c r="AT339" i="4"/>
  <c r="AT340" i="4" s="1"/>
  <c r="AU339" i="4"/>
  <c r="AU340" i="4" s="1"/>
  <c r="AV339" i="4"/>
  <c r="AV340" i="4" s="1"/>
  <c r="AW339" i="4"/>
  <c r="AW340" i="4" s="1"/>
  <c r="AX339" i="4"/>
  <c r="AX340" i="4" s="1"/>
  <c r="AY339" i="4"/>
  <c r="AY340" i="4" s="1"/>
  <c r="AZ339" i="4"/>
  <c r="AZ340" i="4" s="1"/>
  <c r="BA339" i="4"/>
  <c r="BA340" i="4" s="1"/>
  <c r="BB339" i="4"/>
  <c r="BB340" i="4" s="1"/>
  <c r="BC339" i="4"/>
  <c r="BC340" i="4" s="1"/>
  <c r="BD339" i="4"/>
  <c r="BD340" i="4" s="1"/>
  <c r="BE339" i="4"/>
  <c r="BE340" i="4" s="1"/>
  <c r="BF339" i="4"/>
  <c r="BF340" i="4" s="1"/>
  <c r="BG339" i="4"/>
  <c r="BG340" i="4" s="1"/>
  <c r="BH339" i="4"/>
  <c r="BH340" i="4" s="1"/>
  <c r="BI339" i="4"/>
  <c r="BI340" i="4" s="1"/>
  <c r="BJ345" i="4"/>
  <c r="BJ339" i="4"/>
  <c r="BJ340" i="4" s="1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V343" i="4"/>
  <c r="W343" i="4"/>
  <c r="X343" i="4"/>
  <c r="Y343" i="4"/>
  <c r="Z343" i="4"/>
  <c r="AA343" i="4"/>
  <c r="AB343" i="4"/>
  <c r="AC343" i="4"/>
  <c r="AD343" i="4"/>
  <c r="AE343" i="4"/>
  <c r="AF343" i="4"/>
  <c r="AG343" i="4"/>
  <c r="AH343" i="4"/>
  <c r="AI343" i="4"/>
  <c r="AJ343" i="4"/>
  <c r="AK343" i="4"/>
  <c r="AL343" i="4"/>
  <c r="AM343" i="4"/>
  <c r="AN343" i="4"/>
  <c r="AO343" i="4"/>
  <c r="AP343" i="4"/>
  <c r="AQ343" i="4"/>
  <c r="AR343" i="4"/>
  <c r="AS343" i="4"/>
  <c r="AT343" i="4"/>
  <c r="AU343" i="4"/>
  <c r="AW343" i="4"/>
  <c r="AX343" i="4"/>
  <c r="AY343" i="4"/>
  <c r="AZ343" i="4"/>
  <c r="BA343" i="4"/>
  <c r="BB343" i="4"/>
  <c r="BC343" i="4"/>
  <c r="BD343" i="4"/>
  <c r="BE343" i="4"/>
  <c r="BF343" i="4"/>
  <c r="BG343" i="4"/>
  <c r="BH343" i="4"/>
  <c r="BI343" i="4"/>
  <c r="BJ343" i="4"/>
  <c r="C345" i="4"/>
  <c r="D345" i="4"/>
  <c r="E345" i="4"/>
  <c r="F345" i="4"/>
  <c r="G345" i="4"/>
  <c r="H345" i="4"/>
  <c r="I345" i="4"/>
  <c r="J345" i="4"/>
  <c r="K345" i="4"/>
  <c r="L345" i="4"/>
  <c r="M345" i="4"/>
  <c r="C339" i="4"/>
  <c r="C340" i="4" s="1"/>
  <c r="D339" i="4"/>
  <c r="D340" i="4" s="1"/>
  <c r="E339" i="4"/>
  <c r="E340" i="4" s="1"/>
  <c r="F339" i="4"/>
  <c r="F340" i="4" s="1"/>
  <c r="G339" i="4"/>
  <c r="G340" i="4" s="1"/>
  <c r="H339" i="4"/>
  <c r="H340" i="4" s="1"/>
  <c r="G6" i="1"/>
  <c r="G7" i="1"/>
  <c r="G8" i="1"/>
  <c r="G9" i="1"/>
  <c r="O155" i="1"/>
  <c r="O154" i="1"/>
  <c r="O153" i="1"/>
  <c r="O152" i="1"/>
  <c r="O151" i="1"/>
  <c r="O150" i="1"/>
  <c r="O149" i="1"/>
  <c r="O148" i="1"/>
  <c r="O147" i="1"/>
  <c r="C344" i="6" l="1"/>
  <c r="C354" i="6" s="1"/>
  <c r="O47" i="3"/>
  <c r="K7" i="1"/>
  <c r="I7" i="1"/>
  <c r="H7" i="1"/>
  <c r="O45" i="3"/>
  <c r="H6" i="1"/>
  <c r="I6" i="1"/>
  <c r="K6" i="1"/>
  <c r="O78" i="3"/>
  <c r="H8" i="1"/>
  <c r="I8" i="1"/>
  <c r="K8" i="1"/>
  <c r="H10" i="1"/>
  <c r="H9" i="1"/>
  <c r="I9" i="1"/>
  <c r="K9" i="1"/>
  <c r="BB300" i="6"/>
  <c r="BC104" i="2" s="1"/>
  <c r="BC300" i="6"/>
  <c r="BD104" i="2" s="1"/>
  <c r="BD300" i="6"/>
  <c r="BE104" i="2" s="1"/>
  <c r="BE300" i="6"/>
  <c r="BF104" i="2" s="1"/>
  <c r="BF300" i="6"/>
  <c r="BG104" i="2" s="1"/>
  <c r="BG300" i="6"/>
  <c r="BH104" i="2" s="1"/>
  <c r="BH300" i="6"/>
  <c r="BI104" i="2" s="1"/>
  <c r="BI300" i="6"/>
  <c r="BJ104" i="2" s="1"/>
  <c r="BJ300" i="6"/>
  <c r="BK104" i="2" s="1"/>
  <c r="C300" i="6"/>
  <c r="D300" i="6"/>
  <c r="E300" i="6"/>
  <c r="F300" i="6"/>
  <c r="G104" i="2" s="1"/>
  <c r="AG290" i="6"/>
  <c r="AH29" i="2" s="1"/>
  <c r="AH290" i="6"/>
  <c r="AI29" i="2" s="1"/>
  <c r="AI290" i="6"/>
  <c r="AJ29" i="2" s="1"/>
  <c r="AJ290" i="6"/>
  <c r="AK29" i="2" s="1"/>
  <c r="AK290" i="6"/>
  <c r="AL29" i="2" s="1"/>
  <c r="AL290" i="6"/>
  <c r="AM29" i="2" s="1"/>
  <c r="AM290" i="6"/>
  <c r="AN29" i="2" s="1"/>
  <c r="AN290" i="6"/>
  <c r="AO29" i="2" s="1"/>
  <c r="AO290" i="6"/>
  <c r="AP29" i="2" s="1"/>
  <c r="AP290" i="6"/>
  <c r="AQ29" i="2" s="1"/>
  <c r="AQ290" i="6"/>
  <c r="AR29" i="2" s="1"/>
  <c r="AR290" i="6"/>
  <c r="AS29" i="2" s="1"/>
  <c r="AS290" i="6"/>
  <c r="AT29" i="2" s="1"/>
  <c r="AT290" i="6"/>
  <c r="AU29" i="2" s="1"/>
  <c r="AU290" i="6"/>
  <c r="AV29" i="2" s="1"/>
  <c r="AV290" i="6"/>
  <c r="AW29" i="2" s="1"/>
  <c r="AC290" i="6"/>
  <c r="AD29" i="2" s="1"/>
  <c r="AX290" i="6"/>
  <c r="AY29" i="2" s="1"/>
  <c r="AY290" i="6"/>
  <c r="AZ29" i="2" s="1"/>
  <c r="AZ290" i="6"/>
  <c r="BA29" i="2" s="1"/>
  <c r="BA290" i="6"/>
  <c r="BB29" i="2" s="1"/>
  <c r="BB290" i="6"/>
  <c r="BC29" i="2" s="1"/>
  <c r="BC290" i="6"/>
  <c r="BD29" i="2" s="1"/>
  <c r="AW290" i="6"/>
  <c r="AX29" i="2" s="1"/>
  <c r="BE290" i="6"/>
  <c r="BF29" i="2" s="1"/>
  <c r="BF290" i="6"/>
  <c r="BG29" i="2" s="1"/>
  <c r="BG290" i="6"/>
  <c r="BH29" i="2" s="1"/>
  <c r="AD290" i="6"/>
  <c r="AE29" i="2" s="1"/>
  <c r="AE290" i="6"/>
  <c r="AF29" i="2" s="1"/>
  <c r="AF290" i="6"/>
  <c r="AG29" i="2" s="1"/>
  <c r="BD290" i="6"/>
  <c r="BE29" i="2" s="1"/>
  <c r="BG289" i="6"/>
  <c r="BH140" i="2" s="1"/>
  <c r="BF289" i="6"/>
  <c r="BG140" i="2" s="1"/>
  <c r="BE289" i="6"/>
  <c r="BF140" i="2" s="1"/>
  <c r="BD289" i="6"/>
  <c r="BE140" i="2" s="1"/>
  <c r="BC289" i="6"/>
  <c r="BD140" i="2" s="1"/>
  <c r="BB289" i="6"/>
  <c r="BC140" i="2" s="1"/>
  <c r="BA289" i="6"/>
  <c r="BB140" i="2" s="1"/>
  <c r="AZ289" i="6"/>
  <c r="BA140" i="2" s="1"/>
  <c r="AY289" i="6"/>
  <c r="AZ140" i="2" s="1"/>
  <c r="AX289" i="6"/>
  <c r="AY140" i="2" s="1"/>
  <c r="AW289" i="6"/>
  <c r="AX140" i="2" s="1"/>
  <c r="AV289" i="6"/>
  <c r="AW140" i="2" s="1"/>
  <c r="AU289" i="6"/>
  <c r="AV140" i="2" s="1"/>
  <c r="AT289" i="6"/>
  <c r="AU140" i="2" s="1"/>
  <c r="AS289" i="6"/>
  <c r="AT140" i="2" s="1"/>
  <c r="AR289" i="6"/>
  <c r="AS140" i="2" s="1"/>
  <c r="AQ289" i="6"/>
  <c r="AR140" i="2" s="1"/>
  <c r="AP289" i="6"/>
  <c r="AQ140" i="2" s="1"/>
  <c r="AO289" i="6"/>
  <c r="AP140" i="2" s="1"/>
  <c r="AN289" i="6"/>
  <c r="AO140" i="2" s="1"/>
  <c r="AM289" i="6"/>
  <c r="AN140" i="2" s="1"/>
  <c r="AL289" i="6"/>
  <c r="AM140" i="2" s="1"/>
  <c r="AJ289" i="6"/>
  <c r="AK140" i="2" s="1"/>
  <c r="AI289" i="6"/>
  <c r="AJ140" i="2" s="1"/>
  <c r="AH289" i="6"/>
  <c r="AI140" i="2" s="1"/>
  <c r="AG289" i="6"/>
  <c r="AH140" i="2" s="1"/>
  <c r="AF289" i="6"/>
  <c r="AG140" i="2" s="1"/>
  <c r="AE289" i="6"/>
  <c r="AF140" i="2" s="1"/>
  <c r="AK289" i="6"/>
  <c r="AL140" i="2" s="1"/>
  <c r="BJ289" i="6"/>
  <c r="BK140" i="2" s="1"/>
  <c r="BI289" i="6"/>
  <c r="BJ140" i="2" s="1"/>
  <c r="BH289" i="6"/>
  <c r="BI140" i="2" s="1"/>
  <c r="G263" i="6"/>
  <c r="H92" i="2" s="1"/>
  <c r="I263" i="6"/>
  <c r="J92" i="2" s="1"/>
  <c r="N263" i="6"/>
  <c r="O92" i="2" s="1"/>
  <c r="AF260" i="6"/>
  <c r="AG41" i="2" s="1"/>
  <c r="AJ260" i="6"/>
  <c r="AK41" i="2" s="1"/>
  <c r="AN260" i="6"/>
  <c r="AO41" i="2" s="1"/>
  <c r="AQ260" i="6"/>
  <c r="AR41" i="2" s="1"/>
  <c r="AW260" i="6"/>
  <c r="AX41" i="2" s="1"/>
  <c r="V260" i="6"/>
  <c r="W41" i="2" s="1"/>
  <c r="F260" i="6"/>
  <c r="G41" i="2" s="1"/>
  <c r="M260" i="6"/>
  <c r="N41" i="2" s="1"/>
  <c r="AC260" i="6"/>
  <c r="AD41" i="2" s="1"/>
  <c r="AO260" i="6"/>
  <c r="AP41" i="2" s="1"/>
  <c r="AR260" i="6"/>
  <c r="AS41" i="2" s="1"/>
  <c r="C260" i="6"/>
  <c r="I260" i="6"/>
  <c r="G260" i="6"/>
  <c r="H41" i="2" s="1"/>
  <c r="N260" i="6"/>
  <c r="O41" i="2" s="1"/>
  <c r="X260" i="6"/>
  <c r="Y41" i="2" s="1"/>
  <c r="AL260" i="6"/>
  <c r="AM41" i="2" s="1"/>
  <c r="AU260" i="6"/>
  <c r="AV41" i="2" s="1"/>
  <c r="P260" i="6"/>
  <c r="Q41" i="2" s="1"/>
  <c r="H260" i="6"/>
  <c r="I41" i="2" s="1"/>
  <c r="Z260" i="6"/>
  <c r="AA41" i="2" s="1"/>
  <c r="D260" i="6"/>
  <c r="E41" i="2" s="1"/>
  <c r="AV260" i="6"/>
  <c r="AW41" i="2" s="1"/>
  <c r="AK260" i="6"/>
  <c r="AL41" i="2" s="1"/>
  <c r="AP260" i="6"/>
  <c r="AQ41" i="2" s="1"/>
  <c r="AT260" i="6"/>
  <c r="AU41" i="2" s="1"/>
  <c r="AS260" i="6"/>
  <c r="AT41" i="2" s="1"/>
  <c r="AI260" i="6"/>
  <c r="AJ41" i="2" s="1"/>
  <c r="AG260" i="6"/>
  <c r="AH41" i="2" s="1"/>
  <c r="AE260" i="6"/>
  <c r="AF41" i="2" s="1"/>
  <c r="K260" i="6"/>
  <c r="L41" i="2" s="1"/>
  <c r="AM260" i="6"/>
  <c r="AN41" i="2" s="1"/>
  <c r="J260" i="6"/>
  <c r="K41" i="2" s="1"/>
  <c r="Q260" i="6"/>
  <c r="R41" i="2" s="1"/>
  <c r="O260" i="6"/>
  <c r="P41" i="2" s="1"/>
  <c r="L260" i="6"/>
  <c r="M41" i="2" s="1"/>
  <c r="E260" i="6"/>
  <c r="F41" i="2" s="1"/>
  <c r="AD260" i="6"/>
  <c r="AE41" i="2" s="1"/>
  <c r="V258" i="6"/>
  <c r="U258" i="6"/>
  <c r="V125" i="2" s="1"/>
  <c r="T258" i="6"/>
  <c r="U125" i="2" s="1"/>
  <c r="Z258" i="6"/>
  <c r="AA125" i="2" s="1"/>
  <c r="AI258" i="6"/>
  <c r="AJ125" i="2" s="1"/>
  <c r="AH258" i="6"/>
  <c r="AI125" i="2" s="1"/>
  <c r="AG258" i="6"/>
  <c r="AH125" i="2" s="1"/>
  <c r="AE258" i="6"/>
  <c r="AF125" i="2" s="1"/>
  <c r="AD258" i="6"/>
  <c r="AE125" i="2" s="1"/>
  <c r="AC258" i="6"/>
  <c r="AD125" i="2" s="1"/>
  <c r="AB258" i="6"/>
  <c r="AC125" i="2" s="1"/>
  <c r="AA258" i="6"/>
  <c r="AB125" i="2" s="1"/>
  <c r="Y258" i="6"/>
  <c r="Z125" i="2" s="1"/>
  <c r="X258" i="6"/>
  <c r="Y125" i="2" s="1"/>
  <c r="W258" i="6"/>
  <c r="X125" i="2" s="1"/>
  <c r="AK250" i="6"/>
  <c r="AL137" i="2" s="1"/>
  <c r="AJ250" i="6"/>
  <c r="AK137" i="2" s="1"/>
  <c r="AI250" i="6"/>
  <c r="AJ137" i="2" s="1"/>
  <c r="AH250" i="6"/>
  <c r="AI137" i="2" s="1"/>
  <c r="AK249" i="6"/>
  <c r="AL17" i="2" s="1"/>
  <c r="C249" i="6"/>
  <c r="O38" i="6" s="1"/>
  <c r="D249" i="6"/>
  <c r="E249" i="6"/>
  <c r="F17" i="2" s="1"/>
  <c r="AE249" i="6"/>
  <c r="AF17" i="2" s="1"/>
  <c r="AF249" i="6"/>
  <c r="AG17" i="2" s="1"/>
  <c r="AG249" i="6"/>
  <c r="AH17" i="2" s="1"/>
  <c r="AH249" i="6"/>
  <c r="AI17" i="2" s="1"/>
  <c r="AI249" i="6"/>
  <c r="AJ17" i="2" s="1"/>
  <c r="AJ249" i="6"/>
  <c r="AK17" i="2" s="1"/>
  <c r="AX241" i="6"/>
  <c r="AY167" i="2" s="1"/>
  <c r="AW241" i="6"/>
  <c r="AX167" i="2" s="1"/>
  <c r="AV241" i="6"/>
  <c r="AW167" i="2" s="1"/>
  <c r="AU241" i="6"/>
  <c r="AV167" i="2" s="1"/>
  <c r="AT241" i="6"/>
  <c r="AU167" i="2" s="1"/>
  <c r="AS241" i="6"/>
  <c r="AT167" i="2" s="1"/>
  <c r="AR241" i="6"/>
  <c r="AS167" i="2" s="1"/>
  <c r="AQ241" i="6"/>
  <c r="AR167" i="2" s="1"/>
  <c r="AP241" i="6"/>
  <c r="AQ167" i="2" s="1"/>
  <c r="AO241" i="6"/>
  <c r="AP167" i="2" s="1"/>
  <c r="AN241" i="6"/>
  <c r="AO167" i="2" s="1"/>
  <c r="AM241" i="6"/>
  <c r="AN167" i="2" s="1"/>
  <c r="AL241" i="6"/>
  <c r="AM167" i="2" s="1"/>
  <c r="AZ241" i="6"/>
  <c r="BA167" i="2" s="1"/>
  <c r="AJ241" i="6"/>
  <c r="AK167" i="2" s="1"/>
  <c r="AI241" i="6"/>
  <c r="AJ167" i="2" s="1"/>
  <c r="AH241" i="6"/>
  <c r="AI167" i="2" s="1"/>
  <c r="AG241" i="6"/>
  <c r="AH167" i="2" s="1"/>
  <c r="AF241" i="6"/>
  <c r="AG167" i="2" s="1"/>
  <c r="AE241" i="6"/>
  <c r="AF167" i="2" s="1"/>
  <c r="AD241" i="6"/>
  <c r="AE167" i="2" s="1"/>
  <c r="BB241" i="6"/>
  <c r="BC167" i="2" s="1"/>
  <c r="BJ241" i="6"/>
  <c r="BK167" i="2" s="1"/>
  <c r="BH241" i="6"/>
  <c r="BI167" i="2" s="1"/>
  <c r="BG241" i="6"/>
  <c r="BH167" i="2" s="1"/>
  <c r="BF241" i="6"/>
  <c r="BG167" i="2" s="1"/>
  <c r="BE241" i="6"/>
  <c r="BF167" i="2" s="1"/>
  <c r="BD241" i="6"/>
  <c r="BE167" i="2" s="1"/>
  <c r="BC241" i="6"/>
  <c r="BD167" i="2" s="1"/>
  <c r="BA241" i="6"/>
  <c r="BB167" i="2" s="1"/>
  <c r="AY241" i="6"/>
  <c r="AZ167" i="2" s="1"/>
  <c r="BA237" i="6"/>
  <c r="BB200" i="2" s="1"/>
  <c r="BB237" i="6"/>
  <c r="BC200" i="2" s="1"/>
  <c r="C237" i="6"/>
  <c r="D237" i="6"/>
  <c r="E200" i="2" s="1"/>
  <c r="AL237" i="6"/>
  <c r="AM200" i="2" s="1"/>
  <c r="F237" i="6"/>
  <c r="G200" i="2" s="1"/>
  <c r="G237" i="6"/>
  <c r="H200" i="2" s="1"/>
  <c r="H237" i="6"/>
  <c r="I200" i="2" s="1"/>
  <c r="P237" i="6"/>
  <c r="Q200" i="2" s="1"/>
  <c r="AK237" i="6"/>
  <c r="AL200" i="2" s="1"/>
  <c r="AM237" i="6"/>
  <c r="AN200" i="2" s="1"/>
  <c r="E237" i="6"/>
  <c r="F200" i="2" s="1"/>
  <c r="AT237" i="6"/>
  <c r="AU200" i="2" s="1"/>
  <c r="AV237" i="6"/>
  <c r="AW200" i="2" s="1"/>
  <c r="AW237" i="6"/>
  <c r="AX200" i="2" s="1"/>
  <c r="AX237" i="6"/>
  <c r="AY200" i="2" s="1"/>
  <c r="AY237" i="6"/>
  <c r="AZ200" i="2" s="1"/>
  <c r="AZ237" i="6"/>
  <c r="BA200" i="2" s="1"/>
  <c r="AJ237" i="6"/>
  <c r="AK200" i="2" s="1"/>
  <c r="BH328" i="5"/>
  <c r="BI178" i="2" s="1"/>
  <c r="BI328" i="5"/>
  <c r="BJ178" i="2" s="1"/>
  <c r="AT328" i="5"/>
  <c r="AU178" i="2" s="1"/>
  <c r="F328" i="5"/>
  <c r="G178" i="2" s="1"/>
  <c r="G328" i="5"/>
  <c r="H178" i="2" s="1"/>
  <c r="H328" i="5"/>
  <c r="I178" i="2" s="1"/>
  <c r="I328" i="5"/>
  <c r="J178" i="2" s="1"/>
  <c r="J328" i="5"/>
  <c r="K178" i="2" s="1"/>
  <c r="K328" i="5"/>
  <c r="L178" i="2" s="1"/>
  <c r="L328" i="5"/>
  <c r="M178" i="2" s="1"/>
  <c r="AV328" i="5"/>
  <c r="AW178" i="2" s="1"/>
  <c r="AW328" i="5"/>
  <c r="AX178" i="2" s="1"/>
  <c r="AX328" i="5"/>
  <c r="AY178" i="2" s="1"/>
  <c r="AY328" i="5"/>
  <c r="AZ178" i="2" s="1"/>
  <c r="AZ328" i="5"/>
  <c r="BA178" i="2" s="1"/>
  <c r="BA328" i="5"/>
  <c r="BB178" i="2" s="1"/>
  <c r="BB328" i="5"/>
  <c r="BC178" i="2" s="1"/>
  <c r="BC328" i="5"/>
  <c r="BD178" i="2" s="1"/>
  <c r="BD328" i="5"/>
  <c r="BE178" i="2" s="1"/>
  <c r="BE328" i="5"/>
  <c r="BF178" i="2" s="1"/>
  <c r="BF328" i="5"/>
  <c r="BG178" i="2" s="1"/>
  <c r="BG328" i="5"/>
  <c r="BH178" i="2" s="1"/>
  <c r="AA314" i="5"/>
  <c r="AB106" i="2" s="1"/>
  <c r="AK314" i="5"/>
  <c r="AL106" i="2" s="1"/>
  <c r="AL314" i="5"/>
  <c r="AM106" i="2" s="1"/>
  <c r="AM314" i="5"/>
  <c r="AN106" i="2" s="1"/>
  <c r="AJ314" i="5"/>
  <c r="AK106" i="2" s="1"/>
  <c r="BD314" i="5"/>
  <c r="BE106" i="2" s="1"/>
  <c r="H314" i="5"/>
  <c r="I106" i="2" s="1"/>
  <c r="G314" i="5"/>
  <c r="H106" i="2" s="1"/>
  <c r="F314" i="5"/>
  <c r="E314" i="5"/>
  <c r="D314" i="5"/>
  <c r="E106" i="2" s="1"/>
  <c r="AB314" i="5"/>
  <c r="AC106" i="2" s="1"/>
  <c r="Z314" i="5"/>
  <c r="AA106" i="2" s="1"/>
  <c r="AC314" i="5"/>
  <c r="AD106" i="2" s="1"/>
  <c r="AD314" i="5"/>
  <c r="AE106" i="2" s="1"/>
  <c r="AF314" i="5"/>
  <c r="AG106" i="2" s="1"/>
  <c r="AG314" i="5"/>
  <c r="AH106" i="2" s="1"/>
  <c r="AH314" i="5"/>
  <c r="AI106" i="2" s="1"/>
  <c r="C314" i="5"/>
  <c r="AI314" i="5"/>
  <c r="AJ106" i="2" s="1"/>
  <c r="AE314" i="5"/>
  <c r="AF106" i="2" s="1"/>
  <c r="U314" i="5"/>
  <c r="V106" i="2" s="1"/>
  <c r="V314" i="5"/>
  <c r="W106" i="2" s="1"/>
  <c r="W314" i="5"/>
  <c r="X106" i="2" s="1"/>
  <c r="X314" i="5"/>
  <c r="Y106" i="2" s="1"/>
  <c r="Y314" i="5"/>
  <c r="Z106" i="2" s="1"/>
  <c r="BD310" i="5"/>
  <c r="BE163" i="2" s="1"/>
  <c r="BE310" i="5"/>
  <c r="BF163" i="2" s="1"/>
  <c r="BC310" i="5"/>
  <c r="BD163" i="2" s="1"/>
  <c r="BG301" i="5"/>
  <c r="BH265" i="2" s="1"/>
  <c r="BC301" i="5"/>
  <c r="BD265" i="2" s="1"/>
  <c r="BD301" i="5"/>
  <c r="BE265" i="2" s="1"/>
  <c r="BF301" i="5"/>
  <c r="BG265" i="2" s="1"/>
  <c r="BH301" i="5"/>
  <c r="BI265" i="2" s="1"/>
  <c r="BI301" i="5"/>
  <c r="BJ265" i="2" s="1"/>
  <c r="BJ301" i="5"/>
  <c r="BK265" i="2" s="1"/>
  <c r="AS301" i="5"/>
  <c r="AT265" i="2" s="1"/>
  <c r="BE301" i="5"/>
  <c r="BF265" i="2" s="1"/>
  <c r="AR301" i="5"/>
  <c r="AS265" i="2" s="1"/>
  <c r="BI277" i="5"/>
  <c r="BJ112" i="2" s="1"/>
  <c r="BH277" i="5"/>
  <c r="BI112" i="2" s="1"/>
  <c r="Q277" i="5"/>
  <c r="R112" i="2" s="1"/>
  <c r="BJ274" i="5"/>
  <c r="BK133" i="2" s="1"/>
  <c r="BH274" i="5"/>
  <c r="BI133" i="2" s="1"/>
  <c r="BI274" i="5"/>
  <c r="BJ133" i="2" s="1"/>
  <c r="AW290" i="4"/>
  <c r="AX27" i="2" s="1"/>
  <c r="AV290" i="4"/>
  <c r="AW27" i="2" s="1"/>
  <c r="AU290" i="4"/>
  <c r="AV27" i="2" s="1"/>
  <c r="AY290" i="4"/>
  <c r="AZ27" i="2" s="1"/>
  <c r="AX290" i="4"/>
  <c r="AY27" i="2" s="1"/>
  <c r="AN253" i="4"/>
  <c r="AO189" i="2" s="1"/>
  <c r="AM253" i="4"/>
  <c r="AN189" i="2" s="1"/>
  <c r="AL253" i="4"/>
  <c r="AM189" i="2" s="1"/>
  <c r="AK253" i="4"/>
  <c r="AL189" i="2" s="1"/>
  <c r="AJ253" i="4"/>
  <c r="AK189" i="2" s="1"/>
  <c r="AI253" i="4"/>
  <c r="AJ189" i="2" s="1"/>
  <c r="AH253" i="4"/>
  <c r="AI189" i="2" s="1"/>
  <c r="AG253" i="4"/>
  <c r="AH189" i="2" s="1"/>
  <c r="AF253" i="4"/>
  <c r="AG189" i="2" s="1"/>
  <c r="AE253" i="4"/>
  <c r="AF189" i="2" s="1"/>
  <c r="AD253" i="4"/>
  <c r="AE189" i="2" s="1"/>
  <c r="AC253" i="4"/>
  <c r="AD189" i="2" s="1"/>
  <c r="AB253" i="4"/>
  <c r="AC189" i="2" s="1"/>
  <c r="AA253" i="4"/>
  <c r="AB189" i="2" s="1"/>
  <c r="Z253" i="4"/>
  <c r="AA189" i="2" s="1"/>
  <c r="Y253" i="4"/>
  <c r="Z189" i="2" s="1"/>
  <c r="X253" i="4"/>
  <c r="Y189" i="2" s="1"/>
  <c r="W253" i="4"/>
  <c r="X189" i="2" s="1"/>
  <c r="AP253" i="4"/>
  <c r="AQ189" i="2" s="1"/>
  <c r="AW253" i="4"/>
  <c r="AX189" i="2" s="1"/>
  <c r="M253" i="4"/>
  <c r="N189" i="2" s="1"/>
  <c r="P253" i="4"/>
  <c r="Q189" i="2" s="1"/>
  <c r="O253" i="4"/>
  <c r="L253" i="4"/>
  <c r="M189" i="2" s="1"/>
  <c r="K253" i="4"/>
  <c r="L189" i="2" s="1"/>
  <c r="N253" i="4"/>
  <c r="Q253" i="4"/>
  <c r="R189" i="2" s="1"/>
  <c r="R253" i="4"/>
  <c r="S189" i="2" s="1"/>
  <c r="AV253" i="4"/>
  <c r="AW189" i="2" s="1"/>
  <c r="AU253" i="4"/>
  <c r="AV189" i="2" s="1"/>
  <c r="G253" i="4"/>
  <c r="H189" i="2" s="1"/>
  <c r="AT253" i="4"/>
  <c r="AU189" i="2" s="1"/>
  <c r="AR253" i="4"/>
  <c r="AS189" i="2" s="1"/>
  <c r="BA253" i="4"/>
  <c r="BB189" i="2" s="1"/>
  <c r="AQ253" i="4"/>
  <c r="AR189" i="2" s="1"/>
  <c r="AO253" i="4"/>
  <c r="AP189" i="2" s="1"/>
  <c r="BA252" i="4"/>
  <c r="BB81" i="2" s="1"/>
  <c r="AZ252" i="4"/>
  <c r="BA81" i="2" s="1"/>
  <c r="AY252" i="4"/>
  <c r="AZ81" i="2" s="1"/>
  <c r="BB252" i="4"/>
  <c r="BC81" i="2" s="1"/>
  <c r="BH252" i="4"/>
  <c r="BI81" i="2" s="1"/>
  <c r="G252" i="4"/>
  <c r="H81" i="2" s="1"/>
  <c r="H252" i="4"/>
  <c r="I81" i="2" s="1"/>
  <c r="I252" i="4"/>
  <c r="J81" i="2" s="1"/>
  <c r="BJ252" i="4"/>
  <c r="BK81" i="2" s="1"/>
  <c r="BI252" i="4"/>
  <c r="BJ81" i="2" s="1"/>
  <c r="BG252" i="4"/>
  <c r="BH81" i="2" s="1"/>
  <c r="BF252" i="4"/>
  <c r="BG81" i="2" s="1"/>
  <c r="BE252" i="4"/>
  <c r="BF81" i="2" s="1"/>
  <c r="BD252" i="4"/>
  <c r="BE81" i="2" s="1"/>
  <c r="BC252" i="4"/>
  <c r="BD81" i="2" s="1"/>
  <c r="V243" i="4"/>
  <c r="W45" i="2" s="1"/>
  <c r="W243" i="4"/>
  <c r="X45" i="2" s="1"/>
  <c r="X243" i="4"/>
  <c r="Y45" i="2" s="1"/>
  <c r="AS243" i="4"/>
  <c r="AT45" i="2" s="1"/>
  <c r="AG241" i="4"/>
  <c r="AH165" i="2" s="1"/>
  <c r="AH241" i="4"/>
  <c r="AI165" i="2" s="1"/>
  <c r="AI241" i="4"/>
  <c r="AJ165" i="2" s="1"/>
  <c r="AK241" i="4"/>
  <c r="AL165" i="2" s="1"/>
  <c r="AL241" i="4"/>
  <c r="AM165" i="2" s="1"/>
  <c r="AM241" i="4"/>
  <c r="AN165" i="2" s="1"/>
  <c r="AN241" i="4"/>
  <c r="AO165" i="2" s="1"/>
  <c r="AO241" i="4"/>
  <c r="AP165" i="2" s="1"/>
  <c r="AP241" i="4"/>
  <c r="AQ165" i="2" s="1"/>
  <c r="AQ241" i="4"/>
  <c r="AR165" i="2" s="1"/>
  <c r="AR241" i="4"/>
  <c r="AS165" i="2" s="1"/>
  <c r="W241" i="4"/>
  <c r="X165" i="2" s="1"/>
  <c r="X241" i="4"/>
  <c r="Y165" i="2" s="1"/>
  <c r="AY241" i="4"/>
  <c r="AZ165" i="2" s="1"/>
  <c r="Y241" i="4"/>
  <c r="Z165" i="2" s="1"/>
  <c r="Z241" i="4"/>
  <c r="AA165" i="2" s="1"/>
  <c r="AA241" i="4"/>
  <c r="AB165" i="2" s="1"/>
  <c r="AB241" i="4"/>
  <c r="AC165" i="2" s="1"/>
  <c r="AC241" i="4"/>
  <c r="AD165" i="2" s="1"/>
  <c r="AD241" i="4"/>
  <c r="AE165" i="2" s="1"/>
  <c r="AE241" i="4"/>
  <c r="AF165" i="2" s="1"/>
  <c r="AF241" i="4"/>
  <c r="AG165" i="2" s="1"/>
  <c r="AJ241" i="4"/>
  <c r="AK165" i="2" s="1"/>
  <c r="D342" i="6"/>
  <c r="D344" i="6" s="1"/>
  <c r="C346" i="6"/>
  <c r="J9" i="6"/>
  <c r="D10" i="1" s="1"/>
  <c r="J8" i="6"/>
  <c r="D9" i="1" s="1"/>
  <c r="C334" i="6"/>
  <c r="D334" i="6"/>
  <c r="E254" i="2" s="1"/>
  <c r="E334" i="6"/>
  <c r="F334" i="6"/>
  <c r="G334" i="6"/>
  <c r="H334" i="6"/>
  <c r="I254" i="2" s="1"/>
  <c r="I334" i="6"/>
  <c r="J254" i="2" s="1"/>
  <c r="J334" i="6"/>
  <c r="K254" i="2" s="1"/>
  <c r="K334" i="6"/>
  <c r="L254" i="2" s="1"/>
  <c r="L334" i="6"/>
  <c r="M254" i="2" s="1"/>
  <c r="M334" i="6"/>
  <c r="N254" i="2" s="1"/>
  <c r="N334" i="6"/>
  <c r="O254" i="2" s="1"/>
  <c r="O334" i="6"/>
  <c r="P254" i="2" s="1"/>
  <c r="P334" i="6"/>
  <c r="Q254" i="2" s="1"/>
  <c r="Q334" i="6"/>
  <c r="R254" i="2" s="1"/>
  <c r="R334" i="6"/>
  <c r="S254" i="2" s="1"/>
  <c r="S334" i="6"/>
  <c r="T254" i="2" s="1"/>
  <c r="T334" i="6"/>
  <c r="U254" i="2" s="1"/>
  <c r="U334" i="6"/>
  <c r="V254" i="2" s="1"/>
  <c r="V334" i="6"/>
  <c r="W254" i="2" s="1"/>
  <c r="W334" i="6"/>
  <c r="X254" i="2" s="1"/>
  <c r="X334" i="6"/>
  <c r="Y254" i="2" s="1"/>
  <c r="Y334" i="6"/>
  <c r="Z254" i="2" s="1"/>
  <c r="Z334" i="6"/>
  <c r="AA254" i="2" s="1"/>
  <c r="AA334" i="6"/>
  <c r="AB254" i="2" s="1"/>
  <c r="AB334" i="6"/>
  <c r="AC254" i="2" s="1"/>
  <c r="AC334" i="6"/>
  <c r="AD254" i="2" s="1"/>
  <c r="AD334" i="6"/>
  <c r="AE254" i="2" s="1"/>
  <c r="AE334" i="6"/>
  <c r="AF254" i="2" s="1"/>
  <c r="AF334" i="6"/>
  <c r="AG254" i="2" s="1"/>
  <c r="AG334" i="6"/>
  <c r="AH254" i="2" s="1"/>
  <c r="AH334" i="6"/>
  <c r="AI254" i="2" s="1"/>
  <c r="AI334" i="6"/>
  <c r="AJ254" i="2" s="1"/>
  <c r="AJ334" i="6"/>
  <c r="AK254" i="2" s="1"/>
  <c r="AK334" i="6"/>
  <c r="AL254" i="2" s="1"/>
  <c r="AL334" i="6"/>
  <c r="AM254" i="2" s="1"/>
  <c r="AM334" i="6"/>
  <c r="AN254" i="2" s="1"/>
  <c r="AN334" i="6"/>
  <c r="AO254" i="2" s="1"/>
  <c r="AO334" i="6"/>
  <c r="AP254" i="2" s="1"/>
  <c r="AP334" i="6"/>
  <c r="AQ254" i="2" s="1"/>
  <c r="AQ334" i="6"/>
  <c r="AR254" i="2" s="1"/>
  <c r="AR334" i="6"/>
  <c r="AS254" i="2" s="1"/>
  <c r="AS334" i="6"/>
  <c r="AT254" i="2" s="1"/>
  <c r="AT334" i="6"/>
  <c r="AU254" i="2" s="1"/>
  <c r="AU334" i="6"/>
  <c r="AV254" i="2" s="1"/>
  <c r="AV334" i="6"/>
  <c r="AW254" i="2" s="1"/>
  <c r="AW334" i="6"/>
  <c r="AX254" i="2" s="1"/>
  <c r="AX334" i="6"/>
  <c r="AY254" i="2" s="1"/>
  <c r="AY334" i="6"/>
  <c r="AZ254" i="2" s="1"/>
  <c r="AZ334" i="6"/>
  <c r="BA254" i="2" s="1"/>
  <c r="BA334" i="6"/>
  <c r="BB254" i="2" s="1"/>
  <c r="BB334" i="6"/>
  <c r="BC254" i="2" s="1"/>
  <c r="BC334" i="6"/>
  <c r="BD254" i="2" s="1"/>
  <c r="BD334" i="6"/>
  <c r="BE254" i="2" s="1"/>
  <c r="BE334" i="6"/>
  <c r="BF254" i="2" s="1"/>
  <c r="BF334" i="6"/>
  <c r="BG254" i="2" s="1"/>
  <c r="BG334" i="6"/>
  <c r="BH254" i="2" s="1"/>
  <c r="BH334" i="6"/>
  <c r="BI254" i="2" s="1"/>
  <c r="BI334" i="6"/>
  <c r="BJ254" i="2" s="1"/>
  <c r="BJ334" i="6"/>
  <c r="BK254" i="2" s="1"/>
  <c r="C333" i="6"/>
  <c r="D333" i="6"/>
  <c r="E122" i="2" s="1"/>
  <c r="E333" i="6"/>
  <c r="F122" i="2" s="1"/>
  <c r="F333" i="6"/>
  <c r="G122" i="2" s="1"/>
  <c r="G333" i="6"/>
  <c r="H122" i="2" s="1"/>
  <c r="H333" i="6"/>
  <c r="I122" i="2" s="1"/>
  <c r="I333" i="6"/>
  <c r="J122" i="2" s="1"/>
  <c r="J333" i="6"/>
  <c r="K122" i="2" s="1"/>
  <c r="K333" i="6"/>
  <c r="L122" i="2" s="1"/>
  <c r="L333" i="6"/>
  <c r="M122" i="2" s="1"/>
  <c r="M333" i="6"/>
  <c r="N122" i="2" s="1"/>
  <c r="N333" i="6"/>
  <c r="O122" i="2" s="1"/>
  <c r="O333" i="6"/>
  <c r="P122" i="2" s="1"/>
  <c r="P333" i="6"/>
  <c r="Q122" i="2" s="1"/>
  <c r="Q333" i="6"/>
  <c r="R122" i="2" s="1"/>
  <c r="R333" i="6"/>
  <c r="S122" i="2" s="1"/>
  <c r="S333" i="6"/>
  <c r="T122" i="2" s="1"/>
  <c r="T333" i="6"/>
  <c r="U122" i="2" s="1"/>
  <c r="U333" i="6"/>
  <c r="V333" i="6"/>
  <c r="W333" i="6"/>
  <c r="X122" i="2" s="1"/>
  <c r="X333" i="6"/>
  <c r="Y122" i="2" s="1"/>
  <c r="Y333" i="6"/>
  <c r="Z122" i="2" s="1"/>
  <c r="Z333" i="6"/>
  <c r="AA122" i="2" s="1"/>
  <c r="AA333" i="6"/>
  <c r="AB122" i="2" s="1"/>
  <c r="AB333" i="6"/>
  <c r="AC122" i="2" s="1"/>
  <c r="AC333" i="6"/>
  <c r="AD122" i="2" s="1"/>
  <c r="AD333" i="6"/>
  <c r="AE122" i="2" s="1"/>
  <c r="AE333" i="6"/>
  <c r="AF122" i="2" s="1"/>
  <c r="AF333" i="6"/>
  <c r="AG122" i="2" s="1"/>
  <c r="AG333" i="6"/>
  <c r="AH122" i="2" s="1"/>
  <c r="AH333" i="6"/>
  <c r="AI122" i="2" s="1"/>
  <c r="AI333" i="6"/>
  <c r="AJ122" i="2" s="1"/>
  <c r="AJ333" i="6"/>
  <c r="AK122" i="2" s="1"/>
  <c r="AK333" i="6"/>
  <c r="AL122" i="2" s="1"/>
  <c r="AL333" i="6"/>
  <c r="AM122" i="2" s="1"/>
  <c r="AM333" i="6"/>
  <c r="AN122" i="2" s="1"/>
  <c r="AN333" i="6"/>
  <c r="AO122" i="2" s="1"/>
  <c r="AO333" i="6"/>
  <c r="AP122" i="2" s="1"/>
  <c r="AP333" i="6"/>
  <c r="AQ122" i="2" s="1"/>
  <c r="AQ333" i="6"/>
  <c r="AR122" i="2" s="1"/>
  <c r="AR333" i="6"/>
  <c r="AS122" i="2" s="1"/>
  <c r="AS333" i="6"/>
  <c r="AT122" i="2" s="1"/>
  <c r="AT333" i="6"/>
  <c r="AU122" i="2" s="1"/>
  <c r="AU333" i="6"/>
  <c r="AV122" i="2" s="1"/>
  <c r="AV333" i="6"/>
  <c r="AW122" i="2" s="1"/>
  <c r="AW333" i="6"/>
  <c r="AX122" i="2" s="1"/>
  <c r="AX333" i="6"/>
  <c r="AY122" i="2" s="1"/>
  <c r="AY333" i="6"/>
  <c r="AZ122" i="2" s="1"/>
  <c r="AZ333" i="6"/>
  <c r="BA122" i="2" s="1"/>
  <c r="BA333" i="6"/>
  <c r="BB122" i="2" s="1"/>
  <c r="BB333" i="6"/>
  <c r="BC122" i="2" s="1"/>
  <c r="BC333" i="6"/>
  <c r="BD122" i="2" s="1"/>
  <c r="BD333" i="6"/>
  <c r="BE122" i="2" s="1"/>
  <c r="BE333" i="6"/>
  <c r="BF122" i="2" s="1"/>
  <c r="BF333" i="6"/>
  <c r="BG122" i="2" s="1"/>
  <c r="BG333" i="6"/>
  <c r="BH122" i="2" s="1"/>
  <c r="BH333" i="6"/>
  <c r="BI122" i="2" s="1"/>
  <c r="BI333" i="6"/>
  <c r="BJ122" i="2" s="1"/>
  <c r="BJ333" i="6"/>
  <c r="BK122" i="2" s="1"/>
  <c r="C332" i="6"/>
  <c r="D332" i="6"/>
  <c r="E38" i="2" s="1"/>
  <c r="E332" i="6"/>
  <c r="F38" i="2" s="1"/>
  <c r="F332" i="6"/>
  <c r="G38" i="2" s="1"/>
  <c r="G332" i="6"/>
  <c r="H38" i="2" s="1"/>
  <c r="H332" i="6"/>
  <c r="I38" i="2" s="1"/>
  <c r="I332" i="6"/>
  <c r="J38" i="2" s="1"/>
  <c r="J332" i="6"/>
  <c r="K38" i="2" s="1"/>
  <c r="K332" i="6"/>
  <c r="L38" i="2" s="1"/>
  <c r="L332" i="6"/>
  <c r="M38" i="2" s="1"/>
  <c r="M332" i="6"/>
  <c r="N38" i="2" s="1"/>
  <c r="N332" i="6"/>
  <c r="O38" i="2" s="1"/>
  <c r="O332" i="6"/>
  <c r="P38" i="2" s="1"/>
  <c r="P332" i="6"/>
  <c r="Q38" i="2" s="1"/>
  <c r="Q332" i="6"/>
  <c r="R38" i="2" s="1"/>
  <c r="R332" i="6"/>
  <c r="S38" i="2" s="1"/>
  <c r="S332" i="6"/>
  <c r="T38" i="2" s="1"/>
  <c r="T332" i="6"/>
  <c r="U38" i="2" s="1"/>
  <c r="U332" i="6"/>
  <c r="V38" i="2" s="1"/>
  <c r="V332" i="6"/>
  <c r="W38" i="2" s="1"/>
  <c r="W332" i="6"/>
  <c r="X38" i="2" s="1"/>
  <c r="X332" i="6"/>
  <c r="Y38" i="2" s="1"/>
  <c r="Y332" i="6"/>
  <c r="Z38" i="2" s="1"/>
  <c r="Z332" i="6"/>
  <c r="AA38" i="2" s="1"/>
  <c r="AA332" i="6"/>
  <c r="AB38" i="2" s="1"/>
  <c r="AB332" i="6"/>
  <c r="AC38" i="2" s="1"/>
  <c r="AC332" i="6"/>
  <c r="AD38" i="2" s="1"/>
  <c r="AD332" i="6"/>
  <c r="AE38" i="2" s="1"/>
  <c r="AE332" i="6"/>
  <c r="AF38" i="2" s="1"/>
  <c r="AF332" i="6"/>
  <c r="AG38" i="2" s="1"/>
  <c r="AG332" i="6"/>
  <c r="AH38" i="2" s="1"/>
  <c r="AH332" i="6"/>
  <c r="AI38" i="2" s="1"/>
  <c r="AI332" i="6"/>
  <c r="AJ38" i="2" s="1"/>
  <c r="AJ332" i="6"/>
  <c r="AK38" i="2" s="1"/>
  <c r="AK332" i="6"/>
  <c r="AL38" i="2" s="1"/>
  <c r="AL332" i="6"/>
  <c r="AM38" i="2" s="1"/>
  <c r="AM332" i="6"/>
  <c r="AN38" i="2" s="1"/>
  <c r="AN332" i="6"/>
  <c r="AO38" i="2" s="1"/>
  <c r="AO332" i="6"/>
  <c r="AP38" i="2" s="1"/>
  <c r="AP332" i="6"/>
  <c r="AQ38" i="2" s="1"/>
  <c r="AQ332" i="6"/>
  <c r="AR38" i="2" s="1"/>
  <c r="AR332" i="6"/>
  <c r="AS38" i="2" s="1"/>
  <c r="AS332" i="6"/>
  <c r="AT38" i="2" s="1"/>
  <c r="AT332" i="6"/>
  <c r="AU38" i="2" s="1"/>
  <c r="AU332" i="6"/>
  <c r="AV38" i="2" s="1"/>
  <c r="AV332" i="6"/>
  <c r="AW38" i="2" s="1"/>
  <c r="AW332" i="6"/>
  <c r="AX38" i="2" s="1"/>
  <c r="AX332" i="6"/>
  <c r="AY38" i="2" s="1"/>
  <c r="AY332" i="6"/>
  <c r="AZ38" i="2" s="1"/>
  <c r="AZ332" i="6"/>
  <c r="BA38" i="2" s="1"/>
  <c r="BA332" i="6"/>
  <c r="BB38" i="2" s="1"/>
  <c r="BB332" i="6"/>
  <c r="BC38" i="2" s="1"/>
  <c r="BC332" i="6"/>
  <c r="BD38" i="2" s="1"/>
  <c r="BD332" i="6"/>
  <c r="BE38" i="2" s="1"/>
  <c r="BE332" i="6"/>
  <c r="BF38" i="2" s="1"/>
  <c r="BF332" i="6"/>
  <c r="BG38" i="2" s="1"/>
  <c r="BG332" i="6"/>
  <c r="BH38" i="2" s="1"/>
  <c r="BH332" i="6"/>
  <c r="BI38" i="2" s="1"/>
  <c r="BI332" i="6"/>
  <c r="BJ38" i="2" s="1"/>
  <c r="BJ332" i="6"/>
  <c r="BK38" i="2" s="1"/>
  <c r="C331" i="6"/>
  <c r="D331" i="6"/>
  <c r="E331" i="6"/>
  <c r="F331" i="6"/>
  <c r="G331" i="6"/>
  <c r="H239" i="2" s="1"/>
  <c r="H331" i="6"/>
  <c r="I239" i="2" s="1"/>
  <c r="I331" i="6"/>
  <c r="J239" i="2" s="1"/>
  <c r="J331" i="6"/>
  <c r="K239" i="2" s="1"/>
  <c r="K331" i="6"/>
  <c r="L239" i="2" s="1"/>
  <c r="L331" i="6"/>
  <c r="M239" i="2" s="1"/>
  <c r="M331" i="6"/>
  <c r="N239" i="2" s="1"/>
  <c r="N331" i="6"/>
  <c r="O239" i="2" s="1"/>
  <c r="O331" i="6"/>
  <c r="P239" i="2" s="1"/>
  <c r="P331" i="6"/>
  <c r="Q239" i="2" s="1"/>
  <c r="Q331" i="6"/>
  <c r="R239" i="2" s="1"/>
  <c r="R331" i="6"/>
  <c r="S239" i="2" s="1"/>
  <c r="S331" i="6"/>
  <c r="T239" i="2" s="1"/>
  <c r="T331" i="6"/>
  <c r="U239" i="2" s="1"/>
  <c r="U331" i="6"/>
  <c r="V239" i="2" s="1"/>
  <c r="V331" i="6"/>
  <c r="W239" i="2" s="1"/>
  <c r="W331" i="6"/>
  <c r="X239" i="2" s="1"/>
  <c r="X331" i="6"/>
  <c r="Y239" i="2" s="1"/>
  <c r="Y331" i="6"/>
  <c r="Z239" i="2" s="1"/>
  <c r="Z331" i="6"/>
  <c r="AA239" i="2" s="1"/>
  <c r="AA331" i="6"/>
  <c r="AB239" i="2" s="1"/>
  <c r="AB331" i="6"/>
  <c r="AC239" i="2" s="1"/>
  <c r="AC331" i="6"/>
  <c r="AD239" i="2" s="1"/>
  <c r="AD331" i="6"/>
  <c r="AE239" i="2" s="1"/>
  <c r="AE331" i="6"/>
  <c r="AF239" i="2" s="1"/>
  <c r="AF331" i="6"/>
  <c r="AG239" i="2" s="1"/>
  <c r="AG331" i="6"/>
  <c r="AH239" i="2" s="1"/>
  <c r="AH331" i="6"/>
  <c r="AI239" i="2" s="1"/>
  <c r="AI331" i="6"/>
  <c r="AJ239" i="2" s="1"/>
  <c r="AJ331" i="6"/>
  <c r="AK239" i="2" s="1"/>
  <c r="AK331" i="6"/>
  <c r="AL239" i="2" s="1"/>
  <c r="AL331" i="6"/>
  <c r="AM239" i="2" s="1"/>
  <c r="AM331" i="6"/>
  <c r="AN239" i="2" s="1"/>
  <c r="AN331" i="6"/>
  <c r="AO239" i="2" s="1"/>
  <c r="AO331" i="6"/>
  <c r="AP239" i="2" s="1"/>
  <c r="AP331" i="6"/>
  <c r="AQ239" i="2" s="1"/>
  <c r="AQ331" i="6"/>
  <c r="AR239" i="2" s="1"/>
  <c r="AR331" i="6"/>
  <c r="AS239" i="2" s="1"/>
  <c r="AS331" i="6"/>
  <c r="AT239" i="2" s="1"/>
  <c r="AT331" i="6"/>
  <c r="AU239" i="2" s="1"/>
  <c r="AU331" i="6"/>
  <c r="AV239" i="2" s="1"/>
  <c r="AV331" i="6"/>
  <c r="AW239" i="2" s="1"/>
  <c r="AW331" i="6"/>
  <c r="AX239" i="2" s="1"/>
  <c r="AX331" i="6"/>
  <c r="AY239" i="2" s="1"/>
  <c r="AY331" i="6"/>
  <c r="AZ239" i="2" s="1"/>
  <c r="AZ331" i="6"/>
  <c r="BA239" i="2" s="1"/>
  <c r="BA331" i="6"/>
  <c r="BB239" i="2" s="1"/>
  <c r="BB331" i="6"/>
  <c r="BC239" i="2" s="1"/>
  <c r="BC331" i="6"/>
  <c r="BD239" i="2" s="1"/>
  <c r="BD331" i="6"/>
  <c r="BE239" i="2" s="1"/>
  <c r="BE331" i="6"/>
  <c r="BF239" i="2" s="1"/>
  <c r="BF331" i="6"/>
  <c r="BG239" i="2" s="1"/>
  <c r="BG331" i="6"/>
  <c r="BH239" i="2" s="1"/>
  <c r="BH331" i="6"/>
  <c r="BI239" i="2" s="1"/>
  <c r="BI331" i="6"/>
  <c r="BJ239" i="2" s="1"/>
  <c r="BJ331" i="6"/>
  <c r="BK239" i="2" s="1"/>
  <c r="C330" i="6"/>
  <c r="D330" i="6"/>
  <c r="E65" i="2" s="1"/>
  <c r="E330" i="6"/>
  <c r="F65" i="2" s="1"/>
  <c r="F330" i="6"/>
  <c r="G65" i="2" s="1"/>
  <c r="G330" i="6"/>
  <c r="H65" i="2" s="1"/>
  <c r="H330" i="6"/>
  <c r="I65" i="2" s="1"/>
  <c r="I330" i="6"/>
  <c r="J65" i="2" s="1"/>
  <c r="J330" i="6"/>
  <c r="K65" i="2" s="1"/>
  <c r="K330" i="6"/>
  <c r="L65" i="2" s="1"/>
  <c r="L330" i="6"/>
  <c r="M65" i="2" s="1"/>
  <c r="M330" i="6"/>
  <c r="N65" i="2" s="1"/>
  <c r="N330" i="6"/>
  <c r="O65" i="2" s="1"/>
  <c r="O330" i="6"/>
  <c r="P65" i="2" s="1"/>
  <c r="P330" i="6"/>
  <c r="Q65" i="2" s="1"/>
  <c r="Q330" i="6"/>
  <c r="R65" i="2" s="1"/>
  <c r="R330" i="6"/>
  <c r="S65" i="2" s="1"/>
  <c r="S330" i="6"/>
  <c r="T65" i="2" s="1"/>
  <c r="T330" i="6"/>
  <c r="U65" i="2" s="1"/>
  <c r="U330" i="6"/>
  <c r="V330" i="6"/>
  <c r="W330" i="6"/>
  <c r="X65" i="2" s="1"/>
  <c r="X330" i="6"/>
  <c r="Y65" i="2" s="1"/>
  <c r="Y330" i="6"/>
  <c r="Z65" i="2" s="1"/>
  <c r="Z330" i="6"/>
  <c r="AA65" i="2" s="1"/>
  <c r="AA330" i="6"/>
  <c r="AB65" i="2" s="1"/>
  <c r="AB330" i="6"/>
  <c r="AC65" i="2" s="1"/>
  <c r="AC330" i="6"/>
  <c r="AD65" i="2" s="1"/>
  <c r="AD330" i="6"/>
  <c r="AE65" i="2" s="1"/>
  <c r="AE330" i="6"/>
  <c r="AF65" i="2" s="1"/>
  <c r="AF330" i="6"/>
  <c r="AG65" i="2" s="1"/>
  <c r="AG330" i="6"/>
  <c r="AH65" i="2" s="1"/>
  <c r="AH330" i="6"/>
  <c r="AI65" i="2" s="1"/>
  <c r="AI330" i="6"/>
  <c r="AJ65" i="2" s="1"/>
  <c r="AJ330" i="6"/>
  <c r="AK65" i="2" s="1"/>
  <c r="AK330" i="6"/>
  <c r="AL65" i="2" s="1"/>
  <c r="AL330" i="6"/>
  <c r="AM65" i="2" s="1"/>
  <c r="AM330" i="6"/>
  <c r="AN65" i="2" s="1"/>
  <c r="AN330" i="6"/>
  <c r="AO65" i="2" s="1"/>
  <c r="AO330" i="6"/>
  <c r="AP65" i="2" s="1"/>
  <c r="AP330" i="6"/>
  <c r="AQ65" i="2" s="1"/>
  <c r="AQ330" i="6"/>
  <c r="AR65" i="2" s="1"/>
  <c r="AR330" i="6"/>
  <c r="AS65" i="2" s="1"/>
  <c r="AS330" i="6"/>
  <c r="AT65" i="2" s="1"/>
  <c r="AT330" i="6"/>
  <c r="AU65" i="2" s="1"/>
  <c r="AU330" i="6"/>
  <c r="AV65" i="2" s="1"/>
  <c r="AV330" i="6"/>
  <c r="AW65" i="2" s="1"/>
  <c r="AW330" i="6"/>
  <c r="AX65" i="2" s="1"/>
  <c r="AX330" i="6"/>
  <c r="AY65" i="2" s="1"/>
  <c r="AY330" i="6"/>
  <c r="AZ65" i="2" s="1"/>
  <c r="AZ330" i="6"/>
  <c r="BA65" i="2" s="1"/>
  <c r="BA330" i="6"/>
  <c r="BB65" i="2" s="1"/>
  <c r="BB330" i="6"/>
  <c r="BC65" i="2" s="1"/>
  <c r="BC330" i="6"/>
  <c r="BD65" i="2" s="1"/>
  <c r="BD330" i="6"/>
  <c r="BE65" i="2" s="1"/>
  <c r="BE330" i="6"/>
  <c r="BF65" i="2" s="1"/>
  <c r="BF330" i="6"/>
  <c r="BG65" i="2" s="1"/>
  <c r="BG330" i="6"/>
  <c r="BH65" i="2" s="1"/>
  <c r="BH330" i="6"/>
  <c r="BI65" i="2" s="1"/>
  <c r="BI330" i="6"/>
  <c r="BJ65" i="2" s="1"/>
  <c r="BJ330" i="6"/>
  <c r="BK65" i="2" s="1"/>
  <c r="C329" i="6"/>
  <c r="D329" i="6"/>
  <c r="E146" i="2" s="1"/>
  <c r="E329" i="6"/>
  <c r="F146" i="2" s="1"/>
  <c r="F329" i="6"/>
  <c r="G146" i="2" s="1"/>
  <c r="G329" i="6"/>
  <c r="H146" i="2" s="1"/>
  <c r="H329" i="6"/>
  <c r="I146" i="2" s="1"/>
  <c r="I329" i="6"/>
  <c r="J146" i="2" s="1"/>
  <c r="J329" i="6"/>
  <c r="K146" i="2" s="1"/>
  <c r="K329" i="6"/>
  <c r="L146" i="2" s="1"/>
  <c r="L329" i="6"/>
  <c r="M146" i="2" s="1"/>
  <c r="M329" i="6"/>
  <c r="N146" i="2" s="1"/>
  <c r="N329" i="6"/>
  <c r="O146" i="2" s="1"/>
  <c r="O329" i="6"/>
  <c r="P146" i="2" s="1"/>
  <c r="P329" i="6"/>
  <c r="Q146" i="2" s="1"/>
  <c r="Q329" i="6"/>
  <c r="R146" i="2" s="1"/>
  <c r="R329" i="6"/>
  <c r="S146" i="2" s="1"/>
  <c r="S329" i="6"/>
  <c r="T146" i="2" s="1"/>
  <c r="T329" i="6"/>
  <c r="U146" i="2" s="1"/>
  <c r="U329" i="6"/>
  <c r="V329" i="6"/>
  <c r="W329" i="6"/>
  <c r="X146" i="2" s="1"/>
  <c r="X329" i="6"/>
  <c r="Y146" i="2" s="1"/>
  <c r="Y329" i="6"/>
  <c r="Z146" i="2" s="1"/>
  <c r="Z329" i="6"/>
  <c r="AA146" i="2" s="1"/>
  <c r="AA329" i="6"/>
  <c r="AB146" i="2" s="1"/>
  <c r="AB329" i="6"/>
  <c r="AC146" i="2" s="1"/>
  <c r="AC329" i="6"/>
  <c r="AD146" i="2" s="1"/>
  <c r="AD329" i="6"/>
  <c r="AE146" i="2" s="1"/>
  <c r="AE329" i="6"/>
  <c r="AF146" i="2" s="1"/>
  <c r="AF329" i="6"/>
  <c r="AG146" i="2" s="1"/>
  <c r="AG329" i="6"/>
  <c r="AH146" i="2" s="1"/>
  <c r="AH329" i="6"/>
  <c r="AI146" i="2" s="1"/>
  <c r="AI329" i="6"/>
  <c r="AJ146" i="2" s="1"/>
  <c r="AJ329" i="6"/>
  <c r="AK146" i="2" s="1"/>
  <c r="AK329" i="6"/>
  <c r="AL146" i="2" s="1"/>
  <c r="AL329" i="6"/>
  <c r="AM146" i="2" s="1"/>
  <c r="AM329" i="6"/>
  <c r="AN146" i="2" s="1"/>
  <c r="AN329" i="6"/>
  <c r="AO146" i="2" s="1"/>
  <c r="AO329" i="6"/>
  <c r="AP146" i="2" s="1"/>
  <c r="AP329" i="6"/>
  <c r="AQ146" i="2" s="1"/>
  <c r="AQ329" i="6"/>
  <c r="AR146" i="2" s="1"/>
  <c r="AR329" i="6"/>
  <c r="AS146" i="2" s="1"/>
  <c r="AS329" i="6"/>
  <c r="AT146" i="2" s="1"/>
  <c r="AT329" i="6"/>
  <c r="AU146" i="2" s="1"/>
  <c r="AU329" i="6"/>
  <c r="AV146" i="2" s="1"/>
  <c r="AV329" i="6"/>
  <c r="AW146" i="2" s="1"/>
  <c r="AW329" i="6"/>
  <c r="AX146" i="2" s="1"/>
  <c r="AX329" i="6"/>
  <c r="AY146" i="2" s="1"/>
  <c r="AY329" i="6"/>
  <c r="AZ146" i="2" s="1"/>
  <c r="AZ329" i="6"/>
  <c r="BA146" i="2" s="1"/>
  <c r="BA329" i="6"/>
  <c r="BB146" i="2" s="1"/>
  <c r="BB329" i="6"/>
  <c r="BC146" i="2" s="1"/>
  <c r="BC329" i="6"/>
  <c r="BD146" i="2" s="1"/>
  <c r="BD329" i="6"/>
  <c r="BE146" i="2" s="1"/>
  <c r="BE329" i="6"/>
  <c r="BF146" i="2" s="1"/>
  <c r="BF329" i="6"/>
  <c r="BG146" i="2" s="1"/>
  <c r="BG329" i="6"/>
  <c r="BH146" i="2" s="1"/>
  <c r="BH329" i="6"/>
  <c r="BI146" i="2" s="1"/>
  <c r="BI329" i="6"/>
  <c r="BJ146" i="2" s="1"/>
  <c r="BJ329" i="6"/>
  <c r="BK146" i="2" s="1"/>
  <c r="C328" i="6"/>
  <c r="D328" i="6"/>
  <c r="E179" i="2" s="1"/>
  <c r="E328" i="6"/>
  <c r="F179" i="2" s="1"/>
  <c r="F328" i="6"/>
  <c r="G179" i="2" s="1"/>
  <c r="G328" i="6"/>
  <c r="H179" i="2" s="1"/>
  <c r="H328" i="6"/>
  <c r="I179" i="2" s="1"/>
  <c r="I328" i="6"/>
  <c r="J179" i="2" s="1"/>
  <c r="J328" i="6"/>
  <c r="K179" i="2" s="1"/>
  <c r="K328" i="6"/>
  <c r="L179" i="2" s="1"/>
  <c r="L328" i="6"/>
  <c r="M179" i="2" s="1"/>
  <c r="M328" i="6"/>
  <c r="N179" i="2" s="1"/>
  <c r="N328" i="6"/>
  <c r="O179" i="2" s="1"/>
  <c r="O328" i="6"/>
  <c r="P179" i="2" s="1"/>
  <c r="P328" i="6"/>
  <c r="Q179" i="2" s="1"/>
  <c r="Q328" i="6"/>
  <c r="R179" i="2" s="1"/>
  <c r="R328" i="6"/>
  <c r="S179" i="2" s="1"/>
  <c r="S328" i="6"/>
  <c r="T179" i="2" s="1"/>
  <c r="T328" i="6"/>
  <c r="U179" i="2" s="1"/>
  <c r="U328" i="6"/>
  <c r="V179" i="2" s="1"/>
  <c r="V328" i="6"/>
  <c r="W179" i="2" s="1"/>
  <c r="W328" i="6"/>
  <c r="X179" i="2" s="1"/>
  <c r="X328" i="6"/>
  <c r="Y179" i="2" s="1"/>
  <c r="Y328" i="6"/>
  <c r="Z179" i="2" s="1"/>
  <c r="Z328" i="6"/>
  <c r="AA179" i="2" s="1"/>
  <c r="AA328" i="6"/>
  <c r="AB179" i="2" s="1"/>
  <c r="AB328" i="6"/>
  <c r="AC179" i="2" s="1"/>
  <c r="AC328" i="6"/>
  <c r="AD179" i="2" s="1"/>
  <c r="AD328" i="6"/>
  <c r="AE179" i="2" s="1"/>
  <c r="AE328" i="6"/>
  <c r="AF179" i="2" s="1"/>
  <c r="AF328" i="6"/>
  <c r="AG179" i="2" s="1"/>
  <c r="AG328" i="6"/>
  <c r="AH179" i="2" s="1"/>
  <c r="AH328" i="6"/>
  <c r="AI179" i="2" s="1"/>
  <c r="AI328" i="6"/>
  <c r="AJ179" i="2" s="1"/>
  <c r="AJ328" i="6"/>
  <c r="AK179" i="2" s="1"/>
  <c r="AK328" i="6"/>
  <c r="AL179" i="2" s="1"/>
  <c r="AL328" i="6"/>
  <c r="AM179" i="2" s="1"/>
  <c r="AM328" i="6"/>
  <c r="AN179" i="2" s="1"/>
  <c r="AN328" i="6"/>
  <c r="AO179" i="2" s="1"/>
  <c r="AO328" i="6"/>
  <c r="AP179" i="2" s="1"/>
  <c r="AP328" i="6"/>
  <c r="AQ179" i="2" s="1"/>
  <c r="AQ328" i="6"/>
  <c r="AR179" i="2" s="1"/>
  <c r="AR328" i="6"/>
  <c r="AS179" i="2" s="1"/>
  <c r="AS328" i="6"/>
  <c r="AT179" i="2" s="1"/>
  <c r="AT328" i="6"/>
  <c r="AU179" i="2" s="1"/>
  <c r="AU328" i="6"/>
  <c r="AV179" i="2" s="1"/>
  <c r="AV328" i="6"/>
  <c r="AW179" i="2" s="1"/>
  <c r="AW328" i="6"/>
  <c r="AX179" i="2" s="1"/>
  <c r="AX328" i="6"/>
  <c r="AY179" i="2" s="1"/>
  <c r="AY328" i="6"/>
  <c r="AZ179" i="2" s="1"/>
  <c r="AZ328" i="6"/>
  <c r="BA179" i="2" s="1"/>
  <c r="BA328" i="6"/>
  <c r="BB179" i="2" s="1"/>
  <c r="BB328" i="6"/>
  <c r="BC179" i="2" s="1"/>
  <c r="BC328" i="6"/>
  <c r="BD179" i="2" s="1"/>
  <c r="BD328" i="6"/>
  <c r="BE179" i="2" s="1"/>
  <c r="BE328" i="6"/>
  <c r="BF179" i="2" s="1"/>
  <c r="BF328" i="6"/>
  <c r="BG179" i="2" s="1"/>
  <c r="BG328" i="6"/>
  <c r="BH179" i="2" s="1"/>
  <c r="BH328" i="6"/>
  <c r="BI179" i="2" s="1"/>
  <c r="BI328" i="6"/>
  <c r="BJ179" i="2" s="1"/>
  <c r="BJ328" i="6"/>
  <c r="BK179" i="2" s="1"/>
  <c r="C327" i="6"/>
  <c r="D327" i="6"/>
  <c r="E299" i="2" s="1"/>
  <c r="E327" i="6"/>
  <c r="F299" i="2" s="1"/>
  <c r="F327" i="6"/>
  <c r="G299" i="2" s="1"/>
  <c r="G327" i="6"/>
  <c r="H299" i="2" s="1"/>
  <c r="H327" i="6"/>
  <c r="I299" i="2" s="1"/>
  <c r="I327" i="6"/>
  <c r="J299" i="2" s="1"/>
  <c r="J327" i="6"/>
  <c r="K299" i="2" s="1"/>
  <c r="K327" i="6"/>
  <c r="L299" i="2" s="1"/>
  <c r="L327" i="6"/>
  <c r="M299" i="2" s="1"/>
  <c r="M327" i="6"/>
  <c r="N299" i="2" s="1"/>
  <c r="N327" i="6"/>
  <c r="O299" i="2" s="1"/>
  <c r="O327" i="6"/>
  <c r="P299" i="2" s="1"/>
  <c r="P327" i="6"/>
  <c r="Q299" i="2" s="1"/>
  <c r="Q327" i="6"/>
  <c r="R299" i="2" s="1"/>
  <c r="R327" i="6"/>
  <c r="S299" i="2" s="1"/>
  <c r="S327" i="6"/>
  <c r="T299" i="2" s="1"/>
  <c r="T327" i="6"/>
  <c r="U299" i="2" s="1"/>
  <c r="U327" i="6"/>
  <c r="V327" i="6"/>
  <c r="W327" i="6"/>
  <c r="X299" i="2" s="1"/>
  <c r="X327" i="6"/>
  <c r="Y299" i="2" s="1"/>
  <c r="Y327" i="6"/>
  <c r="Z299" i="2" s="1"/>
  <c r="Z327" i="6"/>
  <c r="AA299" i="2" s="1"/>
  <c r="AA327" i="6"/>
  <c r="AB299" i="2" s="1"/>
  <c r="AB327" i="6"/>
  <c r="AC299" i="2" s="1"/>
  <c r="AC327" i="6"/>
  <c r="AD299" i="2" s="1"/>
  <c r="AD327" i="6"/>
  <c r="AE299" i="2" s="1"/>
  <c r="AE327" i="6"/>
  <c r="AF299" i="2" s="1"/>
  <c r="AF327" i="6"/>
  <c r="AG299" i="2" s="1"/>
  <c r="AG327" i="6"/>
  <c r="AH299" i="2" s="1"/>
  <c r="AH327" i="6"/>
  <c r="AI299" i="2" s="1"/>
  <c r="AI327" i="6"/>
  <c r="AJ299" i="2" s="1"/>
  <c r="AJ327" i="6"/>
  <c r="AK299" i="2" s="1"/>
  <c r="AK327" i="6"/>
  <c r="AL299" i="2" s="1"/>
  <c r="AL327" i="6"/>
  <c r="AM299" i="2" s="1"/>
  <c r="AM327" i="6"/>
  <c r="AN299" i="2" s="1"/>
  <c r="AN327" i="6"/>
  <c r="AO299" i="2" s="1"/>
  <c r="AO327" i="6"/>
  <c r="AP299" i="2" s="1"/>
  <c r="AP327" i="6"/>
  <c r="AQ299" i="2" s="1"/>
  <c r="AQ327" i="6"/>
  <c r="AR299" i="2" s="1"/>
  <c r="AR327" i="6"/>
  <c r="AS299" i="2" s="1"/>
  <c r="AS327" i="6"/>
  <c r="AT299" i="2" s="1"/>
  <c r="AT327" i="6"/>
  <c r="AU299" i="2" s="1"/>
  <c r="AU327" i="6"/>
  <c r="AV299" i="2" s="1"/>
  <c r="AV327" i="6"/>
  <c r="AW299" i="2" s="1"/>
  <c r="AW327" i="6"/>
  <c r="AX299" i="2" s="1"/>
  <c r="AX327" i="6"/>
  <c r="AY299" i="2" s="1"/>
  <c r="AY327" i="6"/>
  <c r="AZ299" i="2" s="1"/>
  <c r="AZ327" i="6"/>
  <c r="BA299" i="2" s="1"/>
  <c r="BA327" i="6"/>
  <c r="BB299" i="2" s="1"/>
  <c r="BB327" i="6"/>
  <c r="BC299" i="2" s="1"/>
  <c r="BC327" i="6"/>
  <c r="BD299" i="2" s="1"/>
  <c r="BD327" i="6"/>
  <c r="BE299" i="2" s="1"/>
  <c r="BE327" i="6"/>
  <c r="BF299" i="2" s="1"/>
  <c r="BF327" i="6"/>
  <c r="BG299" i="2" s="1"/>
  <c r="BG327" i="6"/>
  <c r="BH299" i="2" s="1"/>
  <c r="BH327" i="6"/>
  <c r="BI299" i="2" s="1"/>
  <c r="BI327" i="6"/>
  <c r="BJ299" i="2" s="1"/>
  <c r="BJ327" i="6"/>
  <c r="BK299" i="2" s="1"/>
  <c r="C326" i="6"/>
  <c r="D326" i="6"/>
  <c r="E176" i="2" s="1"/>
  <c r="E326" i="6"/>
  <c r="F176" i="2" s="1"/>
  <c r="F326" i="6"/>
  <c r="G176" i="2" s="1"/>
  <c r="G326" i="6"/>
  <c r="H176" i="2" s="1"/>
  <c r="H326" i="6"/>
  <c r="I176" i="2" s="1"/>
  <c r="I326" i="6"/>
  <c r="J176" i="2" s="1"/>
  <c r="J326" i="6"/>
  <c r="K176" i="2" s="1"/>
  <c r="K326" i="6"/>
  <c r="L176" i="2" s="1"/>
  <c r="L326" i="6"/>
  <c r="M176" i="2" s="1"/>
  <c r="M326" i="6"/>
  <c r="N176" i="2" s="1"/>
  <c r="N326" i="6"/>
  <c r="O176" i="2" s="1"/>
  <c r="O326" i="6"/>
  <c r="P176" i="2" s="1"/>
  <c r="P326" i="6"/>
  <c r="Q176" i="2" s="1"/>
  <c r="Q326" i="6"/>
  <c r="R176" i="2" s="1"/>
  <c r="R326" i="6"/>
  <c r="S176" i="2" s="1"/>
  <c r="S326" i="6"/>
  <c r="T176" i="2" s="1"/>
  <c r="T326" i="6"/>
  <c r="U176" i="2" s="1"/>
  <c r="U326" i="6"/>
  <c r="V176" i="2" s="1"/>
  <c r="V326" i="6"/>
  <c r="W176" i="2" s="1"/>
  <c r="W326" i="6"/>
  <c r="X176" i="2" s="1"/>
  <c r="X326" i="6"/>
  <c r="Y176" i="2" s="1"/>
  <c r="Y326" i="6"/>
  <c r="Z176" i="2" s="1"/>
  <c r="Z326" i="6"/>
  <c r="AA176" i="2" s="1"/>
  <c r="AA326" i="6"/>
  <c r="AB176" i="2" s="1"/>
  <c r="AB326" i="6"/>
  <c r="AC176" i="2" s="1"/>
  <c r="AC326" i="6"/>
  <c r="AD176" i="2" s="1"/>
  <c r="AD326" i="6"/>
  <c r="AE176" i="2" s="1"/>
  <c r="AE326" i="6"/>
  <c r="AF176" i="2" s="1"/>
  <c r="AF326" i="6"/>
  <c r="AG176" i="2" s="1"/>
  <c r="AG326" i="6"/>
  <c r="AH176" i="2" s="1"/>
  <c r="AH326" i="6"/>
  <c r="AI176" i="2" s="1"/>
  <c r="AI326" i="6"/>
  <c r="AJ176" i="2" s="1"/>
  <c r="AJ326" i="6"/>
  <c r="AK176" i="2" s="1"/>
  <c r="AK326" i="6"/>
  <c r="AL176" i="2" s="1"/>
  <c r="AL326" i="6"/>
  <c r="AM176" i="2" s="1"/>
  <c r="AM326" i="6"/>
  <c r="AN176" i="2" s="1"/>
  <c r="AN326" i="6"/>
  <c r="AO176" i="2" s="1"/>
  <c r="AO326" i="6"/>
  <c r="AP176" i="2" s="1"/>
  <c r="AP326" i="6"/>
  <c r="AQ176" i="2" s="1"/>
  <c r="AQ326" i="6"/>
  <c r="AR176" i="2" s="1"/>
  <c r="AR326" i="6"/>
  <c r="AS176" i="2" s="1"/>
  <c r="AS326" i="6"/>
  <c r="AT176" i="2" s="1"/>
  <c r="AT326" i="6"/>
  <c r="AU176" i="2" s="1"/>
  <c r="AU326" i="6"/>
  <c r="AV176" i="2" s="1"/>
  <c r="AV326" i="6"/>
  <c r="AW176" i="2" s="1"/>
  <c r="AW326" i="6"/>
  <c r="AX176" i="2" s="1"/>
  <c r="AX326" i="6"/>
  <c r="AY176" i="2" s="1"/>
  <c r="AY326" i="6"/>
  <c r="AZ176" i="2" s="1"/>
  <c r="AZ326" i="6"/>
  <c r="BA176" i="2" s="1"/>
  <c r="BA326" i="6"/>
  <c r="BB176" i="2" s="1"/>
  <c r="BB326" i="6"/>
  <c r="BC176" i="2" s="1"/>
  <c r="BC326" i="6"/>
  <c r="BD176" i="2" s="1"/>
  <c r="BD326" i="6"/>
  <c r="BE176" i="2" s="1"/>
  <c r="BE326" i="6"/>
  <c r="BF176" i="2" s="1"/>
  <c r="BF326" i="6"/>
  <c r="BG176" i="2" s="1"/>
  <c r="BG326" i="6"/>
  <c r="BH176" i="2" s="1"/>
  <c r="BH326" i="6"/>
  <c r="BI176" i="2" s="1"/>
  <c r="BI326" i="6"/>
  <c r="BJ176" i="2" s="1"/>
  <c r="BJ326" i="6"/>
  <c r="BK176" i="2" s="1"/>
  <c r="C325" i="6"/>
  <c r="E325" i="6"/>
  <c r="H325" i="6"/>
  <c r="I251" i="2" s="1"/>
  <c r="J325" i="6"/>
  <c r="K251" i="2" s="1"/>
  <c r="L325" i="6"/>
  <c r="M251" i="2" s="1"/>
  <c r="O325" i="6"/>
  <c r="P251" i="2" s="1"/>
  <c r="S325" i="6"/>
  <c r="T251" i="2" s="1"/>
  <c r="U325" i="6"/>
  <c r="V251" i="2" s="1"/>
  <c r="W325" i="6"/>
  <c r="X251" i="2" s="1"/>
  <c r="Y325" i="6"/>
  <c r="Z251" i="2" s="1"/>
  <c r="AA325" i="6"/>
  <c r="AB251" i="2" s="1"/>
  <c r="AC325" i="6"/>
  <c r="AD251" i="2" s="1"/>
  <c r="AE325" i="6"/>
  <c r="AF251" i="2" s="1"/>
  <c r="AF325" i="6"/>
  <c r="AG251" i="2" s="1"/>
  <c r="AG325" i="6"/>
  <c r="AH251" i="2" s="1"/>
  <c r="AH325" i="6"/>
  <c r="AI251" i="2" s="1"/>
  <c r="AI325" i="6"/>
  <c r="AJ251" i="2" s="1"/>
  <c r="AJ325" i="6"/>
  <c r="AK251" i="2" s="1"/>
  <c r="AK325" i="6"/>
  <c r="AL251" i="2" s="1"/>
  <c r="AL325" i="6"/>
  <c r="AM251" i="2" s="1"/>
  <c r="AM325" i="6"/>
  <c r="AN251" i="2" s="1"/>
  <c r="AN325" i="6"/>
  <c r="AO251" i="2" s="1"/>
  <c r="AO325" i="6"/>
  <c r="AP251" i="2" s="1"/>
  <c r="AP325" i="6"/>
  <c r="AQ251" i="2" s="1"/>
  <c r="AQ325" i="6"/>
  <c r="AR251" i="2" s="1"/>
  <c r="AR325" i="6"/>
  <c r="AS251" i="2" s="1"/>
  <c r="AS325" i="6"/>
  <c r="AT251" i="2" s="1"/>
  <c r="AT325" i="6"/>
  <c r="AU251" i="2" s="1"/>
  <c r="AU325" i="6"/>
  <c r="AV251" i="2" s="1"/>
  <c r="AV325" i="6"/>
  <c r="AW251" i="2" s="1"/>
  <c r="AW325" i="6"/>
  <c r="AX251" i="2" s="1"/>
  <c r="AX325" i="6"/>
  <c r="AY251" i="2" s="1"/>
  <c r="AY325" i="6"/>
  <c r="AZ251" i="2" s="1"/>
  <c r="AZ325" i="6"/>
  <c r="BA251" i="2" s="1"/>
  <c r="BA325" i="6"/>
  <c r="BB251" i="2" s="1"/>
  <c r="BB325" i="6"/>
  <c r="BC251" i="2" s="1"/>
  <c r="BC325" i="6"/>
  <c r="BD251" i="2" s="1"/>
  <c r="BD325" i="6"/>
  <c r="BE251" i="2" s="1"/>
  <c r="BE325" i="6"/>
  <c r="BF251" i="2" s="1"/>
  <c r="BF325" i="6"/>
  <c r="BG251" i="2" s="1"/>
  <c r="BG325" i="6"/>
  <c r="BH251" i="2" s="1"/>
  <c r="BH325" i="6"/>
  <c r="BI251" i="2" s="1"/>
  <c r="BI325" i="6"/>
  <c r="BJ251" i="2" s="1"/>
  <c r="BJ325" i="6"/>
  <c r="BK251" i="2" s="1"/>
  <c r="D325" i="6"/>
  <c r="E251" i="2" s="1"/>
  <c r="F325" i="6"/>
  <c r="G325" i="6"/>
  <c r="I325" i="6"/>
  <c r="J251" i="2" s="1"/>
  <c r="K325" i="6"/>
  <c r="L251" i="2" s="1"/>
  <c r="M325" i="6"/>
  <c r="N251" i="2" s="1"/>
  <c r="N325" i="6"/>
  <c r="O251" i="2" s="1"/>
  <c r="P325" i="6"/>
  <c r="Q251" i="2" s="1"/>
  <c r="Q325" i="6"/>
  <c r="R251" i="2" s="1"/>
  <c r="R325" i="6"/>
  <c r="S251" i="2" s="1"/>
  <c r="T325" i="6"/>
  <c r="U251" i="2" s="1"/>
  <c r="V325" i="6"/>
  <c r="W251" i="2" s="1"/>
  <c r="X325" i="6"/>
  <c r="Y251" i="2" s="1"/>
  <c r="Z325" i="6"/>
  <c r="AA251" i="2" s="1"/>
  <c r="AB325" i="6"/>
  <c r="AC251" i="2" s="1"/>
  <c r="AD325" i="6"/>
  <c r="AE251" i="2" s="1"/>
  <c r="E324" i="6"/>
  <c r="F293" i="2" s="1"/>
  <c r="H324" i="6"/>
  <c r="K324" i="6"/>
  <c r="L293" i="2" s="1"/>
  <c r="N324" i="6"/>
  <c r="O293" i="2" s="1"/>
  <c r="R324" i="6"/>
  <c r="S293" i="2" s="1"/>
  <c r="T324" i="6"/>
  <c r="U293" i="2" s="1"/>
  <c r="U324" i="6"/>
  <c r="V293" i="2" s="1"/>
  <c r="X324" i="6"/>
  <c r="Y293" i="2" s="1"/>
  <c r="Z324" i="6"/>
  <c r="AA293" i="2" s="1"/>
  <c r="AB324" i="6"/>
  <c r="AC293" i="2" s="1"/>
  <c r="AE324" i="6"/>
  <c r="AF293" i="2" s="1"/>
  <c r="AI324" i="6"/>
  <c r="AJ293" i="2" s="1"/>
  <c r="AL324" i="6"/>
  <c r="AM293" i="2" s="1"/>
  <c r="AN324" i="6"/>
  <c r="AO293" i="2" s="1"/>
  <c r="AS324" i="6"/>
  <c r="AT293" i="2" s="1"/>
  <c r="AT324" i="6"/>
  <c r="AU293" i="2" s="1"/>
  <c r="AV324" i="6"/>
  <c r="AW293" i="2" s="1"/>
  <c r="AX324" i="6"/>
  <c r="AY293" i="2" s="1"/>
  <c r="AZ324" i="6"/>
  <c r="BA293" i="2" s="1"/>
  <c r="BC324" i="6"/>
  <c r="BD293" i="2" s="1"/>
  <c r="BG324" i="6"/>
  <c r="BH293" i="2" s="1"/>
  <c r="BJ324" i="6"/>
  <c r="BK293" i="2" s="1"/>
  <c r="C324" i="6"/>
  <c r="D324" i="6"/>
  <c r="E293" i="2" s="1"/>
  <c r="F324" i="6"/>
  <c r="G293" i="2" s="1"/>
  <c r="G324" i="6"/>
  <c r="H293" i="2" s="1"/>
  <c r="I324" i="6"/>
  <c r="J324" i="6"/>
  <c r="L324" i="6"/>
  <c r="M293" i="2" s="1"/>
  <c r="M324" i="6"/>
  <c r="N293" i="2" s="1"/>
  <c r="O324" i="6"/>
  <c r="P293" i="2" s="1"/>
  <c r="P324" i="6"/>
  <c r="Q293" i="2" s="1"/>
  <c r="Q324" i="6"/>
  <c r="R293" i="2" s="1"/>
  <c r="S324" i="6"/>
  <c r="T293" i="2" s="1"/>
  <c r="V324" i="6"/>
  <c r="W293" i="2" s="1"/>
  <c r="W324" i="6"/>
  <c r="X293" i="2" s="1"/>
  <c r="Y324" i="6"/>
  <c r="Z293" i="2" s="1"/>
  <c r="AA324" i="6"/>
  <c r="AB293" i="2" s="1"/>
  <c r="AC324" i="6"/>
  <c r="AD293" i="2" s="1"/>
  <c r="AD324" i="6"/>
  <c r="AE293" i="2" s="1"/>
  <c r="AF324" i="6"/>
  <c r="AG293" i="2" s="1"/>
  <c r="AG324" i="6"/>
  <c r="AH293" i="2" s="1"/>
  <c r="AH324" i="6"/>
  <c r="AI293" i="2" s="1"/>
  <c r="AJ324" i="6"/>
  <c r="AK293" i="2" s="1"/>
  <c r="AK324" i="6"/>
  <c r="AL293" i="2" s="1"/>
  <c r="AM324" i="6"/>
  <c r="AN293" i="2" s="1"/>
  <c r="AO324" i="6"/>
  <c r="AP293" i="2" s="1"/>
  <c r="AP324" i="6"/>
  <c r="AQ293" i="2" s="1"/>
  <c r="AQ324" i="6"/>
  <c r="AR293" i="2" s="1"/>
  <c r="AR324" i="6"/>
  <c r="AS293" i="2" s="1"/>
  <c r="AU324" i="6"/>
  <c r="AV293" i="2" s="1"/>
  <c r="AW324" i="6"/>
  <c r="AX293" i="2" s="1"/>
  <c r="AY324" i="6"/>
  <c r="AZ293" i="2" s="1"/>
  <c r="BA324" i="6"/>
  <c r="BB293" i="2" s="1"/>
  <c r="BB324" i="6"/>
  <c r="BC293" i="2" s="1"/>
  <c r="BD324" i="6"/>
  <c r="BE293" i="2" s="1"/>
  <c r="BE324" i="6"/>
  <c r="BF293" i="2" s="1"/>
  <c r="BF324" i="6"/>
  <c r="BG293" i="2" s="1"/>
  <c r="BH324" i="6"/>
  <c r="BI293" i="2" s="1"/>
  <c r="BI324" i="6"/>
  <c r="BJ293" i="2" s="1"/>
  <c r="F323" i="6"/>
  <c r="G56" i="2" s="1"/>
  <c r="G323" i="6"/>
  <c r="H56" i="2" s="1"/>
  <c r="I323" i="6"/>
  <c r="J56" i="2" s="1"/>
  <c r="K323" i="6"/>
  <c r="L56" i="2" s="1"/>
  <c r="M323" i="6"/>
  <c r="N56" i="2" s="1"/>
  <c r="Q323" i="6"/>
  <c r="R56" i="2" s="1"/>
  <c r="T323" i="6"/>
  <c r="U56" i="2" s="1"/>
  <c r="W323" i="6"/>
  <c r="X56" i="2" s="1"/>
  <c r="AA323" i="6"/>
  <c r="AB56" i="2" s="1"/>
  <c r="AD323" i="6"/>
  <c r="AE56" i="2" s="1"/>
  <c r="AG323" i="6"/>
  <c r="AH56" i="2" s="1"/>
  <c r="AK323" i="6"/>
  <c r="AL56" i="2" s="1"/>
  <c r="AN323" i="6"/>
  <c r="AO56" i="2" s="1"/>
  <c r="AO323" i="6"/>
  <c r="AP56" i="2" s="1"/>
  <c r="AT323" i="6"/>
  <c r="AU56" i="2" s="1"/>
  <c r="AV323" i="6"/>
  <c r="AW56" i="2" s="1"/>
  <c r="AZ323" i="6"/>
  <c r="BA56" i="2" s="1"/>
  <c r="BC323" i="6"/>
  <c r="BD56" i="2" s="1"/>
  <c r="BE323" i="6"/>
  <c r="BF56" i="2" s="1"/>
  <c r="BG323" i="6"/>
  <c r="BH56" i="2" s="1"/>
  <c r="BJ323" i="6"/>
  <c r="BK56" i="2" s="1"/>
  <c r="C323" i="6"/>
  <c r="D323" i="6"/>
  <c r="E56" i="2" s="1"/>
  <c r="E323" i="6"/>
  <c r="F56" i="2" s="1"/>
  <c r="H323" i="6"/>
  <c r="I56" i="2" s="1"/>
  <c r="J323" i="6"/>
  <c r="K56" i="2" s="1"/>
  <c r="L323" i="6"/>
  <c r="M56" i="2" s="1"/>
  <c r="N323" i="6"/>
  <c r="O56" i="2" s="1"/>
  <c r="O323" i="6"/>
  <c r="P56" i="2" s="1"/>
  <c r="P323" i="6"/>
  <c r="Q56" i="2" s="1"/>
  <c r="R323" i="6"/>
  <c r="S56" i="2" s="1"/>
  <c r="S323" i="6"/>
  <c r="T56" i="2" s="1"/>
  <c r="U323" i="6"/>
  <c r="V56" i="2" s="1"/>
  <c r="V323" i="6"/>
  <c r="X323" i="6"/>
  <c r="Y56" i="2" s="1"/>
  <c r="Y323" i="6"/>
  <c r="Z56" i="2" s="1"/>
  <c r="Z323" i="6"/>
  <c r="AA56" i="2" s="1"/>
  <c r="AB323" i="6"/>
  <c r="AC56" i="2" s="1"/>
  <c r="AC323" i="6"/>
  <c r="AD56" i="2" s="1"/>
  <c r="AE323" i="6"/>
  <c r="AF56" i="2" s="1"/>
  <c r="AF323" i="6"/>
  <c r="AG56" i="2" s="1"/>
  <c r="AH323" i="6"/>
  <c r="AI56" i="2" s="1"/>
  <c r="AI323" i="6"/>
  <c r="AJ56" i="2" s="1"/>
  <c r="AJ323" i="6"/>
  <c r="AK56" i="2" s="1"/>
  <c r="AL323" i="6"/>
  <c r="AM56" i="2" s="1"/>
  <c r="AM323" i="6"/>
  <c r="AN56" i="2" s="1"/>
  <c r="AP323" i="6"/>
  <c r="AQ56" i="2" s="1"/>
  <c r="AQ323" i="6"/>
  <c r="AR56" i="2" s="1"/>
  <c r="AR323" i="6"/>
  <c r="AS56" i="2" s="1"/>
  <c r="AS323" i="6"/>
  <c r="AT56" i="2" s="1"/>
  <c r="AU323" i="6"/>
  <c r="AV56" i="2" s="1"/>
  <c r="AW323" i="6"/>
  <c r="AX56" i="2" s="1"/>
  <c r="AX323" i="6"/>
  <c r="AY56" i="2" s="1"/>
  <c r="AY323" i="6"/>
  <c r="AZ56" i="2" s="1"/>
  <c r="BA323" i="6"/>
  <c r="BB56" i="2" s="1"/>
  <c r="BB323" i="6"/>
  <c r="BC56" i="2" s="1"/>
  <c r="BD323" i="6"/>
  <c r="BE56" i="2" s="1"/>
  <c r="BF323" i="6"/>
  <c r="BG56" i="2" s="1"/>
  <c r="BH323" i="6"/>
  <c r="BI56" i="2" s="1"/>
  <c r="BI323" i="6"/>
  <c r="BJ56" i="2" s="1"/>
  <c r="J322" i="6"/>
  <c r="P322" i="6"/>
  <c r="Q215" i="2" s="1"/>
  <c r="T322" i="6"/>
  <c r="U215" i="2" s="1"/>
  <c r="AE322" i="6"/>
  <c r="AF215" i="2" s="1"/>
  <c r="AO322" i="6"/>
  <c r="AP215" i="2" s="1"/>
  <c r="AS322" i="6"/>
  <c r="AT215" i="2" s="1"/>
  <c r="AZ322" i="6"/>
  <c r="BA215" i="2" s="1"/>
  <c r="BC322" i="6"/>
  <c r="BD215" i="2" s="1"/>
  <c r="BE322" i="6"/>
  <c r="BF215" i="2" s="1"/>
  <c r="BH322" i="6"/>
  <c r="BI215" i="2" s="1"/>
  <c r="BJ322" i="6"/>
  <c r="BK215" i="2" s="1"/>
  <c r="F322" i="6"/>
  <c r="G215" i="2" s="1"/>
  <c r="K322" i="6"/>
  <c r="N322" i="6"/>
  <c r="O215" i="2" s="1"/>
  <c r="R322" i="6"/>
  <c r="S215" i="2" s="1"/>
  <c r="V322" i="6"/>
  <c r="W215" i="2" s="1"/>
  <c r="Y322" i="6"/>
  <c r="Z215" i="2" s="1"/>
  <c r="AD322" i="6"/>
  <c r="AE215" i="2" s="1"/>
  <c r="AH322" i="6"/>
  <c r="AI215" i="2" s="1"/>
  <c r="AL322" i="6"/>
  <c r="AM215" i="2" s="1"/>
  <c r="AQ322" i="6"/>
  <c r="AR215" i="2" s="1"/>
  <c r="AT322" i="6"/>
  <c r="AU215" i="2" s="1"/>
  <c r="AW322" i="6"/>
  <c r="AX215" i="2" s="1"/>
  <c r="BB322" i="6"/>
  <c r="BC215" i="2" s="1"/>
  <c r="BD322" i="6"/>
  <c r="BE215" i="2" s="1"/>
  <c r="BF322" i="6"/>
  <c r="BG215" i="2" s="1"/>
  <c r="BG322" i="6"/>
  <c r="BH215" i="2" s="1"/>
  <c r="BI322" i="6"/>
  <c r="BJ215" i="2" s="1"/>
  <c r="G322" i="6"/>
  <c r="H215" i="2" s="1"/>
  <c r="L322" i="6"/>
  <c r="S322" i="6"/>
  <c r="T215" i="2" s="1"/>
  <c r="W322" i="6"/>
  <c r="X215" i="2" s="1"/>
  <c r="Z322" i="6"/>
  <c r="AA215" i="2" s="1"/>
  <c r="AF322" i="6"/>
  <c r="AG215" i="2" s="1"/>
  <c r="AK322" i="6"/>
  <c r="AL215" i="2" s="1"/>
  <c r="AV322" i="6"/>
  <c r="AW215" i="2" s="1"/>
  <c r="C322" i="6"/>
  <c r="I322" i="6"/>
  <c r="O322" i="6"/>
  <c r="P215" i="2" s="1"/>
  <c r="U322" i="6"/>
  <c r="V215" i="2" s="1"/>
  <c r="AA322" i="6"/>
  <c r="AB215" i="2" s="1"/>
  <c r="AC322" i="6"/>
  <c r="AD215" i="2" s="1"/>
  <c r="AI322" i="6"/>
  <c r="AJ215" i="2" s="1"/>
  <c r="AM322" i="6"/>
  <c r="AN215" i="2" s="1"/>
  <c r="AX322" i="6"/>
  <c r="AY215" i="2" s="1"/>
  <c r="D322" i="6"/>
  <c r="E215" i="2" s="1"/>
  <c r="E322" i="6"/>
  <c r="F215" i="2" s="1"/>
  <c r="H322" i="6"/>
  <c r="M322" i="6"/>
  <c r="Q322" i="6"/>
  <c r="R215" i="2" s="1"/>
  <c r="X322" i="6"/>
  <c r="Y215" i="2" s="1"/>
  <c r="AB322" i="6"/>
  <c r="AC215" i="2" s="1"/>
  <c r="AG322" i="6"/>
  <c r="AH215" i="2" s="1"/>
  <c r="AJ322" i="6"/>
  <c r="AK215" i="2" s="1"/>
  <c r="AN322" i="6"/>
  <c r="AO215" i="2" s="1"/>
  <c r="AP322" i="6"/>
  <c r="AQ215" i="2" s="1"/>
  <c r="AR322" i="6"/>
  <c r="AS215" i="2" s="1"/>
  <c r="AU322" i="6"/>
  <c r="AV215" i="2" s="1"/>
  <c r="AY322" i="6"/>
  <c r="AZ215" i="2" s="1"/>
  <c r="BA322" i="6"/>
  <c r="BB215" i="2" s="1"/>
  <c r="F321" i="6"/>
  <c r="G290" i="2" s="1"/>
  <c r="N321" i="6"/>
  <c r="O290" i="2" s="1"/>
  <c r="T321" i="6"/>
  <c r="U290" i="2" s="1"/>
  <c r="Y321" i="6"/>
  <c r="Z290" i="2" s="1"/>
  <c r="AE321" i="6"/>
  <c r="AF290" i="2" s="1"/>
  <c r="AM321" i="6"/>
  <c r="AN290" i="2" s="1"/>
  <c r="AY321" i="6"/>
  <c r="AZ290" i="2" s="1"/>
  <c r="BE321" i="6"/>
  <c r="BF290" i="2" s="1"/>
  <c r="BI321" i="6"/>
  <c r="BJ290" i="2" s="1"/>
  <c r="I321" i="6"/>
  <c r="J290" i="2" s="1"/>
  <c r="K321" i="6"/>
  <c r="L290" i="2" s="1"/>
  <c r="P321" i="6"/>
  <c r="Q290" i="2" s="1"/>
  <c r="R321" i="6"/>
  <c r="S290" i="2" s="1"/>
  <c r="X321" i="6"/>
  <c r="Y290" i="2" s="1"/>
  <c r="AB321" i="6"/>
  <c r="AC290" i="2" s="1"/>
  <c r="AF321" i="6"/>
  <c r="AG290" i="2" s="1"/>
  <c r="AH321" i="6"/>
  <c r="AI290" i="2" s="1"/>
  <c r="AJ321" i="6"/>
  <c r="AK290" i="2" s="1"/>
  <c r="AO321" i="6"/>
  <c r="AP290" i="2" s="1"/>
  <c r="AS321" i="6"/>
  <c r="AT290" i="2" s="1"/>
  <c r="AU321" i="6"/>
  <c r="AV290" i="2" s="1"/>
  <c r="BB321" i="6"/>
  <c r="BC290" i="2" s="1"/>
  <c r="BJ321" i="6"/>
  <c r="BK290" i="2" s="1"/>
  <c r="C321" i="6"/>
  <c r="G321" i="6"/>
  <c r="H290" i="2" s="1"/>
  <c r="L321" i="6"/>
  <c r="M290" i="2" s="1"/>
  <c r="Q321" i="6"/>
  <c r="R290" i="2" s="1"/>
  <c r="U321" i="6"/>
  <c r="V290" i="2" s="1"/>
  <c r="AC321" i="6"/>
  <c r="AD290" i="2" s="1"/>
  <c r="AL321" i="6"/>
  <c r="AM290" i="2" s="1"/>
  <c r="AR321" i="6"/>
  <c r="AS290" i="2" s="1"/>
  <c r="AX321" i="6"/>
  <c r="AY290" i="2" s="1"/>
  <c r="AZ321" i="6"/>
  <c r="BA290" i="2" s="1"/>
  <c r="BF321" i="6"/>
  <c r="BG290" i="2" s="1"/>
  <c r="BH321" i="6"/>
  <c r="BI290" i="2" s="1"/>
  <c r="D321" i="6"/>
  <c r="E290" i="2" s="1"/>
  <c r="J321" i="6"/>
  <c r="K290" i="2" s="1"/>
  <c r="W321" i="6"/>
  <c r="X290" i="2" s="1"/>
  <c r="AA321" i="6"/>
  <c r="AB290" i="2" s="1"/>
  <c r="AN321" i="6"/>
  <c r="AO290" i="2" s="1"/>
  <c r="AP321" i="6"/>
  <c r="AQ290" i="2" s="1"/>
  <c r="AV321" i="6"/>
  <c r="AW290" i="2" s="1"/>
  <c r="BC321" i="6"/>
  <c r="BD290" i="2" s="1"/>
  <c r="E321" i="6"/>
  <c r="F290" i="2" s="1"/>
  <c r="H321" i="6"/>
  <c r="I290" i="2" s="1"/>
  <c r="M321" i="6"/>
  <c r="N290" i="2" s="1"/>
  <c r="O321" i="6"/>
  <c r="P290" i="2" s="1"/>
  <c r="S321" i="6"/>
  <c r="T290" i="2" s="1"/>
  <c r="V321" i="6"/>
  <c r="W290" i="2" s="1"/>
  <c r="Z321" i="6"/>
  <c r="AA290" i="2" s="1"/>
  <c r="AD321" i="6"/>
  <c r="AE290" i="2" s="1"/>
  <c r="AG321" i="6"/>
  <c r="AH290" i="2" s="1"/>
  <c r="AI321" i="6"/>
  <c r="AJ290" i="2" s="1"/>
  <c r="AK321" i="6"/>
  <c r="AL290" i="2" s="1"/>
  <c r="AQ321" i="6"/>
  <c r="AR290" i="2" s="1"/>
  <c r="AT321" i="6"/>
  <c r="AU290" i="2" s="1"/>
  <c r="AW321" i="6"/>
  <c r="AX290" i="2" s="1"/>
  <c r="BA321" i="6"/>
  <c r="BB290" i="2" s="1"/>
  <c r="BD321" i="6"/>
  <c r="BE290" i="2" s="1"/>
  <c r="BG321" i="6"/>
  <c r="BH290" i="2" s="1"/>
  <c r="M320" i="6"/>
  <c r="N236" i="2" s="1"/>
  <c r="R320" i="6"/>
  <c r="S236" i="2" s="1"/>
  <c r="U320" i="6"/>
  <c r="V236" i="2" s="1"/>
  <c r="Z320" i="6"/>
  <c r="AA236" i="2" s="1"/>
  <c r="AF320" i="6"/>
  <c r="AG236" i="2" s="1"/>
  <c r="AL320" i="6"/>
  <c r="AM236" i="2" s="1"/>
  <c r="AQ320" i="6"/>
  <c r="AR236" i="2" s="1"/>
  <c r="AT320" i="6"/>
  <c r="AU236" i="2" s="1"/>
  <c r="AZ320" i="6"/>
  <c r="BA236" i="2" s="1"/>
  <c r="BE320" i="6"/>
  <c r="BF236" i="2" s="1"/>
  <c r="BJ320" i="6"/>
  <c r="BK236" i="2" s="1"/>
  <c r="D320" i="6"/>
  <c r="G320" i="6"/>
  <c r="H236" i="2" s="1"/>
  <c r="K320" i="6"/>
  <c r="L236" i="2" s="1"/>
  <c r="Q320" i="6"/>
  <c r="R236" i="2" s="1"/>
  <c r="S320" i="6"/>
  <c r="T236" i="2" s="1"/>
  <c r="AB320" i="6"/>
  <c r="AC236" i="2" s="1"/>
  <c r="AI320" i="6"/>
  <c r="AJ236" i="2" s="1"/>
  <c r="AP320" i="6"/>
  <c r="AQ236" i="2" s="1"/>
  <c r="AW320" i="6"/>
  <c r="AX236" i="2" s="1"/>
  <c r="BD320" i="6"/>
  <c r="BE236" i="2" s="1"/>
  <c r="H320" i="6"/>
  <c r="I236" i="2" s="1"/>
  <c r="P320" i="6"/>
  <c r="Q236" i="2" s="1"/>
  <c r="X320" i="6"/>
  <c r="Y236" i="2" s="1"/>
  <c r="AE320" i="6"/>
  <c r="AF236" i="2" s="1"/>
  <c r="AJ320" i="6"/>
  <c r="AK236" i="2" s="1"/>
  <c r="AO320" i="6"/>
  <c r="AP236" i="2" s="1"/>
  <c r="AR320" i="6"/>
  <c r="AS236" i="2" s="1"/>
  <c r="AU320" i="6"/>
  <c r="AV236" i="2" s="1"/>
  <c r="BA320" i="6"/>
  <c r="BB236" i="2" s="1"/>
  <c r="BG320" i="6"/>
  <c r="BH236" i="2" s="1"/>
  <c r="C320" i="6"/>
  <c r="J320" i="6"/>
  <c r="K236" i="2" s="1"/>
  <c r="N320" i="6"/>
  <c r="O236" i="2" s="1"/>
  <c r="V320" i="6"/>
  <c r="W236" i="2" s="1"/>
  <c r="AC320" i="6"/>
  <c r="AD236" i="2" s="1"/>
  <c r="AH320" i="6"/>
  <c r="AI236" i="2" s="1"/>
  <c r="AM320" i="6"/>
  <c r="AN236" i="2" s="1"/>
  <c r="AX320" i="6"/>
  <c r="AY236" i="2" s="1"/>
  <c r="BB320" i="6"/>
  <c r="BC236" i="2" s="1"/>
  <c r="BH320" i="6"/>
  <c r="BI236" i="2" s="1"/>
  <c r="E320" i="6"/>
  <c r="F236" i="2" s="1"/>
  <c r="F320" i="6"/>
  <c r="G236" i="2" s="1"/>
  <c r="I320" i="6"/>
  <c r="J236" i="2" s="1"/>
  <c r="L320" i="6"/>
  <c r="M236" i="2" s="1"/>
  <c r="O320" i="6"/>
  <c r="P236" i="2" s="1"/>
  <c r="T320" i="6"/>
  <c r="U236" i="2" s="1"/>
  <c r="W320" i="6"/>
  <c r="X236" i="2" s="1"/>
  <c r="Y320" i="6"/>
  <c r="Z236" i="2" s="1"/>
  <c r="AA320" i="6"/>
  <c r="AB236" i="2" s="1"/>
  <c r="AD320" i="6"/>
  <c r="AE236" i="2" s="1"/>
  <c r="AG320" i="6"/>
  <c r="AH236" i="2" s="1"/>
  <c r="AK320" i="6"/>
  <c r="AL236" i="2" s="1"/>
  <c r="AN320" i="6"/>
  <c r="AO236" i="2" s="1"/>
  <c r="AS320" i="6"/>
  <c r="AT236" i="2" s="1"/>
  <c r="AV320" i="6"/>
  <c r="AW236" i="2" s="1"/>
  <c r="AY320" i="6"/>
  <c r="AZ236" i="2" s="1"/>
  <c r="BC320" i="6"/>
  <c r="BD236" i="2" s="1"/>
  <c r="BF320" i="6"/>
  <c r="BG236" i="2" s="1"/>
  <c r="BI320" i="6"/>
  <c r="BJ236" i="2" s="1"/>
  <c r="E319" i="6"/>
  <c r="F305" i="2" s="1"/>
  <c r="H319" i="6"/>
  <c r="I305" i="2" s="1"/>
  <c r="M319" i="6"/>
  <c r="N305" i="2" s="1"/>
  <c r="O319" i="6"/>
  <c r="P305" i="2" s="1"/>
  <c r="S319" i="6"/>
  <c r="T305" i="2" s="1"/>
  <c r="U319" i="6"/>
  <c r="W319" i="6"/>
  <c r="X305" i="2" s="1"/>
  <c r="AC319" i="6"/>
  <c r="AD305" i="2" s="1"/>
  <c r="AI319" i="6"/>
  <c r="AJ305" i="2" s="1"/>
  <c r="AP319" i="6"/>
  <c r="AQ305" i="2" s="1"/>
  <c r="AU319" i="6"/>
  <c r="AV305" i="2" s="1"/>
  <c r="AX319" i="6"/>
  <c r="AY305" i="2" s="1"/>
  <c r="BD319" i="6"/>
  <c r="BE305" i="2" s="1"/>
  <c r="G319" i="6"/>
  <c r="H305" i="2" s="1"/>
  <c r="I319" i="6"/>
  <c r="J305" i="2" s="1"/>
  <c r="L319" i="6"/>
  <c r="M305" i="2" s="1"/>
  <c r="P319" i="6"/>
  <c r="Q305" i="2" s="1"/>
  <c r="R319" i="6"/>
  <c r="S305" i="2" s="1"/>
  <c r="T319" i="6"/>
  <c r="U305" i="2" s="1"/>
  <c r="X319" i="6"/>
  <c r="Y305" i="2" s="1"/>
  <c r="AA319" i="6"/>
  <c r="AB305" i="2" s="1"/>
  <c r="AD319" i="6"/>
  <c r="AE305" i="2" s="1"/>
  <c r="AJ319" i="6"/>
  <c r="AK305" i="2" s="1"/>
  <c r="AK319" i="6"/>
  <c r="AL305" i="2" s="1"/>
  <c r="AO319" i="6"/>
  <c r="AP305" i="2" s="1"/>
  <c r="AR319" i="6"/>
  <c r="AS305" i="2" s="1"/>
  <c r="AT319" i="6"/>
  <c r="AU305" i="2" s="1"/>
  <c r="AZ319" i="6"/>
  <c r="BA305" i="2" s="1"/>
  <c r="BE319" i="6"/>
  <c r="BF305" i="2" s="1"/>
  <c r="BH319" i="6"/>
  <c r="BI305" i="2" s="1"/>
  <c r="C319" i="6"/>
  <c r="J319" i="6"/>
  <c r="K305" i="2" s="1"/>
  <c r="N319" i="6"/>
  <c r="O305" i="2" s="1"/>
  <c r="V319" i="6"/>
  <c r="AE319" i="6"/>
  <c r="AF305" i="2" s="1"/>
  <c r="AH319" i="6"/>
  <c r="AI305" i="2" s="1"/>
  <c r="AQ319" i="6"/>
  <c r="AR305" i="2" s="1"/>
  <c r="AS319" i="6"/>
  <c r="AT305" i="2" s="1"/>
  <c r="AY319" i="6"/>
  <c r="AZ305" i="2" s="1"/>
  <c r="BF319" i="6"/>
  <c r="BG305" i="2" s="1"/>
  <c r="BJ319" i="6"/>
  <c r="BK305" i="2" s="1"/>
  <c r="Q319" i="6"/>
  <c r="R305" i="2" s="1"/>
  <c r="Z319" i="6"/>
  <c r="AA305" i="2" s="1"/>
  <c r="AF319" i="6"/>
  <c r="AG305" i="2" s="1"/>
  <c r="AM319" i="6"/>
  <c r="AN305" i="2" s="1"/>
  <c r="AW319" i="6"/>
  <c r="AX305" i="2" s="1"/>
  <c r="BB319" i="6"/>
  <c r="BC305" i="2" s="1"/>
  <c r="BG319" i="6"/>
  <c r="BH305" i="2" s="1"/>
  <c r="D319" i="6"/>
  <c r="E305" i="2" s="1"/>
  <c r="F319" i="6"/>
  <c r="G305" i="2" s="1"/>
  <c r="K319" i="6"/>
  <c r="L305" i="2" s="1"/>
  <c r="Y319" i="6"/>
  <c r="Z305" i="2" s="1"/>
  <c r="AB319" i="6"/>
  <c r="AC305" i="2" s="1"/>
  <c r="AG319" i="6"/>
  <c r="AH305" i="2" s="1"/>
  <c r="AL319" i="6"/>
  <c r="AM305" i="2" s="1"/>
  <c r="AN319" i="6"/>
  <c r="AO305" i="2" s="1"/>
  <c r="AV319" i="6"/>
  <c r="AW305" i="2" s="1"/>
  <c r="BA319" i="6"/>
  <c r="BB305" i="2" s="1"/>
  <c r="BC319" i="6"/>
  <c r="BD305" i="2" s="1"/>
  <c r="BI319" i="6"/>
  <c r="BJ305" i="2" s="1"/>
  <c r="E318" i="6"/>
  <c r="F224" i="2" s="1"/>
  <c r="L318" i="6"/>
  <c r="M224" i="2" s="1"/>
  <c r="R318" i="6"/>
  <c r="S224" i="2" s="1"/>
  <c r="AA318" i="6"/>
  <c r="AB224" i="2" s="1"/>
  <c r="AC318" i="6"/>
  <c r="AD224" i="2" s="1"/>
  <c r="AH318" i="6"/>
  <c r="AI224" i="2" s="1"/>
  <c r="AL318" i="6"/>
  <c r="AM224" i="2" s="1"/>
  <c r="AT318" i="6"/>
  <c r="AU224" i="2" s="1"/>
  <c r="AW318" i="6"/>
  <c r="AX224" i="2" s="1"/>
  <c r="BC318" i="6"/>
  <c r="BD224" i="2" s="1"/>
  <c r="BE318" i="6"/>
  <c r="BF224" i="2" s="1"/>
  <c r="BJ318" i="6"/>
  <c r="BK224" i="2" s="1"/>
  <c r="F318" i="6"/>
  <c r="G224" i="2" s="1"/>
  <c r="K318" i="6"/>
  <c r="L224" i="2" s="1"/>
  <c r="M318" i="6"/>
  <c r="N224" i="2" s="1"/>
  <c r="P318" i="6"/>
  <c r="Q224" i="2" s="1"/>
  <c r="U318" i="6"/>
  <c r="Y318" i="6"/>
  <c r="Z224" i="2" s="1"/>
  <c r="AD318" i="6"/>
  <c r="AE224" i="2" s="1"/>
  <c r="AG318" i="6"/>
  <c r="AH224" i="2" s="1"/>
  <c r="AK318" i="6"/>
  <c r="AL224" i="2" s="1"/>
  <c r="AO318" i="6"/>
  <c r="AP224" i="2" s="1"/>
  <c r="AR318" i="6"/>
  <c r="AS224" i="2" s="1"/>
  <c r="AV318" i="6"/>
  <c r="AW224" i="2" s="1"/>
  <c r="AZ318" i="6"/>
  <c r="BA224" i="2" s="1"/>
  <c r="BB318" i="6"/>
  <c r="BC224" i="2" s="1"/>
  <c r="BF318" i="6"/>
  <c r="BG224" i="2" s="1"/>
  <c r="BI318" i="6"/>
  <c r="BJ224" i="2" s="1"/>
  <c r="J318" i="6"/>
  <c r="K224" i="2" s="1"/>
  <c r="O318" i="6"/>
  <c r="P224" i="2" s="1"/>
  <c r="S318" i="6"/>
  <c r="AF318" i="6"/>
  <c r="AG224" i="2" s="1"/>
  <c r="AM318" i="6"/>
  <c r="AN224" i="2" s="1"/>
  <c r="AQ318" i="6"/>
  <c r="AR224" i="2" s="1"/>
  <c r="AU318" i="6"/>
  <c r="AV224" i="2" s="1"/>
  <c r="BA318" i="6"/>
  <c r="BB224" i="2" s="1"/>
  <c r="BH318" i="6"/>
  <c r="BI224" i="2" s="1"/>
  <c r="C318" i="6"/>
  <c r="H318" i="6"/>
  <c r="I224" i="2" s="1"/>
  <c r="Q318" i="6"/>
  <c r="R224" i="2" s="1"/>
  <c r="V318" i="6"/>
  <c r="AI318" i="6"/>
  <c r="AJ224" i="2" s="1"/>
  <c r="AP318" i="6"/>
  <c r="AQ224" i="2" s="1"/>
  <c r="AS318" i="6"/>
  <c r="AT224" i="2" s="1"/>
  <c r="AY318" i="6"/>
  <c r="AZ224" i="2" s="1"/>
  <c r="D318" i="6"/>
  <c r="E224" i="2" s="1"/>
  <c r="G318" i="6"/>
  <c r="H224" i="2" s="1"/>
  <c r="I318" i="6"/>
  <c r="J224" i="2" s="1"/>
  <c r="N318" i="6"/>
  <c r="O224" i="2" s="1"/>
  <c r="T318" i="6"/>
  <c r="W318" i="6"/>
  <c r="X224" i="2" s="1"/>
  <c r="X318" i="6"/>
  <c r="Y224" i="2" s="1"/>
  <c r="Z318" i="6"/>
  <c r="AA224" i="2" s="1"/>
  <c r="AB318" i="6"/>
  <c r="AC224" i="2" s="1"/>
  <c r="AE318" i="6"/>
  <c r="AF224" i="2" s="1"/>
  <c r="AJ318" i="6"/>
  <c r="AK224" i="2" s="1"/>
  <c r="AN318" i="6"/>
  <c r="AO224" i="2" s="1"/>
  <c r="AX318" i="6"/>
  <c r="AY224" i="2" s="1"/>
  <c r="BD318" i="6"/>
  <c r="BE224" i="2" s="1"/>
  <c r="BG318" i="6"/>
  <c r="BH224" i="2" s="1"/>
  <c r="D317" i="6"/>
  <c r="E230" i="2" s="1"/>
  <c r="I317" i="6"/>
  <c r="J230" i="2" s="1"/>
  <c r="K317" i="6"/>
  <c r="L230" i="2" s="1"/>
  <c r="O317" i="6"/>
  <c r="P230" i="2" s="1"/>
  <c r="S317" i="6"/>
  <c r="T230" i="2" s="1"/>
  <c r="X317" i="6"/>
  <c r="Y230" i="2" s="1"/>
  <c r="AA317" i="6"/>
  <c r="AB230" i="2" s="1"/>
  <c r="AC317" i="6"/>
  <c r="AD230" i="2" s="1"/>
  <c r="AG317" i="6"/>
  <c r="AH230" i="2" s="1"/>
  <c r="AL317" i="6"/>
  <c r="AM230" i="2" s="1"/>
  <c r="AP317" i="6"/>
  <c r="AQ230" i="2" s="1"/>
  <c r="AS317" i="6"/>
  <c r="AT230" i="2" s="1"/>
  <c r="BA317" i="6"/>
  <c r="BB230" i="2" s="1"/>
  <c r="BE317" i="6"/>
  <c r="BF230" i="2" s="1"/>
  <c r="BH317" i="6"/>
  <c r="BI230" i="2" s="1"/>
  <c r="E317" i="6"/>
  <c r="F230" i="2" s="1"/>
  <c r="J317" i="6"/>
  <c r="K230" i="2" s="1"/>
  <c r="N317" i="6"/>
  <c r="O230" i="2" s="1"/>
  <c r="P317" i="6"/>
  <c r="Q230" i="2" s="1"/>
  <c r="R317" i="6"/>
  <c r="S230" i="2" s="1"/>
  <c r="V317" i="6"/>
  <c r="Z317" i="6"/>
  <c r="AA230" i="2" s="1"/>
  <c r="AB317" i="6"/>
  <c r="AC230" i="2" s="1"/>
  <c r="AH317" i="6"/>
  <c r="AI230" i="2" s="1"/>
  <c r="AK317" i="6"/>
  <c r="AL230" i="2" s="1"/>
  <c r="AO317" i="6"/>
  <c r="AP230" i="2" s="1"/>
  <c r="AW317" i="6"/>
  <c r="AX230" i="2" s="1"/>
  <c r="AY317" i="6"/>
  <c r="AZ230" i="2" s="1"/>
  <c r="BB317" i="6"/>
  <c r="BC230" i="2" s="1"/>
  <c r="BJ317" i="6"/>
  <c r="BK230" i="2" s="1"/>
  <c r="G317" i="6"/>
  <c r="H230" i="2" s="1"/>
  <c r="L317" i="6"/>
  <c r="M230" i="2" s="1"/>
  <c r="T317" i="6"/>
  <c r="AJ317" i="6"/>
  <c r="AK230" i="2" s="1"/>
  <c r="AR317" i="6"/>
  <c r="AS230" i="2" s="1"/>
  <c r="AU317" i="6"/>
  <c r="AV230" i="2" s="1"/>
  <c r="BD317" i="6"/>
  <c r="BE230" i="2" s="1"/>
  <c r="BI317" i="6"/>
  <c r="BJ230" i="2" s="1"/>
  <c r="C317" i="6"/>
  <c r="H317" i="6"/>
  <c r="I230" i="2" s="1"/>
  <c r="Y317" i="6"/>
  <c r="Z230" i="2" s="1"/>
  <c r="AF317" i="6"/>
  <c r="AG230" i="2" s="1"/>
  <c r="AI317" i="6"/>
  <c r="AJ230" i="2" s="1"/>
  <c r="AN317" i="6"/>
  <c r="AO230" i="2" s="1"/>
  <c r="AZ317" i="6"/>
  <c r="BA230" i="2" s="1"/>
  <c r="BC317" i="6"/>
  <c r="BD230" i="2" s="1"/>
  <c r="BG317" i="6"/>
  <c r="BH230" i="2" s="1"/>
  <c r="F317" i="6"/>
  <c r="G230" i="2" s="1"/>
  <c r="M317" i="6"/>
  <c r="N230" i="2" s="1"/>
  <c r="Q317" i="6"/>
  <c r="R230" i="2" s="1"/>
  <c r="U317" i="6"/>
  <c r="W317" i="6"/>
  <c r="X230" i="2" s="1"/>
  <c r="AD317" i="6"/>
  <c r="AE230" i="2" s="1"/>
  <c r="AE317" i="6"/>
  <c r="AF230" i="2" s="1"/>
  <c r="AM317" i="6"/>
  <c r="AN230" i="2" s="1"/>
  <c r="AQ317" i="6"/>
  <c r="AR230" i="2" s="1"/>
  <c r="AT317" i="6"/>
  <c r="AU230" i="2" s="1"/>
  <c r="AV317" i="6"/>
  <c r="AW230" i="2" s="1"/>
  <c r="AX317" i="6"/>
  <c r="AY230" i="2" s="1"/>
  <c r="BF317" i="6"/>
  <c r="BG230" i="2" s="1"/>
  <c r="E316" i="6"/>
  <c r="F245" i="2" s="1"/>
  <c r="H316" i="6"/>
  <c r="I245" i="2" s="1"/>
  <c r="K316" i="6"/>
  <c r="L245" i="2" s="1"/>
  <c r="M316" i="6"/>
  <c r="N245" i="2" s="1"/>
  <c r="R316" i="6"/>
  <c r="T316" i="6"/>
  <c r="W316" i="6"/>
  <c r="X245" i="2" s="1"/>
  <c r="AB316" i="6"/>
  <c r="AC245" i="2" s="1"/>
  <c r="AI316" i="6"/>
  <c r="AJ245" i="2" s="1"/>
  <c r="AM316" i="6"/>
  <c r="AN245" i="2" s="1"/>
  <c r="AT316" i="6"/>
  <c r="AU245" i="2" s="1"/>
  <c r="AZ316" i="6"/>
  <c r="BA245" i="2" s="1"/>
  <c r="BC316" i="6"/>
  <c r="BD245" i="2" s="1"/>
  <c r="BH316" i="6"/>
  <c r="BI245" i="2" s="1"/>
  <c r="C316" i="6"/>
  <c r="Q316" i="6"/>
  <c r="R245" i="2" s="1"/>
  <c r="X316" i="6"/>
  <c r="Y245" i="2" s="1"/>
  <c r="AE316" i="6"/>
  <c r="AF245" i="2" s="1"/>
  <c r="AH316" i="6"/>
  <c r="AI245" i="2" s="1"/>
  <c r="AJ316" i="6"/>
  <c r="AK245" i="2" s="1"/>
  <c r="AO316" i="6"/>
  <c r="AP245" i="2" s="1"/>
  <c r="AS316" i="6"/>
  <c r="AT245" i="2" s="1"/>
  <c r="AV316" i="6"/>
  <c r="AW245" i="2" s="1"/>
  <c r="AY316" i="6"/>
  <c r="AZ245" i="2" s="1"/>
  <c r="BA316" i="6"/>
  <c r="BB245" i="2" s="1"/>
  <c r="BF316" i="6"/>
  <c r="BG245" i="2" s="1"/>
  <c r="BJ316" i="6"/>
  <c r="BK245" i="2" s="1"/>
  <c r="D316" i="6"/>
  <c r="E245" i="2" s="1"/>
  <c r="L316" i="6"/>
  <c r="M245" i="2" s="1"/>
  <c r="P316" i="6"/>
  <c r="Q245" i="2" s="1"/>
  <c r="U316" i="6"/>
  <c r="Z316" i="6"/>
  <c r="AA245" i="2" s="1"/>
  <c r="AC316" i="6"/>
  <c r="AD245" i="2" s="1"/>
  <c r="AK316" i="6"/>
  <c r="AL245" i="2" s="1"/>
  <c r="AQ316" i="6"/>
  <c r="AR245" i="2" s="1"/>
  <c r="AU316" i="6"/>
  <c r="AV245" i="2" s="1"/>
  <c r="BI316" i="6"/>
  <c r="BJ245" i="2" s="1"/>
  <c r="G316" i="6"/>
  <c r="H245" i="2" s="1"/>
  <c r="I316" i="6"/>
  <c r="J245" i="2" s="1"/>
  <c r="N316" i="6"/>
  <c r="O245" i="2" s="1"/>
  <c r="S316" i="6"/>
  <c r="Y316" i="6"/>
  <c r="Z245" i="2" s="1"/>
  <c r="AA316" i="6"/>
  <c r="AB245" i="2" s="1"/>
  <c r="AF316" i="6"/>
  <c r="AG245" i="2" s="1"/>
  <c r="AN316" i="6"/>
  <c r="AO245" i="2" s="1"/>
  <c r="AR316" i="6"/>
  <c r="AS245" i="2" s="1"/>
  <c r="AW316" i="6"/>
  <c r="AX245" i="2" s="1"/>
  <c r="BB316" i="6"/>
  <c r="BC245" i="2" s="1"/>
  <c r="BE316" i="6"/>
  <c r="BF245" i="2" s="1"/>
  <c r="BG316" i="6"/>
  <c r="BH245" i="2" s="1"/>
  <c r="F316" i="6"/>
  <c r="G245" i="2" s="1"/>
  <c r="J316" i="6"/>
  <c r="K245" i="2" s="1"/>
  <c r="O316" i="6"/>
  <c r="P245" i="2" s="1"/>
  <c r="V316" i="6"/>
  <c r="AD316" i="6"/>
  <c r="AE245" i="2" s="1"/>
  <c r="AG316" i="6"/>
  <c r="AH245" i="2" s="1"/>
  <c r="AL316" i="6"/>
  <c r="AM245" i="2" s="1"/>
  <c r="AP316" i="6"/>
  <c r="AQ245" i="2" s="1"/>
  <c r="AX316" i="6"/>
  <c r="AY245" i="2" s="1"/>
  <c r="BD316" i="6"/>
  <c r="BE245" i="2" s="1"/>
  <c r="C315" i="6"/>
  <c r="I315" i="6"/>
  <c r="N315" i="6"/>
  <c r="O260" i="2" s="1"/>
  <c r="V315" i="6"/>
  <c r="W260" i="2" s="1"/>
  <c r="Y315" i="6"/>
  <c r="Z260" i="2" s="1"/>
  <c r="AD315" i="6"/>
  <c r="AE260" i="2" s="1"/>
  <c r="AG315" i="6"/>
  <c r="AH260" i="2" s="1"/>
  <c r="AN315" i="6"/>
  <c r="AO260" i="2" s="1"/>
  <c r="AP315" i="6"/>
  <c r="AQ260" i="2" s="1"/>
  <c r="AS315" i="6"/>
  <c r="AT260" i="2" s="1"/>
  <c r="AV315" i="6"/>
  <c r="AW260" i="2" s="1"/>
  <c r="AY315" i="6"/>
  <c r="AZ260" i="2" s="1"/>
  <c r="BB315" i="6"/>
  <c r="BC260" i="2" s="1"/>
  <c r="BF315" i="6"/>
  <c r="BG260" i="2" s="1"/>
  <c r="BH315" i="6"/>
  <c r="BI260" i="2" s="1"/>
  <c r="BJ315" i="6"/>
  <c r="BK260" i="2" s="1"/>
  <c r="H315" i="6"/>
  <c r="M315" i="6"/>
  <c r="N260" i="2" s="1"/>
  <c r="Q315" i="6"/>
  <c r="R260" i="2" s="1"/>
  <c r="R315" i="6"/>
  <c r="S260" i="2" s="1"/>
  <c r="X315" i="6"/>
  <c r="Y260" i="2" s="1"/>
  <c r="AB315" i="6"/>
  <c r="AC260" i="2" s="1"/>
  <c r="AI315" i="6"/>
  <c r="AJ260" i="2" s="1"/>
  <c r="AL315" i="6"/>
  <c r="AM260" i="2" s="1"/>
  <c r="AU315" i="6"/>
  <c r="AV260" i="2" s="1"/>
  <c r="BA315" i="6"/>
  <c r="BB260" i="2" s="1"/>
  <c r="BG315" i="6"/>
  <c r="BH260" i="2" s="1"/>
  <c r="BI315" i="6"/>
  <c r="BJ260" i="2" s="1"/>
  <c r="F315" i="6"/>
  <c r="G260" i="2" s="1"/>
  <c r="J315" i="6"/>
  <c r="O315" i="6"/>
  <c r="P260" i="2" s="1"/>
  <c r="T315" i="6"/>
  <c r="U260" i="2" s="1"/>
  <c r="W315" i="6"/>
  <c r="X260" i="2" s="1"/>
  <c r="AC315" i="6"/>
  <c r="AD260" i="2" s="1"/>
  <c r="AH315" i="6"/>
  <c r="AI260" i="2" s="1"/>
  <c r="AK315" i="6"/>
  <c r="AL260" i="2" s="1"/>
  <c r="AR315" i="6"/>
  <c r="AS260" i="2" s="1"/>
  <c r="AZ315" i="6"/>
  <c r="BA260" i="2" s="1"/>
  <c r="D315" i="6"/>
  <c r="E260" i="2" s="1"/>
  <c r="L315" i="6"/>
  <c r="M260" i="2" s="1"/>
  <c r="U315" i="6"/>
  <c r="V260" i="2" s="1"/>
  <c r="Z315" i="6"/>
  <c r="AA260" i="2" s="1"/>
  <c r="AF315" i="6"/>
  <c r="AG260" i="2" s="1"/>
  <c r="AM315" i="6"/>
  <c r="AN260" i="2" s="1"/>
  <c r="AX315" i="6"/>
  <c r="AY260" i="2" s="1"/>
  <c r="BD315" i="6"/>
  <c r="BE260" i="2" s="1"/>
  <c r="E315" i="6"/>
  <c r="F260" i="2" s="1"/>
  <c r="G315" i="6"/>
  <c r="H260" i="2" s="1"/>
  <c r="K315" i="6"/>
  <c r="P315" i="6"/>
  <c r="Q260" i="2" s="1"/>
  <c r="S315" i="6"/>
  <c r="T260" i="2" s="1"/>
  <c r="AA315" i="6"/>
  <c r="AB260" i="2" s="1"/>
  <c r="AE315" i="6"/>
  <c r="AF260" i="2" s="1"/>
  <c r="AJ315" i="6"/>
  <c r="AK260" i="2" s="1"/>
  <c r="AO315" i="6"/>
  <c r="AP260" i="2" s="1"/>
  <c r="AQ315" i="6"/>
  <c r="AR260" i="2" s="1"/>
  <c r="AT315" i="6"/>
  <c r="AU260" i="2" s="1"/>
  <c r="AW315" i="6"/>
  <c r="AX260" i="2" s="1"/>
  <c r="BC315" i="6"/>
  <c r="BD260" i="2" s="1"/>
  <c r="BE315" i="6"/>
  <c r="BF260" i="2" s="1"/>
  <c r="E314" i="6"/>
  <c r="J314" i="6"/>
  <c r="K107" i="2" s="1"/>
  <c r="P314" i="6"/>
  <c r="Q107" i="2" s="1"/>
  <c r="S314" i="6"/>
  <c r="T107" i="2" s="1"/>
  <c r="Y314" i="6"/>
  <c r="Z107" i="2" s="1"/>
  <c r="AF314" i="6"/>
  <c r="AG107" i="2" s="1"/>
  <c r="AH314" i="6"/>
  <c r="AI107" i="2" s="1"/>
  <c r="AJ314" i="6"/>
  <c r="AK107" i="2" s="1"/>
  <c r="AM314" i="6"/>
  <c r="AN107" i="2" s="1"/>
  <c r="AQ314" i="6"/>
  <c r="AR107" i="2" s="1"/>
  <c r="AW314" i="6"/>
  <c r="AX107" i="2" s="1"/>
  <c r="BB314" i="6"/>
  <c r="BC107" i="2" s="1"/>
  <c r="BG314" i="6"/>
  <c r="BH107" i="2" s="1"/>
  <c r="C314" i="6"/>
  <c r="Q314" i="6"/>
  <c r="R107" i="2" s="1"/>
  <c r="AN314" i="6"/>
  <c r="AO107" i="2" s="1"/>
  <c r="AR314" i="6"/>
  <c r="AS107" i="2" s="1"/>
  <c r="AU314" i="6"/>
  <c r="AV107" i="2" s="1"/>
  <c r="AX314" i="6"/>
  <c r="AY107" i="2" s="1"/>
  <c r="AZ314" i="6"/>
  <c r="BA107" i="2" s="1"/>
  <c r="BE314" i="6"/>
  <c r="BF107" i="2" s="1"/>
  <c r="G314" i="6"/>
  <c r="H107" i="2" s="1"/>
  <c r="L314" i="6"/>
  <c r="M107" i="2" s="1"/>
  <c r="O314" i="6"/>
  <c r="P107" i="2" s="1"/>
  <c r="T314" i="6"/>
  <c r="U107" i="2" s="1"/>
  <c r="W314" i="6"/>
  <c r="X107" i="2" s="1"/>
  <c r="AC314" i="6"/>
  <c r="AD107" i="2" s="1"/>
  <c r="AI314" i="6"/>
  <c r="AJ107" i="2" s="1"/>
  <c r="BD314" i="6"/>
  <c r="BE107" i="2" s="1"/>
  <c r="I314" i="6"/>
  <c r="J107" i="2" s="1"/>
  <c r="N314" i="6"/>
  <c r="O107" i="2" s="1"/>
  <c r="R314" i="6"/>
  <c r="S107" i="2" s="1"/>
  <c r="U314" i="6"/>
  <c r="V107" i="2" s="1"/>
  <c r="AA314" i="6"/>
  <c r="AB107" i="2" s="1"/>
  <c r="AE314" i="6"/>
  <c r="AF107" i="2" s="1"/>
  <c r="AL314" i="6"/>
  <c r="AM107" i="2" s="1"/>
  <c r="AO314" i="6"/>
  <c r="AP107" i="2" s="1"/>
  <c r="AT314" i="6"/>
  <c r="AU107" i="2" s="1"/>
  <c r="BA314" i="6"/>
  <c r="BB107" i="2" s="1"/>
  <c r="BF314" i="6"/>
  <c r="BG107" i="2" s="1"/>
  <c r="BJ314" i="6"/>
  <c r="BK107" i="2" s="1"/>
  <c r="D314" i="6"/>
  <c r="E107" i="2" s="1"/>
  <c r="F314" i="6"/>
  <c r="H314" i="6"/>
  <c r="I107" i="2" s="1"/>
  <c r="K314" i="6"/>
  <c r="L107" i="2" s="1"/>
  <c r="M314" i="6"/>
  <c r="N107" i="2" s="1"/>
  <c r="V314" i="6"/>
  <c r="W107" i="2" s="1"/>
  <c r="X314" i="6"/>
  <c r="Y107" i="2" s="1"/>
  <c r="Z314" i="6"/>
  <c r="AA107" i="2" s="1"/>
  <c r="AB314" i="6"/>
  <c r="AC107" i="2" s="1"/>
  <c r="AD314" i="6"/>
  <c r="AE107" i="2" s="1"/>
  <c r="AG314" i="6"/>
  <c r="AH107" i="2" s="1"/>
  <c r="AK314" i="6"/>
  <c r="AL107" i="2" s="1"/>
  <c r="AP314" i="6"/>
  <c r="AQ107" i="2" s="1"/>
  <c r="AS314" i="6"/>
  <c r="AT107" i="2" s="1"/>
  <c r="AV314" i="6"/>
  <c r="AW107" i="2" s="1"/>
  <c r="AY314" i="6"/>
  <c r="AZ107" i="2" s="1"/>
  <c r="BC314" i="6"/>
  <c r="BD107" i="2" s="1"/>
  <c r="BH314" i="6"/>
  <c r="BI107" i="2" s="1"/>
  <c r="BI314" i="6"/>
  <c r="BJ107" i="2" s="1"/>
  <c r="C313" i="6"/>
  <c r="F313" i="6"/>
  <c r="G95" i="2" s="1"/>
  <c r="I313" i="6"/>
  <c r="J95" i="2" s="1"/>
  <c r="L313" i="6"/>
  <c r="M95" i="2" s="1"/>
  <c r="O313" i="6"/>
  <c r="P95" i="2" s="1"/>
  <c r="Q313" i="6"/>
  <c r="R95" i="2" s="1"/>
  <c r="W313" i="6"/>
  <c r="X95" i="2" s="1"/>
  <c r="Z313" i="6"/>
  <c r="AA95" i="2" s="1"/>
  <c r="AC313" i="6"/>
  <c r="AD95" i="2" s="1"/>
  <c r="AE313" i="6"/>
  <c r="AF95" i="2" s="1"/>
  <c r="AG313" i="6"/>
  <c r="AH95" i="2" s="1"/>
  <c r="AL313" i="6"/>
  <c r="AM95" i="2" s="1"/>
  <c r="AN313" i="6"/>
  <c r="AO95" i="2" s="1"/>
  <c r="AS313" i="6"/>
  <c r="AT95" i="2" s="1"/>
  <c r="AW313" i="6"/>
  <c r="AX95" i="2" s="1"/>
  <c r="BB313" i="6"/>
  <c r="BC95" i="2" s="1"/>
  <c r="BD313" i="6"/>
  <c r="BE95" i="2" s="1"/>
  <c r="BI313" i="6"/>
  <c r="BJ95" i="2" s="1"/>
  <c r="D313" i="6"/>
  <c r="E95" i="2" s="1"/>
  <c r="G313" i="6"/>
  <c r="H95" i="2" s="1"/>
  <c r="J313" i="6"/>
  <c r="K95" i="2" s="1"/>
  <c r="P313" i="6"/>
  <c r="Q95" i="2" s="1"/>
  <c r="T313" i="6"/>
  <c r="AA313" i="6"/>
  <c r="AB95" i="2" s="1"/>
  <c r="AI313" i="6"/>
  <c r="AJ95" i="2" s="1"/>
  <c r="AK313" i="6"/>
  <c r="AL95" i="2" s="1"/>
  <c r="AP313" i="6"/>
  <c r="AQ95" i="2" s="1"/>
  <c r="AT313" i="6"/>
  <c r="AU95" i="2" s="1"/>
  <c r="AV313" i="6"/>
  <c r="AW95" i="2" s="1"/>
  <c r="AX313" i="6"/>
  <c r="AY95" i="2" s="1"/>
  <c r="AZ313" i="6"/>
  <c r="BA95" i="2" s="1"/>
  <c r="BE313" i="6"/>
  <c r="BF95" i="2" s="1"/>
  <c r="E313" i="6"/>
  <c r="F95" i="2" s="1"/>
  <c r="N313" i="6"/>
  <c r="O95" i="2" s="1"/>
  <c r="S313" i="6"/>
  <c r="T95" i="2" s="1"/>
  <c r="AB313" i="6"/>
  <c r="AC95" i="2" s="1"/>
  <c r="AJ313" i="6"/>
  <c r="AK95" i="2" s="1"/>
  <c r="K313" i="6"/>
  <c r="L95" i="2" s="1"/>
  <c r="X313" i="6"/>
  <c r="Y95" i="2" s="1"/>
  <c r="AF313" i="6"/>
  <c r="AG95" i="2" s="1"/>
  <c r="AM313" i="6"/>
  <c r="AN95" i="2" s="1"/>
  <c r="BG313" i="6"/>
  <c r="BH95" i="2" s="1"/>
  <c r="BJ313" i="6"/>
  <c r="BK95" i="2" s="1"/>
  <c r="H313" i="6"/>
  <c r="I95" i="2" s="1"/>
  <c r="M313" i="6"/>
  <c r="N95" i="2" s="1"/>
  <c r="R313" i="6"/>
  <c r="S95" i="2" s="1"/>
  <c r="U313" i="6"/>
  <c r="V313" i="6"/>
  <c r="Y313" i="6"/>
  <c r="Z95" i="2" s="1"/>
  <c r="AD313" i="6"/>
  <c r="AE95" i="2" s="1"/>
  <c r="AH313" i="6"/>
  <c r="AI95" i="2" s="1"/>
  <c r="AO313" i="6"/>
  <c r="AP95" i="2" s="1"/>
  <c r="AQ313" i="6"/>
  <c r="AR95" i="2" s="1"/>
  <c r="AR313" i="6"/>
  <c r="AS95" i="2" s="1"/>
  <c r="AU313" i="6"/>
  <c r="AV95" i="2" s="1"/>
  <c r="AY313" i="6"/>
  <c r="AZ95" i="2" s="1"/>
  <c r="BA313" i="6"/>
  <c r="BB95" i="2" s="1"/>
  <c r="BC313" i="6"/>
  <c r="BD95" i="2" s="1"/>
  <c r="BF313" i="6"/>
  <c r="BG95" i="2" s="1"/>
  <c r="BH313" i="6"/>
  <c r="BI95" i="2" s="1"/>
  <c r="E312" i="6"/>
  <c r="F197" i="2" s="1"/>
  <c r="K312" i="6"/>
  <c r="L197" i="2" s="1"/>
  <c r="T312" i="6"/>
  <c r="U197" i="2" s="1"/>
  <c r="AB312" i="6"/>
  <c r="AC197" i="2" s="1"/>
  <c r="AF312" i="6"/>
  <c r="AG197" i="2" s="1"/>
  <c r="AM312" i="6"/>
  <c r="AN197" i="2" s="1"/>
  <c r="AS312" i="6"/>
  <c r="AT197" i="2" s="1"/>
  <c r="AX312" i="6"/>
  <c r="AY197" i="2" s="1"/>
  <c r="BC312" i="6"/>
  <c r="BD197" i="2" s="1"/>
  <c r="C312" i="6"/>
  <c r="H312" i="6"/>
  <c r="I197" i="2" s="1"/>
  <c r="M312" i="6"/>
  <c r="N197" i="2" s="1"/>
  <c r="O312" i="6"/>
  <c r="P197" i="2" s="1"/>
  <c r="R312" i="6"/>
  <c r="S197" i="2" s="1"/>
  <c r="S312" i="6"/>
  <c r="T197" i="2" s="1"/>
  <c r="V312" i="6"/>
  <c r="AA312" i="6"/>
  <c r="AB197" i="2" s="1"/>
  <c r="AC312" i="6"/>
  <c r="AD197" i="2" s="1"/>
  <c r="AI312" i="6"/>
  <c r="AJ197" i="2" s="1"/>
  <c r="AL312" i="6"/>
  <c r="AM197" i="2" s="1"/>
  <c r="AU312" i="6"/>
  <c r="AV197" i="2" s="1"/>
  <c r="AY312" i="6"/>
  <c r="AZ197" i="2" s="1"/>
  <c r="BA312" i="6"/>
  <c r="BB197" i="2" s="1"/>
  <c r="BF312" i="6"/>
  <c r="BG197" i="2" s="1"/>
  <c r="BH312" i="6"/>
  <c r="BI197" i="2" s="1"/>
  <c r="I312" i="6"/>
  <c r="J197" i="2" s="1"/>
  <c r="N312" i="6"/>
  <c r="O197" i="2" s="1"/>
  <c r="W312" i="6"/>
  <c r="X197" i="2" s="1"/>
  <c r="AH312" i="6"/>
  <c r="AI197" i="2" s="1"/>
  <c r="AQ312" i="6"/>
  <c r="AR197" i="2" s="1"/>
  <c r="AT312" i="6"/>
  <c r="AU197" i="2" s="1"/>
  <c r="AZ312" i="6"/>
  <c r="BA197" i="2" s="1"/>
  <c r="BJ312" i="6"/>
  <c r="BK197" i="2" s="1"/>
  <c r="D312" i="6"/>
  <c r="E197" i="2" s="1"/>
  <c r="G312" i="6"/>
  <c r="H197" i="2" s="1"/>
  <c r="L312" i="6"/>
  <c r="M197" i="2" s="1"/>
  <c r="Q312" i="6"/>
  <c r="R197" i="2" s="1"/>
  <c r="U312" i="6"/>
  <c r="V197" i="2" s="1"/>
  <c r="Y312" i="6"/>
  <c r="Z197" i="2" s="1"/>
  <c r="AD312" i="6"/>
  <c r="AE197" i="2" s="1"/>
  <c r="AG312" i="6"/>
  <c r="AH197" i="2" s="1"/>
  <c r="AJ312" i="6"/>
  <c r="AK197" i="2" s="1"/>
  <c r="AO312" i="6"/>
  <c r="AP197" i="2" s="1"/>
  <c r="AR312" i="6"/>
  <c r="AS197" i="2" s="1"/>
  <c r="AW312" i="6"/>
  <c r="AX197" i="2" s="1"/>
  <c r="BE312" i="6"/>
  <c r="BF197" i="2" s="1"/>
  <c r="BI312" i="6"/>
  <c r="BJ197" i="2" s="1"/>
  <c r="F312" i="6"/>
  <c r="G197" i="2" s="1"/>
  <c r="J312" i="6"/>
  <c r="K197" i="2" s="1"/>
  <c r="P312" i="6"/>
  <c r="Q197" i="2" s="1"/>
  <c r="X312" i="6"/>
  <c r="Y197" i="2" s="1"/>
  <c r="Z312" i="6"/>
  <c r="AA197" i="2" s="1"/>
  <c r="AE312" i="6"/>
  <c r="AF197" i="2" s="1"/>
  <c r="AK312" i="6"/>
  <c r="AL197" i="2" s="1"/>
  <c r="AN312" i="6"/>
  <c r="AO197" i="2" s="1"/>
  <c r="AP312" i="6"/>
  <c r="AQ197" i="2" s="1"/>
  <c r="AV312" i="6"/>
  <c r="AW197" i="2" s="1"/>
  <c r="BB312" i="6"/>
  <c r="BC197" i="2" s="1"/>
  <c r="BD312" i="6"/>
  <c r="BE197" i="2" s="1"/>
  <c r="BG312" i="6"/>
  <c r="BH197" i="2" s="1"/>
  <c r="D311" i="6"/>
  <c r="F311" i="6"/>
  <c r="G287" i="2" s="1"/>
  <c r="I311" i="6"/>
  <c r="J287" i="2" s="1"/>
  <c r="N311" i="6"/>
  <c r="O287" i="2" s="1"/>
  <c r="S311" i="6"/>
  <c r="T287" i="2" s="1"/>
  <c r="X311" i="6"/>
  <c r="Y287" i="2" s="1"/>
  <c r="AB311" i="6"/>
  <c r="AC287" i="2" s="1"/>
  <c r="AD311" i="6"/>
  <c r="AE287" i="2" s="1"/>
  <c r="AF311" i="6"/>
  <c r="AG287" i="2" s="1"/>
  <c r="AM311" i="6"/>
  <c r="AN287" i="2" s="1"/>
  <c r="AR311" i="6"/>
  <c r="AS287" i="2" s="1"/>
  <c r="AT311" i="6"/>
  <c r="AU287" i="2" s="1"/>
  <c r="AZ311" i="6"/>
  <c r="BA287" i="2" s="1"/>
  <c r="BG311" i="6"/>
  <c r="BH287" i="2" s="1"/>
  <c r="BJ311" i="6"/>
  <c r="BK287" i="2" s="1"/>
  <c r="G311" i="6"/>
  <c r="H287" i="2" s="1"/>
  <c r="J311" i="6"/>
  <c r="K287" i="2" s="1"/>
  <c r="M311" i="6"/>
  <c r="N287" i="2" s="1"/>
  <c r="P311" i="6"/>
  <c r="Q287" i="2" s="1"/>
  <c r="T311" i="6"/>
  <c r="U287" i="2" s="1"/>
  <c r="Z311" i="6"/>
  <c r="AA287" i="2" s="1"/>
  <c r="AE311" i="6"/>
  <c r="AF287" i="2" s="1"/>
  <c r="AH311" i="6"/>
  <c r="AI287" i="2" s="1"/>
  <c r="AJ311" i="6"/>
  <c r="AK287" i="2" s="1"/>
  <c r="AN311" i="6"/>
  <c r="AO287" i="2" s="1"/>
  <c r="AQ311" i="6"/>
  <c r="AR287" i="2" s="1"/>
  <c r="AS311" i="6"/>
  <c r="AT287" i="2" s="1"/>
  <c r="AW311" i="6"/>
  <c r="AX287" i="2" s="1"/>
  <c r="BC311" i="6"/>
  <c r="BD287" i="2" s="1"/>
  <c r="BE311" i="6"/>
  <c r="BF287" i="2" s="1"/>
  <c r="BH311" i="6"/>
  <c r="BI287" i="2" s="1"/>
  <c r="Q311" i="6"/>
  <c r="R287" i="2" s="1"/>
  <c r="AI311" i="6"/>
  <c r="AJ287" i="2" s="1"/>
  <c r="AP311" i="6"/>
  <c r="AQ287" i="2" s="1"/>
  <c r="AV311" i="6"/>
  <c r="AW287" i="2" s="1"/>
  <c r="BI311" i="6"/>
  <c r="BJ287" i="2" s="1"/>
  <c r="E311" i="6"/>
  <c r="L311" i="6"/>
  <c r="M287" i="2" s="1"/>
  <c r="U311" i="6"/>
  <c r="V287" i="2" s="1"/>
  <c r="AG311" i="6"/>
  <c r="AH287" i="2" s="1"/>
  <c r="AK311" i="6"/>
  <c r="AL287" i="2" s="1"/>
  <c r="AO311" i="6"/>
  <c r="AP287" i="2" s="1"/>
  <c r="AY311" i="6"/>
  <c r="AZ287" i="2" s="1"/>
  <c r="BB311" i="6"/>
  <c r="BC287" i="2" s="1"/>
  <c r="C311" i="6"/>
  <c r="H311" i="6"/>
  <c r="I287" i="2" s="1"/>
  <c r="K311" i="6"/>
  <c r="L287" i="2" s="1"/>
  <c r="O311" i="6"/>
  <c r="P287" i="2" s="1"/>
  <c r="R311" i="6"/>
  <c r="S287" i="2" s="1"/>
  <c r="V311" i="6"/>
  <c r="W287" i="2" s="1"/>
  <c r="W311" i="6"/>
  <c r="X287" i="2" s="1"/>
  <c r="Y311" i="6"/>
  <c r="Z287" i="2" s="1"/>
  <c r="AA311" i="6"/>
  <c r="AB287" i="2" s="1"/>
  <c r="AC311" i="6"/>
  <c r="AD287" i="2" s="1"/>
  <c r="AL311" i="6"/>
  <c r="AM287" i="2" s="1"/>
  <c r="AU311" i="6"/>
  <c r="AV287" i="2" s="1"/>
  <c r="AX311" i="6"/>
  <c r="AY287" i="2" s="1"/>
  <c r="BA311" i="6"/>
  <c r="BB287" i="2" s="1"/>
  <c r="BD311" i="6"/>
  <c r="BE287" i="2" s="1"/>
  <c r="BF311" i="6"/>
  <c r="BG287" i="2" s="1"/>
  <c r="E310" i="6"/>
  <c r="F164" i="2" s="1"/>
  <c r="H310" i="6"/>
  <c r="I164" i="2" s="1"/>
  <c r="M310" i="6"/>
  <c r="N164" i="2" s="1"/>
  <c r="S310" i="6"/>
  <c r="T164" i="2" s="1"/>
  <c r="W310" i="6"/>
  <c r="X164" i="2" s="1"/>
  <c r="AA310" i="6"/>
  <c r="AB164" i="2" s="1"/>
  <c r="AD310" i="6"/>
  <c r="AE164" i="2" s="1"/>
  <c r="AH310" i="6"/>
  <c r="AI164" i="2" s="1"/>
  <c r="AM310" i="6"/>
  <c r="AN164" i="2" s="1"/>
  <c r="AO310" i="6"/>
  <c r="AP164" i="2" s="1"/>
  <c r="AW310" i="6"/>
  <c r="AX164" i="2" s="1"/>
  <c r="AZ310" i="6"/>
  <c r="BA164" i="2" s="1"/>
  <c r="BB310" i="6"/>
  <c r="BC164" i="2" s="1"/>
  <c r="BG310" i="6"/>
  <c r="BH164" i="2" s="1"/>
  <c r="F310" i="6"/>
  <c r="G164" i="2" s="1"/>
  <c r="J310" i="6"/>
  <c r="K164" i="2" s="1"/>
  <c r="N310" i="6"/>
  <c r="O164" i="2" s="1"/>
  <c r="Q310" i="6"/>
  <c r="R164" i="2" s="1"/>
  <c r="T310" i="6"/>
  <c r="Y310" i="6"/>
  <c r="Z164" i="2" s="1"/>
  <c r="AF310" i="6"/>
  <c r="AG164" i="2" s="1"/>
  <c r="AK310" i="6"/>
  <c r="AL164" i="2" s="1"/>
  <c r="AN310" i="6"/>
  <c r="AO164" i="2" s="1"/>
  <c r="AR310" i="6"/>
  <c r="AS164" i="2" s="1"/>
  <c r="AT310" i="6"/>
  <c r="AU164" i="2" s="1"/>
  <c r="AV310" i="6"/>
  <c r="AW164" i="2" s="1"/>
  <c r="AY310" i="6"/>
  <c r="AZ164" i="2" s="1"/>
  <c r="BF310" i="6"/>
  <c r="BG164" i="2" s="1"/>
  <c r="BI310" i="6"/>
  <c r="BJ164" i="2" s="1"/>
  <c r="I310" i="6"/>
  <c r="J164" i="2" s="1"/>
  <c r="O310" i="6"/>
  <c r="P164" i="2" s="1"/>
  <c r="U310" i="6"/>
  <c r="AE310" i="6"/>
  <c r="AF164" i="2" s="1"/>
  <c r="AI310" i="6"/>
  <c r="AJ164" i="2" s="1"/>
  <c r="AU310" i="6"/>
  <c r="AV164" i="2" s="1"/>
  <c r="BA310" i="6"/>
  <c r="BB164" i="2" s="1"/>
  <c r="BD310" i="6"/>
  <c r="BE164" i="2" s="1"/>
  <c r="C310" i="6"/>
  <c r="K310" i="6"/>
  <c r="L164" i="2" s="1"/>
  <c r="R310" i="6"/>
  <c r="S164" i="2" s="1"/>
  <c r="V310" i="6"/>
  <c r="AC310" i="6"/>
  <c r="AD164" i="2" s="1"/>
  <c r="AG310" i="6"/>
  <c r="AH164" i="2" s="1"/>
  <c r="AQ310" i="6"/>
  <c r="AR164" i="2" s="1"/>
  <c r="BE310" i="6"/>
  <c r="BF164" i="2" s="1"/>
  <c r="D310" i="6"/>
  <c r="E164" i="2" s="1"/>
  <c r="G310" i="6"/>
  <c r="H164" i="2" s="1"/>
  <c r="L310" i="6"/>
  <c r="M164" i="2" s="1"/>
  <c r="P310" i="6"/>
  <c r="Q164" i="2" s="1"/>
  <c r="X310" i="6"/>
  <c r="Y164" i="2" s="1"/>
  <c r="Z310" i="6"/>
  <c r="AA164" i="2" s="1"/>
  <c r="AB310" i="6"/>
  <c r="AC164" i="2" s="1"/>
  <c r="AJ310" i="6"/>
  <c r="AK164" i="2" s="1"/>
  <c r="AL310" i="6"/>
  <c r="AM164" i="2" s="1"/>
  <c r="AP310" i="6"/>
  <c r="AQ164" i="2" s="1"/>
  <c r="AS310" i="6"/>
  <c r="AT164" i="2" s="1"/>
  <c r="AX310" i="6"/>
  <c r="AY164" i="2" s="1"/>
  <c r="BC310" i="6"/>
  <c r="BD164" i="2" s="1"/>
  <c r="BH310" i="6"/>
  <c r="BI164" i="2" s="1"/>
  <c r="BJ310" i="6"/>
  <c r="BK164" i="2" s="1"/>
  <c r="F309" i="6"/>
  <c r="G68" i="2" s="1"/>
  <c r="H309" i="6"/>
  <c r="I68" i="2" s="1"/>
  <c r="L309" i="6"/>
  <c r="M68" i="2" s="1"/>
  <c r="P309" i="6"/>
  <c r="Q68" i="2" s="1"/>
  <c r="U309" i="6"/>
  <c r="Z309" i="6"/>
  <c r="AA68" i="2" s="1"/>
  <c r="AD309" i="6"/>
  <c r="AE68" i="2" s="1"/>
  <c r="AG309" i="6"/>
  <c r="AH68" i="2" s="1"/>
  <c r="AK309" i="6"/>
  <c r="AL68" i="2" s="1"/>
  <c r="AM309" i="6"/>
  <c r="AN68" i="2" s="1"/>
  <c r="AP309" i="6"/>
  <c r="AQ68" i="2" s="1"/>
  <c r="AS309" i="6"/>
  <c r="AT68" i="2" s="1"/>
  <c r="BA309" i="6"/>
  <c r="BB68" i="2" s="1"/>
  <c r="BF309" i="6"/>
  <c r="BG68" i="2" s="1"/>
  <c r="C309" i="6"/>
  <c r="E309" i="6"/>
  <c r="F68" i="2" s="1"/>
  <c r="K309" i="6"/>
  <c r="L68" i="2" s="1"/>
  <c r="M309" i="6"/>
  <c r="N68" i="2" s="1"/>
  <c r="S309" i="6"/>
  <c r="X309" i="6"/>
  <c r="Y68" i="2" s="1"/>
  <c r="AF309" i="6"/>
  <c r="AG68" i="2" s="1"/>
  <c r="AH309" i="6"/>
  <c r="AI68" i="2" s="1"/>
  <c r="AJ309" i="6"/>
  <c r="AK68" i="2" s="1"/>
  <c r="AO309" i="6"/>
  <c r="AP68" i="2" s="1"/>
  <c r="AV309" i="6"/>
  <c r="AW68" i="2" s="1"/>
  <c r="BC309" i="6"/>
  <c r="BD68" i="2" s="1"/>
  <c r="BE309" i="6"/>
  <c r="BF68" i="2" s="1"/>
  <c r="BJ309" i="6"/>
  <c r="BK68" i="2" s="1"/>
  <c r="D309" i="6"/>
  <c r="E68" i="2" s="1"/>
  <c r="J309" i="6"/>
  <c r="K68" i="2" s="1"/>
  <c r="Q309" i="6"/>
  <c r="R68" i="2" s="1"/>
  <c r="T309" i="6"/>
  <c r="W309" i="6"/>
  <c r="X68" i="2" s="1"/>
  <c r="AC309" i="6"/>
  <c r="AD68" i="2" s="1"/>
  <c r="AI309" i="6"/>
  <c r="AJ68" i="2" s="1"/>
  <c r="AR309" i="6"/>
  <c r="AS68" i="2" s="1"/>
  <c r="AW309" i="6"/>
  <c r="AX68" i="2" s="1"/>
  <c r="BD309" i="6"/>
  <c r="BE68" i="2" s="1"/>
  <c r="BH309" i="6"/>
  <c r="BI68" i="2" s="1"/>
  <c r="G309" i="6"/>
  <c r="H68" i="2" s="1"/>
  <c r="N309" i="6"/>
  <c r="O68" i="2" s="1"/>
  <c r="R309" i="6"/>
  <c r="S68" i="2" s="1"/>
  <c r="AA309" i="6"/>
  <c r="AB68" i="2" s="1"/>
  <c r="AE309" i="6"/>
  <c r="AF68" i="2" s="1"/>
  <c r="AL309" i="6"/>
  <c r="AM68" i="2" s="1"/>
  <c r="AU309" i="6"/>
  <c r="AV68" i="2" s="1"/>
  <c r="AY309" i="6"/>
  <c r="AZ68" i="2" s="1"/>
  <c r="BG309" i="6"/>
  <c r="BH68" i="2" s="1"/>
  <c r="I309" i="6"/>
  <c r="J68" i="2" s="1"/>
  <c r="O309" i="6"/>
  <c r="P68" i="2" s="1"/>
  <c r="V309" i="6"/>
  <c r="Y309" i="6"/>
  <c r="Z68" i="2" s="1"/>
  <c r="AB309" i="6"/>
  <c r="AC68" i="2" s="1"/>
  <c r="AN309" i="6"/>
  <c r="AO68" i="2" s="1"/>
  <c r="AQ309" i="6"/>
  <c r="AR68" i="2" s="1"/>
  <c r="AT309" i="6"/>
  <c r="AU68" i="2" s="1"/>
  <c r="AX309" i="6"/>
  <c r="AY68" i="2" s="1"/>
  <c r="AZ309" i="6"/>
  <c r="BA68" i="2" s="1"/>
  <c r="BB309" i="6"/>
  <c r="BC68" i="2" s="1"/>
  <c r="BI309" i="6"/>
  <c r="BJ68" i="2" s="1"/>
  <c r="F308" i="6"/>
  <c r="G35" i="2" s="1"/>
  <c r="H308" i="6"/>
  <c r="I35" i="2" s="1"/>
  <c r="N308" i="6"/>
  <c r="O35" i="2" s="1"/>
  <c r="S308" i="6"/>
  <c r="T35" i="2" s="1"/>
  <c r="V308" i="6"/>
  <c r="W35" i="2" s="1"/>
  <c r="Y308" i="6"/>
  <c r="Z35" i="2" s="1"/>
  <c r="AA308" i="6"/>
  <c r="AB35" i="2" s="1"/>
  <c r="AC308" i="6"/>
  <c r="AD35" i="2" s="1"/>
  <c r="AG308" i="6"/>
  <c r="AH35" i="2" s="1"/>
  <c r="AJ308" i="6"/>
  <c r="AK35" i="2" s="1"/>
  <c r="AM308" i="6"/>
  <c r="AN35" i="2" s="1"/>
  <c r="AS308" i="6"/>
  <c r="AT35" i="2" s="1"/>
  <c r="AV308" i="6"/>
  <c r="AW35" i="2" s="1"/>
  <c r="BC308" i="6"/>
  <c r="BD35" i="2" s="1"/>
  <c r="BE308" i="6"/>
  <c r="BF35" i="2" s="1"/>
  <c r="BJ308" i="6"/>
  <c r="BK35" i="2" s="1"/>
  <c r="C308" i="6"/>
  <c r="E308" i="6"/>
  <c r="F35" i="2" s="1"/>
  <c r="K308" i="6"/>
  <c r="L35" i="2" s="1"/>
  <c r="P308" i="6"/>
  <c r="Q35" i="2" s="1"/>
  <c r="R308" i="6"/>
  <c r="S35" i="2" s="1"/>
  <c r="U308" i="6"/>
  <c r="V35" i="2" s="1"/>
  <c r="X308" i="6"/>
  <c r="Y35" i="2" s="1"/>
  <c r="Z308" i="6"/>
  <c r="AA35" i="2" s="1"/>
  <c r="AB308" i="6"/>
  <c r="AC35" i="2" s="1"/>
  <c r="AD308" i="6"/>
  <c r="AE35" i="2" s="1"/>
  <c r="AH308" i="6"/>
  <c r="AI35" i="2" s="1"/>
  <c r="AI308" i="6"/>
  <c r="AJ35" i="2" s="1"/>
  <c r="AN308" i="6"/>
  <c r="AO35" i="2" s="1"/>
  <c r="AQ308" i="6"/>
  <c r="AR35" i="2" s="1"/>
  <c r="AU308" i="6"/>
  <c r="AV35" i="2" s="1"/>
  <c r="AY308" i="6"/>
  <c r="AZ35" i="2" s="1"/>
  <c r="AZ308" i="6"/>
  <c r="BA35" i="2" s="1"/>
  <c r="BB308" i="6"/>
  <c r="BC35" i="2" s="1"/>
  <c r="BD308" i="6"/>
  <c r="BE35" i="2" s="1"/>
  <c r="BG308" i="6"/>
  <c r="BH35" i="2" s="1"/>
  <c r="BI308" i="6"/>
  <c r="BJ35" i="2" s="1"/>
  <c r="D308" i="6"/>
  <c r="L308" i="6"/>
  <c r="M35" i="2" s="1"/>
  <c r="Q308" i="6"/>
  <c r="R35" i="2" s="1"/>
  <c r="AF308" i="6"/>
  <c r="AG35" i="2" s="1"/>
  <c r="AO308" i="6"/>
  <c r="AP35" i="2" s="1"/>
  <c r="AT308" i="6"/>
  <c r="AU35" i="2" s="1"/>
  <c r="AX308" i="6"/>
  <c r="AY35" i="2" s="1"/>
  <c r="BF308" i="6"/>
  <c r="BG35" i="2" s="1"/>
  <c r="G308" i="6"/>
  <c r="H35" i="2" s="1"/>
  <c r="M308" i="6"/>
  <c r="N35" i="2" s="1"/>
  <c r="AK308" i="6"/>
  <c r="AL35" i="2" s="1"/>
  <c r="AP308" i="6"/>
  <c r="AQ35" i="2" s="1"/>
  <c r="AR308" i="6"/>
  <c r="AS35" i="2" s="1"/>
  <c r="BA308" i="6"/>
  <c r="BB35" i="2" s="1"/>
  <c r="BH308" i="6"/>
  <c r="BI35" i="2" s="1"/>
  <c r="I308" i="6"/>
  <c r="J35" i="2" s="1"/>
  <c r="J308" i="6"/>
  <c r="K35" i="2" s="1"/>
  <c r="O308" i="6"/>
  <c r="P35" i="2" s="1"/>
  <c r="T308" i="6"/>
  <c r="U35" i="2" s="1"/>
  <c r="W308" i="6"/>
  <c r="X35" i="2" s="1"/>
  <c r="AE308" i="6"/>
  <c r="AF35" i="2" s="1"/>
  <c r="AL308" i="6"/>
  <c r="AM35" i="2" s="1"/>
  <c r="AW308" i="6"/>
  <c r="AX35" i="2" s="1"/>
  <c r="D307" i="6"/>
  <c r="E44" i="2" s="1"/>
  <c r="J307" i="6"/>
  <c r="K44" i="2" s="1"/>
  <c r="O307" i="6"/>
  <c r="P44" i="2" s="1"/>
  <c r="R307" i="6"/>
  <c r="S44" i="2" s="1"/>
  <c r="V307" i="6"/>
  <c r="X307" i="6"/>
  <c r="Y44" i="2" s="1"/>
  <c r="AB307" i="6"/>
  <c r="AC44" i="2" s="1"/>
  <c r="AE307" i="6"/>
  <c r="AF44" i="2" s="1"/>
  <c r="AK307" i="6"/>
  <c r="AL44" i="2" s="1"/>
  <c r="AR307" i="6"/>
  <c r="AS44" i="2" s="1"/>
  <c r="AZ307" i="6"/>
  <c r="BA44" i="2" s="1"/>
  <c r="BD307" i="6"/>
  <c r="BE44" i="2" s="1"/>
  <c r="BG307" i="6"/>
  <c r="BH44" i="2" s="1"/>
  <c r="G307" i="6"/>
  <c r="H44" i="2" s="1"/>
  <c r="K307" i="6"/>
  <c r="L44" i="2" s="1"/>
  <c r="Q307" i="6"/>
  <c r="R44" i="2" s="1"/>
  <c r="AA307" i="6"/>
  <c r="AB44" i="2" s="1"/>
  <c r="AG307" i="6"/>
  <c r="AH44" i="2" s="1"/>
  <c r="AO307" i="6"/>
  <c r="AP44" i="2" s="1"/>
  <c r="AQ307" i="6"/>
  <c r="AR44" i="2" s="1"/>
  <c r="AS307" i="6"/>
  <c r="AT44" i="2" s="1"/>
  <c r="AU307" i="6"/>
  <c r="AV44" i="2" s="1"/>
  <c r="AX307" i="6"/>
  <c r="AY44" i="2" s="1"/>
  <c r="BA307" i="6"/>
  <c r="BB44" i="2" s="1"/>
  <c r="BI307" i="6"/>
  <c r="BJ44" i="2" s="1"/>
  <c r="F307" i="6"/>
  <c r="G44" i="2" s="1"/>
  <c r="I307" i="6"/>
  <c r="J44" i="2" s="1"/>
  <c r="T307" i="6"/>
  <c r="U44" i="2" s="1"/>
  <c r="Y307" i="6"/>
  <c r="Z44" i="2" s="1"/>
  <c r="AC307" i="6"/>
  <c r="AD44" i="2" s="1"/>
  <c r="AL307" i="6"/>
  <c r="AM44" i="2" s="1"/>
  <c r="AY307" i="6"/>
  <c r="AZ44" i="2" s="1"/>
  <c r="BB307" i="6"/>
  <c r="BC44" i="2" s="1"/>
  <c r="BH307" i="6"/>
  <c r="BI44" i="2" s="1"/>
  <c r="M307" i="6"/>
  <c r="N44" i="2" s="1"/>
  <c r="S307" i="6"/>
  <c r="T44" i="2" s="1"/>
  <c r="W307" i="6"/>
  <c r="X44" i="2" s="1"/>
  <c r="AH307" i="6"/>
  <c r="AI44" i="2" s="1"/>
  <c r="AI307" i="6"/>
  <c r="AJ44" i="2" s="1"/>
  <c r="AN307" i="6"/>
  <c r="AO44" i="2" s="1"/>
  <c r="AT307" i="6"/>
  <c r="AU44" i="2" s="1"/>
  <c r="AW307" i="6"/>
  <c r="AX44" i="2" s="1"/>
  <c r="BC307" i="6"/>
  <c r="BD44" i="2" s="1"/>
  <c r="BE307" i="6"/>
  <c r="BF44" i="2" s="1"/>
  <c r="C307" i="6"/>
  <c r="E307" i="6"/>
  <c r="F44" i="2" s="1"/>
  <c r="H307" i="6"/>
  <c r="I44" i="2" s="1"/>
  <c r="L307" i="6"/>
  <c r="M44" i="2" s="1"/>
  <c r="N307" i="6"/>
  <c r="O44" i="2" s="1"/>
  <c r="P307" i="6"/>
  <c r="Q44" i="2" s="1"/>
  <c r="U307" i="6"/>
  <c r="Z307" i="6"/>
  <c r="AA44" i="2" s="1"/>
  <c r="AD307" i="6"/>
  <c r="AE44" i="2" s="1"/>
  <c r="AF307" i="6"/>
  <c r="AG44" i="2" s="1"/>
  <c r="AJ307" i="6"/>
  <c r="AK44" i="2" s="1"/>
  <c r="AM307" i="6"/>
  <c r="AN44" i="2" s="1"/>
  <c r="AP307" i="6"/>
  <c r="AQ44" i="2" s="1"/>
  <c r="AV307" i="6"/>
  <c r="AW44" i="2" s="1"/>
  <c r="BF307" i="6"/>
  <c r="BG44" i="2" s="1"/>
  <c r="BJ307" i="6"/>
  <c r="BK44" i="2" s="1"/>
  <c r="C306" i="6"/>
  <c r="J306" i="6"/>
  <c r="K161" i="2" s="1"/>
  <c r="M306" i="6"/>
  <c r="N161" i="2" s="1"/>
  <c r="R306" i="6"/>
  <c r="S161" i="2" s="1"/>
  <c r="V306" i="6"/>
  <c r="X306" i="6"/>
  <c r="Y161" i="2" s="1"/>
  <c r="AA306" i="6"/>
  <c r="AB161" i="2" s="1"/>
  <c r="AD306" i="6"/>
  <c r="AE161" i="2" s="1"/>
  <c r="AI306" i="6"/>
  <c r="AJ161" i="2" s="1"/>
  <c r="AL306" i="6"/>
  <c r="AM161" i="2" s="1"/>
  <c r="AS306" i="6"/>
  <c r="AT161" i="2" s="1"/>
  <c r="AV306" i="6"/>
  <c r="AW161" i="2" s="1"/>
  <c r="AX306" i="6"/>
  <c r="AY161" i="2" s="1"/>
  <c r="BA306" i="6"/>
  <c r="BB161" i="2" s="1"/>
  <c r="BE306" i="6"/>
  <c r="BF161" i="2" s="1"/>
  <c r="BJ306" i="6"/>
  <c r="BK161" i="2" s="1"/>
  <c r="H306" i="6"/>
  <c r="I161" i="2" s="1"/>
  <c r="I306" i="6"/>
  <c r="J161" i="2" s="1"/>
  <c r="L306" i="6"/>
  <c r="M161" i="2" s="1"/>
  <c r="Q306" i="6"/>
  <c r="R161" i="2" s="1"/>
  <c r="U306" i="6"/>
  <c r="AG306" i="6"/>
  <c r="AH161" i="2" s="1"/>
  <c r="AN306" i="6"/>
  <c r="AO161" i="2" s="1"/>
  <c r="AT306" i="6"/>
  <c r="AU161" i="2" s="1"/>
  <c r="AY306" i="6"/>
  <c r="AZ161" i="2" s="1"/>
  <c r="BD306" i="6"/>
  <c r="BE161" i="2" s="1"/>
  <c r="E306" i="6"/>
  <c r="F161" i="2" s="1"/>
  <c r="K306" i="6"/>
  <c r="L161" i="2" s="1"/>
  <c r="P306" i="6"/>
  <c r="Q161" i="2" s="1"/>
  <c r="T306" i="6"/>
  <c r="Z306" i="6"/>
  <c r="AA161" i="2" s="1"/>
  <c r="AF306" i="6"/>
  <c r="AG161" i="2" s="1"/>
  <c r="AK306" i="6"/>
  <c r="AL161" i="2" s="1"/>
  <c r="AO306" i="6"/>
  <c r="AP161" i="2" s="1"/>
  <c r="AW306" i="6"/>
  <c r="AX161" i="2" s="1"/>
  <c r="BF306" i="6"/>
  <c r="BG161" i="2" s="1"/>
  <c r="BH306" i="6"/>
  <c r="BI161" i="2" s="1"/>
  <c r="F306" i="6"/>
  <c r="G161" i="2" s="1"/>
  <c r="N306" i="6"/>
  <c r="O161" i="2" s="1"/>
  <c r="W306" i="6"/>
  <c r="X161" i="2" s="1"/>
  <c r="AC306" i="6"/>
  <c r="AD161" i="2" s="1"/>
  <c r="AE306" i="6"/>
  <c r="AF161" i="2" s="1"/>
  <c r="AH306" i="6"/>
  <c r="AI161" i="2" s="1"/>
  <c r="AJ306" i="6"/>
  <c r="AK161" i="2" s="1"/>
  <c r="AM306" i="6"/>
  <c r="AN161" i="2" s="1"/>
  <c r="AQ306" i="6"/>
  <c r="AR161" i="2" s="1"/>
  <c r="BB306" i="6"/>
  <c r="BC161" i="2" s="1"/>
  <c r="BI306" i="6"/>
  <c r="BJ161" i="2" s="1"/>
  <c r="D306" i="6"/>
  <c r="E161" i="2" s="1"/>
  <c r="G306" i="6"/>
  <c r="H161" i="2" s="1"/>
  <c r="O306" i="6"/>
  <c r="P161" i="2" s="1"/>
  <c r="S306" i="6"/>
  <c r="T161" i="2" s="1"/>
  <c r="Y306" i="6"/>
  <c r="Z161" i="2" s="1"/>
  <c r="AB306" i="6"/>
  <c r="AC161" i="2" s="1"/>
  <c r="AP306" i="6"/>
  <c r="AQ161" i="2" s="1"/>
  <c r="AR306" i="6"/>
  <c r="AS161" i="2" s="1"/>
  <c r="AU306" i="6"/>
  <c r="AV161" i="2" s="1"/>
  <c r="AZ306" i="6"/>
  <c r="BA161" i="2" s="1"/>
  <c r="BC306" i="6"/>
  <c r="BD161" i="2" s="1"/>
  <c r="BG306" i="6"/>
  <c r="BH161" i="2" s="1"/>
  <c r="E305" i="6"/>
  <c r="H305" i="6"/>
  <c r="I248" i="2" s="1"/>
  <c r="O305" i="6"/>
  <c r="P248" i="2" s="1"/>
  <c r="W305" i="6"/>
  <c r="X248" i="2" s="1"/>
  <c r="AB305" i="6"/>
  <c r="AC248" i="2" s="1"/>
  <c r="AE305" i="6"/>
  <c r="AF248" i="2" s="1"/>
  <c r="AI305" i="6"/>
  <c r="AJ248" i="2" s="1"/>
  <c r="AL305" i="6"/>
  <c r="AM248" i="2" s="1"/>
  <c r="AR305" i="6"/>
  <c r="AS248" i="2" s="1"/>
  <c r="AW305" i="6"/>
  <c r="AX248" i="2" s="1"/>
  <c r="BB305" i="6"/>
  <c r="BC248" i="2" s="1"/>
  <c r="BD305" i="6"/>
  <c r="BE248" i="2" s="1"/>
  <c r="BH305" i="6"/>
  <c r="BI248" i="2" s="1"/>
  <c r="C305" i="6"/>
  <c r="D305" i="6"/>
  <c r="G305" i="6"/>
  <c r="H248" i="2" s="1"/>
  <c r="J305" i="6"/>
  <c r="K248" i="2" s="1"/>
  <c r="L305" i="6"/>
  <c r="M248" i="2" s="1"/>
  <c r="N305" i="6"/>
  <c r="O248" i="2" s="1"/>
  <c r="U305" i="6"/>
  <c r="V248" i="2" s="1"/>
  <c r="Z305" i="6"/>
  <c r="AA248" i="2" s="1"/>
  <c r="AG305" i="6"/>
  <c r="AH248" i="2" s="1"/>
  <c r="AJ305" i="6"/>
  <c r="AK248" i="2" s="1"/>
  <c r="AQ305" i="6"/>
  <c r="AR248" i="2" s="1"/>
  <c r="AT305" i="6"/>
  <c r="AU248" i="2" s="1"/>
  <c r="AV305" i="6"/>
  <c r="AW248" i="2" s="1"/>
  <c r="AZ305" i="6"/>
  <c r="BA248" i="2" s="1"/>
  <c r="BE305" i="6"/>
  <c r="BF248" i="2" s="1"/>
  <c r="BJ305" i="6"/>
  <c r="BK248" i="2" s="1"/>
  <c r="K305" i="6"/>
  <c r="L248" i="2" s="1"/>
  <c r="P305" i="6"/>
  <c r="Q248" i="2" s="1"/>
  <c r="T305" i="6"/>
  <c r="U248" i="2" s="1"/>
  <c r="X305" i="6"/>
  <c r="Y248" i="2" s="1"/>
  <c r="AD305" i="6"/>
  <c r="AE248" i="2" s="1"/>
  <c r="AK305" i="6"/>
  <c r="AL248" i="2" s="1"/>
  <c r="AS305" i="6"/>
  <c r="AT248" i="2" s="1"/>
  <c r="AX305" i="6"/>
  <c r="AY248" i="2" s="1"/>
  <c r="BC305" i="6"/>
  <c r="BD248" i="2" s="1"/>
  <c r="BI305" i="6"/>
  <c r="BJ248" i="2" s="1"/>
  <c r="I305" i="6"/>
  <c r="J248" i="2" s="1"/>
  <c r="M305" i="6"/>
  <c r="N248" i="2" s="1"/>
  <c r="S305" i="6"/>
  <c r="T248" i="2" s="1"/>
  <c r="V305" i="6"/>
  <c r="W248" i="2" s="1"/>
  <c r="AA305" i="6"/>
  <c r="AB248" i="2" s="1"/>
  <c r="AF305" i="6"/>
  <c r="AG248" i="2" s="1"/>
  <c r="AN305" i="6"/>
  <c r="AO248" i="2" s="1"/>
  <c r="AU305" i="6"/>
  <c r="AV248" i="2" s="1"/>
  <c r="BA305" i="6"/>
  <c r="BB248" i="2" s="1"/>
  <c r="F305" i="6"/>
  <c r="Q305" i="6"/>
  <c r="R248" i="2" s="1"/>
  <c r="R305" i="6"/>
  <c r="S248" i="2" s="1"/>
  <c r="Y305" i="6"/>
  <c r="Z248" i="2" s="1"/>
  <c r="AC305" i="6"/>
  <c r="AD248" i="2" s="1"/>
  <c r="AH305" i="6"/>
  <c r="AI248" i="2" s="1"/>
  <c r="AM305" i="6"/>
  <c r="AN248" i="2" s="1"/>
  <c r="AO305" i="6"/>
  <c r="AP248" i="2" s="1"/>
  <c r="AP305" i="6"/>
  <c r="AQ248" i="2" s="1"/>
  <c r="AY305" i="6"/>
  <c r="AZ248" i="2" s="1"/>
  <c r="BF305" i="6"/>
  <c r="BG248" i="2" s="1"/>
  <c r="BG305" i="6"/>
  <c r="BH248" i="2" s="1"/>
  <c r="E304" i="6"/>
  <c r="F221" i="2" s="1"/>
  <c r="H304" i="6"/>
  <c r="I221" i="2" s="1"/>
  <c r="J304" i="6"/>
  <c r="K221" i="2" s="1"/>
  <c r="M304" i="6"/>
  <c r="N221" i="2" s="1"/>
  <c r="Q304" i="6"/>
  <c r="V304" i="6"/>
  <c r="Y304" i="6"/>
  <c r="Z221" i="2" s="1"/>
  <c r="AB304" i="6"/>
  <c r="AC221" i="2" s="1"/>
  <c r="AD304" i="6"/>
  <c r="AE221" i="2" s="1"/>
  <c r="AH304" i="6"/>
  <c r="AI221" i="2" s="1"/>
  <c r="AK304" i="6"/>
  <c r="AL221" i="2" s="1"/>
  <c r="AO304" i="6"/>
  <c r="AP221" i="2" s="1"/>
  <c r="AU304" i="6"/>
  <c r="AV221" i="2" s="1"/>
  <c r="AX304" i="6"/>
  <c r="AY221" i="2" s="1"/>
  <c r="BA304" i="6"/>
  <c r="BB221" i="2" s="1"/>
  <c r="BG304" i="6"/>
  <c r="BH221" i="2" s="1"/>
  <c r="BJ304" i="6"/>
  <c r="BK221" i="2" s="1"/>
  <c r="G304" i="6"/>
  <c r="H221" i="2" s="1"/>
  <c r="K304" i="6"/>
  <c r="L221" i="2" s="1"/>
  <c r="N304" i="6"/>
  <c r="O221" i="2" s="1"/>
  <c r="P304" i="6"/>
  <c r="Q221" i="2" s="1"/>
  <c r="S304" i="6"/>
  <c r="U304" i="6"/>
  <c r="W304" i="6"/>
  <c r="X221" i="2" s="1"/>
  <c r="Z304" i="6"/>
  <c r="AA221" i="2" s="1"/>
  <c r="AE304" i="6"/>
  <c r="AF221" i="2" s="1"/>
  <c r="AG304" i="6"/>
  <c r="AH221" i="2" s="1"/>
  <c r="AL304" i="6"/>
  <c r="AM221" i="2" s="1"/>
  <c r="AN304" i="6"/>
  <c r="AO221" i="2" s="1"/>
  <c r="AQ304" i="6"/>
  <c r="AR221" i="2" s="1"/>
  <c r="AT304" i="6"/>
  <c r="AU221" i="2" s="1"/>
  <c r="AV304" i="6"/>
  <c r="AW221" i="2" s="1"/>
  <c r="AY304" i="6"/>
  <c r="AZ221" i="2" s="1"/>
  <c r="AZ304" i="6"/>
  <c r="BA221" i="2" s="1"/>
  <c r="BC304" i="6"/>
  <c r="BD221" i="2" s="1"/>
  <c r="C304" i="6"/>
  <c r="L304" i="6"/>
  <c r="M221" i="2" s="1"/>
  <c r="R304" i="6"/>
  <c r="X304" i="6"/>
  <c r="Y221" i="2" s="1"/>
  <c r="AA304" i="6"/>
  <c r="AB221" i="2" s="1"/>
  <c r="AC304" i="6"/>
  <c r="AD221" i="2" s="1"/>
  <c r="AM304" i="6"/>
  <c r="AN221" i="2" s="1"/>
  <c r="AS304" i="6"/>
  <c r="AT221" i="2" s="1"/>
  <c r="BF304" i="6"/>
  <c r="BG221" i="2" s="1"/>
  <c r="BI304" i="6"/>
  <c r="BJ221" i="2" s="1"/>
  <c r="AF304" i="6"/>
  <c r="AG221" i="2" s="1"/>
  <c r="AJ304" i="6"/>
  <c r="AK221" i="2" s="1"/>
  <c r="AP304" i="6"/>
  <c r="AQ221" i="2" s="1"/>
  <c r="BE304" i="6"/>
  <c r="BF221" i="2" s="1"/>
  <c r="BH304" i="6"/>
  <c r="BI221" i="2" s="1"/>
  <c r="D304" i="6"/>
  <c r="E221" i="2" s="1"/>
  <c r="F304" i="6"/>
  <c r="G221" i="2" s="1"/>
  <c r="I304" i="6"/>
  <c r="J221" i="2" s="1"/>
  <c r="O304" i="6"/>
  <c r="P221" i="2" s="1"/>
  <c r="T304" i="6"/>
  <c r="AI304" i="6"/>
  <c r="AJ221" i="2" s="1"/>
  <c r="AR304" i="6"/>
  <c r="AS221" i="2" s="1"/>
  <c r="AW304" i="6"/>
  <c r="AX221" i="2" s="1"/>
  <c r="BB304" i="6"/>
  <c r="BC221" i="2" s="1"/>
  <c r="BD304" i="6"/>
  <c r="BE221" i="2" s="1"/>
  <c r="X303" i="6"/>
  <c r="Y218" i="2" s="1"/>
  <c r="AG303" i="6"/>
  <c r="AH218" i="2" s="1"/>
  <c r="AK303" i="6"/>
  <c r="AL218" i="2" s="1"/>
  <c r="AN303" i="6"/>
  <c r="AO218" i="2" s="1"/>
  <c r="AT303" i="6"/>
  <c r="AU218" i="2" s="1"/>
  <c r="AW303" i="6"/>
  <c r="AX218" i="2" s="1"/>
  <c r="AZ303" i="6"/>
  <c r="BA218" i="2" s="1"/>
  <c r="BE303" i="6"/>
  <c r="BF218" i="2" s="1"/>
  <c r="BJ303" i="6"/>
  <c r="BK218" i="2" s="1"/>
  <c r="Y303" i="6"/>
  <c r="Z218" i="2" s="1"/>
  <c r="AD303" i="6"/>
  <c r="AE218" i="2" s="1"/>
  <c r="AJ303" i="6"/>
  <c r="AK218" i="2" s="1"/>
  <c r="AQ303" i="6"/>
  <c r="AR218" i="2" s="1"/>
  <c r="AU303" i="6"/>
  <c r="AV218" i="2" s="1"/>
  <c r="BA303" i="6"/>
  <c r="BB218" i="2" s="1"/>
  <c r="BG303" i="6"/>
  <c r="BH218" i="2" s="1"/>
  <c r="BI303" i="6"/>
  <c r="BJ218" i="2" s="1"/>
  <c r="AH303" i="6"/>
  <c r="AI218" i="2" s="1"/>
  <c r="AL303" i="6"/>
  <c r="AM218" i="2" s="1"/>
  <c r="AP303" i="6"/>
  <c r="AQ218" i="2" s="1"/>
  <c r="BC303" i="6"/>
  <c r="BD218" i="2" s="1"/>
  <c r="BH303" i="6"/>
  <c r="BI218" i="2" s="1"/>
  <c r="V303" i="6"/>
  <c r="Z303" i="6"/>
  <c r="AA218" i="2" s="1"/>
  <c r="AE303" i="6"/>
  <c r="AF218" i="2" s="1"/>
  <c r="AI303" i="6"/>
  <c r="AJ218" i="2" s="1"/>
  <c r="AO303" i="6"/>
  <c r="AP218" i="2" s="1"/>
  <c r="AS303" i="6"/>
  <c r="AT218" i="2" s="1"/>
  <c r="AX303" i="6"/>
  <c r="AY218" i="2" s="1"/>
  <c r="BB303" i="6"/>
  <c r="BC218" i="2" s="1"/>
  <c r="W303" i="6"/>
  <c r="X218" i="2" s="1"/>
  <c r="AA303" i="6"/>
  <c r="AB218" i="2" s="1"/>
  <c r="AB303" i="6"/>
  <c r="AC218" i="2" s="1"/>
  <c r="AC303" i="6"/>
  <c r="AD218" i="2" s="1"/>
  <c r="AF303" i="6"/>
  <c r="AG218" i="2" s="1"/>
  <c r="AM303" i="6"/>
  <c r="AN218" i="2" s="1"/>
  <c r="AR303" i="6"/>
  <c r="AS218" i="2" s="1"/>
  <c r="AV303" i="6"/>
  <c r="AW218" i="2" s="1"/>
  <c r="AY303" i="6"/>
  <c r="AZ218" i="2" s="1"/>
  <c r="BD303" i="6"/>
  <c r="BE218" i="2" s="1"/>
  <c r="BF303" i="6"/>
  <c r="BG218" i="2" s="1"/>
  <c r="D218" i="2"/>
  <c r="O92" i="6"/>
  <c r="D266" i="2"/>
  <c r="D212" i="2"/>
  <c r="D71" i="2"/>
  <c r="O84" i="6"/>
  <c r="D206" i="2"/>
  <c r="D98" i="2"/>
  <c r="O75" i="6"/>
  <c r="D296" i="2"/>
  <c r="O73" i="6"/>
  <c r="D59" i="2"/>
  <c r="O70" i="6"/>
  <c r="D278" i="2"/>
  <c r="O69" i="6"/>
  <c r="D155" i="2"/>
  <c r="O67" i="6"/>
  <c r="D116" i="2"/>
  <c r="O65" i="6"/>
  <c r="D134" i="2"/>
  <c r="O63" i="6"/>
  <c r="D128" i="2"/>
  <c r="O62" i="6"/>
  <c r="D242" i="2"/>
  <c r="O60" i="6"/>
  <c r="D269" i="2"/>
  <c r="O58" i="6"/>
  <c r="D227" i="2"/>
  <c r="O57" i="6"/>
  <c r="D92" i="2"/>
  <c r="O52" i="6"/>
  <c r="D86" i="2"/>
  <c r="O51" i="6"/>
  <c r="D41" i="2"/>
  <c r="O49" i="6"/>
  <c r="D50" i="2"/>
  <c r="O48" i="6"/>
  <c r="D83" i="2"/>
  <c r="O41" i="6"/>
  <c r="D137" i="2"/>
  <c r="O39" i="6"/>
  <c r="D194" i="2"/>
  <c r="O35" i="6"/>
  <c r="O32" i="6"/>
  <c r="D47" i="2"/>
  <c r="D167" i="2"/>
  <c r="O30" i="6"/>
  <c r="D200" i="2"/>
  <c r="O26" i="6"/>
  <c r="AX62" i="2"/>
  <c r="AW62" i="2"/>
  <c r="AV62" i="2"/>
  <c r="AU62" i="2"/>
  <c r="AT62" i="2"/>
  <c r="BB62" i="2"/>
  <c r="BA62" i="2"/>
  <c r="AZ62" i="2"/>
  <c r="AY62" i="2"/>
  <c r="BD62" i="2"/>
  <c r="BE62" i="2"/>
  <c r="BF62" i="2"/>
  <c r="BG62" i="2"/>
  <c r="AR62" i="2"/>
  <c r="AQ62" i="2"/>
  <c r="AP62" i="2"/>
  <c r="AO62" i="2"/>
  <c r="AN62" i="2"/>
  <c r="AM62" i="2"/>
  <c r="AL62" i="2"/>
  <c r="AK62" i="2"/>
  <c r="AJ62" i="2"/>
  <c r="AS62" i="2"/>
  <c r="AI62" i="2"/>
  <c r="AH62" i="2"/>
  <c r="AG62" i="2"/>
  <c r="AM341" i="5"/>
  <c r="AM355" i="5"/>
  <c r="AL341" i="5"/>
  <c r="AL355" i="5"/>
  <c r="AK341" i="5"/>
  <c r="AK355" i="5"/>
  <c r="AJ341" i="5"/>
  <c r="AJ355" i="5"/>
  <c r="AI355" i="5"/>
  <c r="AI341" i="5"/>
  <c r="AH341" i="5"/>
  <c r="AH355" i="5"/>
  <c r="AG341" i="5"/>
  <c r="AG355" i="5"/>
  <c r="AF355" i="5"/>
  <c r="AF341" i="5"/>
  <c r="AE341" i="5"/>
  <c r="AE355" i="5"/>
  <c r="AD355" i="5"/>
  <c r="AD341" i="5"/>
  <c r="AC341" i="5"/>
  <c r="AC355" i="5"/>
  <c r="AB355" i="5"/>
  <c r="AB341" i="5"/>
  <c r="AA341" i="5"/>
  <c r="AA355" i="5"/>
  <c r="Z341" i="5"/>
  <c r="Z355" i="5"/>
  <c r="Y355" i="5"/>
  <c r="Y341" i="5"/>
  <c r="X341" i="5"/>
  <c r="X355" i="5"/>
  <c r="W341" i="5"/>
  <c r="W355" i="5"/>
  <c r="V355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J341" i="5"/>
  <c r="BJ355" i="5"/>
  <c r="BI341" i="5"/>
  <c r="BI355" i="5"/>
  <c r="BH341" i="5"/>
  <c r="BH355" i="5"/>
  <c r="BG341" i="5"/>
  <c r="BG355" i="5"/>
  <c r="BF341" i="5"/>
  <c r="BF355" i="5"/>
  <c r="BE341" i="5"/>
  <c r="BE355" i="5"/>
  <c r="BD341" i="5"/>
  <c r="BD355" i="5"/>
  <c r="BC341" i="5"/>
  <c r="BC355" i="5"/>
  <c r="BB341" i="5"/>
  <c r="BB355" i="5"/>
  <c r="BA341" i="5"/>
  <c r="BA355" i="5"/>
  <c r="AZ341" i="5"/>
  <c r="AZ355" i="5"/>
  <c r="AY341" i="5"/>
  <c r="AY355" i="5"/>
  <c r="AX341" i="5"/>
  <c r="AX355" i="5"/>
  <c r="AW341" i="5"/>
  <c r="AW355" i="5"/>
  <c r="AV355" i="5"/>
  <c r="AV341" i="5"/>
  <c r="AU341" i="5"/>
  <c r="AU355" i="5"/>
  <c r="AT341" i="5"/>
  <c r="AT355" i="5"/>
  <c r="AS355" i="5"/>
  <c r="AS341" i="5"/>
  <c r="AR341" i="5"/>
  <c r="AR355" i="5"/>
  <c r="AQ341" i="5"/>
  <c r="AQ355" i="5"/>
  <c r="AP341" i="5"/>
  <c r="AP355" i="5"/>
  <c r="AO355" i="5"/>
  <c r="AO341" i="5"/>
  <c r="AN341" i="5"/>
  <c r="AN355" i="5"/>
  <c r="F129" i="5"/>
  <c r="C334" i="5"/>
  <c r="F334" i="5"/>
  <c r="J334" i="5"/>
  <c r="K253" i="2" s="1"/>
  <c r="M334" i="5"/>
  <c r="N253" i="2" s="1"/>
  <c r="P334" i="5"/>
  <c r="Q253" i="2" s="1"/>
  <c r="T334" i="5"/>
  <c r="U253" i="2" s="1"/>
  <c r="V334" i="5"/>
  <c r="W253" i="2" s="1"/>
  <c r="Z334" i="5"/>
  <c r="AA253" i="2" s="1"/>
  <c r="AD334" i="5"/>
  <c r="AE253" i="2" s="1"/>
  <c r="AI334" i="5"/>
  <c r="AJ253" i="2" s="1"/>
  <c r="AL334" i="5"/>
  <c r="AM253" i="2" s="1"/>
  <c r="AO334" i="5"/>
  <c r="AP253" i="2" s="1"/>
  <c r="AT334" i="5"/>
  <c r="AU253" i="2" s="1"/>
  <c r="AX334" i="5"/>
  <c r="AY253" i="2" s="1"/>
  <c r="BB334" i="5"/>
  <c r="BC253" i="2" s="1"/>
  <c r="BE334" i="5"/>
  <c r="BF253" i="2" s="1"/>
  <c r="BJ334" i="5"/>
  <c r="BK253" i="2" s="1"/>
  <c r="G334" i="5"/>
  <c r="L334" i="5"/>
  <c r="M253" i="2" s="1"/>
  <c r="S334" i="5"/>
  <c r="T253" i="2" s="1"/>
  <c r="W334" i="5"/>
  <c r="X253" i="2" s="1"/>
  <c r="AA334" i="5"/>
  <c r="AB253" i="2" s="1"/>
  <c r="AG334" i="5"/>
  <c r="AH253" i="2" s="1"/>
  <c r="AM334" i="5"/>
  <c r="AN253" i="2" s="1"/>
  <c r="AQ334" i="5"/>
  <c r="AR253" i="2" s="1"/>
  <c r="AV334" i="5"/>
  <c r="AW253" i="2" s="1"/>
  <c r="AY334" i="5"/>
  <c r="AZ253" i="2" s="1"/>
  <c r="BA334" i="5"/>
  <c r="BB253" i="2" s="1"/>
  <c r="BH334" i="5"/>
  <c r="BI253" i="2" s="1"/>
  <c r="D334" i="5"/>
  <c r="E253" i="2" s="1"/>
  <c r="E334" i="5"/>
  <c r="F253" i="2" s="1"/>
  <c r="H334" i="5"/>
  <c r="I334" i="5"/>
  <c r="J253" i="2" s="1"/>
  <c r="K334" i="5"/>
  <c r="L253" i="2" s="1"/>
  <c r="N334" i="5"/>
  <c r="O253" i="2" s="1"/>
  <c r="O334" i="5"/>
  <c r="P253" i="2" s="1"/>
  <c r="Q334" i="5"/>
  <c r="R253" i="2" s="1"/>
  <c r="R334" i="5"/>
  <c r="S253" i="2" s="1"/>
  <c r="U334" i="5"/>
  <c r="V253" i="2" s="1"/>
  <c r="X334" i="5"/>
  <c r="Y253" i="2" s="1"/>
  <c r="Y334" i="5"/>
  <c r="Z253" i="2" s="1"/>
  <c r="AB334" i="5"/>
  <c r="AC253" i="2" s="1"/>
  <c r="AC334" i="5"/>
  <c r="AD253" i="2" s="1"/>
  <c r="AE334" i="5"/>
  <c r="AF253" i="2" s="1"/>
  <c r="AF334" i="5"/>
  <c r="AG253" i="2" s="1"/>
  <c r="AH334" i="5"/>
  <c r="AI253" i="2" s="1"/>
  <c r="AJ334" i="5"/>
  <c r="AK253" i="2" s="1"/>
  <c r="AK334" i="5"/>
  <c r="AL253" i="2" s="1"/>
  <c r="AN334" i="5"/>
  <c r="AO253" i="2" s="1"/>
  <c r="AP334" i="5"/>
  <c r="AQ253" i="2" s="1"/>
  <c r="AR334" i="5"/>
  <c r="AS253" i="2" s="1"/>
  <c r="AS334" i="5"/>
  <c r="AT253" i="2" s="1"/>
  <c r="AU334" i="5"/>
  <c r="AV253" i="2" s="1"/>
  <c r="AW334" i="5"/>
  <c r="AX253" i="2" s="1"/>
  <c r="AZ334" i="5"/>
  <c r="BA253" i="2" s="1"/>
  <c r="BC334" i="5"/>
  <c r="BD253" i="2" s="1"/>
  <c r="BD334" i="5"/>
  <c r="BE253" i="2" s="1"/>
  <c r="BF334" i="5"/>
  <c r="BG253" i="2" s="1"/>
  <c r="BG334" i="5"/>
  <c r="BH253" i="2" s="1"/>
  <c r="BI334" i="5"/>
  <c r="BJ253" i="2" s="1"/>
  <c r="L95" i="3"/>
  <c r="C333" i="5"/>
  <c r="D333" i="5"/>
  <c r="E121" i="2" s="1"/>
  <c r="G333" i="5"/>
  <c r="H121" i="2" s="1"/>
  <c r="J333" i="5"/>
  <c r="K121" i="2" s="1"/>
  <c r="N333" i="5"/>
  <c r="Q333" i="5"/>
  <c r="R121" i="2" s="1"/>
  <c r="S333" i="5"/>
  <c r="T121" i="2" s="1"/>
  <c r="V333" i="5"/>
  <c r="W121" i="2" s="1"/>
  <c r="X333" i="5"/>
  <c r="Y121" i="2" s="1"/>
  <c r="AA333" i="5"/>
  <c r="AB121" i="2" s="1"/>
  <c r="AC333" i="5"/>
  <c r="AD121" i="2" s="1"/>
  <c r="AE333" i="5"/>
  <c r="AF121" i="2" s="1"/>
  <c r="AH333" i="5"/>
  <c r="AI121" i="2" s="1"/>
  <c r="AJ333" i="5"/>
  <c r="AK121" i="2" s="1"/>
  <c r="AN333" i="5"/>
  <c r="AO121" i="2" s="1"/>
  <c r="AQ333" i="5"/>
  <c r="AR121" i="2" s="1"/>
  <c r="AU333" i="5"/>
  <c r="AV121" i="2" s="1"/>
  <c r="AV333" i="5"/>
  <c r="AW121" i="2" s="1"/>
  <c r="AY333" i="5"/>
  <c r="AZ121" i="2" s="1"/>
  <c r="AZ333" i="5"/>
  <c r="BA121" i="2" s="1"/>
  <c r="BC333" i="5"/>
  <c r="BD121" i="2" s="1"/>
  <c r="BG333" i="5"/>
  <c r="BH121" i="2" s="1"/>
  <c r="BI333" i="5"/>
  <c r="BJ121" i="2" s="1"/>
  <c r="E333" i="5"/>
  <c r="F121" i="2" s="1"/>
  <c r="K333" i="5"/>
  <c r="L121" i="2" s="1"/>
  <c r="O333" i="5"/>
  <c r="P121" i="2" s="1"/>
  <c r="T333" i="5"/>
  <c r="U121" i="2" s="1"/>
  <c r="Y333" i="5"/>
  <c r="Z121" i="2" s="1"/>
  <c r="AG333" i="5"/>
  <c r="AH121" i="2" s="1"/>
  <c r="AO333" i="5"/>
  <c r="AP121" i="2" s="1"/>
  <c r="AS333" i="5"/>
  <c r="AT121" i="2" s="1"/>
  <c r="AW333" i="5"/>
  <c r="AX121" i="2" s="1"/>
  <c r="BA333" i="5"/>
  <c r="BB121" i="2" s="1"/>
  <c r="BD333" i="5"/>
  <c r="BE121" i="2" s="1"/>
  <c r="BH333" i="5"/>
  <c r="BI121" i="2" s="1"/>
  <c r="F333" i="5"/>
  <c r="G121" i="2" s="1"/>
  <c r="H333" i="5"/>
  <c r="I121" i="2" s="1"/>
  <c r="I333" i="5"/>
  <c r="J121" i="2" s="1"/>
  <c r="L333" i="5"/>
  <c r="M121" i="2" s="1"/>
  <c r="M333" i="5"/>
  <c r="P333" i="5"/>
  <c r="Q121" i="2" s="1"/>
  <c r="R333" i="5"/>
  <c r="S121" i="2" s="1"/>
  <c r="U333" i="5"/>
  <c r="V121" i="2" s="1"/>
  <c r="W333" i="5"/>
  <c r="X121" i="2" s="1"/>
  <c r="Z333" i="5"/>
  <c r="AA121" i="2" s="1"/>
  <c r="AB333" i="5"/>
  <c r="AC121" i="2" s="1"/>
  <c r="AD333" i="5"/>
  <c r="AE121" i="2" s="1"/>
  <c r="AF333" i="5"/>
  <c r="AG121" i="2" s="1"/>
  <c r="AI333" i="5"/>
  <c r="AJ121" i="2" s="1"/>
  <c r="AK333" i="5"/>
  <c r="AL121" i="2" s="1"/>
  <c r="AL333" i="5"/>
  <c r="AM121" i="2" s="1"/>
  <c r="AM333" i="5"/>
  <c r="AN121" i="2" s="1"/>
  <c r="AP333" i="5"/>
  <c r="AQ121" i="2" s="1"/>
  <c r="AR333" i="5"/>
  <c r="AS121" i="2" s="1"/>
  <c r="AT333" i="5"/>
  <c r="AU121" i="2" s="1"/>
  <c r="AX333" i="5"/>
  <c r="AY121" i="2" s="1"/>
  <c r="BB333" i="5"/>
  <c r="BC121" i="2" s="1"/>
  <c r="BE333" i="5"/>
  <c r="BF121" i="2" s="1"/>
  <c r="BF333" i="5"/>
  <c r="BG121" i="2" s="1"/>
  <c r="BJ333" i="5"/>
  <c r="BK121" i="2" s="1"/>
  <c r="L30" i="3"/>
  <c r="O30" i="3" s="1"/>
  <c r="AD332" i="5"/>
  <c r="AE37" i="2" s="1"/>
  <c r="AE332" i="5"/>
  <c r="AF37" i="2" s="1"/>
  <c r="AI332" i="5"/>
  <c r="AJ37" i="2" s="1"/>
  <c r="AK332" i="5"/>
  <c r="AL37" i="2" s="1"/>
  <c r="AM332" i="5"/>
  <c r="AN37" i="2" s="1"/>
  <c r="AO332" i="5"/>
  <c r="AP37" i="2" s="1"/>
  <c r="AR332" i="5"/>
  <c r="AS37" i="2" s="1"/>
  <c r="AT332" i="5"/>
  <c r="AU37" i="2" s="1"/>
  <c r="AW332" i="5"/>
  <c r="AX37" i="2" s="1"/>
  <c r="AZ332" i="5"/>
  <c r="BA37" i="2" s="1"/>
  <c r="BB332" i="5"/>
  <c r="BC37" i="2" s="1"/>
  <c r="BE332" i="5"/>
  <c r="BF37" i="2" s="1"/>
  <c r="BG332" i="5"/>
  <c r="BH37" i="2" s="1"/>
  <c r="BJ332" i="5"/>
  <c r="BK37" i="2" s="1"/>
  <c r="AG332" i="5"/>
  <c r="AH37" i="2" s="1"/>
  <c r="AC332" i="5"/>
  <c r="AD37" i="2" s="1"/>
  <c r="AF332" i="5"/>
  <c r="AG37" i="2" s="1"/>
  <c r="AH332" i="5"/>
  <c r="AI37" i="2" s="1"/>
  <c r="AJ332" i="5"/>
  <c r="AK37" i="2" s="1"/>
  <c r="AL332" i="5"/>
  <c r="AM37" i="2" s="1"/>
  <c r="AN332" i="5"/>
  <c r="AO37" i="2" s="1"/>
  <c r="AP332" i="5"/>
  <c r="AQ37" i="2" s="1"/>
  <c r="AQ332" i="5"/>
  <c r="AR37" i="2" s="1"/>
  <c r="AS332" i="5"/>
  <c r="AT37" i="2" s="1"/>
  <c r="AU332" i="5"/>
  <c r="AV37" i="2" s="1"/>
  <c r="AV332" i="5"/>
  <c r="AW37" i="2" s="1"/>
  <c r="AX332" i="5"/>
  <c r="AY37" i="2" s="1"/>
  <c r="AY332" i="5"/>
  <c r="AZ37" i="2" s="1"/>
  <c r="BA332" i="5"/>
  <c r="BB37" i="2" s="1"/>
  <c r="BC332" i="5"/>
  <c r="BD37" i="2" s="1"/>
  <c r="BD332" i="5"/>
  <c r="BE37" i="2" s="1"/>
  <c r="BF332" i="5"/>
  <c r="BG37" i="2" s="1"/>
  <c r="BH332" i="5"/>
  <c r="BI37" i="2" s="1"/>
  <c r="BI332" i="5"/>
  <c r="BJ37" i="2" s="1"/>
  <c r="L42" i="3"/>
  <c r="D298" i="2"/>
  <c r="D55" i="2"/>
  <c r="D223" i="2"/>
  <c r="D259" i="2"/>
  <c r="D67" i="2"/>
  <c r="D43" i="2"/>
  <c r="D220" i="2"/>
  <c r="D217" i="2"/>
  <c r="D265" i="2"/>
  <c r="D232" i="2"/>
  <c r="D211" i="2"/>
  <c r="D70" i="2"/>
  <c r="D181" i="2"/>
  <c r="D148" i="2"/>
  <c r="D295" i="2"/>
  <c r="D256" i="2"/>
  <c r="D58" i="2"/>
  <c r="D277" i="2"/>
  <c r="D154" i="2"/>
  <c r="D76" i="2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100" i="2" s="1"/>
  <c r="T272" i="5"/>
  <c r="U100" i="2" s="1"/>
  <c r="U272" i="5"/>
  <c r="V100" i="2" s="1"/>
  <c r="V272" i="5"/>
  <c r="W100" i="2" s="1"/>
  <c r="W272" i="5"/>
  <c r="X100" i="2" s="1"/>
  <c r="X272" i="5"/>
  <c r="Y100" i="2" s="1"/>
  <c r="Y272" i="5"/>
  <c r="Z100" i="2" s="1"/>
  <c r="Z272" i="5"/>
  <c r="AA100" i="2" s="1"/>
  <c r="AA272" i="5"/>
  <c r="AB100" i="2" s="1"/>
  <c r="AB272" i="5"/>
  <c r="AC100" i="2" s="1"/>
  <c r="AC272" i="5"/>
  <c r="AD100" i="2" s="1"/>
  <c r="AD272" i="5"/>
  <c r="AE100" i="2" s="1"/>
  <c r="AE272" i="5"/>
  <c r="AF100" i="2" s="1"/>
  <c r="AF272" i="5"/>
  <c r="AG100" i="2" s="1"/>
  <c r="AG272" i="5"/>
  <c r="AH100" i="2" s="1"/>
  <c r="AH272" i="5"/>
  <c r="AI100" i="2" s="1"/>
  <c r="AI272" i="5"/>
  <c r="AJ100" i="2" s="1"/>
  <c r="AJ272" i="5"/>
  <c r="AK100" i="2" s="1"/>
  <c r="AK272" i="5"/>
  <c r="AL100" i="2" s="1"/>
  <c r="AL272" i="5"/>
  <c r="AM100" i="2" s="1"/>
  <c r="AM272" i="5"/>
  <c r="AN100" i="2" s="1"/>
  <c r="AN272" i="5"/>
  <c r="AO100" i="2" s="1"/>
  <c r="AO272" i="5"/>
  <c r="AP100" i="2" s="1"/>
  <c r="AP272" i="5"/>
  <c r="AQ100" i="2" s="1"/>
  <c r="AQ272" i="5"/>
  <c r="AR100" i="2" s="1"/>
  <c r="AR272" i="5"/>
  <c r="AS100" i="2" s="1"/>
  <c r="AS272" i="5"/>
  <c r="AT100" i="2" s="1"/>
  <c r="AT272" i="5"/>
  <c r="AU100" i="2" s="1"/>
  <c r="AU272" i="5"/>
  <c r="AV100" i="2" s="1"/>
  <c r="AV272" i="5"/>
  <c r="AW100" i="2" s="1"/>
  <c r="AW272" i="5"/>
  <c r="AX100" i="2" s="1"/>
  <c r="AX272" i="5"/>
  <c r="AY100" i="2" s="1"/>
  <c r="AY272" i="5"/>
  <c r="AZ100" i="2" s="1"/>
  <c r="AZ272" i="5"/>
  <c r="BA100" i="2" s="1"/>
  <c r="BA272" i="5"/>
  <c r="BB100" i="2" s="1"/>
  <c r="BB272" i="5"/>
  <c r="BC100" i="2" s="1"/>
  <c r="BC272" i="5"/>
  <c r="BD100" i="2" s="1"/>
  <c r="BD272" i="5"/>
  <c r="BE100" i="2" s="1"/>
  <c r="BE272" i="5"/>
  <c r="BF100" i="2" s="1"/>
  <c r="BF272" i="5"/>
  <c r="BG100" i="2" s="1"/>
  <c r="BG272" i="5"/>
  <c r="BH100" i="2" s="1"/>
  <c r="BH272" i="5"/>
  <c r="BI100" i="2" s="1"/>
  <c r="BI272" i="5"/>
  <c r="BJ100" i="2" s="1"/>
  <c r="BJ272" i="5"/>
  <c r="BK100" i="2" s="1"/>
  <c r="L60" i="3"/>
  <c r="C271" i="5"/>
  <c r="D271" i="5"/>
  <c r="E241" i="2" s="1"/>
  <c r="E271" i="5"/>
  <c r="F241" i="2" s="1"/>
  <c r="F271" i="5"/>
  <c r="G241" i="2" s="1"/>
  <c r="G271" i="5"/>
  <c r="H241" i="2" s="1"/>
  <c r="H271" i="5"/>
  <c r="I241" i="2" s="1"/>
  <c r="I271" i="5"/>
  <c r="J241" i="2" s="1"/>
  <c r="J271" i="5"/>
  <c r="K271" i="5"/>
  <c r="L271" i="5"/>
  <c r="M271" i="5"/>
  <c r="N271" i="5"/>
  <c r="O271" i="5"/>
  <c r="P241" i="2" s="1"/>
  <c r="P271" i="5"/>
  <c r="Q241" i="2" s="1"/>
  <c r="Q271" i="5"/>
  <c r="R241" i="2" s="1"/>
  <c r="R271" i="5"/>
  <c r="S241" i="2" s="1"/>
  <c r="S271" i="5"/>
  <c r="T241" i="2" s="1"/>
  <c r="T271" i="5"/>
  <c r="U241" i="2" s="1"/>
  <c r="U271" i="5"/>
  <c r="V241" i="2" s="1"/>
  <c r="V271" i="5"/>
  <c r="W241" i="2" s="1"/>
  <c r="W271" i="5"/>
  <c r="X241" i="2" s="1"/>
  <c r="X271" i="5"/>
  <c r="Y241" i="2" s="1"/>
  <c r="Y271" i="5"/>
  <c r="Z241" i="2" s="1"/>
  <c r="Z271" i="5"/>
  <c r="AA241" i="2" s="1"/>
  <c r="AA271" i="5"/>
  <c r="AB241" i="2" s="1"/>
  <c r="AB271" i="5"/>
  <c r="AC241" i="2" s="1"/>
  <c r="AC271" i="5"/>
  <c r="AD241" i="2" s="1"/>
  <c r="AD271" i="5"/>
  <c r="AE241" i="2" s="1"/>
  <c r="AE271" i="5"/>
  <c r="AF241" i="2" s="1"/>
  <c r="AF271" i="5"/>
  <c r="AG241" i="2" s="1"/>
  <c r="AG271" i="5"/>
  <c r="AH241" i="2" s="1"/>
  <c r="AH271" i="5"/>
  <c r="AI241" i="2" s="1"/>
  <c r="AI271" i="5"/>
  <c r="AJ241" i="2" s="1"/>
  <c r="AJ271" i="5"/>
  <c r="AK241" i="2" s="1"/>
  <c r="AK271" i="5"/>
  <c r="AL241" i="2" s="1"/>
  <c r="AL271" i="5"/>
  <c r="AM241" i="2" s="1"/>
  <c r="AM271" i="5"/>
  <c r="AN241" i="2" s="1"/>
  <c r="AN271" i="5"/>
  <c r="AO241" i="2" s="1"/>
  <c r="AO271" i="5"/>
  <c r="AP241" i="2" s="1"/>
  <c r="AP271" i="5"/>
  <c r="AQ241" i="2" s="1"/>
  <c r="AQ271" i="5"/>
  <c r="AR241" i="2" s="1"/>
  <c r="AR271" i="5"/>
  <c r="AS241" i="2" s="1"/>
  <c r="AS271" i="5"/>
  <c r="AT241" i="2" s="1"/>
  <c r="AT271" i="5"/>
  <c r="AU241" i="2" s="1"/>
  <c r="AU271" i="5"/>
  <c r="AV241" i="2" s="1"/>
  <c r="AV271" i="5"/>
  <c r="AW241" i="2" s="1"/>
  <c r="AW271" i="5"/>
  <c r="AX241" i="2" s="1"/>
  <c r="AX271" i="5"/>
  <c r="AY241" i="2" s="1"/>
  <c r="AY271" i="5"/>
  <c r="AZ241" i="2" s="1"/>
  <c r="AZ271" i="5"/>
  <c r="BA241" i="2" s="1"/>
  <c r="BA271" i="5"/>
  <c r="BB241" i="2" s="1"/>
  <c r="BB271" i="5"/>
  <c r="BC241" i="2" s="1"/>
  <c r="BC271" i="5"/>
  <c r="BD241" i="2" s="1"/>
  <c r="BD271" i="5"/>
  <c r="BE241" i="2" s="1"/>
  <c r="BE271" i="5"/>
  <c r="BF241" i="2" s="1"/>
  <c r="BF271" i="5"/>
  <c r="BG241" i="2" s="1"/>
  <c r="BG271" i="5"/>
  <c r="BH241" i="2" s="1"/>
  <c r="BH271" i="5"/>
  <c r="BI241" i="2" s="1"/>
  <c r="BI271" i="5"/>
  <c r="BJ241" i="2" s="1"/>
  <c r="BJ271" i="5"/>
  <c r="BK241" i="2" s="1"/>
  <c r="L75" i="3"/>
  <c r="C270" i="5"/>
  <c r="D270" i="5"/>
  <c r="E270" i="5"/>
  <c r="F22" i="2" s="1"/>
  <c r="F270" i="5"/>
  <c r="G22" i="2" s="1"/>
  <c r="G270" i="5"/>
  <c r="H22" i="2" s="1"/>
  <c r="H270" i="5"/>
  <c r="I22" i="2" s="1"/>
  <c r="I270" i="5"/>
  <c r="J22" i="2" s="1"/>
  <c r="J270" i="5"/>
  <c r="K22" i="2" s="1"/>
  <c r="K270" i="5"/>
  <c r="L22" i="2" s="1"/>
  <c r="L270" i="5"/>
  <c r="M22" i="2" s="1"/>
  <c r="M270" i="5"/>
  <c r="N22" i="2" s="1"/>
  <c r="N270" i="5"/>
  <c r="O22" i="2" s="1"/>
  <c r="O270" i="5"/>
  <c r="P22" i="2" s="1"/>
  <c r="P270" i="5"/>
  <c r="Q22" i="2" s="1"/>
  <c r="Q270" i="5"/>
  <c r="R22" i="2" s="1"/>
  <c r="R270" i="5"/>
  <c r="S22" i="2" s="1"/>
  <c r="S270" i="5"/>
  <c r="T22" i="2" s="1"/>
  <c r="T270" i="5"/>
  <c r="U22" i="2" s="1"/>
  <c r="U270" i="5"/>
  <c r="V22" i="2" s="1"/>
  <c r="V270" i="5"/>
  <c r="W22" i="2" s="1"/>
  <c r="W270" i="5"/>
  <c r="X22" i="2" s="1"/>
  <c r="X270" i="5"/>
  <c r="Y22" i="2" s="1"/>
  <c r="Y270" i="5"/>
  <c r="Z22" i="2" s="1"/>
  <c r="Z270" i="5"/>
  <c r="AA22" i="2" s="1"/>
  <c r="AA270" i="5"/>
  <c r="AB22" i="2" s="1"/>
  <c r="AB270" i="5"/>
  <c r="AC22" i="2" s="1"/>
  <c r="AC270" i="5"/>
  <c r="AD22" i="2" s="1"/>
  <c r="AD270" i="5"/>
  <c r="AE22" i="2" s="1"/>
  <c r="AE270" i="5"/>
  <c r="AF22" i="2" s="1"/>
  <c r="AF270" i="5"/>
  <c r="AG22" i="2" s="1"/>
  <c r="AG270" i="5"/>
  <c r="AH22" i="2" s="1"/>
  <c r="AH270" i="5"/>
  <c r="AI22" i="2" s="1"/>
  <c r="AI270" i="5"/>
  <c r="AJ22" i="2" s="1"/>
  <c r="AJ270" i="5"/>
  <c r="AK22" i="2" s="1"/>
  <c r="AK270" i="5"/>
  <c r="AL22" i="2" s="1"/>
  <c r="AL270" i="5"/>
  <c r="AM22" i="2" s="1"/>
  <c r="AM270" i="5"/>
  <c r="AN22" i="2" s="1"/>
  <c r="AN270" i="5"/>
  <c r="AO22" i="2" s="1"/>
  <c r="AO270" i="5"/>
  <c r="AP22" i="2" s="1"/>
  <c r="AP270" i="5"/>
  <c r="AQ22" i="2" s="1"/>
  <c r="AQ270" i="5"/>
  <c r="AR22" i="2" s="1"/>
  <c r="AR270" i="5"/>
  <c r="AS22" i="2" s="1"/>
  <c r="AS270" i="5"/>
  <c r="AT22" i="2" s="1"/>
  <c r="AT270" i="5"/>
  <c r="AU22" i="2" s="1"/>
  <c r="AU270" i="5"/>
  <c r="AV22" i="2" s="1"/>
  <c r="AV270" i="5"/>
  <c r="AW22" i="2" s="1"/>
  <c r="AW270" i="5"/>
  <c r="AX22" i="2" s="1"/>
  <c r="AX270" i="5"/>
  <c r="AY22" i="2" s="1"/>
  <c r="AY270" i="5"/>
  <c r="AZ22" i="2" s="1"/>
  <c r="AZ270" i="5"/>
  <c r="BA22" i="2" s="1"/>
  <c r="BA270" i="5"/>
  <c r="BB22" i="2" s="1"/>
  <c r="BB270" i="5"/>
  <c r="BC22" i="2" s="1"/>
  <c r="BC270" i="5"/>
  <c r="BD22" i="2" s="1"/>
  <c r="BD270" i="5"/>
  <c r="BE22" i="2" s="1"/>
  <c r="BE270" i="5"/>
  <c r="BF22" i="2" s="1"/>
  <c r="BF270" i="5"/>
  <c r="BG22" i="2" s="1"/>
  <c r="BG270" i="5"/>
  <c r="BH22" i="2" s="1"/>
  <c r="BH270" i="5"/>
  <c r="BI22" i="2" s="1"/>
  <c r="BI270" i="5"/>
  <c r="BJ22" i="2" s="1"/>
  <c r="BJ270" i="5"/>
  <c r="BK22" i="2" s="1"/>
  <c r="L48" i="3"/>
  <c r="C269" i="5"/>
  <c r="D269" i="5"/>
  <c r="E268" i="2" s="1"/>
  <c r="E269" i="5"/>
  <c r="F268" i="2" s="1"/>
  <c r="F269" i="5"/>
  <c r="G268" i="2" s="1"/>
  <c r="G269" i="5"/>
  <c r="H268" i="2" s="1"/>
  <c r="H269" i="5"/>
  <c r="I268" i="2" s="1"/>
  <c r="I269" i="5"/>
  <c r="J268" i="2" s="1"/>
  <c r="J269" i="5"/>
  <c r="K268" i="2" s="1"/>
  <c r="K269" i="5"/>
  <c r="L268" i="2" s="1"/>
  <c r="L269" i="5"/>
  <c r="M269" i="5"/>
  <c r="N268" i="2" s="1"/>
  <c r="N269" i="5"/>
  <c r="O268" i="2" s="1"/>
  <c r="O269" i="5"/>
  <c r="P268" i="2" s="1"/>
  <c r="P269" i="5"/>
  <c r="Q268" i="2" s="1"/>
  <c r="Q269" i="5"/>
  <c r="R268" i="2" s="1"/>
  <c r="R269" i="5"/>
  <c r="S268" i="2" s="1"/>
  <c r="S269" i="5"/>
  <c r="T268" i="2" s="1"/>
  <c r="T269" i="5"/>
  <c r="U268" i="2" s="1"/>
  <c r="U269" i="5"/>
  <c r="V268" i="2" s="1"/>
  <c r="V269" i="5"/>
  <c r="W268" i="2" s="1"/>
  <c r="W269" i="5"/>
  <c r="X268" i="2" s="1"/>
  <c r="X269" i="5"/>
  <c r="Y268" i="2" s="1"/>
  <c r="Y269" i="5"/>
  <c r="Z268" i="2" s="1"/>
  <c r="Z269" i="5"/>
  <c r="AA268" i="2" s="1"/>
  <c r="AA269" i="5"/>
  <c r="AB268" i="2" s="1"/>
  <c r="AB269" i="5"/>
  <c r="AC268" i="2" s="1"/>
  <c r="AC269" i="5"/>
  <c r="AD268" i="2" s="1"/>
  <c r="AD269" i="5"/>
  <c r="AE268" i="2" s="1"/>
  <c r="AE269" i="5"/>
  <c r="AF268" i="2" s="1"/>
  <c r="AF269" i="5"/>
  <c r="AG268" i="2" s="1"/>
  <c r="AG269" i="5"/>
  <c r="AH268" i="2" s="1"/>
  <c r="AH269" i="5"/>
  <c r="AI268" i="2" s="1"/>
  <c r="AI269" i="5"/>
  <c r="AJ268" i="2" s="1"/>
  <c r="AJ269" i="5"/>
  <c r="AK268" i="2" s="1"/>
  <c r="AK269" i="5"/>
  <c r="AL268" i="2" s="1"/>
  <c r="AL269" i="5"/>
  <c r="AM268" i="2" s="1"/>
  <c r="AM269" i="5"/>
  <c r="AN268" i="2" s="1"/>
  <c r="AN269" i="5"/>
  <c r="AO268" i="2" s="1"/>
  <c r="AO269" i="5"/>
  <c r="AP268" i="2" s="1"/>
  <c r="AP269" i="5"/>
  <c r="AQ268" i="2" s="1"/>
  <c r="AQ269" i="5"/>
  <c r="AR268" i="2" s="1"/>
  <c r="AR269" i="5"/>
  <c r="AS268" i="2" s="1"/>
  <c r="AS269" i="5"/>
  <c r="AT268" i="2" s="1"/>
  <c r="AT269" i="5"/>
  <c r="AU268" i="2" s="1"/>
  <c r="AU269" i="5"/>
  <c r="AV268" i="2" s="1"/>
  <c r="AV269" i="5"/>
  <c r="AW268" i="2" s="1"/>
  <c r="AW269" i="5"/>
  <c r="AX268" i="2" s="1"/>
  <c r="AX269" i="5"/>
  <c r="AY268" i="2" s="1"/>
  <c r="AY269" i="5"/>
  <c r="AZ268" i="2" s="1"/>
  <c r="AZ269" i="5"/>
  <c r="BA268" i="2" s="1"/>
  <c r="BA269" i="5"/>
  <c r="BB268" i="2" s="1"/>
  <c r="BB269" i="5"/>
  <c r="BC268" i="2" s="1"/>
  <c r="BC269" i="5"/>
  <c r="BD268" i="2" s="1"/>
  <c r="BD269" i="5"/>
  <c r="BE268" i="2" s="1"/>
  <c r="BE269" i="5"/>
  <c r="BF268" i="2" s="1"/>
  <c r="BF269" i="5"/>
  <c r="BG268" i="2" s="1"/>
  <c r="BG269" i="5"/>
  <c r="BH268" i="2" s="1"/>
  <c r="BH269" i="5"/>
  <c r="BI268" i="2" s="1"/>
  <c r="BI269" i="5"/>
  <c r="BJ268" i="2" s="1"/>
  <c r="BJ269" i="5"/>
  <c r="BK268" i="2" s="1"/>
  <c r="L71" i="3"/>
  <c r="C268" i="5"/>
  <c r="D268" i="5"/>
  <c r="E226" i="2" s="1"/>
  <c r="E268" i="5"/>
  <c r="F226" i="2" s="1"/>
  <c r="F268" i="5"/>
  <c r="G226" i="2" s="1"/>
  <c r="G268" i="5"/>
  <c r="H226" i="2" s="1"/>
  <c r="H268" i="5"/>
  <c r="I226" i="2" s="1"/>
  <c r="I268" i="5"/>
  <c r="J226" i="2" s="1"/>
  <c r="J268" i="5"/>
  <c r="K268" i="5"/>
  <c r="L268" i="5"/>
  <c r="M268" i="5"/>
  <c r="N268" i="5"/>
  <c r="O226" i="2" s="1"/>
  <c r="O268" i="5"/>
  <c r="P226" i="2" s="1"/>
  <c r="P268" i="5"/>
  <c r="Q226" i="2" s="1"/>
  <c r="Q268" i="5"/>
  <c r="R226" i="2" s="1"/>
  <c r="R268" i="5"/>
  <c r="S226" i="2" s="1"/>
  <c r="S268" i="5"/>
  <c r="T226" i="2" s="1"/>
  <c r="T268" i="5"/>
  <c r="U226" i="2" s="1"/>
  <c r="U268" i="5"/>
  <c r="V226" i="2" s="1"/>
  <c r="V268" i="5"/>
  <c r="W226" i="2" s="1"/>
  <c r="W268" i="5"/>
  <c r="X226" i="2" s="1"/>
  <c r="X268" i="5"/>
  <c r="Y226" i="2" s="1"/>
  <c r="Y268" i="5"/>
  <c r="Z226" i="2" s="1"/>
  <c r="Z268" i="5"/>
  <c r="AA226" i="2" s="1"/>
  <c r="AA268" i="5"/>
  <c r="AB226" i="2" s="1"/>
  <c r="AB268" i="5"/>
  <c r="AC226" i="2" s="1"/>
  <c r="AC268" i="5"/>
  <c r="AD226" i="2" s="1"/>
  <c r="AD268" i="5"/>
  <c r="AE226" i="2" s="1"/>
  <c r="AE268" i="5"/>
  <c r="AF226" i="2" s="1"/>
  <c r="AF268" i="5"/>
  <c r="AG226" i="2" s="1"/>
  <c r="AG268" i="5"/>
  <c r="AH226" i="2" s="1"/>
  <c r="AH268" i="5"/>
  <c r="AI226" i="2" s="1"/>
  <c r="AI268" i="5"/>
  <c r="AJ226" i="2" s="1"/>
  <c r="AJ268" i="5"/>
  <c r="AK226" i="2" s="1"/>
  <c r="AK268" i="5"/>
  <c r="AL226" i="2" s="1"/>
  <c r="AL268" i="5"/>
  <c r="AM226" i="2" s="1"/>
  <c r="AM268" i="5"/>
  <c r="AN226" i="2" s="1"/>
  <c r="AN268" i="5"/>
  <c r="AO226" i="2" s="1"/>
  <c r="AO268" i="5"/>
  <c r="AP226" i="2" s="1"/>
  <c r="AP268" i="5"/>
  <c r="AQ226" i="2" s="1"/>
  <c r="AQ268" i="5"/>
  <c r="AR226" i="2" s="1"/>
  <c r="AR268" i="5"/>
  <c r="AS226" i="2" s="1"/>
  <c r="AS268" i="5"/>
  <c r="AT226" i="2" s="1"/>
  <c r="AT268" i="5"/>
  <c r="AU226" i="2" s="1"/>
  <c r="AU268" i="5"/>
  <c r="AV226" i="2" s="1"/>
  <c r="AV268" i="5"/>
  <c r="AW226" i="2" s="1"/>
  <c r="AW268" i="5"/>
  <c r="AX226" i="2" s="1"/>
  <c r="AX268" i="5"/>
  <c r="AY226" i="2" s="1"/>
  <c r="AY268" i="5"/>
  <c r="AZ226" i="2" s="1"/>
  <c r="AZ268" i="5"/>
  <c r="BA226" i="2" s="1"/>
  <c r="BA268" i="5"/>
  <c r="BB226" i="2" s="1"/>
  <c r="BB268" i="5"/>
  <c r="BC226" i="2" s="1"/>
  <c r="BC268" i="5"/>
  <c r="BD226" i="2" s="1"/>
  <c r="BD268" i="5"/>
  <c r="BE226" i="2" s="1"/>
  <c r="BE268" i="5"/>
  <c r="BF226" i="2" s="1"/>
  <c r="BF268" i="5"/>
  <c r="BG226" i="2" s="1"/>
  <c r="BG268" i="5"/>
  <c r="BH226" i="2" s="1"/>
  <c r="BH268" i="5"/>
  <c r="BI226" i="2" s="1"/>
  <c r="BI268" i="5"/>
  <c r="BJ226" i="2" s="1"/>
  <c r="BJ268" i="5"/>
  <c r="BK226" i="2" s="1"/>
  <c r="L70" i="3"/>
  <c r="C267" i="5"/>
  <c r="D267" i="5"/>
  <c r="E73" i="2" s="1"/>
  <c r="E267" i="5"/>
  <c r="F73" i="2" s="1"/>
  <c r="F267" i="5"/>
  <c r="G73" i="2" s="1"/>
  <c r="G267" i="5"/>
  <c r="H73" i="2" s="1"/>
  <c r="H267" i="5"/>
  <c r="I73" i="2" s="1"/>
  <c r="I267" i="5"/>
  <c r="J73" i="2" s="1"/>
  <c r="J267" i="5"/>
  <c r="K73" i="2" s="1"/>
  <c r="K267" i="5"/>
  <c r="L73" i="2" s="1"/>
  <c r="L267" i="5"/>
  <c r="M73" i="2" s="1"/>
  <c r="M267" i="5"/>
  <c r="N73" i="2" s="1"/>
  <c r="N267" i="5"/>
  <c r="O73" i="2" s="1"/>
  <c r="O267" i="5"/>
  <c r="P73" i="2" s="1"/>
  <c r="P267" i="5"/>
  <c r="Q73" i="2" s="1"/>
  <c r="Q267" i="5"/>
  <c r="R73" i="2" s="1"/>
  <c r="R267" i="5"/>
  <c r="S73" i="2" s="1"/>
  <c r="S267" i="5"/>
  <c r="T267" i="5"/>
  <c r="U73" i="2" s="1"/>
  <c r="U267" i="5"/>
  <c r="V73" i="2" s="1"/>
  <c r="V267" i="5"/>
  <c r="W73" i="2" s="1"/>
  <c r="W267" i="5"/>
  <c r="X73" i="2" s="1"/>
  <c r="X267" i="5"/>
  <c r="Y73" i="2" s="1"/>
  <c r="Y267" i="5"/>
  <c r="Z73" i="2" s="1"/>
  <c r="Z267" i="5"/>
  <c r="AA73" i="2" s="1"/>
  <c r="AA267" i="5"/>
  <c r="AB73" i="2" s="1"/>
  <c r="AB267" i="5"/>
  <c r="AC73" i="2" s="1"/>
  <c r="AC267" i="5"/>
  <c r="AD73" i="2" s="1"/>
  <c r="AD267" i="5"/>
  <c r="AE73" i="2" s="1"/>
  <c r="AE267" i="5"/>
  <c r="AF73" i="2" s="1"/>
  <c r="AF267" i="5"/>
  <c r="AG73" i="2" s="1"/>
  <c r="AG267" i="5"/>
  <c r="AH73" i="2" s="1"/>
  <c r="AH267" i="5"/>
  <c r="AI73" i="2" s="1"/>
  <c r="AI267" i="5"/>
  <c r="AJ73" i="2" s="1"/>
  <c r="AJ267" i="5"/>
  <c r="AK73" i="2" s="1"/>
  <c r="AK267" i="5"/>
  <c r="AL73" i="2" s="1"/>
  <c r="AL267" i="5"/>
  <c r="AM73" i="2" s="1"/>
  <c r="AM267" i="5"/>
  <c r="AN73" i="2" s="1"/>
  <c r="AN267" i="5"/>
  <c r="AO73" i="2" s="1"/>
  <c r="AO267" i="5"/>
  <c r="AP73" i="2" s="1"/>
  <c r="AP267" i="5"/>
  <c r="AQ73" i="2" s="1"/>
  <c r="AQ267" i="5"/>
  <c r="AR73" i="2" s="1"/>
  <c r="AR267" i="5"/>
  <c r="AS73" i="2" s="1"/>
  <c r="AS267" i="5"/>
  <c r="AT73" i="2" s="1"/>
  <c r="AT267" i="5"/>
  <c r="AU73" i="2" s="1"/>
  <c r="AU267" i="5"/>
  <c r="AV73" i="2" s="1"/>
  <c r="AV267" i="5"/>
  <c r="AW73" i="2" s="1"/>
  <c r="AW267" i="5"/>
  <c r="AX73" i="2" s="1"/>
  <c r="AX267" i="5"/>
  <c r="AY73" i="2" s="1"/>
  <c r="AY267" i="5"/>
  <c r="AZ73" i="2" s="1"/>
  <c r="AZ267" i="5"/>
  <c r="BA73" i="2" s="1"/>
  <c r="BA267" i="5"/>
  <c r="BB73" i="2" s="1"/>
  <c r="BB267" i="5"/>
  <c r="BC73" i="2" s="1"/>
  <c r="BC267" i="5"/>
  <c r="BD73" i="2" s="1"/>
  <c r="BD267" i="5"/>
  <c r="BE73" i="2" s="1"/>
  <c r="BE267" i="5"/>
  <c r="BF73" i="2" s="1"/>
  <c r="BF267" i="5"/>
  <c r="BG73" i="2" s="1"/>
  <c r="BG267" i="5"/>
  <c r="BH73" i="2" s="1"/>
  <c r="BH267" i="5"/>
  <c r="BI73" i="2" s="1"/>
  <c r="BI267" i="5"/>
  <c r="BJ73" i="2" s="1"/>
  <c r="BJ267" i="5"/>
  <c r="BK73" i="2" s="1"/>
  <c r="L8" i="3"/>
  <c r="O8" i="3" s="1"/>
  <c r="C266" i="5"/>
  <c r="D266" i="5"/>
  <c r="E266" i="5"/>
  <c r="F172" i="2" s="1"/>
  <c r="F266" i="5"/>
  <c r="G172" i="2" s="1"/>
  <c r="G266" i="5"/>
  <c r="H172" i="2" s="1"/>
  <c r="H266" i="5"/>
  <c r="I172" i="2" s="1"/>
  <c r="I266" i="5"/>
  <c r="J172" i="2" s="1"/>
  <c r="J266" i="5"/>
  <c r="K172" i="2" s="1"/>
  <c r="K266" i="5"/>
  <c r="L172" i="2" s="1"/>
  <c r="L266" i="5"/>
  <c r="M172" i="2" s="1"/>
  <c r="M266" i="5"/>
  <c r="N172" i="2" s="1"/>
  <c r="N266" i="5"/>
  <c r="O172" i="2" s="1"/>
  <c r="O266" i="5"/>
  <c r="P172" i="2" s="1"/>
  <c r="P266" i="5"/>
  <c r="Q172" i="2" s="1"/>
  <c r="Q266" i="5"/>
  <c r="R172" i="2" s="1"/>
  <c r="R266" i="5"/>
  <c r="S172" i="2" s="1"/>
  <c r="S266" i="5"/>
  <c r="T172" i="2" s="1"/>
  <c r="T266" i="5"/>
  <c r="U172" i="2" s="1"/>
  <c r="U266" i="5"/>
  <c r="V172" i="2" s="1"/>
  <c r="V266" i="5"/>
  <c r="W172" i="2" s="1"/>
  <c r="W266" i="5"/>
  <c r="X172" i="2" s="1"/>
  <c r="X266" i="5"/>
  <c r="Y172" i="2" s="1"/>
  <c r="Y266" i="5"/>
  <c r="Z172" i="2" s="1"/>
  <c r="Z266" i="5"/>
  <c r="AA172" i="2" s="1"/>
  <c r="AA266" i="5"/>
  <c r="AB172" i="2" s="1"/>
  <c r="AB266" i="5"/>
  <c r="AC172" i="2" s="1"/>
  <c r="AC266" i="5"/>
  <c r="AD172" i="2" s="1"/>
  <c r="AD266" i="5"/>
  <c r="AE172" i="2" s="1"/>
  <c r="AE266" i="5"/>
  <c r="AF172" i="2" s="1"/>
  <c r="AF266" i="5"/>
  <c r="AG172" i="2" s="1"/>
  <c r="AG266" i="5"/>
  <c r="AH172" i="2" s="1"/>
  <c r="AH266" i="5"/>
  <c r="AI172" i="2" s="1"/>
  <c r="AI266" i="5"/>
  <c r="AJ172" i="2" s="1"/>
  <c r="AJ266" i="5"/>
  <c r="AK172" i="2" s="1"/>
  <c r="AK266" i="5"/>
  <c r="AL172" i="2" s="1"/>
  <c r="AL266" i="5"/>
  <c r="AM172" i="2" s="1"/>
  <c r="AM266" i="5"/>
  <c r="AN172" i="2" s="1"/>
  <c r="AN266" i="5"/>
  <c r="AO172" i="2" s="1"/>
  <c r="AO266" i="5"/>
  <c r="AP172" i="2" s="1"/>
  <c r="AP266" i="5"/>
  <c r="AQ172" i="2" s="1"/>
  <c r="AQ266" i="5"/>
  <c r="AR172" i="2" s="1"/>
  <c r="AR266" i="5"/>
  <c r="AS172" i="2" s="1"/>
  <c r="AS266" i="5"/>
  <c r="AT172" i="2" s="1"/>
  <c r="AT266" i="5"/>
  <c r="AU172" i="2" s="1"/>
  <c r="AU266" i="5"/>
  <c r="AV172" i="2" s="1"/>
  <c r="AV266" i="5"/>
  <c r="AW172" i="2" s="1"/>
  <c r="AW266" i="5"/>
  <c r="AX172" i="2" s="1"/>
  <c r="AX266" i="5"/>
  <c r="AY172" i="2" s="1"/>
  <c r="AY266" i="5"/>
  <c r="AZ172" i="2" s="1"/>
  <c r="AZ266" i="5"/>
  <c r="BA172" i="2" s="1"/>
  <c r="BA266" i="5"/>
  <c r="BB172" i="2" s="1"/>
  <c r="BB266" i="5"/>
  <c r="BC172" i="2" s="1"/>
  <c r="BC266" i="5"/>
  <c r="BD172" i="2" s="1"/>
  <c r="BD266" i="5"/>
  <c r="BE172" i="2" s="1"/>
  <c r="BE266" i="5"/>
  <c r="BF172" i="2" s="1"/>
  <c r="BF266" i="5"/>
  <c r="BG172" i="2" s="1"/>
  <c r="BG266" i="5"/>
  <c r="BH172" i="2" s="1"/>
  <c r="BH266" i="5"/>
  <c r="BI172" i="2" s="1"/>
  <c r="BI266" i="5"/>
  <c r="BJ172" i="2" s="1"/>
  <c r="BJ266" i="5"/>
  <c r="BK172" i="2" s="1"/>
  <c r="L94" i="3"/>
  <c r="C265" i="5"/>
  <c r="D265" i="5"/>
  <c r="E274" i="2" s="1"/>
  <c r="E265" i="5"/>
  <c r="F274" i="2" s="1"/>
  <c r="F265" i="5"/>
  <c r="G274" i="2" s="1"/>
  <c r="G265" i="5"/>
  <c r="H274" i="2" s="1"/>
  <c r="H265" i="5"/>
  <c r="I274" i="2" s="1"/>
  <c r="I265" i="5"/>
  <c r="J274" i="2" s="1"/>
  <c r="J265" i="5"/>
  <c r="K274" i="2" s="1"/>
  <c r="K265" i="5"/>
  <c r="L274" i="2" s="1"/>
  <c r="L265" i="5"/>
  <c r="M274" i="2" s="1"/>
  <c r="M265" i="5"/>
  <c r="N274" i="2" s="1"/>
  <c r="N265" i="5"/>
  <c r="O274" i="2" s="1"/>
  <c r="O265" i="5"/>
  <c r="P265" i="5"/>
  <c r="Q265" i="5"/>
  <c r="R274" i="2" s="1"/>
  <c r="R265" i="5"/>
  <c r="S274" i="2" s="1"/>
  <c r="S265" i="5"/>
  <c r="T274" i="2" s="1"/>
  <c r="T265" i="5"/>
  <c r="U274" i="2" s="1"/>
  <c r="U265" i="5"/>
  <c r="V274" i="2" s="1"/>
  <c r="V265" i="5"/>
  <c r="W274" i="2" s="1"/>
  <c r="W265" i="5"/>
  <c r="X274" i="2" s="1"/>
  <c r="X265" i="5"/>
  <c r="Y274" i="2" s="1"/>
  <c r="Y265" i="5"/>
  <c r="Z274" i="2" s="1"/>
  <c r="Z265" i="5"/>
  <c r="AA274" i="2" s="1"/>
  <c r="AA265" i="5"/>
  <c r="AB274" i="2" s="1"/>
  <c r="AB265" i="5"/>
  <c r="AC274" i="2" s="1"/>
  <c r="AC265" i="5"/>
  <c r="AD274" i="2" s="1"/>
  <c r="AD265" i="5"/>
  <c r="AE274" i="2" s="1"/>
  <c r="AE265" i="5"/>
  <c r="AF274" i="2" s="1"/>
  <c r="AF265" i="5"/>
  <c r="AG274" i="2" s="1"/>
  <c r="AG265" i="5"/>
  <c r="AH274" i="2" s="1"/>
  <c r="AH265" i="5"/>
  <c r="AI274" i="2" s="1"/>
  <c r="AI265" i="5"/>
  <c r="AJ274" i="2" s="1"/>
  <c r="AJ265" i="5"/>
  <c r="AK274" i="2" s="1"/>
  <c r="AK265" i="5"/>
  <c r="AL274" i="2" s="1"/>
  <c r="AL265" i="5"/>
  <c r="AM274" i="2" s="1"/>
  <c r="AM265" i="5"/>
  <c r="AN274" i="2" s="1"/>
  <c r="AN265" i="5"/>
  <c r="AO274" i="2" s="1"/>
  <c r="AO265" i="5"/>
  <c r="AP274" i="2" s="1"/>
  <c r="AP265" i="5"/>
  <c r="AQ274" i="2" s="1"/>
  <c r="AQ265" i="5"/>
  <c r="AR274" i="2" s="1"/>
  <c r="AR265" i="5"/>
  <c r="AS274" i="2" s="1"/>
  <c r="AS265" i="5"/>
  <c r="AT274" i="2" s="1"/>
  <c r="AT265" i="5"/>
  <c r="AU274" i="2" s="1"/>
  <c r="AU265" i="5"/>
  <c r="AV274" i="2" s="1"/>
  <c r="AV265" i="5"/>
  <c r="AW274" i="2" s="1"/>
  <c r="AW265" i="5"/>
  <c r="AX274" i="2" s="1"/>
  <c r="AX265" i="5"/>
  <c r="AY274" i="2" s="1"/>
  <c r="AY265" i="5"/>
  <c r="AZ274" i="2" s="1"/>
  <c r="AZ265" i="5"/>
  <c r="BA274" i="2" s="1"/>
  <c r="BA265" i="5"/>
  <c r="BB274" i="2" s="1"/>
  <c r="BB265" i="5"/>
  <c r="BC274" i="2" s="1"/>
  <c r="BC265" i="5"/>
  <c r="BD274" i="2" s="1"/>
  <c r="BD265" i="5"/>
  <c r="BE274" i="2" s="1"/>
  <c r="BE265" i="5"/>
  <c r="BF274" i="2" s="1"/>
  <c r="BF265" i="5"/>
  <c r="BG274" i="2" s="1"/>
  <c r="BG265" i="5"/>
  <c r="BH274" i="2" s="1"/>
  <c r="BH265" i="5"/>
  <c r="BI274" i="2" s="1"/>
  <c r="BI265" i="5"/>
  <c r="BJ274" i="2" s="1"/>
  <c r="BJ265" i="5"/>
  <c r="BK274" i="2" s="1"/>
  <c r="L59" i="3"/>
  <c r="C264" i="5"/>
  <c r="D264" i="5"/>
  <c r="E142" i="2" s="1"/>
  <c r="E264" i="5"/>
  <c r="F142" i="2" s="1"/>
  <c r="F264" i="5"/>
  <c r="G142" i="2" s="1"/>
  <c r="G264" i="5"/>
  <c r="H142" i="2" s="1"/>
  <c r="H264" i="5"/>
  <c r="I142" i="2" s="1"/>
  <c r="I264" i="5"/>
  <c r="J142" i="2" s="1"/>
  <c r="J264" i="5"/>
  <c r="K142" i="2" s="1"/>
  <c r="K264" i="5"/>
  <c r="L142" i="2" s="1"/>
  <c r="L264" i="5"/>
  <c r="M142" i="2" s="1"/>
  <c r="M264" i="5"/>
  <c r="N142" i="2" s="1"/>
  <c r="N264" i="5"/>
  <c r="O142" i="2" s="1"/>
  <c r="O264" i="5"/>
  <c r="P142" i="2" s="1"/>
  <c r="P264" i="5"/>
  <c r="Q142" i="2" s="1"/>
  <c r="Q264" i="5"/>
  <c r="R264" i="5"/>
  <c r="S264" i="5"/>
  <c r="T264" i="5"/>
  <c r="U264" i="5"/>
  <c r="V264" i="5"/>
  <c r="W142" i="2" s="1"/>
  <c r="W264" i="5"/>
  <c r="X142" i="2" s="1"/>
  <c r="X264" i="5"/>
  <c r="Y142" i="2" s="1"/>
  <c r="Y264" i="5"/>
  <c r="Z142" i="2" s="1"/>
  <c r="Z264" i="5"/>
  <c r="AA142" i="2" s="1"/>
  <c r="AA264" i="5"/>
  <c r="AB142" i="2" s="1"/>
  <c r="AB264" i="5"/>
  <c r="AC142" i="2" s="1"/>
  <c r="AC264" i="5"/>
  <c r="AD142" i="2" s="1"/>
  <c r="AD264" i="5"/>
  <c r="AE142" i="2" s="1"/>
  <c r="AE264" i="5"/>
  <c r="AF142" i="2" s="1"/>
  <c r="AF264" i="5"/>
  <c r="AG142" i="2" s="1"/>
  <c r="AG264" i="5"/>
  <c r="AH142" i="2" s="1"/>
  <c r="AH264" i="5"/>
  <c r="AI142" i="2" s="1"/>
  <c r="AI264" i="5"/>
  <c r="AJ142" i="2" s="1"/>
  <c r="AJ264" i="5"/>
  <c r="AK142" i="2" s="1"/>
  <c r="AK264" i="5"/>
  <c r="AL142" i="2" s="1"/>
  <c r="AL264" i="5"/>
  <c r="AM142" i="2" s="1"/>
  <c r="AM264" i="5"/>
  <c r="AN142" i="2" s="1"/>
  <c r="AN264" i="5"/>
  <c r="AO142" i="2" s="1"/>
  <c r="AO264" i="5"/>
  <c r="AP142" i="2" s="1"/>
  <c r="AP264" i="5"/>
  <c r="AQ142" i="2" s="1"/>
  <c r="AQ264" i="5"/>
  <c r="AR142" i="2" s="1"/>
  <c r="AR264" i="5"/>
  <c r="AS142" i="2" s="1"/>
  <c r="AS264" i="5"/>
  <c r="AT142" i="2" s="1"/>
  <c r="AT264" i="5"/>
  <c r="AU142" i="2" s="1"/>
  <c r="AU264" i="5"/>
  <c r="AV142" i="2" s="1"/>
  <c r="AV264" i="5"/>
  <c r="AW142" i="2" s="1"/>
  <c r="AW264" i="5"/>
  <c r="AX142" i="2" s="1"/>
  <c r="AX264" i="5"/>
  <c r="AY142" i="2" s="1"/>
  <c r="AY264" i="5"/>
  <c r="AZ142" i="2" s="1"/>
  <c r="AZ264" i="5"/>
  <c r="BA142" i="2" s="1"/>
  <c r="BA264" i="5"/>
  <c r="BB142" i="2" s="1"/>
  <c r="BB264" i="5"/>
  <c r="BC142" i="2" s="1"/>
  <c r="BC264" i="5"/>
  <c r="BD142" i="2" s="1"/>
  <c r="BD264" i="5"/>
  <c r="BE142" i="2" s="1"/>
  <c r="BE264" i="5"/>
  <c r="BF142" i="2" s="1"/>
  <c r="BF264" i="5"/>
  <c r="BG142" i="2" s="1"/>
  <c r="BG264" i="5"/>
  <c r="BH142" i="2" s="1"/>
  <c r="BH264" i="5"/>
  <c r="BI142" i="2" s="1"/>
  <c r="BI264" i="5"/>
  <c r="BJ142" i="2" s="1"/>
  <c r="BJ264" i="5"/>
  <c r="BK142" i="2" s="1"/>
  <c r="L22" i="3"/>
  <c r="O22" i="3" s="1"/>
  <c r="C263" i="5"/>
  <c r="D263" i="5"/>
  <c r="E91" i="2" s="1"/>
  <c r="E263" i="5"/>
  <c r="F91" i="2" s="1"/>
  <c r="F263" i="5"/>
  <c r="G91" i="2" s="1"/>
  <c r="G263" i="5"/>
  <c r="H91" i="2" s="1"/>
  <c r="H263" i="5"/>
  <c r="I91" i="2" s="1"/>
  <c r="I263" i="5"/>
  <c r="J263" i="5"/>
  <c r="K263" i="5"/>
  <c r="L263" i="5"/>
  <c r="M263" i="5"/>
  <c r="N263" i="5"/>
  <c r="O263" i="5"/>
  <c r="P263" i="5"/>
  <c r="Q263" i="5"/>
  <c r="R91" i="2" s="1"/>
  <c r="R263" i="5"/>
  <c r="S91" i="2" s="1"/>
  <c r="S263" i="5"/>
  <c r="T91" i="2" s="1"/>
  <c r="T263" i="5"/>
  <c r="U91" i="2" s="1"/>
  <c r="U263" i="5"/>
  <c r="V91" i="2" s="1"/>
  <c r="V263" i="5"/>
  <c r="W91" i="2" s="1"/>
  <c r="W263" i="5"/>
  <c r="X91" i="2" s="1"/>
  <c r="X263" i="5"/>
  <c r="Y91" i="2" s="1"/>
  <c r="Y263" i="5"/>
  <c r="Z91" i="2" s="1"/>
  <c r="Z263" i="5"/>
  <c r="AA91" i="2" s="1"/>
  <c r="AA263" i="5"/>
  <c r="AB91" i="2" s="1"/>
  <c r="AB263" i="5"/>
  <c r="AC91" i="2" s="1"/>
  <c r="AC263" i="5"/>
  <c r="AD91" i="2" s="1"/>
  <c r="AD263" i="5"/>
  <c r="AE91" i="2" s="1"/>
  <c r="AE263" i="5"/>
  <c r="AF91" i="2" s="1"/>
  <c r="AF263" i="5"/>
  <c r="AG91" i="2" s="1"/>
  <c r="AG263" i="5"/>
  <c r="AH91" i="2" s="1"/>
  <c r="AH263" i="5"/>
  <c r="AI91" i="2" s="1"/>
  <c r="AI263" i="5"/>
  <c r="AJ91" i="2" s="1"/>
  <c r="AJ263" i="5"/>
  <c r="AK91" i="2" s="1"/>
  <c r="AK263" i="5"/>
  <c r="AL91" i="2" s="1"/>
  <c r="AL263" i="5"/>
  <c r="AM91" i="2" s="1"/>
  <c r="AM263" i="5"/>
  <c r="AN91" i="2" s="1"/>
  <c r="AN263" i="5"/>
  <c r="AO91" i="2" s="1"/>
  <c r="AO263" i="5"/>
  <c r="AP91" i="2" s="1"/>
  <c r="AP263" i="5"/>
  <c r="AQ91" i="2" s="1"/>
  <c r="AQ263" i="5"/>
  <c r="AR91" i="2" s="1"/>
  <c r="AR263" i="5"/>
  <c r="AS91" i="2" s="1"/>
  <c r="AS263" i="5"/>
  <c r="AT91" i="2" s="1"/>
  <c r="AT263" i="5"/>
  <c r="AU91" i="2" s="1"/>
  <c r="AU263" i="5"/>
  <c r="AV91" i="2" s="1"/>
  <c r="AV263" i="5"/>
  <c r="AW91" i="2" s="1"/>
  <c r="AW263" i="5"/>
  <c r="AX91" i="2" s="1"/>
  <c r="AX263" i="5"/>
  <c r="AY91" i="2" s="1"/>
  <c r="AY263" i="5"/>
  <c r="AZ91" i="2" s="1"/>
  <c r="AZ263" i="5"/>
  <c r="BA91" i="2" s="1"/>
  <c r="BA263" i="5"/>
  <c r="BB91" i="2" s="1"/>
  <c r="BB263" i="5"/>
  <c r="BC91" i="2" s="1"/>
  <c r="BC263" i="5"/>
  <c r="BD91" i="2" s="1"/>
  <c r="BD263" i="5"/>
  <c r="BE91" i="2" s="1"/>
  <c r="BE263" i="5"/>
  <c r="BF91" i="2" s="1"/>
  <c r="BF263" i="5"/>
  <c r="BG91" i="2" s="1"/>
  <c r="BG263" i="5"/>
  <c r="BH91" i="2" s="1"/>
  <c r="BH263" i="5"/>
  <c r="BI91" i="2" s="1"/>
  <c r="BI263" i="5"/>
  <c r="BJ91" i="2" s="1"/>
  <c r="BJ263" i="5"/>
  <c r="BK91" i="2" s="1"/>
  <c r="L33" i="3"/>
  <c r="O33" i="3" s="1"/>
  <c r="C262" i="5"/>
  <c r="D262" i="5"/>
  <c r="E85" i="2" s="1"/>
  <c r="E262" i="5"/>
  <c r="F85" i="2" s="1"/>
  <c r="F262" i="5"/>
  <c r="G85" i="2" s="1"/>
  <c r="G262" i="5"/>
  <c r="H85" i="2" s="1"/>
  <c r="H262" i="5"/>
  <c r="I85" i="2" s="1"/>
  <c r="I262" i="5"/>
  <c r="J85" i="2" s="1"/>
  <c r="J262" i="5"/>
  <c r="K85" i="2" s="1"/>
  <c r="K262" i="5"/>
  <c r="L85" i="2" s="1"/>
  <c r="L262" i="5"/>
  <c r="M85" i="2" s="1"/>
  <c r="M262" i="5"/>
  <c r="N85" i="2" s="1"/>
  <c r="N262" i="5"/>
  <c r="O85" i="2" s="1"/>
  <c r="O262" i="5"/>
  <c r="P85" i="2" s="1"/>
  <c r="P262" i="5"/>
  <c r="Q85" i="2" s="1"/>
  <c r="Q262" i="5"/>
  <c r="R85" i="2" s="1"/>
  <c r="R262" i="5"/>
  <c r="S85" i="2" s="1"/>
  <c r="S262" i="5"/>
  <c r="T85" i="2" s="1"/>
  <c r="T262" i="5"/>
  <c r="U262" i="5"/>
  <c r="V262" i="5"/>
  <c r="W85" i="2" s="1"/>
  <c r="W262" i="5"/>
  <c r="X85" i="2" s="1"/>
  <c r="X262" i="5"/>
  <c r="Y85" i="2" s="1"/>
  <c r="Y262" i="5"/>
  <c r="Z85" i="2" s="1"/>
  <c r="Z262" i="5"/>
  <c r="AA85" i="2" s="1"/>
  <c r="AA262" i="5"/>
  <c r="AB85" i="2" s="1"/>
  <c r="AB262" i="5"/>
  <c r="AC85" i="2" s="1"/>
  <c r="AC262" i="5"/>
  <c r="AD85" i="2" s="1"/>
  <c r="AD262" i="5"/>
  <c r="AE85" i="2" s="1"/>
  <c r="AE262" i="5"/>
  <c r="AF85" i="2" s="1"/>
  <c r="AF262" i="5"/>
  <c r="AG85" i="2" s="1"/>
  <c r="AG262" i="5"/>
  <c r="AH85" i="2" s="1"/>
  <c r="AH262" i="5"/>
  <c r="AI85" i="2" s="1"/>
  <c r="AI262" i="5"/>
  <c r="AJ85" i="2" s="1"/>
  <c r="AJ262" i="5"/>
  <c r="AK85" i="2" s="1"/>
  <c r="AK262" i="5"/>
  <c r="AL85" i="2" s="1"/>
  <c r="AL262" i="5"/>
  <c r="AM85" i="2" s="1"/>
  <c r="AM262" i="5"/>
  <c r="AN85" i="2" s="1"/>
  <c r="AN262" i="5"/>
  <c r="AO85" i="2" s="1"/>
  <c r="AO262" i="5"/>
  <c r="AP85" i="2" s="1"/>
  <c r="AP262" i="5"/>
  <c r="AQ85" i="2" s="1"/>
  <c r="AQ262" i="5"/>
  <c r="AR85" i="2" s="1"/>
  <c r="AR262" i="5"/>
  <c r="AS85" i="2" s="1"/>
  <c r="AS262" i="5"/>
  <c r="AT85" i="2" s="1"/>
  <c r="AT262" i="5"/>
  <c r="AU85" i="2" s="1"/>
  <c r="AU262" i="5"/>
  <c r="AV85" i="2" s="1"/>
  <c r="AV262" i="5"/>
  <c r="AW85" i="2" s="1"/>
  <c r="AW262" i="5"/>
  <c r="AX85" i="2" s="1"/>
  <c r="AX262" i="5"/>
  <c r="AY85" i="2" s="1"/>
  <c r="AY262" i="5"/>
  <c r="AZ85" i="2" s="1"/>
  <c r="AZ262" i="5"/>
  <c r="BA85" i="2" s="1"/>
  <c r="BA262" i="5"/>
  <c r="BB85" i="2" s="1"/>
  <c r="BB262" i="5"/>
  <c r="BC85" i="2" s="1"/>
  <c r="BC262" i="5"/>
  <c r="BD85" i="2" s="1"/>
  <c r="BD262" i="5"/>
  <c r="BE85" i="2" s="1"/>
  <c r="BE262" i="5"/>
  <c r="BF85" i="2" s="1"/>
  <c r="BF262" i="5"/>
  <c r="BG85" i="2" s="1"/>
  <c r="BG262" i="5"/>
  <c r="BH85" i="2" s="1"/>
  <c r="BH262" i="5"/>
  <c r="BI85" i="2" s="1"/>
  <c r="BI262" i="5"/>
  <c r="BJ85" i="2" s="1"/>
  <c r="BJ262" i="5"/>
  <c r="BK85" i="2" s="1"/>
  <c r="L6" i="3"/>
  <c r="O6" i="3" s="1"/>
  <c r="C261" i="5"/>
  <c r="D261" i="5"/>
  <c r="E184" i="2" s="1"/>
  <c r="E261" i="5"/>
  <c r="F184" i="2" s="1"/>
  <c r="F261" i="5"/>
  <c r="G184" i="2" s="1"/>
  <c r="G261" i="5"/>
  <c r="H184" i="2" s="1"/>
  <c r="H261" i="5"/>
  <c r="I184" i="2" s="1"/>
  <c r="I261" i="5"/>
  <c r="J184" i="2" s="1"/>
  <c r="J261" i="5"/>
  <c r="K261" i="5"/>
  <c r="L261" i="5"/>
  <c r="M184" i="2" s="1"/>
  <c r="M261" i="5"/>
  <c r="N184" i="2" s="1"/>
  <c r="N261" i="5"/>
  <c r="O184" i="2" s="1"/>
  <c r="O261" i="5"/>
  <c r="P184" i="2" s="1"/>
  <c r="P261" i="5"/>
  <c r="Q184" i="2" s="1"/>
  <c r="Q261" i="5"/>
  <c r="R184" i="2" s="1"/>
  <c r="R261" i="5"/>
  <c r="S184" i="2" s="1"/>
  <c r="S261" i="5"/>
  <c r="T184" i="2" s="1"/>
  <c r="T261" i="5"/>
  <c r="U184" i="2" s="1"/>
  <c r="U261" i="5"/>
  <c r="V184" i="2" s="1"/>
  <c r="V261" i="5"/>
  <c r="W184" i="2" s="1"/>
  <c r="W261" i="5"/>
  <c r="X184" i="2" s="1"/>
  <c r="X261" i="5"/>
  <c r="Y184" i="2" s="1"/>
  <c r="Y261" i="5"/>
  <c r="Z184" i="2" s="1"/>
  <c r="Z261" i="5"/>
  <c r="AA184" i="2" s="1"/>
  <c r="AA261" i="5"/>
  <c r="AB184" i="2" s="1"/>
  <c r="AB261" i="5"/>
  <c r="AC184" i="2" s="1"/>
  <c r="AC261" i="5"/>
  <c r="AD184" i="2" s="1"/>
  <c r="AD261" i="5"/>
  <c r="AE184" i="2" s="1"/>
  <c r="AE261" i="5"/>
  <c r="AF184" i="2" s="1"/>
  <c r="AF261" i="5"/>
  <c r="AG184" i="2" s="1"/>
  <c r="AG261" i="5"/>
  <c r="AH184" i="2" s="1"/>
  <c r="AH261" i="5"/>
  <c r="AI184" i="2" s="1"/>
  <c r="AI261" i="5"/>
  <c r="AJ184" i="2" s="1"/>
  <c r="AJ261" i="5"/>
  <c r="AK184" i="2" s="1"/>
  <c r="AK261" i="5"/>
  <c r="AL184" i="2" s="1"/>
  <c r="AL261" i="5"/>
  <c r="AM184" i="2" s="1"/>
  <c r="AM261" i="5"/>
  <c r="AN184" i="2" s="1"/>
  <c r="AN261" i="5"/>
  <c r="AO184" i="2" s="1"/>
  <c r="AO261" i="5"/>
  <c r="AP184" i="2" s="1"/>
  <c r="AP261" i="5"/>
  <c r="AQ184" i="2" s="1"/>
  <c r="AQ261" i="5"/>
  <c r="AR184" i="2" s="1"/>
  <c r="AR261" i="5"/>
  <c r="AS184" i="2" s="1"/>
  <c r="AS261" i="5"/>
  <c r="AT184" i="2" s="1"/>
  <c r="AT261" i="5"/>
  <c r="AU184" i="2" s="1"/>
  <c r="AU261" i="5"/>
  <c r="AV184" i="2" s="1"/>
  <c r="AV261" i="5"/>
  <c r="AW184" i="2" s="1"/>
  <c r="AW261" i="5"/>
  <c r="AX184" i="2" s="1"/>
  <c r="AX261" i="5"/>
  <c r="AY184" i="2" s="1"/>
  <c r="AY261" i="5"/>
  <c r="AZ184" i="2" s="1"/>
  <c r="AZ261" i="5"/>
  <c r="BA184" i="2" s="1"/>
  <c r="BA261" i="5"/>
  <c r="BB184" i="2" s="1"/>
  <c r="BB261" i="5"/>
  <c r="BC184" i="2" s="1"/>
  <c r="BC261" i="5"/>
  <c r="BD184" i="2" s="1"/>
  <c r="BD261" i="5"/>
  <c r="BE184" i="2" s="1"/>
  <c r="BE261" i="5"/>
  <c r="BF184" i="2" s="1"/>
  <c r="BF261" i="5"/>
  <c r="BG184" i="2" s="1"/>
  <c r="BG261" i="5"/>
  <c r="BH184" i="2" s="1"/>
  <c r="BH261" i="5"/>
  <c r="BI184" i="2" s="1"/>
  <c r="BI261" i="5"/>
  <c r="BJ184" i="2" s="1"/>
  <c r="BJ261" i="5"/>
  <c r="BK184" i="2" s="1"/>
  <c r="L64" i="3"/>
  <c r="C260" i="5"/>
  <c r="D260" i="5"/>
  <c r="E40" i="2" s="1"/>
  <c r="E260" i="5"/>
  <c r="F40" i="2" s="1"/>
  <c r="F260" i="5"/>
  <c r="G40" i="2" s="1"/>
  <c r="G260" i="5"/>
  <c r="H40" i="2" s="1"/>
  <c r="H260" i="5"/>
  <c r="I260" i="5"/>
  <c r="J40" i="2" s="1"/>
  <c r="J260" i="5"/>
  <c r="K40" i="2" s="1"/>
  <c r="K260" i="5"/>
  <c r="L40" i="2" s="1"/>
  <c r="L260" i="5"/>
  <c r="M40" i="2" s="1"/>
  <c r="M260" i="5"/>
  <c r="N40" i="2" s="1"/>
  <c r="N260" i="5"/>
  <c r="O40" i="2" s="1"/>
  <c r="O260" i="5"/>
  <c r="P40" i="2" s="1"/>
  <c r="P260" i="5"/>
  <c r="Q40" i="2" s="1"/>
  <c r="Q260" i="5"/>
  <c r="R40" i="2" s="1"/>
  <c r="R260" i="5"/>
  <c r="S40" i="2" s="1"/>
  <c r="S260" i="5"/>
  <c r="T40" i="2" s="1"/>
  <c r="T260" i="5"/>
  <c r="U40" i="2" s="1"/>
  <c r="U260" i="5"/>
  <c r="V40" i="2" s="1"/>
  <c r="V260" i="5"/>
  <c r="W40" i="2" s="1"/>
  <c r="W260" i="5"/>
  <c r="X40" i="2" s="1"/>
  <c r="X260" i="5"/>
  <c r="Y40" i="2" s="1"/>
  <c r="Y260" i="5"/>
  <c r="Z40" i="2" s="1"/>
  <c r="Z260" i="5"/>
  <c r="AA40" i="2" s="1"/>
  <c r="AA260" i="5"/>
  <c r="AB40" i="2" s="1"/>
  <c r="AB260" i="5"/>
  <c r="AC40" i="2" s="1"/>
  <c r="AC260" i="5"/>
  <c r="AD40" i="2" s="1"/>
  <c r="AD260" i="5"/>
  <c r="AE40" i="2" s="1"/>
  <c r="AE260" i="5"/>
  <c r="AF40" i="2" s="1"/>
  <c r="AF260" i="5"/>
  <c r="AG40" i="2" s="1"/>
  <c r="AG260" i="5"/>
  <c r="AH40" i="2" s="1"/>
  <c r="AH260" i="5"/>
  <c r="AI40" i="2" s="1"/>
  <c r="AI260" i="5"/>
  <c r="AJ40" i="2" s="1"/>
  <c r="AJ260" i="5"/>
  <c r="AK40" i="2" s="1"/>
  <c r="AK260" i="5"/>
  <c r="AL40" i="2" s="1"/>
  <c r="AL260" i="5"/>
  <c r="AM40" i="2" s="1"/>
  <c r="AM260" i="5"/>
  <c r="AN40" i="2" s="1"/>
  <c r="AN260" i="5"/>
  <c r="AO40" i="2" s="1"/>
  <c r="AO260" i="5"/>
  <c r="AP40" i="2" s="1"/>
  <c r="AP260" i="5"/>
  <c r="AQ40" i="2" s="1"/>
  <c r="AQ260" i="5"/>
  <c r="AR40" i="2" s="1"/>
  <c r="AR260" i="5"/>
  <c r="AS40" i="2" s="1"/>
  <c r="AS260" i="5"/>
  <c r="AT40" i="2" s="1"/>
  <c r="AT260" i="5"/>
  <c r="AU40" i="2" s="1"/>
  <c r="AU260" i="5"/>
  <c r="AV40" i="2" s="1"/>
  <c r="AV260" i="5"/>
  <c r="AW40" i="2" s="1"/>
  <c r="AW260" i="5"/>
  <c r="AX40" i="2" s="1"/>
  <c r="AX260" i="5"/>
  <c r="AY40" i="2" s="1"/>
  <c r="AY260" i="5"/>
  <c r="AZ40" i="2" s="1"/>
  <c r="AZ260" i="5"/>
  <c r="BA40" i="2" s="1"/>
  <c r="BA260" i="5"/>
  <c r="BB40" i="2" s="1"/>
  <c r="BB260" i="5"/>
  <c r="BC40" i="2" s="1"/>
  <c r="BC260" i="5"/>
  <c r="BD40" i="2" s="1"/>
  <c r="BD260" i="5"/>
  <c r="BE40" i="2" s="1"/>
  <c r="BE260" i="5"/>
  <c r="BF40" i="2" s="1"/>
  <c r="BF260" i="5"/>
  <c r="BG40" i="2" s="1"/>
  <c r="BG260" i="5"/>
  <c r="BH40" i="2" s="1"/>
  <c r="BH260" i="5"/>
  <c r="BI40" i="2" s="1"/>
  <c r="BI260" i="5"/>
  <c r="BJ40" i="2" s="1"/>
  <c r="BJ260" i="5"/>
  <c r="BK40" i="2" s="1"/>
  <c r="L32" i="3"/>
  <c r="C259" i="5"/>
  <c r="D259" i="5"/>
  <c r="E49" i="2" s="1"/>
  <c r="E259" i="5"/>
  <c r="F49" i="2" s="1"/>
  <c r="F259" i="5"/>
  <c r="G49" i="2" s="1"/>
  <c r="G259" i="5"/>
  <c r="H49" i="2" s="1"/>
  <c r="H259" i="5"/>
  <c r="I49" i="2" s="1"/>
  <c r="I259" i="5"/>
  <c r="J49" i="2" s="1"/>
  <c r="J259" i="5"/>
  <c r="K49" i="2" s="1"/>
  <c r="K259" i="5"/>
  <c r="L49" i="2" s="1"/>
  <c r="L259" i="5"/>
  <c r="M259" i="5"/>
  <c r="N49" i="2" s="1"/>
  <c r="N259" i="5"/>
  <c r="O49" i="2" s="1"/>
  <c r="O259" i="5"/>
  <c r="P49" i="2" s="1"/>
  <c r="P259" i="5"/>
  <c r="Q49" i="2" s="1"/>
  <c r="Q259" i="5"/>
  <c r="R49" i="2" s="1"/>
  <c r="R259" i="5"/>
  <c r="S49" i="2" s="1"/>
  <c r="S259" i="5"/>
  <c r="T49" i="2" s="1"/>
  <c r="T259" i="5"/>
  <c r="U49" i="2" s="1"/>
  <c r="U259" i="5"/>
  <c r="V49" i="2" s="1"/>
  <c r="V259" i="5"/>
  <c r="W49" i="2" s="1"/>
  <c r="W259" i="5"/>
  <c r="X49" i="2" s="1"/>
  <c r="X259" i="5"/>
  <c r="Y49" i="2" s="1"/>
  <c r="Y259" i="5"/>
  <c r="Z49" i="2" s="1"/>
  <c r="Z259" i="5"/>
  <c r="AA49" i="2" s="1"/>
  <c r="AA259" i="5"/>
  <c r="AB49" i="2" s="1"/>
  <c r="AB259" i="5"/>
  <c r="AC49" i="2" s="1"/>
  <c r="AC259" i="5"/>
  <c r="AD49" i="2" s="1"/>
  <c r="AD259" i="5"/>
  <c r="AE49" i="2" s="1"/>
  <c r="AE259" i="5"/>
  <c r="AF49" i="2" s="1"/>
  <c r="AF259" i="5"/>
  <c r="AG49" i="2" s="1"/>
  <c r="AG259" i="5"/>
  <c r="AH49" i="2" s="1"/>
  <c r="AH259" i="5"/>
  <c r="AI49" i="2" s="1"/>
  <c r="AI259" i="5"/>
  <c r="AJ49" i="2" s="1"/>
  <c r="AJ259" i="5"/>
  <c r="AK49" i="2" s="1"/>
  <c r="AK259" i="5"/>
  <c r="AL49" i="2" s="1"/>
  <c r="AL259" i="5"/>
  <c r="AM49" i="2" s="1"/>
  <c r="AM259" i="5"/>
  <c r="AN49" i="2" s="1"/>
  <c r="AN259" i="5"/>
  <c r="AO49" i="2" s="1"/>
  <c r="AO259" i="5"/>
  <c r="AP49" i="2" s="1"/>
  <c r="AP259" i="5"/>
  <c r="AQ49" i="2" s="1"/>
  <c r="AQ259" i="5"/>
  <c r="AR49" i="2" s="1"/>
  <c r="AR259" i="5"/>
  <c r="AS49" i="2" s="1"/>
  <c r="AS259" i="5"/>
  <c r="AT49" i="2" s="1"/>
  <c r="AT259" i="5"/>
  <c r="AU49" i="2" s="1"/>
  <c r="AU259" i="5"/>
  <c r="AV49" i="2" s="1"/>
  <c r="AV259" i="5"/>
  <c r="AW49" i="2" s="1"/>
  <c r="AW259" i="5"/>
  <c r="AX49" i="2" s="1"/>
  <c r="AX259" i="5"/>
  <c r="AY49" i="2" s="1"/>
  <c r="AY259" i="5"/>
  <c r="AZ49" i="2" s="1"/>
  <c r="AZ259" i="5"/>
  <c r="BA49" i="2" s="1"/>
  <c r="BA259" i="5"/>
  <c r="BB49" i="2" s="1"/>
  <c r="BB259" i="5"/>
  <c r="BC49" i="2" s="1"/>
  <c r="BC259" i="5"/>
  <c r="BD49" i="2" s="1"/>
  <c r="BD259" i="5"/>
  <c r="BE49" i="2" s="1"/>
  <c r="BE259" i="5"/>
  <c r="BF49" i="2" s="1"/>
  <c r="BF259" i="5"/>
  <c r="BG49" i="2" s="1"/>
  <c r="BG259" i="5"/>
  <c r="BH49" i="2" s="1"/>
  <c r="BH259" i="5"/>
  <c r="BI49" i="2" s="1"/>
  <c r="BI259" i="5"/>
  <c r="BJ49" i="2" s="1"/>
  <c r="BJ259" i="5"/>
  <c r="BK49" i="2" s="1"/>
  <c r="L20" i="3"/>
  <c r="O20" i="3" s="1"/>
  <c r="C258" i="5"/>
  <c r="E258" i="5"/>
  <c r="F124" i="2" s="1"/>
  <c r="J258" i="5"/>
  <c r="K124" i="2" s="1"/>
  <c r="M258" i="5"/>
  <c r="N124" i="2" s="1"/>
  <c r="P258" i="5"/>
  <c r="Q124" i="2" s="1"/>
  <c r="R258" i="5"/>
  <c r="S124" i="2" s="1"/>
  <c r="T258" i="5"/>
  <c r="U124" i="2" s="1"/>
  <c r="X258" i="5"/>
  <c r="Y124" i="2" s="1"/>
  <c r="Z258" i="5"/>
  <c r="AA124" i="2" s="1"/>
  <c r="AC258" i="5"/>
  <c r="AD124" i="2" s="1"/>
  <c r="AH258" i="5"/>
  <c r="AI124" i="2" s="1"/>
  <c r="AI258" i="5"/>
  <c r="AJ124" i="2" s="1"/>
  <c r="AL258" i="5"/>
  <c r="AM124" i="2" s="1"/>
  <c r="AN258" i="5"/>
  <c r="AO124" i="2" s="1"/>
  <c r="AR258" i="5"/>
  <c r="AS124" i="2" s="1"/>
  <c r="AT258" i="5"/>
  <c r="AU124" i="2" s="1"/>
  <c r="AU258" i="5"/>
  <c r="AV124" i="2" s="1"/>
  <c r="AX258" i="5"/>
  <c r="AY124" i="2" s="1"/>
  <c r="AZ258" i="5"/>
  <c r="BA124" i="2" s="1"/>
  <c r="BE258" i="5"/>
  <c r="BF124" i="2" s="1"/>
  <c r="BG258" i="5"/>
  <c r="BH124" i="2" s="1"/>
  <c r="BI258" i="5"/>
  <c r="BJ124" i="2" s="1"/>
  <c r="BJ258" i="5"/>
  <c r="BK124" i="2" s="1"/>
  <c r="D258" i="5"/>
  <c r="E124" i="2" s="1"/>
  <c r="F258" i="5"/>
  <c r="G124" i="2" s="1"/>
  <c r="G258" i="5"/>
  <c r="H124" i="2" s="1"/>
  <c r="H258" i="5"/>
  <c r="I124" i="2" s="1"/>
  <c r="I258" i="5"/>
  <c r="J124" i="2" s="1"/>
  <c r="K258" i="5"/>
  <c r="L124" i="2" s="1"/>
  <c r="L258" i="5"/>
  <c r="M124" i="2" s="1"/>
  <c r="N258" i="5"/>
  <c r="O258" i="5"/>
  <c r="P124" i="2" s="1"/>
  <c r="Q258" i="5"/>
  <c r="R124" i="2" s="1"/>
  <c r="S258" i="5"/>
  <c r="T124" i="2" s="1"/>
  <c r="U258" i="5"/>
  <c r="V124" i="2" s="1"/>
  <c r="V258" i="5"/>
  <c r="W124" i="2" s="1"/>
  <c r="W258" i="5"/>
  <c r="X124" i="2" s="1"/>
  <c r="Y258" i="5"/>
  <c r="Z124" i="2" s="1"/>
  <c r="AA258" i="5"/>
  <c r="AB124" i="2" s="1"/>
  <c r="AB258" i="5"/>
  <c r="AC124" i="2" s="1"/>
  <c r="AD258" i="5"/>
  <c r="AE124" i="2" s="1"/>
  <c r="AE258" i="5"/>
  <c r="AF124" i="2" s="1"/>
  <c r="AF258" i="5"/>
  <c r="AG124" i="2" s="1"/>
  <c r="AG258" i="5"/>
  <c r="AH124" i="2" s="1"/>
  <c r="AJ258" i="5"/>
  <c r="AK124" i="2" s="1"/>
  <c r="AK258" i="5"/>
  <c r="AL124" i="2" s="1"/>
  <c r="AM258" i="5"/>
  <c r="AN124" i="2" s="1"/>
  <c r="AO258" i="5"/>
  <c r="AP124" i="2" s="1"/>
  <c r="AP258" i="5"/>
  <c r="AQ124" i="2" s="1"/>
  <c r="AQ258" i="5"/>
  <c r="AR124" i="2" s="1"/>
  <c r="AS258" i="5"/>
  <c r="AT124" i="2" s="1"/>
  <c r="AV258" i="5"/>
  <c r="AW124" i="2" s="1"/>
  <c r="AW258" i="5"/>
  <c r="AX124" i="2" s="1"/>
  <c r="AY258" i="5"/>
  <c r="AZ124" i="2" s="1"/>
  <c r="BA258" i="5"/>
  <c r="BB124" i="2" s="1"/>
  <c r="BB258" i="5"/>
  <c r="BC124" i="2" s="1"/>
  <c r="BC258" i="5"/>
  <c r="BD124" i="2" s="1"/>
  <c r="BD258" i="5"/>
  <c r="BE124" i="2" s="1"/>
  <c r="BF258" i="5"/>
  <c r="BG124" i="2" s="1"/>
  <c r="BH258" i="5"/>
  <c r="BI124" i="2" s="1"/>
  <c r="L25" i="3"/>
  <c r="O25" i="3" s="1"/>
  <c r="E257" i="5"/>
  <c r="F118" i="2" s="1"/>
  <c r="H257" i="5"/>
  <c r="I118" i="2" s="1"/>
  <c r="J257" i="5"/>
  <c r="K118" i="2" s="1"/>
  <c r="M257" i="5"/>
  <c r="O257" i="5"/>
  <c r="P118" i="2" s="1"/>
  <c r="R257" i="5"/>
  <c r="S118" i="2" s="1"/>
  <c r="T257" i="5"/>
  <c r="U118" i="2" s="1"/>
  <c r="W257" i="5"/>
  <c r="X118" i="2" s="1"/>
  <c r="Z257" i="5"/>
  <c r="AA118" i="2" s="1"/>
  <c r="AD257" i="5"/>
  <c r="AE118" i="2" s="1"/>
  <c r="AF257" i="5"/>
  <c r="AG118" i="2" s="1"/>
  <c r="AH257" i="5"/>
  <c r="AI118" i="2" s="1"/>
  <c r="AK257" i="5"/>
  <c r="AL118" i="2" s="1"/>
  <c r="AP257" i="5"/>
  <c r="AQ118" i="2" s="1"/>
  <c r="AR257" i="5"/>
  <c r="AS118" i="2" s="1"/>
  <c r="AT257" i="5"/>
  <c r="AU118" i="2" s="1"/>
  <c r="AW257" i="5"/>
  <c r="AX118" i="2" s="1"/>
  <c r="AZ257" i="5"/>
  <c r="BA118" i="2" s="1"/>
  <c r="BC257" i="5"/>
  <c r="BD118" i="2" s="1"/>
  <c r="BE257" i="5"/>
  <c r="BF118" i="2" s="1"/>
  <c r="BI257" i="5"/>
  <c r="BJ118" i="2" s="1"/>
  <c r="C257" i="5"/>
  <c r="D257" i="5"/>
  <c r="E118" i="2" s="1"/>
  <c r="F257" i="5"/>
  <c r="G118" i="2" s="1"/>
  <c r="G257" i="5"/>
  <c r="H118" i="2" s="1"/>
  <c r="I257" i="5"/>
  <c r="J118" i="2" s="1"/>
  <c r="K257" i="5"/>
  <c r="L118" i="2" s="1"/>
  <c r="L257" i="5"/>
  <c r="M118" i="2" s="1"/>
  <c r="N257" i="5"/>
  <c r="P257" i="5"/>
  <c r="Q118" i="2" s="1"/>
  <c r="Q257" i="5"/>
  <c r="R118" i="2" s="1"/>
  <c r="S257" i="5"/>
  <c r="T118" i="2" s="1"/>
  <c r="U257" i="5"/>
  <c r="V118" i="2" s="1"/>
  <c r="V257" i="5"/>
  <c r="W118" i="2" s="1"/>
  <c r="X257" i="5"/>
  <c r="Y118" i="2" s="1"/>
  <c r="Y257" i="5"/>
  <c r="Z118" i="2" s="1"/>
  <c r="AA257" i="5"/>
  <c r="AB118" i="2" s="1"/>
  <c r="AB257" i="5"/>
  <c r="AC118" i="2" s="1"/>
  <c r="AC257" i="5"/>
  <c r="AD118" i="2" s="1"/>
  <c r="AE257" i="5"/>
  <c r="AF118" i="2" s="1"/>
  <c r="AG257" i="5"/>
  <c r="AH118" i="2" s="1"/>
  <c r="AI257" i="5"/>
  <c r="AJ118" i="2" s="1"/>
  <c r="AJ257" i="5"/>
  <c r="AK118" i="2" s="1"/>
  <c r="AL257" i="5"/>
  <c r="AM118" i="2" s="1"/>
  <c r="AM257" i="5"/>
  <c r="AN118" i="2" s="1"/>
  <c r="AN257" i="5"/>
  <c r="AO118" i="2" s="1"/>
  <c r="AO257" i="5"/>
  <c r="AP118" i="2" s="1"/>
  <c r="AQ257" i="5"/>
  <c r="AR118" i="2" s="1"/>
  <c r="AS257" i="5"/>
  <c r="AT118" i="2" s="1"/>
  <c r="AU257" i="5"/>
  <c r="AV118" i="2" s="1"/>
  <c r="AV257" i="5"/>
  <c r="AW118" i="2" s="1"/>
  <c r="AX257" i="5"/>
  <c r="AY118" i="2" s="1"/>
  <c r="AY257" i="5"/>
  <c r="AZ118" i="2" s="1"/>
  <c r="BA257" i="5"/>
  <c r="BB118" i="2" s="1"/>
  <c r="BB257" i="5"/>
  <c r="BC118" i="2" s="1"/>
  <c r="BD257" i="5"/>
  <c r="BE118" i="2" s="1"/>
  <c r="BF257" i="5"/>
  <c r="BG118" i="2" s="1"/>
  <c r="BG257" i="5"/>
  <c r="BH118" i="2" s="1"/>
  <c r="BH257" i="5"/>
  <c r="BI118" i="2" s="1"/>
  <c r="BJ257" i="5"/>
  <c r="BK118" i="2" s="1"/>
  <c r="L31" i="3"/>
  <c r="O31" i="3" s="1"/>
  <c r="C256" i="5"/>
  <c r="H256" i="5"/>
  <c r="I283" i="2" s="1"/>
  <c r="J256" i="5"/>
  <c r="K283" i="2" s="1"/>
  <c r="L256" i="5"/>
  <c r="M283" i="2" s="1"/>
  <c r="P256" i="5"/>
  <c r="Q283" i="2" s="1"/>
  <c r="U256" i="5"/>
  <c r="V283" i="2" s="1"/>
  <c r="X256" i="5"/>
  <c r="Y283" i="2" s="1"/>
  <c r="AA256" i="5"/>
  <c r="AB283" i="2" s="1"/>
  <c r="AB256" i="5"/>
  <c r="AC283" i="2" s="1"/>
  <c r="AC256" i="5"/>
  <c r="AD283" i="2" s="1"/>
  <c r="AF256" i="5"/>
  <c r="AG283" i="2" s="1"/>
  <c r="AI256" i="5"/>
  <c r="AJ283" i="2" s="1"/>
  <c r="AN256" i="5"/>
  <c r="AO283" i="2" s="1"/>
  <c r="AR256" i="5"/>
  <c r="AS283" i="2" s="1"/>
  <c r="AU256" i="5"/>
  <c r="AV283" i="2" s="1"/>
  <c r="AX256" i="5"/>
  <c r="AY283" i="2" s="1"/>
  <c r="BB256" i="5"/>
  <c r="BC283" i="2" s="1"/>
  <c r="BE256" i="5"/>
  <c r="BF283" i="2" s="1"/>
  <c r="BG256" i="5"/>
  <c r="BH283" i="2" s="1"/>
  <c r="BI256" i="5"/>
  <c r="BJ283" i="2" s="1"/>
  <c r="D256" i="5"/>
  <c r="E256" i="5"/>
  <c r="F283" i="2" s="1"/>
  <c r="F256" i="5"/>
  <c r="G283" i="2" s="1"/>
  <c r="G256" i="5"/>
  <c r="H283" i="2" s="1"/>
  <c r="I256" i="5"/>
  <c r="J283" i="2" s="1"/>
  <c r="K256" i="5"/>
  <c r="L283" i="2" s="1"/>
  <c r="M256" i="5"/>
  <c r="N283" i="2" s="1"/>
  <c r="N256" i="5"/>
  <c r="O283" i="2" s="1"/>
  <c r="O256" i="5"/>
  <c r="P283" i="2" s="1"/>
  <c r="Q256" i="5"/>
  <c r="R283" i="2" s="1"/>
  <c r="R256" i="5"/>
  <c r="S283" i="2" s="1"/>
  <c r="S256" i="5"/>
  <c r="T283" i="2" s="1"/>
  <c r="T256" i="5"/>
  <c r="U283" i="2" s="1"/>
  <c r="V256" i="5"/>
  <c r="W283" i="2" s="1"/>
  <c r="W256" i="5"/>
  <c r="X283" i="2" s="1"/>
  <c r="Y256" i="5"/>
  <c r="Z283" i="2" s="1"/>
  <c r="Z256" i="5"/>
  <c r="AA283" i="2" s="1"/>
  <c r="AD256" i="5"/>
  <c r="AE283" i="2" s="1"/>
  <c r="AE256" i="5"/>
  <c r="AF283" i="2" s="1"/>
  <c r="AG256" i="5"/>
  <c r="AH283" i="2" s="1"/>
  <c r="AH256" i="5"/>
  <c r="AI283" i="2" s="1"/>
  <c r="AJ256" i="5"/>
  <c r="AK283" i="2" s="1"/>
  <c r="AK256" i="5"/>
  <c r="AL283" i="2" s="1"/>
  <c r="AL256" i="5"/>
  <c r="AM283" i="2" s="1"/>
  <c r="AM256" i="5"/>
  <c r="AN283" i="2" s="1"/>
  <c r="AO256" i="5"/>
  <c r="AP283" i="2" s="1"/>
  <c r="AP256" i="5"/>
  <c r="AQ283" i="2" s="1"/>
  <c r="AQ256" i="5"/>
  <c r="AR283" i="2" s="1"/>
  <c r="AS256" i="5"/>
  <c r="AT283" i="2" s="1"/>
  <c r="AT256" i="5"/>
  <c r="AU283" i="2" s="1"/>
  <c r="AV256" i="5"/>
  <c r="AW283" i="2" s="1"/>
  <c r="AW256" i="5"/>
  <c r="AX283" i="2" s="1"/>
  <c r="AY256" i="5"/>
  <c r="AZ283" i="2" s="1"/>
  <c r="AZ256" i="5"/>
  <c r="BA283" i="2" s="1"/>
  <c r="BA256" i="5"/>
  <c r="BB283" i="2" s="1"/>
  <c r="BC256" i="5"/>
  <c r="BD283" i="2" s="1"/>
  <c r="BD256" i="5"/>
  <c r="BE283" i="2" s="1"/>
  <c r="BF256" i="5"/>
  <c r="BG283" i="2" s="1"/>
  <c r="BH256" i="5"/>
  <c r="BI283" i="2" s="1"/>
  <c r="BJ256" i="5"/>
  <c r="BK283" i="2" s="1"/>
  <c r="L103" i="3"/>
  <c r="D255" i="5"/>
  <c r="H255" i="5"/>
  <c r="I280" i="2" s="1"/>
  <c r="K255" i="5"/>
  <c r="L280" i="2" s="1"/>
  <c r="M255" i="5"/>
  <c r="N280" i="2" s="1"/>
  <c r="O255" i="5"/>
  <c r="P280" i="2" s="1"/>
  <c r="R255" i="5"/>
  <c r="S280" i="2" s="1"/>
  <c r="V255" i="5"/>
  <c r="W280" i="2" s="1"/>
  <c r="Y255" i="5"/>
  <c r="Z280" i="2" s="1"/>
  <c r="AA255" i="5"/>
  <c r="AB280" i="2" s="1"/>
  <c r="AD255" i="5"/>
  <c r="AE280" i="2" s="1"/>
  <c r="AH255" i="5"/>
  <c r="AI280" i="2" s="1"/>
  <c r="AJ255" i="5"/>
  <c r="AK280" i="2" s="1"/>
  <c r="AM255" i="5"/>
  <c r="AN280" i="2" s="1"/>
  <c r="AO255" i="5"/>
  <c r="AP280" i="2" s="1"/>
  <c r="AR255" i="5"/>
  <c r="AS280" i="2" s="1"/>
  <c r="AU255" i="5"/>
  <c r="AV280" i="2" s="1"/>
  <c r="AX255" i="5"/>
  <c r="AY280" i="2" s="1"/>
  <c r="BC255" i="5"/>
  <c r="BD280" i="2" s="1"/>
  <c r="BF255" i="5"/>
  <c r="BG280" i="2" s="1"/>
  <c r="BJ255" i="5"/>
  <c r="BK280" i="2" s="1"/>
  <c r="C255" i="5"/>
  <c r="E255" i="5"/>
  <c r="F280" i="2" s="1"/>
  <c r="F255" i="5"/>
  <c r="G280" i="2" s="1"/>
  <c r="G255" i="5"/>
  <c r="H280" i="2" s="1"/>
  <c r="I255" i="5"/>
  <c r="J280" i="2" s="1"/>
  <c r="J255" i="5"/>
  <c r="K280" i="2" s="1"/>
  <c r="L255" i="5"/>
  <c r="M280" i="2" s="1"/>
  <c r="N255" i="5"/>
  <c r="O280" i="2" s="1"/>
  <c r="P255" i="5"/>
  <c r="Q280" i="2" s="1"/>
  <c r="Q255" i="5"/>
  <c r="R280" i="2" s="1"/>
  <c r="S255" i="5"/>
  <c r="T280" i="2" s="1"/>
  <c r="T255" i="5"/>
  <c r="U280" i="2" s="1"/>
  <c r="U255" i="5"/>
  <c r="V280" i="2" s="1"/>
  <c r="W255" i="5"/>
  <c r="X280" i="2" s="1"/>
  <c r="X255" i="5"/>
  <c r="Y280" i="2" s="1"/>
  <c r="Z255" i="5"/>
  <c r="AA280" i="2" s="1"/>
  <c r="AB255" i="5"/>
  <c r="AC280" i="2" s="1"/>
  <c r="AC255" i="5"/>
  <c r="AD280" i="2" s="1"/>
  <c r="AE255" i="5"/>
  <c r="AF280" i="2" s="1"/>
  <c r="AF255" i="5"/>
  <c r="AG280" i="2" s="1"/>
  <c r="AG255" i="5"/>
  <c r="AH280" i="2" s="1"/>
  <c r="AI255" i="5"/>
  <c r="AJ280" i="2" s="1"/>
  <c r="AK255" i="5"/>
  <c r="AL280" i="2" s="1"/>
  <c r="AL255" i="5"/>
  <c r="AM280" i="2" s="1"/>
  <c r="AN255" i="5"/>
  <c r="AO280" i="2" s="1"/>
  <c r="AP255" i="5"/>
  <c r="AQ280" i="2" s="1"/>
  <c r="AQ255" i="5"/>
  <c r="AR280" i="2" s="1"/>
  <c r="AS255" i="5"/>
  <c r="AT280" i="2" s="1"/>
  <c r="AT255" i="5"/>
  <c r="AU280" i="2" s="1"/>
  <c r="AV255" i="5"/>
  <c r="AW280" i="2" s="1"/>
  <c r="AW255" i="5"/>
  <c r="AX280" i="2" s="1"/>
  <c r="AY255" i="5"/>
  <c r="AZ280" i="2" s="1"/>
  <c r="AZ255" i="5"/>
  <c r="BA280" i="2" s="1"/>
  <c r="BA255" i="5"/>
  <c r="BB280" i="2" s="1"/>
  <c r="BB255" i="5"/>
  <c r="BC280" i="2" s="1"/>
  <c r="BD255" i="5"/>
  <c r="BE280" i="2" s="1"/>
  <c r="BE255" i="5"/>
  <c r="BF280" i="2" s="1"/>
  <c r="BG255" i="5"/>
  <c r="BH280" i="2" s="1"/>
  <c r="BH255" i="5"/>
  <c r="BI280" i="2" s="1"/>
  <c r="BI255" i="5"/>
  <c r="BJ280" i="2" s="1"/>
  <c r="L102" i="3"/>
  <c r="D254" i="5"/>
  <c r="I254" i="5"/>
  <c r="J157" i="2" s="1"/>
  <c r="K254" i="5"/>
  <c r="L157" i="2" s="1"/>
  <c r="M254" i="5"/>
  <c r="N157" i="2" s="1"/>
  <c r="P254" i="5"/>
  <c r="Q157" i="2" s="1"/>
  <c r="T254" i="5"/>
  <c r="U157" i="2" s="1"/>
  <c r="W254" i="5"/>
  <c r="X157" i="2" s="1"/>
  <c r="Z254" i="5"/>
  <c r="AA157" i="2" s="1"/>
  <c r="AC254" i="5"/>
  <c r="AD157" i="2" s="1"/>
  <c r="AF254" i="5"/>
  <c r="AG157" i="2" s="1"/>
  <c r="AJ254" i="5"/>
  <c r="AK157" i="2" s="1"/>
  <c r="AL254" i="5"/>
  <c r="AM157" i="2" s="1"/>
  <c r="AO254" i="5"/>
  <c r="AP157" i="2" s="1"/>
  <c r="AQ254" i="5"/>
  <c r="AR157" i="2" s="1"/>
  <c r="AV254" i="5"/>
  <c r="AW157" i="2" s="1"/>
  <c r="AZ254" i="5"/>
  <c r="BA157" i="2" s="1"/>
  <c r="BC254" i="5"/>
  <c r="BD157" i="2" s="1"/>
  <c r="BF254" i="5"/>
  <c r="BG157" i="2" s="1"/>
  <c r="BI254" i="5"/>
  <c r="BJ157" i="2" s="1"/>
  <c r="C254" i="5"/>
  <c r="E254" i="5"/>
  <c r="F254" i="5"/>
  <c r="G254" i="5"/>
  <c r="H157" i="2" s="1"/>
  <c r="H254" i="5"/>
  <c r="I157" i="2" s="1"/>
  <c r="J254" i="5"/>
  <c r="K157" i="2" s="1"/>
  <c r="L254" i="5"/>
  <c r="M157" i="2" s="1"/>
  <c r="N254" i="5"/>
  <c r="O157" i="2" s="1"/>
  <c r="O254" i="5"/>
  <c r="P157" i="2" s="1"/>
  <c r="Q254" i="5"/>
  <c r="R157" i="2" s="1"/>
  <c r="R254" i="5"/>
  <c r="S157" i="2" s="1"/>
  <c r="S254" i="5"/>
  <c r="T157" i="2" s="1"/>
  <c r="U254" i="5"/>
  <c r="V157" i="2" s="1"/>
  <c r="V254" i="5"/>
  <c r="W157" i="2" s="1"/>
  <c r="X254" i="5"/>
  <c r="Y157" i="2" s="1"/>
  <c r="Y254" i="5"/>
  <c r="Z157" i="2" s="1"/>
  <c r="AA254" i="5"/>
  <c r="AB157" i="2" s="1"/>
  <c r="AB254" i="5"/>
  <c r="AC157" i="2" s="1"/>
  <c r="AD254" i="5"/>
  <c r="AE157" i="2" s="1"/>
  <c r="AE254" i="5"/>
  <c r="AF157" i="2" s="1"/>
  <c r="AG254" i="5"/>
  <c r="AH157" i="2" s="1"/>
  <c r="AH254" i="5"/>
  <c r="AI157" i="2" s="1"/>
  <c r="AI254" i="5"/>
  <c r="AJ157" i="2" s="1"/>
  <c r="AK254" i="5"/>
  <c r="AL157" i="2" s="1"/>
  <c r="AM254" i="5"/>
  <c r="AN157" i="2" s="1"/>
  <c r="AN254" i="5"/>
  <c r="AO157" i="2" s="1"/>
  <c r="AP254" i="5"/>
  <c r="AQ157" i="2" s="1"/>
  <c r="AR254" i="5"/>
  <c r="AS157" i="2" s="1"/>
  <c r="AS254" i="5"/>
  <c r="AT157" i="2" s="1"/>
  <c r="AT254" i="5"/>
  <c r="AU157" i="2" s="1"/>
  <c r="AU254" i="5"/>
  <c r="AV157" i="2" s="1"/>
  <c r="AW254" i="5"/>
  <c r="AX157" i="2" s="1"/>
  <c r="AX254" i="5"/>
  <c r="AY157" i="2" s="1"/>
  <c r="AY254" i="5"/>
  <c r="AZ157" i="2" s="1"/>
  <c r="BA254" i="5"/>
  <c r="BB157" i="2" s="1"/>
  <c r="BB254" i="5"/>
  <c r="BC157" i="2" s="1"/>
  <c r="BD254" i="5"/>
  <c r="BE157" i="2" s="1"/>
  <c r="BE254" i="5"/>
  <c r="BF157" i="2" s="1"/>
  <c r="BG254" i="5"/>
  <c r="BH157" i="2" s="1"/>
  <c r="BH254" i="5"/>
  <c r="BI157" i="2" s="1"/>
  <c r="BJ254" i="5"/>
  <c r="BK157" i="2" s="1"/>
  <c r="L86" i="3"/>
  <c r="BJ253" i="5"/>
  <c r="BK190" i="2" s="1"/>
  <c r="C253" i="5"/>
  <c r="D253" i="5"/>
  <c r="E190" i="2" s="1"/>
  <c r="E253" i="5"/>
  <c r="F190" i="2" s="1"/>
  <c r="F253" i="5"/>
  <c r="G190" i="2" s="1"/>
  <c r="G253" i="5"/>
  <c r="H190" i="2" s="1"/>
  <c r="H253" i="5"/>
  <c r="I190" i="2" s="1"/>
  <c r="I253" i="5"/>
  <c r="J190" i="2" s="1"/>
  <c r="J253" i="5"/>
  <c r="K190" i="2" s="1"/>
  <c r="K253" i="5"/>
  <c r="L253" i="5"/>
  <c r="M253" i="5"/>
  <c r="N190" i="2" s="1"/>
  <c r="N253" i="5"/>
  <c r="O190" i="2" s="1"/>
  <c r="O253" i="5"/>
  <c r="P190" i="2" s="1"/>
  <c r="P253" i="5"/>
  <c r="Q190" i="2" s="1"/>
  <c r="Q253" i="5"/>
  <c r="R190" i="2" s="1"/>
  <c r="R253" i="5"/>
  <c r="S190" i="2" s="1"/>
  <c r="S253" i="5"/>
  <c r="T190" i="2" s="1"/>
  <c r="T253" i="5"/>
  <c r="U190" i="2" s="1"/>
  <c r="U253" i="5"/>
  <c r="V190" i="2" s="1"/>
  <c r="V253" i="5"/>
  <c r="W190" i="2" s="1"/>
  <c r="W253" i="5"/>
  <c r="X190" i="2" s="1"/>
  <c r="X253" i="5"/>
  <c r="Y190" i="2" s="1"/>
  <c r="Y253" i="5"/>
  <c r="Z190" i="2" s="1"/>
  <c r="Z253" i="5"/>
  <c r="AA190" i="2" s="1"/>
  <c r="AA253" i="5"/>
  <c r="AB190" i="2" s="1"/>
  <c r="AB253" i="5"/>
  <c r="AC190" i="2" s="1"/>
  <c r="AC253" i="5"/>
  <c r="AD190" i="2" s="1"/>
  <c r="AD253" i="5"/>
  <c r="AE190" i="2" s="1"/>
  <c r="AE253" i="5"/>
  <c r="AF190" i="2" s="1"/>
  <c r="AF253" i="5"/>
  <c r="AG190" i="2" s="1"/>
  <c r="AG253" i="5"/>
  <c r="AH190" i="2" s="1"/>
  <c r="AH253" i="5"/>
  <c r="AI190" i="2" s="1"/>
  <c r="AI253" i="5"/>
  <c r="AJ190" i="2" s="1"/>
  <c r="AJ253" i="5"/>
  <c r="AK190" i="2" s="1"/>
  <c r="AK253" i="5"/>
  <c r="AL190" i="2" s="1"/>
  <c r="AL253" i="5"/>
  <c r="AM190" i="2" s="1"/>
  <c r="AM253" i="5"/>
  <c r="AN190" i="2" s="1"/>
  <c r="AN253" i="5"/>
  <c r="AO190" i="2" s="1"/>
  <c r="AO253" i="5"/>
  <c r="AP190" i="2" s="1"/>
  <c r="AP253" i="5"/>
  <c r="AQ190" i="2" s="1"/>
  <c r="AQ253" i="5"/>
  <c r="AR190" i="2" s="1"/>
  <c r="AR253" i="5"/>
  <c r="AS190" i="2" s="1"/>
  <c r="AS253" i="5"/>
  <c r="AT190" i="2" s="1"/>
  <c r="AT253" i="5"/>
  <c r="AU190" i="2" s="1"/>
  <c r="AU253" i="5"/>
  <c r="AV190" i="2" s="1"/>
  <c r="AV253" i="5"/>
  <c r="AW190" i="2" s="1"/>
  <c r="AW253" i="5"/>
  <c r="AX190" i="2" s="1"/>
  <c r="AX253" i="5"/>
  <c r="AY190" i="2" s="1"/>
  <c r="AY253" i="5"/>
  <c r="AZ190" i="2" s="1"/>
  <c r="AZ253" i="5"/>
  <c r="BA190" i="2" s="1"/>
  <c r="BA253" i="5"/>
  <c r="BB190" i="2" s="1"/>
  <c r="BB253" i="5"/>
  <c r="BC190" i="2" s="1"/>
  <c r="BC253" i="5"/>
  <c r="BD190" i="2" s="1"/>
  <c r="BD253" i="5"/>
  <c r="BE190" i="2" s="1"/>
  <c r="BE253" i="5"/>
  <c r="BF190" i="2" s="1"/>
  <c r="BF253" i="5"/>
  <c r="BG190" i="2" s="1"/>
  <c r="BG253" i="5"/>
  <c r="BH190" i="2" s="1"/>
  <c r="BH253" i="5"/>
  <c r="BI190" i="2" s="1"/>
  <c r="BI253" i="5"/>
  <c r="BJ190" i="2" s="1"/>
  <c r="L58" i="3"/>
  <c r="C252" i="5"/>
  <c r="D252" i="5"/>
  <c r="E82" i="2" s="1"/>
  <c r="E252" i="5"/>
  <c r="F82" i="2" s="1"/>
  <c r="F252" i="5"/>
  <c r="G82" i="2" s="1"/>
  <c r="G252" i="5"/>
  <c r="H82" i="2" s="1"/>
  <c r="H252" i="5"/>
  <c r="I82" i="2" s="1"/>
  <c r="I252" i="5"/>
  <c r="J82" i="2" s="1"/>
  <c r="J252" i="5"/>
  <c r="K82" i="2" s="1"/>
  <c r="K252" i="5"/>
  <c r="L82" i="2" s="1"/>
  <c r="L252" i="5"/>
  <c r="M82" i="2" s="1"/>
  <c r="M252" i="5"/>
  <c r="N82" i="2" s="1"/>
  <c r="N252" i="5"/>
  <c r="O82" i="2" s="1"/>
  <c r="O252" i="5"/>
  <c r="P82" i="2" s="1"/>
  <c r="P252" i="5"/>
  <c r="Q82" i="2" s="1"/>
  <c r="Q252" i="5"/>
  <c r="R82" i="2" s="1"/>
  <c r="R252" i="5"/>
  <c r="S82" i="2" s="1"/>
  <c r="S252" i="5"/>
  <c r="T82" i="2" s="1"/>
  <c r="T252" i="5"/>
  <c r="U252" i="5"/>
  <c r="V252" i="5"/>
  <c r="W82" i="2" s="1"/>
  <c r="W252" i="5"/>
  <c r="X82" i="2" s="1"/>
  <c r="X252" i="5"/>
  <c r="Y82" i="2" s="1"/>
  <c r="Y252" i="5"/>
  <c r="Z82" i="2" s="1"/>
  <c r="Z252" i="5"/>
  <c r="AA82" i="2" s="1"/>
  <c r="AA252" i="5"/>
  <c r="AB82" i="2" s="1"/>
  <c r="AB252" i="5"/>
  <c r="AC82" i="2" s="1"/>
  <c r="AC252" i="5"/>
  <c r="AD82" i="2" s="1"/>
  <c r="AD252" i="5"/>
  <c r="AE82" i="2" s="1"/>
  <c r="AE252" i="5"/>
  <c r="AF82" i="2" s="1"/>
  <c r="AF252" i="5"/>
  <c r="AG82" i="2" s="1"/>
  <c r="AG252" i="5"/>
  <c r="AH82" i="2" s="1"/>
  <c r="AH252" i="5"/>
  <c r="AI82" i="2" s="1"/>
  <c r="AI252" i="5"/>
  <c r="AJ82" i="2" s="1"/>
  <c r="AJ252" i="5"/>
  <c r="AK82" i="2" s="1"/>
  <c r="AK252" i="5"/>
  <c r="AL82" i="2" s="1"/>
  <c r="AL252" i="5"/>
  <c r="AM82" i="2" s="1"/>
  <c r="AM252" i="5"/>
  <c r="AN82" i="2" s="1"/>
  <c r="AN252" i="5"/>
  <c r="AO82" i="2" s="1"/>
  <c r="AO252" i="5"/>
  <c r="AP82" i="2" s="1"/>
  <c r="AP252" i="5"/>
  <c r="AQ82" i="2" s="1"/>
  <c r="AQ252" i="5"/>
  <c r="AR82" i="2" s="1"/>
  <c r="AR252" i="5"/>
  <c r="AS82" i="2" s="1"/>
  <c r="AS252" i="5"/>
  <c r="AT82" i="2" s="1"/>
  <c r="AT252" i="5"/>
  <c r="AU82" i="2" s="1"/>
  <c r="AU252" i="5"/>
  <c r="AV82" i="2" s="1"/>
  <c r="AV252" i="5"/>
  <c r="AW82" i="2" s="1"/>
  <c r="AW252" i="5"/>
  <c r="AX82" i="2" s="1"/>
  <c r="AX252" i="5"/>
  <c r="AY82" i="2" s="1"/>
  <c r="AY252" i="5"/>
  <c r="AZ82" i="2" s="1"/>
  <c r="AZ252" i="5"/>
  <c r="BA82" i="2" s="1"/>
  <c r="BA252" i="5"/>
  <c r="BB82" i="2" s="1"/>
  <c r="BB252" i="5"/>
  <c r="BC82" i="2" s="1"/>
  <c r="BC252" i="5"/>
  <c r="BD82" i="2" s="1"/>
  <c r="BD252" i="5"/>
  <c r="BE82" i="2" s="1"/>
  <c r="BE252" i="5"/>
  <c r="BF82" i="2" s="1"/>
  <c r="BF252" i="5"/>
  <c r="BG82" i="2" s="1"/>
  <c r="BG252" i="5"/>
  <c r="BH82" i="2" s="1"/>
  <c r="BH252" i="5"/>
  <c r="BI82" i="2" s="1"/>
  <c r="BI252" i="5"/>
  <c r="BJ82" i="2" s="1"/>
  <c r="BJ252" i="5"/>
  <c r="BK82" i="2" s="1"/>
  <c r="L5" i="3"/>
  <c r="D251" i="5"/>
  <c r="G251" i="5"/>
  <c r="H19" i="2" s="1"/>
  <c r="J251" i="5"/>
  <c r="K19" i="2" s="1"/>
  <c r="N251" i="5"/>
  <c r="O19" i="2" s="1"/>
  <c r="P251" i="5"/>
  <c r="Q19" i="2" s="1"/>
  <c r="T251" i="5"/>
  <c r="U19" i="2" s="1"/>
  <c r="V251" i="5"/>
  <c r="W19" i="2" s="1"/>
  <c r="Z251" i="5"/>
  <c r="AA19" i="2" s="1"/>
  <c r="AD251" i="5"/>
  <c r="AE19" i="2" s="1"/>
  <c r="AG251" i="5"/>
  <c r="AH19" i="2" s="1"/>
  <c r="AI251" i="5"/>
  <c r="AJ19" i="2" s="1"/>
  <c r="AM251" i="5"/>
  <c r="AN19" i="2" s="1"/>
  <c r="AP251" i="5"/>
  <c r="AQ19" i="2" s="1"/>
  <c r="AS251" i="5"/>
  <c r="AT19" i="2" s="1"/>
  <c r="AV251" i="5"/>
  <c r="AW19" i="2" s="1"/>
  <c r="AX251" i="5"/>
  <c r="AY19" i="2" s="1"/>
  <c r="BA251" i="5"/>
  <c r="BB19" i="2" s="1"/>
  <c r="BC251" i="5"/>
  <c r="BD19" i="2" s="1"/>
  <c r="BE251" i="5"/>
  <c r="BF19" i="2" s="1"/>
  <c r="BI251" i="5"/>
  <c r="BJ19" i="2" s="1"/>
  <c r="C251" i="5"/>
  <c r="E251" i="5"/>
  <c r="F251" i="5"/>
  <c r="G19" i="2" s="1"/>
  <c r="H251" i="5"/>
  <c r="I19" i="2" s="1"/>
  <c r="I251" i="5"/>
  <c r="J19" i="2" s="1"/>
  <c r="K251" i="5"/>
  <c r="L19" i="2" s="1"/>
  <c r="L251" i="5"/>
  <c r="M19" i="2" s="1"/>
  <c r="M251" i="5"/>
  <c r="N19" i="2" s="1"/>
  <c r="O251" i="5"/>
  <c r="P19" i="2" s="1"/>
  <c r="Q251" i="5"/>
  <c r="R19" i="2" s="1"/>
  <c r="R251" i="5"/>
  <c r="S19" i="2" s="1"/>
  <c r="S251" i="5"/>
  <c r="T19" i="2" s="1"/>
  <c r="U251" i="5"/>
  <c r="V19" i="2" s="1"/>
  <c r="W251" i="5"/>
  <c r="X19" i="2" s="1"/>
  <c r="X251" i="5"/>
  <c r="Y19" i="2" s="1"/>
  <c r="Y251" i="5"/>
  <c r="Z19" i="2" s="1"/>
  <c r="AA251" i="5"/>
  <c r="AB19" i="2" s="1"/>
  <c r="AB251" i="5"/>
  <c r="AC19" i="2" s="1"/>
  <c r="AC251" i="5"/>
  <c r="AD19" i="2" s="1"/>
  <c r="AE251" i="5"/>
  <c r="AF19" i="2" s="1"/>
  <c r="AF251" i="5"/>
  <c r="AG19" i="2" s="1"/>
  <c r="AH251" i="5"/>
  <c r="AI19" i="2" s="1"/>
  <c r="AJ251" i="5"/>
  <c r="AK19" i="2" s="1"/>
  <c r="AK251" i="5"/>
  <c r="AL19" i="2" s="1"/>
  <c r="AL251" i="5"/>
  <c r="AM19" i="2" s="1"/>
  <c r="AN251" i="5"/>
  <c r="AO19" i="2" s="1"/>
  <c r="AO251" i="5"/>
  <c r="AP19" i="2" s="1"/>
  <c r="AQ251" i="5"/>
  <c r="AR19" i="2" s="1"/>
  <c r="AR251" i="5"/>
  <c r="AS19" i="2" s="1"/>
  <c r="AT251" i="5"/>
  <c r="AU19" i="2" s="1"/>
  <c r="AU251" i="5"/>
  <c r="AV19" i="2" s="1"/>
  <c r="AW251" i="5"/>
  <c r="AX19" i="2" s="1"/>
  <c r="AY251" i="5"/>
  <c r="AZ19" i="2" s="1"/>
  <c r="AZ251" i="5"/>
  <c r="BA19" i="2" s="1"/>
  <c r="BB251" i="5"/>
  <c r="BC19" i="2" s="1"/>
  <c r="BD251" i="5"/>
  <c r="BE19" i="2" s="1"/>
  <c r="BF251" i="5"/>
  <c r="BG19" i="2" s="1"/>
  <c r="BG251" i="5"/>
  <c r="BH19" i="2" s="1"/>
  <c r="BH251" i="5"/>
  <c r="BI19" i="2" s="1"/>
  <c r="BJ251" i="5"/>
  <c r="BK19" i="2" s="1"/>
  <c r="L46" i="3"/>
  <c r="E250" i="5"/>
  <c r="F136" i="2" s="1"/>
  <c r="H250" i="5"/>
  <c r="I136" i="2" s="1"/>
  <c r="L250" i="5"/>
  <c r="M250" i="5"/>
  <c r="N136" i="2" s="1"/>
  <c r="O250" i="5"/>
  <c r="P136" i="2" s="1"/>
  <c r="S250" i="5"/>
  <c r="T136" i="2" s="1"/>
  <c r="V250" i="5"/>
  <c r="W136" i="2" s="1"/>
  <c r="Z250" i="5"/>
  <c r="AA136" i="2" s="1"/>
  <c r="AD250" i="5"/>
  <c r="AE136" i="2" s="1"/>
  <c r="AH250" i="5"/>
  <c r="AI136" i="2" s="1"/>
  <c r="AK250" i="5"/>
  <c r="AL136" i="2" s="1"/>
  <c r="AN250" i="5"/>
  <c r="AO136" i="2" s="1"/>
  <c r="AQ250" i="5"/>
  <c r="AR136" i="2" s="1"/>
  <c r="AV250" i="5"/>
  <c r="AW136" i="2" s="1"/>
  <c r="AY250" i="5"/>
  <c r="AZ136" i="2" s="1"/>
  <c r="BA250" i="5"/>
  <c r="BB136" i="2" s="1"/>
  <c r="BE250" i="5"/>
  <c r="BF136" i="2" s="1"/>
  <c r="BI250" i="5"/>
  <c r="BJ136" i="2" s="1"/>
  <c r="C250" i="5"/>
  <c r="D250" i="5"/>
  <c r="E136" i="2" s="1"/>
  <c r="F250" i="5"/>
  <c r="G136" i="2" s="1"/>
  <c r="G250" i="5"/>
  <c r="H136" i="2" s="1"/>
  <c r="I250" i="5"/>
  <c r="J136" i="2" s="1"/>
  <c r="J250" i="5"/>
  <c r="K136" i="2" s="1"/>
  <c r="K250" i="5"/>
  <c r="N250" i="5"/>
  <c r="O136" i="2" s="1"/>
  <c r="P250" i="5"/>
  <c r="Q136" i="2" s="1"/>
  <c r="Q250" i="5"/>
  <c r="R136" i="2" s="1"/>
  <c r="R250" i="5"/>
  <c r="S136" i="2" s="1"/>
  <c r="T250" i="5"/>
  <c r="U136" i="2" s="1"/>
  <c r="U250" i="5"/>
  <c r="V136" i="2" s="1"/>
  <c r="W250" i="5"/>
  <c r="X136" i="2" s="1"/>
  <c r="X250" i="5"/>
  <c r="Y136" i="2" s="1"/>
  <c r="Y250" i="5"/>
  <c r="Z136" i="2" s="1"/>
  <c r="AA250" i="5"/>
  <c r="AB136" i="2" s="1"/>
  <c r="AB250" i="5"/>
  <c r="AC136" i="2" s="1"/>
  <c r="AC250" i="5"/>
  <c r="AD136" i="2" s="1"/>
  <c r="AE250" i="5"/>
  <c r="AF136" i="2" s="1"/>
  <c r="AF250" i="5"/>
  <c r="AG136" i="2" s="1"/>
  <c r="AG250" i="5"/>
  <c r="AH136" i="2" s="1"/>
  <c r="AI250" i="5"/>
  <c r="AJ136" i="2" s="1"/>
  <c r="AJ250" i="5"/>
  <c r="AK136" i="2" s="1"/>
  <c r="AL250" i="5"/>
  <c r="AM136" i="2" s="1"/>
  <c r="AM250" i="5"/>
  <c r="AN136" i="2" s="1"/>
  <c r="AO250" i="5"/>
  <c r="AP136" i="2" s="1"/>
  <c r="AP250" i="5"/>
  <c r="AQ136" i="2" s="1"/>
  <c r="AR250" i="5"/>
  <c r="AS136" i="2" s="1"/>
  <c r="AS250" i="5"/>
  <c r="AT136" i="2" s="1"/>
  <c r="AT250" i="5"/>
  <c r="AU136" i="2" s="1"/>
  <c r="AU250" i="5"/>
  <c r="AV136" i="2" s="1"/>
  <c r="AW250" i="5"/>
  <c r="AX136" i="2" s="1"/>
  <c r="AX250" i="5"/>
  <c r="AY136" i="2" s="1"/>
  <c r="AZ250" i="5"/>
  <c r="BA136" i="2" s="1"/>
  <c r="BB250" i="5"/>
  <c r="BC136" i="2" s="1"/>
  <c r="BC250" i="5"/>
  <c r="BD136" i="2" s="1"/>
  <c r="BD250" i="5"/>
  <c r="BE136" i="2" s="1"/>
  <c r="BF250" i="5"/>
  <c r="BG136" i="2" s="1"/>
  <c r="BG250" i="5"/>
  <c r="BH136" i="2" s="1"/>
  <c r="BH250" i="5"/>
  <c r="BI136" i="2" s="1"/>
  <c r="BJ250" i="5"/>
  <c r="BK136" i="2" s="1"/>
  <c r="L35" i="3"/>
  <c r="O35" i="3" s="1"/>
  <c r="E249" i="5"/>
  <c r="F16" i="2" s="1"/>
  <c r="H249" i="5"/>
  <c r="I16" i="2" s="1"/>
  <c r="K249" i="5"/>
  <c r="L16" i="2" s="1"/>
  <c r="O249" i="5"/>
  <c r="P16" i="2" s="1"/>
  <c r="R249" i="5"/>
  <c r="S16" i="2" s="1"/>
  <c r="T249" i="5"/>
  <c r="U16" i="2" s="1"/>
  <c r="Y249" i="5"/>
  <c r="Z16" i="2" s="1"/>
  <c r="AC249" i="5"/>
  <c r="AD16" i="2" s="1"/>
  <c r="AF249" i="5"/>
  <c r="AG16" i="2" s="1"/>
  <c r="AH249" i="5"/>
  <c r="AI16" i="2" s="1"/>
  <c r="AL249" i="5"/>
  <c r="AM16" i="2" s="1"/>
  <c r="AN249" i="5"/>
  <c r="AO16" i="2" s="1"/>
  <c r="AQ249" i="5"/>
  <c r="AR16" i="2" s="1"/>
  <c r="AV249" i="5"/>
  <c r="AW16" i="2" s="1"/>
  <c r="AZ249" i="5"/>
  <c r="BA16" i="2" s="1"/>
  <c r="BB249" i="5"/>
  <c r="BC16" i="2" s="1"/>
  <c r="BE249" i="5"/>
  <c r="BF16" i="2" s="1"/>
  <c r="BG249" i="5"/>
  <c r="BH16" i="2" s="1"/>
  <c r="BI249" i="5"/>
  <c r="BJ16" i="2" s="1"/>
  <c r="C249" i="5"/>
  <c r="D249" i="5"/>
  <c r="F249" i="5"/>
  <c r="G16" i="2" s="1"/>
  <c r="G249" i="5"/>
  <c r="H16" i="2" s="1"/>
  <c r="I249" i="5"/>
  <c r="J16" i="2" s="1"/>
  <c r="J249" i="5"/>
  <c r="K16" i="2" s="1"/>
  <c r="L249" i="5"/>
  <c r="M16" i="2" s="1"/>
  <c r="M249" i="5"/>
  <c r="N16" i="2" s="1"/>
  <c r="N249" i="5"/>
  <c r="O16" i="2" s="1"/>
  <c r="P249" i="5"/>
  <c r="Q16" i="2" s="1"/>
  <c r="Q249" i="5"/>
  <c r="R16" i="2" s="1"/>
  <c r="S249" i="5"/>
  <c r="T16" i="2" s="1"/>
  <c r="U249" i="5"/>
  <c r="V16" i="2" s="1"/>
  <c r="V249" i="5"/>
  <c r="W16" i="2" s="1"/>
  <c r="W249" i="5"/>
  <c r="X16" i="2" s="1"/>
  <c r="X249" i="5"/>
  <c r="Y16" i="2" s="1"/>
  <c r="Z249" i="5"/>
  <c r="AA16" i="2" s="1"/>
  <c r="AA249" i="5"/>
  <c r="AB16" i="2" s="1"/>
  <c r="AB249" i="5"/>
  <c r="AC16" i="2" s="1"/>
  <c r="AD249" i="5"/>
  <c r="AE16" i="2" s="1"/>
  <c r="AE249" i="5"/>
  <c r="AF16" i="2" s="1"/>
  <c r="AG249" i="5"/>
  <c r="AH16" i="2" s="1"/>
  <c r="AI249" i="5"/>
  <c r="AJ16" i="2" s="1"/>
  <c r="AJ249" i="5"/>
  <c r="AK16" i="2" s="1"/>
  <c r="AK249" i="5"/>
  <c r="AL16" i="2" s="1"/>
  <c r="AM249" i="5"/>
  <c r="AN16" i="2" s="1"/>
  <c r="AO249" i="5"/>
  <c r="AP16" i="2" s="1"/>
  <c r="AP249" i="5"/>
  <c r="AQ16" i="2" s="1"/>
  <c r="AR249" i="5"/>
  <c r="AS16" i="2" s="1"/>
  <c r="AS249" i="5"/>
  <c r="AT16" i="2" s="1"/>
  <c r="AT249" i="5"/>
  <c r="AU16" i="2" s="1"/>
  <c r="AU249" i="5"/>
  <c r="AV16" i="2" s="1"/>
  <c r="AW249" i="5"/>
  <c r="AX16" i="2" s="1"/>
  <c r="AX249" i="5"/>
  <c r="AY16" i="2" s="1"/>
  <c r="AY249" i="5"/>
  <c r="AZ16" i="2" s="1"/>
  <c r="BA249" i="5"/>
  <c r="BB16" i="2" s="1"/>
  <c r="BC249" i="5"/>
  <c r="BD16" i="2" s="1"/>
  <c r="BD249" i="5"/>
  <c r="BE16" i="2" s="1"/>
  <c r="BF249" i="5"/>
  <c r="BG16" i="2" s="1"/>
  <c r="BH249" i="5"/>
  <c r="BI16" i="2" s="1"/>
  <c r="BJ249" i="5"/>
  <c r="BK16" i="2" s="1"/>
  <c r="L45" i="3"/>
  <c r="J6" i="1" s="1"/>
  <c r="F248" i="5"/>
  <c r="G130" i="2" s="1"/>
  <c r="G248" i="5"/>
  <c r="H130" i="2" s="1"/>
  <c r="K248" i="5"/>
  <c r="L130" i="2" s="1"/>
  <c r="N248" i="5"/>
  <c r="O130" i="2" s="1"/>
  <c r="Q248" i="5"/>
  <c r="R130" i="2" s="1"/>
  <c r="T248" i="5"/>
  <c r="U130" i="2" s="1"/>
  <c r="V248" i="5"/>
  <c r="W130" i="2" s="1"/>
  <c r="Y248" i="5"/>
  <c r="Z130" i="2" s="1"/>
  <c r="AB248" i="5"/>
  <c r="AC130" i="2" s="1"/>
  <c r="AE248" i="5"/>
  <c r="AF130" i="2" s="1"/>
  <c r="AH248" i="5"/>
  <c r="AI130" i="2" s="1"/>
  <c r="AK248" i="5"/>
  <c r="AL130" i="2" s="1"/>
  <c r="AN248" i="5"/>
  <c r="AO130" i="2" s="1"/>
  <c r="AS248" i="5"/>
  <c r="AT130" i="2" s="1"/>
  <c r="AV248" i="5"/>
  <c r="AW130" i="2" s="1"/>
  <c r="AY248" i="5"/>
  <c r="AZ130" i="2" s="1"/>
  <c r="BB248" i="5"/>
  <c r="BC130" i="2" s="1"/>
  <c r="BE248" i="5"/>
  <c r="BF130" i="2" s="1"/>
  <c r="BG248" i="5"/>
  <c r="BH130" i="2" s="1"/>
  <c r="BH248" i="5"/>
  <c r="BI130" i="2" s="1"/>
  <c r="BI248" i="5"/>
  <c r="BJ130" i="2" s="1"/>
  <c r="C248" i="5"/>
  <c r="D248" i="5"/>
  <c r="E130" i="2" s="1"/>
  <c r="E248" i="5"/>
  <c r="F130" i="2" s="1"/>
  <c r="H248" i="5"/>
  <c r="I130" i="2" s="1"/>
  <c r="I248" i="5"/>
  <c r="J130" i="2" s="1"/>
  <c r="J248" i="5"/>
  <c r="K130" i="2" s="1"/>
  <c r="L248" i="5"/>
  <c r="M130" i="2" s="1"/>
  <c r="M248" i="5"/>
  <c r="N130" i="2" s="1"/>
  <c r="O248" i="5"/>
  <c r="P248" i="5"/>
  <c r="R248" i="5"/>
  <c r="S130" i="2" s="1"/>
  <c r="S248" i="5"/>
  <c r="T130" i="2" s="1"/>
  <c r="U248" i="5"/>
  <c r="V130" i="2" s="1"/>
  <c r="W248" i="5"/>
  <c r="X130" i="2" s="1"/>
  <c r="X248" i="5"/>
  <c r="Y130" i="2" s="1"/>
  <c r="Z248" i="5"/>
  <c r="AA130" i="2" s="1"/>
  <c r="AA248" i="5"/>
  <c r="AB130" i="2" s="1"/>
  <c r="AC248" i="5"/>
  <c r="AD130" i="2" s="1"/>
  <c r="AD248" i="5"/>
  <c r="AE130" i="2" s="1"/>
  <c r="AF248" i="5"/>
  <c r="AG130" i="2" s="1"/>
  <c r="AG248" i="5"/>
  <c r="AH130" i="2" s="1"/>
  <c r="AI248" i="5"/>
  <c r="AJ130" i="2" s="1"/>
  <c r="AJ248" i="5"/>
  <c r="AK130" i="2" s="1"/>
  <c r="AL248" i="5"/>
  <c r="AM130" i="2" s="1"/>
  <c r="AM248" i="5"/>
  <c r="AN130" i="2" s="1"/>
  <c r="AO248" i="5"/>
  <c r="AP130" i="2" s="1"/>
  <c r="AP248" i="5"/>
  <c r="AQ130" i="2" s="1"/>
  <c r="AQ248" i="5"/>
  <c r="AR130" i="2" s="1"/>
  <c r="AR248" i="5"/>
  <c r="AS130" i="2" s="1"/>
  <c r="AT248" i="5"/>
  <c r="AU130" i="2" s="1"/>
  <c r="AU248" i="5"/>
  <c r="AV130" i="2" s="1"/>
  <c r="AW248" i="5"/>
  <c r="AX130" i="2" s="1"/>
  <c r="AX248" i="5"/>
  <c r="AY130" i="2" s="1"/>
  <c r="AZ248" i="5"/>
  <c r="BA130" i="2" s="1"/>
  <c r="BA248" i="5"/>
  <c r="BB130" i="2" s="1"/>
  <c r="BC248" i="5"/>
  <c r="BD130" i="2" s="1"/>
  <c r="BD248" i="5"/>
  <c r="BE130" i="2" s="1"/>
  <c r="BF248" i="5"/>
  <c r="BG130" i="2" s="1"/>
  <c r="BJ248" i="5"/>
  <c r="BK130" i="2" s="1"/>
  <c r="L23" i="3"/>
  <c r="O23" i="3" s="1"/>
  <c r="E247" i="5"/>
  <c r="F13" i="2" s="1"/>
  <c r="I247" i="5"/>
  <c r="J13" i="2" s="1"/>
  <c r="L247" i="5"/>
  <c r="M13" i="2" s="1"/>
  <c r="O247" i="5"/>
  <c r="P13" i="2" s="1"/>
  <c r="P247" i="5"/>
  <c r="Q13" i="2" s="1"/>
  <c r="T247" i="5"/>
  <c r="U13" i="2" s="1"/>
  <c r="W247" i="5"/>
  <c r="X13" i="2" s="1"/>
  <c r="Z247" i="5"/>
  <c r="AA13" i="2" s="1"/>
  <c r="AC247" i="5"/>
  <c r="AD13" i="2" s="1"/>
  <c r="AG247" i="5"/>
  <c r="AH13" i="2" s="1"/>
  <c r="AJ247" i="5"/>
  <c r="AK13" i="2" s="1"/>
  <c r="AM247" i="5"/>
  <c r="AN13" i="2" s="1"/>
  <c r="AP247" i="5"/>
  <c r="AQ13" i="2" s="1"/>
  <c r="AT247" i="5"/>
  <c r="AU13" i="2" s="1"/>
  <c r="AV247" i="5"/>
  <c r="AW13" i="2" s="1"/>
  <c r="AZ247" i="5"/>
  <c r="BA13" i="2" s="1"/>
  <c r="BB247" i="5"/>
  <c r="BC13" i="2" s="1"/>
  <c r="BD247" i="5"/>
  <c r="BE13" i="2" s="1"/>
  <c r="BG247" i="5"/>
  <c r="BH13" i="2" s="1"/>
  <c r="BI247" i="5"/>
  <c r="BJ13" i="2" s="1"/>
  <c r="C247" i="5"/>
  <c r="D247" i="5"/>
  <c r="E13" i="2" s="1"/>
  <c r="F247" i="5"/>
  <c r="G13" i="2" s="1"/>
  <c r="G247" i="5"/>
  <c r="H13" i="2" s="1"/>
  <c r="H247" i="5"/>
  <c r="I13" i="2" s="1"/>
  <c r="J247" i="5"/>
  <c r="K13" i="2" s="1"/>
  <c r="K247" i="5"/>
  <c r="L13" i="2" s="1"/>
  <c r="M247" i="5"/>
  <c r="N13" i="2" s="1"/>
  <c r="N247" i="5"/>
  <c r="O13" i="2" s="1"/>
  <c r="Q247" i="5"/>
  <c r="R13" i="2" s="1"/>
  <c r="R247" i="5"/>
  <c r="S13" i="2" s="1"/>
  <c r="S247" i="5"/>
  <c r="T13" i="2" s="1"/>
  <c r="U247" i="5"/>
  <c r="V13" i="2" s="1"/>
  <c r="V247" i="5"/>
  <c r="W13" i="2" s="1"/>
  <c r="X247" i="5"/>
  <c r="Y13" i="2" s="1"/>
  <c r="Y247" i="5"/>
  <c r="Z13" i="2" s="1"/>
  <c r="AA247" i="5"/>
  <c r="AB13" i="2" s="1"/>
  <c r="AB247" i="5"/>
  <c r="AC13" i="2" s="1"/>
  <c r="AD247" i="5"/>
  <c r="AE13" i="2" s="1"/>
  <c r="AE247" i="5"/>
  <c r="AF13" i="2" s="1"/>
  <c r="AF247" i="5"/>
  <c r="AG13" i="2" s="1"/>
  <c r="AH247" i="5"/>
  <c r="AI13" i="2" s="1"/>
  <c r="AI247" i="5"/>
  <c r="AJ13" i="2" s="1"/>
  <c r="AK247" i="5"/>
  <c r="AL13" i="2" s="1"/>
  <c r="AL247" i="5"/>
  <c r="AM13" i="2" s="1"/>
  <c r="AN247" i="5"/>
  <c r="AO13" i="2" s="1"/>
  <c r="AO247" i="5"/>
  <c r="AP13" i="2" s="1"/>
  <c r="AQ247" i="5"/>
  <c r="AR13" i="2" s="1"/>
  <c r="AR247" i="5"/>
  <c r="AS13" i="2" s="1"/>
  <c r="AS247" i="5"/>
  <c r="AT13" i="2" s="1"/>
  <c r="AU247" i="5"/>
  <c r="AV13" i="2" s="1"/>
  <c r="AW247" i="5"/>
  <c r="AX13" i="2" s="1"/>
  <c r="AX247" i="5"/>
  <c r="AY13" i="2" s="1"/>
  <c r="AY247" i="5"/>
  <c r="AZ13" i="2" s="1"/>
  <c r="BA247" i="5"/>
  <c r="BB13" i="2" s="1"/>
  <c r="BC247" i="5"/>
  <c r="BD13" i="2" s="1"/>
  <c r="BE247" i="5"/>
  <c r="BF13" i="2" s="1"/>
  <c r="BF247" i="5"/>
  <c r="BG13" i="2" s="1"/>
  <c r="BH247" i="5"/>
  <c r="BI13" i="2" s="1"/>
  <c r="BJ247" i="5"/>
  <c r="BK13" i="2" s="1"/>
  <c r="L44" i="3"/>
  <c r="C246" i="5"/>
  <c r="E246" i="5"/>
  <c r="F193" i="2" s="1"/>
  <c r="H246" i="5"/>
  <c r="I193" i="2" s="1"/>
  <c r="J246" i="5"/>
  <c r="K193" i="2" s="1"/>
  <c r="Q246" i="5"/>
  <c r="R193" i="2" s="1"/>
  <c r="T246" i="5"/>
  <c r="U193" i="2" s="1"/>
  <c r="W246" i="5"/>
  <c r="X193" i="2" s="1"/>
  <c r="Z246" i="5"/>
  <c r="AA193" i="2" s="1"/>
  <c r="AE246" i="5"/>
  <c r="AF193" i="2" s="1"/>
  <c r="AH246" i="5"/>
  <c r="AI193" i="2" s="1"/>
  <c r="AK246" i="5"/>
  <c r="AL193" i="2" s="1"/>
  <c r="AN246" i="5"/>
  <c r="AO193" i="2" s="1"/>
  <c r="AS246" i="5"/>
  <c r="AT193" i="2" s="1"/>
  <c r="AU246" i="5"/>
  <c r="AV193" i="2" s="1"/>
  <c r="AW246" i="5"/>
  <c r="AX193" i="2" s="1"/>
  <c r="BA246" i="5"/>
  <c r="BB193" i="2" s="1"/>
  <c r="BF246" i="5"/>
  <c r="BG193" i="2" s="1"/>
  <c r="BJ246" i="5"/>
  <c r="BK193" i="2" s="1"/>
  <c r="D246" i="5"/>
  <c r="E193" i="2" s="1"/>
  <c r="F246" i="5"/>
  <c r="G193" i="2" s="1"/>
  <c r="G246" i="5"/>
  <c r="H193" i="2" s="1"/>
  <c r="I246" i="5"/>
  <c r="J193" i="2" s="1"/>
  <c r="K246" i="5"/>
  <c r="L193" i="2" s="1"/>
  <c r="L246" i="5"/>
  <c r="M246" i="5"/>
  <c r="N246" i="5"/>
  <c r="O193" i="2" s="1"/>
  <c r="O246" i="5"/>
  <c r="P193" i="2" s="1"/>
  <c r="P246" i="5"/>
  <c r="Q193" i="2" s="1"/>
  <c r="R246" i="5"/>
  <c r="S193" i="2" s="1"/>
  <c r="S246" i="5"/>
  <c r="T193" i="2" s="1"/>
  <c r="U246" i="5"/>
  <c r="V193" i="2" s="1"/>
  <c r="V246" i="5"/>
  <c r="W193" i="2" s="1"/>
  <c r="X246" i="5"/>
  <c r="Y193" i="2" s="1"/>
  <c r="Y246" i="5"/>
  <c r="Z193" i="2" s="1"/>
  <c r="AA246" i="5"/>
  <c r="AB193" i="2" s="1"/>
  <c r="AB246" i="5"/>
  <c r="AC193" i="2" s="1"/>
  <c r="AC246" i="5"/>
  <c r="AD193" i="2" s="1"/>
  <c r="AD246" i="5"/>
  <c r="AE193" i="2" s="1"/>
  <c r="AF246" i="5"/>
  <c r="AG193" i="2" s="1"/>
  <c r="AG246" i="5"/>
  <c r="AH193" i="2" s="1"/>
  <c r="AI246" i="5"/>
  <c r="AJ193" i="2" s="1"/>
  <c r="AJ246" i="5"/>
  <c r="AK193" i="2" s="1"/>
  <c r="AL246" i="5"/>
  <c r="AM193" i="2" s="1"/>
  <c r="AM246" i="5"/>
  <c r="AN193" i="2" s="1"/>
  <c r="AO246" i="5"/>
  <c r="AP193" i="2" s="1"/>
  <c r="AP246" i="5"/>
  <c r="AQ193" i="2" s="1"/>
  <c r="AQ246" i="5"/>
  <c r="AR193" i="2" s="1"/>
  <c r="AR246" i="5"/>
  <c r="AS193" i="2" s="1"/>
  <c r="AT246" i="5"/>
  <c r="AU193" i="2" s="1"/>
  <c r="AV246" i="5"/>
  <c r="AW193" i="2" s="1"/>
  <c r="AX246" i="5"/>
  <c r="AY193" i="2" s="1"/>
  <c r="AY246" i="5"/>
  <c r="AZ193" i="2" s="1"/>
  <c r="AZ246" i="5"/>
  <c r="BA193" i="2" s="1"/>
  <c r="BB246" i="5"/>
  <c r="BC193" i="2" s="1"/>
  <c r="BC246" i="5"/>
  <c r="BD193" i="2" s="1"/>
  <c r="BD246" i="5"/>
  <c r="BE193" i="2" s="1"/>
  <c r="BE246" i="5"/>
  <c r="BF193" i="2" s="1"/>
  <c r="BG246" i="5"/>
  <c r="BH193" i="2" s="1"/>
  <c r="BH246" i="5"/>
  <c r="BI193" i="2" s="1"/>
  <c r="BI246" i="5"/>
  <c r="BJ193" i="2" s="1"/>
  <c r="L53" i="3"/>
  <c r="C245" i="5"/>
  <c r="G245" i="5"/>
  <c r="H169" i="2" s="1"/>
  <c r="I245" i="5"/>
  <c r="J169" i="2" s="1"/>
  <c r="M245" i="5"/>
  <c r="N169" i="2" s="1"/>
  <c r="O245" i="5"/>
  <c r="P169" i="2" s="1"/>
  <c r="Q245" i="5"/>
  <c r="R169" i="2" s="1"/>
  <c r="S245" i="5"/>
  <c r="T169" i="2" s="1"/>
  <c r="W245" i="5"/>
  <c r="X169" i="2" s="1"/>
  <c r="Z245" i="5"/>
  <c r="AA169" i="2" s="1"/>
  <c r="AB245" i="5"/>
  <c r="AC169" i="2" s="1"/>
  <c r="AE245" i="5"/>
  <c r="AF169" i="2" s="1"/>
  <c r="AH245" i="5"/>
  <c r="AI169" i="2" s="1"/>
  <c r="AJ245" i="5"/>
  <c r="AK169" i="2" s="1"/>
  <c r="AL245" i="5"/>
  <c r="AM169" i="2" s="1"/>
  <c r="AN245" i="5"/>
  <c r="AO169" i="2" s="1"/>
  <c r="AO245" i="5"/>
  <c r="AP169" i="2" s="1"/>
  <c r="AQ245" i="5"/>
  <c r="AR169" i="2" s="1"/>
  <c r="AT245" i="5"/>
  <c r="AU169" i="2" s="1"/>
  <c r="AW245" i="5"/>
  <c r="AX169" i="2" s="1"/>
  <c r="AY245" i="5"/>
  <c r="AZ169" i="2" s="1"/>
  <c r="BC245" i="5"/>
  <c r="BD169" i="2" s="1"/>
  <c r="BE245" i="5"/>
  <c r="BF169" i="2" s="1"/>
  <c r="BH245" i="5"/>
  <c r="BI169" i="2" s="1"/>
  <c r="D245" i="5"/>
  <c r="E169" i="2" s="1"/>
  <c r="E245" i="5"/>
  <c r="F169" i="2" s="1"/>
  <c r="F245" i="5"/>
  <c r="G169" i="2" s="1"/>
  <c r="H245" i="5"/>
  <c r="I169" i="2" s="1"/>
  <c r="J245" i="5"/>
  <c r="K169" i="2" s="1"/>
  <c r="K245" i="5"/>
  <c r="L169" i="2" s="1"/>
  <c r="L245" i="5"/>
  <c r="M169" i="2" s="1"/>
  <c r="N245" i="5"/>
  <c r="O169" i="2" s="1"/>
  <c r="P245" i="5"/>
  <c r="Q169" i="2" s="1"/>
  <c r="R245" i="5"/>
  <c r="S169" i="2" s="1"/>
  <c r="T245" i="5"/>
  <c r="U169" i="2" s="1"/>
  <c r="U245" i="5"/>
  <c r="V169" i="2" s="1"/>
  <c r="V245" i="5"/>
  <c r="W169" i="2" s="1"/>
  <c r="X245" i="5"/>
  <c r="Y169" i="2" s="1"/>
  <c r="Y245" i="5"/>
  <c r="Z169" i="2" s="1"/>
  <c r="AA245" i="5"/>
  <c r="AB169" i="2" s="1"/>
  <c r="AC245" i="5"/>
  <c r="AD169" i="2" s="1"/>
  <c r="AD245" i="5"/>
  <c r="AE169" i="2" s="1"/>
  <c r="AF245" i="5"/>
  <c r="AG169" i="2" s="1"/>
  <c r="AG245" i="5"/>
  <c r="AH169" i="2" s="1"/>
  <c r="AI245" i="5"/>
  <c r="AJ169" i="2" s="1"/>
  <c r="AK245" i="5"/>
  <c r="AL169" i="2" s="1"/>
  <c r="AM245" i="5"/>
  <c r="AN169" i="2" s="1"/>
  <c r="AP245" i="5"/>
  <c r="AQ169" i="2" s="1"/>
  <c r="AR245" i="5"/>
  <c r="AS169" i="2" s="1"/>
  <c r="AS245" i="5"/>
  <c r="AT169" i="2" s="1"/>
  <c r="AU245" i="5"/>
  <c r="AV169" i="2" s="1"/>
  <c r="AV245" i="5"/>
  <c r="AW169" i="2" s="1"/>
  <c r="AX245" i="5"/>
  <c r="AY169" i="2" s="1"/>
  <c r="AZ245" i="5"/>
  <c r="BA169" i="2" s="1"/>
  <c r="BA245" i="5"/>
  <c r="BB169" i="2" s="1"/>
  <c r="BB245" i="5"/>
  <c r="BC169" i="2" s="1"/>
  <c r="BD245" i="5"/>
  <c r="BE169" i="2" s="1"/>
  <c r="BF245" i="5"/>
  <c r="BG169" i="2" s="1"/>
  <c r="BG245" i="5"/>
  <c r="BH169" i="2" s="1"/>
  <c r="BI245" i="5"/>
  <c r="BJ169" i="2" s="1"/>
  <c r="BJ245" i="5"/>
  <c r="BK169" i="2" s="1"/>
  <c r="L93" i="3"/>
  <c r="C244" i="5"/>
  <c r="F244" i="5"/>
  <c r="G10" i="2" s="1"/>
  <c r="I244" i="5"/>
  <c r="J10" i="2" s="1"/>
  <c r="K244" i="5"/>
  <c r="L10" i="2" s="1"/>
  <c r="N244" i="5"/>
  <c r="O10" i="2" s="1"/>
  <c r="P244" i="5"/>
  <c r="Q10" i="2" s="1"/>
  <c r="S244" i="5"/>
  <c r="T10" i="2" s="1"/>
  <c r="X244" i="5"/>
  <c r="Y10" i="2" s="1"/>
  <c r="AC244" i="5"/>
  <c r="AD10" i="2" s="1"/>
  <c r="AE244" i="5"/>
  <c r="AF10" i="2" s="1"/>
  <c r="AH244" i="5"/>
  <c r="AI10" i="2" s="1"/>
  <c r="AJ244" i="5"/>
  <c r="AK10" i="2" s="1"/>
  <c r="AM244" i="5"/>
  <c r="AN10" i="2" s="1"/>
  <c r="AN244" i="5"/>
  <c r="AO10" i="2" s="1"/>
  <c r="AO244" i="5"/>
  <c r="AP10" i="2" s="1"/>
  <c r="AQ244" i="5"/>
  <c r="AR10" i="2" s="1"/>
  <c r="AT244" i="5"/>
  <c r="AU10" i="2" s="1"/>
  <c r="AW244" i="5"/>
  <c r="AX10" i="2" s="1"/>
  <c r="AZ244" i="5"/>
  <c r="BA10" i="2" s="1"/>
  <c r="BD244" i="5"/>
  <c r="BE10" i="2" s="1"/>
  <c r="BF244" i="5"/>
  <c r="BG10" i="2" s="1"/>
  <c r="BI244" i="5"/>
  <c r="BJ10" i="2" s="1"/>
  <c r="D244" i="5"/>
  <c r="E244" i="5"/>
  <c r="F10" i="2" s="1"/>
  <c r="G244" i="5"/>
  <c r="H10" i="2" s="1"/>
  <c r="H244" i="5"/>
  <c r="I10" i="2" s="1"/>
  <c r="J244" i="5"/>
  <c r="K10" i="2" s="1"/>
  <c r="L244" i="5"/>
  <c r="M10" i="2" s="1"/>
  <c r="M244" i="5"/>
  <c r="N10" i="2" s="1"/>
  <c r="O244" i="5"/>
  <c r="P10" i="2" s="1"/>
  <c r="Q244" i="5"/>
  <c r="R10" i="2" s="1"/>
  <c r="R244" i="5"/>
  <c r="S10" i="2" s="1"/>
  <c r="T244" i="5"/>
  <c r="U10" i="2" s="1"/>
  <c r="U244" i="5"/>
  <c r="V10" i="2" s="1"/>
  <c r="V244" i="5"/>
  <c r="W10" i="2" s="1"/>
  <c r="W244" i="5"/>
  <c r="X10" i="2" s="1"/>
  <c r="Y244" i="5"/>
  <c r="Z10" i="2" s="1"/>
  <c r="Z244" i="5"/>
  <c r="AA10" i="2" s="1"/>
  <c r="AA244" i="5"/>
  <c r="AB10" i="2" s="1"/>
  <c r="AB244" i="5"/>
  <c r="AC10" i="2" s="1"/>
  <c r="AD244" i="5"/>
  <c r="AE10" i="2" s="1"/>
  <c r="AF244" i="5"/>
  <c r="AG10" i="2" s="1"/>
  <c r="AG244" i="5"/>
  <c r="AH10" i="2" s="1"/>
  <c r="AI244" i="5"/>
  <c r="AJ10" i="2" s="1"/>
  <c r="AK244" i="5"/>
  <c r="AL10" i="2" s="1"/>
  <c r="AL244" i="5"/>
  <c r="AM10" i="2" s="1"/>
  <c r="AP244" i="5"/>
  <c r="AQ10" i="2" s="1"/>
  <c r="AR244" i="5"/>
  <c r="AS10" i="2" s="1"/>
  <c r="AS244" i="5"/>
  <c r="AT10" i="2" s="1"/>
  <c r="AU244" i="5"/>
  <c r="AV10" i="2" s="1"/>
  <c r="AV244" i="5"/>
  <c r="AW10" i="2" s="1"/>
  <c r="AX244" i="5"/>
  <c r="AY10" i="2" s="1"/>
  <c r="AY244" i="5"/>
  <c r="AZ10" i="2" s="1"/>
  <c r="BA244" i="5"/>
  <c r="BB10" i="2" s="1"/>
  <c r="BB244" i="5"/>
  <c r="BC10" i="2" s="1"/>
  <c r="BC244" i="5"/>
  <c r="BD10" i="2" s="1"/>
  <c r="BE244" i="5"/>
  <c r="BF10" i="2" s="1"/>
  <c r="BG244" i="5"/>
  <c r="BH10" i="2" s="1"/>
  <c r="BH244" i="5"/>
  <c r="BI10" i="2" s="1"/>
  <c r="BJ244" i="5"/>
  <c r="BK10" i="2" s="1"/>
  <c r="L43" i="3"/>
  <c r="D243" i="5"/>
  <c r="E46" i="2" s="1"/>
  <c r="F243" i="5"/>
  <c r="G46" i="2" s="1"/>
  <c r="I243" i="5"/>
  <c r="J46" i="2" s="1"/>
  <c r="M243" i="5"/>
  <c r="O243" i="5"/>
  <c r="P46" i="2" s="1"/>
  <c r="Q243" i="5"/>
  <c r="R46" i="2" s="1"/>
  <c r="S243" i="5"/>
  <c r="T46" i="2" s="1"/>
  <c r="V243" i="5"/>
  <c r="W46" i="2" s="1"/>
  <c r="Z243" i="5"/>
  <c r="AA46" i="2" s="1"/>
  <c r="AB243" i="5"/>
  <c r="AC46" i="2" s="1"/>
  <c r="AD243" i="5"/>
  <c r="AE46" i="2" s="1"/>
  <c r="AJ243" i="5"/>
  <c r="AK46" i="2" s="1"/>
  <c r="AW243" i="5"/>
  <c r="AX46" i="2" s="1"/>
  <c r="AY243" i="5"/>
  <c r="AZ46" i="2" s="1"/>
  <c r="BA243" i="5"/>
  <c r="BB46" i="2" s="1"/>
  <c r="BC243" i="5"/>
  <c r="BD46" i="2" s="1"/>
  <c r="BF243" i="5"/>
  <c r="BG46" i="2" s="1"/>
  <c r="BI243" i="5"/>
  <c r="BJ46" i="2" s="1"/>
  <c r="C243" i="5"/>
  <c r="E243" i="5"/>
  <c r="F46" i="2" s="1"/>
  <c r="G243" i="5"/>
  <c r="H46" i="2" s="1"/>
  <c r="H243" i="5"/>
  <c r="I46" i="2" s="1"/>
  <c r="J243" i="5"/>
  <c r="K46" i="2" s="1"/>
  <c r="K243" i="5"/>
  <c r="L46" i="2" s="1"/>
  <c r="L243" i="5"/>
  <c r="N243" i="5"/>
  <c r="O46" i="2" s="1"/>
  <c r="P243" i="5"/>
  <c r="Q46" i="2" s="1"/>
  <c r="R243" i="5"/>
  <c r="S46" i="2" s="1"/>
  <c r="T243" i="5"/>
  <c r="U46" i="2" s="1"/>
  <c r="U243" i="5"/>
  <c r="V46" i="2" s="1"/>
  <c r="W243" i="5"/>
  <c r="X46" i="2" s="1"/>
  <c r="X243" i="5"/>
  <c r="Y46" i="2" s="1"/>
  <c r="Y243" i="5"/>
  <c r="Z46" i="2" s="1"/>
  <c r="AA243" i="5"/>
  <c r="AB46" i="2" s="1"/>
  <c r="AC243" i="5"/>
  <c r="AD46" i="2" s="1"/>
  <c r="AE243" i="5"/>
  <c r="AF46" i="2" s="1"/>
  <c r="AF243" i="5"/>
  <c r="AG46" i="2" s="1"/>
  <c r="AG243" i="5"/>
  <c r="AH46" i="2" s="1"/>
  <c r="AH243" i="5"/>
  <c r="AI46" i="2" s="1"/>
  <c r="AI243" i="5"/>
  <c r="AJ46" i="2" s="1"/>
  <c r="AK243" i="5"/>
  <c r="AL46" i="2" s="1"/>
  <c r="AL243" i="5"/>
  <c r="AM46" i="2" s="1"/>
  <c r="AM243" i="5"/>
  <c r="AN46" i="2" s="1"/>
  <c r="AN243" i="5"/>
  <c r="AO46" i="2" s="1"/>
  <c r="AO243" i="5"/>
  <c r="AP46" i="2" s="1"/>
  <c r="AP243" i="5"/>
  <c r="AQ46" i="2" s="1"/>
  <c r="AQ243" i="5"/>
  <c r="AR46" i="2" s="1"/>
  <c r="AR243" i="5"/>
  <c r="AS46" i="2" s="1"/>
  <c r="AS243" i="5"/>
  <c r="AT46" i="2" s="1"/>
  <c r="AT243" i="5"/>
  <c r="AU46" i="2" s="1"/>
  <c r="AU243" i="5"/>
  <c r="AV46" i="2" s="1"/>
  <c r="AV243" i="5"/>
  <c r="AW46" i="2" s="1"/>
  <c r="AX243" i="5"/>
  <c r="AY46" i="2" s="1"/>
  <c r="AZ243" i="5"/>
  <c r="BA46" i="2" s="1"/>
  <c r="BB243" i="5"/>
  <c r="BC46" i="2" s="1"/>
  <c r="BD243" i="5"/>
  <c r="BE46" i="2" s="1"/>
  <c r="BE243" i="5"/>
  <c r="BF46" i="2" s="1"/>
  <c r="BG243" i="5"/>
  <c r="BH46" i="2" s="1"/>
  <c r="BH243" i="5"/>
  <c r="BI46" i="2" s="1"/>
  <c r="BJ243" i="5"/>
  <c r="BK46" i="2" s="1"/>
  <c r="L19" i="3"/>
  <c r="O19" i="3" s="1"/>
  <c r="D242" i="5"/>
  <c r="E202" i="2" s="1"/>
  <c r="E242" i="5"/>
  <c r="F202" i="2" s="1"/>
  <c r="G242" i="5"/>
  <c r="H202" i="2" s="1"/>
  <c r="K242" i="5"/>
  <c r="L202" i="2" s="1"/>
  <c r="M242" i="5"/>
  <c r="N202" i="2" s="1"/>
  <c r="P242" i="5"/>
  <c r="Q202" i="2" s="1"/>
  <c r="S242" i="5"/>
  <c r="U242" i="5"/>
  <c r="V202" i="2" s="1"/>
  <c r="W242" i="5"/>
  <c r="X202" i="2" s="1"/>
  <c r="AA242" i="5"/>
  <c r="AB202" i="2" s="1"/>
  <c r="AD242" i="5"/>
  <c r="AE202" i="2" s="1"/>
  <c r="AF242" i="5"/>
  <c r="AG202" i="2" s="1"/>
  <c r="AH242" i="5"/>
  <c r="AI202" i="2" s="1"/>
  <c r="AJ242" i="5"/>
  <c r="AK202" i="2" s="1"/>
  <c r="AM242" i="5"/>
  <c r="AN202" i="2" s="1"/>
  <c r="AP242" i="5"/>
  <c r="AQ202" i="2" s="1"/>
  <c r="AS242" i="5"/>
  <c r="AT202" i="2" s="1"/>
  <c r="AW242" i="5"/>
  <c r="AX202" i="2" s="1"/>
  <c r="AY242" i="5"/>
  <c r="AZ202" i="2" s="1"/>
  <c r="BC242" i="5"/>
  <c r="BD202" i="2" s="1"/>
  <c r="BE242" i="5"/>
  <c r="BF202" i="2" s="1"/>
  <c r="BI242" i="5"/>
  <c r="BJ202" i="2" s="1"/>
  <c r="C242" i="5"/>
  <c r="F242" i="5"/>
  <c r="G202" i="2" s="1"/>
  <c r="H242" i="5"/>
  <c r="I202" i="2" s="1"/>
  <c r="I242" i="5"/>
  <c r="J202" i="2" s="1"/>
  <c r="J242" i="5"/>
  <c r="K202" i="2" s="1"/>
  <c r="L242" i="5"/>
  <c r="M202" i="2" s="1"/>
  <c r="N242" i="5"/>
  <c r="O202" i="2" s="1"/>
  <c r="O242" i="5"/>
  <c r="P202" i="2" s="1"/>
  <c r="Q242" i="5"/>
  <c r="R202" i="2" s="1"/>
  <c r="R242" i="5"/>
  <c r="S202" i="2" s="1"/>
  <c r="T242" i="5"/>
  <c r="U202" i="2" s="1"/>
  <c r="V242" i="5"/>
  <c r="W202" i="2" s="1"/>
  <c r="X242" i="5"/>
  <c r="Y202" i="2" s="1"/>
  <c r="Y242" i="5"/>
  <c r="Z202" i="2" s="1"/>
  <c r="Z242" i="5"/>
  <c r="AA202" i="2" s="1"/>
  <c r="AB242" i="5"/>
  <c r="AC202" i="2" s="1"/>
  <c r="AC242" i="5"/>
  <c r="AD202" i="2" s="1"/>
  <c r="AE242" i="5"/>
  <c r="AF202" i="2" s="1"/>
  <c r="AG242" i="5"/>
  <c r="AH202" i="2" s="1"/>
  <c r="AI242" i="5"/>
  <c r="AJ202" i="2" s="1"/>
  <c r="AK242" i="5"/>
  <c r="AL202" i="2" s="1"/>
  <c r="AL242" i="5"/>
  <c r="AM202" i="2" s="1"/>
  <c r="AN242" i="5"/>
  <c r="AO202" i="2" s="1"/>
  <c r="AO242" i="5"/>
  <c r="AP202" i="2" s="1"/>
  <c r="AQ242" i="5"/>
  <c r="AR202" i="2" s="1"/>
  <c r="AR242" i="5"/>
  <c r="AS202" i="2" s="1"/>
  <c r="AT242" i="5"/>
  <c r="AU202" i="2" s="1"/>
  <c r="AU242" i="5"/>
  <c r="AV202" i="2" s="1"/>
  <c r="AV242" i="5"/>
  <c r="AW202" i="2" s="1"/>
  <c r="AX242" i="5"/>
  <c r="AY202" i="2" s="1"/>
  <c r="AZ242" i="5"/>
  <c r="BA202" i="2" s="1"/>
  <c r="BA242" i="5"/>
  <c r="BB202" i="2" s="1"/>
  <c r="BB242" i="5"/>
  <c r="BC202" i="2" s="1"/>
  <c r="BD242" i="5"/>
  <c r="BE202" i="2" s="1"/>
  <c r="BF242" i="5"/>
  <c r="BG202" i="2" s="1"/>
  <c r="BG242" i="5"/>
  <c r="BH202" i="2" s="1"/>
  <c r="BH242" i="5"/>
  <c r="BI202" i="2" s="1"/>
  <c r="BJ242" i="5"/>
  <c r="BK202" i="2" s="1"/>
  <c r="L29" i="3"/>
  <c r="O29" i="3" s="1"/>
  <c r="E241" i="5"/>
  <c r="F166" i="2" s="1"/>
  <c r="H241" i="5"/>
  <c r="I166" i="2" s="1"/>
  <c r="K241" i="5"/>
  <c r="L166" i="2" s="1"/>
  <c r="N241" i="5"/>
  <c r="O166" i="2" s="1"/>
  <c r="Q241" i="5"/>
  <c r="R166" i="2" s="1"/>
  <c r="S241" i="5"/>
  <c r="T166" i="2" s="1"/>
  <c r="U241" i="5"/>
  <c r="V166" i="2" s="1"/>
  <c r="X241" i="5"/>
  <c r="Y166" i="2" s="1"/>
  <c r="AA241" i="5"/>
  <c r="AB166" i="2" s="1"/>
  <c r="AC241" i="5"/>
  <c r="AD166" i="2" s="1"/>
  <c r="AG241" i="5"/>
  <c r="AH166" i="2" s="1"/>
  <c r="AK241" i="5"/>
  <c r="AL166" i="2" s="1"/>
  <c r="AN241" i="5"/>
  <c r="AO166" i="2" s="1"/>
  <c r="AP241" i="5"/>
  <c r="AQ166" i="2" s="1"/>
  <c r="AQ241" i="5"/>
  <c r="AR166" i="2" s="1"/>
  <c r="AU241" i="5"/>
  <c r="AV166" i="2" s="1"/>
  <c r="AX241" i="5"/>
  <c r="AY166" i="2" s="1"/>
  <c r="AZ241" i="5"/>
  <c r="BA166" i="2" s="1"/>
  <c r="BC241" i="5"/>
  <c r="BD166" i="2" s="1"/>
  <c r="BE241" i="5"/>
  <c r="BF166" i="2" s="1"/>
  <c r="BI241" i="5"/>
  <c r="BJ166" i="2" s="1"/>
  <c r="C241" i="5"/>
  <c r="D241" i="5"/>
  <c r="E166" i="2" s="1"/>
  <c r="F241" i="5"/>
  <c r="G166" i="2" s="1"/>
  <c r="G241" i="5"/>
  <c r="H166" i="2" s="1"/>
  <c r="I241" i="5"/>
  <c r="J166" i="2" s="1"/>
  <c r="J241" i="5"/>
  <c r="K166" i="2" s="1"/>
  <c r="L241" i="5"/>
  <c r="M166" i="2" s="1"/>
  <c r="M241" i="5"/>
  <c r="N166" i="2" s="1"/>
  <c r="O241" i="5"/>
  <c r="P166" i="2" s="1"/>
  <c r="P241" i="5"/>
  <c r="Q166" i="2" s="1"/>
  <c r="R241" i="5"/>
  <c r="S166" i="2" s="1"/>
  <c r="T241" i="5"/>
  <c r="U166" i="2" s="1"/>
  <c r="V241" i="5"/>
  <c r="W166" i="2" s="1"/>
  <c r="W241" i="5"/>
  <c r="X166" i="2" s="1"/>
  <c r="Y241" i="5"/>
  <c r="Z166" i="2" s="1"/>
  <c r="Z241" i="5"/>
  <c r="AA166" i="2" s="1"/>
  <c r="AB241" i="5"/>
  <c r="AC166" i="2" s="1"/>
  <c r="AD241" i="5"/>
  <c r="AE166" i="2" s="1"/>
  <c r="AE241" i="5"/>
  <c r="AF166" i="2" s="1"/>
  <c r="AF241" i="5"/>
  <c r="AG166" i="2" s="1"/>
  <c r="AH241" i="5"/>
  <c r="AI166" i="2" s="1"/>
  <c r="AI241" i="5"/>
  <c r="AJ166" i="2" s="1"/>
  <c r="AJ241" i="5"/>
  <c r="AK166" i="2" s="1"/>
  <c r="AL241" i="5"/>
  <c r="AM166" i="2" s="1"/>
  <c r="AM241" i="5"/>
  <c r="AN166" i="2" s="1"/>
  <c r="AO241" i="5"/>
  <c r="AP166" i="2" s="1"/>
  <c r="AR241" i="5"/>
  <c r="AS166" i="2" s="1"/>
  <c r="AS241" i="5"/>
  <c r="AT166" i="2" s="1"/>
  <c r="AT241" i="5"/>
  <c r="AU166" i="2" s="1"/>
  <c r="AV241" i="5"/>
  <c r="AW166" i="2" s="1"/>
  <c r="AW241" i="5"/>
  <c r="AX166" i="2" s="1"/>
  <c r="AY241" i="5"/>
  <c r="AZ166" i="2" s="1"/>
  <c r="BA241" i="5"/>
  <c r="BB166" i="2" s="1"/>
  <c r="BB241" i="5"/>
  <c r="BC166" i="2" s="1"/>
  <c r="BD241" i="5"/>
  <c r="BE166" i="2" s="1"/>
  <c r="BF241" i="5"/>
  <c r="BG166" i="2" s="1"/>
  <c r="BG241" i="5"/>
  <c r="BH166" i="2" s="1"/>
  <c r="BH241" i="5"/>
  <c r="BI166" i="2" s="1"/>
  <c r="BJ241" i="5"/>
  <c r="BK166" i="2" s="1"/>
  <c r="L88" i="3"/>
  <c r="D240" i="5"/>
  <c r="E52" i="2" s="1"/>
  <c r="G240" i="5"/>
  <c r="H52" i="2" s="1"/>
  <c r="K240" i="5"/>
  <c r="L52" i="2" s="1"/>
  <c r="N240" i="5"/>
  <c r="Q240" i="5"/>
  <c r="R52" i="2" s="1"/>
  <c r="S240" i="5"/>
  <c r="T52" i="2" s="1"/>
  <c r="T240" i="5"/>
  <c r="U52" i="2" s="1"/>
  <c r="U240" i="5"/>
  <c r="V52" i="2" s="1"/>
  <c r="V240" i="5"/>
  <c r="W52" i="2" s="1"/>
  <c r="W240" i="5"/>
  <c r="X52" i="2" s="1"/>
  <c r="Y240" i="5"/>
  <c r="Z52" i="2" s="1"/>
  <c r="AB240" i="5"/>
  <c r="AC52" i="2" s="1"/>
  <c r="AE240" i="5"/>
  <c r="AF52" i="2" s="1"/>
  <c r="AH240" i="5"/>
  <c r="AI52" i="2" s="1"/>
  <c r="AK240" i="5"/>
  <c r="AL52" i="2" s="1"/>
  <c r="AO240" i="5"/>
  <c r="AP52" i="2" s="1"/>
  <c r="AR240" i="5"/>
  <c r="AS52" i="2" s="1"/>
  <c r="AV240" i="5"/>
  <c r="AW52" i="2" s="1"/>
  <c r="AY240" i="5"/>
  <c r="AZ52" i="2" s="1"/>
  <c r="BB240" i="5"/>
  <c r="BC52" i="2" s="1"/>
  <c r="BE240" i="5"/>
  <c r="BF52" i="2" s="1"/>
  <c r="BH240" i="5"/>
  <c r="BI52" i="2" s="1"/>
  <c r="C240" i="5"/>
  <c r="E240" i="5"/>
  <c r="F52" i="2" s="1"/>
  <c r="F240" i="5"/>
  <c r="G52" i="2" s="1"/>
  <c r="H240" i="5"/>
  <c r="I52" i="2" s="1"/>
  <c r="I240" i="5"/>
  <c r="J52" i="2" s="1"/>
  <c r="J240" i="5"/>
  <c r="K52" i="2" s="1"/>
  <c r="L240" i="5"/>
  <c r="M52" i="2" s="1"/>
  <c r="M240" i="5"/>
  <c r="N52" i="2" s="1"/>
  <c r="O240" i="5"/>
  <c r="P240" i="5"/>
  <c r="Q52" i="2" s="1"/>
  <c r="R240" i="5"/>
  <c r="S52" i="2" s="1"/>
  <c r="X240" i="5"/>
  <c r="Y52" i="2" s="1"/>
  <c r="Z240" i="5"/>
  <c r="AA52" i="2" s="1"/>
  <c r="AA240" i="5"/>
  <c r="AB52" i="2" s="1"/>
  <c r="AC240" i="5"/>
  <c r="AD52" i="2" s="1"/>
  <c r="AD240" i="5"/>
  <c r="AE52" i="2" s="1"/>
  <c r="AF240" i="5"/>
  <c r="AG52" i="2" s="1"/>
  <c r="AG240" i="5"/>
  <c r="AH52" i="2" s="1"/>
  <c r="AI240" i="5"/>
  <c r="AJ52" i="2" s="1"/>
  <c r="AJ240" i="5"/>
  <c r="AK52" i="2" s="1"/>
  <c r="AL240" i="5"/>
  <c r="AM52" i="2" s="1"/>
  <c r="AM240" i="5"/>
  <c r="AN52" i="2" s="1"/>
  <c r="AN240" i="5"/>
  <c r="AO52" i="2" s="1"/>
  <c r="AP240" i="5"/>
  <c r="AQ52" i="2" s="1"/>
  <c r="AQ240" i="5"/>
  <c r="AR52" i="2" s="1"/>
  <c r="AS240" i="5"/>
  <c r="AT52" i="2" s="1"/>
  <c r="AT240" i="5"/>
  <c r="AU52" i="2" s="1"/>
  <c r="AU240" i="5"/>
  <c r="AV52" i="2" s="1"/>
  <c r="AW240" i="5"/>
  <c r="AX52" i="2" s="1"/>
  <c r="AX240" i="5"/>
  <c r="AY52" i="2" s="1"/>
  <c r="AZ240" i="5"/>
  <c r="BA52" i="2" s="1"/>
  <c r="BA240" i="5"/>
  <c r="BB52" i="2" s="1"/>
  <c r="BC240" i="5"/>
  <c r="BD52" i="2" s="1"/>
  <c r="BD240" i="5"/>
  <c r="BE52" i="2" s="1"/>
  <c r="BF240" i="5"/>
  <c r="BG52" i="2" s="1"/>
  <c r="BG240" i="5"/>
  <c r="BH52" i="2" s="1"/>
  <c r="BI240" i="5"/>
  <c r="BJ52" i="2" s="1"/>
  <c r="BJ240" i="5"/>
  <c r="BK52" i="2" s="1"/>
  <c r="L16" i="3"/>
  <c r="O16" i="3" s="1"/>
  <c r="D239" i="5"/>
  <c r="E301" i="2" s="1"/>
  <c r="G239" i="5"/>
  <c r="H301" i="2" s="1"/>
  <c r="J239" i="5"/>
  <c r="K301" i="2" s="1"/>
  <c r="M239" i="5"/>
  <c r="N301" i="2" s="1"/>
  <c r="Q239" i="5"/>
  <c r="R301" i="2" s="1"/>
  <c r="S239" i="5"/>
  <c r="T301" i="2" s="1"/>
  <c r="V239" i="5"/>
  <c r="W301" i="2" s="1"/>
  <c r="Y239" i="5"/>
  <c r="Z301" i="2" s="1"/>
  <c r="AA239" i="5"/>
  <c r="AB301" i="2" s="1"/>
  <c r="AD239" i="5"/>
  <c r="AE301" i="2" s="1"/>
  <c r="AG239" i="5"/>
  <c r="AH301" i="2" s="1"/>
  <c r="AK239" i="5"/>
  <c r="AL301" i="2" s="1"/>
  <c r="AN239" i="5"/>
  <c r="AO301" i="2" s="1"/>
  <c r="AP239" i="5"/>
  <c r="AQ301" i="2" s="1"/>
  <c r="AR239" i="5"/>
  <c r="AS301" i="2" s="1"/>
  <c r="AU239" i="5"/>
  <c r="AV301" i="2" s="1"/>
  <c r="AW239" i="5"/>
  <c r="AX301" i="2" s="1"/>
  <c r="AY239" i="5"/>
  <c r="AZ301" i="2" s="1"/>
  <c r="BC239" i="5"/>
  <c r="BD301" i="2" s="1"/>
  <c r="BF239" i="5"/>
  <c r="BG301" i="2" s="1"/>
  <c r="BH239" i="5"/>
  <c r="BI301" i="2" s="1"/>
  <c r="C239" i="5"/>
  <c r="E239" i="5"/>
  <c r="F301" i="2" s="1"/>
  <c r="F239" i="5"/>
  <c r="G301" i="2" s="1"/>
  <c r="H239" i="5"/>
  <c r="I301" i="2" s="1"/>
  <c r="I239" i="5"/>
  <c r="J301" i="2" s="1"/>
  <c r="K239" i="5"/>
  <c r="L301" i="2" s="1"/>
  <c r="L239" i="5"/>
  <c r="M301" i="2" s="1"/>
  <c r="N239" i="5"/>
  <c r="O301" i="2" s="1"/>
  <c r="O239" i="5"/>
  <c r="P301" i="2" s="1"/>
  <c r="P239" i="5"/>
  <c r="Q301" i="2" s="1"/>
  <c r="R239" i="5"/>
  <c r="S301" i="2" s="1"/>
  <c r="T239" i="5"/>
  <c r="U301" i="2" s="1"/>
  <c r="U239" i="5"/>
  <c r="V301" i="2" s="1"/>
  <c r="W239" i="5"/>
  <c r="X301" i="2" s="1"/>
  <c r="X239" i="5"/>
  <c r="Y301" i="2" s="1"/>
  <c r="Z239" i="5"/>
  <c r="AA301" i="2" s="1"/>
  <c r="AB239" i="5"/>
  <c r="AC301" i="2" s="1"/>
  <c r="AC239" i="5"/>
  <c r="AD301" i="2" s="1"/>
  <c r="AE239" i="5"/>
  <c r="AF301" i="2" s="1"/>
  <c r="AF239" i="5"/>
  <c r="AG301" i="2" s="1"/>
  <c r="AH239" i="5"/>
  <c r="AI301" i="2" s="1"/>
  <c r="AI239" i="5"/>
  <c r="AJ301" i="2" s="1"/>
  <c r="AJ239" i="5"/>
  <c r="AK301" i="2" s="1"/>
  <c r="AL239" i="5"/>
  <c r="AM301" i="2" s="1"/>
  <c r="AM239" i="5"/>
  <c r="AN301" i="2" s="1"/>
  <c r="AO239" i="5"/>
  <c r="AP301" i="2" s="1"/>
  <c r="AQ239" i="5"/>
  <c r="AR301" i="2" s="1"/>
  <c r="AS239" i="5"/>
  <c r="AT301" i="2" s="1"/>
  <c r="AT239" i="5"/>
  <c r="AU301" i="2" s="1"/>
  <c r="AV239" i="5"/>
  <c r="AW301" i="2" s="1"/>
  <c r="AX239" i="5"/>
  <c r="AY301" i="2" s="1"/>
  <c r="AZ239" i="5"/>
  <c r="BA301" i="2" s="1"/>
  <c r="BA239" i="5"/>
  <c r="BB301" i="2" s="1"/>
  <c r="BB239" i="5"/>
  <c r="BC301" i="2" s="1"/>
  <c r="BD239" i="5"/>
  <c r="BE301" i="2" s="1"/>
  <c r="BE239" i="5"/>
  <c r="BF301" i="2" s="1"/>
  <c r="BG239" i="5"/>
  <c r="BH301" i="2" s="1"/>
  <c r="BI239" i="5"/>
  <c r="BJ301" i="2" s="1"/>
  <c r="BJ239" i="5"/>
  <c r="BK301" i="2" s="1"/>
  <c r="L104" i="3"/>
  <c r="D238" i="5"/>
  <c r="E271" i="2" s="1"/>
  <c r="F238" i="5"/>
  <c r="G271" i="2" s="1"/>
  <c r="I238" i="5"/>
  <c r="J271" i="2" s="1"/>
  <c r="L238" i="5"/>
  <c r="M271" i="2" s="1"/>
  <c r="O238" i="5"/>
  <c r="P271" i="2" s="1"/>
  <c r="R238" i="5"/>
  <c r="S271" i="2" s="1"/>
  <c r="U238" i="5"/>
  <c r="V271" i="2" s="1"/>
  <c r="Y238" i="5"/>
  <c r="Z271" i="2" s="1"/>
  <c r="AA238" i="5"/>
  <c r="AB271" i="2" s="1"/>
  <c r="AD238" i="5"/>
  <c r="AE271" i="2" s="1"/>
  <c r="AG238" i="5"/>
  <c r="AH271" i="2" s="1"/>
  <c r="AI238" i="5"/>
  <c r="AJ271" i="2" s="1"/>
  <c r="AK238" i="5"/>
  <c r="AL271" i="2" s="1"/>
  <c r="AM238" i="5"/>
  <c r="AN271" i="2" s="1"/>
  <c r="AO238" i="5"/>
  <c r="AP271" i="2" s="1"/>
  <c r="AT238" i="5"/>
  <c r="AU271" i="2" s="1"/>
  <c r="AW238" i="5"/>
  <c r="AX271" i="2" s="1"/>
  <c r="BA238" i="5"/>
  <c r="BB271" i="2" s="1"/>
  <c r="BD238" i="5"/>
  <c r="BE271" i="2" s="1"/>
  <c r="BF238" i="5"/>
  <c r="BG271" i="2" s="1"/>
  <c r="BH238" i="5"/>
  <c r="BI271" i="2" s="1"/>
  <c r="C238" i="5"/>
  <c r="E238" i="5"/>
  <c r="F271" i="2" s="1"/>
  <c r="G238" i="5"/>
  <c r="H271" i="2" s="1"/>
  <c r="H238" i="5"/>
  <c r="I271" i="2" s="1"/>
  <c r="J238" i="5"/>
  <c r="K271" i="2" s="1"/>
  <c r="K238" i="5"/>
  <c r="L271" i="2" s="1"/>
  <c r="M238" i="5"/>
  <c r="N271" i="2" s="1"/>
  <c r="N238" i="5"/>
  <c r="P238" i="5"/>
  <c r="Q271" i="2" s="1"/>
  <c r="Q238" i="5"/>
  <c r="R271" i="2" s="1"/>
  <c r="S238" i="5"/>
  <c r="T271" i="2" s="1"/>
  <c r="T238" i="5"/>
  <c r="U271" i="2" s="1"/>
  <c r="V238" i="5"/>
  <c r="W271" i="2" s="1"/>
  <c r="W238" i="5"/>
  <c r="X271" i="2" s="1"/>
  <c r="X238" i="5"/>
  <c r="Y271" i="2" s="1"/>
  <c r="Z238" i="5"/>
  <c r="AA271" i="2" s="1"/>
  <c r="AB238" i="5"/>
  <c r="AC271" i="2" s="1"/>
  <c r="AC238" i="5"/>
  <c r="AD271" i="2" s="1"/>
  <c r="AE238" i="5"/>
  <c r="AF271" i="2" s="1"/>
  <c r="AF238" i="5"/>
  <c r="AG271" i="2" s="1"/>
  <c r="AH238" i="5"/>
  <c r="AI271" i="2" s="1"/>
  <c r="AJ238" i="5"/>
  <c r="AK271" i="2" s="1"/>
  <c r="AL238" i="5"/>
  <c r="AM271" i="2" s="1"/>
  <c r="AN238" i="5"/>
  <c r="AO271" i="2" s="1"/>
  <c r="AP238" i="5"/>
  <c r="AQ271" i="2" s="1"/>
  <c r="AQ238" i="5"/>
  <c r="AR271" i="2" s="1"/>
  <c r="AR238" i="5"/>
  <c r="AS271" i="2" s="1"/>
  <c r="AS238" i="5"/>
  <c r="AT271" i="2" s="1"/>
  <c r="AU238" i="5"/>
  <c r="AV271" i="2" s="1"/>
  <c r="AV238" i="5"/>
  <c r="AW271" i="2" s="1"/>
  <c r="AX238" i="5"/>
  <c r="AY271" i="2" s="1"/>
  <c r="AY238" i="5"/>
  <c r="AZ271" i="2" s="1"/>
  <c r="AZ238" i="5"/>
  <c r="BA271" i="2" s="1"/>
  <c r="BB238" i="5"/>
  <c r="BC271" i="2" s="1"/>
  <c r="BC238" i="5"/>
  <c r="BD271" i="2" s="1"/>
  <c r="BE238" i="5"/>
  <c r="BF271" i="2" s="1"/>
  <c r="BG238" i="5"/>
  <c r="BH271" i="2" s="1"/>
  <c r="BI238" i="5"/>
  <c r="BJ271" i="2" s="1"/>
  <c r="BJ238" i="5"/>
  <c r="BK271" i="2" s="1"/>
  <c r="L65" i="3"/>
  <c r="D237" i="5"/>
  <c r="E199" i="2" s="1"/>
  <c r="F237" i="5"/>
  <c r="G199" i="2" s="1"/>
  <c r="I237" i="5"/>
  <c r="J199" i="2" s="1"/>
  <c r="K237" i="5"/>
  <c r="L199" i="2" s="1"/>
  <c r="L237" i="5"/>
  <c r="M199" i="2" s="1"/>
  <c r="N237" i="5"/>
  <c r="O199" i="2" s="1"/>
  <c r="R237" i="5"/>
  <c r="S199" i="2" s="1"/>
  <c r="V237" i="5"/>
  <c r="W199" i="2" s="1"/>
  <c r="Y237" i="5"/>
  <c r="Z199" i="2" s="1"/>
  <c r="AE237" i="5"/>
  <c r="AF199" i="2" s="1"/>
  <c r="AG237" i="5"/>
  <c r="AH199" i="2" s="1"/>
  <c r="AK237" i="5"/>
  <c r="AL199" i="2" s="1"/>
  <c r="AM237" i="5"/>
  <c r="AN199" i="2" s="1"/>
  <c r="AN237" i="5"/>
  <c r="AO199" i="2" s="1"/>
  <c r="AQ237" i="5"/>
  <c r="AR199" i="2" s="1"/>
  <c r="AT237" i="5"/>
  <c r="AU199" i="2" s="1"/>
  <c r="AW237" i="5"/>
  <c r="AX199" i="2" s="1"/>
  <c r="AZ237" i="5"/>
  <c r="BA199" i="2" s="1"/>
  <c r="BB237" i="5"/>
  <c r="BC199" i="2" s="1"/>
  <c r="BF237" i="5"/>
  <c r="BG199" i="2" s="1"/>
  <c r="BH237" i="5"/>
  <c r="BI199" i="2" s="1"/>
  <c r="C237" i="5"/>
  <c r="E237" i="5"/>
  <c r="F199" i="2" s="1"/>
  <c r="G237" i="5"/>
  <c r="H199" i="2" s="1"/>
  <c r="H237" i="5"/>
  <c r="I199" i="2" s="1"/>
  <c r="J237" i="5"/>
  <c r="K199" i="2" s="1"/>
  <c r="M237" i="5"/>
  <c r="N199" i="2" s="1"/>
  <c r="O237" i="5"/>
  <c r="P237" i="5"/>
  <c r="Q199" i="2" s="1"/>
  <c r="Q237" i="5"/>
  <c r="R199" i="2" s="1"/>
  <c r="S237" i="5"/>
  <c r="T199" i="2" s="1"/>
  <c r="T237" i="5"/>
  <c r="U199" i="2" s="1"/>
  <c r="U237" i="5"/>
  <c r="V199" i="2" s="1"/>
  <c r="W237" i="5"/>
  <c r="X199" i="2" s="1"/>
  <c r="X237" i="5"/>
  <c r="Y199" i="2" s="1"/>
  <c r="Z237" i="5"/>
  <c r="AA199" i="2" s="1"/>
  <c r="AA237" i="5"/>
  <c r="AB199" i="2" s="1"/>
  <c r="AB237" i="5"/>
  <c r="AC199" i="2" s="1"/>
  <c r="AC237" i="5"/>
  <c r="AD199" i="2" s="1"/>
  <c r="AD237" i="5"/>
  <c r="AE199" i="2" s="1"/>
  <c r="AF237" i="5"/>
  <c r="AG199" i="2" s="1"/>
  <c r="AH237" i="5"/>
  <c r="AI199" i="2" s="1"/>
  <c r="AI237" i="5"/>
  <c r="AJ199" i="2" s="1"/>
  <c r="AJ237" i="5"/>
  <c r="AK199" i="2" s="1"/>
  <c r="AL237" i="5"/>
  <c r="AM199" i="2" s="1"/>
  <c r="AO237" i="5"/>
  <c r="AP199" i="2" s="1"/>
  <c r="AP237" i="5"/>
  <c r="AQ199" i="2" s="1"/>
  <c r="AR237" i="5"/>
  <c r="AS199" i="2" s="1"/>
  <c r="AS237" i="5"/>
  <c r="AT199" i="2" s="1"/>
  <c r="AU237" i="5"/>
  <c r="AV199" i="2" s="1"/>
  <c r="AV237" i="5"/>
  <c r="AW199" i="2" s="1"/>
  <c r="AX237" i="5"/>
  <c r="AY199" i="2" s="1"/>
  <c r="AY237" i="5"/>
  <c r="AZ199" i="2" s="1"/>
  <c r="BA237" i="5"/>
  <c r="BB199" i="2" s="1"/>
  <c r="BC237" i="5"/>
  <c r="BD199" i="2" s="1"/>
  <c r="BD237" i="5"/>
  <c r="BE199" i="2" s="1"/>
  <c r="BE237" i="5"/>
  <c r="BF199" i="2" s="1"/>
  <c r="BG237" i="5"/>
  <c r="BH199" i="2" s="1"/>
  <c r="BI237" i="5"/>
  <c r="BJ199" i="2" s="1"/>
  <c r="BJ237" i="5"/>
  <c r="BK199" i="2" s="1"/>
  <c r="L36" i="3"/>
  <c r="O36" i="3" s="1"/>
  <c r="E236" i="5"/>
  <c r="F7" i="2" s="1"/>
  <c r="F236" i="5"/>
  <c r="G7" i="2" s="1"/>
  <c r="H236" i="5"/>
  <c r="I7" i="2" s="1"/>
  <c r="K236" i="5"/>
  <c r="L7" i="2" s="1"/>
  <c r="N236" i="5"/>
  <c r="O7" i="2" s="1"/>
  <c r="Q236" i="5"/>
  <c r="R7" i="2" s="1"/>
  <c r="S236" i="5"/>
  <c r="T7" i="2" s="1"/>
  <c r="W236" i="5"/>
  <c r="X7" i="2" s="1"/>
  <c r="Z236" i="5"/>
  <c r="AA7" i="2" s="1"/>
  <c r="AB236" i="5"/>
  <c r="AC7" i="2" s="1"/>
  <c r="AD236" i="5"/>
  <c r="AE7" i="2" s="1"/>
  <c r="AG236" i="5"/>
  <c r="AH7" i="2" s="1"/>
  <c r="AH236" i="5"/>
  <c r="AI7" i="2" s="1"/>
  <c r="AI236" i="5"/>
  <c r="AJ7" i="2" s="1"/>
  <c r="AJ236" i="5"/>
  <c r="AK7" i="2" s="1"/>
  <c r="AL236" i="5"/>
  <c r="AM7" i="2" s="1"/>
  <c r="AN236" i="5"/>
  <c r="AO7" i="2" s="1"/>
  <c r="AQ236" i="5"/>
  <c r="AR7" i="2" s="1"/>
  <c r="AS236" i="5"/>
  <c r="AT7" i="2" s="1"/>
  <c r="AU236" i="5"/>
  <c r="AV7" i="2" s="1"/>
  <c r="AX236" i="5"/>
  <c r="AY7" i="2" s="1"/>
  <c r="AZ236" i="5"/>
  <c r="BA7" i="2" s="1"/>
  <c r="BC236" i="5"/>
  <c r="BD7" i="2" s="1"/>
  <c r="BE236" i="5"/>
  <c r="BF7" i="2" s="1"/>
  <c r="BH236" i="5"/>
  <c r="BI7" i="2" s="1"/>
  <c r="C236" i="5"/>
  <c r="D236" i="5"/>
  <c r="G236" i="5"/>
  <c r="H7" i="2" s="1"/>
  <c r="I236" i="5"/>
  <c r="J7" i="2" s="1"/>
  <c r="J236" i="5"/>
  <c r="K7" i="2" s="1"/>
  <c r="L236" i="5"/>
  <c r="M7" i="2" s="1"/>
  <c r="M236" i="5"/>
  <c r="N7" i="2" s="1"/>
  <c r="O236" i="5"/>
  <c r="P7" i="2" s="1"/>
  <c r="P236" i="5"/>
  <c r="Q7" i="2" s="1"/>
  <c r="R236" i="5"/>
  <c r="S7" i="2" s="1"/>
  <c r="T236" i="5"/>
  <c r="U7" i="2" s="1"/>
  <c r="U236" i="5"/>
  <c r="V7" i="2" s="1"/>
  <c r="V236" i="5"/>
  <c r="W7" i="2" s="1"/>
  <c r="X236" i="5"/>
  <c r="Y7" i="2" s="1"/>
  <c r="Y236" i="5"/>
  <c r="Z7" i="2" s="1"/>
  <c r="AA236" i="5"/>
  <c r="AB7" i="2" s="1"/>
  <c r="AC236" i="5"/>
  <c r="AD7" i="2" s="1"/>
  <c r="AE236" i="5"/>
  <c r="AF7" i="2" s="1"/>
  <c r="AF236" i="5"/>
  <c r="AG7" i="2" s="1"/>
  <c r="AK236" i="5"/>
  <c r="AL7" i="2" s="1"/>
  <c r="AM236" i="5"/>
  <c r="AN7" i="2" s="1"/>
  <c r="AO236" i="5"/>
  <c r="AP7" i="2" s="1"/>
  <c r="AP236" i="5"/>
  <c r="AQ7" i="2" s="1"/>
  <c r="AR236" i="5"/>
  <c r="AS7" i="2" s="1"/>
  <c r="AT236" i="5"/>
  <c r="AU7" i="2" s="1"/>
  <c r="AV236" i="5"/>
  <c r="AW7" i="2" s="1"/>
  <c r="AW236" i="5"/>
  <c r="AX7" i="2" s="1"/>
  <c r="AY236" i="5"/>
  <c r="AZ7" i="2" s="1"/>
  <c r="BA236" i="5"/>
  <c r="BB7" i="2" s="1"/>
  <c r="BB236" i="5"/>
  <c r="BC7" i="2" s="1"/>
  <c r="BD236" i="5"/>
  <c r="BE7" i="2" s="1"/>
  <c r="BF236" i="5"/>
  <c r="BG7" i="2" s="1"/>
  <c r="BG236" i="5"/>
  <c r="BH7" i="2" s="1"/>
  <c r="BI236" i="5"/>
  <c r="BJ7" i="2" s="1"/>
  <c r="BJ236" i="5"/>
  <c r="BK7" i="2" s="1"/>
  <c r="L47" i="3"/>
  <c r="M13" i="3"/>
  <c r="C235" i="5"/>
  <c r="F235" i="5"/>
  <c r="I235" i="5"/>
  <c r="L235" i="5"/>
  <c r="O235" i="5"/>
  <c r="S235" i="5"/>
  <c r="U235" i="5"/>
  <c r="X235" i="5"/>
  <c r="AC235" i="5"/>
  <c r="AG235" i="5"/>
  <c r="AK235" i="5"/>
  <c r="AV235" i="5"/>
  <c r="AX235" i="5"/>
  <c r="AZ235" i="5"/>
  <c r="BC235" i="5"/>
  <c r="BF235" i="5"/>
  <c r="BI235" i="5"/>
  <c r="D235" i="5"/>
  <c r="E235" i="5"/>
  <c r="G235" i="5"/>
  <c r="H235" i="5"/>
  <c r="J235" i="5"/>
  <c r="K235" i="5"/>
  <c r="M235" i="5"/>
  <c r="N235" i="5"/>
  <c r="P235" i="5"/>
  <c r="Q235" i="5"/>
  <c r="R235" i="5"/>
  <c r="T235" i="5"/>
  <c r="V235" i="5"/>
  <c r="W235" i="5"/>
  <c r="Y235" i="5"/>
  <c r="Z235" i="5"/>
  <c r="AA235" i="5"/>
  <c r="AB235" i="5"/>
  <c r="AD235" i="5"/>
  <c r="AE235" i="5"/>
  <c r="AF235" i="5"/>
  <c r="AH235" i="5"/>
  <c r="AI235" i="5"/>
  <c r="AJ235" i="5"/>
  <c r="AL235" i="5"/>
  <c r="AM235" i="5"/>
  <c r="AN235" i="5"/>
  <c r="AO235" i="5"/>
  <c r="AP235" i="5"/>
  <c r="AQ235" i="5"/>
  <c r="AR235" i="5"/>
  <c r="AS235" i="5"/>
  <c r="AT235" i="5"/>
  <c r="AU235" i="5"/>
  <c r="AW235" i="5"/>
  <c r="AY235" i="5"/>
  <c r="BA235" i="5"/>
  <c r="BB235" i="5"/>
  <c r="BD235" i="5"/>
  <c r="BE235" i="5"/>
  <c r="BG235" i="5"/>
  <c r="BH235" i="5"/>
  <c r="BJ235" i="5"/>
  <c r="L13" i="3"/>
  <c r="O13" i="3" s="1"/>
  <c r="V341" i="4"/>
  <c r="V355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J341" i="4"/>
  <c r="BJ355" i="4"/>
  <c r="BI341" i="4"/>
  <c r="BI355" i="4"/>
  <c r="BH341" i="4"/>
  <c r="BH355" i="4"/>
  <c r="BG341" i="4"/>
  <c r="BG355" i="4"/>
  <c r="BF341" i="4"/>
  <c r="BF355" i="4"/>
  <c r="BE341" i="4"/>
  <c r="BE355" i="4"/>
  <c r="BD341" i="4"/>
  <c r="BD355" i="4"/>
  <c r="BC341" i="4"/>
  <c r="BC355" i="4"/>
  <c r="BB341" i="4"/>
  <c r="BB355" i="4"/>
  <c r="BA341" i="4"/>
  <c r="BA355" i="4"/>
  <c r="AZ341" i="4"/>
  <c r="AZ355" i="4"/>
  <c r="AY341" i="4"/>
  <c r="AY355" i="4"/>
  <c r="AX341" i="4"/>
  <c r="AX355" i="4"/>
  <c r="AW341" i="4"/>
  <c r="AW355" i="4"/>
  <c r="AV341" i="4"/>
  <c r="AV355" i="4"/>
  <c r="AU341" i="4"/>
  <c r="AU355" i="4"/>
  <c r="AT341" i="4"/>
  <c r="AT355" i="4"/>
  <c r="AS341" i="4"/>
  <c r="AS355" i="4"/>
  <c r="AR341" i="4"/>
  <c r="AR355" i="4"/>
  <c r="AQ341" i="4"/>
  <c r="AQ355" i="4"/>
  <c r="AP341" i="4"/>
  <c r="AP355" i="4"/>
  <c r="AO341" i="4"/>
  <c r="AO355" i="4"/>
  <c r="AN341" i="4"/>
  <c r="AN355" i="4"/>
  <c r="AM341" i="4"/>
  <c r="AM355" i="4"/>
  <c r="AL341" i="4"/>
  <c r="AL355" i="4"/>
  <c r="AK341" i="4"/>
  <c r="AK355" i="4"/>
  <c r="AJ341" i="4"/>
  <c r="AJ355" i="4"/>
  <c r="AI341" i="4"/>
  <c r="AI355" i="4"/>
  <c r="AH341" i="4"/>
  <c r="AH355" i="4"/>
  <c r="AG341" i="4"/>
  <c r="AG355" i="4"/>
  <c r="AF341" i="4"/>
  <c r="AF355" i="4"/>
  <c r="AE341" i="4"/>
  <c r="AE355" i="4"/>
  <c r="AD341" i="4"/>
  <c r="AD355" i="4"/>
  <c r="AC341" i="4"/>
  <c r="AC355" i="4"/>
  <c r="AB341" i="4"/>
  <c r="AB355" i="4"/>
  <c r="AA341" i="4"/>
  <c r="AA355" i="4"/>
  <c r="Z341" i="4"/>
  <c r="Z355" i="4"/>
  <c r="Y341" i="4"/>
  <c r="Y355" i="4"/>
  <c r="X341" i="4"/>
  <c r="X355" i="4"/>
  <c r="W341" i="4"/>
  <c r="W355" i="4"/>
  <c r="F129" i="4"/>
  <c r="C334" i="4"/>
  <c r="F334" i="4"/>
  <c r="G252" i="2" s="1"/>
  <c r="J334" i="4"/>
  <c r="K252" i="2" s="1"/>
  <c r="M334" i="4"/>
  <c r="N252" i="2" s="1"/>
  <c r="P334" i="4"/>
  <c r="Q252" i="2" s="1"/>
  <c r="S334" i="4"/>
  <c r="V334" i="4"/>
  <c r="W252" i="2" s="1"/>
  <c r="Y334" i="4"/>
  <c r="Z252" i="2" s="1"/>
  <c r="AB334" i="4"/>
  <c r="AC252" i="2" s="1"/>
  <c r="AE334" i="4"/>
  <c r="AF252" i="2" s="1"/>
  <c r="AG334" i="4"/>
  <c r="AH252" i="2" s="1"/>
  <c r="AJ334" i="4"/>
  <c r="AK252" i="2" s="1"/>
  <c r="AM334" i="4"/>
  <c r="AN252" i="2" s="1"/>
  <c r="AP334" i="4"/>
  <c r="AQ252" i="2" s="1"/>
  <c r="AS334" i="4"/>
  <c r="AT252" i="2" s="1"/>
  <c r="AV334" i="4"/>
  <c r="AW252" i="2" s="1"/>
  <c r="AY334" i="4"/>
  <c r="AZ252" i="2" s="1"/>
  <c r="BC334" i="4"/>
  <c r="BD252" i="2" s="1"/>
  <c r="D334" i="4"/>
  <c r="E252" i="2" s="1"/>
  <c r="H334" i="4"/>
  <c r="I252" i="2" s="1"/>
  <c r="K334" i="4"/>
  <c r="L252" i="2" s="1"/>
  <c r="N334" i="4"/>
  <c r="O252" i="2" s="1"/>
  <c r="Q334" i="4"/>
  <c r="R252" i="2" s="1"/>
  <c r="T334" i="4"/>
  <c r="X334" i="4"/>
  <c r="Y252" i="2" s="1"/>
  <c r="AA334" i="4"/>
  <c r="AB252" i="2" s="1"/>
  <c r="AD334" i="4"/>
  <c r="AE252" i="2" s="1"/>
  <c r="AH334" i="4"/>
  <c r="AI252" i="2" s="1"/>
  <c r="AK334" i="4"/>
  <c r="AL252" i="2" s="1"/>
  <c r="AN334" i="4"/>
  <c r="AO252" i="2" s="1"/>
  <c r="AQ334" i="4"/>
  <c r="AR252" i="2" s="1"/>
  <c r="AT334" i="4"/>
  <c r="AU252" i="2" s="1"/>
  <c r="AW334" i="4"/>
  <c r="AX252" i="2" s="1"/>
  <c r="AZ334" i="4"/>
  <c r="BA252" i="2" s="1"/>
  <c r="BB334" i="4"/>
  <c r="BC252" i="2" s="1"/>
  <c r="BD334" i="4"/>
  <c r="BE252" i="2" s="1"/>
  <c r="BF334" i="4"/>
  <c r="BG252" i="2" s="1"/>
  <c r="BH334" i="4"/>
  <c r="BI252" i="2" s="1"/>
  <c r="BI334" i="4"/>
  <c r="BJ252" i="2" s="1"/>
  <c r="E334" i="4"/>
  <c r="F252" i="2" s="1"/>
  <c r="G334" i="4"/>
  <c r="H252" i="2" s="1"/>
  <c r="I334" i="4"/>
  <c r="J252" i="2" s="1"/>
  <c r="L334" i="4"/>
  <c r="M252" i="2" s="1"/>
  <c r="O334" i="4"/>
  <c r="P252" i="2" s="1"/>
  <c r="R334" i="4"/>
  <c r="U334" i="4"/>
  <c r="V252" i="2" s="1"/>
  <c r="W334" i="4"/>
  <c r="X252" i="2" s="1"/>
  <c r="Z334" i="4"/>
  <c r="AA252" i="2" s="1"/>
  <c r="AC334" i="4"/>
  <c r="AD252" i="2" s="1"/>
  <c r="AF334" i="4"/>
  <c r="AG252" i="2" s="1"/>
  <c r="AI334" i="4"/>
  <c r="AJ252" i="2" s="1"/>
  <c r="AL334" i="4"/>
  <c r="AM252" i="2" s="1"/>
  <c r="AO334" i="4"/>
  <c r="AP252" i="2" s="1"/>
  <c r="AR334" i="4"/>
  <c r="AS252" i="2" s="1"/>
  <c r="AU334" i="4"/>
  <c r="AV252" i="2" s="1"/>
  <c r="AX334" i="4"/>
  <c r="AY252" i="2" s="1"/>
  <c r="BA334" i="4"/>
  <c r="BB252" i="2" s="1"/>
  <c r="BE334" i="4"/>
  <c r="BF252" i="2" s="1"/>
  <c r="BG334" i="4"/>
  <c r="BH252" i="2" s="1"/>
  <c r="BJ334" i="4"/>
  <c r="BK252" i="2" s="1"/>
  <c r="E333" i="4"/>
  <c r="F120" i="2" s="1"/>
  <c r="H333" i="4"/>
  <c r="K333" i="4"/>
  <c r="L120" i="2" s="1"/>
  <c r="N333" i="4"/>
  <c r="O120" i="2" s="1"/>
  <c r="Q333" i="4"/>
  <c r="R120" i="2" s="1"/>
  <c r="U333" i="4"/>
  <c r="V120" i="2" s="1"/>
  <c r="X333" i="4"/>
  <c r="Y120" i="2" s="1"/>
  <c r="AA333" i="4"/>
  <c r="AB120" i="2" s="1"/>
  <c r="AE333" i="4"/>
  <c r="AF120" i="2" s="1"/>
  <c r="AH333" i="4"/>
  <c r="AI120" i="2" s="1"/>
  <c r="AK333" i="4"/>
  <c r="AL120" i="2" s="1"/>
  <c r="AN333" i="4"/>
  <c r="AO120" i="2" s="1"/>
  <c r="AQ333" i="4"/>
  <c r="AR120" i="2" s="1"/>
  <c r="AU333" i="4"/>
  <c r="AV120" i="2" s="1"/>
  <c r="AX333" i="4"/>
  <c r="AY120" i="2" s="1"/>
  <c r="BA333" i="4"/>
  <c r="BB120" i="2" s="1"/>
  <c r="BD333" i="4"/>
  <c r="BE120" i="2" s="1"/>
  <c r="BG333" i="4"/>
  <c r="BH120" i="2" s="1"/>
  <c r="BI333" i="4"/>
  <c r="BJ120" i="2" s="1"/>
  <c r="D333" i="4"/>
  <c r="E120" i="2" s="1"/>
  <c r="G333" i="4"/>
  <c r="H120" i="2" s="1"/>
  <c r="J333" i="4"/>
  <c r="K120" i="2" s="1"/>
  <c r="M333" i="4"/>
  <c r="N120" i="2" s="1"/>
  <c r="P333" i="4"/>
  <c r="Q120" i="2" s="1"/>
  <c r="S333" i="4"/>
  <c r="T120" i="2" s="1"/>
  <c r="V333" i="4"/>
  <c r="W120" i="2" s="1"/>
  <c r="Y333" i="4"/>
  <c r="Z120" i="2" s="1"/>
  <c r="AB333" i="4"/>
  <c r="AC120" i="2" s="1"/>
  <c r="AD333" i="4"/>
  <c r="AE120" i="2" s="1"/>
  <c r="AF333" i="4"/>
  <c r="AG120" i="2" s="1"/>
  <c r="AI333" i="4"/>
  <c r="AJ120" i="2" s="1"/>
  <c r="AL333" i="4"/>
  <c r="AM120" i="2" s="1"/>
  <c r="AO333" i="4"/>
  <c r="AP120" i="2" s="1"/>
  <c r="AR333" i="4"/>
  <c r="AS120" i="2" s="1"/>
  <c r="AT333" i="4"/>
  <c r="AU120" i="2" s="1"/>
  <c r="AW333" i="4"/>
  <c r="AX120" i="2" s="1"/>
  <c r="AZ333" i="4"/>
  <c r="BA120" i="2" s="1"/>
  <c r="BC333" i="4"/>
  <c r="BD120" i="2" s="1"/>
  <c r="BE333" i="4"/>
  <c r="BF120" i="2" s="1"/>
  <c r="BF333" i="4"/>
  <c r="BG120" i="2" s="1"/>
  <c r="BH333" i="4"/>
  <c r="BI120" i="2" s="1"/>
  <c r="BJ333" i="4"/>
  <c r="BK120" i="2" s="1"/>
  <c r="C333" i="4"/>
  <c r="F333" i="4"/>
  <c r="G120" i="2" s="1"/>
  <c r="I333" i="4"/>
  <c r="L333" i="4"/>
  <c r="M120" i="2" s="1"/>
  <c r="O333" i="4"/>
  <c r="P120" i="2" s="1"/>
  <c r="R333" i="4"/>
  <c r="S120" i="2" s="1"/>
  <c r="T333" i="4"/>
  <c r="U120" i="2" s="1"/>
  <c r="W333" i="4"/>
  <c r="X120" i="2" s="1"/>
  <c r="Z333" i="4"/>
  <c r="AA120" i="2" s="1"/>
  <c r="AC333" i="4"/>
  <c r="AD120" i="2" s="1"/>
  <c r="AG333" i="4"/>
  <c r="AH120" i="2" s="1"/>
  <c r="AJ333" i="4"/>
  <c r="AK120" i="2" s="1"/>
  <c r="AM333" i="4"/>
  <c r="AN120" i="2" s="1"/>
  <c r="AP333" i="4"/>
  <c r="AQ120" i="2" s="1"/>
  <c r="AS333" i="4"/>
  <c r="AT120" i="2" s="1"/>
  <c r="AV333" i="4"/>
  <c r="AW120" i="2" s="1"/>
  <c r="AY333" i="4"/>
  <c r="AZ120" i="2" s="1"/>
  <c r="BB333" i="4"/>
  <c r="BC120" i="2" s="1"/>
  <c r="D332" i="4"/>
  <c r="E36" i="2" s="1"/>
  <c r="G332" i="4"/>
  <c r="H36" i="2" s="1"/>
  <c r="J332" i="4"/>
  <c r="K36" i="2" s="1"/>
  <c r="M332" i="4"/>
  <c r="N36" i="2" s="1"/>
  <c r="P332" i="4"/>
  <c r="Q36" i="2" s="1"/>
  <c r="S332" i="4"/>
  <c r="T36" i="2" s="1"/>
  <c r="V332" i="4"/>
  <c r="W36" i="2" s="1"/>
  <c r="Z332" i="4"/>
  <c r="AA36" i="2" s="1"/>
  <c r="AC332" i="4"/>
  <c r="AD36" i="2" s="1"/>
  <c r="AF332" i="4"/>
  <c r="AG36" i="2" s="1"/>
  <c r="AI332" i="4"/>
  <c r="AJ36" i="2" s="1"/>
  <c r="AK332" i="4"/>
  <c r="AL36" i="2" s="1"/>
  <c r="AN332" i="4"/>
  <c r="AO36" i="2" s="1"/>
  <c r="AQ332" i="4"/>
  <c r="AR36" i="2" s="1"/>
  <c r="AT332" i="4"/>
  <c r="AU36" i="2" s="1"/>
  <c r="AX332" i="4"/>
  <c r="AY36" i="2" s="1"/>
  <c r="BA332" i="4"/>
  <c r="BB36" i="2" s="1"/>
  <c r="BD332" i="4"/>
  <c r="BE36" i="2" s="1"/>
  <c r="BG332" i="4"/>
  <c r="BH36" i="2" s="1"/>
  <c r="E332" i="4"/>
  <c r="F36" i="2" s="1"/>
  <c r="H332" i="4"/>
  <c r="I36" i="2" s="1"/>
  <c r="K332" i="4"/>
  <c r="L36" i="2" s="1"/>
  <c r="N332" i="4"/>
  <c r="O36" i="2" s="1"/>
  <c r="Q332" i="4"/>
  <c r="R36" i="2" s="1"/>
  <c r="T332" i="4"/>
  <c r="U36" i="2" s="1"/>
  <c r="W332" i="4"/>
  <c r="X36" i="2" s="1"/>
  <c r="X332" i="4"/>
  <c r="Y36" i="2" s="1"/>
  <c r="AA332" i="4"/>
  <c r="AB36" i="2" s="1"/>
  <c r="AD332" i="4"/>
  <c r="AE36" i="2" s="1"/>
  <c r="AG332" i="4"/>
  <c r="AH36" i="2" s="1"/>
  <c r="AJ332" i="4"/>
  <c r="AK36" i="2" s="1"/>
  <c r="AM332" i="4"/>
  <c r="AN36" i="2" s="1"/>
  <c r="AP332" i="4"/>
  <c r="AQ36" i="2" s="1"/>
  <c r="AS332" i="4"/>
  <c r="AT36" i="2" s="1"/>
  <c r="AV332" i="4"/>
  <c r="AW36" i="2" s="1"/>
  <c r="AY332" i="4"/>
  <c r="AZ36" i="2" s="1"/>
  <c r="BB332" i="4"/>
  <c r="BC36" i="2" s="1"/>
  <c r="BE332" i="4"/>
  <c r="BF36" i="2" s="1"/>
  <c r="BH332" i="4"/>
  <c r="BI36" i="2" s="1"/>
  <c r="BJ332" i="4"/>
  <c r="BK36" i="2" s="1"/>
  <c r="C332" i="4"/>
  <c r="F332" i="4"/>
  <c r="G36" i="2" s="1"/>
  <c r="I332" i="4"/>
  <c r="J36" i="2" s="1"/>
  <c r="L332" i="4"/>
  <c r="M36" i="2" s="1"/>
  <c r="O332" i="4"/>
  <c r="P36" i="2" s="1"/>
  <c r="R332" i="4"/>
  <c r="S36" i="2" s="1"/>
  <c r="U332" i="4"/>
  <c r="V36" i="2" s="1"/>
  <c r="Y332" i="4"/>
  <c r="Z36" i="2" s="1"/>
  <c r="AB332" i="4"/>
  <c r="AC36" i="2" s="1"/>
  <c r="AE332" i="4"/>
  <c r="AF36" i="2" s="1"/>
  <c r="AH332" i="4"/>
  <c r="AI36" i="2" s="1"/>
  <c r="AL332" i="4"/>
  <c r="AM36" i="2" s="1"/>
  <c r="AO332" i="4"/>
  <c r="AP36" i="2" s="1"/>
  <c r="AR332" i="4"/>
  <c r="AS36" i="2" s="1"/>
  <c r="AU332" i="4"/>
  <c r="AV36" i="2" s="1"/>
  <c r="AW332" i="4"/>
  <c r="AX36" i="2" s="1"/>
  <c r="AZ332" i="4"/>
  <c r="BA36" i="2" s="1"/>
  <c r="BC332" i="4"/>
  <c r="BD36" i="2" s="1"/>
  <c r="BF332" i="4"/>
  <c r="BG36" i="2" s="1"/>
  <c r="BI332" i="4"/>
  <c r="BJ36" i="2" s="1"/>
  <c r="D331" i="4"/>
  <c r="E237" i="2" s="1"/>
  <c r="G331" i="4"/>
  <c r="H237" i="2" s="1"/>
  <c r="K331" i="4"/>
  <c r="L237" i="2" s="1"/>
  <c r="N331" i="4"/>
  <c r="O237" i="2" s="1"/>
  <c r="Q331" i="4"/>
  <c r="T331" i="4"/>
  <c r="U237" i="2" s="1"/>
  <c r="U331" i="4"/>
  <c r="V237" i="2" s="1"/>
  <c r="X331" i="4"/>
  <c r="Y237" i="2" s="1"/>
  <c r="AA331" i="4"/>
  <c r="AB237" i="2" s="1"/>
  <c r="AD331" i="4"/>
  <c r="AE237" i="2" s="1"/>
  <c r="AG331" i="4"/>
  <c r="AH237" i="2" s="1"/>
  <c r="AJ331" i="4"/>
  <c r="AK237" i="2" s="1"/>
  <c r="AM331" i="4"/>
  <c r="AN237" i="2" s="1"/>
  <c r="AQ331" i="4"/>
  <c r="AR237" i="2" s="1"/>
  <c r="AU331" i="4"/>
  <c r="AV237" i="2" s="1"/>
  <c r="AX331" i="4"/>
  <c r="AY237" i="2" s="1"/>
  <c r="BA331" i="4"/>
  <c r="BB237" i="2" s="1"/>
  <c r="BD331" i="4"/>
  <c r="BE237" i="2" s="1"/>
  <c r="BG331" i="4"/>
  <c r="BH237" i="2" s="1"/>
  <c r="BJ331" i="4"/>
  <c r="BK237" i="2" s="1"/>
  <c r="C331" i="4"/>
  <c r="F331" i="4"/>
  <c r="G237" i="2" s="1"/>
  <c r="I331" i="4"/>
  <c r="J237" i="2" s="1"/>
  <c r="L331" i="4"/>
  <c r="M237" i="2" s="1"/>
  <c r="P331" i="4"/>
  <c r="Q237" i="2" s="1"/>
  <c r="S331" i="4"/>
  <c r="W331" i="4"/>
  <c r="X237" i="2" s="1"/>
  <c r="Y331" i="4"/>
  <c r="Z237" i="2" s="1"/>
  <c r="AB331" i="4"/>
  <c r="AC237" i="2" s="1"/>
  <c r="AE331" i="4"/>
  <c r="AF237" i="2" s="1"/>
  <c r="AH331" i="4"/>
  <c r="AI237" i="2" s="1"/>
  <c r="AK331" i="4"/>
  <c r="AL237" i="2" s="1"/>
  <c r="AN331" i="4"/>
  <c r="AO237" i="2" s="1"/>
  <c r="AP331" i="4"/>
  <c r="AQ237" i="2" s="1"/>
  <c r="AS331" i="4"/>
  <c r="AT237" i="2" s="1"/>
  <c r="AV331" i="4"/>
  <c r="AW237" i="2" s="1"/>
  <c r="AY331" i="4"/>
  <c r="AZ237" i="2" s="1"/>
  <c r="BC331" i="4"/>
  <c r="BD237" i="2" s="1"/>
  <c r="BF331" i="4"/>
  <c r="BG237" i="2" s="1"/>
  <c r="BI331" i="4"/>
  <c r="BJ237" i="2" s="1"/>
  <c r="E331" i="4"/>
  <c r="F237" i="2" s="1"/>
  <c r="H331" i="4"/>
  <c r="I237" i="2" s="1"/>
  <c r="J331" i="4"/>
  <c r="K237" i="2" s="1"/>
  <c r="M331" i="4"/>
  <c r="N237" i="2" s="1"/>
  <c r="O331" i="4"/>
  <c r="P237" i="2" s="1"/>
  <c r="R331" i="4"/>
  <c r="V331" i="4"/>
  <c r="W237" i="2" s="1"/>
  <c r="Z331" i="4"/>
  <c r="AA237" i="2" s="1"/>
  <c r="AC331" i="4"/>
  <c r="AD237" i="2" s="1"/>
  <c r="AF331" i="4"/>
  <c r="AG237" i="2" s="1"/>
  <c r="AI331" i="4"/>
  <c r="AJ237" i="2" s="1"/>
  <c r="AL331" i="4"/>
  <c r="AM237" i="2" s="1"/>
  <c r="AO331" i="4"/>
  <c r="AP237" i="2" s="1"/>
  <c r="AR331" i="4"/>
  <c r="AS237" i="2" s="1"/>
  <c r="AT331" i="4"/>
  <c r="AU237" i="2" s="1"/>
  <c r="AW331" i="4"/>
  <c r="AX237" i="2" s="1"/>
  <c r="AZ331" i="4"/>
  <c r="BA237" i="2" s="1"/>
  <c r="BB331" i="4"/>
  <c r="BC237" i="2" s="1"/>
  <c r="BE331" i="4"/>
  <c r="BF237" i="2" s="1"/>
  <c r="BH331" i="4"/>
  <c r="BI237" i="2" s="1"/>
  <c r="C330" i="4"/>
  <c r="F330" i="4"/>
  <c r="G63" i="2" s="1"/>
  <c r="I330" i="4"/>
  <c r="J63" i="2" s="1"/>
  <c r="L330" i="4"/>
  <c r="M63" i="2" s="1"/>
  <c r="O330" i="4"/>
  <c r="P63" i="2" s="1"/>
  <c r="R330" i="4"/>
  <c r="S63" i="2" s="1"/>
  <c r="U330" i="4"/>
  <c r="V63" i="2" s="1"/>
  <c r="X330" i="4"/>
  <c r="Y63" i="2" s="1"/>
  <c r="AB330" i="4"/>
  <c r="AC63" i="2" s="1"/>
  <c r="AE330" i="4"/>
  <c r="AF63" i="2" s="1"/>
  <c r="AH330" i="4"/>
  <c r="AI63" i="2" s="1"/>
  <c r="AK330" i="4"/>
  <c r="AL63" i="2" s="1"/>
  <c r="AN330" i="4"/>
  <c r="AO63" i="2" s="1"/>
  <c r="AQ330" i="4"/>
  <c r="AR63" i="2" s="1"/>
  <c r="AT330" i="4"/>
  <c r="AU63" i="2" s="1"/>
  <c r="AW330" i="4"/>
  <c r="AX63" i="2" s="1"/>
  <c r="BA330" i="4"/>
  <c r="BB63" i="2" s="1"/>
  <c r="BD330" i="4"/>
  <c r="BE63" i="2" s="1"/>
  <c r="BG330" i="4"/>
  <c r="BH63" i="2" s="1"/>
  <c r="BJ330" i="4"/>
  <c r="BK63" i="2" s="1"/>
  <c r="E330" i="4"/>
  <c r="F63" i="2" s="1"/>
  <c r="H330" i="4"/>
  <c r="I63" i="2" s="1"/>
  <c r="K330" i="4"/>
  <c r="L63" i="2" s="1"/>
  <c r="N330" i="4"/>
  <c r="O63" i="2" s="1"/>
  <c r="Q330" i="4"/>
  <c r="R63" i="2" s="1"/>
  <c r="S330" i="4"/>
  <c r="T63" i="2" s="1"/>
  <c r="V330" i="4"/>
  <c r="W63" i="2" s="1"/>
  <c r="Y330" i="4"/>
  <c r="Z63" i="2" s="1"/>
  <c r="AA330" i="4"/>
  <c r="AB63" i="2" s="1"/>
  <c r="AD330" i="4"/>
  <c r="AE63" i="2" s="1"/>
  <c r="AG330" i="4"/>
  <c r="AH63" i="2" s="1"/>
  <c r="AJ330" i="4"/>
  <c r="AK63" i="2" s="1"/>
  <c r="AM330" i="4"/>
  <c r="AN63" i="2" s="1"/>
  <c r="AP330" i="4"/>
  <c r="AQ63" i="2" s="1"/>
  <c r="AS330" i="4"/>
  <c r="AT63" i="2" s="1"/>
  <c r="AV330" i="4"/>
  <c r="AW63" i="2" s="1"/>
  <c r="AX330" i="4"/>
  <c r="AY63" i="2" s="1"/>
  <c r="AZ330" i="4"/>
  <c r="BA63" i="2" s="1"/>
  <c r="BC330" i="4"/>
  <c r="BD63" i="2" s="1"/>
  <c r="BF330" i="4"/>
  <c r="BG63" i="2" s="1"/>
  <c r="BI330" i="4"/>
  <c r="BJ63" i="2" s="1"/>
  <c r="D330" i="4"/>
  <c r="G330" i="4"/>
  <c r="H63" i="2" s="1"/>
  <c r="J330" i="4"/>
  <c r="K63" i="2" s="1"/>
  <c r="M330" i="4"/>
  <c r="N63" i="2" s="1"/>
  <c r="P330" i="4"/>
  <c r="Q63" i="2" s="1"/>
  <c r="T330" i="4"/>
  <c r="U63" i="2" s="1"/>
  <c r="W330" i="4"/>
  <c r="X63" i="2" s="1"/>
  <c r="Z330" i="4"/>
  <c r="AA63" i="2" s="1"/>
  <c r="AC330" i="4"/>
  <c r="AD63" i="2" s="1"/>
  <c r="AF330" i="4"/>
  <c r="AG63" i="2" s="1"/>
  <c r="AI330" i="4"/>
  <c r="AJ63" i="2" s="1"/>
  <c r="AL330" i="4"/>
  <c r="AM63" i="2" s="1"/>
  <c r="AO330" i="4"/>
  <c r="AP63" i="2" s="1"/>
  <c r="AR330" i="4"/>
  <c r="AS63" i="2" s="1"/>
  <c r="AU330" i="4"/>
  <c r="AV63" i="2" s="1"/>
  <c r="AY330" i="4"/>
  <c r="AZ63" i="2" s="1"/>
  <c r="BB330" i="4"/>
  <c r="BC63" i="2" s="1"/>
  <c r="BE330" i="4"/>
  <c r="BF63" i="2" s="1"/>
  <c r="BH330" i="4"/>
  <c r="BI63" i="2" s="1"/>
  <c r="C329" i="4"/>
  <c r="F329" i="4"/>
  <c r="G144" i="2" s="1"/>
  <c r="I329" i="4"/>
  <c r="L329" i="4"/>
  <c r="M144" i="2" s="1"/>
  <c r="O329" i="4"/>
  <c r="P144" i="2" s="1"/>
  <c r="R329" i="4"/>
  <c r="S144" i="2" s="1"/>
  <c r="U329" i="4"/>
  <c r="V144" i="2" s="1"/>
  <c r="X329" i="4"/>
  <c r="Y144" i="2" s="1"/>
  <c r="AA329" i="4"/>
  <c r="AB144" i="2" s="1"/>
  <c r="AD329" i="4"/>
  <c r="AE144" i="2" s="1"/>
  <c r="AH329" i="4"/>
  <c r="AI144" i="2" s="1"/>
  <c r="AK329" i="4"/>
  <c r="AL144" i="2" s="1"/>
  <c r="AN329" i="4"/>
  <c r="AO144" i="2" s="1"/>
  <c r="AQ329" i="4"/>
  <c r="AR144" i="2" s="1"/>
  <c r="AU329" i="4"/>
  <c r="AV144" i="2" s="1"/>
  <c r="AY329" i="4"/>
  <c r="AZ144" i="2" s="1"/>
  <c r="BB329" i="4"/>
  <c r="BC144" i="2" s="1"/>
  <c r="BE329" i="4"/>
  <c r="BF144" i="2" s="1"/>
  <c r="BH329" i="4"/>
  <c r="BI144" i="2" s="1"/>
  <c r="E329" i="4"/>
  <c r="F144" i="2" s="1"/>
  <c r="H329" i="4"/>
  <c r="I144" i="2" s="1"/>
  <c r="K329" i="4"/>
  <c r="L144" i="2" s="1"/>
  <c r="N329" i="4"/>
  <c r="O144" i="2" s="1"/>
  <c r="Q329" i="4"/>
  <c r="R144" i="2" s="1"/>
  <c r="T329" i="4"/>
  <c r="U144" i="2" s="1"/>
  <c r="W329" i="4"/>
  <c r="X144" i="2" s="1"/>
  <c r="Z329" i="4"/>
  <c r="AA144" i="2" s="1"/>
  <c r="AC329" i="4"/>
  <c r="AD144" i="2" s="1"/>
  <c r="AF329" i="4"/>
  <c r="AG144" i="2" s="1"/>
  <c r="AI329" i="4"/>
  <c r="AJ144" i="2" s="1"/>
  <c r="AJ329" i="4"/>
  <c r="AK144" i="2" s="1"/>
  <c r="AM329" i="4"/>
  <c r="AN144" i="2" s="1"/>
  <c r="AP329" i="4"/>
  <c r="AQ144" i="2" s="1"/>
  <c r="AR329" i="4"/>
  <c r="AS144" i="2" s="1"/>
  <c r="AV329" i="4"/>
  <c r="AW144" i="2" s="1"/>
  <c r="AX329" i="4"/>
  <c r="AY144" i="2" s="1"/>
  <c r="BA329" i="4"/>
  <c r="BB144" i="2" s="1"/>
  <c r="BD329" i="4"/>
  <c r="BE144" i="2" s="1"/>
  <c r="BG329" i="4"/>
  <c r="BH144" i="2" s="1"/>
  <c r="BJ329" i="4"/>
  <c r="BK144" i="2" s="1"/>
  <c r="D329" i="4"/>
  <c r="E144" i="2" s="1"/>
  <c r="G329" i="4"/>
  <c r="H144" i="2" s="1"/>
  <c r="J329" i="4"/>
  <c r="M329" i="4"/>
  <c r="N144" i="2" s="1"/>
  <c r="P329" i="4"/>
  <c r="Q144" i="2" s="1"/>
  <c r="S329" i="4"/>
  <c r="T144" i="2" s="1"/>
  <c r="V329" i="4"/>
  <c r="W144" i="2" s="1"/>
  <c r="Y329" i="4"/>
  <c r="Z144" i="2" s="1"/>
  <c r="AB329" i="4"/>
  <c r="AC144" i="2" s="1"/>
  <c r="AE329" i="4"/>
  <c r="AF144" i="2" s="1"/>
  <c r="AG329" i="4"/>
  <c r="AH144" i="2" s="1"/>
  <c r="AL329" i="4"/>
  <c r="AM144" i="2" s="1"/>
  <c r="AO329" i="4"/>
  <c r="AP144" i="2" s="1"/>
  <c r="AS329" i="4"/>
  <c r="AT144" i="2" s="1"/>
  <c r="AT329" i="4"/>
  <c r="AU144" i="2" s="1"/>
  <c r="AW329" i="4"/>
  <c r="AX144" i="2" s="1"/>
  <c r="AZ329" i="4"/>
  <c r="BA144" i="2" s="1"/>
  <c r="BC329" i="4"/>
  <c r="BD144" i="2" s="1"/>
  <c r="BF329" i="4"/>
  <c r="BG144" i="2" s="1"/>
  <c r="BI329" i="4"/>
  <c r="BJ144" i="2" s="1"/>
  <c r="E328" i="4"/>
  <c r="F177" i="2" s="1"/>
  <c r="H328" i="4"/>
  <c r="I177" i="2" s="1"/>
  <c r="K328" i="4"/>
  <c r="L177" i="2" s="1"/>
  <c r="N328" i="4"/>
  <c r="Q328" i="4"/>
  <c r="R177" i="2" s="1"/>
  <c r="T328" i="4"/>
  <c r="U177" i="2" s="1"/>
  <c r="X328" i="4"/>
  <c r="Y177" i="2" s="1"/>
  <c r="AA328" i="4"/>
  <c r="AB177" i="2" s="1"/>
  <c r="AD328" i="4"/>
  <c r="AE177" i="2" s="1"/>
  <c r="AH328" i="4"/>
  <c r="AI177" i="2" s="1"/>
  <c r="AK328" i="4"/>
  <c r="AL177" i="2" s="1"/>
  <c r="AN328" i="4"/>
  <c r="AO177" i="2" s="1"/>
  <c r="AP328" i="4"/>
  <c r="AQ177" i="2" s="1"/>
  <c r="AS328" i="4"/>
  <c r="AT177" i="2" s="1"/>
  <c r="AV328" i="4"/>
  <c r="AW177" i="2" s="1"/>
  <c r="AY328" i="4"/>
  <c r="AZ177" i="2" s="1"/>
  <c r="BB328" i="4"/>
  <c r="BC177" i="2" s="1"/>
  <c r="BE328" i="4"/>
  <c r="BF177" i="2" s="1"/>
  <c r="BH328" i="4"/>
  <c r="BI177" i="2" s="1"/>
  <c r="C328" i="4"/>
  <c r="F328" i="4"/>
  <c r="G177" i="2" s="1"/>
  <c r="I328" i="4"/>
  <c r="J177" i="2" s="1"/>
  <c r="L328" i="4"/>
  <c r="M177" i="2" s="1"/>
  <c r="O328" i="4"/>
  <c r="P177" i="2" s="1"/>
  <c r="R328" i="4"/>
  <c r="S177" i="2" s="1"/>
  <c r="U328" i="4"/>
  <c r="V177" i="2" s="1"/>
  <c r="W328" i="4"/>
  <c r="X177" i="2" s="1"/>
  <c r="Z328" i="4"/>
  <c r="AA177" i="2" s="1"/>
  <c r="AC328" i="4"/>
  <c r="AD177" i="2" s="1"/>
  <c r="AF328" i="4"/>
  <c r="AG177" i="2" s="1"/>
  <c r="AG328" i="4"/>
  <c r="AH177" i="2" s="1"/>
  <c r="AJ328" i="4"/>
  <c r="AK177" i="2" s="1"/>
  <c r="AM328" i="4"/>
  <c r="AN177" i="2" s="1"/>
  <c r="AQ328" i="4"/>
  <c r="AR177" i="2" s="1"/>
  <c r="AT328" i="4"/>
  <c r="AU177" i="2" s="1"/>
  <c r="AW328" i="4"/>
  <c r="AX177" i="2" s="1"/>
  <c r="AZ328" i="4"/>
  <c r="BA177" i="2" s="1"/>
  <c r="BC328" i="4"/>
  <c r="BD177" i="2" s="1"/>
  <c r="BF328" i="4"/>
  <c r="BG177" i="2" s="1"/>
  <c r="BI328" i="4"/>
  <c r="BJ177" i="2" s="1"/>
  <c r="D328" i="4"/>
  <c r="E177" i="2" s="1"/>
  <c r="G328" i="4"/>
  <c r="H177" i="2" s="1"/>
  <c r="J328" i="4"/>
  <c r="K177" i="2" s="1"/>
  <c r="M328" i="4"/>
  <c r="N177" i="2" s="1"/>
  <c r="P328" i="4"/>
  <c r="Q177" i="2" s="1"/>
  <c r="S328" i="4"/>
  <c r="T177" i="2" s="1"/>
  <c r="V328" i="4"/>
  <c r="W177" i="2" s="1"/>
  <c r="Y328" i="4"/>
  <c r="Z177" i="2" s="1"/>
  <c r="AB328" i="4"/>
  <c r="AC177" i="2" s="1"/>
  <c r="AE328" i="4"/>
  <c r="AF177" i="2" s="1"/>
  <c r="AI328" i="4"/>
  <c r="AJ177" i="2" s="1"/>
  <c r="AL328" i="4"/>
  <c r="AM177" i="2" s="1"/>
  <c r="AO328" i="4"/>
  <c r="AP177" i="2" s="1"/>
  <c r="AR328" i="4"/>
  <c r="AS177" i="2" s="1"/>
  <c r="AU328" i="4"/>
  <c r="AV177" i="2" s="1"/>
  <c r="AX328" i="4"/>
  <c r="AY177" i="2" s="1"/>
  <c r="BA328" i="4"/>
  <c r="BB177" i="2" s="1"/>
  <c r="BD328" i="4"/>
  <c r="BE177" i="2" s="1"/>
  <c r="BG328" i="4"/>
  <c r="BH177" i="2" s="1"/>
  <c r="BJ328" i="4"/>
  <c r="BK177" i="2" s="1"/>
  <c r="C327" i="4"/>
  <c r="F327" i="4"/>
  <c r="G297" i="2" s="1"/>
  <c r="I327" i="4"/>
  <c r="J297" i="2" s="1"/>
  <c r="L327" i="4"/>
  <c r="M297" i="2" s="1"/>
  <c r="O327" i="4"/>
  <c r="P297" i="2" s="1"/>
  <c r="R327" i="4"/>
  <c r="S297" i="2" s="1"/>
  <c r="U327" i="4"/>
  <c r="V297" i="2" s="1"/>
  <c r="X327" i="4"/>
  <c r="Y297" i="2" s="1"/>
  <c r="AA327" i="4"/>
  <c r="AB297" i="2" s="1"/>
  <c r="AD327" i="4"/>
  <c r="AE297" i="2" s="1"/>
  <c r="AG327" i="4"/>
  <c r="AH297" i="2" s="1"/>
  <c r="AJ327" i="4"/>
  <c r="AK297" i="2" s="1"/>
  <c r="AM327" i="4"/>
  <c r="AN297" i="2" s="1"/>
  <c r="AP327" i="4"/>
  <c r="AQ297" i="2" s="1"/>
  <c r="AS327" i="4"/>
  <c r="AT297" i="2" s="1"/>
  <c r="AV327" i="4"/>
  <c r="AW297" i="2" s="1"/>
  <c r="AY327" i="4"/>
  <c r="AZ297" i="2" s="1"/>
  <c r="BA327" i="4"/>
  <c r="BB297" i="2" s="1"/>
  <c r="BD327" i="4"/>
  <c r="BE297" i="2" s="1"/>
  <c r="BG327" i="4"/>
  <c r="BH297" i="2" s="1"/>
  <c r="BJ327" i="4"/>
  <c r="BK297" i="2" s="1"/>
  <c r="D327" i="4"/>
  <c r="E297" i="2" s="1"/>
  <c r="G327" i="4"/>
  <c r="H297" i="2" s="1"/>
  <c r="J327" i="4"/>
  <c r="K297" i="2" s="1"/>
  <c r="M327" i="4"/>
  <c r="N297" i="2" s="1"/>
  <c r="P327" i="4"/>
  <c r="Q297" i="2" s="1"/>
  <c r="S327" i="4"/>
  <c r="V327" i="4"/>
  <c r="W297" i="2" s="1"/>
  <c r="Y327" i="4"/>
  <c r="Z297" i="2" s="1"/>
  <c r="AB327" i="4"/>
  <c r="AC297" i="2" s="1"/>
  <c r="AE327" i="4"/>
  <c r="AF297" i="2" s="1"/>
  <c r="AH327" i="4"/>
  <c r="AI297" i="2" s="1"/>
  <c r="AK327" i="4"/>
  <c r="AL297" i="2" s="1"/>
  <c r="AN327" i="4"/>
  <c r="AO297" i="2" s="1"/>
  <c r="AQ327" i="4"/>
  <c r="AR297" i="2" s="1"/>
  <c r="AU327" i="4"/>
  <c r="AV297" i="2" s="1"/>
  <c r="AX327" i="4"/>
  <c r="AY297" i="2" s="1"/>
  <c r="BB327" i="4"/>
  <c r="BC297" i="2" s="1"/>
  <c r="BE327" i="4"/>
  <c r="BF297" i="2" s="1"/>
  <c r="BH327" i="4"/>
  <c r="BI297" i="2" s="1"/>
  <c r="E327" i="4"/>
  <c r="F297" i="2" s="1"/>
  <c r="H327" i="4"/>
  <c r="I297" i="2" s="1"/>
  <c r="K327" i="4"/>
  <c r="L297" i="2" s="1"/>
  <c r="N327" i="4"/>
  <c r="O297" i="2" s="1"/>
  <c r="Q327" i="4"/>
  <c r="R297" i="2" s="1"/>
  <c r="T327" i="4"/>
  <c r="W327" i="4"/>
  <c r="X297" i="2" s="1"/>
  <c r="Z327" i="4"/>
  <c r="AA297" i="2" s="1"/>
  <c r="AC327" i="4"/>
  <c r="AD297" i="2" s="1"/>
  <c r="AF327" i="4"/>
  <c r="AG297" i="2" s="1"/>
  <c r="AI327" i="4"/>
  <c r="AJ297" i="2" s="1"/>
  <c r="AL327" i="4"/>
  <c r="AM297" i="2" s="1"/>
  <c r="AO327" i="4"/>
  <c r="AP297" i="2" s="1"/>
  <c r="AR327" i="4"/>
  <c r="AS297" i="2" s="1"/>
  <c r="AT327" i="4"/>
  <c r="AU297" i="2" s="1"/>
  <c r="AW327" i="4"/>
  <c r="AX297" i="2" s="1"/>
  <c r="AZ327" i="4"/>
  <c r="BA297" i="2" s="1"/>
  <c r="BC327" i="4"/>
  <c r="BD297" i="2" s="1"/>
  <c r="BF327" i="4"/>
  <c r="BG297" i="2" s="1"/>
  <c r="BI327" i="4"/>
  <c r="BJ297" i="2" s="1"/>
  <c r="D326" i="4"/>
  <c r="E174" i="2" s="1"/>
  <c r="G326" i="4"/>
  <c r="H174" i="2" s="1"/>
  <c r="J326" i="4"/>
  <c r="K174" i="2" s="1"/>
  <c r="M326" i="4"/>
  <c r="N174" i="2" s="1"/>
  <c r="O326" i="4"/>
  <c r="P174" i="2" s="1"/>
  <c r="R326" i="4"/>
  <c r="S174" i="2" s="1"/>
  <c r="U326" i="4"/>
  <c r="V174" i="2" s="1"/>
  <c r="X326" i="4"/>
  <c r="Y174" i="2" s="1"/>
  <c r="AA326" i="4"/>
  <c r="AB174" i="2" s="1"/>
  <c r="AH326" i="4"/>
  <c r="AI174" i="2" s="1"/>
  <c r="AK326" i="4"/>
  <c r="AL174" i="2" s="1"/>
  <c r="AN326" i="4"/>
  <c r="AO174" i="2" s="1"/>
  <c r="AQ326" i="4"/>
  <c r="AR174" i="2" s="1"/>
  <c r="AT326" i="4"/>
  <c r="AU174" i="2" s="1"/>
  <c r="AW326" i="4"/>
  <c r="AX174" i="2" s="1"/>
  <c r="AZ326" i="4"/>
  <c r="BA174" i="2" s="1"/>
  <c r="BC326" i="4"/>
  <c r="BD174" i="2" s="1"/>
  <c r="BF326" i="4"/>
  <c r="BG174" i="2" s="1"/>
  <c r="BJ326" i="4"/>
  <c r="BK174" i="2" s="1"/>
  <c r="E326" i="4"/>
  <c r="F174" i="2" s="1"/>
  <c r="H326" i="4"/>
  <c r="I174" i="2" s="1"/>
  <c r="L326" i="4"/>
  <c r="M174" i="2" s="1"/>
  <c r="P326" i="4"/>
  <c r="Q174" i="2" s="1"/>
  <c r="S326" i="4"/>
  <c r="T174" i="2" s="1"/>
  <c r="V326" i="4"/>
  <c r="W174" i="2" s="1"/>
  <c r="Y326" i="4"/>
  <c r="Z174" i="2" s="1"/>
  <c r="AC326" i="4"/>
  <c r="AD174" i="2" s="1"/>
  <c r="AE326" i="4"/>
  <c r="AF174" i="2" s="1"/>
  <c r="AG326" i="4"/>
  <c r="AH174" i="2" s="1"/>
  <c r="AJ326" i="4"/>
  <c r="AK174" i="2" s="1"/>
  <c r="AM326" i="4"/>
  <c r="AN174" i="2" s="1"/>
  <c r="AP326" i="4"/>
  <c r="AQ174" i="2" s="1"/>
  <c r="AS326" i="4"/>
  <c r="AT174" i="2" s="1"/>
  <c r="AV326" i="4"/>
  <c r="AW174" i="2" s="1"/>
  <c r="AY326" i="4"/>
  <c r="AZ174" i="2" s="1"/>
  <c r="BB326" i="4"/>
  <c r="BC174" i="2" s="1"/>
  <c r="BE326" i="4"/>
  <c r="BF174" i="2" s="1"/>
  <c r="BH326" i="4"/>
  <c r="BI174" i="2" s="1"/>
  <c r="BI326" i="4"/>
  <c r="BJ174" i="2" s="1"/>
  <c r="C326" i="4"/>
  <c r="F326" i="4"/>
  <c r="G174" i="2" s="1"/>
  <c r="I326" i="4"/>
  <c r="J174" i="2" s="1"/>
  <c r="K326" i="4"/>
  <c r="L174" i="2" s="1"/>
  <c r="N326" i="4"/>
  <c r="Q326" i="4"/>
  <c r="R174" i="2" s="1"/>
  <c r="T326" i="4"/>
  <c r="U174" i="2" s="1"/>
  <c r="W326" i="4"/>
  <c r="X174" i="2" s="1"/>
  <c r="Z326" i="4"/>
  <c r="AA174" i="2" s="1"/>
  <c r="AB326" i="4"/>
  <c r="AC174" i="2" s="1"/>
  <c r="AD326" i="4"/>
  <c r="AE174" i="2" s="1"/>
  <c r="AF326" i="4"/>
  <c r="AG174" i="2" s="1"/>
  <c r="AI326" i="4"/>
  <c r="AJ174" i="2" s="1"/>
  <c r="AL326" i="4"/>
  <c r="AM174" i="2" s="1"/>
  <c r="AO326" i="4"/>
  <c r="AP174" i="2" s="1"/>
  <c r="AR326" i="4"/>
  <c r="AS174" i="2" s="1"/>
  <c r="AU326" i="4"/>
  <c r="AV174" i="2" s="1"/>
  <c r="AX326" i="4"/>
  <c r="AY174" i="2" s="1"/>
  <c r="BA326" i="4"/>
  <c r="BB174" i="2" s="1"/>
  <c r="BD326" i="4"/>
  <c r="BE174" i="2" s="1"/>
  <c r="BG326" i="4"/>
  <c r="BH174" i="2" s="1"/>
  <c r="C325" i="4"/>
  <c r="F325" i="4"/>
  <c r="G249" i="2" s="1"/>
  <c r="I325" i="4"/>
  <c r="J249" i="2" s="1"/>
  <c r="L325" i="4"/>
  <c r="M249" i="2" s="1"/>
  <c r="O325" i="4"/>
  <c r="P249" i="2" s="1"/>
  <c r="R325" i="4"/>
  <c r="U325" i="4"/>
  <c r="V249" i="2" s="1"/>
  <c r="X325" i="4"/>
  <c r="Y249" i="2" s="1"/>
  <c r="AA325" i="4"/>
  <c r="AB249" i="2" s="1"/>
  <c r="AD325" i="4"/>
  <c r="AE249" i="2" s="1"/>
  <c r="AH325" i="4"/>
  <c r="AI249" i="2" s="1"/>
  <c r="AJ325" i="4"/>
  <c r="AK249" i="2" s="1"/>
  <c r="AM325" i="4"/>
  <c r="AN249" i="2" s="1"/>
  <c r="AP325" i="4"/>
  <c r="AQ249" i="2" s="1"/>
  <c r="AS325" i="4"/>
  <c r="AT249" i="2" s="1"/>
  <c r="AV325" i="4"/>
  <c r="AW249" i="2" s="1"/>
  <c r="AY325" i="4"/>
  <c r="AZ249" i="2" s="1"/>
  <c r="BB325" i="4"/>
  <c r="BC249" i="2" s="1"/>
  <c r="BE325" i="4"/>
  <c r="BF249" i="2" s="1"/>
  <c r="BI325" i="4"/>
  <c r="BJ249" i="2" s="1"/>
  <c r="D325" i="4"/>
  <c r="E249" i="2" s="1"/>
  <c r="G325" i="4"/>
  <c r="H249" i="2" s="1"/>
  <c r="J325" i="4"/>
  <c r="K249" i="2" s="1"/>
  <c r="M325" i="4"/>
  <c r="N249" i="2" s="1"/>
  <c r="P325" i="4"/>
  <c r="Q249" i="2" s="1"/>
  <c r="S325" i="4"/>
  <c r="V325" i="4"/>
  <c r="W249" i="2" s="1"/>
  <c r="Y325" i="4"/>
  <c r="Z249" i="2" s="1"/>
  <c r="AB325" i="4"/>
  <c r="AC249" i="2" s="1"/>
  <c r="AE325" i="4"/>
  <c r="AF249" i="2" s="1"/>
  <c r="AG325" i="4"/>
  <c r="AH249" i="2" s="1"/>
  <c r="AK325" i="4"/>
  <c r="AL249" i="2" s="1"/>
  <c r="AN325" i="4"/>
  <c r="AO249" i="2" s="1"/>
  <c r="AQ325" i="4"/>
  <c r="AR249" i="2" s="1"/>
  <c r="AT325" i="4"/>
  <c r="AU249" i="2" s="1"/>
  <c r="AW325" i="4"/>
  <c r="AX249" i="2" s="1"/>
  <c r="AZ325" i="4"/>
  <c r="BA249" i="2" s="1"/>
  <c r="BC325" i="4"/>
  <c r="BD249" i="2" s="1"/>
  <c r="BF325" i="4"/>
  <c r="BG249" i="2" s="1"/>
  <c r="BG325" i="4"/>
  <c r="BH249" i="2" s="1"/>
  <c r="BJ325" i="4"/>
  <c r="BK249" i="2" s="1"/>
  <c r="E325" i="4"/>
  <c r="F249" i="2" s="1"/>
  <c r="H325" i="4"/>
  <c r="I249" i="2" s="1"/>
  <c r="K325" i="4"/>
  <c r="L249" i="2" s="1"/>
  <c r="N325" i="4"/>
  <c r="O249" i="2" s="1"/>
  <c r="Q325" i="4"/>
  <c r="R249" i="2" s="1"/>
  <c r="T325" i="4"/>
  <c r="W325" i="4"/>
  <c r="X249" i="2" s="1"/>
  <c r="Z325" i="4"/>
  <c r="AA249" i="2" s="1"/>
  <c r="AC325" i="4"/>
  <c r="AD249" i="2" s="1"/>
  <c r="AF325" i="4"/>
  <c r="AG249" i="2" s="1"/>
  <c r="AI325" i="4"/>
  <c r="AJ249" i="2" s="1"/>
  <c r="AL325" i="4"/>
  <c r="AM249" i="2" s="1"/>
  <c r="AO325" i="4"/>
  <c r="AP249" i="2" s="1"/>
  <c r="AR325" i="4"/>
  <c r="AS249" i="2" s="1"/>
  <c r="AU325" i="4"/>
  <c r="AV249" i="2" s="1"/>
  <c r="AX325" i="4"/>
  <c r="AY249" i="2" s="1"/>
  <c r="BA325" i="4"/>
  <c r="BB249" i="2" s="1"/>
  <c r="BD325" i="4"/>
  <c r="BE249" i="2" s="1"/>
  <c r="BH325" i="4"/>
  <c r="BI249" i="2" s="1"/>
  <c r="F324" i="4"/>
  <c r="G291" i="2" s="1"/>
  <c r="K324" i="4"/>
  <c r="L291" i="2" s="1"/>
  <c r="P324" i="4"/>
  <c r="Q291" i="2" s="1"/>
  <c r="W324" i="4"/>
  <c r="X291" i="2" s="1"/>
  <c r="AD324" i="4"/>
  <c r="AE291" i="2" s="1"/>
  <c r="AI324" i="4"/>
  <c r="AJ291" i="2" s="1"/>
  <c r="AM324" i="4"/>
  <c r="AN291" i="2" s="1"/>
  <c r="AQ324" i="4"/>
  <c r="AR291" i="2" s="1"/>
  <c r="AT324" i="4"/>
  <c r="AU291" i="2" s="1"/>
  <c r="AY324" i="4"/>
  <c r="AZ291" i="2" s="1"/>
  <c r="BB324" i="4"/>
  <c r="BC291" i="2" s="1"/>
  <c r="BF324" i="4"/>
  <c r="BG291" i="2" s="1"/>
  <c r="BI324" i="4"/>
  <c r="BJ291" i="2" s="1"/>
  <c r="E324" i="4"/>
  <c r="F291" i="2" s="1"/>
  <c r="I324" i="4"/>
  <c r="J291" i="2" s="1"/>
  <c r="O324" i="4"/>
  <c r="P291" i="2" s="1"/>
  <c r="T324" i="4"/>
  <c r="AB324" i="4"/>
  <c r="AC291" i="2" s="1"/>
  <c r="AG324" i="4"/>
  <c r="AH291" i="2" s="1"/>
  <c r="AK324" i="4"/>
  <c r="AL291" i="2" s="1"/>
  <c r="AP324" i="4"/>
  <c r="AQ291" i="2" s="1"/>
  <c r="AW324" i="4"/>
  <c r="AX291" i="2" s="1"/>
  <c r="AZ324" i="4"/>
  <c r="BA291" i="2" s="1"/>
  <c r="BC324" i="4"/>
  <c r="BD291" i="2" s="1"/>
  <c r="BD324" i="4"/>
  <c r="BE291" i="2" s="1"/>
  <c r="BG324" i="4"/>
  <c r="BH291" i="2" s="1"/>
  <c r="BJ324" i="4"/>
  <c r="BK291" i="2" s="1"/>
  <c r="G324" i="4"/>
  <c r="H291" i="2" s="1"/>
  <c r="N324" i="4"/>
  <c r="O291" i="2" s="1"/>
  <c r="S324" i="4"/>
  <c r="Z324" i="4"/>
  <c r="AA291" i="2" s="1"/>
  <c r="AF324" i="4"/>
  <c r="AG291" i="2" s="1"/>
  <c r="AJ324" i="4"/>
  <c r="AK291" i="2" s="1"/>
  <c r="AN324" i="4"/>
  <c r="AO291" i="2" s="1"/>
  <c r="AU324" i="4"/>
  <c r="AV291" i="2" s="1"/>
  <c r="AX324" i="4"/>
  <c r="AY291" i="2" s="1"/>
  <c r="BA324" i="4"/>
  <c r="BB291" i="2" s="1"/>
  <c r="BE324" i="4"/>
  <c r="BF291" i="2" s="1"/>
  <c r="BH324" i="4"/>
  <c r="BI291" i="2" s="1"/>
  <c r="D324" i="4"/>
  <c r="E291" i="2" s="1"/>
  <c r="J324" i="4"/>
  <c r="K291" i="2" s="1"/>
  <c r="M324" i="4"/>
  <c r="N291" i="2" s="1"/>
  <c r="R324" i="4"/>
  <c r="S291" i="2" s="1"/>
  <c r="V324" i="4"/>
  <c r="W291" i="2" s="1"/>
  <c r="Y324" i="4"/>
  <c r="Z291" i="2" s="1"/>
  <c r="AC324" i="4"/>
  <c r="AD291" i="2" s="1"/>
  <c r="AL324" i="4"/>
  <c r="AM291" i="2" s="1"/>
  <c r="AS324" i="4"/>
  <c r="AT291" i="2" s="1"/>
  <c r="C324" i="4"/>
  <c r="H324" i="4"/>
  <c r="I291" i="2" s="1"/>
  <c r="L324" i="4"/>
  <c r="M291" i="2" s="1"/>
  <c r="Q324" i="4"/>
  <c r="R291" i="2" s="1"/>
  <c r="U324" i="4"/>
  <c r="X324" i="4"/>
  <c r="Y291" i="2" s="1"/>
  <c r="AA324" i="4"/>
  <c r="AB291" i="2" s="1"/>
  <c r="AE324" i="4"/>
  <c r="AF291" i="2" s="1"/>
  <c r="AH324" i="4"/>
  <c r="AI291" i="2" s="1"/>
  <c r="AO324" i="4"/>
  <c r="AP291" i="2" s="1"/>
  <c r="AR324" i="4"/>
  <c r="AS291" i="2" s="1"/>
  <c r="AV324" i="4"/>
  <c r="AW291" i="2" s="1"/>
  <c r="D323" i="4"/>
  <c r="E54" i="2" s="1"/>
  <c r="I323" i="4"/>
  <c r="J54" i="2" s="1"/>
  <c r="O323" i="4"/>
  <c r="P54" i="2" s="1"/>
  <c r="U323" i="4"/>
  <c r="V54" i="2" s="1"/>
  <c r="AA323" i="4"/>
  <c r="AB54" i="2" s="1"/>
  <c r="AB323" i="4"/>
  <c r="AC54" i="2" s="1"/>
  <c r="AI323" i="4"/>
  <c r="AJ54" i="2" s="1"/>
  <c r="AP323" i="4"/>
  <c r="AQ54" i="2" s="1"/>
  <c r="AY323" i="4"/>
  <c r="AZ54" i="2" s="1"/>
  <c r="BF323" i="4"/>
  <c r="BG54" i="2" s="1"/>
  <c r="F323" i="4"/>
  <c r="G54" i="2" s="1"/>
  <c r="L323" i="4"/>
  <c r="M54" i="2" s="1"/>
  <c r="R323" i="4"/>
  <c r="S54" i="2" s="1"/>
  <c r="X323" i="4"/>
  <c r="Y54" i="2" s="1"/>
  <c r="AF323" i="4"/>
  <c r="AG54" i="2" s="1"/>
  <c r="AM323" i="4"/>
  <c r="AN54" i="2" s="1"/>
  <c r="AX323" i="4"/>
  <c r="AY54" i="2" s="1"/>
  <c r="BE323" i="4"/>
  <c r="BF54" i="2" s="1"/>
  <c r="H323" i="4"/>
  <c r="I54" i="2" s="1"/>
  <c r="N323" i="4"/>
  <c r="O54" i="2" s="1"/>
  <c r="S323" i="4"/>
  <c r="T54" i="2" s="1"/>
  <c r="V323" i="4"/>
  <c r="W54" i="2" s="1"/>
  <c r="AD323" i="4"/>
  <c r="AE54" i="2" s="1"/>
  <c r="AK323" i="4"/>
  <c r="AL54" i="2" s="1"/>
  <c r="AR323" i="4"/>
  <c r="AS54" i="2" s="1"/>
  <c r="BA323" i="4"/>
  <c r="BB54" i="2" s="1"/>
  <c r="BH323" i="4"/>
  <c r="BI54" i="2" s="1"/>
  <c r="J323" i="4"/>
  <c r="K54" i="2" s="1"/>
  <c r="P323" i="4"/>
  <c r="Q54" i="2" s="1"/>
  <c r="Y323" i="4"/>
  <c r="Z54" i="2" s="1"/>
  <c r="AE323" i="4"/>
  <c r="AF54" i="2" s="1"/>
  <c r="AH323" i="4"/>
  <c r="AI54" i="2" s="1"/>
  <c r="AO323" i="4"/>
  <c r="AP54" i="2" s="1"/>
  <c r="AT323" i="4"/>
  <c r="AU54" i="2" s="1"/>
  <c r="AW323" i="4"/>
  <c r="AX54" i="2" s="1"/>
  <c r="AZ323" i="4"/>
  <c r="BA54" i="2" s="1"/>
  <c r="BI323" i="4"/>
  <c r="BJ54" i="2" s="1"/>
  <c r="C323" i="4"/>
  <c r="E323" i="4"/>
  <c r="F54" i="2" s="1"/>
  <c r="G323" i="4"/>
  <c r="H54" i="2" s="1"/>
  <c r="K323" i="4"/>
  <c r="L54" i="2" s="1"/>
  <c r="M323" i="4"/>
  <c r="N54" i="2" s="1"/>
  <c r="Q323" i="4"/>
  <c r="R54" i="2" s="1"/>
  <c r="T323" i="4"/>
  <c r="U54" i="2" s="1"/>
  <c r="W323" i="4"/>
  <c r="X54" i="2" s="1"/>
  <c r="Z323" i="4"/>
  <c r="AA54" i="2" s="1"/>
  <c r="AC323" i="4"/>
  <c r="AD54" i="2" s="1"/>
  <c r="AG323" i="4"/>
  <c r="AH54" i="2" s="1"/>
  <c r="AJ323" i="4"/>
  <c r="AK54" i="2" s="1"/>
  <c r="AL323" i="4"/>
  <c r="AM54" i="2" s="1"/>
  <c r="AN323" i="4"/>
  <c r="AO54" i="2" s="1"/>
  <c r="AQ323" i="4"/>
  <c r="AR54" i="2" s="1"/>
  <c r="AS323" i="4"/>
  <c r="AT54" i="2" s="1"/>
  <c r="AU323" i="4"/>
  <c r="AV54" i="2" s="1"/>
  <c r="AV323" i="4"/>
  <c r="AW54" i="2" s="1"/>
  <c r="BB323" i="4"/>
  <c r="BC54" i="2" s="1"/>
  <c r="BC323" i="4"/>
  <c r="BD54" i="2" s="1"/>
  <c r="BD323" i="4"/>
  <c r="BE54" i="2" s="1"/>
  <c r="BG323" i="4"/>
  <c r="BH54" i="2" s="1"/>
  <c r="BJ323" i="4"/>
  <c r="BK54" i="2" s="1"/>
  <c r="D322" i="4"/>
  <c r="E213" i="2" s="1"/>
  <c r="K322" i="4"/>
  <c r="L213" i="2" s="1"/>
  <c r="T322" i="4"/>
  <c r="AC322" i="4"/>
  <c r="AD213" i="2" s="1"/>
  <c r="AH322" i="4"/>
  <c r="AI213" i="2" s="1"/>
  <c r="AM322" i="4"/>
  <c r="AN213" i="2" s="1"/>
  <c r="AS322" i="4"/>
  <c r="AT213" i="2" s="1"/>
  <c r="AZ322" i="4"/>
  <c r="BA213" i="2" s="1"/>
  <c r="BE322" i="4"/>
  <c r="BF213" i="2" s="1"/>
  <c r="C322" i="4"/>
  <c r="I322" i="4"/>
  <c r="J213" i="2" s="1"/>
  <c r="R322" i="4"/>
  <c r="AA322" i="4"/>
  <c r="AB213" i="2" s="1"/>
  <c r="AG322" i="4"/>
  <c r="AH213" i="2" s="1"/>
  <c r="AL322" i="4"/>
  <c r="AM213" i="2" s="1"/>
  <c r="AV322" i="4"/>
  <c r="AW213" i="2" s="1"/>
  <c r="BB322" i="4"/>
  <c r="BC213" i="2" s="1"/>
  <c r="BG322" i="4"/>
  <c r="BH213" i="2" s="1"/>
  <c r="BI322" i="4"/>
  <c r="BJ213" i="2" s="1"/>
  <c r="F322" i="4"/>
  <c r="G213" i="2" s="1"/>
  <c r="M322" i="4"/>
  <c r="N213" i="2" s="1"/>
  <c r="V322" i="4"/>
  <c r="W213" i="2" s="1"/>
  <c r="AE322" i="4"/>
  <c r="AF213" i="2" s="1"/>
  <c r="AK322" i="4"/>
  <c r="AL213" i="2" s="1"/>
  <c r="AP322" i="4"/>
  <c r="AQ213" i="2" s="1"/>
  <c r="AW322" i="4"/>
  <c r="AX213" i="2" s="1"/>
  <c r="BC322" i="4"/>
  <c r="BD213" i="2" s="1"/>
  <c r="BH322" i="4"/>
  <c r="BI213" i="2" s="1"/>
  <c r="G322" i="4"/>
  <c r="H213" i="2" s="1"/>
  <c r="N322" i="4"/>
  <c r="O213" i="2" s="1"/>
  <c r="P322" i="4"/>
  <c r="W322" i="4"/>
  <c r="X213" i="2" s="1"/>
  <c r="Z322" i="4"/>
  <c r="AA213" i="2" s="1"/>
  <c r="AI322" i="4"/>
  <c r="AJ213" i="2" s="1"/>
  <c r="AO322" i="4"/>
  <c r="AP213" i="2" s="1"/>
  <c r="AX322" i="4"/>
  <c r="AY213" i="2" s="1"/>
  <c r="BD322" i="4"/>
  <c r="BE213" i="2" s="1"/>
  <c r="E322" i="4"/>
  <c r="F213" i="2" s="1"/>
  <c r="H322" i="4"/>
  <c r="I213" i="2" s="1"/>
  <c r="J322" i="4"/>
  <c r="K213" i="2" s="1"/>
  <c r="L322" i="4"/>
  <c r="M213" i="2" s="1"/>
  <c r="O322" i="4"/>
  <c r="P213" i="2" s="1"/>
  <c r="Q322" i="4"/>
  <c r="S322" i="4"/>
  <c r="U322" i="4"/>
  <c r="X322" i="4"/>
  <c r="Y213" i="2" s="1"/>
  <c r="Y322" i="4"/>
  <c r="Z213" i="2" s="1"/>
  <c r="AB322" i="4"/>
  <c r="AC213" i="2" s="1"/>
  <c r="AD322" i="4"/>
  <c r="AE213" i="2" s="1"/>
  <c r="AF322" i="4"/>
  <c r="AG213" i="2" s="1"/>
  <c r="AJ322" i="4"/>
  <c r="AK213" i="2" s="1"/>
  <c r="AN322" i="4"/>
  <c r="AO213" i="2" s="1"/>
  <c r="AQ322" i="4"/>
  <c r="AR213" i="2" s="1"/>
  <c r="AR322" i="4"/>
  <c r="AS213" i="2" s="1"/>
  <c r="AT322" i="4"/>
  <c r="AU213" i="2" s="1"/>
  <c r="AU322" i="4"/>
  <c r="AV213" i="2" s="1"/>
  <c r="AY322" i="4"/>
  <c r="AZ213" i="2" s="1"/>
  <c r="BA322" i="4"/>
  <c r="BB213" i="2" s="1"/>
  <c r="BF322" i="4"/>
  <c r="BG213" i="2" s="1"/>
  <c r="BJ322" i="4"/>
  <c r="BK213" i="2" s="1"/>
  <c r="D321" i="4"/>
  <c r="E288" i="2" s="1"/>
  <c r="J321" i="4"/>
  <c r="K288" i="2" s="1"/>
  <c r="R321" i="4"/>
  <c r="S288" i="2" s="1"/>
  <c r="AB321" i="4"/>
  <c r="AC288" i="2" s="1"/>
  <c r="AH321" i="4"/>
  <c r="AI288" i="2" s="1"/>
  <c r="AN321" i="4"/>
  <c r="AO288" i="2" s="1"/>
  <c r="AS321" i="4"/>
  <c r="AT288" i="2" s="1"/>
  <c r="AY321" i="4"/>
  <c r="AZ288" i="2" s="1"/>
  <c r="BC321" i="4"/>
  <c r="BD288" i="2" s="1"/>
  <c r="BI321" i="4"/>
  <c r="BJ288" i="2" s="1"/>
  <c r="H321" i="4"/>
  <c r="I288" i="2" s="1"/>
  <c r="O321" i="4"/>
  <c r="P288" i="2" s="1"/>
  <c r="X321" i="4"/>
  <c r="Y288" i="2" s="1"/>
  <c r="AG321" i="4"/>
  <c r="AH288" i="2" s="1"/>
  <c r="AL321" i="4"/>
  <c r="AM288" i="2" s="1"/>
  <c r="BH321" i="4"/>
  <c r="BI288" i="2" s="1"/>
  <c r="E321" i="4"/>
  <c r="F288" i="2" s="1"/>
  <c r="M321" i="4"/>
  <c r="N288" i="2" s="1"/>
  <c r="U321" i="4"/>
  <c r="V288" i="2" s="1"/>
  <c r="AD321" i="4"/>
  <c r="AE288" i="2" s="1"/>
  <c r="AJ321" i="4"/>
  <c r="AK288" i="2" s="1"/>
  <c r="AO321" i="4"/>
  <c r="AP288" i="2" s="1"/>
  <c r="AV321" i="4"/>
  <c r="AW288" i="2" s="1"/>
  <c r="BA321" i="4"/>
  <c r="BB288" i="2" s="1"/>
  <c r="BE321" i="4"/>
  <c r="BF288" i="2" s="1"/>
  <c r="BJ321" i="4"/>
  <c r="BK288" i="2" s="1"/>
  <c r="F321" i="4"/>
  <c r="G288" i="2" s="1"/>
  <c r="K321" i="4"/>
  <c r="L288" i="2" s="1"/>
  <c r="P321" i="4"/>
  <c r="Q288" i="2" s="1"/>
  <c r="W321" i="4"/>
  <c r="X288" i="2" s="1"/>
  <c r="AE321" i="4"/>
  <c r="AF288" i="2" s="1"/>
  <c r="AK321" i="4"/>
  <c r="AL288" i="2" s="1"/>
  <c r="AP321" i="4"/>
  <c r="AQ288" i="2" s="1"/>
  <c r="AR321" i="4"/>
  <c r="AS288" i="2" s="1"/>
  <c r="AU321" i="4"/>
  <c r="AV288" i="2" s="1"/>
  <c r="AX321" i="4"/>
  <c r="AY288" i="2" s="1"/>
  <c r="BB321" i="4"/>
  <c r="BC288" i="2" s="1"/>
  <c r="BG321" i="4"/>
  <c r="BH288" i="2" s="1"/>
  <c r="C321" i="4"/>
  <c r="G321" i="4"/>
  <c r="H288" i="2" s="1"/>
  <c r="I321" i="4"/>
  <c r="J288" i="2" s="1"/>
  <c r="L321" i="4"/>
  <c r="M288" i="2" s="1"/>
  <c r="N321" i="4"/>
  <c r="O288" i="2" s="1"/>
  <c r="Q321" i="4"/>
  <c r="R288" i="2" s="1"/>
  <c r="S321" i="4"/>
  <c r="T321" i="4"/>
  <c r="U288" i="2" s="1"/>
  <c r="V321" i="4"/>
  <c r="W288" i="2" s="1"/>
  <c r="Y321" i="4"/>
  <c r="Z288" i="2" s="1"/>
  <c r="Z321" i="4"/>
  <c r="AA288" i="2" s="1"/>
  <c r="AA321" i="4"/>
  <c r="AB288" i="2" s="1"/>
  <c r="AC321" i="4"/>
  <c r="AD288" i="2" s="1"/>
  <c r="AF321" i="4"/>
  <c r="AG288" i="2" s="1"/>
  <c r="AI321" i="4"/>
  <c r="AJ288" i="2" s="1"/>
  <c r="AM321" i="4"/>
  <c r="AN288" i="2" s="1"/>
  <c r="AQ321" i="4"/>
  <c r="AR288" i="2" s="1"/>
  <c r="AT321" i="4"/>
  <c r="AU288" i="2" s="1"/>
  <c r="AW321" i="4"/>
  <c r="AX288" i="2" s="1"/>
  <c r="AZ321" i="4"/>
  <c r="BA288" i="2" s="1"/>
  <c r="BD321" i="4"/>
  <c r="BE288" i="2" s="1"/>
  <c r="BF321" i="4"/>
  <c r="BG288" i="2" s="1"/>
  <c r="D320" i="4"/>
  <c r="E234" i="2" s="1"/>
  <c r="L320" i="4"/>
  <c r="M234" i="2" s="1"/>
  <c r="P320" i="4"/>
  <c r="Q234" i="2" s="1"/>
  <c r="T320" i="4"/>
  <c r="U234" i="2" s="1"/>
  <c r="Y320" i="4"/>
  <c r="Z234" i="2" s="1"/>
  <c r="AE320" i="4"/>
  <c r="AF234" i="2" s="1"/>
  <c r="AM320" i="4"/>
  <c r="AN234" i="2" s="1"/>
  <c r="AT320" i="4"/>
  <c r="AU234" i="2" s="1"/>
  <c r="AZ320" i="4"/>
  <c r="BA234" i="2" s="1"/>
  <c r="BC320" i="4"/>
  <c r="BD234" i="2" s="1"/>
  <c r="BI320" i="4"/>
  <c r="BJ234" i="2" s="1"/>
  <c r="C320" i="4"/>
  <c r="J320" i="4"/>
  <c r="K234" i="2" s="1"/>
  <c r="O320" i="4"/>
  <c r="P234" i="2" s="1"/>
  <c r="W320" i="4"/>
  <c r="X234" i="2" s="1"/>
  <c r="AB320" i="4"/>
  <c r="AC234" i="2" s="1"/>
  <c r="AI320" i="4"/>
  <c r="AJ234" i="2" s="1"/>
  <c r="AL320" i="4"/>
  <c r="AM234" i="2" s="1"/>
  <c r="AP320" i="4"/>
  <c r="AQ234" i="2" s="1"/>
  <c r="AW320" i="4"/>
  <c r="AX234" i="2" s="1"/>
  <c r="BB320" i="4"/>
  <c r="BC234" i="2" s="1"/>
  <c r="BF320" i="4"/>
  <c r="BG234" i="2" s="1"/>
  <c r="H320" i="4"/>
  <c r="I234" i="2" s="1"/>
  <c r="M320" i="4"/>
  <c r="N234" i="2" s="1"/>
  <c r="S320" i="4"/>
  <c r="T234" i="2" s="1"/>
  <c r="X320" i="4"/>
  <c r="Y234" i="2" s="1"/>
  <c r="AC320" i="4"/>
  <c r="AD234" i="2" s="1"/>
  <c r="AJ320" i="4"/>
  <c r="AK234" i="2" s="1"/>
  <c r="AO320" i="4"/>
  <c r="AP234" i="2" s="1"/>
  <c r="AU320" i="4"/>
  <c r="AV234" i="2" s="1"/>
  <c r="BA320" i="4"/>
  <c r="BB234" i="2" s="1"/>
  <c r="BE320" i="4"/>
  <c r="BF234" i="2" s="1"/>
  <c r="BJ320" i="4"/>
  <c r="BK234" i="2" s="1"/>
  <c r="E320" i="4"/>
  <c r="F234" i="2" s="1"/>
  <c r="I320" i="4"/>
  <c r="J234" i="2" s="1"/>
  <c r="Q320" i="4"/>
  <c r="U320" i="4"/>
  <c r="V234" i="2" s="1"/>
  <c r="AA320" i="4"/>
  <c r="AB234" i="2" s="1"/>
  <c r="AG320" i="4"/>
  <c r="AH234" i="2" s="1"/>
  <c r="AR320" i="4"/>
  <c r="AS234" i="2" s="1"/>
  <c r="AX320" i="4"/>
  <c r="AY234" i="2" s="1"/>
  <c r="BG320" i="4"/>
  <c r="BH234" i="2" s="1"/>
  <c r="F320" i="4"/>
  <c r="G234" i="2" s="1"/>
  <c r="G320" i="4"/>
  <c r="H234" i="2" s="1"/>
  <c r="K320" i="4"/>
  <c r="L234" i="2" s="1"/>
  <c r="N320" i="4"/>
  <c r="O234" i="2" s="1"/>
  <c r="R320" i="4"/>
  <c r="V320" i="4"/>
  <c r="W234" i="2" s="1"/>
  <c r="Z320" i="4"/>
  <c r="AA234" i="2" s="1"/>
  <c r="AD320" i="4"/>
  <c r="AE234" i="2" s="1"/>
  <c r="AF320" i="4"/>
  <c r="AG234" i="2" s="1"/>
  <c r="AH320" i="4"/>
  <c r="AI234" i="2" s="1"/>
  <c r="AK320" i="4"/>
  <c r="AL234" i="2" s="1"/>
  <c r="AN320" i="4"/>
  <c r="AO234" i="2" s="1"/>
  <c r="AQ320" i="4"/>
  <c r="AR234" i="2" s="1"/>
  <c r="AS320" i="4"/>
  <c r="AT234" i="2" s="1"/>
  <c r="AV320" i="4"/>
  <c r="AW234" i="2" s="1"/>
  <c r="AY320" i="4"/>
  <c r="AZ234" i="2" s="1"/>
  <c r="BD320" i="4"/>
  <c r="BE234" i="2" s="1"/>
  <c r="BH320" i="4"/>
  <c r="BI234" i="2" s="1"/>
  <c r="E319" i="4"/>
  <c r="F303" i="2" s="1"/>
  <c r="I319" i="4"/>
  <c r="J303" i="2" s="1"/>
  <c r="L319" i="4"/>
  <c r="M303" i="2" s="1"/>
  <c r="S319" i="4"/>
  <c r="T303" i="2" s="1"/>
  <c r="Y319" i="4"/>
  <c r="Z303" i="2" s="1"/>
  <c r="AE319" i="4"/>
  <c r="AF303" i="2" s="1"/>
  <c r="AJ319" i="4"/>
  <c r="AK303" i="2" s="1"/>
  <c r="AO319" i="4"/>
  <c r="AP303" i="2" s="1"/>
  <c r="AS319" i="4"/>
  <c r="AT303" i="2" s="1"/>
  <c r="AW319" i="4"/>
  <c r="AX303" i="2" s="1"/>
  <c r="BD319" i="4"/>
  <c r="BE303" i="2" s="1"/>
  <c r="BH319" i="4"/>
  <c r="BI303" i="2" s="1"/>
  <c r="G319" i="4"/>
  <c r="H303" i="2" s="1"/>
  <c r="K319" i="4"/>
  <c r="L303" i="2" s="1"/>
  <c r="Q319" i="4"/>
  <c r="R303" i="2" s="1"/>
  <c r="W319" i="4"/>
  <c r="X303" i="2" s="1"/>
  <c r="AC319" i="4"/>
  <c r="AD303" i="2" s="1"/>
  <c r="AF319" i="4"/>
  <c r="AG303" i="2" s="1"/>
  <c r="AL319" i="4"/>
  <c r="AM303" i="2" s="1"/>
  <c r="AP319" i="4"/>
  <c r="AQ303" i="2" s="1"/>
  <c r="AT319" i="4"/>
  <c r="AU303" i="2" s="1"/>
  <c r="AY319" i="4"/>
  <c r="AZ303" i="2" s="1"/>
  <c r="BF319" i="4"/>
  <c r="BG303" i="2" s="1"/>
  <c r="C319" i="4"/>
  <c r="H319" i="4"/>
  <c r="I303" i="2" s="1"/>
  <c r="O319" i="4"/>
  <c r="P303" i="2" s="1"/>
  <c r="V319" i="4"/>
  <c r="W303" i="2" s="1"/>
  <c r="Z319" i="4"/>
  <c r="AA303" i="2" s="1"/>
  <c r="AD319" i="4"/>
  <c r="AE303" i="2" s="1"/>
  <c r="AI319" i="4"/>
  <c r="AJ303" i="2" s="1"/>
  <c r="AN319" i="4"/>
  <c r="AO303" i="2" s="1"/>
  <c r="AR319" i="4"/>
  <c r="AS303" i="2" s="1"/>
  <c r="AU319" i="4"/>
  <c r="AV303" i="2" s="1"/>
  <c r="AZ319" i="4"/>
  <c r="BA303" i="2" s="1"/>
  <c r="BE319" i="4"/>
  <c r="BF303" i="2" s="1"/>
  <c r="BJ319" i="4"/>
  <c r="BK303" i="2" s="1"/>
  <c r="D319" i="4"/>
  <c r="E303" i="2" s="1"/>
  <c r="M319" i="4"/>
  <c r="N303" i="2" s="1"/>
  <c r="P319" i="4"/>
  <c r="Q303" i="2" s="1"/>
  <c r="U319" i="4"/>
  <c r="AA319" i="4"/>
  <c r="AB303" i="2" s="1"/>
  <c r="AG319" i="4"/>
  <c r="AH303" i="2" s="1"/>
  <c r="AM319" i="4"/>
  <c r="AN303" i="2" s="1"/>
  <c r="AQ319" i="4"/>
  <c r="AR303" i="2" s="1"/>
  <c r="AX319" i="4"/>
  <c r="AY303" i="2" s="1"/>
  <c r="BB319" i="4"/>
  <c r="BC303" i="2" s="1"/>
  <c r="BI319" i="4"/>
  <c r="BJ303" i="2" s="1"/>
  <c r="F319" i="4"/>
  <c r="G303" i="2" s="1"/>
  <c r="J319" i="4"/>
  <c r="K303" i="2" s="1"/>
  <c r="N319" i="4"/>
  <c r="O303" i="2" s="1"/>
  <c r="R319" i="4"/>
  <c r="S303" i="2" s="1"/>
  <c r="T319" i="4"/>
  <c r="X319" i="4"/>
  <c r="Y303" i="2" s="1"/>
  <c r="AB319" i="4"/>
  <c r="AC303" i="2" s="1"/>
  <c r="AH319" i="4"/>
  <c r="AI303" i="2" s="1"/>
  <c r="AK319" i="4"/>
  <c r="AL303" i="2" s="1"/>
  <c r="AV319" i="4"/>
  <c r="AW303" i="2" s="1"/>
  <c r="BA319" i="4"/>
  <c r="BB303" i="2" s="1"/>
  <c r="BC319" i="4"/>
  <c r="BD303" i="2" s="1"/>
  <c r="BG319" i="4"/>
  <c r="BH303" i="2" s="1"/>
  <c r="C318" i="4"/>
  <c r="I318" i="4"/>
  <c r="J222" i="2" s="1"/>
  <c r="P318" i="4"/>
  <c r="T318" i="4"/>
  <c r="U222" i="2" s="1"/>
  <c r="Z318" i="4"/>
  <c r="AA222" i="2" s="1"/>
  <c r="AE318" i="4"/>
  <c r="AF222" i="2" s="1"/>
  <c r="AJ318" i="4"/>
  <c r="AK222" i="2" s="1"/>
  <c r="AQ318" i="4"/>
  <c r="AR222" i="2" s="1"/>
  <c r="AU318" i="4"/>
  <c r="AV222" i="2" s="1"/>
  <c r="BC318" i="4"/>
  <c r="BD222" i="2" s="1"/>
  <c r="BI318" i="4"/>
  <c r="BJ222" i="2" s="1"/>
  <c r="F318" i="4"/>
  <c r="G222" i="2" s="1"/>
  <c r="M318" i="4"/>
  <c r="N222" i="2" s="1"/>
  <c r="R318" i="4"/>
  <c r="X318" i="4"/>
  <c r="Y222" i="2" s="1"/>
  <c r="AC318" i="4"/>
  <c r="AD222" i="2" s="1"/>
  <c r="AI318" i="4"/>
  <c r="AJ222" i="2" s="1"/>
  <c r="AN318" i="4"/>
  <c r="AO222" i="2" s="1"/>
  <c r="AT318" i="4"/>
  <c r="AU222" i="2" s="1"/>
  <c r="AZ318" i="4"/>
  <c r="BA222" i="2" s="1"/>
  <c r="BE318" i="4"/>
  <c r="BF222" i="2" s="1"/>
  <c r="D318" i="4"/>
  <c r="E222" i="2" s="1"/>
  <c r="K318" i="4"/>
  <c r="L222" i="2" s="1"/>
  <c r="Q318" i="4"/>
  <c r="U318" i="4"/>
  <c r="V222" i="2" s="1"/>
  <c r="AD318" i="4"/>
  <c r="AE222" i="2" s="1"/>
  <c r="AG318" i="4"/>
  <c r="AH222" i="2" s="1"/>
  <c r="AM318" i="4"/>
  <c r="AN222" i="2" s="1"/>
  <c r="AR318" i="4"/>
  <c r="AS222" i="2" s="1"/>
  <c r="AX318" i="4"/>
  <c r="AY222" i="2" s="1"/>
  <c r="BD318" i="4"/>
  <c r="BE222" i="2" s="1"/>
  <c r="E318" i="4"/>
  <c r="F222" i="2" s="1"/>
  <c r="O318" i="4"/>
  <c r="P222" i="2" s="1"/>
  <c r="V318" i="4"/>
  <c r="W222" i="2" s="1"/>
  <c r="AA318" i="4"/>
  <c r="AB222" i="2" s="1"/>
  <c r="AK318" i="4"/>
  <c r="AL222" i="2" s="1"/>
  <c r="AV318" i="4"/>
  <c r="AW222" i="2" s="1"/>
  <c r="BA318" i="4"/>
  <c r="BB222" i="2" s="1"/>
  <c r="BG318" i="4"/>
  <c r="BH222" i="2" s="1"/>
  <c r="G318" i="4"/>
  <c r="H222" i="2" s="1"/>
  <c r="H318" i="4"/>
  <c r="I222" i="2" s="1"/>
  <c r="J318" i="4"/>
  <c r="K222" i="2" s="1"/>
  <c r="L318" i="4"/>
  <c r="M222" i="2" s="1"/>
  <c r="N318" i="4"/>
  <c r="O222" i="2" s="1"/>
  <c r="S318" i="4"/>
  <c r="W318" i="4"/>
  <c r="X222" i="2" s="1"/>
  <c r="Y318" i="4"/>
  <c r="Z222" i="2" s="1"/>
  <c r="AB318" i="4"/>
  <c r="AC222" i="2" s="1"/>
  <c r="AF318" i="4"/>
  <c r="AG222" i="2" s="1"/>
  <c r="AH318" i="4"/>
  <c r="AI222" i="2" s="1"/>
  <c r="AL318" i="4"/>
  <c r="AM222" i="2" s="1"/>
  <c r="AO318" i="4"/>
  <c r="AP222" i="2" s="1"/>
  <c r="AP318" i="4"/>
  <c r="AQ222" i="2" s="1"/>
  <c r="AS318" i="4"/>
  <c r="AT222" i="2" s="1"/>
  <c r="AW318" i="4"/>
  <c r="AX222" i="2" s="1"/>
  <c r="AY318" i="4"/>
  <c r="AZ222" i="2" s="1"/>
  <c r="BB318" i="4"/>
  <c r="BC222" i="2" s="1"/>
  <c r="BF318" i="4"/>
  <c r="BG222" i="2" s="1"/>
  <c r="BH318" i="4"/>
  <c r="BI222" i="2" s="1"/>
  <c r="BJ318" i="4"/>
  <c r="BK222" i="2" s="1"/>
  <c r="G317" i="4"/>
  <c r="H228" i="2" s="1"/>
  <c r="N317" i="4"/>
  <c r="O228" i="2" s="1"/>
  <c r="S317" i="4"/>
  <c r="T228" i="2" s="1"/>
  <c r="W317" i="4"/>
  <c r="X228" i="2" s="1"/>
  <c r="Y317" i="4"/>
  <c r="Z228" i="2" s="1"/>
  <c r="AE317" i="4"/>
  <c r="AF228" i="2" s="1"/>
  <c r="AM317" i="4"/>
  <c r="AN228" i="2" s="1"/>
  <c r="AP317" i="4"/>
  <c r="AQ228" i="2" s="1"/>
  <c r="AU317" i="4"/>
  <c r="AV228" i="2" s="1"/>
  <c r="BA317" i="4"/>
  <c r="BB228" i="2" s="1"/>
  <c r="BG317" i="4"/>
  <c r="BH228" i="2" s="1"/>
  <c r="F317" i="4"/>
  <c r="G228" i="2" s="1"/>
  <c r="J317" i="4"/>
  <c r="K228" i="2" s="1"/>
  <c r="O317" i="4"/>
  <c r="P228" i="2" s="1"/>
  <c r="T317" i="4"/>
  <c r="U228" i="2" s="1"/>
  <c r="X317" i="4"/>
  <c r="Y228" i="2" s="1"/>
  <c r="AA317" i="4"/>
  <c r="AB228" i="2" s="1"/>
  <c r="AD317" i="4"/>
  <c r="AE228" i="2" s="1"/>
  <c r="AH317" i="4"/>
  <c r="AI228" i="2" s="1"/>
  <c r="AJ317" i="4"/>
  <c r="AK228" i="2" s="1"/>
  <c r="AO317" i="4"/>
  <c r="AP228" i="2" s="1"/>
  <c r="AT317" i="4"/>
  <c r="AU228" i="2" s="1"/>
  <c r="AV317" i="4"/>
  <c r="AW228" i="2" s="1"/>
  <c r="BC317" i="4"/>
  <c r="BD228" i="2" s="1"/>
  <c r="BI317" i="4"/>
  <c r="BJ228" i="2" s="1"/>
  <c r="E317" i="4"/>
  <c r="F228" i="2" s="1"/>
  <c r="K317" i="4"/>
  <c r="L228" i="2" s="1"/>
  <c r="R317" i="4"/>
  <c r="AF317" i="4"/>
  <c r="AG228" i="2" s="1"/>
  <c r="AN317" i="4"/>
  <c r="AO228" i="2" s="1"/>
  <c r="AS317" i="4"/>
  <c r="AT228" i="2" s="1"/>
  <c r="AX317" i="4"/>
  <c r="AY228" i="2" s="1"/>
  <c r="BF317" i="4"/>
  <c r="BG228" i="2" s="1"/>
  <c r="BJ317" i="4"/>
  <c r="BK228" i="2" s="1"/>
  <c r="H317" i="4"/>
  <c r="I228" i="2" s="1"/>
  <c r="M317" i="4"/>
  <c r="N228" i="2" s="1"/>
  <c r="Q317" i="4"/>
  <c r="V317" i="4"/>
  <c r="W228" i="2" s="1"/>
  <c r="AB317" i="4"/>
  <c r="AC228" i="2" s="1"/>
  <c r="AG317" i="4"/>
  <c r="AH228" i="2" s="1"/>
  <c r="AL317" i="4"/>
  <c r="AM228" i="2" s="1"/>
  <c r="AR317" i="4"/>
  <c r="AS228" i="2" s="1"/>
  <c r="AZ317" i="4"/>
  <c r="BA228" i="2" s="1"/>
  <c r="BB317" i="4"/>
  <c r="BC228" i="2" s="1"/>
  <c r="BE317" i="4"/>
  <c r="BF228" i="2" s="1"/>
  <c r="C317" i="4"/>
  <c r="D317" i="4"/>
  <c r="E228" i="2" s="1"/>
  <c r="I317" i="4"/>
  <c r="J228" i="2" s="1"/>
  <c r="L317" i="4"/>
  <c r="M228" i="2" s="1"/>
  <c r="P317" i="4"/>
  <c r="U317" i="4"/>
  <c r="V228" i="2" s="1"/>
  <c r="Z317" i="4"/>
  <c r="AA228" i="2" s="1"/>
  <c r="AC317" i="4"/>
  <c r="AD228" i="2" s="1"/>
  <c r="AI317" i="4"/>
  <c r="AJ228" i="2" s="1"/>
  <c r="AK317" i="4"/>
  <c r="AL228" i="2" s="1"/>
  <c r="AQ317" i="4"/>
  <c r="AR228" i="2" s="1"/>
  <c r="AW317" i="4"/>
  <c r="AX228" i="2" s="1"/>
  <c r="AY317" i="4"/>
  <c r="AZ228" i="2" s="1"/>
  <c r="BD317" i="4"/>
  <c r="BE228" i="2" s="1"/>
  <c r="BH317" i="4"/>
  <c r="BI228" i="2" s="1"/>
  <c r="H316" i="4"/>
  <c r="I243" i="2" s="1"/>
  <c r="M316" i="4"/>
  <c r="N243" i="2" s="1"/>
  <c r="R316" i="4"/>
  <c r="W316" i="4"/>
  <c r="X243" i="2" s="1"/>
  <c r="AE316" i="4"/>
  <c r="AF243" i="2" s="1"/>
  <c r="AM316" i="4"/>
  <c r="AN243" i="2" s="1"/>
  <c r="AR316" i="4"/>
  <c r="AS243" i="2" s="1"/>
  <c r="AW316" i="4"/>
  <c r="AX243" i="2" s="1"/>
  <c r="BB316" i="4"/>
  <c r="BC243" i="2" s="1"/>
  <c r="BH316" i="4"/>
  <c r="BI243" i="2" s="1"/>
  <c r="D316" i="4"/>
  <c r="E243" i="2" s="1"/>
  <c r="J316" i="4"/>
  <c r="K243" i="2" s="1"/>
  <c r="O316" i="4"/>
  <c r="P243" i="2" s="1"/>
  <c r="U316" i="4"/>
  <c r="AD316" i="4"/>
  <c r="AE243" i="2" s="1"/>
  <c r="AI316" i="4"/>
  <c r="AJ243" i="2" s="1"/>
  <c r="AS316" i="4"/>
  <c r="AT243" i="2" s="1"/>
  <c r="AZ316" i="4"/>
  <c r="BA243" i="2" s="1"/>
  <c r="BG316" i="4"/>
  <c r="BH243" i="2" s="1"/>
  <c r="E316" i="4"/>
  <c r="F243" i="2" s="1"/>
  <c r="K316" i="4"/>
  <c r="L243" i="2" s="1"/>
  <c r="Q316" i="4"/>
  <c r="T316" i="4"/>
  <c r="AB316" i="4"/>
  <c r="AC243" i="2" s="1"/>
  <c r="AH316" i="4"/>
  <c r="AI243" i="2" s="1"/>
  <c r="AO316" i="4"/>
  <c r="AP243" i="2" s="1"/>
  <c r="AT316" i="4"/>
  <c r="AU243" i="2" s="1"/>
  <c r="AY316" i="4"/>
  <c r="AZ243" i="2" s="1"/>
  <c r="BE316" i="4"/>
  <c r="BF243" i="2" s="1"/>
  <c r="G316" i="4"/>
  <c r="H243" i="2" s="1"/>
  <c r="N316" i="4"/>
  <c r="O243" i="2" s="1"/>
  <c r="V316" i="4"/>
  <c r="W243" i="2" s="1"/>
  <c r="Z316" i="4"/>
  <c r="AA243" i="2" s="1"/>
  <c r="AF316" i="4"/>
  <c r="AG243" i="2" s="1"/>
  <c r="AK316" i="4"/>
  <c r="AL243" i="2" s="1"/>
  <c r="AP316" i="4"/>
  <c r="AQ243" i="2" s="1"/>
  <c r="AV316" i="4"/>
  <c r="AW243" i="2" s="1"/>
  <c r="BD316" i="4"/>
  <c r="BE243" i="2" s="1"/>
  <c r="BJ316" i="4"/>
  <c r="BK243" i="2" s="1"/>
  <c r="C316" i="4"/>
  <c r="F316" i="4"/>
  <c r="G243" i="2" s="1"/>
  <c r="I316" i="4"/>
  <c r="J243" i="2" s="1"/>
  <c r="L316" i="4"/>
  <c r="M243" i="2" s="1"/>
  <c r="P316" i="4"/>
  <c r="Q243" i="2" s="1"/>
  <c r="S316" i="4"/>
  <c r="X316" i="4"/>
  <c r="Y243" i="2" s="1"/>
  <c r="Y316" i="4"/>
  <c r="Z243" i="2" s="1"/>
  <c r="AA316" i="4"/>
  <c r="AB243" i="2" s="1"/>
  <c r="AC316" i="4"/>
  <c r="AD243" i="2" s="1"/>
  <c r="AG316" i="4"/>
  <c r="AH243" i="2" s="1"/>
  <c r="AJ316" i="4"/>
  <c r="AK243" i="2" s="1"/>
  <c r="AL316" i="4"/>
  <c r="AM243" i="2" s="1"/>
  <c r="AN316" i="4"/>
  <c r="AO243" i="2" s="1"/>
  <c r="AQ316" i="4"/>
  <c r="AR243" i="2" s="1"/>
  <c r="AU316" i="4"/>
  <c r="AV243" i="2" s="1"/>
  <c r="AX316" i="4"/>
  <c r="AY243" i="2" s="1"/>
  <c r="BA316" i="4"/>
  <c r="BB243" i="2" s="1"/>
  <c r="BC316" i="4"/>
  <c r="BD243" i="2" s="1"/>
  <c r="BF316" i="4"/>
  <c r="BG243" i="2" s="1"/>
  <c r="BI316" i="4"/>
  <c r="BJ243" i="2" s="1"/>
  <c r="F315" i="4"/>
  <c r="G258" i="2" s="1"/>
  <c r="M315" i="4"/>
  <c r="N258" i="2" s="1"/>
  <c r="V315" i="4"/>
  <c r="W258" i="2" s="1"/>
  <c r="AA315" i="4"/>
  <c r="AB258" i="2" s="1"/>
  <c r="AE315" i="4"/>
  <c r="AF258" i="2" s="1"/>
  <c r="AM315" i="4"/>
  <c r="AN258" i="2" s="1"/>
  <c r="AV315" i="4"/>
  <c r="AW258" i="2" s="1"/>
  <c r="BA315" i="4"/>
  <c r="BB258" i="2" s="1"/>
  <c r="BF315" i="4"/>
  <c r="BG258" i="2" s="1"/>
  <c r="H315" i="4"/>
  <c r="I258" i="2" s="1"/>
  <c r="N315" i="4"/>
  <c r="O258" i="2" s="1"/>
  <c r="U315" i="4"/>
  <c r="AB315" i="4"/>
  <c r="AC258" i="2" s="1"/>
  <c r="AH315" i="4"/>
  <c r="AI258" i="2" s="1"/>
  <c r="AO315" i="4"/>
  <c r="AP258" i="2" s="1"/>
  <c r="AT315" i="4"/>
  <c r="AU258" i="2" s="1"/>
  <c r="AY315" i="4"/>
  <c r="AZ258" i="2" s="1"/>
  <c r="BE315" i="4"/>
  <c r="BF258" i="2" s="1"/>
  <c r="D315" i="4"/>
  <c r="E258" i="2" s="1"/>
  <c r="K315" i="4"/>
  <c r="L258" i="2" s="1"/>
  <c r="Q315" i="4"/>
  <c r="R258" i="2" s="1"/>
  <c r="X315" i="4"/>
  <c r="Y258" i="2" s="1"/>
  <c r="AD315" i="4"/>
  <c r="AE258" i="2" s="1"/>
  <c r="AJ315" i="4"/>
  <c r="AK258" i="2" s="1"/>
  <c r="AN315" i="4"/>
  <c r="AO258" i="2" s="1"/>
  <c r="AR315" i="4"/>
  <c r="AS258" i="2" s="1"/>
  <c r="AW315" i="4"/>
  <c r="AX258" i="2" s="1"/>
  <c r="BB315" i="4"/>
  <c r="BC258" i="2" s="1"/>
  <c r="BJ315" i="4"/>
  <c r="BK258" i="2" s="1"/>
  <c r="C315" i="4"/>
  <c r="J315" i="4"/>
  <c r="K258" i="2" s="1"/>
  <c r="O315" i="4"/>
  <c r="P258" i="2" s="1"/>
  <c r="S315" i="4"/>
  <c r="Z315" i="4"/>
  <c r="AA258" i="2" s="1"/>
  <c r="AG315" i="4"/>
  <c r="AH258" i="2" s="1"/>
  <c r="AK315" i="4"/>
  <c r="AL258" i="2" s="1"/>
  <c r="AQ315" i="4"/>
  <c r="AR258" i="2" s="1"/>
  <c r="BC315" i="4"/>
  <c r="BD258" i="2" s="1"/>
  <c r="BH315" i="4"/>
  <c r="BI258" i="2" s="1"/>
  <c r="E315" i="4"/>
  <c r="F258" i="2" s="1"/>
  <c r="G315" i="4"/>
  <c r="H258" i="2" s="1"/>
  <c r="I315" i="4"/>
  <c r="J258" i="2" s="1"/>
  <c r="L315" i="4"/>
  <c r="M258" i="2" s="1"/>
  <c r="P315" i="4"/>
  <c r="Q258" i="2" s="1"/>
  <c r="R315" i="4"/>
  <c r="T315" i="4"/>
  <c r="W315" i="4"/>
  <c r="X258" i="2" s="1"/>
  <c r="Y315" i="4"/>
  <c r="Z258" i="2" s="1"/>
  <c r="AC315" i="4"/>
  <c r="AD258" i="2" s="1"/>
  <c r="AF315" i="4"/>
  <c r="AG258" i="2" s="1"/>
  <c r="AI315" i="4"/>
  <c r="AJ258" i="2" s="1"/>
  <c r="AL315" i="4"/>
  <c r="AM258" i="2" s="1"/>
  <c r="AP315" i="4"/>
  <c r="AQ258" i="2" s="1"/>
  <c r="AS315" i="4"/>
  <c r="AT258" i="2" s="1"/>
  <c r="AU315" i="4"/>
  <c r="AV258" i="2" s="1"/>
  <c r="AX315" i="4"/>
  <c r="AY258" i="2" s="1"/>
  <c r="AZ315" i="4"/>
  <c r="BA258" i="2" s="1"/>
  <c r="BD315" i="4"/>
  <c r="BE258" i="2" s="1"/>
  <c r="BG315" i="4"/>
  <c r="BH258" i="2" s="1"/>
  <c r="BI315" i="4"/>
  <c r="BJ258" i="2" s="1"/>
  <c r="E314" i="4"/>
  <c r="F105" i="2" s="1"/>
  <c r="K314" i="4"/>
  <c r="L105" i="2" s="1"/>
  <c r="P314" i="4"/>
  <c r="Q105" i="2" s="1"/>
  <c r="U314" i="4"/>
  <c r="V105" i="2" s="1"/>
  <c r="AB314" i="4"/>
  <c r="AC105" i="2" s="1"/>
  <c r="AI314" i="4"/>
  <c r="AJ105" i="2" s="1"/>
  <c r="AN314" i="4"/>
  <c r="AO105" i="2" s="1"/>
  <c r="AQ314" i="4"/>
  <c r="AR105" i="2" s="1"/>
  <c r="AV314" i="4"/>
  <c r="AW105" i="2" s="1"/>
  <c r="BC314" i="4"/>
  <c r="BD105" i="2" s="1"/>
  <c r="BH314" i="4"/>
  <c r="BI105" i="2" s="1"/>
  <c r="C314" i="4"/>
  <c r="F314" i="4"/>
  <c r="N314" i="4"/>
  <c r="O105" i="2" s="1"/>
  <c r="S314" i="4"/>
  <c r="T105" i="2" s="1"/>
  <c r="X314" i="4"/>
  <c r="Y105" i="2" s="1"/>
  <c r="AH314" i="4"/>
  <c r="AI105" i="2" s="1"/>
  <c r="AT314" i="4"/>
  <c r="AU105" i="2" s="1"/>
  <c r="AZ314" i="4"/>
  <c r="BA105" i="2" s="1"/>
  <c r="BG314" i="4"/>
  <c r="BH105" i="2" s="1"/>
  <c r="D314" i="4"/>
  <c r="E105" i="2" s="1"/>
  <c r="I314" i="4"/>
  <c r="O314" i="4"/>
  <c r="P105" i="2" s="1"/>
  <c r="T314" i="4"/>
  <c r="U105" i="2" s="1"/>
  <c r="Y314" i="4"/>
  <c r="Z105" i="2" s="1"/>
  <c r="AG314" i="4"/>
  <c r="AH105" i="2" s="1"/>
  <c r="AK314" i="4"/>
  <c r="AL105" i="2" s="1"/>
  <c r="AO314" i="4"/>
  <c r="AP105" i="2" s="1"/>
  <c r="AR314" i="4"/>
  <c r="AS105" i="2" s="1"/>
  <c r="AY314" i="4"/>
  <c r="AZ105" i="2" s="1"/>
  <c r="BE314" i="4"/>
  <c r="BF105" i="2" s="1"/>
  <c r="H314" i="4"/>
  <c r="L314" i="4"/>
  <c r="M105" i="2" s="1"/>
  <c r="R314" i="4"/>
  <c r="S105" i="2" s="1"/>
  <c r="W314" i="4"/>
  <c r="X105" i="2" s="1"/>
  <c r="AA314" i="4"/>
  <c r="AB105" i="2" s="1"/>
  <c r="AE314" i="4"/>
  <c r="AF105" i="2" s="1"/>
  <c r="AM314" i="4"/>
  <c r="AN105" i="2" s="1"/>
  <c r="AU314" i="4"/>
  <c r="AV105" i="2" s="1"/>
  <c r="BA314" i="4"/>
  <c r="BB105" i="2" s="1"/>
  <c r="BI314" i="4"/>
  <c r="BJ105" i="2" s="1"/>
  <c r="G314" i="4"/>
  <c r="H105" i="2" s="1"/>
  <c r="J314" i="4"/>
  <c r="K105" i="2" s="1"/>
  <c r="M314" i="4"/>
  <c r="N105" i="2" s="1"/>
  <c r="Q314" i="4"/>
  <c r="R105" i="2" s="1"/>
  <c r="V314" i="4"/>
  <c r="W105" i="2" s="1"/>
  <c r="Z314" i="4"/>
  <c r="AA105" i="2" s="1"/>
  <c r="AC314" i="4"/>
  <c r="AD105" i="2" s="1"/>
  <c r="AD314" i="4"/>
  <c r="AE105" i="2" s="1"/>
  <c r="AF314" i="4"/>
  <c r="AG105" i="2" s="1"/>
  <c r="AJ314" i="4"/>
  <c r="AK105" i="2" s="1"/>
  <c r="AL314" i="4"/>
  <c r="AM105" i="2" s="1"/>
  <c r="AP314" i="4"/>
  <c r="AQ105" i="2" s="1"/>
  <c r="AS314" i="4"/>
  <c r="AT105" i="2" s="1"/>
  <c r="AW314" i="4"/>
  <c r="AX105" i="2" s="1"/>
  <c r="AX314" i="4"/>
  <c r="AY105" i="2" s="1"/>
  <c r="BB314" i="4"/>
  <c r="BC105" i="2" s="1"/>
  <c r="BD314" i="4"/>
  <c r="BE105" i="2" s="1"/>
  <c r="BF314" i="4"/>
  <c r="BG105" i="2" s="1"/>
  <c r="BJ314" i="4"/>
  <c r="BK105" i="2" s="1"/>
  <c r="D313" i="4"/>
  <c r="J313" i="4"/>
  <c r="K93" i="2" s="1"/>
  <c r="N313" i="4"/>
  <c r="O93" i="2" s="1"/>
  <c r="R313" i="4"/>
  <c r="S93" i="2" s="1"/>
  <c r="V313" i="4"/>
  <c r="W93" i="2" s="1"/>
  <c r="AB313" i="4"/>
  <c r="AC93" i="2" s="1"/>
  <c r="AI313" i="4"/>
  <c r="AJ93" i="2" s="1"/>
  <c r="AM313" i="4"/>
  <c r="AN93" i="2" s="1"/>
  <c r="AU313" i="4"/>
  <c r="AV93" i="2" s="1"/>
  <c r="AZ313" i="4"/>
  <c r="BA93" i="2" s="1"/>
  <c r="BD313" i="4"/>
  <c r="BE93" i="2" s="1"/>
  <c r="BI313" i="4"/>
  <c r="BJ93" i="2" s="1"/>
  <c r="E313" i="4"/>
  <c r="K313" i="4"/>
  <c r="L93" i="2" s="1"/>
  <c r="O313" i="4"/>
  <c r="P93" i="2" s="1"/>
  <c r="U313" i="4"/>
  <c r="V93" i="2" s="1"/>
  <c r="AA313" i="4"/>
  <c r="AB93" i="2" s="1"/>
  <c r="AE313" i="4"/>
  <c r="AF93" i="2" s="1"/>
  <c r="AK313" i="4"/>
  <c r="AL93" i="2" s="1"/>
  <c r="AR313" i="4"/>
  <c r="AS93" i="2" s="1"/>
  <c r="AV313" i="4"/>
  <c r="AW93" i="2" s="1"/>
  <c r="BC313" i="4"/>
  <c r="BD93" i="2" s="1"/>
  <c r="I313" i="4"/>
  <c r="J93" i="2" s="1"/>
  <c r="M313" i="4"/>
  <c r="N93" i="2" s="1"/>
  <c r="Q313" i="4"/>
  <c r="R93" i="2" s="1"/>
  <c r="Y313" i="4"/>
  <c r="Z93" i="2" s="1"/>
  <c r="AD313" i="4"/>
  <c r="AE93" i="2" s="1"/>
  <c r="AF313" i="4"/>
  <c r="AG93" i="2" s="1"/>
  <c r="AL313" i="4"/>
  <c r="AM93" i="2" s="1"/>
  <c r="AS313" i="4"/>
  <c r="AT93" i="2" s="1"/>
  <c r="AW313" i="4"/>
  <c r="AX93" i="2" s="1"/>
  <c r="BA313" i="4"/>
  <c r="BB93" i="2" s="1"/>
  <c r="BG313" i="4"/>
  <c r="BH93" i="2" s="1"/>
  <c r="G313" i="4"/>
  <c r="H93" i="2" s="1"/>
  <c r="S313" i="4"/>
  <c r="T93" i="2" s="1"/>
  <c r="W313" i="4"/>
  <c r="X93" i="2" s="1"/>
  <c r="Z313" i="4"/>
  <c r="AA93" i="2" s="1"/>
  <c r="AG313" i="4"/>
  <c r="AH93" i="2" s="1"/>
  <c r="AO313" i="4"/>
  <c r="AP93" i="2" s="1"/>
  <c r="AX313" i="4"/>
  <c r="AY93" i="2" s="1"/>
  <c r="BF313" i="4"/>
  <c r="BG93" i="2" s="1"/>
  <c r="C313" i="4"/>
  <c r="F313" i="4"/>
  <c r="H313" i="4"/>
  <c r="I93" i="2" s="1"/>
  <c r="L313" i="4"/>
  <c r="M93" i="2" s="1"/>
  <c r="P313" i="4"/>
  <c r="Q93" i="2" s="1"/>
  <c r="T313" i="4"/>
  <c r="U93" i="2" s="1"/>
  <c r="X313" i="4"/>
  <c r="Y93" i="2" s="1"/>
  <c r="AC313" i="4"/>
  <c r="AD93" i="2" s="1"/>
  <c r="AH313" i="4"/>
  <c r="AI93" i="2" s="1"/>
  <c r="AJ313" i="4"/>
  <c r="AK93" i="2" s="1"/>
  <c r="AN313" i="4"/>
  <c r="AO93" i="2" s="1"/>
  <c r="AP313" i="4"/>
  <c r="AQ93" i="2" s="1"/>
  <c r="AQ313" i="4"/>
  <c r="AR93" i="2" s="1"/>
  <c r="AT313" i="4"/>
  <c r="AU93" i="2" s="1"/>
  <c r="AY313" i="4"/>
  <c r="AZ93" i="2" s="1"/>
  <c r="BB313" i="4"/>
  <c r="BC93" i="2" s="1"/>
  <c r="BE313" i="4"/>
  <c r="BF93" i="2" s="1"/>
  <c r="BH313" i="4"/>
  <c r="BI93" i="2" s="1"/>
  <c r="BJ313" i="4"/>
  <c r="BK93" i="2" s="1"/>
  <c r="K312" i="4"/>
  <c r="L195" i="2" s="1"/>
  <c r="V312" i="4"/>
  <c r="W195" i="2" s="1"/>
  <c r="AA312" i="4"/>
  <c r="AB195" i="2" s="1"/>
  <c r="AJ312" i="4"/>
  <c r="AK195" i="2" s="1"/>
  <c r="AM312" i="4"/>
  <c r="AN195" i="2" s="1"/>
  <c r="AS312" i="4"/>
  <c r="AT195" i="2" s="1"/>
  <c r="AY312" i="4"/>
  <c r="AZ195" i="2" s="1"/>
  <c r="BE312" i="4"/>
  <c r="BF195" i="2" s="1"/>
  <c r="T312" i="4"/>
  <c r="U195" i="2" s="1"/>
  <c r="AG312" i="4"/>
  <c r="AH195" i="2" s="1"/>
  <c r="AL312" i="4"/>
  <c r="AM195" i="2" s="1"/>
  <c r="AP312" i="4"/>
  <c r="AQ195" i="2" s="1"/>
  <c r="AV312" i="4"/>
  <c r="AW195" i="2" s="1"/>
  <c r="BD312" i="4"/>
  <c r="BE195" i="2" s="1"/>
  <c r="R312" i="4"/>
  <c r="S195" i="2" s="1"/>
  <c r="Z312" i="4"/>
  <c r="AA195" i="2" s="1"/>
  <c r="AH312" i="4"/>
  <c r="AI195" i="2" s="1"/>
  <c r="AR312" i="4"/>
  <c r="AS195" i="2" s="1"/>
  <c r="BA312" i="4"/>
  <c r="BB195" i="2" s="1"/>
  <c r="BG312" i="4"/>
  <c r="BH195" i="2" s="1"/>
  <c r="BJ312" i="4"/>
  <c r="BK195" i="2" s="1"/>
  <c r="D312" i="4"/>
  <c r="E195" i="2" s="1"/>
  <c r="N312" i="4"/>
  <c r="S312" i="4"/>
  <c r="T195" i="2" s="1"/>
  <c r="W312" i="4"/>
  <c r="X195" i="2" s="1"/>
  <c r="AE312" i="4"/>
  <c r="AF195" i="2" s="1"/>
  <c r="AI312" i="4"/>
  <c r="AJ195" i="2" s="1"/>
  <c r="AO312" i="4"/>
  <c r="AP195" i="2" s="1"/>
  <c r="AT312" i="4"/>
  <c r="AU195" i="2" s="1"/>
  <c r="AZ312" i="4"/>
  <c r="BA195" i="2" s="1"/>
  <c r="BC312" i="4"/>
  <c r="BD195" i="2" s="1"/>
  <c r="BH312" i="4"/>
  <c r="BI195" i="2" s="1"/>
  <c r="C312" i="4"/>
  <c r="H312" i="4"/>
  <c r="I195" i="2" s="1"/>
  <c r="J312" i="4"/>
  <c r="K195" i="2" s="1"/>
  <c r="M312" i="4"/>
  <c r="N195" i="2" s="1"/>
  <c r="Q312" i="4"/>
  <c r="R195" i="2" s="1"/>
  <c r="U312" i="4"/>
  <c r="V195" i="2" s="1"/>
  <c r="Y312" i="4"/>
  <c r="Z195" i="2" s="1"/>
  <c r="AF312" i="4"/>
  <c r="AG195" i="2" s="1"/>
  <c r="AK312" i="4"/>
  <c r="AL195" i="2" s="1"/>
  <c r="AN312" i="4"/>
  <c r="AO195" i="2" s="1"/>
  <c r="AQ312" i="4"/>
  <c r="AR195" i="2" s="1"/>
  <c r="AU312" i="4"/>
  <c r="AV195" i="2" s="1"/>
  <c r="AW312" i="4"/>
  <c r="AX195" i="2" s="1"/>
  <c r="AX312" i="4"/>
  <c r="AY195" i="2" s="1"/>
  <c r="BB312" i="4"/>
  <c r="BC195" i="2" s="1"/>
  <c r="BF312" i="4"/>
  <c r="BG195" i="2" s="1"/>
  <c r="BI312" i="4"/>
  <c r="BJ195" i="2" s="1"/>
  <c r="G312" i="4"/>
  <c r="H195" i="2" s="1"/>
  <c r="L312" i="4"/>
  <c r="M195" i="2" s="1"/>
  <c r="P312" i="4"/>
  <c r="Q195" i="2" s="1"/>
  <c r="AD312" i="4"/>
  <c r="AE195" i="2" s="1"/>
  <c r="F312" i="4"/>
  <c r="G195" i="2" s="1"/>
  <c r="O312" i="4"/>
  <c r="P195" i="2" s="1"/>
  <c r="AC312" i="4"/>
  <c r="AD195" i="2" s="1"/>
  <c r="E312" i="4"/>
  <c r="F195" i="2" s="1"/>
  <c r="I312" i="4"/>
  <c r="J195" i="2" s="1"/>
  <c r="X312" i="4"/>
  <c r="Y195" i="2" s="1"/>
  <c r="AB312" i="4"/>
  <c r="AC195" i="2" s="1"/>
  <c r="F311" i="4"/>
  <c r="G285" i="2" s="1"/>
  <c r="AD311" i="4"/>
  <c r="AE285" i="2" s="1"/>
  <c r="AK311" i="4"/>
  <c r="AL285" i="2" s="1"/>
  <c r="AP311" i="4"/>
  <c r="AQ285" i="2" s="1"/>
  <c r="BG311" i="4"/>
  <c r="BH285" i="2" s="1"/>
  <c r="D311" i="4"/>
  <c r="E285" i="2" s="1"/>
  <c r="I311" i="4"/>
  <c r="J285" i="2" s="1"/>
  <c r="L311" i="4"/>
  <c r="M285" i="2" s="1"/>
  <c r="X311" i="4"/>
  <c r="Y285" i="2" s="1"/>
  <c r="AI311" i="4"/>
  <c r="AJ285" i="2" s="1"/>
  <c r="AN311" i="4"/>
  <c r="AO285" i="2" s="1"/>
  <c r="G311" i="4"/>
  <c r="H285" i="2" s="1"/>
  <c r="N311" i="4"/>
  <c r="O285" i="2" s="1"/>
  <c r="V311" i="4"/>
  <c r="W285" i="2" s="1"/>
  <c r="AF311" i="4"/>
  <c r="AG285" i="2" s="1"/>
  <c r="AM311" i="4"/>
  <c r="AN285" i="2" s="1"/>
  <c r="AX311" i="4"/>
  <c r="AY285" i="2" s="1"/>
  <c r="BD311" i="4"/>
  <c r="BE285" i="2" s="1"/>
  <c r="Z311" i="4"/>
  <c r="AA285" i="2" s="1"/>
  <c r="AG311" i="4"/>
  <c r="AH285" i="2" s="1"/>
  <c r="AJ311" i="4"/>
  <c r="AK285" i="2" s="1"/>
  <c r="AS311" i="4"/>
  <c r="AT285" i="2" s="1"/>
  <c r="AY311" i="4"/>
  <c r="AZ285" i="2" s="1"/>
  <c r="BC311" i="4"/>
  <c r="BD285" i="2" s="1"/>
  <c r="J311" i="4"/>
  <c r="K285" i="2" s="1"/>
  <c r="O311" i="4"/>
  <c r="P285" i="2" s="1"/>
  <c r="P311" i="4"/>
  <c r="Q285" i="2" s="1"/>
  <c r="AC311" i="4"/>
  <c r="AD285" i="2" s="1"/>
  <c r="AL311" i="4"/>
  <c r="AM285" i="2" s="1"/>
  <c r="AT311" i="4"/>
  <c r="AU285" i="2" s="1"/>
  <c r="AV311" i="4"/>
  <c r="AW285" i="2" s="1"/>
  <c r="BA311" i="4"/>
  <c r="BB285" i="2" s="1"/>
  <c r="BB311" i="4"/>
  <c r="BC285" i="2" s="1"/>
  <c r="BH311" i="4"/>
  <c r="BI285" i="2" s="1"/>
  <c r="BJ311" i="4"/>
  <c r="BK285" i="2" s="1"/>
  <c r="H311" i="4"/>
  <c r="I285" i="2" s="1"/>
  <c r="Q311" i="4"/>
  <c r="R285" i="2" s="1"/>
  <c r="S311" i="4"/>
  <c r="W311" i="4"/>
  <c r="X285" i="2" s="1"/>
  <c r="AA311" i="4"/>
  <c r="AB285" i="2" s="1"/>
  <c r="AH311" i="4"/>
  <c r="AI285" i="2" s="1"/>
  <c r="AQ311" i="4"/>
  <c r="AR285" i="2" s="1"/>
  <c r="AU311" i="4"/>
  <c r="AV285" i="2" s="1"/>
  <c r="E311" i="4"/>
  <c r="F285" i="2" s="1"/>
  <c r="M311" i="4"/>
  <c r="N285" i="2" s="1"/>
  <c r="U311" i="4"/>
  <c r="AO311" i="4"/>
  <c r="AP285" i="2" s="1"/>
  <c r="BE311" i="4"/>
  <c r="BF285" i="2" s="1"/>
  <c r="C311" i="4"/>
  <c r="K311" i="4"/>
  <c r="L285" i="2" s="1"/>
  <c r="R311" i="4"/>
  <c r="S285" i="2" s="1"/>
  <c r="T311" i="4"/>
  <c r="Y311" i="4"/>
  <c r="Z285" i="2" s="1"/>
  <c r="AB311" i="4"/>
  <c r="AC285" i="2" s="1"/>
  <c r="AE311" i="4"/>
  <c r="AF285" i="2" s="1"/>
  <c r="AR311" i="4"/>
  <c r="AS285" i="2" s="1"/>
  <c r="AW311" i="4"/>
  <c r="AX285" i="2" s="1"/>
  <c r="AZ311" i="4"/>
  <c r="BA285" i="2" s="1"/>
  <c r="BF311" i="4"/>
  <c r="BG285" i="2" s="1"/>
  <c r="BI311" i="4"/>
  <c r="BJ285" i="2" s="1"/>
  <c r="S310" i="4"/>
  <c r="T162" i="2" s="1"/>
  <c r="AE310" i="4"/>
  <c r="AF162" i="2" s="1"/>
  <c r="BE310" i="4"/>
  <c r="BF162" i="2" s="1"/>
  <c r="BI310" i="4"/>
  <c r="BJ162" i="2" s="1"/>
  <c r="W310" i="4"/>
  <c r="X162" i="2" s="1"/>
  <c r="BH310" i="4"/>
  <c r="BI162" i="2" s="1"/>
  <c r="U310" i="4"/>
  <c r="V162" i="2" s="1"/>
  <c r="AC310" i="4"/>
  <c r="AD162" i="2" s="1"/>
  <c r="AJ310" i="4"/>
  <c r="AK162" i="2" s="1"/>
  <c r="AX310" i="4"/>
  <c r="AY162" i="2" s="1"/>
  <c r="J310" i="4"/>
  <c r="K162" i="2" s="1"/>
  <c r="M310" i="4"/>
  <c r="R310" i="4"/>
  <c r="S162" i="2" s="1"/>
  <c r="X310" i="4"/>
  <c r="Y162" i="2" s="1"/>
  <c r="AB310" i="4"/>
  <c r="AC162" i="2" s="1"/>
  <c r="AG310" i="4"/>
  <c r="AH162" i="2" s="1"/>
  <c r="AL310" i="4"/>
  <c r="AM162" i="2" s="1"/>
  <c r="AP310" i="4"/>
  <c r="AQ162" i="2" s="1"/>
  <c r="AU310" i="4"/>
  <c r="AV162" i="2" s="1"/>
  <c r="BA310" i="4"/>
  <c r="BB162" i="2" s="1"/>
  <c r="BD310" i="4"/>
  <c r="BE162" i="2" s="1"/>
  <c r="E310" i="4"/>
  <c r="F162" i="2" s="1"/>
  <c r="H310" i="4"/>
  <c r="I162" i="2" s="1"/>
  <c r="N310" i="4"/>
  <c r="T310" i="4"/>
  <c r="U162" i="2" s="1"/>
  <c r="Z310" i="4"/>
  <c r="AA162" i="2" s="1"/>
  <c r="AD310" i="4"/>
  <c r="AE162" i="2" s="1"/>
  <c r="AF310" i="4"/>
  <c r="AG162" i="2" s="1"/>
  <c r="AK310" i="4"/>
  <c r="AL162" i="2" s="1"/>
  <c r="AN310" i="4"/>
  <c r="AO162" i="2" s="1"/>
  <c r="AT310" i="4"/>
  <c r="AU162" i="2" s="1"/>
  <c r="AV310" i="4"/>
  <c r="AW162" i="2" s="1"/>
  <c r="BF310" i="4"/>
  <c r="BG162" i="2" s="1"/>
  <c r="D310" i="4"/>
  <c r="E162" i="2" s="1"/>
  <c r="G310" i="4"/>
  <c r="H162" i="2" s="1"/>
  <c r="I310" i="4"/>
  <c r="J162" i="2" s="1"/>
  <c r="L310" i="4"/>
  <c r="M162" i="2" s="1"/>
  <c r="O310" i="4"/>
  <c r="Q310" i="4"/>
  <c r="R162" i="2" s="1"/>
  <c r="AA310" i="4"/>
  <c r="AB162" i="2" s="1"/>
  <c r="AI310" i="4"/>
  <c r="AJ162" i="2" s="1"/>
  <c r="AO310" i="4"/>
  <c r="AP162" i="2" s="1"/>
  <c r="AQ310" i="4"/>
  <c r="AR162" i="2" s="1"/>
  <c r="AW310" i="4"/>
  <c r="AX162" i="2" s="1"/>
  <c r="AZ310" i="4"/>
  <c r="BA162" i="2" s="1"/>
  <c r="BC310" i="4"/>
  <c r="BD162" i="2" s="1"/>
  <c r="BG310" i="4"/>
  <c r="BH162" i="2" s="1"/>
  <c r="BJ310" i="4"/>
  <c r="BK162" i="2" s="1"/>
  <c r="V310" i="4"/>
  <c r="W162" i="2" s="1"/>
  <c r="AR310" i="4"/>
  <c r="AS162" i="2" s="1"/>
  <c r="BB310" i="4"/>
  <c r="BC162" i="2" s="1"/>
  <c r="C310" i="4"/>
  <c r="F310" i="4"/>
  <c r="G162" i="2" s="1"/>
  <c r="K310" i="4"/>
  <c r="L162" i="2" s="1"/>
  <c r="P310" i="4"/>
  <c r="Q162" i="2" s="1"/>
  <c r="Y310" i="4"/>
  <c r="Z162" i="2" s="1"/>
  <c r="AH310" i="4"/>
  <c r="AI162" i="2" s="1"/>
  <c r="AM310" i="4"/>
  <c r="AN162" i="2" s="1"/>
  <c r="AS310" i="4"/>
  <c r="AT162" i="2" s="1"/>
  <c r="AY310" i="4"/>
  <c r="AZ162" i="2" s="1"/>
  <c r="U309" i="4"/>
  <c r="V66" i="2" s="1"/>
  <c r="AX309" i="4"/>
  <c r="AY66" i="2" s="1"/>
  <c r="AG309" i="4"/>
  <c r="AH66" i="2" s="1"/>
  <c r="AR309" i="4"/>
  <c r="AS66" i="2" s="1"/>
  <c r="AE309" i="4"/>
  <c r="AF66" i="2" s="1"/>
  <c r="AL309" i="4"/>
  <c r="AM66" i="2" s="1"/>
  <c r="BA309" i="4"/>
  <c r="BB66" i="2" s="1"/>
  <c r="M309" i="4"/>
  <c r="N66" i="2" s="1"/>
  <c r="P309" i="4"/>
  <c r="Q66" i="2" s="1"/>
  <c r="S309" i="4"/>
  <c r="T66" i="2" s="1"/>
  <c r="Y309" i="4"/>
  <c r="Z66" i="2" s="1"/>
  <c r="AC309" i="4"/>
  <c r="AD66" i="2" s="1"/>
  <c r="AF309" i="4"/>
  <c r="AG66" i="2" s="1"/>
  <c r="AP309" i="4"/>
  <c r="AQ66" i="2" s="1"/>
  <c r="AU309" i="4"/>
  <c r="AV66" i="2" s="1"/>
  <c r="BC309" i="4"/>
  <c r="BD66" i="2" s="1"/>
  <c r="BF309" i="4"/>
  <c r="BG66" i="2" s="1"/>
  <c r="BH309" i="4"/>
  <c r="BI66" i="2" s="1"/>
  <c r="L309" i="4"/>
  <c r="M66" i="2" s="1"/>
  <c r="O309" i="4"/>
  <c r="P66" i="2" s="1"/>
  <c r="Q309" i="4"/>
  <c r="R66" i="2" s="1"/>
  <c r="V309" i="4"/>
  <c r="W66" i="2" s="1"/>
  <c r="W309" i="4"/>
  <c r="X66" i="2" s="1"/>
  <c r="Z309" i="4"/>
  <c r="AA66" i="2" s="1"/>
  <c r="AK309" i="4"/>
  <c r="AL66" i="2" s="1"/>
  <c r="AN309" i="4"/>
  <c r="AO66" i="2" s="1"/>
  <c r="AT309" i="4"/>
  <c r="AU66" i="2" s="1"/>
  <c r="AZ309" i="4"/>
  <c r="BA66" i="2" s="1"/>
  <c r="BE309" i="4"/>
  <c r="BF66" i="2" s="1"/>
  <c r="N309" i="4"/>
  <c r="O66" i="2" s="1"/>
  <c r="X309" i="4"/>
  <c r="Y66" i="2" s="1"/>
  <c r="AD309" i="4"/>
  <c r="AE66" i="2" s="1"/>
  <c r="AH309" i="4"/>
  <c r="AI66" i="2" s="1"/>
  <c r="AM309" i="4"/>
  <c r="AN66" i="2" s="1"/>
  <c r="AQ309" i="4"/>
  <c r="AR66" i="2" s="1"/>
  <c r="AS309" i="4"/>
  <c r="AT66" i="2" s="1"/>
  <c r="AY309" i="4"/>
  <c r="AZ66" i="2" s="1"/>
  <c r="BB309" i="4"/>
  <c r="BC66" i="2" s="1"/>
  <c r="BD309" i="4"/>
  <c r="BE66" i="2" s="1"/>
  <c r="BG309" i="4"/>
  <c r="BH66" i="2" s="1"/>
  <c r="BJ309" i="4"/>
  <c r="BK66" i="2" s="1"/>
  <c r="AB309" i="4"/>
  <c r="AC66" i="2" s="1"/>
  <c r="AV309" i="4"/>
  <c r="AW66" i="2" s="1"/>
  <c r="R309" i="4"/>
  <c r="S66" i="2" s="1"/>
  <c r="T309" i="4"/>
  <c r="U66" i="2" s="1"/>
  <c r="AA309" i="4"/>
  <c r="AB66" i="2" s="1"/>
  <c r="AI309" i="4"/>
  <c r="AJ66" i="2" s="1"/>
  <c r="AJ309" i="4"/>
  <c r="AK66" i="2" s="1"/>
  <c r="AO309" i="4"/>
  <c r="AP66" i="2" s="1"/>
  <c r="AW309" i="4"/>
  <c r="AX66" i="2" s="1"/>
  <c r="BI309" i="4"/>
  <c r="BJ66" i="2" s="1"/>
  <c r="D246" i="2"/>
  <c r="D216" i="2"/>
  <c r="D264" i="2"/>
  <c r="D102" i="2"/>
  <c r="D231" i="2"/>
  <c r="D186" i="2"/>
  <c r="D150" i="2"/>
  <c r="D138" i="2"/>
  <c r="C285" i="4"/>
  <c r="D285" i="4"/>
  <c r="C284" i="4"/>
  <c r="D284" i="4"/>
  <c r="E294" i="2" s="1"/>
  <c r="E284" i="4"/>
  <c r="F294" i="2" s="1"/>
  <c r="F284" i="4"/>
  <c r="G294" i="2" s="1"/>
  <c r="G284" i="4"/>
  <c r="H294" i="2" s="1"/>
  <c r="H284" i="4"/>
  <c r="I294" i="2" s="1"/>
  <c r="I284" i="4"/>
  <c r="J294" i="2" s="1"/>
  <c r="J284" i="4"/>
  <c r="K294" i="2" s="1"/>
  <c r="K284" i="4"/>
  <c r="L294" i="2" s="1"/>
  <c r="L284" i="4"/>
  <c r="M294" i="2" s="1"/>
  <c r="M284" i="4"/>
  <c r="N294" i="2" s="1"/>
  <c r="N284" i="4"/>
  <c r="O294" i="2" s="1"/>
  <c r="O284" i="4"/>
  <c r="P294" i="2" s="1"/>
  <c r="P284" i="4"/>
  <c r="Q294" i="2" s="1"/>
  <c r="Q284" i="4"/>
  <c r="R294" i="2" s="1"/>
  <c r="R284" i="4"/>
  <c r="S294" i="2" s="1"/>
  <c r="S284" i="4"/>
  <c r="T284" i="4"/>
  <c r="U284" i="4"/>
  <c r="V284" i="4"/>
  <c r="W294" i="2" s="1"/>
  <c r="W284" i="4"/>
  <c r="X294" i="2" s="1"/>
  <c r="X284" i="4"/>
  <c r="Y294" i="2" s="1"/>
  <c r="Y284" i="4"/>
  <c r="Z294" i="2" s="1"/>
  <c r="Z284" i="4"/>
  <c r="AA294" i="2" s="1"/>
  <c r="AA284" i="4"/>
  <c r="AB294" i="2" s="1"/>
  <c r="AB284" i="4"/>
  <c r="AC294" i="2" s="1"/>
  <c r="AC284" i="4"/>
  <c r="AD294" i="2" s="1"/>
  <c r="AD284" i="4"/>
  <c r="AE294" i="2" s="1"/>
  <c r="AE284" i="4"/>
  <c r="AF294" i="2" s="1"/>
  <c r="AF284" i="4"/>
  <c r="AG294" i="2" s="1"/>
  <c r="AG284" i="4"/>
  <c r="AH294" i="2" s="1"/>
  <c r="AH284" i="4"/>
  <c r="AI294" i="2" s="1"/>
  <c r="AI284" i="4"/>
  <c r="AJ294" i="2" s="1"/>
  <c r="AJ284" i="4"/>
  <c r="AK294" i="2" s="1"/>
  <c r="AK284" i="4"/>
  <c r="AL294" i="2" s="1"/>
  <c r="AL284" i="4"/>
  <c r="AM294" i="2" s="1"/>
  <c r="AM284" i="4"/>
  <c r="AN294" i="2" s="1"/>
  <c r="AN284" i="4"/>
  <c r="AO294" i="2" s="1"/>
  <c r="AO284" i="4"/>
  <c r="AP294" i="2" s="1"/>
  <c r="AP284" i="4"/>
  <c r="AQ294" i="2" s="1"/>
  <c r="AQ284" i="4"/>
  <c r="AR294" i="2" s="1"/>
  <c r="AR284" i="4"/>
  <c r="AS294" i="2" s="1"/>
  <c r="AS284" i="4"/>
  <c r="AT294" i="2" s="1"/>
  <c r="AT284" i="4"/>
  <c r="AU294" i="2" s="1"/>
  <c r="AU284" i="4"/>
  <c r="AV294" i="2" s="1"/>
  <c r="AV284" i="4"/>
  <c r="AW294" i="2" s="1"/>
  <c r="AW284" i="4"/>
  <c r="AX294" i="2" s="1"/>
  <c r="AX284" i="4"/>
  <c r="AY294" i="2" s="1"/>
  <c r="AY284" i="4"/>
  <c r="AZ294" i="2" s="1"/>
  <c r="AZ284" i="4"/>
  <c r="BA294" i="2" s="1"/>
  <c r="BA284" i="4"/>
  <c r="BB294" i="2" s="1"/>
  <c r="C283" i="4"/>
  <c r="D283" i="4"/>
  <c r="E261" i="2" s="1"/>
  <c r="E283" i="4"/>
  <c r="F261" i="2" s="1"/>
  <c r="F283" i="4"/>
  <c r="G261" i="2" s="1"/>
  <c r="G283" i="4"/>
  <c r="H261" i="2" s="1"/>
  <c r="H283" i="4"/>
  <c r="I261" i="2" s="1"/>
  <c r="I283" i="4"/>
  <c r="J261" i="2" s="1"/>
  <c r="J283" i="4"/>
  <c r="K261" i="2" s="1"/>
  <c r="K283" i="4"/>
  <c r="L261" i="2" s="1"/>
  <c r="L283" i="4"/>
  <c r="M261" i="2" s="1"/>
  <c r="M283" i="4"/>
  <c r="N261" i="2" s="1"/>
  <c r="N283" i="4"/>
  <c r="O261" i="2" s="1"/>
  <c r="O283" i="4"/>
  <c r="P261" i="2" s="1"/>
  <c r="P283" i="4"/>
  <c r="Q261" i="2" s="1"/>
  <c r="Q283" i="4"/>
  <c r="R261" i="2" s="1"/>
  <c r="R283" i="4"/>
  <c r="S283" i="4"/>
  <c r="T283" i="4"/>
  <c r="U283" i="4"/>
  <c r="V261" i="2" s="1"/>
  <c r="V283" i="4"/>
  <c r="W261" i="2" s="1"/>
  <c r="W283" i="4"/>
  <c r="X261" i="2" s="1"/>
  <c r="X283" i="4"/>
  <c r="Y261" i="2" s="1"/>
  <c r="Y283" i="4"/>
  <c r="Z261" i="2" s="1"/>
  <c r="Z283" i="4"/>
  <c r="AA261" i="2" s="1"/>
  <c r="AA283" i="4"/>
  <c r="AB261" i="2" s="1"/>
  <c r="AB283" i="4"/>
  <c r="AC261" i="2" s="1"/>
  <c r="AC283" i="4"/>
  <c r="AD261" i="2" s="1"/>
  <c r="AD283" i="4"/>
  <c r="AE261" i="2" s="1"/>
  <c r="AE283" i="4"/>
  <c r="AF261" i="2" s="1"/>
  <c r="AF283" i="4"/>
  <c r="AG261" i="2" s="1"/>
  <c r="AG283" i="4"/>
  <c r="AH261" i="2" s="1"/>
  <c r="AH283" i="4"/>
  <c r="AI261" i="2" s="1"/>
  <c r="AI283" i="4"/>
  <c r="AJ261" i="2" s="1"/>
  <c r="AJ283" i="4"/>
  <c r="AK261" i="2" s="1"/>
  <c r="AK283" i="4"/>
  <c r="AL261" i="2" s="1"/>
  <c r="AL283" i="4"/>
  <c r="AM261" i="2" s="1"/>
  <c r="AM283" i="4"/>
  <c r="AN261" i="2" s="1"/>
  <c r="AN283" i="4"/>
  <c r="AO261" i="2" s="1"/>
  <c r="AO283" i="4"/>
  <c r="AP261" i="2" s="1"/>
  <c r="AP283" i="4"/>
  <c r="AQ261" i="2" s="1"/>
  <c r="AQ283" i="4"/>
  <c r="AR261" i="2" s="1"/>
  <c r="AR283" i="4"/>
  <c r="AS261" i="2" s="1"/>
  <c r="AS283" i="4"/>
  <c r="AT261" i="2" s="1"/>
  <c r="AT283" i="4"/>
  <c r="AU261" i="2" s="1"/>
  <c r="AU283" i="4"/>
  <c r="AV261" i="2" s="1"/>
  <c r="AV283" i="4"/>
  <c r="AW261" i="2" s="1"/>
  <c r="AW283" i="4"/>
  <c r="AX261" i="2" s="1"/>
  <c r="AX283" i="4"/>
  <c r="AY261" i="2" s="1"/>
  <c r="AY283" i="4"/>
  <c r="AZ261" i="2" s="1"/>
  <c r="AZ283" i="4"/>
  <c r="BA261" i="2" s="1"/>
  <c r="BA283" i="4"/>
  <c r="BB261" i="2" s="1"/>
  <c r="BB283" i="4"/>
  <c r="BC261" i="2" s="1"/>
  <c r="BC283" i="4"/>
  <c r="BD261" i="2" s="1"/>
  <c r="BD283" i="4"/>
  <c r="BE261" i="2" s="1"/>
  <c r="BE283" i="4"/>
  <c r="BF261" i="2" s="1"/>
  <c r="BF283" i="4"/>
  <c r="BG261" i="2" s="1"/>
  <c r="BG283" i="4"/>
  <c r="BH261" i="2" s="1"/>
  <c r="BH283" i="4"/>
  <c r="BI261" i="2" s="1"/>
  <c r="BI283" i="4"/>
  <c r="BJ261" i="2" s="1"/>
  <c r="BJ283" i="4"/>
  <c r="BK261" i="2" s="1"/>
  <c r="C282" i="4"/>
  <c r="D282" i="4"/>
  <c r="E255" i="2" s="1"/>
  <c r="E282" i="4"/>
  <c r="F255" i="2" s="1"/>
  <c r="F282" i="4"/>
  <c r="G255" i="2" s="1"/>
  <c r="G282" i="4"/>
  <c r="H255" i="2" s="1"/>
  <c r="H282" i="4"/>
  <c r="I255" i="2" s="1"/>
  <c r="I282" i="4"/>
  <c r="J255" i="2" s="1"/>
  <c r="J282" i="4"/>
  <c r="K255" i="2" s="1"/>
  <c r="K282" i="4"/>
  <c r="L255" i="2" s="1"/>
  <c r="L282" i="4"/>
  <c r="M255" i="2" s="1"/>
  <c r="M282" i="4"/>
  <c r="N255" i="2" s="1"/>
  <c r="N282" i="4"/>
  <c r="O255" i="2" s="1"/>
  <c r="O282" i="4"/>
  <c r="P255" i="2" s="1"/>
  <c r="P282" i="4"/>
  <c r="Q255" i="2" s="1"/>
  <c r="Q282" i="4"/>
  <c r="R255" i="2" s="1"/>
  <c r="R282" i="4"/>
  <c r="S282" i="4"/>
  <c r="T282" i="4"/>
  <c r="U282" i="4"/>
  <c r="V255" i="2" s="1"/>
  <c r="V282" i="4"/>
  <c r="W255" i="2" s="1"/>
  <c r="W282" i="4"/>
  <c r="X255" i="2" s="1"/>
  <c r="X282" i="4"/>
  <c r="Y255" i="2" s="1"/>
  <c r="Y282" i="4"/>
  <c r="Z255" i="2" s="1"/>
  <c r="Z282" i="4"/>
  <c r="AA255" i="2" s="1"/>
  <c r="AA282" i="4"/>
  <c r="AB255" i="2" s="1"/>
  <c r="AB282" i="4"/>
  <c r="AC255" i="2" s="1"/>
  <c r="AC282" i="4"/>
  <c r="AD255" i="2" s="1"/>
  <c r="AD282" i="4"/>
  <c r="AE255" i="2" s="1"/>
  <c r="AE282" i="4"/>
  <c r="AF255" i="2" s="1"/>
  <c r="AF282" i="4"/>
  <c r="AG255" i="2" s="1"/>
  <c r="AG282" i="4"/>
  <c r="AH255" i="2" s="1"/>
  <c r="AH282" i="4"/>
  <c r="AI255" i="2" s="1"/>
  <c r="AI282" i="4"/>
  <c r="AJ255" i="2" s="1"/>
  <c r="AJ282" i="4"/>
  <c r="AK255" i="2" s="1"/>
  <c r="AK282" i="4"/>
  <c r="AL255" i="2" s="1"/>
  <c r="AL282" i="4"/>
  <c r="AM255" i="2" s="1"/>
  <c r="AM282" i="4"/>
  <c r="AN255" i="2" s="1"/>
  <c r="AN282" i="4"/>
  <c r="AO255" i="2" s="1"/>
  <c r="AO282" i="4"/>
  <c r="AP255" i="2" s="1"/>
  <c r="AP282" i="4"/>
  <c r="AQ255" i="2" s="1"/>
  <c r="AQ282" i="4"/>
  <c r="AR255" i="2" s="1"/>
  <c r="AR282" i="4"/>
  <c r="AS255" i="2" s="1"/>
  <c r="AS282" i="4"/>
  <c r="AT255" i="2" s="1"/>
  <c r="AT282" i="4"/>
  <c r="AU255" i="2" s="1"/>
  <c r="AU282" i="4"/>
  <c r="AV255" i="2" s="1"/>
  <c r="AV282" i="4"/>
  <c r="AW255" i="2" s="1"/>
  <c r="AW282" i="4"/>
  <c r="AX255" i="2" s="1"/>
  <c r="AX282" i="4"/>
  <c r="AY255" i="2" s="1"/>
  <c r="AY282" i="4"/>
  <c r="AZ255" i="2" s="1"/>
  <c r="AZ282" i="4"/>
  <c r="BA255" i="2" s="1"/>
  <c r="BA282" i="4"/>
  <c r="BB255" i="2" s="1"/>
  <c r="BB282" i="4"/>
  <c r="BC255" i="2" s="1"/>
  <c r="BC282" i="4"/>
  <c r="BD255" i="2" s="1"/>
  <c r="BD282" i="4"/>
  <c r="BE255" i="2" s="1"/>
  <c r="BE282" i="4"/>
  <c r="BF255" i="2" s="1"/>
  <c r="BF282" i="4"/>
  <c r="BG255" i="2" s="1"/>
  <c r="BG282" i="4"/>
  <c r="BH255" i="2" s="1"/>
  <c r="BH282" i="4"/>
  <c r="BI255" i="2" s="1"/>
  <c r="BI282" i="4"/>
  <c r="BJ255" i="2" s="1"/>
  <c r="BJ282" i="4"/>
  <c r="BK255" i="2" s="1"/>
  <c r="C281" i="4"/>
  <c r="D281" i="4"/>
  <c r="E281" i="4"/>
  <c r="F57" i="2" s="1"/>
  <c r="F281" i="4"/>
  <c r="G57" i="2" s="1"/>
  <c r="G281" i="4"/>
  <c r="H57" i="2" s="1"/>
  <c r="H281" i="4"/>
  <c r="I57" i="2" s="1"/>
  <c r="I281" i="4"/>
  <c r="J57" i="2" s="1"/>
  <c r="J281" i="4"/>
  <c r="K57" i="2" s="1"/>
  <c r="K281" i="4"/>
  <c r="L57" i="2" s="1"/>
  <c r="L281" i="4"/>
  <c r="M57" i="2" s="1"/>
  <c r="M281" i="4"/>
  <c r="N57" i="2" s="1"/>
  <c r="N281" i="4"/>
  <c r="O57" i="2" s="1"/>
  <c r="O281" i="4"/>
  <c r="P57" i="2" s="1"/>
  <c r="P281" i="4"/>
  <c r="Q57" i="2" s="1"/>
  <c r="Q281" i="4"/>
  <c r="R57" i="2" s="1"/>
  <c r="R281" i="4"/>
  <c r="S57" i="2" s="1"/>
  <c r="S281" i="4"/>
  <c r="T57" i="2" s="1"/>
  <c r="T281" i="4"/>
  <c r="U57" i="2" s="1"/>
  <c r="U281" i="4"/>
  <c r="V57" i="2" s="1"/>
  <c r="V281" i="4"/>
  <c r="W57" i="2" s="1"/>
  <c r="W281" i="4"/>
  <c r="X57" i="2" s="1"/>
  <c r="X281" i="4"/>
  <c r="Y57" i="2" s="1"/>
  <c r="Y281" i="4"/>
  <c r="Z57" i="2" s="1"/>
  <c r="Z281" i="4"/>
  <c r="AA57" i="2" s="1"/>
  <c r="AA281" i="4"/>
  <c r="AB57" i="2" s="1"/>
  <c r="AB281" i="4"/>
  <c r="AC57" i="2" s="1"/>
  <c r="AC281" i="4"/>
  <c r="AD57" i="2" s="1"/>
  <c r="AD281" i="4"/>
  <c r="AE57" i="2" s="1"/>
  <c r="AE281" i="4"/>
  <c r="AF57" i="2" s="1"/>
  <c r="AF281" i="4"/>
  <c r="AG57" i="2" s="1"/>
  <c r="AG281" i="4"/>
  <c r="AH57" i="2" s="1"/>
  <c r="AH281" i="4"/>
  <c r="AI57" i="2" s="1"/>
  <c r="AI281" i="4"/>
  <c r="AJ57" i="2" s="1"/>
  <c r="AJ281" i="4"/>
  <c r="AK57" i="2" s="1"/>
  <c r="AK281" i="4"/>
  <c r="AL57" i="2" s="1"/>
  <c r="AL281" i="4"/>
  <c r="AM57" i="2" s="1"/>
  <c r="AM281" i="4"/>
  <c r="AN57" i="2" s="1"/>
  <c r="AN281" i="4"/>
  <c r="AO57" i="2" s="1"/>
  <c r="AO281" i="4"/>
  <c r="AP57" i="2" s="1"/>
  <c r="AP281" i="4"/>
  <c r="AQ57" i="2" s="1"/>
  <c r="AQ281" i="4"/>
  <c r="AR57" i="2" s="1"/>
  <c r="AR281" i="4"/>
  <c r="AS57" i="2" s="1"/>
  <c r="AS281" i="4"/>
  <c r="AT57" i="2" s="1"/>
  <c r="AT281" i="4"/>
  <c r="AU57" i="2" s="1"/>
  <c r="AU281" i="4"/>
  <c r="AV57" i="2" s="1"/>
  <c r="AV281" i="4"/>
  <c r="AW57" i="2" s="1"/>
  <c r="AW281" i="4"/>
  <c r="AX57" i="2" s="1"/>
  <c r="AX281" i="4"/>
  <c r="AY57" i="2" s="1"/>
  <c r="AY281" i="4"/>
  <c r="AZ57" i="2" s="1"/>
  <c r="AZ281" i="4"/>
  <c r="BA57" i="2" s="1"/>
  <c r="BA281" i="4"/>
  <c r="BB57" i="2" s="1"/>
  <c r="BB281" i="4"/>
  <c r="BC57" i="2" s="1"/>
  <c r="BC281" i="4"/>
  <c r="BD57" i="2" s="1"/>
  <c r="BD281" i="4"/>
  <c r="BE57" i="2" s="1"/>
  <c r="BE281" i="4"/>
  <c r="BF57" i="2" s="1"/>
  <c r="BF281" i="4"/>
  <c r="BG57" i="2" s="1"/>
  <c r="BG281" i="4"/>
  <c r="BH57" i="2" s="1"/>
  <c r="BH281" i="4"/>
  <c r="BI57" i="2" s="1"/>
  <c r="BI281" i="4"/>
  <c r="BJ57" i="2" s="1"/>
  <c r="BJ281" i="4"/>
  <c r="BK57" i="2" s="1"/>
  <c r="C280" i="4"/>
  <c r="D280" i="4"/>
  <c r="E276" i="2" s="1"/>
  <c r="E280" i="4"/>
  <c r="F276" i="2" s="1"/>
  <c r="F280" i="4"/>
  <c r="G276" i="2" s="1"/>
  <c r="G280" i="4"/>
  <c r="H276" i="2" s="1"/>
  <c r="H280" i="4"/>
  <c r="I276" i="2" s="1"/>
  <c r="I280" i="4"/>
  <c r="J276" i="2" s="1"/>
  <c r="J280" i="4"/>
  <c r="K276" i="2" s="1"/>
  <c r="K280" i="4"/>
  <c r="L276" i="2" s="1"/>
  <c r="L280" i="4"/>
  <c r="M276" i="2" s="1"/>
  <c r="M280" i="4"/>
  <c r="N276" i="2" s="1"/>
  <c r="N280" i="4"/>
  <c r="O276" i="2" s="1"/>
  <c r="O280" i="4"/>
  <c r="P276" i="2" s="1"/>
  <c r="P280" i="4"/>
  <c r="Q276" i="2" s="1"/>
  <c r="Q280" i="4"/>
  <c r="R276" i="2" s="1"/>
  <c r="R280" i="4"/>
  <c r="S280" i="4"/>
  <c r="T276" i="2" s="1"/>
  <c r="T280" i="4"/>
  <c r="U276" i="2" s="1"/>
  <c r="U280" i="4"/>
  <c r="V276" i="2" s="1"/>
  <c r="V280" i="4"/>
  <c r="W276" i="2" s="1"/>
  <c r="W280" i="4"/>
  <c r="X276" i="2" s="1"/>
  <c r="X280" i="4"/>
  <c r="Y276" i="2" s="1"/>
  <c r="Y280" i="4"/>
  <c r="Z276" i="2" s="1"/>
  <c r="Z280" i="4"/>
  <c r="AA276" i="2" s="1"/>
  <c r="AA280" i="4"/>
  <c r="AB276" i="2" s="1"/>
  <c r="AB280" i="4"/>
  <c r="AC276" i="2" s="1"/>
  <c r="AC280" i="4"/>
  <c r="AD276" i="2" s="1"/>
  <c r="AD280" i="4"/>
  <c r="AE276" i="2" s="1"/>
  <c r="AE280" i="4"/>
  <c r="AF276" i="2" s="1"/>
  <c r="AF280" i="4"/>
  <c r="AG276" i="2" s="1"/>
  <c r="AG280" i="4"/>
  <c r="AH276" i="2" s="1"/>
  <c r="AH280" i="4"/>
  <c r="AI276" i="2" s="1"/>
  <c r="AI280" i="4"/>
  <c r="AJ276" i="2" s="1"/>
  <c r="AJ280" i="4"/>
  <c r="AK276" i="2" s="1"/>
  <c r="AK280" i="4"/>
  <c r="AL276" i="2" s="1"/>
  <c r="AL280" i="4"/>
  <c r="AM276" i="2" s="1"/>
  <c r="AM280" i="4"/>
  <c r="AN276" i="2" s="1"/>
  <c r="AN280" i="4"/>
  <c r="AO276" i="2" s="1"/>
  <c r="AO280" i="4"/>
  <c r="AP276" i="2" s="1"/>
  <c r="AP280" i="4"/>
  <c r="AQ276" i="2" s="1"/>
  <c r="AQ280" i="4"/>
  <c r="AR276" i="2" s="1"/>
  <c r="AR280" i="4"/>
  <c r="AS276" i="2" s="1"/>
  <c r="AS280" i="4"/>
  <c r="AT276" i="2" s="1"/>
  <c r="AT280" i="4"/>
  <c r="AU276" i="2" s="1"/>
  <c r="AU280" i="4"/>
  <c r="AV276" i="2" s="1"/>
  <c r="AV280" i="4"/>
  <c r="AW276" i="2" s="1"/>
  <c r="AW280" i="4"/>
  <c r="AX276" i="2" s="1"/>
  <c r="AX280" i="4"/>
  <c r="AY276" i="2" s="1"/>
  <c r="AY280" i="4"/>
  <c r="AZ276" i="2" s="1"/>
  <c r="AZ280" i="4"/>
  <c r="BA276" i="2" s="1"/>
  <c r="BA280" i="4"/>
  <c r="BB276" i="2" s="1"/>
  <c r="BB280" i="4"/>
  <c r="BC276" i="2" s="1"/>
  <c r="BC280" i="4"/>
  <c r="BD276" i="2" s="1"/>
  <c r="BD280" i="4"/>
  <c r="BE276" i="2" s="1"/>
  <c r="BE280" i="4"/>
  <c r="BF276" i="2" s="1"/>
  <c r="BF280" i="4"/>
  <c r="BG276" i="2" s="1"/>
  <c r="BG280" i="4"/>
  <c r="BH276" i="2" s="1"/>
  <c r="BH280" i="4"/>
  <c r="BI276" i="2" s="1"/>
  <c r="BI280" i="4"/>
  <c r="BJ276" i="2" s="1"/>
  <c r="BJ280" i="4"/>
  <c r="BK276" i="2" s="1"/>
  <c r="C279" i="4"/>
  <c r="D279" i="4"/>
  <c r="E207" i="2" s="1"/>
  <c r="E279" i="4"/>
  <c r="F207" i="2" s="1"/>
  <c r="F279" i="4"/>
  <c r="G207" i="2" s="1"/>
  <c r="G279" i="4"/>
  <c r="H207" i="2" s="1"/>
  <c r="H279" i="4"/>
  <c r="I207" i="2" s="1"/>
  <c r="I279" i="4"/>
  <c r="J207" i="2" s="1"/>
  <c r="J279" i="4"/>
  <c r="K207" i="2" s="1"/>
  <c r="K279" i="4"/>
  <c r="L207" i="2" s="1"/>
  <c r="L279" i="4"/>
  <c r="M207" i="2" s="1"/>
  <c r="M279" i="4"/>
  <c r="N207" i="2" s="1"/>
  <c r="N279" i="4"/>
  <c r="O207" i="2" s="1"/>
  <c r="O279" i="4"/>
  <c r="P279" i="4"/>
  <c r="Q279" i="4"/>
  <c r="R279" i="4"/>
  <c r="S279" i="4"/>
  <c r="T279" i="4"/>
  <c r="U207" i="2" s="1"/>
  <c r="U279" i="4"/>
  <c r="V207" i="2" s="1"/>
  <c r="V279" i="4"/>
  <c r="W207" i="2" s="1"/>
  <c r="W279" i="4"/>
  <c r="X207" i="2" s="1"/>
  <c r="X279" i="4"/>
  <c r="Y207" i="2" s="1"/>
  <c r="Y279" i="4"/>
  <c r="Z207" i="2" s="1"/>
  <c r="Z279" i="4"/>
  <c r="AA207" i="2" s="1"/>
  <c r="AA279" i="4"/>
  <c r="AB207" i="2" s="1"/>
  <c r="AB279" i="4"/>
  <c r="AC207" i="2" s="1"/>
  <c r="AC279" i="4"/>
  <c r="AD207" i="2" s="1"/>
  <c r="AD279" i="4"/>
  <c r="AE207" i="2" s="1"/>
  <c r="AE279" i="4"/>
  <c r="AF207" i="2" s="1"/>
  <c r="AF279" i="4"/>
  <c r="AG207" i="2" s="1"/>
  <c r="AG279" i="4"/>
  <c r="AH207" i="2" s="1"/>
  <c r="AH279" i="4"/>
  <c r="AI207" i="2" s="1"/>
  <c r="AI279" i="4"/>
  <c r="AJ207" i="2" s="1"/>
  <c r="AJ279" i="4"/>
  <c r="AK207" i="2" s="1"/>
  <c r="AK279" i="4"/>
  <c r="AL207" i="2" s="1"/>
  <c r="AL279" i="4"/>
  <c r="AM207" i="2" s="1"/>
  <c r="AM279" i="4"/>
  <c r="AN207" i="2" s="1"/>
  <c r="AN279" i="4"/>
  <c r="AO207" i="2" s="1"/>
  <c r="AO279" i="4"/>
  <c r="AP207" i="2" s="1"/>
  <c r="AP279" i="4"/>
  <c r="AQ207" i="2" s="1"/>
  <c r="AQ279" i="4"/>
  <c r="AR207" i="2" s="1"/>
  <c r="AR279" i="4"/>
  <c r="AS207" i="2" s="1"/>
  <c r="AS279" i="4"/>
  <c r="AT207" i="2" s="1"/>
  <c r="AT279" i="4"/>
  <c r="AU207" i="2" s="1"/>
  <c r="AU279" i="4"/>
  <c r="AV207" i="2" s="1"/>
  <c r="AV279" i="4"/>
  <c r="AW207" i="2" s="1"/>
  <c r="AW279" i="4"/>
  <c r="AX207" i="2" s="1"/>
  <c r="AX279" i="4"/>
  <c r="AY207" i="2" s="1"/>
  <c r="AY279" i="4"/>
  <c r="AZ207" i="2" s="1"/>
  <c r="AZ279" i="4"/>
  <c r="BA207" i="2" s="1"/>
  <c r="BA279" i="4"/>
  <c r="BB207" i="2" s="1"/>
  <c r="BB279" i="4"/>
  <c r="BC207" i="2" s="1"/>
  <c r="BC279" i="4"/>
  <c r="BD207" i="2" s="1"/>
  <c r="BD279" i="4"/>
  <c r="BE207" i="2" s="1"/>
  <c r="BE279" i="4"/>
  <c r="BF207" i="2" s="1"/>
  <c r="BF279" i="4"/>
  <c r="BG207" i="2" s="1"/>
  <c r="BG279" i="4"/>
  <c r="BH207" i="2" s="1"/>
  <c r="BH279" i="4"/>
  <c r="BI207" i="2" s="1"/>
  <c r="BI279" i="4"/>
  <c r="BJ207" i="2" s="1"/>
  <c r="BJ279" i="4"/>
  <c r="BK207" i="2" s="1"/>
  <c r="C278" i="4"/>
  <c r="D278" i="4"/>
  <c r="E153" i="2" s="1"/>
  <c r="E278" i="4"/>
  <c r="F153" i="2" s="1"/>
  <c r="F278" i="4"/>
  <c r="G153" i="2" s="1"/>
  <c r="G278" i="4"/>
  <c r="H153" i="2" s="1"/>
  <c r="H278" i="4"/>
  <c r="I153" i="2" s="1"/>
  <c r="I278" i="4"/>
  <c r="J153" i="2" s="1"/>
  <c r="J278" i="4"/>
  <c r="K153" i="2" s="1"/>
  <c r="K278" i="4"/>
  <c r="L153" i="2" s="1"/>
  <c r="L278" i="4"/>
  <c r="M278" i="4"/>
  <c r="N153" i="2" s="1"/>
  <c r="N278" i="4"/>
  <c r="O278" i="4"/>
  <c r="P278" i="4"/>
  <c r="Q153" i="2" s="1"/>
  <c r="Q278" i="4"/>
  <c r="R153" i="2" s="1"/>
  <c r="R278" i="4"/>
  <c r="S153" i="2" s="1"/>
  <c r="S278" i="4"/>
  <c r="T153" i="2" s="1"/>
  <c r="T278" i="4"/>
  <c r="U153" i="2" s="1"/>
  <c r="U278" i="4"/>
  <c r="V153" i="2" s="1"/>
  <c r="V278" i="4"/>
  <c r="W153" i="2" s="1"/>
  <c r="W278" i="4"/>
  <c r="X153" i="2" s="1"/>
  <c r="X278" i="4"/>
  <c r="Y153" i="2" s="1"/>
  <c r="Y278" i="4"/>
  <c r="Z153" i="2" s="1"/>
  <c r="Z278" i="4"/>
  <c r="AA153" i="2" s="1"/>
  <c r="AA278" i="4"/>
  <c r="AB153" i="2" s="1"/>
  <c r="AB278" i="4"/>
  <c r="AC153" i="2" s="1"/>
  <c r="AC278" i="4"/>
  <c r="AD153" i="2" s="1"/>
  <c r="AD278" i="4"/>
  <c r="AE153" i="2" s="1"/>
  <c r="AE278" i="4"/>
  <c r="AF153" i="2" s="1"/>
  <c r="AF278" i="4"/>
  <c r="AG153" i="2" s="1"/>
  <c r="AG278" i="4"/>
  <c r="AH153" i="2" s="1"/>
  <c r="AH278" i="4"/>
  <c r="AI153" i="2" s="1"/>
  <c r="AI278" i="4"/>
  <c r="AJ153" i="2" s="1"/>
  <c r="AJ278" i="4"/>
  <c r="AK153" i="2" s="1"/>
  <c r="AK278" i="4"/>
  <c r="AL153" i="2" s="1"/>
  <c r="AL278" i="4"/>
  <c r="AM153" i="2" s="1"/>
  <c r="AM278" i="4"/>
  <c r="AN153" i="2" s="1"/>
  <c r="AN278" i="4"/>
  <c r="AO153" i="2" s="1"/>
  <c r="AO278" i="4"/>
  <c r="AP153" i="2" s="1"/>
  <c r="AP278" i="4"/>
  <c r="AQ153" i="2" s="1"/>
  <c r="AQ278" i="4"/>
  <c r="AR153" i="2" s="1"/>
  <c r="AR278" i="4"/>
  <c r="AS153" i="2" s="1"/>
  <c r="AS278" i="4"/>
  <c r="AT153" i="2" s="1"/>
  <c r="AT278" i="4"/>
  <c r="AU153" i="2" s="1"/>
  <c r="AU278" i="4"/>
  <c r="AV153" i="2" s="1"/>
  <c r="AV278" i="4"/>
  <c r="AW153" i="2" s="1"/>
  <c r="AW278" i="4"/>
  <c r="AX153" i="2" s="1"/>
  <c r="AX278" i="4"/>
  <c r="AY153" i="2" s="1"/>
  <c r="AY278" i="4"/>
  <c r="AZ153" i="2" s="1"/>
  <c r="AZ278" i="4"/>
  <c r="BA153" i="2" s="1"/>
  <c r="BA278" i="4"/>
  <c r="BB153" i="2" s="1"/>
  <c r="BB278" i="4"/>
  <c r="BC153" i="2" s="1"/>
  <c r="BC278" i="4"/>
  <c r="BD153" i="2" s="1"/>
  <c r="BD278" i="4"/>
  <c r="BE153" i="2" s="1"/>
  <c r="BE278" i="4"/>
  <c r="BF153" i="2" s="1"/>
  <c r="BF278" i="4"/>
  <c r="BG153" i="2" s="1"/>
  <c r="BG278" i="4"/>
  <c r="BH153" i="2" s="1"/>
  <c r="BH278" i="4"/>
  <c r="BI153" i="2" s="1"/>
  <c r="BI278" i="4"/>
  <c r="BJ153" i="2" s="1"/>
  <c r="BJ278" i="4"/>
  <c r="BK153" i="2" s="1"/>
  <c r="C277" i="4"/>
  <c r="D277" i="4"/>
  <c r="E111" i="2" s="1"/>
  <c r="E277" i="4"/>
  <c r="F111" i="2" s="1"/>
  <c r="F277" i="4"/>
  <c r="G111" i="2" s="1"/>
  <c r="G277" i="4"/>
  <c r="H277" i="4"/>
  <c r="I277" i="4"/>
  <c r="J277" i="4"/>
  <c r="K111" i="2" s="1"/>
  <c r="K277" i="4"/>
  <c r="L111" i="2" s="1"/>
  <c r="L277" i="4"/>
  <c r="M111" i="2" s="1"/>
  <c r="M277" i="4"/>
  <c r="N111" i="2" s="1"/>
  <c r="N277" i="4"/>
  <c r="O111" i="2" s="1"/>
  <c r="O277" i="4"/>
  <c r="P111" i="2" s="1"/>
  <c r="P277" i="4"/>
  <c r="Q111" i="2" s="1"/>
  <c r="Q277" i="4"/>
  <c r="R111" i="2" s="1"/>
  <c r="R277" i="4"/>
  <c r="S111" i="2" s="1"/>
  <c r="S277" i="4"/>
  <c r="T111" i="2" s="1"/>
  <c r="T277" i="4"/>
  <c r="U111" i="2" s="1"/>
  <c r="U277" i="4"/>
  <c r="V111" i="2" s="1"/>
  <c r="V277" i="4"/>
  <c r="W111" i="2" s="1"/>
  <c r="W277" i="4"/>
  <c r="X111" i="2" s="1"/>
  <c r="X277" i="4"/>
  <c r="Y111" i="2" s="1"/>
  <c r="Y277" i="4"/>
  <c r="Z111" i="2" s="1"/>
  <c r="Z277" i="4"/>
  <c r="AA111" i="2" s="1"/>
  <c r="AA277" i="4"/>
  <c r="AB111" i="2" s="1"/>
  <c r="AB277" i="4"/>
  <c r="AC111" i="2" s="1"/>
  <c r="AC277" i="4"/>
  <c r="AD111" i="2" s="1"/>
  <c r="AD277" i="4"/>
  <c r="AE111" i="2" s="1"/>
  <c r="AE277" i="4"/>
  <c r="AF111" i="2" s="1"/>
  <c r="AF277" i="4"/>
  <c r="AG111" i="2" s="1"/>
  <c r="AG277" i="4"/>
  <c r="AH111" i="2" s="1"/>
  <c r="AH277" i="4"/>
  <c r="AI111" i="2" s="1"/>
  <c r="AI277" i="4"/>
  <c r="AJ111" i="2" s="1"/>
  <c r="AJ277" i="4"/>
  <c r="AK111" i="2" s="1"/>
  <c r="AK277" i="4"/>
  <c r="AL111" i="2" s="1"/>
  <c r="AL277" i="4"/>
  <c r="AM111" i="2" s="1"/>
  <c r="AM277" i="4"/>
  <c r="AN111" i="2" s="1"/>
  <c r="AN277" i="4"/>
  <c r="AO111" i="2" s="1"/>
  <c r="AO277" i="4"/>
  <c r="AP111" i="2" s="1"/>
  <c r="AP277" i="4"/>
  <c r="AQ111" i="2" s="1"/>
  <c r="AQ277" i="4"/>
  <c r="AR111" i="2" s="1"/>
  <c r="AR277" i="4"/>
  <c r="AS111" i="2" s="1"/>
  <c r="AS277" i="4"/>
  <c r="AT111" i="2" s="1"/>
  <c r="AT277" i="4"/>
  <c r="AU111" i="2" s="1"/>
  <c r="AU277" i="4"/>
  <c r="AV111" i="2" s="1"/>
  <c r="AV277" i="4"/>
  <c r="AW111" i="2" s="1"/>
  <c r="AW277" i="4"/>
  <c r="AX111" i="2" s="1"/>
  <c r="AX277" i="4"/>
  <c r="AY111" i="2" s="1"/>
  <c r="AY277" i="4"/>
  <c r="AZ111" i="2" s="1"/>
  <c r="AZ277" i="4"/>
  <c r="BA111" i="2" s="1"/>
  <c r="BA277" i="4"/>
  <c r="BB111" i="2" s="1"/>
  <c r="BB277" i="4"/>
  <c r="BC111" i="2" s="1"/>
  <c r="BC277" i="4"/>
  <c r="BD111" i="2" s="1"/>
  <c r="BD277" i="4"/>
  <c r="BE111" i="2" s="1"/>
  <c r="BE277" i="4"/>
  <c r="BF111" i="2" s="1"/>
  <c r="BF277" i="4"/>
  <c r="BG111" i="2" s="1"/>
  <c r="BG277" i="4"/>
  <c r="BH111" i="2" s="1"/>
  <c r="BH277" i="4"/>
  <c r="BI111" i="2" s="1"/>
  <c r="BI277" i="4"/>
  <c r="BJ111" i="2" s="1"/>
  <c r="BJ277" i="4"/>
  <c r="BK111" i="2" s="1"/>
  <c r="C276" i="4"/>
  <c r="D276" i="4"/>
  <c r="E114" i="2" s="1"/>
  <c r="E276" i="4"/>
  <c r="F114" i="2" s="1"/>
  <c r="F276" i="4"/>
  <c r="G114" i="2" s="1"/>
  <c r="G276" i="4"/>
  <c r="H276" i="4"/>
  <c r="I276" i="4"/>
  <c r="J276" i="4"/>
  <c r="K114" i="2" s="1"/>
  <c r="K276" i="4"/>
  <c r="L114" i="2" s="1"/>
  <c r="L276" i="4"/>
  <c r="M114" i="2" s="1"/>
  <c r="M276" i="4"/>
  <c r="N114" i="2" s="1"/>
  <c r="N276" i="4"/>
  <c r="O114" i="2" s="1"/>
  <c r="O276" i="4"/>
  <c r="P114" i="2" s="1"/>
  <c r="P276" i="4"/>
  <c r="Q114" i="2" s="1"/>
  <c r="Q276" i="4"/>
  <c r="R114" i="2" s="1"/>
  <c r="R276" i="4"/>
  <c r="S114" i="2" s="1"/>
  <c r="S276" i="4"/>
  <c r="T114" i="2" s="1"/>
  <c r="T276" i="4"/>
  <c r="U114" i="2" s="1"/>
  <c r="U276" i="4"/>
  <c r="V114" i="2" s="1"/>
  <c r="V276" i="4"/>
  <c r="W114" i="2" s="1"/>
  <c r="W276" i="4"/>
  <c r="X114" i="2" s="1"/>
  <c r="X276" i="4"/>
  <c r="Y114" i="2" s="1"/>
  <c r="Y276" i="4"/>
  <c r="Z114" i="2" s="1"/>
  <c r="Z276" i="4"/>
  <c r="AA114" i="2" s="1"/>
  <c r="AA276" i="4"/>
  <c r="AB114" i="2" s="1"/>
  <c r="AB276" i="4"/>
  <c r="AC114" i="2" s="1"/>
  <c r="AC276" i="4"/>
  <c r="AD114" i="2" s="1"/>
  <c r="AD276" i="4"/>
  <c r="AE114" i="2" s="1"/>
  <c r="AE276" i="4"/>
  <c r="AF114" i="2" s="1"/>
  <c r="AF276" i="4"/>
  <c r="AG114" i="2" s="1"/>
  <c r="AG276" i="4"/>
  <c r="AH114" i="2" s="1"/>
  <c r="AH276" i="4"/>
  <c r="AI114" i="2" s="1"/>
  <c r="AI276" i="4"/>
  <c r="AJ114" i="2" s="1"/>
  <c r="AJ276" i="4"/>
  <c r="AK114" i="2" s="1"/>
  <c r="AK276" i="4"/>
  <c r="AL114" i="2" s="1"/>
  <c r="AL276" i="4"/>
  <c r="AM114" i="2" s="1"/>
  <c r="AM276" i="4"/>
  <c r="AN114" i="2" s="1"/>
  <c r="AN276" i="4"/>
  <c r="AO114" i="2" s="1"/>
  <c r="AO276" i="4"/>
  <c r="AP114" i="2" s="1"/>
  <c r="AP276" i="4"/>
  <c r="AQ114" i="2" s="1"/>
  <c r="AQ276" i="4"/>
  <c r="AR114" i="2" s="1"/>
  <c r="AR276" i="4"/>
  <c r="AS114" i="2" s="1"/>
  <c r="AS276" i="4"/>
  <c r="AT114" i="2" s="1"/>
  <c r="AT276" i="4"/>
  <c r="AU114" i="2" s="1"/>
  <c r="AU276" i="4"/>
  <c r="AV114" i="2" s="1"/>
  <c r="AV276" i="4"/>
  <c r="AW114" i="2" s="1"/>
  <c r="AW276" i="4"/>
  <c r="AX114" i="2" s="1"/>
  <c r="AX276" i="4"/>
  <c r="AY114" i="2" s="1"/>
  <c r="AY276" i="4"/>
  <c r="AZ114" i="2" s="1"/>
  <c r="AZ276" i="4"/>
  <c r="BA114" i="2" s="1"/>
  <c r="BA276" i="4"/>
  <c r="BB114" i="2" s="1"/>
  <c r="BB276" i="4"/>
  <c r="BC114" i="2" s="1"/>
  <c r="BC276" i="4"/>
  <c r="BD114" i="2" s="1"/>
  <c r="BD276" i="4"/>
  <c r="BE114" i="2" s="1"/>
  <c r="BE276" i="4"/>
  <c r="BF114" i="2" s="1"/>
  <c r="BF276" i="4"/>
  <c r="BG114" i="2" s="1"/>
  <c r="BG276" i="4"/>
  <c r="BH114" i="2" s="1"/>
  <c r="BH276" i="4"/>
  <c r="BI114" i="2" s="1"/>
  <c r="BI276" i="4"/>
  <c r="BJ114" i="2" s="1"/>
  <c r="BJ276" i="4"/>
  <c r="BK114" i="2" s="1"/>
  <c r="C275" i="4"/>
  <c r="D275" i="4"/>
  <c r="E75" i="2" s="1"/>
  <c r="E275" i="4"/>
  <c r="F75" i="2" s="1"/>
  <c r="F275" i="4"/>
  <c r="G75" i="2" s="1"/>
  <c r="G275" i="4"/>
  <c r="H75" i="2" s="1"/>
  <c r="H275" i="4"/>
  <c r="I75" i="2" s="1"/>
  <c r="I275" i="4"/>
  <c r="J75" i="2" s="1"/>
  <c r="J275" i="4"/>
  <c r="K75" i="2" s="1"/>
  <c r="K275" i="4"/>
  <c r="L75" i="2" s="1"/>
  <c r="L275" i="4"/>
  <c r="M75" i="2" s="1"/>
  <c r="M275" i="4"/>
  <c r="N75" i="2" s="1"/>
  <c r="N275" i="4"/>
  <c r="O75" i="2" s="1"/>
  <c r="O275" i="4"/>
  <c r="P75" i="2" s="1"/>
  <c r="P275" i="4"/>
  <c r="Q75" i="2" s="1"/>
  <c r="Q275" i="4"/>
  <c r="R75" i="2" s="1"/>
  <c r="R275" i="4"/>
  <c r="S75" i="2" s="1"/>
  <c r="S275" i="4"/>
  <c r="T75" i="2" s="1"/>
  <c r="T275" i="4"/>
  <c r="U75" i="2" s="1"/>
  <c r="U275" i="4"/>
  <c r="V75" i="2" s="1"/>
  <c r="V275" i="4"/>
  <c r="W75" i="2" s="1"/>
  <c r="W275" i="4"/>
  <c r="X75" i="2" s="1"/>
  <c r="X275" i="4"/>
  <c r="Y75" i="2" s="1"/>
  <c r="Y275" i="4"/>
  <c r="Z75" i="2" s="1"/>
  <c r="Z275" i="4"/>
  <c r="AA75" i="2" s="1"/>
  <c r="AA275" i="4"/>
  <c r="AB75" i="2" s="1"/>
  <c r="AB275" i="4"/>
  <c r="AC75" i="2" s="1"/>
  <c r="AC275" i="4"/>
  <c r="AD75" i="2" s="1"/>
  <c r="AD275" i="4"/>
  <c r="AE75" i="2" s="1"/>
  <c r="AE275" i="4"/>
  <c r="AF75" i="2" s="1"/>
  <c r="AF275" i="4"/>
  <c r="AG75" i="2" s="1"/>
  <c r="AG275" i="4"/>
  <c r="AH75" i="2" s="1"/>
  <c r="AH275" i="4"/>
  <c r="AI75" i="2" s="1"/>
  <c r="AI275" i="4"/>
  <c r="AJ75" i="2" s="1"/>
  <c r="AJ275" i="4"/>
  <c r="AK75" i="2" s="1"/>
  <c r="AK275" i="4"/>
  <c r="AL75" i="2" s="1"/>
  <c r="AL275" i="4"/>
  <c r="AM75" i="2" s="1"/>
  <c r="AM275" i="4"/>
  <c r="AN75" i="2" s="1"/>
  <c r="AN275" i="4"/>
  <c r="AO75" i="2" s="1"/>
  <c r="AO275" i="4"/>
  <c r="AP75" i="2" s="1"/>
  <c r="AP275" i="4"/>
  <c r="AQ75" i="2" s="1"/>
  <c r="AQ275" i="4"/>
  <c r="AR75" i="2" s="1"/>
  <c r="AR275" i="4"/>
  <c r="AS75" i="2" s="1"/>
  <c r="AS275" i="4"/>
  <c r="AT75" i="2" s="1"/>
  <c r="AT275" i="4"/>
  <c r="AU75" i="2" s="1"/>
  <c r="AU275" i="4"/>
  <c r="AV75" i="2" s="1"/>
  <c r="AV275" i="4"/>
  <c r="AW75" i="2" s="1"/>
  <c r="AW275" i="4"/>
  <c r="AX75" i="2" s="1"/>
  <c r="AX275" i="4"/>
  <c r="AY75" i="2" s="1"/>
  <c r="AY275" i="4"/>
  <c r="AZ75" i="2" s="1"/>
  <c r="AZ275" i="4"/>
  <c r="BA75" i="2" s="1"/>
  <c r="BA275" i="4"/>
  <c r="BB75" i="2" s="1"/>
  <c r="BB275" i="4"/>
  <c r="BC75" i="2" s="1"/>
  <c r="BC275" i="4"/>
  <c r="BD75" i="2" s="1"/>
  <c r="BD275" i="4"/>
  <c r="BE75" i="2" s="1"/>
  <c r="BE275" i="4"/>
  <c r="BF75" i="2" s="1"/>
  <c r="BF275" i="4"/>
  <c r="BG75" i="2" s="1"/>
  <c r="BG275" i="4"/>
  <c r="BH75" i="2" s="1"/>
  <c r="BH275" i="4"/>
  <c r="BI75" i="2" s="1"/>
  <c r="BI275" i="4"/>
  <c r="BJ75" i="2" s="1"/>
  <c r="BJ275" i="4"/>
  <c r="BK75" i="2" s="1"/>
  <c r="C274" i="4"/>
  <c r="D274" i="4"/>
  <c r="E132" i="2" s="1"/>
  <c r="E274" i="4"/>
  <c r="F132" i="2" s="1"/>
  <c r="F274" i="4"/>
  <c r="G132" i="2" s="1"/>
  <c r="G274" i="4"/>
  <c r="H132" i="2" s="1"/>
  <c r="H274" i="4"/>
  <c r="I132" i="2" s="1"/>
  <c r="I274" i="4"/>
  <c r="J274" i="4"/>
  <c r="K274" i="4"/>
  <c r="L274" i="4"/>
  <c r="M132" i="2" s="1"/>
  <c r="M274" i="4"/>
  <c r="N132" i="2" s="1"/>
  <c r="N274" i="4"/>
  <c r="O132" i="2" s="1"/>
  <c r="O274" i="4"/>
  <c r="P132" i="2" s="1"/>
  <c r="P274" i="4"/>
  <c r="Q132" i="2" s="1"/>
  <c r="Q274" i="4"/>
  <c r="R132" i="2" s="1"/>
  <c r="R274" i="4"/>
  <c r="S132" i="2" s="1"/>
  <c r="S274" i="4"/>
  <c r="T132" i="2" s="1"/>
  <c r="T274" i="4"/>
  <c r="U132" i="2" s="1"/>
  <c r="U274" i="4"/>
  <c r="V132" i="2" s="1"/>
  <c r="V274" i="4"/>
  <c r="W132" i="2" s="1"/>
  <c r="W274" i="4"/>
  <c r="X132" i="2" s="1"/>
  <c r="X274" i="4"/>
  <c r="Y132" i="2" s="1"/>
  <c r="Y274" i="4"/>
  <c r="Z132" i="2" s="1"/>
  <c r="Z274" i="4"/>
  <c r="AA132" i="2" s="1"/>
  <c r="AA274" i="4"/>
  <c r="AB132" i="2" s="1"/>
  <c r="AB274" i="4"/>
  <c r="AC132" i="2" s="1"/>
  <c r="AC274" i="4"/>
  <c r="AD132" i="2" s="1"/>
  <c r="AD274" i="4"/>
  <c r="AE132" i="2" s="1"/>
  <c r="AE274" i="4"/>
  <c r="AF132" i="2" s="1"/>
  <c r="AF274" i="4"/>
  <c r="AG132" i="2" s="1"/>
  <c r="AG274" i="4"/>
  <c r="AH132" i="2" s="1"/>
  <c r="AH274" i="4"/>
  <c r="AI132" i="2" s="1"/>
  <c r="AI274" i="4"/>
  <c r="AJ132" i="2" s="1"/>
  <c r="AJ274" i="4"/>
  <c r="AK132" i="2" s="1"/>
  <c r="AK274" i="4"/>
  <c r="AL132" i="2" s="1"/>
  <c r="AL274" i="4"/>
  <c r="AM132" i="2" s="1"/>
  <c r="AM274" i="4"/>
  <c r="AN132" i="2" s="1"/>
  <c r="AN274" i="4"/>
  <c r="AO132" i="2" s="1"/>
  <c r="AO274" i="4"/>
  <c r="AP132" i="2" s="1"/>
  <c r="AP274" i="4"/>
  <c r="AQ132" i="2" s="1"/>
  <c r="AQ274" i="4"/>
  <c r="AR132" i="2" s="1"/>
  <c r="AR274" i="4"/>
  <c r="AS132" i="2" s="1"/>
  <c r="AS274" i="4"/>
  <c r="AT132" i="2" s="1"/>
  <c r="AT274" i="4"/>
  <c r="AU132" i="2" s="1"/>
  <c r="AU274" i="4"/>
  <c r="AV132" i="2" s="1"/>
  <c r="AV274" i="4"/>
  <c r="AW132" i="2" s="1"/>
  <c r="AW274" i="4"/>
  <c r="AX132" i="2" s="1"/>
  <c r="AX274" i="4"/>
  <c r="AY132" i="2" s="1"/>
  <c r="AY274" i="4"/>
  <c r="AZ132" i="2" s="1"/>
  <c r="AZ274" i="4"/>
  <c r="BA132" i="2" s="1"/>
  <c r="BA274" i="4"/>
  <c r="BB132" i="2" s="1"/>
  <c r="BB274" i="4"/>
  <c r="BC132" i="2" s="1"/>
  <c r="BC274" i="4"/>
  <c r="BD132" i="2" s="1"/>
  <c r="BD274" i="4"/>
  <c r="BE132" i="2" s="1"/>
  <c r="BE274" i="4"/>
  <c r="BF132" i="2" s="1"/>
  <c r="BF274" i="4"/>
  <c r="BG132" i="2" s="1"/>
  <c r="BG274" i="4"/>
  <c r="BH132" i="2" s="1"/>
  <c r="BH274" i="4"/>
  <c r="BI132" i="2" s="1"/>
  <c r="BI274" i="4"/>
  <c r="BJ132" i="2" s="1"/>
  <c r="BJ274" i="4"/>
  <c r="BK132" i="2" s="1"/>
  <c r="C273" i="4"/>
  <c r="D273" i="4"/>
  <c r="E126" i="2" s="1"/>
  <c r="E273" i="4"/>
  <c r="F126" i="2" s="1"/>
  <c r="F273" i="4"/>
  <c r="G126" i="2" s="1"/>
  <c r="G273" i="4"/>
  <c r="H126" i="2" s="1"/>
  <c r="H273" i="4"/>
  <c r="I273" i="4"/>
  <c r="J126" i="2" s="1"/>
  <c r="J273" i="4"/>
  <c r="K126" i="2" s="1"/>
  <c r="K273" i="4"/>
  <c r="L126" i="2" s="1"/>
  <c r="L273" i="4"/>
  <c r="M126" i="2" s="1"/>
  <c r="M273" i="4"/>
  <c r="N126" i="2" s="1"/>
  <c r="N273" i="4"/>
  <c r="O126" i="2" s="1"/>
  <c r="O273" i="4"/>
  <c r="P126" i="2" s="1"/>
  <c r="P273" i="4"/>
  <c r="Q126" i="2" s="1"/>
  <c r="Q273" i="4"/>
  <c r="R126" i="2" s="1"/>
  <c r="R273" i="4"/>
  <c r="S126" i="2" s="1"/>
  <c r="S273" i="4"/>
  <c r="T126" i="2" s="1"/>
  <c r="T273" i="4"/>
  <c r="U126" i="2" s="1"/>
  <c r="U273" i="4"/>
  <c r="V126" i="2" s="1"/>
  <c r="V273" i="4"/>
  <c r="W126" i="2" s="1"/>
  <c r="W273" i="4"/>
  <c r="X126" i="2" s="1"/>
  <c r="X273" i="4"/>
  <c r="Y126" i="2" s="1"/>
  <c r="Y273" i="4"/>
  <c r="Z126" i="2" s="1"/>
  <c r="Z273" i="4"/>
  <c r="AA126" i="2" s="1"/>
  <c r="AA273" i="4"/>
  <c r="AB126" i="2" s="1"/>
  <c r="AB273" i="4"/>
  <c r="AC126" i="2" s="1"/>
  <c r="AC273" i="4"/>
  <c r="AD126" i="2" s="1"/>
  <c r="AD273" i="4"/>
  <c r="AE126" i="2" s="1"/>
  <c r="AE273" i="4"/>
  <c r="AF126" i="2" s="1"/>
  <c r="AF273" i="4"/>
  <c r="AG126" i="2" s="1"/>
  <c r="AG273" i="4"/>
  <c r="AH126" i="2" s="1"/>
  <c r="AH273" i="4"/>
  <c r="AI126" i="2" s="1"/>
  <c r="AI273" i="4"/>
  <c r="AJ126" i="2" s="1"/>
  <c r="AJ273" i="4"/>
  <c r="AK126" i="2" s="1"/>
  <c r="AK273" i="4"/>
  <c r="AL126" i="2" s="1"/>
  <c r="AL273" i="4"/>
  <c r="AM126" i="2" s="1"/>
  <c r="AM273" i="4"/>
  <c r="AN126" i="2" s="1"/>
  <c r="AN273" i="4"/>
  <c r="AO126" i="2" s="1"/>
  <c r="AO273" i="4"/>
  <c r="AP126" i="2" s="1"/>
  <c r="AP273" i="4"/>
  <c r="AQ126" i="2" s="1"/>
  <c r="AQ273" i="4"/>
  <c r="AR126" i="2" s="1"/>
  <c r="AR273" i="4"/>
  <c r="AS126" i="2" s="1"/>
  <c r="AS273" i="4"/>
  <c r="AT126" i="2" s="1"/>
  <c r="AT273" i="4"/>
  <c r="AU126" i="2" s="1"/>
  <c r="AU273" i="4"/>
  <c r="AV126" i="2" s="1"/>
  <c r="AV273" i="4"/>
  <c r="AW126" i="2" s="1"/>
  <c r="AW273" i="4"/>
  <c r="AX126" i="2" s="1"/>
  <c r="AX273" i="4"/>
  <c r="AY126" i="2" s="1"/>
  <c r="AY273" i="4"/>
  <c r="AZ126" i="2" s="1"/>
  <c r="AZ273" i="4"/>
  <c r="BA126" i="2" s="1"/>
  <c r="BA273" i="4"/>
  <c r="BB126" i="2" s="1"/>
  <c r="BB273" i="4"/>
  <c r="BC126" i="2" s="1"/>
  <c r="BC273" i="4"/>
  <c r="BD126" i="2" s="1"/>
  <c r="BD273" i="4"/>
  <c r="BE126" i="2" s="1"/>
  <c r="BE273" i="4"/>
  <c r="BF126" i="2" s="1"/>
  <c r="BF273" i="4"/>
  <c r="BG126" i="2" s="1"/>
  <c r="BG273" i="4"/>
  <c r="BH126" i="2" s="1"/>
  <c r="BH273" i="4"/>
  <c r="BI126" i="2" s="1"/>
  <c r="BI273" i="4"/>
  <c r="BJ126" i="2" s="1"/>
  <c r="BJ273" i="4"/>
  <c r="BK126" i="2" s="1"/>
  <c r="C272" i="4"/>
  <c r="D272" i="4"/>
  <c r="E99" i="2" s="1"/>
  <c r="E272" i="4"/>
  <c r="F99" i="2" s="1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99" i="2" s="1"/>
  <c r="W272" i="4"/>
  <c r="X99" i="2" s="1"/>
  <c r="X272" i="4"/>
  <c r="Y99" i="2" s="1"/>
  <c r="Y272" i="4"/>
  <c r="Z99" i="2" s="1"/>
  <c r="Z272" i="4"/>
  <c r="AA99" i="2" s="1"/>
  <c r="AA272" i="4"/>
  <c r="AB99" i="2" s="1"/>
  <c r="AB272" i="4"/>
  <c r="AC99" i="2" s="1"/>
  <c r="AC272" i="4"/>
  <c r="AD99" i="2" s="1"/>
  <c r="AD272" i="4"/>
  <c r="AE99" i="2" s="1"/>
  <c r="AE272" i="4"/>
  <c r="AF99" i="2" s="1"/>
  <c r="AF272" i="4"/>
  <c r="AG99" i="2" s="1"/>
  <c r="AG272" i="4"/>
  <c r="AH99" i="2" s="1"/>
  <c r="AH272" i="4"/>
  <c r="AI99" i="2" s="1"/>
  <c r="AI272" i="4"/>
  <c r="AJ99" i="2" s="1"/>
  <c r="AJ272" i="4"/>
  <c r="AK99" i="2" s="1"/>
  <c r="AK272" i="4"/>
  <c r="AL99" i="2" s="1"/>
  <c r="AL272" i="4"/>
  <c r="AM99" i="2" s="1"/>
  <c r="AM272" i="4"/>
  <c r="AN99" i="2" s="1"/>
  <c r="AN272" i="4"/>
  <c r="AO99" i="2" s="1"/>
  <c r="AO272" i="4"/>
  <c r="AP99" i="2" s="1"/>
  <c r="AP272" i="4"/>
  <c r="AQ99" i="2" s="1"/>
  <c r="AQ272" i="4"/>
  <c r="AR99" i="2" s="1"/>
  <c r="AR272" i="4"/>
  <c r="AS99" i="2" s="1"/>
  <c r="AS272" i="4"/>
  <c r="AT99" i="2" s="1"/>
  <c r="AT272" i="4"/>
  <c r="AU99" i="2" s="1"/>
  <c r="AU272" i="4"/>
  <c r="AV99" i="2" s="1"/>
  <c r="AV272" i="4"/>
  <c r="AW99" i="2" s="1"/>
  <c r="AW272" i="4"/>
  <c r="AX99" i="2" s="1"/>
  <c r="AX272" i="4"/>
  <c r="AY99" i="2" s="1"/>
  <c r="AY272" i="4"/>
  <c r="AZ99" i="2" s="1"/>
  <c r="AZ272" i="4"/>
  <c r="BA99" i="2" s="1"/>
  <c r="BA272" i="4"/>
  <c r="BB99" i="2" s="1"/>
  <c r="BB272" i="4"/>
  <c r="BC99" i="2" s="1"/>
  <c r="BC272" i="4"/>
  <c r="BD99" i="2" s="1"/>
  <c r="BD272" i="4"/>
  <c r="BE99" i="2" s="1"/>
  <c r="BE272" i="4"/>
  <c r="BF99" i="2" s="1"/>
  <c r="BF272" i="4"/>
  <c r="BG99" i="2" s="1"/>
  <c r="BG272" i="4"/>
  <c r="BH99" i="2" s="1"/>
  <c r="BH272" i="4"/>
  <c r="BI99" i="2" s="1"/>
  <c r="BI272" i="4"/>
  <c r="BJ99" i="2" s="1"/>
  <c r="BJ272" i="4"/>
  <c r="BK99" i="2" s="1"/>
  <c r="I271" i="4"/>
  <c r="J240" i="2" s="1"/>
  <c r="Q271" i="4"/>
  <c r="R271" i="4"/>
  <c r="S271" i="4"/>
  <c r="T271" i="4"/>
  <c r="U271" i="4"/>
  <c r="V271" i="4"/>
  <c r="W240" i="2" s="1"/>
  <c r="W271" i="4"/>
  <c r="X240" i="2" s="1"/>
  <c r="X271" i="4"/>
  <c r="Y240" i="2" s="1"/>
  <c r="Y271" i="4"/>
  <c r="Z240" i="2" s="1"/>
  <c r="Z271" i="4"/>
  <c r="AA240" i="2" s="1"/>
  <c r="AA271" i="4"/>
  <c r="AB240" i="2" s="1"/>
  <c r="AB271" i="4"/>
  <c r="AC240" i="2" s="1"/>
  <c r="AC271" i="4"/>
  <c r="AD240" i="2" s="1"/>
  <c r="AD271" i="4"/>
  <c r="AE240" i="2" s="1"/>
  <c r="AE271" i="4"/>
  <c r="AF240" i="2" s="1"/>
  <c r="AF271" i="4"/>
  <c r="AG240" i="2" s="1"/>
  <c r="AG271" i="4"/>
  <c r="AH240" i="2" s="1"/>
  <c r="AH271" i="4"/>
  <c r="AI240" i="2" s="1"/>
  <c r="AI271" i="4"/>
  <c r="AJ240" i="2" s="1"/>
  <c r="AJ271" i="4"/>
  <c r="AK240" i="2" s="1"/>
  <c r="AK271" i="4"/>
  <c r="AL240" i="2" s="1"/>
  <c r="AL271" i="4"/>
  <c r="AM240" i="2" s="1"/>
  <c r="AM271" i="4"/>
  <c r="AN240" i="2" s="1"/>
  <c r="AN271" i="4"/>
  <c r="AO240" i="2" s="1"/>
  <c r="AO271" i="4"/>
  <c r="AP240" i="2" s="1"/>
  <c r="AP271" i="4"/>
  <c r="AQ240" i="2" s="1"/>
  <c r="AQ271" i="4"/>
  <c r="AR240" i="2" s="1"/>
  <c r="AR271" i="4"/>
  <c r="AS240" i="2" s="1"/>
  <c r="AS271" i="4"/>
  <c r="AT240" i="2" s="1"/>
  <c r="AT271" i="4"/>
  <c r="AU240" i="2" s="1"/>
  <c r="AU271" i="4"/>
  <c r="AV240" i="2" s="1"/>
  <c r="AV271" i="4"/>
  <c r="AW240" i="2" s="1"/>
  <c r="AW271" i="4"/>
  <c r="AX240" i="2" s="1"/>
  <c r="AX271" i="4"/>
  <c r="AY240" i="2" s="1"/>
  <c r="AY271" i="4"/>
  <c r="AZ240" i="2" s="1"/>
  <c r="AZ271" i="4"/>
  <c r="BA240" i="2" s="1"/>
  <c r="BA271" i="4"/>
  <c r="BB240" i="2" s="1"/>
  <c r="BB271" i="4"/>
  <c r="BC240" i="2" s="1"/>
  <c r="BC271" i="4"/>
  <c r="BD240" i="2" s="1"/>
  <c r="BD271" i="4"/>
  <c r="BE240" i="2" s="1"/>
  <c r="BE271" i="4"/>
  <c r="BF240" i="2" s="1"/>
  <c r="BF271" i="4"/>
  <c r="BG240" i="2" s="1"/>
  <c r="BG271" i="4"/>
  <c r="BH240" i="2" s="1"/>
  <c r="BH271" i="4"/>
  <c r="BI240" i="2" s="1"/>
  <c r="BI271" i="4"/>
  <c r="BJ240" i="2" s="1"/>
  <c r="BJ271" i="4"/>
  <c r="BK240" i="2" s="1"/>
  <c r="M271" i="4"/>
  <c r="N240" i="2" s="1"/>
  <c r="H271" i="4"/>
  <c r="I240" i="2" s="1"/>
  <c r="N271" i="4"/>
  <c r="O240" i="2" s="1"/>
  <c r="J271" i="4"/>
  <c r="K240" i="2" s="1"/>
  <c r="P271" i="4"/>
  <c r="Q240" i="2" s="1"/>
  <c r="E271" i="4"/>
  <c r="F240" i="2" s="1"/>
  <c r="G271" i="4"/>
  <c r="H240" i="2" s="1"/>
  <c r="L271" i="4"/>
  <c r="M240" i="2" s="1"/>
  <c r="C271" i="4"/>
  <c r="D271" i="4"/>
  <c r="E240" i="2" s="1"/>
  <c r="F271" i="4"/>
  <c r="G240" i="2" s="1"/>
  <c r="K271" i="4"/>
  <c r="L240" i="2" s="1"/>
  <c r="O271" i="4"/>
  <c r="P240" i="2" s="1"/>
  <c r="F270" i="4"/>
  <c r="G21" i="2" s="1"/>
  <c r="P270" i="4"/>
  <c r="Q21" i="2" s="1"/>
  <c r="Y270" i="4"/>
  <c r="Z21" i="2" s="1"/>
  <c r="AC270" i="4"/>
  <c r="AD21" i="2" s="1"/>
  <c r="AJ270" i="4"/>
  <c r="AK21" i="2" s="1"/>
  <c r="AS270" i="4"/>
  <c r="AT21" i="2" s="1"/>
  <c r="BD270" i="4"/>
  <c r="BE21" i="2" s="1"/>
  <c r="K270" i="4"/>
  <c r="L21" i="2" s="1"/>
  <c r="Q270" i="4"/>
  <c r="R21" i="2" s="1"/>
  <c r="AN270" i="4"/>
  <c r="AO21" i="2" s="1"/>
  <c r="AZ270" i="4"/>
  <c r="BA21" i="2" s="1"/>
  <c r="BI270" i="4"/>
  <c r="BJ21" i="2" s="1"/>
  <c r="AY270" i="4"/>
  <c r="AZ21" i="2" s="1"/>
  <c r="G270" i="4"/>
  <c r="H21" i="2" s="1"/>
  <c r="AI270" i="4"/>
  <c r="AJ21" i="2" s="1"/>
  <c r="AV270" i="4"/>
  <c r="AW21" i="2" s="1"/>
  <c r="BG270" i="4"/>
  <c r="BH21" i="2" s="1"/>
  <c r="H270" i="4"/>
  <c r="I21" i="2" s="1"/>
  <c r="J270" i="4"/>
  <c r="K21" i="2" s="1"/>
  <c r="L270" i="4"/>
  <c r="M21" i="2" s="1"/>
  <c r="R270" i="4"/>
  <c r="S21" i="2" s="1"/>
  <c r="AA270" i="4"/>
  <c r="AB21" i="2" s="1"/>
  <c r="AH270" i="4"/>
  <c r="AI21" i="2" s="1"/>
  <c r="AO270" i="4"/>
  <c r="AP21" i="2" s="1"/>
  <c r="BA270" i="4"/>
  <c r="BB21" i="2" s="1"/>
  <c r="D270" i="4"/>
  <c r="E270" i="4"/>
  <c r="F21" i="2" s="1"/>
  <c r="N270" i="4"/>
  <c r="O21" i="2" s="1"/>
  <c r="T270" i="4"/>
  <c r="U21" i="2" s="1"/>
  <c r="W270" i="4"/>
  <c r="X21" i="2" s="1"/>
  <c r="AD270" i="4"/>
  <c r="AE21" i="2" s="1"/>
  <c r="AF270" i="4"/>
  <c r="AG21" i="2" s="1"/>
  <c r="AK270" i="4"/>
  <c r="AL21" i="2" s="1"/>
  <c r="AM270" i="4"/>
  <c r="AN21" i="2" s="1"/>
  <c r="AQ270" i="4"/>
  <c r="AR21" i="2" s="1"/>
  <c r="AT270" i="4"/>
  <c r="AU21" i="2" s="1"/>
  <c r="AW270" i="4"/>
  <c r="AX21" i="2" s="1"/>
  <c r="BB270" i="4"/>
  <c r="BC21" i="2" s="1"/>
  <c r="BE270" i="4"/>
  <c r="BF21" i="2" s="1"/>
  <c r="U270" i="4"/>
  <c r="V21" i="2" s="1"/>
  <c r="C270" i="4"/>
  <c r="I270" i="4"/>
  <c r="J21" i="2" s="1"/>
  <c r="M270" i="4"/>
  <c r="N21" i="2" s="1"/>
  <c r="O270" i="4"/>
  <c r="P21" i="2" s="1"/>
  <c r="S270" i="4"/>
  <c r="T21" i="2" s="1"/>
  <c r="V270" i="4"/>
  <c r="W21" i="2" s="1"/>
  <c r="X270" i="4"/>
  <c r="Y21" i="2" s="1"/>
  <c r="Z270" i="4"/>
  <c r="AA21" i="2" s="1"/>
  <c r="AB270" i="4"/>
  <c r="AC21" i="2" s="1"/>
  <c r="AE270" i="4"/>
  <c r="AF21" i="2" s="1"/>
  <c r="AG270" i="4"/>
  <c r="AH21" i="2" s="1"/>
  <c r="AL270" i="4"/>
  <c r="AM21" i="2" s="1"/>
  <c r="AP270" i="4"/>
  <c r="AQ21" i="2" s="1"/>
  <c r="AR270" i="4"/>
  <c r="AS21" i="2" s="1"/>
  <c r="AU270" i="4"/>
  <c r="AV21" i="2" s="1"/>
  <c r="AX270" i="4"/>
  <c r="AY21" i="2" s="1"/>
  <c r="BC270" i="4"/>
  <c r="BD21" i="2" s="1"/>
  <c r="BF270" i="4"/>
  <c r="BG21" i="2" s="1"/>
  <c r="BH270" i="4"/>
  <c r="BI21" i="2" s="1"/>
  <c r="BJ270" i="4"/>
  <c r="BK21" i="2" s="1"/>
  <c r="G269" i="4"/>
  <c r="H267" i="2" s="1"/>
  <c r="T269" i="4"/>
  <c r="U267" i="2" s="1"/>
  <c r="V269" i="4"/>
  <c r="W267" i="2" s="1"/>
  <c r="Y269" i="4"/>
  <c r="Z267" i="2" s="1"/>
  <c r="AD269" i="4"/>
  <c r="AE267" i="2" s="1"/>
  <c r="AK269" i="4"/>
  <c r="AL267" i="2" s="1"/>
  <c r="AT269" i="4"/>
  <c r="AU267" i="2" s="1"/>
  <c r="AZ269" i="4"/>
  <c r="BA267" i="2" s="1"/>
  <c r="BF269" i="4"/>
  <c r="BG267" i="2" s="1"/>
  <c r="D269" i="4"/>
  <c r="E267" i="2" s="1"/>
  <c r="AH269" i="4"/>
  <c r="AI267" i="2" s="1"/>
  <c r="BI269" i="4"/>
  <c r="BJ267" i="2" s="1"/>
  <c r="U269" i="4"/>
  <c r="V267" i="2" s="1"/>
  <c r="AE269" i="4"/>
  <c r="AF267" i="2" s="1"/>
  <c r="BE269" i="4"/>
  <c r="BF267" i="2" s="1"/>
  <c r="AC269" i="4"/>
  <c r="AD267" i="2" s="1"/>
  <c r="BA269" i="4"/>
  <c r="BB267" i="2" s="1"/>
  <c r="I269" i="4"/>
  <c r="J267" i="2" s="1"/>
  <c r="O269" i="4"/>
  <c r="P267" i="2" s="1"/>
  <c r="W269" i="4"/>
  <c r="X267" i="2" s="1"/>
  <c r="AB269" i="4"/>
  <c r="AC267" i="2" s="1"/>
  <c r="AP269" i="4"/>
  <c r="AQ267" i="2" s="1"/>
  <c r="BC269" i="4"/>
  <c r="BD267" i="2" s="1"/>
  <c r="BH269" i="4"/>
  <c r="BI267" i="2" s="1"/>
  <c r="K269" i="4"/>
  <c r="L267" i="2" s="1"/>
  <c r="M269" i="4"/>
  <c r="N267" i="2" s="1"/>
  <c r="Q269" i="4"/>
  <c r="R267" i="2" s="1"/>
  <c r="X269" i="4"/>
  <c r="Y267" i="2" s="1"/>
  <c r="AJ269" i="4"/>
  <c r="AK267" i="2" s="1"/>
  <c r="AY269" i="4"/>
  <c r="AZ267" i="2" s="1"/>
  <c r="BG269" i="4"/>
  <c r="BH267" i="2" s="1"/>
  <c r="C269" i="4"/>
  <c r="E269" i="4"/>
  <c r="F267" i="2" s="1"/>
  <c r="J269" i="4"/>
  <c r="K267" i="2" s="1"/>
  <c r="L269" i="4"/>
  <c r="M267" i="2" s="1"/>
  <c r="N269" i="4"/>
  <c r="O267" i="2" s="1"/>
  <c r="Z269" i="4"/>
  <c r="AA267" i="2" s="1"/>
  <c r="AF269" i="4"/>
  <c r="AG267" i="2" s="1"/>
  <c r="AM269" i="4"/>
  <c r="AN267" i="2" s="1"/>
  <c r="AO269" i="4"/>
  <c r="AP267" i="2" s="1"/>
  <c r="AQ269" i="4"/>
  <c r="AR267" i="2" s="1"/>
  <c r="AS269" i="4"/>
  <c r="AT267" i="2" s="1"/>
  <c r="AV269" i="4"/>
  <c r="AW267" i="2" s="1"/>
  <c r="AX269" i="4"/>
  <c r="AY267" i="2" s="1"/>
  <c r="BB269" i="4"/>
  <c r="BC267" i="2" s="1"/>
  <c r="F269" i="4"/>
  <c r="G267" i="2" s="1"/>
  <c r="R269" i="4"/>
  <c r="AG269" i="4"/>
  <c r="AH267" i="2" s="1"/>
  <c r="H269" i="4"/>
  <c r="I267" i="2" s="1"/>
  <c r="P269" i="4"/>
  <c r="Q267" i="2" s="1"/>
  <c r="S269" i="4"/>
  <c r="T267" i="2" s="1"/>
  <c r="AA269" i="4"/>
  <c r="AB267" i="2" s="1"/>
  <c r="AI269" i="4"/>
  <c r="AJ267" i="2" s="1"/>
  <c r="AL269" i="4"/>
  <c r="AM267" i="2" s="1"/>
  <c r="AN269" i="4"/>
  <c r="AO267" i="2" s="1"/>
  <c r="AR269" i="4"/>
  <c r="AS267" i="2" s="1"/>
  <c r="AU269" i="4"/>
  <c r="AV267" i="2" s="1"/>
  <c r="AW269" i="4"/>
  <c r="AX267" i="2" s="1"/>
  <c r="BD269" i="4"/>
  <c r="BE267" i="2" s="1"/>
  <c r="BJ269" i="4"/>
  <c r="BK267" i="2" s="1"/>
  <c r="N268" i="4"/>
  <c r="O225" i="2" s="1"/>
  <c r="W268" i="4"/>
  <c r="X225" i="2" s="1"/>
  <c r="AT268" i="4"/>
  <c r="AU225" i="2" s="1"/>
  <c r="V268" i="4"/>
  <c r="W225" i="2" s="1"/>
  <c r="AC268" i="4"/>
  <c r="AD225" i="2" s="1"/>
  <c r="AN268" i="4"/>
  <c r="AO225" i="2" s="1"/>
  <c r="AQ268" i="4"/>
  <c r="AR225" i="2" s="1"/>
  <c r="AX268" i="4"/>
  <c r="AY225" i="2" s="1"/>
  <c r="R268" i="4"/>
  <c r="AR268" i="4"/>
  <c r="AS225" i="2" s="1"/>
  <c r="BG268" i="4"/>
  <c r="BH225" i="2" s="1"/>
  <c r="K268" i="4"/>
  <c r="L225" i="2" s="1"/>
  <c r="AO268" i="4"/>
  <c r="AP225" i="2" s="1"/>
  <c r="AU268" i="4"/>
  <c r="AV225" i="2" s="1"/>
  <c r="J268" i="4"/>
  <c r="K225" i="2" s="1"/>
  <c r="AA268" i="4"/>
  <c r="AB225" i="2" s="1"/>
  <c r="AF268" i="4"/>
  <c r="AG225" i="2" s="1"/>
  <c r="AK268" i="4"/>
  <c r="AL225" i="2" s="1"/>
  <c r="AP268" i="4"/>
  <c r="AQ225" i="2" s="1"/>
  <c r="AW268" i="4"/>
  <c r="AX225" i="2" s="1"/>
  <c r="E268" i="4"/>
  <c r="F225" i="2" s="1"/>
  <c r="G268" i="4"/>
  <c r="H225" i="2" s="1"/>
  <c r="I268" i="4"/>
  <c r="J225" i="2" s="1"/>
  <c r="L268" i="4"/>
  <c r="M225" i="2" s="1"/>
  <c r="U268" i="4"/>
  <c r="V225" i="2" s="1"/>
  <c r="AB268" i="4"/>
  <c r="AC225" i="2" s="1"/>
  <c r="AM268" i="4"/>
  <c r="AN225" i="2" s="1"/>
  <c r="BA268" i="4"/>
  <c r="BB225" i="2" s="1"/>
  <c r="BE268" i="4"/>
  <c r="BF225" i="2" s="1"/>
  <c r="BH268" i="4"/>
  <c r="BI225" i="2" s="1"/>
  <c r="BJ268" i="4"/>
  <c r="BK225" i="2" s="1"/>
  <c r="C268" i="4"/>
  <c r="F268" i="4"/>
  <c r="G225" i="2" s="1"/>
  <c r="P268" i="4"/>
  <c r="Q268" i="4"/>
  <c r="S268" i="4"/>
  <c r="X268" i="4"/>
  <c r="Y225" i="2" s="1"/>
  <c r="Z268" i="4"/>
  <c r="AA225" i="2" s="1"/>
  <c r="AE268" i="4"/>
  <c r="AF225" i="2" s="1"/>
  <c r="AH268" i="4"/>
  <c r="AI225" i="2" s="1"/>
  <c r="AJ268" i="4"/>
  <c r="AK225" i="2" s="1"/>
  <c r="AL268" i="4"/>
  <c r="AM225" i="2" s="1"/>
  <c r="AS268" i="4"/>
  <c r="AT225" i="2" s="1"/>
  <c r="AV268" i="4"/>
  <c r="AW225" i="2" s="1"/>
  <c r="AZ268" i="4"/>
  <c r="BA225" i="2" s="1"/>
  <c r="BC268" i="4"/>
  <c r="BD225" i="2" s="1"/>
  <c r="BF268" i="4"/>
  <c r="BG225" i="2" s="1"/>
  <c r="BI268" i="4"/>
  <c r="BJ225" i="2" s="1"/>
  <c r="AD268" i="4"/>
  <c r="AE225" i="2" s="1"/>
  <c r="D268" i="4"/>
  <c r="E225" i="2" s="1"/>
  <c r="H268" i="4"/>
  <c r="I225" i="2" s="1"/>
  <c r="M268" i="4"/>
  <c r="N225" i="2" s="1"/>
  <c r="O268" i="4"/>
  <c r="P225" i="2" s="1"/>
  <c r="T268" i="4"/>
  <c r="U225" i="2" s="1"/>
  <c r="Y268" i="4"/>
  <c r="Z225" i="2" s="1"/>
  <c r="AG268" i="4"/>
  <c r="AH225" i="2" s="1"/>
  <c r="AI268" i="4"/>
  <c r="AJ225" i="2" s="1"/>
  <c r="AY268" i="4"/>
  <c r="AZ225" i="2" s="1"/>
  <c r="BB268" i="4"/>
  <c r="BC225" i="2" s="1"/>
  <c r="BD268" i="4"/>
  <c r="BE225" i="2" s="1"/>
  <c r="R267" i="4"/>
  <c r="S72" i="2" s="1"/>
  <c r="W267" i="4"/>
  <c r="X72" i="2" s="1"/>
  <c r="AF267" i="4"/>
  <c r="AG72" i="2" s="1"/>
  <c r="AJ267" i="4"/>
  <c r="AK72" i="2" s="1"/>
  <c r="AS267" i="4"/>
  <c r="AT72" i="2" s="1"/>
  <c r="AW267" i="4"/>
  <c r="AX72" i="2" s="1"/>
  <c r="BE267" i="4"/>
  <c r="BF72" i="2" s="1"/>
  <c r="BG267" i="4"/>
  <c r="BH72" i="2" s="1"/>
  <c r="J267" i="4"/>
  <c r="K72" i="2" s="1"/>
  <c r="AM267" i="4"/>
  <c r="AN72" i="2" s="1"/>
  <c r="I267" i="4"/>
  <c r="J72" i="2" s="1"/>
  <c r="AD267" i="4"/>
  <c r="AE72" i="2" s="1"/>
  <c r="AI267" i="4"/>
  <c r="AJ72" i="2" s="1"/>
  <c r="AR267" i="4"/>
  <c r="AS72" i="2" s="1"/>
  <c r="AX267" i="4"/>
  <c r="AY72" i="2" s="1"/>
  <c r="T267" i="4"/>
  <c r="U72" i="2" s="1"/>
  <c r="AU267" i="4"/>
  <c r="AV72" i="2" s="1"/>
  <c r="C267" i="4"/>
  <c r="H267" i="4"/>
  <c r="I72" i="2" s="1"/>
  <c r="AB267" i="4"/>
  <c r="AC72" i="2" s="1"/>
  <c r="AN267" i="4"/>
  <c r="AO72" i="2" s="1"/>
  <c r="AZ267" i="4"/>
  <c r="BA72" i="2" s="1"/>
  <c r="F267" i="4"/>
  <c r="G72" i="2" s="1"/>
  <c r="L267" i="4"/>
  <c r="M72" i="2" s="1"/>
  <c r="N267" i="4"/>
  <c r="O72" i="2" s="1"/>
  <c r="S267" i="4"/>
  <c r="T72" i="2" s="1"/>
  <c r="U267" i="4"/>
  <c r="V72" i="2" s="1"/>
  <c r="X267" i="4"/>
  <c r="Y72" i="2" s="1"/>
  <c r="AE267" i="4"/>
  <c r="AF72" i="2" s="1"/>
  <c r="AL267" i="4"/>
  <c r="AM72" i="2" s="1"/>
  <c r="AO267" i="4"/>
  <c r="AP72" i="2" s="1"/>
  <c r="AT267" i="4"/>
  <c r="AU72" i="2" s="1"/>
  <c r="BA267" i="4"/>
  <c r="BB72" i="2" s="1"/>
  <c r="BF267" i="4"/>
  <c r="BG72" i="2" s="1"/>
  <c r="BJ267" i="4"/>
  <c r="BK72" i="2" s="1"/>
  <c r="E267" i="4"/>
  <c r="F72" i="2" s="1"/>
  <c r="K267" i="4"/>
  <c r="L72" i="2" s="1"/>
  <c r="O267" i="4"/>
  <c r="P72" i="2" s="1"/>
  <c r="Q267" i="4"/>
  <c r="R72" i="2" s="1"/>
  <c r="Y267" i="4"/>
  <c r="Z72" i="2" s="1"/>
  <c r="AH267" i="4"/>
  <c r="AI72" i="2" s="1"/>
  <c r="AY267" i="4"/>
  <c r="AZ72" i="2" s="1"/>
  <c r="BB267" i="4"/>
  <c r="BC72" i="2" s="1"/>
  <c r="BI267" i="4"/>
  <c r="BJ72" i="2" s="1"/>
  <c r="AA267" i="4"/>
  <c r="AB72" i="2" s="1"/>
  <c r="BC267" i="4"/>
  <c r="BD72" i="2" s="1"/>
  <c r="D267" i="4"/>
  <c r="E72" i="2" s="1"/>
  <c r="G267" i="4"/>
  <c r="H72" i="2" s="1"/>
  <c r="M267" i="4"/>
  <c r="N72" i="2" s="1"/>
  <c r="P267" i="4"/>
  <c r="Q72" i="2" s="1"/>
  <c r="V267" i="4"/>
  <c r="W72" i="2" s="1"/>
  <c r="Z267" i="4"/>
  <c r="AA72" i="2" s="1"/>
  <c r="AC267" i="4"/>
  <c r="AD72" i="2" s="1"/>
  <c r="AG267" i="4"/>
  <c r="AH72" i="2" s="1"/>
  <c r="AK267" i="4"/>
  <c r="AL72" i="2" s="1"/>
  <c r="AP267" i="4"/>
  <c r="AQ72" i="2" s="1"/>
  <c r="AQ267" i="4"/>
  <c r="AR72" i="2" s="1"/>
  <c r="AV267" i="4"/>
  <c r="AW72" i="2" s="1"/>
  <c r="BD267" i="4"/>
  <c r="BE72" i="2" s="1"/>
  <c r="BH267" i="4"/>
  <c r="BI72" i="2" s="1"/>
  <c r="E266" i="4"/>
  <c r="F171" i="2" s="1"/>
  <c r="T266" i="4"/>
  <c r="U171" i="2" s="1"/>
  <c r="X266" i="4"/>
  <c r="Y171" i="2" s="1"/>
  <c r="AD266" i="4"/>
  <c r="AE171" i="2" s="1"/>
  <c r="AL266" i="4"/>
  <c r="AM171" i="2" s="1"/>
  <c r="AP266" i="4"/>
  <c r="AQ171" i="2" s="1"/>
  <c r="AV266" i="4"/>
  <c r="AW171" i="2" s="1"/>
  <c r="BE266" i="4"/>
  <c r="BF171" i="2" s="1"/>
  <c r="P266" i="4"/>
  <c r="Q171" i="2" s="1"/>
  <c r="BB266" i="4"/>
  <c r="BC171" i="2" s="1"/>
  <c r="BH266" i="4"/>
  <c r="BI171" i="2" s="1"/>
  <c r="R266" i="4"/>
  <c r="S171" i="2" s="1"/>
  <c r="AE266" i="4"/>
  <c r="AF171" i="2" s="1"/>
  <c r="AR266" i="4"/>
  <c r="AS171" i="2" s="1"/>
  <c r="O266" i="4"/>
  <c r="W266" i="4"/>
  <c r="X171" i="2" s="1"/>
  <c r="AA266" i="4"/>
  <c r="AB171" i="2" s="1"/>
  <c r="AH266" i="4"/>
  <c r="AI171" i="2" s="1"/>
  <c r="AO266" i="4"/>
  <c r="AP171" i="2" s="1"/>
  <c r="AS266" i="4"/>
  <c r="AT171" i="2" s="1"/>
  <c r="AX266" i="4"/>
  <c r="AY171" i="2" s="1"/>
  <c r="D266" i="4"/>
  <c r="E171" i="2" s="1"/>
  <c r="H266" i="4"/>
  <c r="I171" i="2" s="1"/>
  <c r="J266" i="4"/>
  <c r="K171" i="2" s="1"/>
  <c r="L266" i="4"/>
  <c r="M171" i="2" s="1"/>
  <c r="S266" i="4"/>
  <c r="T171" i="2" s="1"/>
  <c r="AY266" i="4"/>
  <c r="AZ171" i="2" s="1"/>
  <c r="G266" i="4"/>
  <c r="H171" i="2" s="1"/>
  <c r="K266" i="4"/>
  <c r="L171" i="2" s="1"/>
  <c r="U266" i="4"/>
  <c r="V171" i="2" s="1"/>
  <c r="Y266" i="4"/>
  <c r="Z171" i="2" s="1"/>
  <c r="AB266" i="4"/>
  <c r="AC171" i="2" s="1"/>
  <c r="AG266" i="4"/>
  <c r="AH171" i="2" s="1"/>
  <c r="AK266" i="4"/>
  <c r="AL171" i="2" s="1"/>
  <c r="AN266" i="4"/>
  <c r="AO171" i="2" s="1"/>
  <c r="AQ266" i="4"/>
  <c r="AR171" i="2" s="1"/>
  <c r="AU266" i="4"/>
  <c r="AV171" i="2" s="1"/>
  <c r="BC266" i="4"/>
  <c r="BD171" i="2" s="1"/>
  <c r="BG266" i="4"/>
  <c r="BH171" i="2" s="1"/>
  <c r="BJ266" i="4"/>
  <c r="BK171" i="2" s="1"/>
  <c r="N266" i="4"/>
  <c r="AJ266" i="4"/>
  <c r="AK171" i="2" s="1"/>
  <c r="AZ266" i="4"/>
  <c r="BA171" i="2" s="1"/>
  <c r="C266" i="4"/>
  <c r="F266" i="4"/>
  <c r="G171" i="2" s="1"/>
  <c r="I266" i="4"/>
  <c r="J171" i="2" s="1"/>
  <c r="M266" i="4"/>
  <c r="N171" i="2" s="1"/>
  <c r="Q266" i="4"/>
  <c r="R171" i="2" s="1"/>
  <c r="V266" i="4"/>
  <c r="W171" i="2" s="1"/>
  <c r="Z266" i="4"/>
  <c r="AA171" i="2" s="1"/>
  <c r="AC266" i="4"/>
  <c r="AD171" i="2" s="1"/>
  <c r="AF266" i="4"/>
  <c r="AG171" i="2" s="1"/>
  <c r="AI266" i="4"/>
  <c r="AJ171" i="2" s="1"/>
  <c r="AM266" i="4"/>
  <c r="AN171" i="2" s="1"/>
  <c r="AT266" i="4"/>
  <c r="AU171" i="2" s="1"/>
  <c r="AW266" i="4"/>
  <c r="AX171" i="2" s="1"/>
  <c r="BA266" i="4"/>
  <c r="BB171" i="2" s="1"/>
  <c r="BD266" i="4"/>
  <c r="BE171" i="2" s="1"/>
  <c r="BF266" i="4"/>
  <c r="BG171" i="2" s="1"/>
  <c r="BI266" i="4"/>
  <c r="BJ171" i="2" s="1"/>
  <c r="H265" i="4"/>
  <c r="I273" i="2" s="1"/>
  <c r="AQ265" i="4"/>
  <c r="AR273" i="2" s="1"/>
  <c r="BB265" i="4"/>
  <c r="BC273" i="2" s="1"/>
  <c r="BF265" i="4"/>
  <c r="BG273" i="2" s="1"/>
  <c r="BI265" i="4"/>
  <c r="BJ273" i="2" s="1"/>
  <c r="V265" i="4"/>
  <c r="W273" i="2" s="1"/>
  <c r="K265" i="4"/>
  <c r="L273" i="2" s="1"/>
  <c r="R265" i="4"/>
  <c r="AA265" i="4"/>
  <c r="AB273" i="2" s="1"/>
  <c r="BA265" i="4"/>
  <c r="BB273" i="2" s="1"/>
  <c r="J265" i="4"/>
  <c r="K273" i="2" s="1"/>
  <c r="U265" i="4"/>
  <c r="V273" i="2" s="1"/>
  <c r="AH265" i="4"/>
  <c r="AI273" i="2" s="1"/>
  <c r="AP265" i="4"/>
  <c r="AQ273" i="2" s="1"/>
  <c r="BC265" i="4"/>
  <c r="BD273" i="2" s="1"/>
  <c r="D265" i="4"/>
  <c r="E273" i="2" s="1"/>
  <c r="I265" i="4"/>
  <c r="J273" i="2" s="1"/>
  <c r="N265" i="4"/>
  <c r="O273" i="2" s="1"/>
  <c r="P265" i="4"/>
  <c r="Q273" i="2" s="1"/>
  <c r="W265" i="4"/>
  <c r="X273" i="2" s="1"/>
  <c r="X265" i="4"/>
  <c r="Y273" i="2" s="1"/>
  <c r="Z265" i="4"/>
  <c r="AA273" i="2" s="1"/>
  <c r="AC265" i="4"/>
  <c r="AD273" i="2" s="1"/>
  <c r="AF265" i="4"/>
  <c r="AG273" i="2" s="1"/>
  <c r="AI265" i="4"/>
  <c r="AJ273" i="2" s="1"/>
  <c r="AK265" i="4"/>
  <c r="AL273" i="2" s="1"/>
  <c r="AL265" i="4"/>
  <c r="AM273" i="2" s="1"/>
  <c r="AT265" i="4"/>
  <c r="AU273" i="2" s="1"/>
  <c r="AV265" i="4"/>
  <c r="AW273" i="2" s="1"/>
  <c r="AX265" i="4"/>
  <c r="AY273" i="2" s="1"/>
  <c r="BG265" i="4"/>
  <c r="BH273" i="2" s="1"/>
  <c r="C265" i="4"/>
  <c r="E265" i="4"/>
  <c r="F273" i="2" s="1"/>
  <c r="G265" i="4"/>
  <c r="H273" i="2" s="1"/>
  <c r="O265" i="4"/>
  <c r="P273" i="2" s="1"/>
  <c r="S265" i="4"/>
  <c r="Y265" i="4"/>
  <c r="Z273" i="2" s="1"/>
  <c r="AB265" i="4"/>
  <c r="AC273" i="2" s="1"/>
  <c r="AD265" i="4"/>
  <c r="AE273" i="2" s="1"/>
  <c r="AG265" i="4"/>
  <c r="AH273" i="2" s="1"/>
  <c r="AM265" i="4"/>
  <c r="AN273" i="2" s="1"/>
  <c r="AR265" i="4"/>
  <c r="AS273" i="2" s="1"/>
  <c r="AS265" i="4"/>
  <c r="AT273" i="2" s="1"/>
  <c r="AU265" i="4"/>
  <c r="AV273" i="2" s="1"/>
  <c r="AW265" i="4"/>
  <c r="AX273" i="2" s="1"/>
  <c r="AZ265" i="4"/>
  <c r="BA273" i="2" s="1"/>
  <c r="BD265" i="4"/>
  <c r="BE273" i="2" s="1"/>
  <c r="M265" i="4"/>
  <c r="N273" i="2" s="1"/>
  <c r="AN265" i="4"/>
  <c r="AO273" i="2" s="1"/>
  <c r="BE265" i="4"/>
  <c r="BF273" i="2" s="1"/>
  <c r="F265" i="4"/>
  <c r="G273" i="2" s="1"/>
  <c r="L265" i="4"/>
  <c r="M273" i="2" s="1"/>
  <c r="Q265" i="4"/>
  <c r="R273" i="2" s="1"/>
  <c r="T265" i="4"/>
  <c r="U273" i="2" s="1"/>
  <c r="AE265" i="4"/>
  <c r="AF273" i="2" s="1"/>
  <c r="AJ265" i="4"/>
  <c r="AK273" i="2" s="1"/>
  <c r="AO265" i="4"/>
  <c r="AP273" i="2" s="1"/>
  <c r="AY265" i="4"/>
  <c r="AZ273" i="2" s="1"/>
  <c r="BH265" i="4"/>
  <c r="BI273" i="2" s="1"/>
  <c r="BJ265" i="4"/>
  <c r="BK273" i="2" s="1"/>
  <c r="H264" i="4"/>
  <c r="I141" i="2" s="1"/>
  <c r="R264" i="4"/>
  <c r="S141" i="2" s="1"/>
  <c r="X264" i="4"/>
  <c r="Y141" i="2" s="1"/>
  <c r="AH264" i="4"/>
  <c r="AI141" i="2" s="1"/>
  <c r="AT264" i="4"/>
  <c r="AU141" i="2" s="1"/>
  <c r="BC264" i="4"/>
  <c r="BD141" i="2" s="1"/>
  <c r="BJ264" i="4"/>
  <c r="BK141" i="2" s="1"/>
  <c r="AC264" i="4"/>
  <c r="AD141" i="2" s="1"/>
  <c r="AX264" i="4"/>
  <c r="AY141" i="2" s="1"/>
  <c r="BE264" i="4"/>
  <c r="BF141" i="2" s="1"/>
  <c r="C264" i="4"/>
  <c r="M264" i="4"/>
  <c r="AP264" i="4"/>
  <c r="AQ141" i="2" s="1"/>
  <c r="J264" i="4"/>
  <c r="BB264" i="4"/>
  <c r="BC141" i="2" s="1"/>
  <c r="G264" i="4"/>
  <c r="H141" i="2" s="1"/>
  <c r="K264" i="4"/>
  <c r="Q264" i="4"/>
  <c r="R141" i="2" s="1"/>
  <c r="V264" i="4"/>
  <c r="W141" i="2" s="1"/>
  <c r="AD264" i="4"/>
  <c r="AE141" i="2" s="1"/>
  <c r="AJ264" i="4"/>
  <c r="AK141" i="2" s="1"/>
  <c r="AR264" i="4"/>
  <c r="AS141" i="2" s="1"/>
  <c r="AV264" i="4"/>
  <c r="AW141" i="2" s="1"/>
  <c r="AY264" i="4"/>
  <c r="AZ141" i="2" s="1"/>
  <c r="BG264" i="4"/>
  <c r="BH141" i="2" s="1"/>
  <c r="F264" i="4"/>
  <c r="G141" i="2" s="1"/>
  <c r="L264" i="4"/>
  <c r="O264" i="4"/>
  <c r="P141" i="2" s="1"/>
  <c r="U264" i="4"/>
  <c r="V141" i="2" s="1"/>
  <c r="AB264" i="4"/>
  <c r="AC141" i="2" s="1"/>
  <c r="AG264" i="4"/>
  <c r="AH141" i="2" s="1"/>
  <c r="AI264" i="4"/>
  <c r="AJ141" i="2" s="1"/>
  <c r="AK264" i="4"/>
  <c r="AL141" i="2" s="1"/>
  <c r="AQ264" i="4"/>
  <c r="AR141" i="2" s="1"/>
  <c r="AW264" i="4"/>
  <c r="AX141" i="2" s="1"/>
  <c r="BD264" i="4"/>
  <c r="BE141" i="2" s="1"/>
  <c r="BH264" i="4"/>
  <c r="BI141" i="2" s="1"/>
  <c r="D264" i="4"/>
  <c r="E141" i="2" s="1"/>
  <c r="I264" i="4"/>
  <c r="P264" i="4"/>
  <c r="Q141" i="2" s="1"/>
  <c r="T264" i="4"/>
  <c r="U141" i="2" s="1"/>
  <c r="W264" i="4"/>
  <c r="X141" i="2" s="1"/>
  <c r="AA264" i="4"/>
  <c r="AB141" i="2" s="1"/>
  <c r="AE264" i="4"/>
  <c r="AF141" i="2" s="1"/>
  <c r="AO264" i="4"/>
  <c r="AP141" i="2" s="1"/>
  <c r="AU264" i="4"/>
  <c r="AV141" i="2" s="1"/>
  <c r="BA264" i="4"/>
  <c r="BB141" i="2" s="1"/>
  <c r="BI264" i="4"/>
  <c r="BJ141" i="2" s="1"/>
  <c r="S264" i="4"/>
  <c r="T141" i="2" s="1"/>
  <c r="Z264" i="4"/>
  <c r="AA141" i="2" s="1"/>
  <c r="AL264" i="4"/>
  <c r="AM141" i="2" s="1"/>
  <c r="E264" i="4"/>
  <c r="F141" i="2" s="1"/>
  <c r="N264" i="4"/>
  <c r="O141" i="2" s="1"/>
  <c r="Y264" i="4"/>
  <c r="Z141" i="2" s="1"/>
  <c r="AF264" i="4"/>
  <c r="AG141" i="2" s="1"/>
  <c r="AM264" i="4"/>
  <c r="AN141" i="2" s="1"/>
  <c r="AN264" i="4"/>
  <c r="AO141" i="2" s="1"/>
  <c r="AS264" i="4"/>
  <c r="AT141" i="2" s="1"/>
  <c r="AZ264" i="4"/>
  <c r="BA141" i="2" s="1"/>
  <c r="BF264" i="4"/>
  <c r="BG141" i="2" s="1"/>
  <c r="C263" i="4"/>
  <c r="W263" i="4"/>
  <c r="X90" i="2" s="1"/>
  <c r="AM263" i="4"/>
  <c r="AN90" i="2" s="1"/>
  <c r="AU263" i="4"/>
  <c r="AV90" i="2" s="1"/>
  <c r="BD263" i="4"/>
  <c r="BE90" i="2" s="1"/>
  <c r="G263" i="4"/>
  <c r="U263" i="4"/>
  <c r="V90" i="2" s="1"/>
  <c r="AI263" i="4"/>
  <c r="AJ90" i="2" s="1"/>
  <c r="AP263" i="4"/>
  <c r="AQ90" i="2" s="1"/>
  <c r="AZ263" i="4"/>
  <c r="BA90" i="2" s="1"/>
  <c r="BG263" i="4"/>
  <c r="BH90" i="2" s="1"/>
  <c r="AE263" i="4"/>
  <c r="AF90" i="2" s="1"/>
  <c r="AV263" i="4"/>
  <c r="AW90" i="2" s="1"/>
  <c r="E263" i="4"/>
  <c r="BC263" i="4"/>
  <c r="BD90" i="2" s="1"/>
  <c r="D263" i="4"/>
  <c r="J263" i="4"/>
  <c r="Y263" i="4"/>
  <c r="Z90" i="2" s="1"/>
  <c r="AC263" i="4"/>
  <c r="AD90" i="2" s="1"/>
  <c r="AQ263" i="4"/>
  <c r="AR90" i="2" s="1"/>
  <c r="BA263" i="4"/>
  <c r="BB90" i="2" s="1"/>
  <c r="M263" i="4"/>
  <c r="N90" i="2" s="1"/>
  <c r="O263" i="4"/>
  <c r="P90" i="2" s="1"/>
  <c r="V263" i="4"/>
  <c r="W90" i="2" s="1"/>
  <c r="Z263" i="4"/>
  <c r="AA90" i="2" s="1"/>
  <c r="AB263" i="4"/>
  <c r="AC90" i="2" s="1"/>
  <c r="AD263" i="4"/>
  <c r="AE90" i="2" s="1"/>
  <c r="AJ263" i="4"/>
  <c r="AK90" i="2" s="1"/>
  <c r="AT263" i="4"/>
  <c r="AU90" i="2" s="1"/>
  <c r="BF263" i="4"/>
  <c r="BG90" i="2" s="1"/>
  <c r="BH263" i="4"/>
  <c r="BI90" i="2" s="1"/>
  <c r="H263" i="4"/>
  <c r="L263" i="4"/>
  <c r="M90" i="2" s="1"/>
  <c r="P263" i="4"/>
  <c r="Q90" i="2" s="1"/>
  <c r="R263" i="4"/>
  <c r="S90" i="2" s="1"/>
  <c r="AF263" i="4"/>
  <c r="AG90" i="2" s="1"/>
  <c r="AH263" i="4"/>
  <c r="AI90" i="2" s="1"/>
  <c r="AK263" i="4"/>
  <c r="AL90" i="2" s="1"/>
  <c r="AO263" i="4"/>
  <c r="AP90" i="2" s="1"/>
  <c r="AR263" i="4"/>
  <c r="AS90" i="2" s="1"/>
  <c r="AX263" i="4"/>
  <c r="AY90" i="2" s="1"/>
  <c r="BB263" i="4"/>
  <c r="BC90" i="2" s="1"/>
  <c r="BJ263" i="4"/>
  <c r="BK90" i="2" s="1"/>
  <c r="I263" i="4"/>
  <c r="S263" i="4"/>
  <c r="T90" i="2" s="1"/>
  <c r="AY263" i="4"/>
  <c r="AZ90" i="2" s="1"/>
  <c r="F263" i="4"/>
  <c r="K263" i="4"/>
  <c r="N263" i="4"/>
  <c r="O90" i="2" s="1"/>
  <c r="Q263" i="4"/>
  <c r="R90" i="2" s="1"/>
  <c r="T263" i="4"/>
  <c r="U90" i="2" s="1"/>
  <c r="X263" i="4"/>
  <c r="Y90" i="2" s="1"/>
  <c r="AA263" i="4"/>
  <c r="AB90" i="2" s="1"/>
  <c r="AG263" i="4"/>
  <c r="AH90" i="2" s="1"/>
  <c r="AL263" i="4"/>
  <c r="AM90" i="2" s="1"/>
  <c r="AN263" i="4"/>
  <c r="AO90" i="2" s="1"/>
  <c r="AS263" i="4"/>
  <c r="AT90" i="2" s="1"/>
  <c r="AW263" i="4"/>
  <c r="AX90" i="2" s="1"/>
  <c r="BE263" i="4"/>
  <c r="BF90" i="2" s="1"/>
  <c r="BI263" i="4"/>
  <c r="BJ90" i="2" s="1"/>
  <c r="P262" i="4"/>
  <c r="Q84" i="2" s="1"/>
  <c r="W262" i="4"/>
  <c r="X84" i="2" s="1"/>
  <c r="AA262" i="4"/>
  <c r="AB84" i="2" s="1"/>
  <c r="AG262" i="4"/>
  <c r="AH84" i="2" s="1"/>
  <c r="AM262" i="4"/>
  <c r="AN84" i="2" s="1"/>
  <c r="BD262" i="4"/>
  <c r="BE84" i="2" s="1"/>
  <c r="D262" i="4"/>
  <c r="AL262" i="4"/>
  <c r="AM84" i="2" s="1"/>
  <c r="AZ262" i="4"/>
  <c r="BA84" i="2" s="1"/>
  <c r="AI262" i="4"/>
  <c r="AJ84" i="2" s="1"/>
  <c r="G262" i="4"/>
  <c r="H84" i="2" s="1"/>
  <c r="U262" i="4"/>
  <c r="V84" i="2" s="1"/>
  <c r="I262" i="4"/>
  <c r="J84" i="2" s="1"/>
  <c r="L262" i="4"/>
  <c r="M84" i="2" s="1"/>
  <c r="T262" i="4"/>
  <c r="U84" i="2" s="1"/>
  <c r="AC262" i="4"/>
  <c r="AD84" i="2" s="1"/>
  <c r="AJ262" i="4"/>
  <c r="AK84" i="2" s="1"/>
  <c r="AQ262" i="4"/>
  <c r="AR84" i="2" s="1"/>
  <c r="AW262" i="4"/>
  <c r="AX84" i="2" s="1"/>
  <c r="C262" i="4"/>
  <c r="E262" i="4"/>
  <c r="F84" i="2" s="1"/>
  <c r="K262" i="4"/>
  <c r="L84" i="2" s="1"/>
  <c r="S262" i="4"/>
  <c r="T84" i="2" s="1"/>
  <c r="Z262" i="4"/>
  <c r="AA84" i="2" s="1"/>
  <c r="AB262" i="4"/>
  <c r="AC84" i="2" s="1"/>
  <c r="AE262" i="4"/>
  <c r="AF84" i="2" s="1"/>
  <c r="AH262" i="4"/>
  <c r="AI84" i="2" s="1"/>
  <c r="AN262" i="4"/>
  <c r="AO84" i="2" s="1"/>
  <c r="AT262" i="4"/>
  <c r="AU84" i="2" s="1"/>
  <c r="BB262" i="4"/>
  <c r="BC84" i="2" s="1"/>
  <c r="BF262" i="4"/>
  <c r="BG84" i="2" s="1"/>
  <c r="BH262" i="4"/>
  <c r="BI84" i="2" s="1"/>
  <c r="BI262" i="4"/>
  <c r="BJ84" i="2" s="1"/>
  <c r="M262" i="4"/>
  <c r="N84" i="2" s="1"/>
  <c r="R262" i="4"/>
  <c r="S84" i="2" s="1"/>
  <c r="V262" i="4"/>
  <c r="W84" i="2" s="1"/>
  <c r="X262" i="4"/>
  <c r="Y84" i="2" s="1"/>
  <c r="AF262" i="4"/>
  <c r="AG84" i="2" s="1"/>
  <c r="AK262" i="4"/>
  <c r="AL84" i="2" s="1"/>
  <c r="AP262" i="4"/>
  <c r="AQ84" i="2" s="1"/>
  <c r="AR262" i="4"/>
  <c r="AS84" i="2" s="1"/>
  <c r="AX262" i="4"/>
  <c r="AY84" i="2" s="1"/>
  <c r="BA262" i="4"/>
  <c r="BB84" i="2" s="1"/>
  <c r="BG262" i="4"/>
  <c r="BH84" i="2" s="1"/>
  <c r="BJ262" i="4"/>
  <c r="BK84" i="2" s="1"/>
  <c r="N262" i="4"/>
  <c r="O84" i="2" s="1"/>
  <c r="Q262" i="4"/>
  <c r="R84" i="2" s="1"/>
  <c r="F262" i="4"/>
  <c r="G84" i="2" s="1"/>
  <c r="H262" i="4"/>
  <c r="I84" i="2" s="1"/>
  <c r="J262" i="4"/>
  <c r="K84" i="2" s="1"/>
  <c r="O262" i="4"/>
  <c r="P84" i="2" s="1"/>
  <c r="Y262" i="4"/>
  <c r="Z84" i="2" s="1"/>
  <c r="AD262" i="4"/>
  <c r="AE84" i="2" s="1"/>
  <c r="AO262" i="4"/>
  <c r="AP84" i="2" s="1"/>
  <c r="AS262" i="4"/>
  <c r="AT84" i="2" s="1"/>
  <c r="AU262" i="4"/>
  <c r="AV84" i="2" s="1"/>
  <c r="AV262" i="4"/>
  <c r="AW84" i="2" s="1"/>
  <c r="AY262" i="4"/>
  <c r="AZ84" i="2" s="1"/>
  <c r="BC262" i="4"/>
  <c r="BD84" i="2" s="1"/>
  <c r="BE262" i="4"/>
  <c r="BF84" i="2" s="1"/>
  <c r="K261" i="4"/>
  <c r="L183" i="2" s="1"/>
  <c r="P261" i="4"/>
  <c r="Q183" i="2" s="1"/>
  <c r="U261" i="4"/>
  <c r="V183" i="2" s="1"/>
  <c r="AC261" i="4"/>
  <c r="AD183" i="2" s="1"/>
  <c r="AF261" i="4"/>
  <c r="AG183" i="2" s="1"/>
  <c r="AK261" i="4"/>
  <c r="AL183" i="2" s="1"/>
  <c r="AQ261" i="4"/>
  <c r="AR183" i="2" s="1"/>
  <c r="AZ261" i="4"/>
  <c r="BA183" i="2" s="1"/>
  <c r="BH261" i="4"/>
  <c r="BI183" i="2" s="1"/>
  <c r="Y261" i="4"/>
  <c r="Z183" i="2" s="1"/>
  <c r="BB261" i="4"/>
  <c r="BC183" i="2" s="1"/>
  <c r="D261" i="4"/>
  <c r="E183" i="2" s="1"/>
  <c r="AI261" i="4"/>
  <c r="AJ183" i="2" s="1"/>
  <c r="AY261" i="4"/>
  <c r="AZ183" i="2" s="1"/>
  <c r="BI261" i="4"/>
  <c r="BJ183" i="2" s="1"/>
  <c r="H261" i="4"/>
  <c r="I183" i="2" s="1"/>
  <c r="AH261" i="4"/>
  <c r="AI183" i="2" s="1"/>
  <c r="E261" i="4"/>
  <c r="F183" i="2" s="1"/>
  <c r="I261" i="4"/>
  <c r="J183" i="2" s="1"/>
  <c r="M261" i="4"/>
  <c r="N183" i="2" s="1"/>
  <c r="S261" i="4"/>
  <c r="T183" i="2" s="1"/>
  <c r="AA261" i="4"/>
  <c r="AB183" i="2" s="1"/>
  <c r="AE261" i="4"/>
  <c r="AF183" i="2" s="1"/>
  <c r="AG261" i="4"/>
  <c r="AH183" i="2" s="1"/>
  <c r="AS261" i="4"/>
  <c r="AT183" i="2" s="1"/>
  <c r="AW261" i="4"/>
  <c r="AX183" i="2" s="1"/>
  <c r="BC261" i="4"/>
  <c r="BD183" i="2" s="1"/>
  <c r="BF261" i="4"/>
  <c r="BG183" i="2" s="1"/>
  <c r="BJ261" i="4"/>
  <c r="BK183" i="2" s="1"/>
  <c r="G261" i="4"/>
  <c r="H183" i="2" s="1"/>
  <c r="J261" i="4"/>
  <c r="K183" i="2" s="1"/>
  <c r="O261" i="4"/>
  <c r="Q261" i="4"/>
  <c r="R183" i="2" s="1"/>
  <c r="T261" i="4"/>
  <c r="U183" i="2" s="1"/>
  <c r="W261" i="4"/>
  <c r="X183" i="2" s="1"/>
  <c r="X261" i="4"/>
  <c r="Y183" i="2" s="1"/>
  <c r="Z261" i="4"/>
  <c r="AA183" i="2" s="1"/>
  <c r="AD261" i="4"/>
  <c r="AE183" i="2" s="1"/>
  <c r="AJ261" i="4"/>
  <c r="AK183" i="2" s="1"/>
  <c r="AM261" i="4"/>
  <c r="AN183" i="2" s="1"/>
  <c r="AP261" i="4"/>
  <c r="AQ183" i="2" s="1"/>
  <c r="AU261" i="4"/>
  <c r="AV183" i="2" s="1"/>
  <c r="AV261" i="4"/>
  <c r="AW183" i="2" s="1"/>
  <c r="BD261" i="4"/>
  <c r="BE183" i="2" s="1"/>
  <c r="BG261" i="4"/>
  <c r="BH183" i="2" s="1"/>
  <c r="F261" i="4"/>
  <c r="G183" i="2" s="1"/>
  <c r="R261" i="4"/>
  <c r="S183" i="2" s="1"/>
  <c r="BE261" i="4"/>
  <c r="BF183" i="2" s="1"/>
  <c r="C261" i="4"/>
  <c r="L261" i="4"/>
  <c r="M183" i="2" s="1"/>
  <c r="N261" i="4"/>
  <c r="V261" i="4"/>
  <c r="W183" i="2" s="1"/>
  <c r="AB261" i="4"/>
  <c r="AC183" i="2" s="1"/>
  <c r="AL261" i="4"/>
  <c r="AM183" i="2" s="1"/>
  <c r="AN261" i="4"/>
  <c r="AO183" i="2" s="1"/>
  <c r="AO261" i="4"/>
  <c r="AP183" i="2" s="1"/>
  <c r="AR261" i="4"/>
  <c r="AS183" i="2" s="1"/>
  <c r="AT261" i="4"/>
  <c r="AU183" i="2" s="1"/>
  <c r="AX261" i="4"/>
  <c r="AY183" i="2" s="1"/>
  <c r="BA261" i="4"/>
  <c r="BB183" i="2" s="1"/>
  <c r="K260" i="4"/>
  <c r="L39" i="2" s="1"/>
  <c r="O260" i="4"/>
  <c r="P39" i="2" s="1"/>
  <c r="Z260" i="4"/>
  <c r="AA39" i="2" s="1"/>
  <c r="AH260" i="4"/>
  <c r="AI39" i="2" s="1"/>
  <c r="AY260" i="4"/>
  <c r="AZ39" i="2" s="1"/>
  <c r="AZ260" i="4"/>
  <c r="BA39" i="2" s="1"/>
  <c r="BG260" i="4"/>
  <c r="BH39" i="2" s="1"/>
  <c r="P260" i="4"/>
  <c r="Q39" i="2" s="1"/>
  <c r="AL260" i="4"/>
  <c r="AM39" i="2" s="1"/>
  <c r="BB260" i="4"/>
  <c r="BC39" i="2" s="1"/>
  <c r="AU260" i="4"/>
  <c r="AV39" i="2" s="1"/>
  <c r="BD260" i="4"/>
  <c r="BE39" i="2" s="1"/>
  <c r="BJ260" i="4"/>
  <c r="BK39" i="2" s="1"/>
  <c r="N260" i="4"/>
  <c r="O39" i="2" s="1"/>
  <c r="AK260" i="4"/>
  <c r="AL39" i="2" s="1"/>
  <c r="AS260" i="4"/>
  <c r="AT39" i="2" s="1"/>
  <c r="AX260" i="4"/>
  <c r="AY39" i="2" s="1"/>
  <c r="BH260" i="4"/>
  <c r="BI39" i="2" s="1"/>
  <c r="D260" i="4"/>
  <c r="E39" i="2" s="1"/>
  <c r="H260" i="4"/>
  <c r="I39" i="2" s="1"/>
  <c r="J260" i="4"/>
  <c r="K39" i="2" s="1"/>
  <c r="Q260" i="4"/>
  <c r="R39" i="2" s="1"/>
  <c r="S260" i="4"/>
  <c r="T39" i="2" s="1"/>
  <c r="W260" i="4"/>
  <c r="X39" i="2" s="1"/>
  <c r="AA260" i="4"/>
  <c r="AB39" i="2" s="1"/>
  <c r="AC260" i="4"/>
  <c r="AD39" i="2" s="1"/>
  <c r="AE260" i="4"/>
  <c r="AF39" i="2" s="1"/>
  <c r="AM260" i="4"/>
  <c r="AN39" i="2" s="1"/>
  <c r="AQ260" i="4"/>
  <c r="AR39" i="2" s="1"/>
  <c r="BC260" i="4"/>
  <c r="BD39" i="2" s="1"/>
  <c r="F260" i="4"/>
  <c r="G39" i="2" s="1"/>
  <c r="I260" i="4"/>
  <c r="J39" i="2" s="1"/>
  <c r="M260" i="4"/>
  <c r="N39" i="2" s="1"/>
  <c r="R260" i="4"/>
  <c r="S39" i="2" s="1"/>
  <c r="V260" i="4"/>
  <c r="W39" i="2" s="1"/>
  <c r="Y260" i="4"/>
  <c r="Z39" i="2" s="1"/>
  <c r="AB260" i="4"/>
  <c r="AC39" i="2" s="1"/>
  <c r="AG260" i="4"/>
  <c r="AH39" i="2" s="1"/>
  <c r="AJ260" i="4"/>
  <c r="AK39" i="2" s="1"/>
  <c r="AO260" i="4"/>
  <c r="AP39" i="2" s="1"/>
  <c r="AD260" i="4"/>
  <c r="AE39" i="2" s="1"/>
  <c r="AV260" i="4"/>
  <c r="AW39" i="2" s="1"/>
  <c r="BF260" i="4"/>
  <c r="BG39" i="2" s="1"/>
  <c r="C260" i="4"/>
  <c r="E260" i="4"/>
  <c r="F39" i="2" s="1"/>
  <c r="G260" i="4"/>
  <c r="H39" i="2" s="1"/>
  <c r="L260" i="4"/>
  <c r="M39" i="2" s="1"/>
  <c r="T260" i="4"/>
  <c r="U39" i="2" s="1"/>
  <c r="U260" i="4"/>
  <c r="V39" i="2" s="1"/>
  <c r="X260" i="4"/>
  <c r="Y39" i="2" s="1"/>
  <c r="AF260" i="4"/>
  <c r="AG39" i="2" s="1"/>
  <c r="AI260" i="4"/>
  <c r="AJ39" i="2" s="1"/>
  <c r="AN260" i="4"/>
  <c r="AO39" i="2" s="1"/>
  <c r="AP260" i="4"/>
  <c r="AQ39" i="2" s="1"/>
  <c r="AR260" i="4"/>
  <c r="AS39" i="2" s="1"/>
  <c r="AT260" i="4"/>
  <c r="AU39" i="2" s="1"/>
  <c r="AW260" i="4"/>
  <c r="AX39" i="2" s="1"/>
  <c r="BA260" i="4"/>
  <c r="BB39" i="2" s="1"/>
  <c r="BE260" i="4"/>
  <c r="BF39" i="2" s="1"/>
  <c r="BI260" i="4"/>
  <c r="BJ39" i="2" s="1"/>
  <c r="G259" i="4"/>
  <c r="H48" i="2" s="1"/>
  <c r="J259" i="4"/>
  <c r="K48" i="2" s="1"/>
  <c r="R259" i="4"/>
  <c r="S48" i="2" s="1"/>
  <c r="V259" i="4"/>
  <c r="W48" i="2" s="1"/>
  <c r="AD259" i="4"/>
  <c r="AE48" i="2" s="1"/>
  <c r="AG259" i="4"/>
  <c r="AH48" i="2" s="1"/>
  <c r="AK259" i="4"/>
  <c r="AL48" i="2" s="1"/>
  <c r="BA259" i="4"/>
  <c r="BB48" i="2" s="1"/>
  <c r="BG259" i="4"/>
  <c r="BH48" i="2" s="1"/>
  <c r="AJ259" i="4"/>
  <c r="AK48" i="2" s="1"/>
  <c r="AR259" i="4"/>
  <c r="AS48" i="2" s="1"/>
  <c r="AY259" i="4"/>
  <c r="AZ48" i="2" s="1"/>
  <c r="H259" i="4"/>
  <c r="I48" i="2" s="1"/>
  <c r="AA259" i="4"/>
  <c r="AB48" i="2" s="1"/>
  <c r="AW259" i="4"/>
  <c r="AX48" i="2" s="1"/>
  <c r="BF259" i="4"/>
  <c r="BG48" i="2" s="1"/>
  <c r="P259" i="4"/>
  <c r="Q48" i="2" s="1"/>
  <c r="X259" i="4"/>
  <c r="Y48" i="2" s="1"/>
  <c r="AU259" i="4"/>
  <c r="AV48" i="2" s="1"/>
  <c r="BJ259" i="4"/>
  <c r="BK48" i="2" s="1"/>
  <c r="C259" i="4"/>
  <c r="M259" i="4"/>
  <c r="N48" i="2" s="1"/>
  <c r="O259" i="4"/>
  <c r="P48" i="2" s="1"/>
  <c r="S259" i="4"/>
  <c r="T48" i="2" s="1"/>
  <c r="Y259" i="4"/>
  <c r="Z48" i="2" s="1"/>
  <c r="AB259" i="4"/>
  <c r="AC48" i="2" s="1"/>
  <c r="AE259" i="4"/>
  <c r="AF48" i="2" s="1"/>
  <c r="AI259" i="4"/>
  <c r="AJ48" i="2" s="1"/>
  <c r="AL259" i="4"/>
  <c r="AM48" i="2" s="1"/>
  <c r="AT259" i="4"/>
  <c r="AU48" i="2" s="1"/>
  <c r="AZ259" i="4"/>
  <c r="BA48" i="2" s="1"/>
  <c r="BD259" i="4"/>
  <c r="BE48" i="2" s="1"/>
  <c r="I259" i="4"/>
  <c r="J48" i="2" s="1"/>
  <c r="L259" i="4"/>
  <c r="M48" i="2" s="1"/>
  <c r="Q259" i="4"/>
  <c r="R48" i="2" s="1"/>
  <c r="U259" i="4"/>
  <c r="V48" i="2" s="1"/>
  <c r="Z259" i="4"/>
  <c r="AA48" i="2" s="1"/>
  <c r="AO259" i="4"/>
  <c r="AP48" i="2" s="1"/>
  <c r="AX259" i="4"/>
  <c r="AY48" i="2" s="1"/>
  <c r="BC259" i="4"/>
  <c r="BD48" i="2" s="1"/>
  <c r="BH259" i="4"/>
  <c r="BI48" i="2" s="1"/>
  <c r="E259" i="4"/>
  <c r="F48" i="2" s="1"/>
  <c r="K259" i="4"/>
  <c r="L48" i="2" s="1"/>
  <c r="N259" i="4"/>
  <c r="O48" i="2" s="1"/>
  <c r="T259" i="4"/>
  <c r="U48" i="2" s="1"/>
  <c r="AC259" i="4"/>
  <c r="AD48" i="2" s="1"/>
  <c r="AF259" i="4"/>
  <c r="AG48" i="2" s="1"/>
  <c r="AN259" i="4"/>
  <c r="AO48" i="2" s="1"/>
  <c r="AP259" i="4"/>
  <c r="AQ48" i="2" s="1"/>
  <c r="AS259" i="4"/>
  <c r="AT48" i="2" s="1"/>
  <c r="AV259" i="4"/>
  <c r="AW48" i="2" s="1"/>
  <c r="BE259" i="4"/>
  <c r="BF48" i="2" s="1"/>
  <c r="BI259" i="4"/>
  <c r="BJ48" i="2" s="1"/>
  <c r="BB259" i="4"/>
  <c r="BC48" i="2" s="1"/>
  <c r="D259" i="4"/>
  <c r="E48" i="2" s="1"/>
  <c r="F259" i="4"/>
  <c r="G48" i="2" s="1"/>
  <c r="W259" i="4"/>
  <c r="X48" i="2" s="1"/>
  <c r="AH259" i="4"/>
  <c r="AI48" i="2" s="1"/>
  <c r="AM259" i="4"/>
  <c r="AN48" i="2" s="1"/>
  <c r="AQ259" i="4"/>
  <c r="AR48" i="2" s="1"/>
  <c r="R258" i="4"/>
  <c r="S123" i="2" s="1"/>
  <c r="U258" i="4"/>
  <c r="V123" i="2" s="1"/>
  <c r="AB258" i="4"/>
  <c r="AC123" i="2" s="1"/>
  <c r="AI258" i="4"/>
  <c r="AJ123" i="2" s="1"/>
  <c r="AS258" i="4"/>
  <c r="AT123" i="2" s="1"/>
  <c r="AW258" i="4"/>
  <c r="AX123" i="2" s="1"/>
  <c r="BE258" i="4"/>
  <c r="BF123" i="2" s="1"/>
  <c r="BA258" i="4"/>
  <c r="BB123" i="2" s="1"/>
  <c r="E258" i="4"/>
  <c r="F123" i="2" s="1"/>
  <c r="O258" i="4"/>
  <c r="P123" i="2" s="1"/>
  <c r="AJ258" i="4"/>
  <c r="AK123" i="2" s="1"/>
  <c r="AC258" i="4"/>
  <c r="AD123" i="2" s="1"/>
  <c r="L258" i="4"/>
  <c r="M123" i="2" s="1"/>
  <c r="X258" i="4"/>
  <c r="Y123" i="2" s="1"/>
  <c r="AE258" i="4"/>
  <c r="AF123" i="2" s="1"/>
  <c r="AN258" i="4"/>
  <c r="AO123" i="2" s="1"/>
  <c r="BC258" i="4"/>
  <c r="BD123" i="2" s="1"/>
  <c r="BH258" i="4"/>
  <c r="BI123" i="2" s="1"/>
  <c r="T258" i="4"/>
  <c r="U123" i="2" s="1"/>
  <c r="Y258" i="4"/>
  <c r="Z123" i="2" s="1"/>
  <c r="AF258" i="4"/>
  <c r="AG123" i="2" s="1"/>
  <c r="AK258" i="4"/>
  <c r="AL123" i="2" s="1"/>
  <c r="AR258" i="4"/>
  <c r="AS123" i="2" s="1"/>
  <c r="AU258" i="4"/>
  <c r="AV123" i="2" s="1"/>
  <c r="AV258" i="4"/>
  <c r="AW123" i="2" s="1"/>
  <c r="AY258" i="4"/>
  <c r="AZ123" i="2" s="1"/>
  <c r="BD258" i="4"/>
  <c r="BE123" i="2" s="1"/>
  <c r="S258" i="4"/>
  <c r="T123" i="2" s="1"/>
  <c r="V258" i="4"/>
  <c r="W123" i="2" s="1"/>
  <c r="Z258" i="4"/>
  <c r="AA123" i="2" s="1"/>
  <c r="AD258" i="4"/>
  <c r="AE123" i="2" s="1"/>
  <c r="AG258" i="4"/>
  <c r="AH123" i="2" s="1"/>
  <c r="AL258" i="4"/>
  <c r="AM123" i="2" s="1"/>
  <c r="AP258" i="4"/>
  <c r="AQ123" i="2" s="1"/>
  <c r="AT258" i="4"/>
  <c r="AU123" i="2" s="1"/>
  <c r="AZ258" i="4"/>
  <c r="BA123" i="2" s="1"/>
  <c r="BB258" i="4"/>
  <c r="BC123" i="2" s="1"/>
  <c r="BF258" i="4"/>
  <c r="BG123" i="2" s="1"/>
  <c r="BJ258" i="4"/>
  <c r="BK123" i="2" s="1"/>
  <c r="AM258" i="4"/>
  <c r="AN123" i="2" s="1"/>
  <c r="BI258" i="4"/>
  <c r="BJ123" i="2" s="1"/>
  <c r="H258" i="4"/>
  <c r="N258" i="4"/>
  <c r="O123" i="2" s="1"/>
  <c r="P258" i="4"/>
  <c r="Q123" i="2" s="1"/>
  <c r="W258" i="4"/>
  <c r="X123" i="2" s="1"/>
  <c r="AA258" i="4"/>
  <c r="AB123" i="2" s="1"/>
  <c r="AH258" i="4"/>
  <c r="AI123" i="2" s="1"/>
  <c r="AO258" i="4"/>
  <c r="AP123" i="2" s="1"/>
  <c r="AQ258" i="4"/>
  <c r="AR123" i="2" s="1"/>
  <c r="AX258" i="4"/>
  <c r="AY123" i="2" s="1"/>
  <c r="BG258" i="4"/>
  <c r="BH123" i="2" s="1"/>
  <c r="D258" i="4"/>
  <c r="E123" i="2" s="1"/>
  <c r="F258" i="4"/>
  <c r="G123" i="2" s="1"/>
  <c r="K258" i="4"/>
  <c r="L123" i="2" s="1"/>
  <c r="G258" i="4"/>
  <c r="H123" i="2" s="1"/>
  <c r="Q258" i="4"/>
  <c r="R123" i="2" s="1"/>
  <c r="J258" i="4"/>
  <c r="K123" i="2" s="1"/>
  <c r="C258" i="4"/>
  <c r="I258" i="4"/>
  <c r="J123" i="2" s="1"/>
  <c r="M258" i="4"/>
  <c r="N123" i="2" s="1"/>
  <c r="AO257" i="4"/>
  <c r="AP117" i="2" s="1"/>
  <c r="U257" i="4"/>
  <c r="V117" i="2" s="1"/>
  <c r="AB257" i="4"/>
  <c r="AC117" i="2" s="1"/>
  <c r="AQ257" i="4"/>
  <c r="AR117" i="2" s="1"/>
  <c r="BB257" i="4"/>
  <c r="BC117" i="2" s="1"/>
  <c r="L257" i="4"/>
  <c r="M117" i="2" s="1"/>
  <c r="N257" i="4"/>
  <c r="O117" i="2" s="1"/>
  <c r="AE257" i="4"/>
  <c r="AF117" i="2" s="1"/>
  <c r="AY257" i="4"/>
  <c r="AZ117" i="2" s="1"/>
  <c r="O257" i="4"/>
  <c r="P117" i="2" s="1"/>
  <c r="AJ257" i="4"/>
  <c r="AK117" i="2" s="1"/>
  <c r="AP257" i="4"/>
  <c r="AQ117" i="2" s="1"/>
  <c r="E257" i="4"/>
  <c r="F117" i="2" s="1"/>
  <c r="X257" i="4"/>
  <c r="Y117" i="2" s="1"/>
  <c r="AZ257" i="4"/>
  <c r="BA117" i="2" s="1"/>
  <c r="BF257" i="4"/>
  <c r="BG117" i="2" s="1"/>
  <c r="C257" i="4"/>
  <c r="H257" i="4"/>
  <c r="S257" i="4"/>
  <c r="T117" i="2" s="1"/>
  <c r="AT257" i="4"/>
  <c r="AU117" i="2" s="1"/>
  <c r="BA257" i="4"/>
  <c r="BB117" i="2" s="1"/>
  <c r="I257" i="4"/>
  <c r="W257" i="4"/>
  <c r="X117" i="2" s="1"/>
  <c r="AC257" i="4"/>
  <c r="AD117" i="2" s="1"/>
  <c r="J257" i="4"/>
  <c r="K117" i="2" s="1"/>
  <c r="AF257" i="4"/>
  <c r="AG117" i="2" s="1"/>
  <c r="F257" i="4"/>
  <c r="G117" i="2" s="1"/>
  <c r="K257" i="4"/>
  <c r="L117" i="2" s="1"/>
  <c r="P257" i="4"/>
  <c r="Q117" i="2" s="1"/>
  <c r="Q257" i="4"/>
  <c r="R117" i="2" s="1"/>
  <c r="Z257" i="4"/>
  <c r="AA117" i="2" s="1"/>
  <c r="AG257" i="4"/>
  <c r="AH117" i="2" s="1"/>
  <c r="AI257" i="4"/>
  <c r="AJ117" i="2" s="1"/>
  <c r="AR257" i="4"/>
  <c r="AS117" i="2" s="1"/>
  <c r="BC257" i="4"/>
  <c r="BD117" i="2" s="1"/>
  <c r="BD257" i="4"/>
  <c r="BE117" i="2" s="1"/>
  <c r="BH257" i="4"/>
  <c r="BI117" i="2" s="1"/>
  <c r="M257" i="4"/>
  <c r="N117" i="2" s="1"/>
  <c r="AD257" i="4"/>
  <c r="AE117" i="2" s="1"/>
  <c r="AW257" i="4"/>
  <c r="AX117" i="2" s="1"/>
  <c r="BJ257" i="4"/>
  <c r="BK117" i="2" s="1"/>
  <c r="R257" i="4"/>
  <c r="S117" i="2" s="1"/>
  <c r="T257" i="4"/>
  <c r="U117" i="2" s="1"/>
  <c r="Y257" i="4"/>
  <c r="Z117" i="2" s="1"/>
  <c r="AA257" i="4"/>
  <c r="AB117" i="2" s="1"/>
  <c r="AM257" i="4"/>
  <c r="AN117" i="2" s="1"/>
  <c r="AU257" i="4"/>
  <c r="AV117" i="2" s="1"/>
  <c r="AX257" i="4"/>
  <c r="AY117" i="2" s="1"/>
  <c r="BE257" i="4"/>
  <c r="BF117" i="2" s="1"/>
  <c r="BG257" i="4"/>
  <c r="BH117" i="2" s="1"/>
  <c r="G257" i="4"/>
  <c r="H117" i="2" s="1"/>
  <c r="AL257" i="4"/>
  <c r="AM117" i="2" s="1"/>
  <c r="AV257" i="4"/>
  <c r="AW117" i="2" s="1"/>
  <c r="BI257" i="4"/>
  <c r="BJ117" i="2" s="1"/>
  <c r="D257" i="4"/>
  <c r="E117" i="2" s="1"/>
  <c r="V257" i="4"/>
  <c r="W117" i="2" s="1"/>
  <c r="AH257" i="4"/>
  <c r="AI117" i="2" s="1"/>
  <c r="AK257" i="4"/>
  <c r="AL117" i="2" s="1"/>
  <c r="AN257" i="4"/>
  <c r="AO117" i="2" s="1"/>
  <c r="AS257" i="4"/>
  <c r="AT117" i="2" s="1"/>
  <c r="BF256" i="4"/>
  <c r="BG282" i="2" s="1"/>
  <c r="BG256" i="4"/>
  <c r="BH282" i="2" s="1"/>
  <c r="BJ256" i="4"/>
  <c r="BK282" i="2" s="1"/>
  <c r="AZ256" i="4"/>
  <c r="BA282" i="2" s="1"/>
  <c r="BH256" i="4"/>
  <c r="BI282" i="2" s="1"/>
  <c r="AX256" i="4"/>
  <c r="AY282" i="2" s="1"/>
  <c r="AW256" i="4"/>
  <c r="AX282" i="2" s="1"/>
  <c r="BC256" i="4"/>
  <c r="BD282" i="2" s="1"/>
  <c r="BI256" i="4"/>
  <c r="BJ282" i="2" s="1"/>
  <c r="BB256" i="4"/>
  <c r="BC282" i="2" s="1"/>
  <c r="AY256" i="4"/>
  <c r="AZ282" i="2" s="1"/>
  <c r="BA256" i="4"/>
  <c r="BB282" i="2" s="1"/>
  <c r="BD256" i="4"/>
  <c r="BE282" i="2" s="1"/>
  <c r="BE256" i="4"/>
  <c r="BF282" i="2" s="1"/>
  <c r="D279" i="2"/>
  <c r="D156" i="2"/>
  <c r="D189" i="2"/>
  <c r="D135" i="2"/>
  <c r="D192" i="2"/>
  <c r="D168" i="2"/>
  <c r="D165" i="2"/>
  <c r="D300" i="2"/>
  <c r="D270" i="2"/>
  <c r="C237" i="4"/>
  <c r="D237" i="4"/>
  <c r="E198" i="2" s="1"/>
  <c r="E237" i="4"/>
  <c r="F198" i="2" s="1"/>
  <c r="F237" i="4"/>
  <c r="G198" i="2" s="1"/>
  <c r="G237" i="4"/>
  <c r="H198" i="2" s="1"/>
  <c r="H237" i="4"/>
  <c r="I198" i="2" s="1"/>
  <c r="I237" i="4"/>
  <c r="J198" i="2" s="1"/>
  <c r="J237" i="4"/>
  <c r="K198" i="2" s="1"/>
  <c r="K237" i="4"/>
  <c r="L198" i="2" s="1"/>
  <c r="L237" i="4"/>
  <c r="M198" i="2" s="1"/>
  <c r="M237" i="4"/>
  <c r="N198" i="2" s="1"/>
  <c r="N237" i="4"/>
  <c r="O237" i="4"/>
  <c r="P198" i="2" s="1"/>
  <c r="P237" i="4"/>
  <c r="Q198" i="2" s="1"/>
  <c r="Q237" i="4"/>
  <c r="R198" i="2" s="1"/>
  <c r="R237" i="4"/>
  <c r="S198" i="2" s="1"/>
  <c r="S237" i="4"/>
  <c r="T198" i="2" s="1"/>
  <c r="T237" i="4"/>
  <c r="U198" i="2" s="1"/>
  <c r="U237" i="4"/>
  <c r="V198" i="2" s="1"/>
  <c r="V237" i="4"/>
  <c r="W198" i="2" s="1"/>
  <c r="W237" i="4"/>
  <c r="X198" i="2" s="1"/>
  <c r="X237" i="4"/>
  <c r="Y198" i="2" s="1"/>
  <c r="C236" i="4"/>
  <c r="D236" i="4"/>
  <c r="E236" i="4"/>
  <c r="F6" i="2" s="1"/>
  <c r="F236" i="4"/>
  <c r="G6" i="2" s="1"/>
  <c r="G236" i="4"/>
  <c r="H6" i="2" s="1"/>
  <c r="H236" i="4"/>
  <c r="I6" i="2" s="1"/>
  <c r="I236" i="4"/>
  <c r="J6" i="2" s="1"/>
  <c r="J236" i="4"/>
  <c r="K6" i="2" s="1"/>
  <c r="K236" i="4"/>
  <c r="L6" i="2" s="1"/>
  <c r="L236" i="4"/>
  <c r="M6" i="2" s="1"/>
  <c r="M236" i="4"/>
  <c r="N6" i="2" s="1"/>
  <c r="N236" i="4"/>
  <c r="O6" i="2" s="1"/>
  <c r="O236" i="4"/>
  <c r="P6" i="2" s="1"/>
  <c r="P236" i="4"/>
  <c r="Q6" i="2" s="1"/>
  <c r="Q236" i="4"/>
  <c r="R6" i="2" s="1"/>
  <c r="R236" i="4"/>
  <c r="S6" i="2" s="1"/>
  <c r="S236" i="4"/>
  <c r="T6" i="2" s="1"/>
  <c r="T236" i="4"/>
  <c r="U6" i="2" s="1"/>
  <c r="U236" i="4"/>
  <c r="V6" i="2" s="1"/>
  <c r="V236" i="4"/>
  <c r="W6" i="2" s="1"/>
  <c r="W236" i="4"/>
  <c r="X6" i="2" s="1"/>
  <c r="X236" i="4"/>
  <c r="Y6" i="2" s="1"/>
  <c r="Y236" i="4"/>
  <c r="Z6" i="2" s="1"/>
  <c r="Z236" i="4"/>
  <c r="AA6" i="2" s="1"/>
  <c r="AA236" i="4"/>
  <c r="AB6" i="2" s="1"/>
  <c r="AB236" i="4"/>
  <c r="AC6" i="2" s="1"/>
  <c r="AC236" i="4"/>
  <c r="AD6" i="2" s="1"/>
  <c r="AD236" i="4"/>
  <c r="AE6" i="2" s="1"/>
  <c r="AE236" i="4"/>
  <c r="AF6" i="2" s="1"/>
  <c r="AF236" i="4"/>
  <c r="AG6" i="2" s="1"/>
  <c r="AG236" i="4"/>
  <c r="AH6" i="2" s="1"/>
  <c r="AH236" i="4"/>
  <c r="AI6" i="2" s="1"/>
  <c r="AI236" i="4"/>
  <c r="AJ6" i="2" s="1"/>
  <c r="AJ236" i="4"/>
  <c r="AK6" i="2" s="1"/>
  <c r="AK236" i="4"/>
  <c r="AL6" i="2" s="1"/>
  <c r="AL236" i="4"/>
  <c r="AM6" i="2" s="1"/>
  <c r="AM236" i="4"/>
  <c r="AN6" i="2" s="1"/>
  <c r="AN236" i="4"/>
  <c r="AO6" i="2" s="1"/>
  <c r="AO236" i="4"/>
  <c r="AP6" i="2" s="1"/>
  <c r="AP236" i="4"/>
  <c r="AQ6" i="2" s="1"/>
  <c r="AQ236" i="4"/>
  <c r="AR6" i="2" s="1"/>
  <c r="AR236" i="4"/>
  <c r="AS6" i="2" s="1"/>
  <c r="AS236" i="4"/>
  <c r="AT6" i="2" s="1"/>
  <c r="AT236" i="4"/>
  <c r="AU6" i="2" s="1"/>
  <c r="AU236" i="4"/>
  <c r="AV6" i="2" s="1"/>
  <c r="AV236" i="4"/>
  <c r="AW6" i="2" s="1"/>
  <c r="AW236" i="4"/>
  <c r="AX6" i="2" s="1"/>
  <c r="AX236" i="4"/>
  <c r="AY6" i="2" s="1"/>
  <c r="AY236" i="4"/>
  <c r="AZ6" i="2" s="1"/>
  <c r="AZ236" i="4"/>
  <c r="BA6" i="2" s="1"/>
  <c r="BA236" i="4"/>
  <c r="BB6" i="2" s="1"/>
  <c r="BB236" i="4"/>
  <c r="BC6" i="2" s="1"/>
  <c r="BC236" i="4"/>
  <c r="BD6" i="2" s="1"/>
  <c r="BD236" i="4"/>
  <c r="BE6" i="2" s="1"/>
  <c r="BE236" i="4"/>
  <c r="BF6" i="2" s="1"/>
  <c r="BF236" i="4"/>
  <c r="BG6" i="2" s="1"/>
  <c r="BG236" i="4"/>
  <c r="BH6" i="2" s="1"/>
  <c r="BH236" i="4"/>
  <c r="BI6" i="2" s="1"/>
  <c r="BI236" i="4"/>
  <c r="BJ6" i="2" s="1"/>
  <c r="BJ236" i="4"/>
  <c r="BK6" i="2" s="1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J10" i="6"/>
  <c r="D14" i="1" s="1"/>
  <c r="G10" i="1"/>
  <c r="I10" i="1"/>
  <c r="K10" i="1"/>
  <c r="F129" i="6"/>
  <c r="R91" i="6"/>
  <c r="R89" i="6"/>
  <c r="R88" i="6"/>
  <c r="AV302" i="6"/>
  <c r="AW89" i="2" s="1"/>
  <c r="AU302" i="6"/>
  <c r="AV89" i="2" s="1"/>
  <c r="AT302" i="6"/>
  <c r="AU89" i="2" s="1"/>
  <c r="AS302" i="6"/>
  <c r="AT89" i="2" s="1"/>
  <c r="AR302" i="6"/>
  <c r="AS89" i="2" s="1"/>
  <c r="AQ302" i="6"/>
  <c r="AR89" i="2" s="1"/>
  <c r="AP302" i="6"/>
  <c r="AQ89" i="2" s="1"/>
  <c r="AN302" i="6"/>
  <c r="AO89" i="2" s="1"/>
  <c r="AA302" i="6"/>
  <c r="AB89" i="2" s="1"/>
  <c r="S302" i="6"/>
  <c r="T89" i="2" s="1"/>
  <c r="C302" i="6"/>
  <c r="AM302" i="6"/>
  <c r="AN89" i="2" s="1"/>
  <c r="AL302" i="6"/>
  <c r="AM89" i="2" s="1"/>
  <c r="AK302" i="6"/>
  <c r="AL89" i="2" s="1"/>
  <c r="AJ302" i="6"/>
  <c r="AK89" i="2" s="1"/>
  <c r="AI302" i="6"/>
  <c r="AJ89" i="2" s="1"/>
  <c r="AH302" i="6"/>
  <c r="AI89" i="2" s="1"/>
  <c r="BJ302" i="6"/>
  <c r="BK89" i="2" s="1"/>
  <c r="BI302" i="6"/>
  <c r="BJ89" i="2" s="1"/>
  <c r="M91" i="6"/>
  <c r="N91" i="6" s="1"/>
  <c r="BH302" i="6"/>
  <c r="BI89" i="2" s="1"/>
  <c r="J302" i="6"/>
  <c r="K89" i="2" s="1"/>
  <c r="I302" i="6"/>
  <c r="J89" i="2" s="1"/>
  <c r="H302" i="6"/>
  <c r="I89" i="2" s="1"/>
  <c r="G302" i="6"/>
  <c r="F302" i="6"/>
  <c r="G89" i="2" s="1"/>
  <c r="E302" i="6"/>
  <c r="F89" i="2" s="1"/>
  <c r="D302" i="6"/>
  <c r="E89" i="2" s="1"/>
  <c r="BG302" i="6"/>
  <c r="BH89" i="2" s="1"/>
  <c r="BF302" i="6"/>
  <c r="BG89" i="2" s="1"/>
  <c r="BE302" i="6"/>
  <c r="BF89" i="2" s="1"/>
  <c r="BD302" i="6"/>
  <c r="BE89" i="2" s="1"/>
  <c r="BC302" i="6"/>
  <c r="BD89" i="2" s="1"/>
  <c r="BB302" i="6"/>
  <c r="BC89" i="2" s="1"/>
  <c r="BA302" i="6"/>
  <c r="BB89" i="2" s="1"/>
  <c r="AZ302" i="6"/>
  <c r="BA89" i="2" s="1"/>
  <c r="AY302" i="6"/>
  <c r="AZ89" i="2" s="1"/>
  <c r="AX302" i="6"/>
  <c r="AY89" i="2" s="1"/>
  <c r="AW302" i="6"/>
  <c r="AX89" i="2" s="1"/>
  <c r="AR301" i="6"/>
  <c r="AS266" i="2" s="1"/>
  <c r="AK301" i="6"/>
  <c r="AL266" i="2" s="1"/>
  <c r="AM301" i="6"/>
  <c r="AN266" i="2" s="1"/>
  <c r="AN301" i="6"/>
  <c r="AO266" i="2" s="1"/>
  <c r="AO301" i="6"/>
  <c r="AP266" i="2" s="1"/>
  <c r="AP301" i="6"/>
  <c r="AQ266" i="2" s="1"/>
  <c r="AQ301" i="6"/>
  <c r="AR266" i="2" s="1"/>
  <c r="AW301" i="6"/>
  <c r="AX266" i="2" s="1"/>
  <c r="AS301" i="6"/>
  <c r="AT266" i="2" s="1"/>
  <c r="AT301" i="6"/>
  <c r="AU266" i="2" s="1"/>
  <c r="AU301" i="6"/>
  <c r="AV266" i="2" s="1"/>
  <c r="AV301" i="6"/>
  <c r="AW266" i="2" s="1"/>
  <c r="G301" i="6"/>
  <c r="BF301" i="6"/>
  <c r="BG266" i="2" s="1"/>
  <c r="BJ301" i="6"/>
  <c r="BK266" i="2" s="1"/>
  <c r="AX301" i="6"/>
  <c r="AY266" i="2" s="1"/>
  <c r="AY301" i="6"/>
  <c r="AZ266" i="2" s="1"/>
  <c r="AZ301" i="6"/>
  <c r="BA266" i="2" s="1"/>
  <c r="BA301" i="6"/>
  <c r="BB266" i="2" s="1"/>
  <c r="BB301" i="6"/>
  <c r="BC266" i="2" s="1"/>
  <c r="BC301" i="6"/>
  <c r="BD266" i="2" s="1"/>
  <c r="BD301" i="6"/>
  <c r="BE266" i="2" s="1"/>
  <c r="BE301" i="6"/>
  <c r="BF266" i="2" s="1"/>
  <c r="M90" i="6"/>
  <c r="N90" i="6" s="1"/>
  <c r="BG301" i="6"/>
  <c r="BH266" i="2" s="1"/>
  <c r="BH301" i="6"/>
  <c r="BI266" i="2" s="1"/>
  <c r="BI301" i="6"/>
  <c r="BJ266" i="2" s="1"/>
  <c r="P300" i="6"/>
  <c r="Q104" i="2" s="1"/>
  <c r="O300" i="6"/>
  <c r="P104" i="2" s="1"/>
  <c r="G300" i="6"/>
  <c r="H300" i="6"/>
  <c r="I104" i="2" s="1"/>
  <c r="I300" i="6"/>
  <c r="J104" i="2" s="1"/>
  <c r="J300" i="6"/>
  <c r="K104" i="2" s="1"/>
  <c r="K300" i="6"/>
  <c r="L104" i="2" s="1"/>
  <c r="M300" i="6"/>
  <c r="N104" i="2" s="1"/>
  <c r="N300" i="6"/>
  <c r="O104" i="2" s="1"/>
  <c r="AL300" i="6"/>
  <c r="AM104" i="2" s="1"/>
  <c r="L300" i="6"/>
  <c r="M104" i="2" s="1"/>
  <c r="AK300" i="6"/>
  <c r="AL104" i="2" s="1"/>
  <c r="AJ300" i="6"/>
  <c r="AK104" i="2" s="1"/>
  <c r="AI300" i="6"/>
  <c r="AJ104" i="2" s="1"/>
  <c r="AH300" i="6"/>
  <c r="AI104" i="2" s="1"/>
  <c r="AG300" i="6"/>
  <c r="AH104" i="2" s="1"/>
  <c r="AF300" i="6"/>
  <c r="AG104" i="2" s="1"/>
  <c r="AE300" i="6"/>
  <c r="AF104" i="2" s="1"/>
  <c r="AD300" i="6"/>
  <c r="AE104" i="2" s="1"/>
  <c r="AC300" i="6"/>
  <c r="AD104" i="2" s="1"/>
  <c r="AB300" i="6"/>
  <c r="AC104" i="2" s="1"/>
  <c r="AA300" i="6"/>
  <c r="AB104" i="2" s="1"/>
  <c r="Z300" i="6"/>
  <c r="AA104" i="2" s="1"/>
  <c r="Y300" i="6"/>
  <c r="Z104" i="2" s="1"/>
  <c r="X300" i="6"/>
  <c r="Y104" i="2" s="1"/>
  <c r="W300" i="6"/>
  <c r="X104" i="2" s="1"/>
  <c r="V300" i="6"/>
  <c r="W104" i="2" s="1"/>
  <c r="U300" i="6"/>
  <c r="V104" i="2" s="1"/>
  <c r="T300" i="6"/>
  <c r="U104" i="2" s="1"/>
  <c r="S300" i="6"/>
  <c r="T104" i="2" s="1"/>
  <c r="R300" i="6"/>
  <c r="S104" i="2" s="1"/>
  <c r="Q300" i="6"/>
  <c r="R104" i="2" s="1"/>
  <c r="P299" i="6"/>
  <c r="Q233" i="2" s="1"/>
  <c r="Q299" i="6"/>
  <c r="R299" i="6"/>
  <c r="S299" i="6"/>
  <c r="T299" i="6"/>
  <c r="U299" i="6"/>
  <c r="V299" i="6"/>
  <c r="W299" i="6"/>
  <c r="X233" i="2" s="1"/>
  <c r="X299" i="6"/>
  <c r="Y233" i="2" s="1"/>
  <c r="Y299" i="6"/>
  <c r="Z233" i="2" s="1"/>
  <c r="Z299" i="6"/>
  <c r="AA233" i="2" s="1"/>
  <c r="AA299" i="6"/>
  <c r="AB233" i="2" s="1"/>
  <c r="AB299" i="6"/>
  <c r="AC233" i="2" s="1"/>
  <c r="AC299" i="6"/>
  <c r="AD233" i="2" s="1"/>
  <c r="AD299" i="6"/>
  <c r="AE233" i="2" s="1"/>
  <c r="AE299" i="6"/>
  <c r="AF233" i="2" s="1"/>
  <c r="AF299" i="6"/>
  <c r="AG233" i="2" s="1"/>
  <c r="AG299" i="6"/>
  <c r="AH233" i="2" s="1"/>
  <c r="AH299" i="6"/>
  <c r="AI233" i="2" s="1"/>
  <c r="AI299" i="6"/>
  <c r="AJ233" i="2" s="1"/>
  <c r="AJ299" i="6"/>
  <c r="AK233" i="2" s="1"/>
  <c r="AK299" i="6"/>
  <c r="AL233" i="2" s="1"/>
  <c r="M88" i="6"/>
  <c r="N88" i="6" s="1"/>
  <c r="C299" i="6"/>
  <c r="AX299" i="6"/>
  <c r="AY233" i="2" s="1"/>
  <c r="J299" i="6"/>
  <c r="K233" i="2" s="1"/>
  <c r="I299" i="6"/>
  <c r="J233" i="2" s="1"/>
  <c r="H299" i="6"/>
  <c r="I233" i="2" s="1"/>
  <c r="G299" i="6"/>
  <c r="H233" i="2" s="1"/>
  <c r="F299" i="6"/>
  <c r="G233" i="2" s="1"/>
  <c r="E299" i="6"/>
  <c r="F233" i="2" s="1"/>
  <c r="D299" i="6"/>
  <c r="E233" i="2" s="1"/>
  <c r="BJ299" i="6"/>
  <c r="BK233" i="2" s="1"/>
  <c r="BI299" i="6"/>
  <c r="BJ233" i="2" s="1"/>
  <c r="AL299" i="6"/>
  <c r="AM233" i="2" s="1"/>
  <c r="BH299" i="6"/>
  <c r="BI233" i="2" s="1"/>
  <c r="K299" i="6"/>
  <c r="L233" i="2" s="1"/>
  <c r="L299" i="6"/>
  <c r="M233" i="2" s="1"/>
  <c r="BB299" i="6"/>
  <c r="BC233" i="2" s="1"/>
  <c r="M299" i="6"/>
  <c r="N233" i="2" s="1"/>
  <c r="N299" i="6"/>
  <c r="O233" i="2" s="1"/>
  <c r="O299" i="6"/>
  <c r="P233" i="2" s="1"/>
  <c r="M298" i="6"/>
  <c r="N188" i="2" s="1"/>
  <c r="AV298" i="6"/>
  <c r="AW188" i="2" s="1"/>
  <c r="AU298" i="6"/>
  <c r="AV188" i="2" s="1"/>
  <c r="AT298" i="6"/>
  <c r="AU188" i="2" s="1"/>
  <c r="AQ298" i="6"/>
  <c r="AR188" i="2" s="1"/>
  <c r="AP298" i="6"/>
  <c r="AQ188" i="2" s="1"/>
  <c r="AO298" i="6"/>
  <c r="AP188" i="2" s="1"/>
  <c r="AR298" i="6"/>
  <c r="AS188" i="2" s="1"/>
  <c r="M87" i="6"/>
  <c r="N87" i="6" s="1"/>
  <c r="U298" i="6"/>
  <c r="AS298" i="6"/>
  <c r="AT188" i="2" s="1"/>
  <c r="C298" i="6"/>
  <c r="D298" i="6"/>
  <c r="E188" i="2" s="1"/>
  <c r="E298" i="6"/>
  <c r="F188" i="2" s="1"/>
  <c r="F298" i="6"/>
  <c r="G188" i="2" s="1"/>
  <c r="G298" i="6"/>
  <c r="H188" i="2" s="1"/>
  <c r="H298" i="6"/>
  <c r="I188" i="2" s="1"/>
  <c r="I298" i="6"/>
  <c r="J188" i="2" s="1"/>
  <c r="Z298" i="6"/>
  <c r="AA188" i="2" s="1"/>
  <c r="J298" i="6"/>
  <c r="K188" i="2" s="1"/>
  <c r="K298" i="6"/>
  <c r="L188" i="2" s="1"/>
  <c r="L298" i="6"/>
  <c r="M188" i="2" s="1"/>
  <c r="P298" i="6"/>
  <c r="N298" i="6"/>
  <c r="O188" i="2" s="1"/>
  <c r="V298" i="6"/>
  <c r="O298" i="6"/>
  <c r="P188" i="2" s="1"/>
  <c r="W298" i="6"/>
  <c r="X188" i="2" s="1"/>
  <c r="Q298" i="6"/>
  <c r="X298" i="6"/>
  <c r="Y188" i="2" s="1"/>
  <c r="AA298" i="6"/>
  <c r="AB188" i="2" s="1"/>
  <c r="AB298" i="6"/>
  <c r="AC188" i="2" s="1"/>
  <c r="AC298" i="6"/>
  <c r="AD188" i="2" s="1"/>
  <c r="AD298" i="6"/>
  <c r="AE188" i="2" s="1"/>
  <c r="AE298" i="6"/>
  <c r="AF188" i="2" s="1"/>
  <c r="AF298" i="6"/>
  <c r="AG188" i="2" s="1"/>
  <c r="AN298" i="6"/>
  <c r="AO188" i="2" s="1"/>
  <c r="AM298" i="6"/>
  <c r="AN188" i="2" s="1"/>
  <c r="AL298" i="6"/>
  <c r="AM188" i="2" s="1"/>
  <c r="AK298" i="6"/>
  <c r="AL188" i="2" s="1"/>
  <c r="AJ298" i="6"/>
  <c r="AK188" i="2" s="1"/>
  <c r="AH298" i="6"/>
  <c r="AI188" i="2" s="1"/>
  <c r="AG298" i="6"/>
  <c r="AH188" i="2" s="1"/>
  <c r="BE298" i="6"/>
  <c r="BF188" i="2" s="1"/>
  <c r="AI298" i="6"/>
  <c r="AJ188" i="2" s="1"/>
  <c r="BD298" i="6"/>
  <c r="BE188" i="2" s="1"/>
  <c r="BC298" i="6"/>
  <c r="BD188" i="2" s="1"/>
  <c r="BB298" i="6"/>
  <c r="BC188" i="2" s="1"/>
  <c r="BA298" i="6"/>
  <c r="BB188" i="2" s="1"/>
  <c r="AZ298" i="6"/>
  <c r="BA188" i="2" s="1"/>
  <c r="BF298" i="6"/>
  <c r="BG188" i="2" s="1"/>
  <c r="BG298" i="6"/>
  <c r="BH188" i="2" s="1"/>
  <c r="BH298" i="6"/>
  <c r="BI188" i="2" s="1"/>
  <c r="BJ298" i="6"/>
  <c r="BK188" i="2" s="1"/>
  <c r="BI298" i="6"/>
  <c r="BJ188" i="2" s="1"/>
  <c r="AY298" i="6"/>
  <c r="AZ188" i="2" s="1"/>
  <c r="AX298" i="6"/>
  <c r="AY188" i="2" s="1"/>
  <c r="AW298" i="6"/>
  <c r="AX188" i="2" s="1"/>
  <c r="AR297" i="6"/>
  <c r="AS152" i="2" s="1"/>
  <c r="AQ297" i="6"/>
  <c r="AR152" i="2" s="1"/>
  <c r="AP297" i="6"/>
  <c r="AQ152" i="2" s="1"/>
  <c r="AO297" i="6"/>
  <c r="AP152" i="2" s="1"/>
  <c r="AN297" i="6"/>
  <c r="AO152" i="2" s="1"/>
  <c r="AM297" i="6"/>
  <c r="AN152" i="2" s="1"/>
  <c r="AL297" i="6"/>
  <c r="AM152" i="2" s="1"/>
  <c r="AS297" i="6"/>
  <c r="AT152" i="2" s="1"/>
  <c r="AT297" i="6"/>
  <c r="AU152" i="2" s="1"/>
  <c r="M86" i="6"/>
  <c r="N86" i="6" s="1"/>
  <c r="AU297" i="6"/>
  <c r="AV152" i="2" s="1"/>
  <c r="AV297" i="6"/>
  <c r="AW152" i="2" s="1"/>
  <c r="AW297" i="6"/>
  <c r="AX152" i="2" s="1"/>
  <c r="AX297" i="6"/>
  <c r="AY152" i="2" s="1"/>
  <c r="AY297" i="6"/>
  <c r="AZ152" i="2" s="1"/>
  <c r="AZ297" i="6"/>
  <c r="BA152" i="2" s="1"/>
  <c r="BA297" i="6"/>
  <c r="BB152" i="2" s="1"/>
  <c r="BB297" i="6"/>
  <c r="BC152" i="2" s="1"/>
  <c r="BC297" i="6"/>
  <c r="BD152" i="2" s="1"/>
  <c r="BD297" i="6"/>
  <c r="BE152" i="2" s="1"/>
  <c r="BE297" i="6"/>
  <c r="BF152" i="2" s="1"/>
  <c r="BF297" i="6"/>
  <c r="BG152" i="2" s="1"/>
  <c r="BG297" i="6"/>
  <c r="BH152" i="2" s="1"/>
  <c r="BH297" i="6"/>
  <c r="BI152" i="2" s="1"/>
  <c r="BI297" i="6"/>
  <c r="BJ152" i="2" s="1"/>
  <c r="BJ297" i="6"/>
  <c r="BK152" i="2" s="1"/>
  <c r="S297" i="6"/>
  <c r="H296" i="6"/>
  <c r="BJ296" i="6"/>
  <c r="BK212" i="2" s="1"/>
  <c r="AJ296" i="6"/>
  <c r="AK212" i="2" s="1"/>
  <c r="AI296" i="6"/>
  <c r="AJ212" i="2" s="1"/>
  <c r="D294" i="6"/>
  <c r="E80" i="2" s="1"/>
  <c r="AJ294" i="6"/>
  <c r="AK80" i="2" s="1"/>
  <c r="AI294" i="6"/>
  <c r="AJ80" i="2" s="1"/>
  <c r="AH294" i="6"/>
  <c r="AI80" i="2" s="1"/>
  <c r="AG294" i="6"/>
  <c r="AH80" i="2" s="1"/>
  <c r="AF294" i="6"/>
  <c r="AG80" i="2" s="1"/>
  <c r="AE294" i="6"/>
  <c r="AF80" i="2" s="1"/>
  <c r="AD294" i="6"/>
  <c r="AE80" i="2" s="1"/>
  <c r="AC294" i="6"/>
  <c r="AD80" i="2" s="1"/>
  <c r="AB294" i="6"/>
  <c r="AC80" i="2" s="1"/>
  <c r="AA294" i="6"/>
  <c r="AB80" i="2" s="1"/>
  <c r="Z294" i="6"/>
  <c r="AA80" i="2" s="1"/>
  <c r="Y294" i="6"/>
  <c r="Z80" i="2" s="1"/>
  <c r="X294" i="6"/>
  <c r="Y80" i="2" s="1"/>
  <c r="W294" i="6"/>
  <c r="X80" i="2" s="1"/>
  <c r="V294" i="6"/>
  <c r="U294" i="6"/>
  <c r="T294" i="6"/>
  <c r="U80" i="2" s="1"/>
  <c r="S294" i="6"/>
  <c r="T80" i="2" s="1"/>
  <c r="R294" i="6"/>
  <c r="S80" i="2" s="1"/>
  <c r="Q294" i="6"/>
  <c r="R80" i="2" s="1"/>
  <c r="P294" i="6"/>
  <c r="Q80" i="2" s="1"/>
  <c r="O294" i="6"/>
  <c r="P80" i="2" s="1"/>
  <c r="N294" i="6"/>
  <c r="O80" i="2" s="1"/>
  <c r="M294" i="6"/>
  <c r="N80" i="2" s="1"/>
  <c r="L294" i="6"/>
  <c r="M80" i="2" s="1"/>
  <c r="K294" i="6"/>
  <c r="L80" i="2" s="1"/>
  <c r="J294" i="6"/>
  <c r="K80" i="2" s="1"/>
  <c r="I294" i="6"/>
  <c r="J80" i="2" s="1"/>
  <c r="H294" i="6"/>
  <c r="I80" i="2" s="1"/>
  <c r="G294" i="6"/>
  <c r="H80" i="2" s="1"/>
  <c r="F294" i="6"/>
  <c r="G80" i="2" s="1"/>
  <c r="E294" i="6"/>
  <c r="F80" i="2" s="1"/>
  <c r="C294" i="6"/>
  <c r="M83" i="6"/>
  <c r="N83" i="6" s="1"/>
  <c r="AH293" i="6"/>
  <c r="AI206" i="2" s="1"/>
  <c r="AG293" i="6"/>
  <c r="AH206" i="2" s="1"/>
  <c r="AE293" i="6"/>
  <c r="AF206" i="2" s="1"/>
  <c r="AD293" i="6"/>
  <c r="AE206" i="2" s="1"/>
  <c r="AF293" i="6"/>
  <c r="AG206" i="2" s="1"/>
  <c r="AC293" i="6"/>
  <c r="AF292" i="6"/>
  <c r="AG32" i="2" s="1"/>
  <c r="G292" i="6"/>
  <c r="F292" i="6"/>
  <c r="Z292" i="6"/>
  <c r="AA32" i="2" s="1"/>
  <c r="X292" i="6"/>
  <c r="Y32" i="2" s="1"/>
  <c r="V292" i="6"/>
  <c r="W32" i="2" s="1"/>
  <c r="T292" i="6"/>
  <c r="U32" i="2" s="1"/>
  <c r="S292" i="6"/>
  <c r="T32" i="2" s="1"/>
  <c r="Q292" i="6"/>
  <c r="R32" i="2" s="1"/>
  <c r="AL292" i="6"/>
  <c r="AM32" i="2" s="1"/>
  <c r="AB292" i="6"/>
  <c r="AC32" i="2" s="1"/>
  <c r="I292" i="6"/>
  <c r="J32" i="2" s="1"/>
  <c r="L292" i="6"/>
  <c r="M32" i="2" s="1"/>
  <c r="D292" i="6"/>
  <c r="C292" i="6"/>
  <c r="P292" i="6"/>
  <c r="Q32" i="2" s="1"/>
  <c r="M292" i="6"/>
  <c r="N32" i="2" s="1"/>
  <c r="K292" i="6"/>
  <c r="L32" i="2" s="1"/>
  <c r="E292" i="6"/>
  <c r="H292" i="6"/>
  <c r="J292" i="6"/>
  <c r="K32" i="2" s="1"/>
  <c r="O292" i="6"/>
  <c r="P32" i="2" s="1"/>
  <c r="R292" i="6"/>
  <c r="S32" i="2" s="1"/>
  <c r="AD292" i="6"/>
  <c r="AE32" i="2" s="1"/>
  <c r="AG292" i="6"/>
  <c r="AH32" i="2" s="1"/>
  <c r="AI292" i="6"/>
  <c r="AJ32" i="2" s="1"/>
  <c r="AJ292" i="6"/>
  <c r="AK32" i="2" s="1"/>
  <c r="AK292" i="6"/>
  <c r="AL32" i="2" s="1"/>
  <c r="AP292" i="6"/>
  <c r="AQ32" i="2" s="1"/>
  <c r="AQ292" i="6"/>
  <c r="AR32" i="2" s="1"/>
  <c r="AR292" i="6"/>
  <c r="AS32" i="2" s="1"/>
  <c r="AT292" i="6"/>
  <c r="AU32" i="2" s="1"/>
  <c r="AU292" i="6"/>
  <c r="AV32" i="2" s="1"/>
  <c r="AX292" i="6"/>
  <c r="AY32" i="2" s="1"/>
  <c r="AY292" i="6"/>
  <c r="AZ32" i="2" s="1"/>
  <c r="BA292" i="6"/>
  <c r="BC292" i="6"/>
  <c r="U292" i="6"/>
  <c r="V32" i="2" s="1"/>
  <c r="W292" i="6"/>
  <c r="X32" i="2" s="1"/>
  <c r="Y292" i="6"/>
  <c r="Z32" i="2" s="1"/>
  <c r="AA292" i="6"/>
  <c r="AB32" i="2" s="1"/>
  <c r="AC292" i="6"/>
  <c r="AD32" i="2" s="1"/>
  <c r="AE292" i="6"/>
  <c r="AF32" i="2" s="1"/>
  <c r="AH292" i="6"/>
  <c r="AI32" i="2" s="1"/>
  <c r="AW292" i="6"/>
  <c r="AX32" i="2" s="1"/>
  <c r="AM292" i="6"/>
  <c r="AN32" i="2" s="1"/>
  <c r="AN292" i="6"/>
  <c r="AO32" i="2" s="1"/>
  <c r="AO292" i="6"/>
  <c r="AP32" i="2" s="1"/>
  <c r="AS292" i="6"/>
  <c r="AT32" i="2" s="1"/>
  <c r="AV292" i="6"/>
  <c r="AW32" i="2" s="1"/>
  <c r="AZ292" i="6"/>
  <c r="BA32" i="2" s="1"/>
  <c r="BB292" i="6"/>
  <c r="BC32" i="2" s="1"/>
  <c r="BD292" i="6"/>
  <c r="BE32" i="2" s="1"/>
  <c r="T291" i="6"/>
  <c r="U182" i="2" s="1"/>
  <c r="AG291" i="6"/>
  <c r="BE291" i="6"/>
  <c r="X291" i="6"/>
  <c r="Y182" i="2" s="1"/>
  <c r="V291" i="6"/>
  <c r="W182" i="2" s="1"/>
  <c r="AJ291" i="6"/>
  <c r="AK182" i="2" s="1"/>
  <c r="R291" i="6"/>
  <c r="S182" i="2" s="1"/>
  <c r="P291" i="6"/>
  <c r="Q182" i="2" s="1"/>
  <c r="N291" i="6"/>
  <c r="O182" i="2" s="1"/>
  <c r="AA291" i="6"/>
  <c r="AB182" i="2" s="1"/>
  <c r="G291" i="6"/>
  <c r="AH291" i="6"/>
  <c r="AF291" i="6"/>
  <c r="AE291" i="6"/>
  <c r="AF182" i="2" s="1"/>
  <c r="AD291" i="6"/>
  <c r="AE182" i="2" s="1"/>
  <c r="AB291" i="6"/>
  <c r="AC182" i="2" s="1"/>
  <c r="Z291" i="6"/>
  <c r="AA182" i="2" s="1"/>
  <c r="C291" i="6"/>
  <c r="W291" i="6"/>
  <c r="X182" i="2" s="1"/>
  <c r="U291" i="6"/>
  <c r="V182" i="2" s="1"/>
  <c r="S291" i="6"/>
  <c r="T182" i="2" s="1"/>
  <c r="Q291" i="6"/>
  <c r="R182" i="2" s="1"/>
  <c r="BD291" i="6"/>
  <c r="AC291" i="6"/>
  <c r="AD182" i="2" s="1"/>
  <c r="M291" i="6"/>
  <c r="N182" i="2" s="1"/>
  <c r="L291" i="6"/>
  <c r="M182" i="2" s="1"/>
  <c r="I291" i="6"/>
  <c r="H291" i="6"/>
  <c r="Y291" i="6"/>
  <c r="Z182" i="2" s="1"/>
  <c r="F291" i="6"/>
  <c r="E291" i="6"/>
  <c r="D291" i="6"/>
  <c r="E182" i="2" s="1"/>
  <c r="BF291" i="6"/>
  <c r="BG291" i="6"/>
  <c r="BH182" i="2" s="1"/>
  <c r="BH291" i="6"/>
  <c r="BI182" i="2" s="1"/>
  <c r="O291" i="6"/>
  <c r="P182" i="2" s="1"/>
  <c r="K291" i="6"/>
  <c r="L182" i="2" s="1"/>
  <c r="X290" i="6"/>
  <c r="BJ290" i="6"/>
  <c r="BK29" i="2" s="1"/>
  <c r="BI290" i="6"/>
  <c r="BJ29" i="2" s="1"/>
  <c r="M79" i="6"/>
  <c r="N79" i="6" s="1"/>
  <c r="BH290" i="6"/>
  <c r="BI29" i="2" s="1"/>
  <c r="Q289" i="6"/>
  <c r="R140" i="2" s="1"/>
  <c r="P289" i="6"/>
  <c r="Q140" i="2" s="1"/>
  <c r="O289" i="6"/>
  <c r="P140" i="2" s="1"/>
  <c r="N289" i="6"/>
  <c r="O140" i="2" s="1"/>
  <c r="M289" i="6"/>
  <c r="N140" i="2" s="1"/>
  <c r="L289" i="6"/>
  <c r="M140" i="2" s="1"/>
  <c r="K289" i="6"/>
  <c r="L140" i="2" s="1"/>
  <c r="J289" i="6"/>
  <c r="K140" i="2" s="1"/>
  <c r="C289" i="6"/>
  <c r="D289" i="6"/>
  <c r="E140" i="2" s="1"/>
  <c r="E289" i="6"/>
  <c r="F140" i="2" s="1"/>
  <c r="F289" i="6"/>
  <c r="G140" i="2" s="1"/>
  <c r="G289" i="6"/>
  <c r="H140" i="2" s="1"/>
  <c r="H289" i="6"/>
  <c r="I140" i="2" s="1"/>
  <c r="I289" i="6"/>
  <c r="J140" i="2" s="1"/>
  <c r="AD289" i="6"/>
  <c r="AE140" i="2" s="1"/>
  <c r="AC289" i="6"/>
  <c r="AD140" i="2" s="1"/>
  <c r="AB289" i="6"/>
  <c r="AC140" i="2" s="1"/>
  <c r="AA289" i="6"/>
  <c r="AB140" i="2" s="1"/>
  <c r="Z289" i="6"/>
  <c r="AA140" i="2" s="1"/>
  <c r="M78" i="6"/>
  <c r="N78" i="6" s="1"/>
  <c r="Y289" i="6"/>
  <c r="Z140" i="2" s="1"/>
  <c r="X289" i="6"/>
  <c r="Y140" i="2" s="1"/>
  <c r="W289" i="6"/>
  <c r="X140" i="2" s="1"/>
  <c r="V289" i="6"/>
  <c r="U289" i="6"/>
  <c r="T289" i="6"/>
  <c r="S289" i="6"/>
  <c r="T140" i="2" s="1"/>
  <c r="R289" i="6"/>
  <c r="S140" i="2" s="1"/>
  <c r="W288" i="6"/>
  <c r="X149" i="2" s="1"/>
  <c r="G288" i="6"/>
  <c r="H149" i="2" s="1"/>
  <c r="F288" i="6"/>
  <c r="G149" i="2" s="1"/>
  <c r="S288" i="6"/>
  <c r="AY288" i="6"/>
  <c r="D288" i="6"/>
  <c r="E149" i="2" s="1"/>
  <c r="R288" i="6"/>
  <c r="S149" i="2" s="1"/>
  <c r="Q288" i="6"/>
  <c r="E288" i="6"/>
  <c r="F149" i="2" s="1"/>
  <c r="Z288" i="6"/>
  <c r="AA149" i="2" s="1"/>
  <c r="Y288" i="6"/>
  <c r="Z149" i="2" s="1"/>
  <c r="X288" i="6"/>
  <c r="Y149" i="2" s="1"/>
  <c r="P288" i="6"/>
  <c r="Q149" i="2" s="1"/>
  <c r="AO288" i="6"/>
  <c r="V288" i="6"/>
  <c r="U288" i="6"/>
  <c r="T288" i="6"/>
  <c r="O288" i="6"/>
  <c r="N288" i="6"/>
  <c r="O149" i="2" s="1"/>
  <c r="M77" i="6"/>
  <c r="N77" i="6" s="1"/>
  <c r="AZ288" i="6"/>
  <c r="M288" i="6"/>
  <c r="N149" i="2" s="1"/>
  <c r="C288" i="6"/>
  <c r="K288" i="6"/>
  <c r="L149" i="2" s="1"/>
  <c r="I288" i="6"/>
  <c r="J149" i="2" s="1"/>
  <c r="H288" i="6"/>
  <c r="I149" i="2" s="1"/>
  <c r="L288" i="6"/>
  <c r="M149" i="2" s="1"/>
  <c r="AM288" i="6"/>
  <c r="AX288" i="6"/>
  <c r="AW288" i="6"/>
  <c r="AV288" i="6"/>
  <c r="AU288" i="6"/>
  <c r="AT288" i="6"/>
  <c r="AS288" i="6"/>
  <c r="AR288" i="6"/>
  <c r="AQ288" i="6"/>
  <c r="AP288" i="6"/>
  <c r="AN288" i="6"/>
  <c r="AL288" i="6"/>
  <c r="AK288" i="6"/>
  <c r="AJ288" i="6"/>
  <c r="AI288" i="6"/>
  <c r="AH288" i="6"/>
  <c r="AI149" i="2" s="1"/>
  <c r="AG288" i="6"/>
  <c r="AH149" i="2" s="1"/>
  <c r="AF288" i="6"/>
  <c r="AG149" i="2" s="1"/>
  <c r="AE288" i="6"/>
  <c r="AF149" i="2" s="1"/>
  <c r="AD288" i="6"/>
  <c r="AE149" i="2" s="1"/>
  <c r="AC288" i="6"/>
  <c r="AD149" i="2" s="1"/>
  <c r="AB288" i="6"/>
  <c r="AC149" i="2" s="1"/>
  <c r="AK287" i="6"/>
  <c r="AL110" i="2" s="1"/>
  <c r="BJ287" i="6"/>
  <c r="BK110" i="2" s="1"/>
  <c r="BI287" i="6"/>
  <c r="BJ110" i="2" s="1"/>
  <c r="V287" i="6"/>
  <c r="AF287" i="6"/>
  <c r="AG110" i="2" s="1"/>
  <c r="AE287" i="6"/>
  <c r="AF110" i="2" s="1"/>
  <c r="AD287" i="6"/>
  <c r="AE110" i="2" s="1"/>
  <c r="AC287" i="6"/>
  <c r="AD110" i="2" s="1"/>
  <c r="AB287" i="6"/>
  <c r="AC110" i="2" s="1"/>
  <c r="AA287" i="6"/>
  <c r="AB110" i="2" s="1"/>
  <c r="Z287" i="6"/>
  <c r="AA110" i="2" s="1"/>
  <c r="Y287" i="6"/>
  <c r="Z110" i="2" s="1"/>
  <c r="X287" i="6"/>
  <c r="Y110" i="2" s="1"/>
  <c r="W287" i="6"/>
  <c r="X110" i="2" s="1"/>
  <c r="AJ287" i="6"/>
  <c r="AK110" i="2" s="1"/>
  <c r="U287" i="6"/>
  <c r="T287" i="6"/>
  <c r="S287" i="6"/>
  <c r="R287" i="6"/>
  <c r="Q287" i="6"/>
  <c r="P287" i="6"/>
  <c r="O287" i="6"/>
  <c r="H287" i="6"/>
  <c r="AM287" i="6"/>
  <c r="AN110" i="2" s="1"/>
  <c r="AX287" i="6"/>
  <c r="AY110" i="2" s="1"/>
  <c r="AY287" i="6"/>
  <c r="AZ110" i="2" s="1"/>
  <c r="I287" i="6"/>
  <c r="BA287" i="6"/>
  <c r="BB110" i="2" s="1"/>
  <c r="J287" i="6"/>
  <c r="K287" i="6"/>
  <c r="L287" i="6"/>
  <c r="M287" i="6"/>
  <c r="N287" i="6"/>
  <c r="G287" i="6"/>
  <c r="BH287" i="6"/>
  <c r="BI110" i="2" s="1"/>
  <c r="BG287" i="6"/>
  <c r="BH110" i="2" s="1"/>
  <c r="BF287" i="6"/>
  <c r="BG110" i="2" s="1"/>
  <c r="BE287" i="6"/>
  <c r="BF110" i="2" s="1"/>
  <c r="AZ287" i="6"/>
  <c r="BA110" i="2" s="1"/>
  <c r="AG287" i="6"/>
  <c r="AH110" i="2" s="1"/>
  <c r="BD287" i="6"/>
  <c r="BE110" i="2" s="1"/>
  <c r="BC287" i="6"/>
  <c r="BD110" i="2" s="1"/>
  <c r="BB287" i="6"/>
  <c r="BC110" i="2" s="1"/>
  <c r="AL287" i="6"/>
  <c r="AM110" i="2" s="1"/>
  <c r="AI287" i="6"/>
  <c r="AJ110" i="2" s="1"/>
  <c r="C287" i="6"/>
  <c r="D287" i="6"/>
  <c r="E110" i="2" s="1"/>
  <c r="E287" i="6"/>
  <c r="F110" i="2" s="1"/>
  <c r="F287" i="6"/>
  <c r="G110" i="2" s="1"/>
  <c r="M76" i="6"/>
  <c r="N76" i="6" s="1"/>
  <c r="AH287" i="6"/>
  <c r="AI110" i="2" s="1"/>
  <c r="AS285" i="6"/>
  <c r="AT26" i="2" s="1"/>
  <c r="AR285" i="6"/>
  <c r="AS26" i="2" s="1"/>
  <c r="AQ285" i="6"/>
  <c r="AR26" i="2" s="1"/>
  <c r="AP285" i="6"/>
  <c r="AQ26" i="2" s="1"/>
  <c r="AO285" i="6"/>
  <c r="AP26" i="2" s="1"/>
  <c r="AN285" i="6"/>
  <c r="AO26" i="2" s="1"/>
  <c r="AM285" i="6"/>
  <c r="AN26" i="2" s="1"/>
  <c r="AL285" i="6"/>
  <c r="AM26" i="2" s="1"/>
  <c r="AK285" i="6"/>
  <c r="AL26" i="2" s="1"/>
  <c r="AJ285" i="6"/>
  <c r="AK26" i="2" s="1"/>
  <c r="AI285" i="6"/>
  <c r="AJ26" i="2" s="1"/>
  <c r="AH285" i="6"/>
  <c r="AI26" i="2" s="1"/>
  <c r="AG285" i="6"/>
  <c r="AH26" i="2" s="1"/>
  <c r="AF285" i="6"/>
  <c r="AG26" i="2" s="1"/>
  <c r="AE285" i="6"/>
  <c r="AF26" i="2" s="1"/>
  <c r="AD285" i="6"/>
  <c r="AE26" i="2" s="1"/>
  <c r="AC285" i="6"/>
  <c r="AD26" i="2" s="1"/>
  <c r="AB285" i="6"/>
  <c r="AC26" i="2" s="1"/>
  <c r="AA285" i="6"/>
  <c r="AB26" i="2" s="1"/>
  <c r="Z285" i="6"/>
  <c r="AA26" i="2" s="1"/>
  <c r="Y285" i="6"/>
  <c r="Z26" i="2" s="1"/>
  <c r="X285" i="6"/>
  <c r="Y26" i="2" s="1"/>
  <c r="W285" i="6"/>
  <c r="X26" i="2" s="1"/>
  <c r="V285" i="6"/>
  <c r="W26" i="2" s="1"/>
  <c r="U285" i="6"/>
  <c r="V26" i="2" s="1"/>
  <c r="T285" i="6"/>
  <c r="U26" i="2" s="1"/>
  <c r="S285" i="6"/>
  <c r="T26" i="2" s="1"/>
  <c r="R285" i="6"/>
  <c r="S26" i="2" s="1"/>
  <c r="Q285" i="6"/>
  <c r="R26" i="2" s="1"/>
  <c r="P285" i="6"/>
  <c r="Q26" i="2" s="1"/>
  <c r="O285" i="6"/>
  <c r="P26" i="2" s="1"/>
  <c r="N285" i="6"/>
  <c r="O26" i="2" s="1"/>
  <c r="M285" i="6"/>
  <c r="N26" i="2" s="1"/>
  <c r="L285" i="6"/>
  <c r="M26" i="2" s="1"/>
  <c r="K285" i="6"/>
  <c r="J285" i="6"/>
  <c r="I285" i="6"/>
  <c r="H285" i="6"/>
  <c r="G285" i="6"/>
  <c r="F285" i="6"/>
  <c r="D285" i="6"/>
  <c r="C285" i="6"/>
  <c r="E285" i="6"/>
  <c r="BJ285" i="6"/>
  <c r="BK26" i="2" s="1"/>
  <c r="BI285" i="6"/>
  <c r="BJ26" i="2" s="1"/>
  <c r="BH285" i="6"/>
  <c r="BI26" i="2" s="1"/>
  <c r="BG285" i="6"/>
  <c r="BH26" i="2" s="1"/>
  <c r="BF285" i="6"/>
  <c r="BG26" i="2" s="1"/>
  <c r="BE285" i="6"/>
  <c r="BF26" i="2" s="1"/>
  <c r="BD285" i="6"/>
  <c r="BE26" i="2" s="1"/>
  <c r="BC285" i="6"/>
  <c r="BD26" i="2" s="1"/>
  <c r="BB285" i="6"/>
  <c r="BC26" i="2" s="1"/>
  <c r="AV285" i="6"/>
  <c r="AW26" i="2" s="1"/>
  <c r="AU285" i="6"/>
  <c r="AV26" i="2" s="1"/>
  <c r="AT285" i="6"/>
  <c r="AU26" i="2" s="1"/>
  <c r="AW284" i="6"/>
  <c r="AX296" i="2" s="1"/>
  <c r="P284" i="6"/>
  <c r="Q296" i="2" s="1"/>
  <c r="BF284" i="6"/>
  <c r="BG296" i="2" s="1"/>
  <c r="C283" i="6"/>
  <c r="BJ283" i="6"/>
  <c r="BK263" i="2" s="1"/>
  <c r="BI283" i="6"/>
  <c r="BJ263" i="2" s="1"/>
  <c r="BH283" i="6"/>
  <c r="BI263" i="2" s="1"/>
  <c r="BG283" i="6"/>
  <c r="BH263" i="2" s="1"/>
  <c r="BF283" i="6"/>
  <c r="BG263" i="2" s="1"/>
  <c r="BE283" i="6"/>
  <c r="BF263" i="2" s="1"/>
  <c r="BD283" i="6"/>
  <c r="BE263" i="2" s="1"/>
  <c r="BC283" i="6"/>
  <c r="BD263" i="2" s="1"/>
  <c r="BB283" i="6"/>
  <c r="BC263" i="2" s="1"/>
  <c r="BA283" i="6"/>
  <c r="BB263" i="2" s="1"/>
  <c r="AZ283" i="6"/>
  <c r="BA263" i="2" s="1"/>
  <c r="AY283" i="6"/>
  <c r="AZ263" i="2" s="1"/>
  <c r="AX283" i="6"/>
  <c r="AY263" i="2" s="1"/>
  <c r="AW283" i="6"/>
  <c r="AX263" i="2" s="1"/>
  <c r="AU283" i="6"/>
  <c r="AV263" i="2" s="1"/>
  <c r="AV283" i="6"/>
  <c r="AW263" i="2" s="1"/>
  <c r="AR283" i="6"/>
  <c r="AS263" i="2" s="1"/>
  <c r="AQ283" i="6"/>
  <c r="AR263" i="2" s="1"/>
  <c r="AP283" i="6"/>
  <c r="AQ263" i="2" s="1"/>
  <c r="AO283" i="6"/>
  <c r="AP263" i="2" s="1"/>
  <c r="AN283" i="6"/>
  <c r="AO263" i="2" s="1"/>
  <c r="AM283" i="6"/>
  <c r="AN263" i="2" s="1"/>
  <c r="AL283" i="6"/>
  <c r="AM263" i="2" s="1"/>
  <c r="AK283" i="6"/>
  <c r="AL263" i="2" s="1"/>
  <c r="AJ283" i="6"/>
  <c r="AK263" i="2" s="1"/>
  <c r="AI283" i="6"/>
  <c r="AJ263" i="2" s="1"/>
  <c r="AH283" i="6"/>
  <c r="AI263" i="2" s="1"/>
  <c r="AG283" i="6"/>
  <c r="AH263" i="2" s="1"/>
  <c r="AF283" i="6"/>
  <c r="AG263" i="2" s="1"/>
  <c r="AE283" i="6"/>
  <c r="AF263" i="2" s="1"/>
  <c r="AS283" i="6"/>
  <c r="AT263" i="2" s="1"/>
  <c r="AT283" i="6"/>
  <c r="AU263" i="2" s="1"/>
  <c r="AJ282" i="6"/>
  <c r="AK257" i="2" s="1"/>
  <c r="AI282" i="6"/>
  <c r="AJ257" i="2" s="1"/>
  <c r="G282" i="6"/>
  <c r="AH282" i="6"/>
  <c r="AI257" i="2" s="1"/>
  <c r="AG282" i="6"/>
  <c r="AH257" i="2" s="1"/>
  <c r="AF282" i="6"/>
  <c r="AG257" i="2" s="1"/>
  <c r="AE282" i="6"/>
  <c r="AF257" i="2" s="1"/>
  <c r="AD282" i="6"/>
  <c r="AE257" i="2" s="1"/>
  <c r="AC282" i="6"/>
  <c r="AD257" i="2" s="1"/>
  <c r="AB282" i="6"/>
  <c r="AC257" i="2" s="1"/>
  <c r="AA282" i="6"/>
  <c r="AB257" i="2" s="1"/>
  <c r="Z282" i="6"/>
  <c r="AA257" i="2" s="1"/>
  <c r="Y282" i="6"/>
  <c r="Z257" i="2" s="1"/>
  <c r="X282" i="6"/>
  <c r="Y257" i="2" s="1"/>
  <c r="W282" i="6"/>
  <c r="X257" i="2" s="1"/>
  <c r="V282" i="6"/>
  <c r="W257" i="2" s="1"/>
  <c r="U282" i="6"/>
  <c r="V257" i="2" s="1"/>
  <c r="S282" i="6"/>
  <c r="T257" i="2" s="1"/>
  <c r="R282" i="6"/>
  <c r="S257" i="2" s="1"/>
  <c r="Q282" i="6"/>
  <c r="R257" i="2" s="1"/>
  <c r="P282" i="6"/>
  <c r="Q257" i="2" s="1"/>
  <c r="O282" i="6"/>
  <c r="P257" i="2" s="1"/>
  <c r="N282" i="6"/>
  <c r="O257" i="2" s="1"/>
  <c r="M282" i="6"/>
  <c r="N257" i="2" s="1"/>
  <c r="L282" i="6"/>
  <c r="M257" i="2" s="1"/>
  <c r="K282" i="6"/>
  <c r="L257" i="2" s="1"/>
  <c r="J282" i="6"/>
  <c r="K257" i="2" s="1"/>
  <c r="I282" i="6"/>
  <c r="J257" i="2" s="1"/>
  <c r="H282" i="6"/>
  <c r="I257" i="2" s="1"/>
  <c r="AQ282" i="6"/>
  <c r="AR257" i="2" s="1"/>
  <c r="C282" i="6"/>
  <c r="D282" i="6"/>
  <c r="E257" i="2" s="1"/>
  <c r="E282" i="6"/>
  <c r="F282" i="6"/>
  <c r="BJ282" i="6"/>
  <c r="BK257" i="2" s="1"/>
  <c r="M71" i="6"/>
  <c r="N71" i="6" s="1"/>
  <c r="T282" i="6"/>
  <c r="U257" i="2" s="1"/>
  <c r="AK282" i="6"/>
  <c r="AL257" i="2" s="1"/>
  <c r="O281" i="6"/>
  <c r="P59" i="2" s="1"/>
  <c r="M70" i="6"/>
  <c r="N70" i="6" s="1"/>
  <c r="N281" i="6"/>
  <c r="O59" i="2" s="1"/>
  <c r="M281" i="6"/>
  <c r="N59" i="2" s="1"/>
  <c r="L281" i="6"/>
  <c r="M59" i="2" s="1"/>
  <c r="AF281" i="6"/>
  <c r="AG59" i="2" s="1"/>
  <c r="K281" i="6"/>
  <c r="L59" i="2" s="1"/>
  <c r="AI281" i="6"/>
  <c r="AJ59" i="2" s="1"/>
  <c r="BC281" i="6"/>
  <c r="BD59" i="2" s="1"/>
  <c r="AH281" i="6"/>
  <c r="AI59" i="2" s="1"/>
  <c r="AG281" i="6"/>
  <c r="AH59" i="2" s="1"/>
  <c r="AE281" i="6"/>
  <c r="AF59" i="2" s="1"/>
  <c r="AD281" i="6"/>
  <c r="AE59" i="2" s="1"/>
  <c r="AC281" i="6"/>
  <c r="AD59" i="2" s="1"/>
  <c r="AB281" i="6"/>
  <c r="AC59" i="2" s="1"/>
  <c r="AA281" i="6"/>
  <c r="AB59" i="2" s="1"/>
  <c r="Z281" i="6"/>
  <c r="AA59" i="2" s="1"/>
  <c r="Y281" i="6"/>
  <c r="Z59" i="2" s="1"/>
  <c r="X281" i="6"/>
  <c r="Y59" i="2" s="1"/>
  <c r="W281" i="6"/>
  <c r="X59" i="2" s="1"/>
  <c r="V281" i="6"/>
  <c r="U281" i="6"/>
  <c r="T281" i="6"/>
  <c r="U59" i="2" s="1"/>
  <c r="S281" i="6"/>
  <c r="T59" i="2" s="1"/>
  <c r="R281" i="6"/>
  <c r="S59" i="2" s="1"/>
  <c r="P281" i="6"/>
  <c r="Q59" i="2" s="1"/>
  <c r="AB280" i="6"/>
  <c r="AC278" i="2" s="1"/>
  <c r="AH280" i="6"/>
  <c r="AI278" i="2" s="1"/>
  <c r="AI280" i="6"/>
  <c r="AJ278" i="2" s="1"/>
  <c r="AJ280" i="6"/>
  <c r="AK278" i="2" s="1"/>
  <c r="AZ280" i="6"/>
  <c r="BA278" i="2" s="1"/>
  <c r="AD280" i="6"/>
  <c r="AE278" i="2" s="1"/>
  <c r="AC280" i="6"/>
  <c r="AD278" i="2" s="1"/>
  <c r="AE280" i="6"/>
  <c r="AF278" i="2" s="1"/>
  <c r="AF280" i="6"/>
  <c r="AG278" i="2" s="1"/>
  <c r="AG280" i="6"/>
  <c r="AH278" i="2" s="1"/>
  <c r="AH279" i="6"/>
  <c r="AI209" i="2" s="1"/>
  <c r="AG279" i="6"/>
  <c r="AH209" i="2" s="1"/>
  <c r="AF279" i="6"/>
  <c r="AG209" i="2" s="1"/>
  <c r="AE279" i="6"/>
  <c r="AF209" i="2" s="1"/>
  <c r="AC279" i="6"/>
  <c r="AD209" i="2" s="1"/>
  <c r="AB279" i="6"/>
  <c r="AC209" i="2" s="1"/>
  <c r="D279" i="6"/>
  <c r="G279" i="6"/>
  <c r="E279" i="6"/>
  <c r="F279" i="6"/>
  <c r="H279" i="6"/>
  <c r="I209" i="2" s="1"/>
  <c r="I279" i="6"/>
  <c r="J209" i="2" s="1"/>
  <c r="J279" i="6"/>
  <c r="K209" i="2" s="1"/>
  <c r="K279" i="6"/>
  <c r="L209" i="2" s="1"/>
  <c r="L279" i="6"/>
  <c r="M209" i="2" s="1"/>
  <c r="AD279" i="6"/>
  <c r="AE209" i="2" s="1"/>
  <c r="BE279" i="6"/>
  <c r="BF209" i="2" s="1"/>
  <c r="M279" i="6"/>
  <c r="N209" i="2" s="1"/>
  <c r="N279" i="6"/>
  <c r="O209" i="2" s="1"/>
  <c r="O279" i="6"/>
  <c r="P209" i="2" s="1"/>
  <c r="P279" i="6"/>
  <c r="Q209" i="2" s="1"/>
  <c r="Q279" i="6"/>
  <c r="R209" i="2" s="1"/>
  <c r="R279" i="6"/>
  <c r="S209" i="2" s="1"/>
  <c r="S279" i="6"/>
  <c r="T209" i="2" s="1"/>
  <c r="T279" i="6"/>
  <c r="U209" i="2" s="1"/>
  <c r="Z279" i="6"/>
  <c r="AA209" i="2" s="1"/>
  <c r="U279" i="6"/>
  <c r="V209" i="2" s="1"/>
  <c r="V279" i="6"/>
  <c r="W209" i="2" s="1"/>
  <c r="W279" i="6"/>
  <c r="X209" i="2" s="1"/>
  <c r="M68" i="6"/>
  <c r="N68" i="6" s="1"/>
  <c r="X279" i="6"/>
  <c r="Y209" i="2" s="1"/>
  <c r="Y279" i="6"/>
  <c r="Z209" i="2" s="1"/>
  <c r="AA279" i="6"/>
  <c r="AB209" i="2" s="1"/>
  <c r="C279" i="6"/>
  <c r="AK278" i="6"/>
  <c r="AL155" i="2" s="1"/>
  <c r="I278" i="6"/>
  <c r="J155" i="2" s="1"/>
  <c r="H278" i="6"/>
  <c r="I155" i="2" s="1"/>
  <c r="M67" i="6"/>
  <c r="N67" i="6" s="1"/>
  <c r="G278" i="6"/>
  <c r="H155" i="2" s="1"/>
  <c r="F278" i="6"/>
  <c r="G155" i="2" s="1"/>
  <c r="E278" i="6"/>
  <c r="F155" i="2" s="1"/>
  <c r="D278" i="6"/>
  <c r="E155" i="2" s="1"/>
  <c r="AL278" i="6"/>
  <c r="AM155" i="2" s="1"/>
  <c r="AM278" i="6"/>
  <c r="AN155" i="2" s="1"/>
  <c r="AN278" i="6"/>
  <c r="AO155" i="2" s="1"/>
  <c r="AO278" i="6"/>
  <c r="AP155" i="2" s="1"/>
  <c r="AP278" i="6"/>
  <c r="AQ155" i="2" s="1"/>
  <c r="AQ278" i="6"/>
  <c r="AR155" i="2" s="1"/>
  <c r="AR278" i="6"/>
  <c r="AS155" i="2" s="1"/>
  <c r="AS278" i="6"/>
  <c r="AT155" i="2" s="1"/>
  <c r="AT278" i="6"/>
  <c r="AU155" i="2" s="1"/>
  <c r="AU278" i="6"/>
  <c r="AV155" i="2" s="1"/>
  <c r="AV278" i="6"/>
  <c r="AW155" i="2" s="1"/>
  <c r="AW278" i="6"/>
  <c r="AX155" i="2" s="1"/>
  <c r="AX278" i="6"/>
  <c r="AY155" i="2" s="1"/>
  <c r="AZ278" i="6"/>
  <c r="BA155" i="2" s="1"/>
  <c r="BA278" i="6"/>
  <c r="BB155" i="2" s="1"/>
  <c r="BB278" i="6"/>
  <c r="BC155" i="2" s="1"/>
  <c r="BC278" i="6"/>
  <c r="BD155" i="2" s="1"/>
  <c r="BD278" i="6"/>
  <c r="BE155" i="2" s="1"/>
  <c r="BE278" i="6"/>
  <c r="BF155" i="2" s="1"/>
  <c r="BF278" i="6"/>
  <c r="BG155" i="2" s="1"/>
  <c r="BG278" i="6"/>
  <c r="BH155" i="2" s="1"/>
  <c r="BH278" i="6"/>
  <c r="BI155" i="2" s="1"/>
  <c r="BI278" i="6"/>
  <c r="BJ155" i="2" s="1"/>
  <c r="BJ278" i="6"/>
  <c r="BK155" i="2" s="1"/>
  <c r="AJ278" i="6"/>
  <c r="AK155" i="2" s="1"/>
  <c r="AN277" i="6"/>
  <c r="AO113" i="2" s="1"/>
  <c r="AM277" i="6"/>
  <c r="AQ277" i="6"/>
  <c r="AR113" i="2" s="1"/>
  <c r="AR277" i="6"/>
  <c r="AS113" i="2" s="1"/>
  <c r="AP277" i="6"/>
  <c r="AQ113" i="2" s="1"/>
  <c r="AO277" i="6"/>
  <c r="AP113" i="2" s="1"/>
  <c r="BF276" i="6"/>
  <c r="BG116" i="2" s="1"/>
  <c r="AP276" i="6"/>
  <c r="AQ116" i="2" s="1"/>
  <c r="M65" i="6"/>
  <c r="N65" i="6" s="1"/>
  <c r="Q275" i="6"/>
  <c r="R77" i="2" s="1"/>
  <c r="K275" i="6"/>
  <c r="L77" i="2" s="1"/>
  <c r="L275" i="6"/>
  <c r="M77" i="2" s="1"/>
  <c r="M275" i="6"/>
  <c r="N77" i="2" s="1"/>
  <c r="D275" i="6"/>
  <c r="E77" i="2" s="1"/>
  <c r="O275" i="6"/>
  <c r="P77" i="2" s="1"/>
  <c r="E275" i="6"/>
  <c r="F77" i="2" s="1"/>
  <c r="P275" i="6"/>
  <c r="Q77" i="2" s="1"/>
  <c r="S275" i="6"/>
  <c r="T77" i="2" s="1"/>
  <c r="R275" i="6"/>
  <c r="S77" i="2" s="1"/>
  <c r="F275" i="6"/>
  <c r="G77" i="2" s="1"/>
  <c r="G275" i="6"/>
  <c r="H77" i="2" s="1"/>
  <c r="H275" i="6"/>
  <c r="I77" i="2" s="1"/>
  <c r="I275" i="6"/>
  <c r="J77" i="2" s="1"/>
  <c r="T275" i="6"/>
  <c r="U77" i="2" s="1"/>
  <c r="U275" i="6"/>
  <c r="V77" i="2" s="1"/>
  <c r="V275" i="6"/>
  <c r="W275" i="6"/>
  <c r="X77" i="2" s="1"/>
  <c r="X275" i="6"/>
  <c r="Y77" i="2" s="1"/>
  <c r="Y275" i="6"/>
  <c r="Z77" i="2" s="1"/>
  <c r="Z275" i="6"/>
  <c r="AA77" i="2" s="1"/>
  <c r="AA275" i="6"/>
  <c r="AB77" i="2" s="1"/>
  <c r="AB275" i="6"/>
  <c r="AC77" i="2" s="1"/>
  <c r="AC275" i="6"/>
  <c r="AD77" i="2" s="1"/>
  <c r="N275" i="6"/>
  <c r="O77" i="2" s="1"/>
  <c r="AD275" i="6"/>
  <c r="AE77" i="2" s="1"/>
  <c r="J275" i="6"/>
  <c r="K77" i="2" s="1"/>
  <c r="M64" i="6"/>
  <c r="N64" i="6" s="1"/>
  <c r="AE275" i="6"/>
  <c r="AF77" i="2" s="1"/>
  <c r="AF275" i="6"/>
  <c r="AG77" i="2" s="1"/>
  <c r="C275" i="6"/>
  <c r="BB273" i="6"/>
  <c r="BC128" i="2" s="1"/>
  <c r="AL273" i="6"/>
  <c r="AM128" i="2" s="1"/>
  <c r="AV273" i="6"/>
  <c r="AW128" i="2" s="1"/>
  <c r="AW273" i="6"/>
  <c r="AX128" i="2" s="1"/>
  <c r="BA273" i="6"/>
  <c r="BB128" i="2" s="1"/>
  <c r="AZ273" i="6"/>
  <c r="BA128" i="2" s="1"/>
  <c r="AU273" i="6"/>
  <c r="AV128" i="2" s="1"/>
  <c r="AM273" i="6"/>
  <c r="AN128" i="2" s="1"/>
  <c r="AN273" i="6"/>
  <c r="AO128" i="2" s="1"/>
  <c r="BF273" i="6"/>
  <c r="BG128" i="2" s="1"/>
  <c r="BG273" i="6"/>
  <c r="BH128" i="2" s="1"/>
  <c r="BH273" i="6"/>
  <c r="BI128" i="2" s="1"/>
  <c r="BI273" i="6"/>
  <c r="BJ128" i="2" s="1"/>
  <c r="BJ273" i="6"/>
  <c r="BK128" i="2" s="1"/>
  <c r="V273" i="6"/>
  <c r="BC273" i="6"/>
  <c r="BD128" i="2" s="1"/>
  <c r="BD273" i="6"/>
  <c r="BE128" i="2" s="1"/>
  <c r="AY273" i="6"/>
  <c r="AZ128" i="2" s="1"/>
  <c r="AK273" i="6"/>
  <c r="AL128" i="2" s="1"/>
  <c r="AJ273" i="6"/>
  <c r="AK128" i="2" s="1"/>
  <c r="AI273" i="6"/>
  <c r="AJ128" i="2" s="1"/>
  <c r="AH273" i="6"/>
  <c r="AI128" i="2" s="1"/>
  <c r="BE273" i="6"/>
  <c r="BF128" i="2" s="1"/>
  <c r="AO273" i="6"/>
  <c r="AP128" i="2" s="1"/>
  <c r="AP273" i="6"/>
  <c r="AQ128" i="2" s="1"/>
  <c r="AX273" i="6"/>
  <c r="AY128" i="2" s="1"/>
  <c r="AQ273" i="6"/>
  <c r="AR128" i="2" s="1"/>
  <c r="AR273" i="6"/>
  <c r="AS128" i="2" s="1"/>
  <c r="AS273" i="6"/>
  <c r="AT128" i="2" s="1"/>
  <c r="AT273" i="6"/>
  <c r="AU128" i="2" s="1"/>
  <c r="AG273" i="6"/>
  <c r="AH128" i="2" s="1"/>
  <c r="AO271" i="6"/>
  <c r="AP242" i="2" s="1"/>
  <c r="M60" i="6"/>
  <c r="N60" i="6" s="1"/>
  <c r="O270" i="6"/>
  <c r="P23" i="2" s="1"/>
  <c r="C270" i="6"/>
  <c r="E270" i="6"/>
  <c r="F23" i="2" s="1"/>
  <c r="G270" i="6"/>
  <c r="H23" i="2" s="1"/>
  <c r="I270" i="6"/>
  <c r="J23" i="2" s="1"/>
  <c r="AA270" i="6"/>
  <c r="AB23" i="2" s="1"/>
  <c r="L270" i="6"/>
  <c r="M23" i="2" s="1"/>
  <c r="J270" i="6"/>
  <c r="K23" i="2" s="1"/>
  <c r="F270" i="6"/>
  <c r="G23" i="2" s="1"/>
  <c r="P270" i="6"/>
  <c r="Q23" i="2" s="1"/>
  <c r="H270" i="6"/>
  <c r="I23" i="2" s="1"/>
  <c r="D270" i="6"/>
  <c r="N270" i="6"/>
  <c r="O23" i="2" s="1"/>
  <c r="M270" i="6"/>
  <c r="N23" i="2" s="1"/>
  <c r="K270" i="6"/>
  <c r="L23" i="2" s="1"/>
  <c r="K269" i="6"/>
  <c r="L269" i="2" s="1"/>
  <c r="J269" i="6"/>
  <c r="K269" i="2" s="1"/>
  <c r="I269" i="6"/>
  <c r="J269" i="2" s="1"/>
  <c r="H269" i="6"/>
  <c r="I269" i="2" s="1"/>
  <c r="G269" i="6"/>
  <c r="H269" i="2" s="1"/>
  <c r="F269" i="6"/>
  <c r="G269" i="2" s="1"/>
  <c r="AO268" i="6"/>
  <c r="AP227" i="2" s="1"/>
  <c r="AW268" i="6"/>
  <c r="AX227" i="2" s="1"/>
  <c r="AZ268" i="6"/>
  <c r="BA227" i="2" s="1"/>
  <c r="AY268" i="6"/>
  <c r="AZ227" i="2" s="1"/>
  <c r="AN268" i="6"/>
  <c r="AO227" i="2" s="1"/>
  <c r="AM268" i="6"/>
  <c r="AN227" i="2" s="1"/>
  <c r="AL268" i="6"/>
  <c r="AM227" i="2" s="1"/>
  <c r="AX268" i="6"/>
  <c r="AY227" i="2" s="1"/>
  <c r="AK268" i="6"/>
  <c r="AL227" i="2" s="1"/>
  <c r="AV268" i="6"/>
  <c r="AW227" i="2" s="1"/>
  <c r="AU268" i="6"/>
  <c r="AV227" i="2" s="1"/>
  <c r="AT268" i="6"/>
  <c r="AU227" i="2" s="1"/>
  <c r="AS268" i="6"/>
  <c r="AT227" i="2" s="1"/>
  <c r="AR268" i="6"/>
  <c r="AS227" i="2" s="1"/>
  <c r="AQ268" i="6"/>
  <c r="AR227" i="2" s="1"/>
  <c r="AP268" i="6"/>
  <c r="AQ227" i="2" s="1"/>
  <c r="BJ268" i="6"/>
  <c r="BK227" i="2" s="1"/>
  <c r="BI268" i="6"/>
  <c r="BJ227" i="2" s="1"/>
  <c r="BH268" i="6"/>
  <c r="BI227" i="2" s="1"/>
  <c r="BG268" i="6"/>
  <c r="BH227" i="2" s="1"/>
  <c r="BF268" i="6"/>
  <c r="BG227" i="2" s="1"/>
  <c r="BE268" i="6"/>
  <c r="BF227" i="2" s="1"/>
  <c r="BD268" i="6"/>
  <c r="BE227" i="2" s="1"/>
  <c r="M57" i="6"/>
  <c r="N57" i="6" s="1"/>
  <c r="BC268" i="6"/>
  <c r="BD227" i="2" s="1"/>
  <c r="BB268" i="6"/>
  <c r="BC227" i="2" s="1"/>
  <c r="BA268" i="6"/>
  <c r="BB227" i="2" s="1"/>
  <c r="M267" i="6"/>
  <c r="N74" i="2" s="1"/>
  <c r="N267" i="6"/>
  <c r="O74" i="2" s="1"/>
  <c r="O267" i="6"/>
  <c r="P74" i="2" s="1"/>
  <c r="D267" i="6"/>
  <c r="E74" i="2" s="1"/>
  <c r="Q267" i="6"/>
  <c r="R74" i="2" s="1"/>
  <c r="R267" i="6"/>
  <c r="S74" i="2" s="1"/>
  <c r="T267" i="6"/>
  <c r="U74" i="2" s="1"/>
  <c r="U267" i="6"/>
  <c r="V74" i="2" s="1"/>
  <c r="V267" i="6"/>
  <c r="W267" i="6"/>
  <c r="X74" i="2" s="1"/>
  <c r="P267" i="6"/>
  <c r="Q74" i="2" s="1"/>
  <c r="J267" i="6"/>
  <c r="K74" i="2" s="1"/>
  <c r="BC267" i="6"/>
  <c r="BD74" i="2" s="1"/>
  <c r="X267" i="6"/>
  <c r="Y74" i="2" s="1"/>
  <c r="S267" i="6"/>
  <c r="T74" i="2" s="1"/>
  <c r="L267" i="6"/>
  <c r="M74" i="2" s="1"/>
  <c r="BD267" i="6"/>
  <c r="BE74" i="2" s="1"/>
  <c r="K267" i="6"/>
  <c r="L74" i="2" s="1"/>
  <c r="I267" i="6"/>
  <c r="J74" i="2" s="1"/>
  <c r="H267" i="6"/>
  <c r="I74" i="2" s="1"/>
  <c r="G267" i="6"/>
  <c r="H74" i="2" s="1"/>
  <c r="F267" i="6"/>
  <c r="G74" i="2" s="1"/>
  <c r="E267" i="6"/>
  <c r="F74" i="2" s="1"/>
  <c r="C267" i="6"/>
  <c r="BG267" i="6"/>
  <c r="BH74" i="2" s="1"/>
  <c r="AP266" i="6"/>
  <c r="AQ173" i="2" s="1"/>
  <c r="AW266" i="6"/>
  <c r="AX173" i="2" s="1"/>
  <c r="AO266" i="6"/>
  <c r="AP173" i="2" s="1"/>
  <c r="AM266" i="6"/>
  <c r="AN173" i="2" s="1"/>
  <c r="AK266" i="6"/>
  <c r="AL173" i="2" s="1"/>
  <c r="AI266" i="6"/>
  <c r="AJ173" i="2" s="1"/>
  <c r="AD266" i="6"/>
  <c r="AE173" i="2" s="1"/>
  <c r="AQ266" i="6"/>
  <c r="AR173" i="2" s="1"/>
  <c r="AS266" i="6"/>
  <c r="AT173" i="2" s="1"/>
  <c r="AC266" i="6"/>
  <c r="AD173" i="2" s="1"/>
  <c r="AR266" i="6"/>
  <c r="AS173" i="2" s="1"/>
  <c r="AA266" i="6"/>
  <c r="AB173" i="2" s="1"/>
  <c r="AF266" i="6"/>
  <c r="AG173" i="2" s="1"/>
  <c r="AG266" i="6"/>
  <c r="AH173" i="2" s="1"/>
  <c r="AJ266" i="6"/>
  <c r="AK173" i="2" s="1"/>
  <c r="AL266" i="6"/>
  <c r="AM173" i="2" s="1"/>
  <c r="AU266" i="6"/>
  <c r="AV173" i="2" s="1"/>
  <c r="AN266" i="6"/>
  <c r="AO173" i="2" s="1"/>
  <c r="AT266" i="6"/>
  <c r="AU173" i="2" s="1"/>
  <c r="AE266" i="6"/>
  <c r="AF173" i="2" s="1"/>
  <c r="AB266" i="6"/>
  <c r="AC173" i="2" s="1"/>
  <c r="D265" i="6"/>
  <c r="E275" i="2" s="1"/>
  <c r="M265" i="6"/>
  <c r="N275" i="2" s="1"/>
  <c r="K265" i="6"/>
  <c r="L275" i="2" s="1"/>
  <c r="F265" i="6"/>
  <c r="G275" i="2" s="1"/>
  <c r="H265" i="6"/>
  <c r="I275" i="2" s="1"/>
  <c r="C265" i="6"/>
  <c r="AB265" i="6"/>
  <c r="AC275" i="2" s="1"/>
  <c r="I265" i="6"/>
  <c r="J275" i="2" s="1"/>
  <c r="J265" i="6"/>
  <c r="K275" i="2" s="1"/>
  <c r="E265" i="6"/>
  <c r="F275" i="2" s="1"/>
  <c r="L265" i="6"/>
  <c r="M275" i="2" s="1"/>
  <c r="G265" i="6"/>
  <c r="H275" i="2" s="1"/>
  <c r="BC264" i="6"/>
  <c r="BD143" i="2" s="1"/>
  <c r="N264" i="6"/>
  <c r="O143" i="2" s="1"/>
  <c r="S264" i="6"/>
  <c r="E264" i="6"/>
  <c r="F143" i="2" s="1"/>
  <c r="Q264" i="6"/>
  <c r="R143" i="2" s="1"/>
  <c r="C264" i="6"/>
  <c r="M53" i="6"/>
  <c r="N53" i="6" s="1"/>
  <c r="D264" i="6"/>
  <c r="E143" i="2" s="1"/>
  <c r="P264" i="6"/>
  <c r="Q143" i="2" s="1"/>
  <c r="O264" i="6"/>
  <c r="P143" i="2" s="1"/>
  <c r="R264" i="6"/>
  <c r="T263" i="6"/>
  <c r="K263" i="6"/>
  <c r="L92" i="2" s="1"/>
  <c r="Q263" i="6"/>
  <c r="O263" i="6"/>
  <c r="M263" i="6"/>
  <c r="N92" i="2" s="1"/>
  <c r="H263" i="6"/>
  <c r="I92" i="2" s="1"/>
  <c r="Z263" i="6"/>
  <c r="AA92" i="2" s="1"/>
  <c r="W263" i="6"/>
  <c r="X92" i="2" s="1"/>
  <c r="AG263" i="6"/>
  <c r="AH92" i="2" s="1"/>
  <c r="X263" i="6"/>
  <c r="Y92" i="2" s="1"/>
  <c r="AA263" i="6"/>
  <c r="AB92" i="2" s="1"/>
  <c r="AE263" i="6"/>
  <c r="AF92" i="2" s="1"/>
  <c r="J263" i="6"/>
  <c r="K92" i="2" s="1"/>
  <c r="P263" i="6"/>
  <c r="L263" i="6"/>
  <c r="M92" i="2" s="1"/>
  <c r="F263" i="6"/>
  <c r="G92" i="2" s="1"/>
  <c r="S263" i="6"/>
  <c r="AH263" i="6"/>
  <c r="AI92" i="2" s="1"/>
  <c r="AF263" i="6"/>
  <c r="AG92" i="2" s="1"/>
  <c r="AD263" i="6"/>
  <c r="AE92" i="2" s="1"/>
  <c r="AB263" i="6"/>
  <c r="AC92" i="2" s="1"/>
  <c r="R263" i="6"/>
  <c r="AC263" i="6"/>
  <c r="AD92" i="2" s="1"/>
  <c r="Y263" i="6"/>
  <c r="Z92" i="2" s="1"/>
  <c r="V263" i="6"/>
  <c r="U263" i="6"/>
  <c r="AG262" i="6"/>
  <c r="AH86" i="2" s="1"/>
  <c r="AB262" i="6"/>
  <c r="AC86" i="2" s="1"/>
  <c r="M51" i="6"/>
  <c r="N51" i="6" s="1"/>
  <c r="S262" i="6"/>
  <c r="T86" i="2" s="1"/>
  <c r="AC262" i="6"/>
  <c r="AD86" i="2" s="1"/>
  <c r="AE262" i="6"/>
  <c r="AF86" i="2" s="1"/>
  <c r="AF262" i="6"/>
  <c r="AG86" i="2" s="1"/>
  <c r="BC262" i="6"/>
  <c r="BD86" i="2" s="1"/>
  <c r="AH262" i="6"/>
  <c r="AI86" i="2" s="1"/>
  <c r="N262" i="6"/>
  <c r="O86" i="2" s="1"/>
  <c r="AI262" i="6"/>
  <c r="AJ86" i="2" s="1"/>
  <c r="AJ262" i="6"/>
  <c r="AK86" i="2" s="1"/>
  <c r="AK262" i="6"/>
  <c r="AL86" i="2" s="1"/>
  <c r="AD262" i="6"/>
  <c r="AE86" i="2" s="1"/>
  <c r="BB262" i="6"/>
  <c r="BC86" i="2" s="1"/>
  <c r="AI261" i="6"/>
  <c r="AJ185" i="2" s="1"/>
  <c r="C261" i="6"/>
  <c r="P261" i="6"/>
  <c r="Q185" i="2" s="1"/>
  <c r="R261" i="6"/>
  <c r="S185" i="2" s="1"/>
  <c r="S261" i="6"/>
  <c r="T185" i="2" s="1"/>
  <c r="V261" i="6"/>
  <c r="W261" i="6"/>
  <c r="X185" i="2" s="1"/>
  <c r="AK261" i="6"/>
  <c r="AL185" i="2" s="1"/>
  <c r="Y261" i="6"/>
  <c r="Z185" i="2" s="1"/>
  <c r="AL261" i="6"/>
  <c r="AM185" i="2" s="1"/>
  <c r="G261" i="6"/>
  <c r="H185" i="2" s="1"/>
  <c r="I261" i="6"/>
  <c r="J185" i="2" s="1"/>
  <c r="N261" i="6"/>
  <c r="O185" i="2" s="1"/>
  <c r="Q261" i="6"/>
  <c r="R185" i="2" s="1"/>
  <c r="M261" i="6"/>
  <c r="N185" i="2" s="1"/>
  <c r="K261" i="6"/>
  <c r="L185" i="2" s="1"/>
  <c r="H261" i="6"/>
  <c r="I185" i="2" s="1"/>
  <c r="BE261" i="6"/>
  <c r="BF185" i="2" s="1"/>
  <c r="AU261" i="6"/>
  <c r="AV185" i="2" s="1"/>
  <c r="AD261" i="6"/>
  <c r="AE185" i="2" s="1"/>
  <c r="X261" i="6"/>
  <c r="Y185" i="2" s="1"/>
  <c r="T261" i="6"/>
  <c r="U185" i="2" s="1"/>
  <c r="J261" i="6"/>
  <c r="K185" i="2" s="1"/>
  <c r="F261" i="6"/>
  <c r="G185" i="2" s="1"/>
  <c r="D261" i="6"/>
  <c r="E185" i="2" s="1"/>
  <c r="AM261" i="6"/>
  <c r="AN185" i="2" s="1"/>
  <c r="AG261" i="6"/>
  <c r="AH185" i="2" s="1"/>
  <c r="O261" i="6"/>
  <c r="P185" i="2" s="1"/>
  <c r="L261" i="6"/>
  <c r="M185" i="2" s="1"/>
  <c r="AC261" i="6"/>
  <c r="AD185" i="2" s="1"/>
  <c r="AB261" i="6"/>
  <c r="AC185" i="2" s="1"/>
  <c r="AA261" i="6"/>
  <c r="AB185" i="2" s="1"/>
  <c r="AJ261" i="6"/>
  <c r="AK185" i="2" s="1"/>
  <c r="Z261" i="6"/>
  <c r="AA185" i="2" s="1"/>
  <c r="M50" i="6"/>
  <c r="N50" i="6" s="1"/>
  <c r="U261" i="6"/>
  <c r="AH260" i="6"/>
  <c r="AI41" i="2" s="1"/>
  <c r="AX260" i="6"/>
  <c r="AY41" i="2" s="1"/>
  <c r="AY260" i="6"/>
  <c r="AZ41" i="2" s="1"/>
  <c r="AZ260" i="6"/>
  <c r="BA41" i="2" s="1"/>
  <c r="BA260" i="6"/>
  <c r="BB41" i="2" s="1"/>
  <c r="BB260" i="6"/>
  <c r="BC41" i="2" s="1"/>
  <c r="BD260" i="6"/>
  <c r="BE41" i="2" s="1"/>
  <c r="BE260" i="6"/>
  <c r="BF41" i="2" s="1"/>
  <c r="BF260" i="6"/>
  <c r="BG41" i="2" s="1"/>
  <c r="BG260" i="6"/>
  <c r="BH41" i="2" s="1"/>
  <c r="BH260" i="6"/>
  <c r="BI41" i="2" s="1"/>
  <c r="BI260" i="6"/>
  <c r="BJ41" i="2" s="1"/>
  <c r="BC260" i="6"/>
  <c r="BD41" i="2" s="1"/>
  <c r="M49" i="6"/>
  <c r="N49" i="6" s="1"/>
  <c r="BJ260" i="6"/>
  <c r="BK41" i="2" s="1"/>
  <c r="M48" i="6"/>
  <c r="N48" i="6" s="1"/>
  <c r="BJ259" i="6"/>
  <c r="BK50" i="2" s="1"/>
  <c r="BI259" i="6"/>
  <c r="BJ50" i="2" s="1"/>
  <c r="BH259" i="6"/>
  <c r="BI50" i="2" s="1"/>
  <c r="BG259" i="6"/>
  <c r="BH50" i="2" s="1"/>
  <c r="BF259" i="6"/>
  <c r="BG50" i="2" s="1"/>
  <c r="Z259" i="6"/>
  <c r="AA50" i="2" s="1"/>
  <c r="AI259" i="6"/>
  <c r="AJ50" i="2" s="1"/>
  <c r="AJ259" i="6"/>
  <c r="AK50" i="2" s="1"/>
  <c r="AL259" i="6"/>
  <c r="AM50" i="2" s="1"/>
  <c r="AM259" i="6"/>
  <c r="AN50" i="2" s="1"/>
  <c r="AN259" i="6"/>
  <c r="AO50" i="2" s="1"/>
  <c r="AO259" i="6"/>
  <c r="AP50" i="2" s="1"/>
  <c r="AQ259" i="6"/>
  <c r="AR50" i="2" s="1"/>
  <c r="AR259" i="6"/>
  <c r="AS50" i="2" s="1"/>
  <c r="AS259" i="6"/>
  <c r="AT50" i="2" s="1"/>
  <c r="AT259" i="6"/>
  <c r="AU50" i="2" s="1"/>
  <c r="AU259" i="6"/>
  <c r="AV50" i="2" s="1"/>
  <c r="AP259" i="6"/>
  <c r="AQ50" i="2" s="1"/>
  <c r="AV259" i="6"/>
  <c r="AW50" i="2" s="1"/>
  <c r="AW259" i="6"/>
  <c r="AX50" i="2" s="1"/>
  <c r="AX259" i="6"/>
  <c r="AY50" i="2" s="1"/>
  <c r="AY259" i="6"/>
  <c r="AZ50" i="2" s="1"/>
  <c r="AZ259" i="6"/>
  <c r="BA50" i="2" s="1"/>
  <c r="BA259" i="6"/>
  <c r="BB50" i="2" s="1"/>
  <c r="BB259" i="6"/>
  <c r="BC50" i="2" s="1"/>
  <c r="BC259" i="6"/>
  <c r="BD50" i="2" s="1"/>
  <c r="BD259" i="6"/>
  <c r="BE50" i="2" s="1"/>
  <c r="BE259" i="6"/>
  <c r="BF50" i="2" s="1"/>
  <c r="AK259" i="6"/>
  <c r="AL50" i="2" s="1"/>
  <c r="M258" i="6"/>
  <c r="N125" i="2" s="1"/>
  <c r="L258" i="6"/>
  <c r="M125" i="2" s="1"/>
  <c r="K258" i="6"/>
  <c r="L125" i="2" s="1"/>
  <c r="I258" i="6"/>
  <c r="J125" i="2" s="1"/>
  <c r="H258" i="6"/>
  <c r="I125" i="2" s="1"/>
  <c r="G258" i="6"/>
  <c r="H125" i="2" s="1"/>
  <c r="F258" i="6"/>
  <c r="G125" i="2" s="1"/>
  <c r="E258" i="6"/>
  <c r="F125" i="2" s="1"/>
  <c r="M47" i="6"/>
  <c r="N47" i="6" s="1"/>
  <c r="C258" i="6"/>
  <c r="S258" i="6"/>
  <c r="T125" i="2" s="1"/>
  <c r="AF258" i="6"/>
  <c r="AG125" i="2" s="1"/>
  <c r="R258" i="6"/>
  <c r="S125" i="2" s="1"/>
  <c r="Q258" i="6"/>
  <c r="R125" i="2" s="1"/>
  <c r="P258" i="6"/>
  <c r="Q125" i="2" s="1"/>
  <c r="O258" i="6"/>
  <c r="P125" i="2" s="1"/>
  <c r="N258" i="6"/>
  <c r="O125" i="2" s="1"/>
  <c r="D258" i="6"/>
  <c r="E125" i="2" s="1"/>
  <c r="U257" i="6"/>
  <c r="V257" i="6"/>
  <c r="W257" i="6"/>
  <c r="X119" i="2" s="1"/>
  <c r="X257" i="6"/>
  <c r="Y119" i="2" s="1"/>
  <c r="Y257" i="6"/>
  <c r="Z119" i="2" s="1"/>
  <c r="AK257" i="6"/>
  <c r="AL119" i="2" s="1"/>
  <c r="AJ257" i="6"/>
  <c r="AK119" i="2" s="1"/>
  <c r="AI257" i="6"/>
  <c r="AJ119" i="2" s="1"/>
  <c r="AH257" i="6"/>
  <c r="AI119" i="2" s="1"/>
  <c r="C257" i="6"/>
  <c r="D257" i="6"/>
  <c r="E119" i="2" s="1"/>
  <c r="E257" i="6"/>
  <c r="F119" i="2" s="1"/>
  <c r="F257" i="6"/>
  <c r="G119" i="2" s="1"/>
  <c r="G257" i="6"/>
  <c r="H119" i="2" s="1"/>
  <c r="H257" i="6"/>
  <c r="I119" i="2" s="1"/>
  <c r="I257" i="6"/>
  <c r="J119" i="2" s="1"/>
  <c r="J257" i="6"/>
  <c r="K119" i="2" s="1"/>
  <c r="K257" i="6"/>
  <c r="L119" i="2" s="1"/>
  <c r="L257" i="6"/>
  <c r="M119" i="2" s="1"/>
  <c r="M257" i="6"/>
  <c r="N119" i="2" s="1"/>
  <c r="N257" i="6"/>
  <c r="O119" i="2" s="1"/>
  <c r="O257" i="6"/>
  <c r="P119" i="2" s="1"/>
  <c r="P257" i="6"/>
  <c r="Q119" i="2" s="1"/>
  <c r="Q257" i="6"/>
  <c r="R119" i="2" s="1"/>
  <c r="R257" i="6"/>
  <c r="S119" i="2" s="1"/>
  <c r="S257" i="6"/>
  <c r="T119" i="2" s="1"/>
  <c r="T257" i="6"/>
  <c r="U119" i="2" s="1"/>
  <c r="AQ256" i="6"/>
  <c r="AR284" i="2" s="1"/>
  <c r="AP256" i="6"/>
  <c r="AQ284" i="2" s="1"/>
  <c r="AK256" i="6"/>
  <c r="AL284" i="2" s="1"/>
  <c r="AR256" i="6"/>
  <c r="AS284" i="2" s="1"/>
  <c r="AS256" i="6"/>
  <c r="AT284" i="2" s="1"/>
  <c r="AT256" i="6"/>
  <c r="AU284" i="2" s="1"/>
  <c r="AU256" i="6"/>
  <c r="AV284" i="2" s="1"/>
  <c r="AV256" i="6"/>
  <c r="AW284" i="2" s="1"/>
  <c r="AW256" i="6"/>
  <c r="AX284" i="2" s="1"/>
  <c r="AX256" i="6"/>
  <c r="AY284" i="2" s="1"/>
  <c r="AY256" i="6"/>
  <c r="AZ284" i="2" s="1"/>
  <c r="AZ256" i="6"/>
  <c r="BA284" i="2" s="1"/>
  <c r="BA256" i="6"/>
  <c r="BB284" i="2" s="1"/>
  <c r="BB256" i="6"/>
  <c r="BC284" i="2" s="1"/>
  <c r="BC256" i="6"/>
  <c r="BD284" i="2" s="1"/>
  <c r="BJ256" i="6"/>
  <c r="BK284" i="2" s="1"/>
  <c r="S256" i="6"/>
  <c r="T284" i="2" s="1"/>
  <c r="BH256" i="6"/>
  <c r="BI284" i="2" s="1"/>
  <c r="F256" i="6"/>
  <c r="BD256" i="6"/>
  <c r="BE284" i="2" s="1"/>
  <c r="BE256" i="6"/>
  <c r="BF284" i="2" s="1"/>
  <c r="BF256" i="6"/>
  <c r="BG284" i="2" s="1"/>
  <c r="AL256" i="6"/>
  <c r="AM284" i="2" s="1"/>
  <c r="AM256" i="6"/>
  <c r="AN284" i="2" s="1"/>
  <c r="AN256" i="6"/>
  <c r="AO284" i="2" s="1"/>
  <c r="AO256" i="6"/>
  <c r="AP284" i="2" s="1"/>
  <c r="AI256" i="6"/>
  <c r="AJ284" i="2" s="1"/>
  <c r="BI256" i="6"/>
  <c r="BJ284" i="2" s="1"/>
  <c r="AJ256" i="6"/>
  <c r="AK284" i="2" s="1"/>
  <c r="AY255" i="6"/>
  <c r="AZ281" i="2" s="1"/>
  <c r="AM255" i="6"/>
  <c r="AN281" i="2" s="1"/>
  <c r="AN255" i="6"/>
  <c r="AO281" i="2" s="1"/>
  <c r="AO255" i="6"/>
  <c r="AP281" i="2" s="1"/>
  <c r="AX255" i="6"/>
  <c r="AY281" i="2" s="1"/>
  <c r="AZ255" i="6"/>
  <c r="BA281" i="2" s="1"/>
  <c r="BA255" i="6"/>
  <c r="BB281" i="2" s="1"/>
  <c r="BB255" i="6"/>
  <c r="BC281" i="2" s="1"/>
  <c r="BC255" i="6"/>
  <c r="BD281" i="2" s="1"/>
  <c r="AQ255" i="6"/>
  <c r="AR281" i="2" s="1"/>
  <c r="BE255" i="6"/>
  <c r="BF281" i="2" s="1"/>
  <c r="BF255" i="6"/>
  <c r="BG281" i="2" s="1"/>
  <c r="BG255" i="6"/>
  <c r="BH281" i="2" s="1"/>
  <c r="C255" i="6"/>
  <c r="AR255" i="6"/>
  <c r="AS281" i="2" s="1"/>
  <c r="AP255" i="6"/>
  <c r="AQ281" i="2" s="1"/>
  <c r="AS255" i="6"/>
  <c r="AT281" i="2" s="1"/>
  <c r="AT255" i="6"/>
  <c r="AU281" i="2" s="1"/>
  <c r="AU255" i="6"/>
  <c r="AV281" i="2" s="1"/>
  <c r="AV255" i="6"/>
  <c r="AW281" i="2" s="1"/>
  <c r="AW255" i="6"/>
  <c r="AX281" i="2" s="1"/>
  <c r="BD255" i="6"/>
  <c r="BE281" i="2" s="1"/>
  <c r="BE253" i="6"/>
  <c r="BF191" i="2" s="1"/>
  <c r="BJ253" i="6"/>
  <c r="BK191" i="2" s="1"/>
  <c r="AZ253" i="6"/>
  <c r="BA191" i="2" s="1"/>
  <c r="AQ253" i="6"/>
  <c r="AR191" i="2" s="1"/>
  <c r="AO253" i="6"/>
  <c r="AP191" i="2" s="1"/>
  <c r="AK253" i="6"/>
  <c r="AL191" i="2" s="1"/>
  <c r="AJ253" i="6"/>
  <c r="AK191" i="2" s="1"/>
  <c r="K253" i="6"/>
  <c r="L191" i="2" s="1"/>
  <c r="C253" i="6"/>
  <c r="AP253" i="6"/>
  <c r="AQ191" i="2" s="1"/>
  <c r="W253" i="6"/>
  <c r="X191" i="2" s="1"/>
  <c r="N253" i="6"/>
  <c r="O191" i="2" s="1"/>
  <c r="AT253" i="6"/>
  <c r="AU191" i="2" s="1"/>
  <c r="AS253" i="6"/>
  <c r="AT191" i="2" s="1"/>
  <c r="AX253" i="6"/>
  <c r="AY191" i="2" s="1"/>
  <c r="L253" i="6"/>
  <c r="M191" i="2" s="1"/>
  <c r="J253" i="6"/>
  <c r="K191" i="2" s="1"/>
  <c r="H253" i="6"/>
  <c r="I191" i="2" s="1"/>
  <c r="AM253" i="6"/>
  <c r="AN191" i="2" s="1"/>
  <c r="AL253" i="6"/>
  <c r="AM191" i="2" s="1"/>
  <c r="AI253" i="6"/>
  <c r="AJ191" i="2" s="1"/>
  <c r="S253" i="6"/>
  <c r="T191" i="2" s="1"/>
  <c r="Q253" i="6"/>
  <c r="R191" i="2" s="1"/>
  <c r="M42" i="6"/>
  <c r="N42" i="6" s="1"/>
  <c r="E253" i="6"/>
  <c r="F191" i="2" s="1"/>
  <c r="BB253" i="6"/>
  <c r="BC191" i="2" s="1"/>
  <c r="I253" i="6"/>
  <c r="J191" i="2" s="1"/>
  <c r="X253" i="6"/>
  <c r="Y191" i="2" s="1"/>
  <c r="BG253" i="6"/>
  <c r="BH191" i="2" s="1"/>
  <c r="BA253" i="6"/>
  <c r="BB191" i="2" s="1"/>
  <c r="AY253" i="6"/>
  <c r="AZ191" i="2" s="1"/>
  <c r="BD253" i="6"/>
  <c r="BE191" i="2" s="1"/>
  <c r="AN253" i="6"/>
  <c r="AO191" i="2" s="1"/>
  <c r="AU253" i="6"/>
  <c r="AV191" i="2" s="1"/>
  <c r="AE253" i="6"/>
  <c r="AF191" i="2" s="1"/>
  <c r="F253" i="6"/>
  <c r="G191" i="2" s="1"/>
  <c r="D253" i="6"/>
  <c r="E191" i="2" s="1"/>
  <c r="O253" i="6"/>
  <c r="P191" i="2" s="1"/>
  <c r="R253" i="6"/>
  <c r="S191" i="2" s="1"/>
  <c r="Y253" i="6"/>
  <c r="Z191" i="2" s="1"/>
  <c r="AB253" i="6"/>
  <c r="AC191" i="2" s="1"/>
  <c r="AR253" i="6"/>
  <c r="AS191" i="2" s="1"/>
  <c r="AH253" i="6"/>
  <c r="AI191" i="2" s="1"/>
  <c r="BH253" i="6"/>
  <c r="BI191" i="2" s="1"/>
  <c r="AA253" i="6"/>
  <c r="AB191" i="2" s="1"/>
  <c r="Z253" i="6"/>
  <c r="AA191" i="2" s="1"/>
  <c r="V253" i="6"/>
  <c r="AV253" i="6"/>
  <c r="AW191" i="2" s="1"/>
  <c r="AF253" i="6"/>
  <c r="AG191" i="2" s="1"/>
  <c r="T253" i="6"/>
  <c r="U191" i="2" s="1"/>
  <c r="G253" i="6"/>
  <c r="H191" i="2" s="1"/>
  <c r="U253" i="6"/>
  <c r="AC253" i="6"/>
  <c r="AD191" i="2" s="1"/>
  <c r="AW253" i="6"/>
  <c r="AX191" i="2" s="1"/>
  <c r="AD253" i="6"/>
  <c r="AE191" i="2" s="1"/>
  <c r="P253" i="6"/>
  <c r="Q191" i="2" s="1"/>
  <c r="M253" i="6"/>
  <c r="N191" i="2" s="1"/>
  <c r="AG253" i="6"/>
  <c r="AH191" i="2" s="1"/>
  <c r="BI253" i="6"/>
  <c r="BJ191" i="2" s="1"/>
  <c r="BC253" i="6"/>
  <c r="BD191" i="2" s="1"/>
  <c r="BF253" i="6"/>
  <c r="BG191" i="2" s="1"/>
  <c r="AK252" i="6"/>
  <c r="AL83" i="2" s="1"/>
  <c r="AG252" i="6"/>
  <c r="AH83" i="2" s="1"/>
  <c r="N252" i="6"/>
  <c r="O83" i="2" s="1"/>
  <c r="T252" i="6"/>
  <c r="U83" i="2" s="1"/>
  <c r="O252" i="6"/>
  <c r="P83" i="2" s="1"/>
  <c r="AS252" i="6"/>
  <c r="AT83" i="2" s="1"/>
  <c r="M41" i="6"/>
  <c r="N41" i="6" s="1"/>
  <c r="AN252" i="6"/>
  <c r="AO83" i="2" s="1"/>
  <c r="Y252" i="6"/>
  <c r="Z83" i="2" s="1"/>
  <c r="AQ252" i="6"/>
  <c r="AR83" i="2" s="1"/>
  <c r="AR252" i="6"/>
  <c r="AS83" i="2" s="1"/>
  <c r="AJ252" i="6"/>
  <c r="AK83" i="2" s="1"/>
  <c r="AL252" i="6"/>
  <c r="AM83" i="2" s="1"/>
  <c r="AO252" i="6"/>
  <c r="AP83" i="2" s="1"/>
  <c r="W252" i="6"/>
  <c r="X83" i="2" s="1"/>
  <c r="AC252" i="6"/>
  <c r="AD83" i="2" s="1"/>
  <c r="AP252" i="6"/>
  <c r="AQ83" i="2" s="1"/>
  <c r="U252" i="6"/>
  <c r="AD252" i="6"/>
  <c r="AE83" i="2" s="1"/>
  <c r="S252" i="6"/>
  <c r="T83" i="2" s="1"/>
  <c r="AT252" i="6"/>
  <c r="AU83" i="2" s="1"/>
  <c r="AI252" i="6"/>
  <c r="AJ83" i="2" s="1"/>
  <c r="AF252" i="6"/>
  <c r="AG83" i="2" s="1"/>
  <c r="AE252" i="6"/>
  <c r="AF83" i="2" s="1"/>
  <c r="R252" i="6"/>
  <c r="S83" i="2" s="1"/>
  <c r="AB252" i="6"/>
  <c r="AC83" i="2" s="1"/>
  <c r="AZ252" i="6"/>
  <c r="BA83" i="2" s="1"/>
  <c r="Z252" i="6"/>
  <c r="AA83" i="2" s="1"/>
  <c r="X252" i="6"/>
  <c r="Y83" i="2" s="1"/>
  <c r="V252" i="6"/>
  <c r="AM252" i="6"/>
  <c r="AN83" i="2" s="1"/>
  <c r="AH252" i="6"/>
  <c r="AI83" i="2" s="1"/>
  <c r="O251" i="6"/>
  <c r="AK251" i="6"/>
  <c r="AL20" i="2" s="1"/>
  <c r="AJ251" i="6"/>
  <c r="AK20" i="2" s="1"/>
  <c r="AI251" i="6"/>
  <c r="AJ20" i="2" s="1"/>
  <c r="AL251" i="6"/>
  <c r="AM20" i="2" s="1"/>
  <c r="AP250" i="6"/>
  <c r="AQ137" i="2" s="1"/>
  <c r="AQ250" i="6"/>
  <c r="AR137" i="2" s="1"/>
  <c r="AR250" i="6"/>
  <c r="AS137" i="2" s="1"/>
  <c r="AS250" i="6"/>
  <c r="AT137" i="2" s="1"/>
  <c r="AT250" i="6"/>
  <c r="AU137" i="2" s="1"/>
  <c r="AU250" i="6"/>
  <c r="AV137" i="2" s="1"/>
  <c r="AV250" i="6"/>
  <c r="AW137" i="2" s="1"/>
  <c r="BJ250" i="6"/>
  <c r="BK137" i="2" s="1"/>
  <c r="BI250" i="6"/>
  <c r="BJ137" i="2" s="1"/>
  <c r="BH250" i="6"/>
  <c r="BI137" i="2" s="1"/>
  <c r="BG250" i="6"/>
  <c r="BH137" i="2" s="1"/>
  <c r="BF250" i="6"/>
  <c r="BG137" i="2" s="1"/>
  <c r="AW250" i="6"/>
  <c r="AX137" i="2" s="1"/>
  <c r="AX250" i="6"/>
  <c r="AY137" i="2" s="1"/>
  <c r="AY250" i="6"/>
  <c r="AZ137" i="2" s="1"/>
  <c r="AZ250" i="6"/>
  <c r="BA137" i="2" s="1"/>
  <c r="BA250" i="6"/>
  <c r="BB137" i="2" s="1"/>
  <c r="N250" i="6"/>
  <c r="O137" i="2" s="1"/>
  <c r="BC250" i="6"/>
  <c r="BD137" i="2" s="1"/>
  <c r="BD250" i="6"/>
  <c r="BE137" i="2" s="1"/>
  <c r="BE250" i="6"/>
  <c r="BF137" i="2" s="1"/>
  <c r="AD250" i="6"/>
  <c r="AE137" i="2" s="1"/>
  <c r="M39" i="6"/>
  <c r="N39" i="6" s="1"/>
  <c r="BB250" i="6"/>
  <c r="BC137" i="2" s="1"/>
  <c r="AM250" i="6"/>
  <c r="AN137" i="2" s="1"/>
  <c r="AN250" i="6"/>
  <c r="AO137" i="2" s="1"/>
  <c r="AO250" i="6"/>
  <c r="AP137" i="2" s="1"/>
  <c r="BI249" i="6"/>
  <c r="BJ17" i="2" s="1"/>
  <c r="BH249" i="6"/>
  <c r="BI17" i="2" s="1"/>
  <c r="T249" i="6"/>
  <c r="U17" i="2" s="1"/>
  <c r="BC249" i="6"/>
  <c r="BD17" i="2" s="1"/>
  <c r="BB249" i="6"/>
  <c r="BC17" i="2" s="1"/>
  <c r="S249" i="6"/>
  <c r="T17" i="2" s="1"/>
  <c r="R249" i="6"/>
  <c r="S17" i="2" s="1"/>
  <c r="BG249" i="6"/>
  <c r="BH17" i="2" s="1"/>
  <c r="Q249" i="6"/>
  <c r="R17" i="2" s="1"/>
  <c r="BA249" i="6"/>
  <c r="BB17" i="2" s="1"/>
  <c r="AZ249" i="6"/>
  <c r="BA17" i="2" s="1"/>
  <c r="M38" i="6"/>
  <c r="N38" i="6" s="1"/>
  <c r="AX249" i="6"/>
  <c r="AY17" i="2" s="1"/>
  <c r="AW249" i="6"/>
  <c r="AX17" i="2" s="1"/>
  <c r="O249" i="6"/>
  <c r="P17" i="2" s="1"/>
  <c r="N249" i="6"/>
  <c r="O17" i="2" s="1"/>
  <c r="M249" i="6"/>
  <c r="N17" i="2" s="1"/>
  <c r="L249" i="6"/>
  <c r="M17" i="2" s="1"/>
  <c r="AV249" i="6"/>
  <c r="AW17" i="2" s="1"/>
  <c r="AU249" i="6"/>
  <c r="AV17" i="2" s="1"/>
  <c r="AT249" i="6"/>
  <c r="AU17" i="2" s="1"/>
  <c r="BJ249" i="6"/>
  <c r="BK17" i="2" s="1"/>
  <c r="K249" i="6"/>
  <c r="L17" i="2" s="1"/>
  <c r="J249" i="6"/>
  <c r="K17" i="2" s="1"/>
  <c r="I249" i="6"/>
  <c r="J17" i="2" s="1"/>
  <c r="AS249" i="6"/>
  <c r="AT17" i="2" s="1"/>
  <c r="BD249" i="6"/>
  <c r="BE17" i="2" s="1"/>
  <c r="BF249" i="6"/>
  <c r="BG17" i="2" s="1"/>
  <c r="BE249" i="6"/>
  <c r="BF17" i="2" s="1"/>
  <c r="H249" i="6"/>
  <c r="I17" i="2" s="1"/>
  <c r="G249" i="6"/>
  <c r="H17" i="2" s="1"/>
  <c r="F249" i="6"/>
  <c r="G17" i="2" s="1"/>
  <c r="AY249" i="6"/>
  <c r="AZ17" i="2" s="1"/>
  <c r="P249" i="6"/>
  <c r="Q17" i="2" s="1"/>
  <c r="BG248" i="6"/>
  <c r="BH131" i="2" s="1"/>
  <c r="BH248" i="6"/>
  <c r="BI131" i="2" s="1"/>
  <c r="BI248" i="6"/>
  <c r="BJ131" i="2" s="1"/>
  <c r="BJ248" i="6"/>
  <c r="BK131" i="2" s="1"/>
  <c r="AR248" i="6"/>
  <c r="AS131" i="2" s="1"/>
  <c r="G248" i="6"/>
  <c r="H131" i="2" s="1"/>
  <c r="X248" i="6"/>
  <c r="Y131" i="2" s="1"/>
  <c r="Y248" i="6"/>
  <c r="Z131" i="2" s="1"/>
  <c r="Z248" i="6"/>
  <c r="AA131" i="2" s="1"/>
  <c r="AV248" i="6"/>
  <c r="AW131" i="2" s="1"/>
  <c r="C248" i="6"/>
  <c r="D248" i="6"/>
  <c r="E131" i="2" s="1"/>
  <c r="E248" i="6"/>
  <c r="F131" i="2" s="1"/>
  <c r="F248" i="6"/>
  <c r="G131" i="2" s="1"/>
  <c r="H248" i="6"/>
  <c r="I131" i="2" s="1"/>
  <c r="I248" i="6"/>
  <c r="J131" i="2" s="1"/>
  <c r="J248" i="6"/>
  <c r="K131" i="2" s="1"/>
  <c r="K248" i="6"/>
  <c r="L131" i="2" s="1"/>
  <c r="L248" i="6"/>
  <c r="M131" i="2" s="1"/>
  <c r="M248" i="6"/>
  <c r="N131" i="2" s="1"/>
  <c r="N248" i="6"/>
  <c r="O131" i="2" s="1"/>
  <c r="O248" i="6"/>
  <c r="P131" i="2" s="1"/>
  <c r="P248" i="6"/>
  <c r="Q131" i="2" s="1"/>
  <c r="Q248" i="6"/>
  <c r="R131" i="2" s="1"/>
  <c r="R248" i="6"/>
  <c r="S131" i="2" s="1"/>
  <c r="S248" i="6"/>
  <c r="T131" i="2" s="1"/>
  <c r="T248" i="6"/>
  <c r="U131" i="2" s="1"/>
  <c r="U248" i="6"/>
  <c r="AO248" i="6"/>
  <c r="AP131" i="2" s="1"/>
  <c r="V248" i="6"/>
  <c r="AA248" i="6"/>
  <c r="AB131" i="2" s="1"/>
  <c r="AB248" i="6"/>
  <c r="AC131" i="2" s="1"/>
  <c r="AC248" i="6"/>
  <c r="AD131" i="2" s="1"/>
  <c r="AD248" i="6"/>
  <c r="AE131" i="2" s="1"/>
  <c r="AE248" i="6"/>
  <c r="AF131" i="2" s="1"/>
  <c r="AF248" i="6"/>
  <c r="AG131" i="2" s="1"/>
  <c r="AG248" i="6"/>
  <c r="AH131" i="2" s="1"/>
  <c r="AH248" i="6"/>
  <c r="AI131" i="2" s="1"/>
  <c r="AI248" i="6"/>
  <c r="AJ131" i="2" s="1"/>
  <c r="AJ248" i="6"/>
  <c r="AK131" i="2" s="1"/>
  <c r="AK248" i="6"/>
  <c r="AL131" i="2" s="1"/>
  <c r="AL248" i="6"/>
  <c r="AM131" i="2" s="1"/>
  <c r="AM248" i="6"/>
  <c r="AN131" i="2" s="1"/>
  <c r="AN248" i="6"/>
  <c r="AO131" i="2" s="1"/>
  <c r="AP248" i="6"/>
  <c r="AQ131" i="2" s="1"/>
  <c r="AQ248" i="6"/>
  <c r="AR131" i="2" s="1"/>
  <c r="W248" i="6"/>
  <c r="X131" i="2" s="1"/>
  <c r="AT248" i="6"/>
  <c r="AU131" i="2" s="1"/>
  <c r="AU248" i="6"/>
  <c r="AV131" i="2" s="1"/>
  <c r="AW248" i="6"/>
  <c r="AX131" i="2" s="1"/>
  <c r="AX248" i="6"/>
  <c r="AY131" i="2" s="1"/>
  <c r="AS248" i="6"/>
  <c r="AT131" i="2" s="1"/>
  <c r="AZ248" i="6"/>
  <c r="BA131" i="2" s="1"/>
  <c r="BA248" i="6"/>
  <c r="BB131" i="2" s="1"/>
  <c r="BB248" i="6"/>
  <c r="BC131" i="2" s="1"/>
  <c r="BC248" i="6"/>
  <c r="BD131" i="2" s="1"/>
  <c r="BD248" i="6"/>
  <c r="BE131" i="2" s="1"/>
  <c r="BE248" i="6"/>
  <c r="BF131" i="2" s="1"/>
  <c r="BF248" i="6"/>
  <c r="BG131" i="2" s="1"/>
  <c r="H247" i="6"/>
  <c r="I14" i="2" s="1"/>
  <c r="G247" i="6"/>
  <c r="H14" i="2" s="1"/>
  <c r="F247" i="6"/>
  <c r="G14" i="2" s="1"/>
  <c r="E247" i="6"/>
  <c r="F14" i="2" s="1"/>
  <c r="D247" i="6"/>
  <c r="E14" i="2" s="1"/>
  <c r="C247" i="6"/>
  <c r="BG247" i="6"/>
  <c r="BH14" i="2" s="1"/>
  <c r="BH247" i="6"/>
  <c r="BI14" i="2" s="1"/>
  <c r="BI247" i="6"/>
  <c r="BJ14" i="2" s="1"/>
  <c r="AH247" i="6"/>
  <c r="AI14" i="2" s="1"/>
  <c r="R247" i="6"/>
  <c r="S14" i="2" s="1"/>
  <c r="Q247" i="6"/>
  <c r="R14" i="2" s="1"/>
  <c r="P247" i="6"/>
  <c r="Q14" i="2" s="1"/>
  <c r="O247" i="6"/>
  <c r="P14" i="2" s="1"/>
  <c r="N247" i="6"/>
  <c r="O14" i="2" s="1"/>
  <c r="M247" i="6"/>
  <c r="N14" i="2" s="1"/>
  <c r="L247" i="6"/>
  <c r="M14" i="2" s="1"/>
  <c r="K247" i="6"/>
  <c r="L14" i="2" s="1"/>
  <c r="J247" i="6"/>
  <c r="K14" i="2" s="1"/>
  <c r="BJ247" i="6"/>
  <c r="BK14" i="2" s="1"/>
  <c r="AJ247" i="6"/>
  <c r="AK14" i="2" s="1"/>
  <c r="T247" i="6"/>
  <c r="U14" i="2" s="1"/>
  <c r="U247" i="6"/>
  <c r="V14" i="2" s="1"/>
  <c r="V247" i="6"/>
  <c r="W14" i="2" s="1"/>
  <c r="W247" i="6"/>
  <c r="X14" i="2" s="1"/>
  <c r="X247" i="6"/>
  <c r="Y14" i="2" s="1"/>
  <c r="Y247" i="6"/>
  <c r="Z14" i="2" s="1"/>
  <c r="I247" i="6"/>
  <c r="J14" i="2" s="1"/>
  <c r="Z247" i="6"/>
  <c r="AA14" i="2" s="1"/>
  <c r="AA247" i="6"/>
  <c r="AB14" i="2" s="1"/>
  <c r="AB247" i="6"/>
  <c r="AC14" i="2" s="1"/>
  <c r="AC247" i="6"/>
  <c r="AD14" i="2" s="1"/>
  <c r="AD247" i="6"/>
  <c r="AE14" i="2" s="1"/>
  <c r="AE247" i="6"/>
  <c r="AF14" i="2" s="1"/>
  <c r="AF247" i="6"/>
  <c r="AG14" i="2" s="1"/>
  <c r="AG247" i="6"/>
  <c r="AH14" i="2" s="1"/>
  <c r="S247" i="6"/>
  <c r="T14" i="2" s="1"/>
  <c r="AI247" i="6"/>
  <c r="AJ14" i="2" s="1"/>
  <c r="AK247" i="6"/>
  <c r="AL14" i="2" s="1"/>
  <c r="AL247" i="6"/>
  <c r="AM14" i="2" s="1"/>
  <c r="AM247" i="6"/>
  <c r="AN14" i="2" s="1"/>
  <c r="AN247" i="6"/>
  <c r="AO14" i="2" s="1"/>
  <c r="AO247" i="6"/>
  <c r="AP14" i="2" s="1"/>
  <c r="AP247" i="6"/>
  <c r="AQ14" i="2" s="1"/>
  <c r="AQ247" i="6"/>
  <c r="AR14" i="2" s="1"/>
  <c r="AR247" i="6"/>
  <c r="AS14" i="2" s="1"/>
  <c r="AS247" i="6"/>
  <c r="AT14" i="2" s="1"/>
  <c r="AT247" i="6"/>
  <c r="AU14" i="2" s="1"/>
  <c r="AU247" i="6"/>
  <c r="AV14" i="2" s="1"/>
  <c r="AV247" i="6"/>
  <c r="AW14" i="2" s="1"/>
  <c r="AX247" i="6"/>
  <c r="AY14" i="2" s="1"/>
  <c r="AY247" i="6"/>
  <c r="AZ14" i="2" s="1"/>
  <c r="AZ247" i="6"/>
  <c r="BA14" i="2" s="1"/>
  <c r="BA247" i="6"/>
  <c r="BB14" i="2" s="1"/>
  <c r="BC247" i="6"/>
  <c r="BD14" i="2" s="1"/>
  <c r="BD247" i="6"/>
  <c r="BE14" i="2" s="1"/>
  <c r="BE247" i="6"/>
  <c r="BF14" i="2" s="1"/>
  <c r="AW247" i="6"/>
  <c r="AX14" i="2" s="1"/>
  <c r="BB247" i="6"/>
  <c r="BC14" i="2" s="1"/>
  <c r="BF247" i="6"/>
  <c r="BG14" i="2" s="1"/>
  <c r="AE246" i="6"/>
  <c r="AF194" i="2" s="1"/>
  <c r="M35" i="6"/>
  <c r="N35" i="6" s="1"/>
  <c r="J246" i="6"/>
  <c r="K194" i="2" s="1"/>
  <c r="AC246" i="6"/>
  <c r="AD194" i="2" s="1"/>
  <c r="U246" i="6"/>
  <c r="AL246" i="6"/>
  <c r="AM194" i="2" s="1"/>
  <c r="X246" i="6"/>
  <c r="Y194" i="2" s="1"/>
  <c r="Y246" i="6"/>
  <c r="Z194" i="2" s="1"/>
  <c r="H246" i="6"/>
  <c r="I194" i="2" s="1"/>
  <c r="Z246" i="6"/>
  <c r="AA194" i="2" s="1"/>
  <c r="P246" i="6"/>
  <c r="Q194" i="2" s="1"/>
  <c r="S246" i="6"/>
  <c r="T194" i="2" s="1"/>
  <c r="AD246" i="6"/>
  <c r="AE194" i="2" s="1"/>
  <c r="AE245" i="6"/>
  <c r="AF170" i="2" s="1"/>
  <c r="AD245" i="6"/>
  <c r="AE170" i="2" s="1"/>
  <c r="AC245" i="6"/>
  <c r="AD170" i="2" s="1"/>
  <c r="X245" i="6"/>
  <c r="Y170" i="2" s="1"/>
  <c r="Y245" i="6"/>
  <c r="Z170" i="2" s="1"/>
  <c r="BF245" i="6"/>
  <c r="BG170" i="2" s="1"/>
  <c r="BE245" i="6"/>
  <c r="BF170" i="2" s="1"/>
  <c r="BD245" i="6"/>
  <c r="BE170" i="2" s="1"/>
  <c r="BC245" i="6"/>
  <c r="BD170" i="2" s="1"/>
  <c r="BB245" i="6"/>
  <c r="BC170" i="2" s="1"/>
  <c r="BA245" i="6"/>
  <c r="BB170" i="2" s="1"/>
  <c r="M34" i="6"/>
  <c r="N34" i="6" s="1"/>
  <c r="AZ245" i="6"/>
  <c r="BA170" i="2" s="1"/>
  <c r="AY245" i="6"/>
  <c r="AZ170" i="2" s="1"/>
  <c r="AX245" i="6"/>
  <c r="AY170" i="2" s="1"/>
  <c r="AW245" i="6"/>
  <c r="AX170" i="2" s="1"/>
  <c r="AV245" i="6"/>
  <c r="AW170" i="2" s="1"/>
  <c r="AU245" i="6"/>
  <c r="AV170" i="2" s="1"/>
  <c r="AT245" i="6"/>
  <c r="AU170" i="2" s="1"/>
  <c r="AS245" i="6"/>
  <c r="AT170" i="2" s="1"/>
  <c r="BI245" i="6"/>
  <c r="BJ170" i="2" s="1"/>
  <c r="C245" i="6"/>
  <c r="D245" i="6"/>
  <c r="E170" i="2" s="1"/>
  <c r="E245" i="6"/>
  <c r="F170" i="2" s="1"/>
  <c r="F245" i="6"/>
  <c r="G170" i="2" s="1"/>
  <c r="G245" i="6"/>
  <c r="H170" i="2" s="1"/>
  <c r="H245" i="6"/>
  <c r="I170" i="2" s="1"/>
  <c r="AR245" i="6"/>
  <c r="AS170" i="2" s="1"/>
  <c r="AA245" i="6"/>
  <c r="AB170" i="2" s="1"/>
  <c r="Z245" i="6"/>
  <c r="AA170" i="2" s="1"/>
  <c r="AK245" i="6"/>
  <c r="AL170" i="2" s="1"/>
  <c r="BG245" i="6"/>
  <c r="BH170" i="2" s="1"/>
  <c r="I245" i="6"/>
  <c r="J170" i="2" s="1"/>
  <c r="J245" i="6"/>
  <c r="K170" i="2" s="1"/>
  <c r="K245" i="6"/>
  <c r="L170" i="2" s="1"/>
  <c r="AH245" i="6"/>
  <c r="AI170" i="2" s="1"/>
  <c r="AP245" i="6"/>
  <c r="AQ170" i="2" s="1"/>
  <c r="AO245" i="6"/>
  <c r="AP170" i="2" s="1"/>
  <c r="AN245" i="6"/>
  <c r="AO170" i="2" s="1"/>
  <c r="AM245" i="6"/>
  <c r="AN170" i="2" s="1"/>
  <c r="AL245" i="6"/>
  <c r="AM170" i="2" s="1"/>
  <c r="BH245" i="6"/>
  <c r="BI170" i="2" s="1"/>
  <c r="AJ245" i="6"/>
  <c r="AK170" i="2" s="1"/>
  <c r="AI245" i="6"/>
  <c r="AJ170" i="2" s="1"/>
  <c r="AG245" i="6"/>
  <c r="AH170" i="2" s="1"/>
  <c r="AF245" i="6"/>
  <c r="AG170" i="2" s="1"/>
  <c r="AT244" i="6"/>
  <c r="AU11" i="2" s="1"/>
  <c r="L244" i="6"/>
  <c r="M11" i="2" s="1"/>
  <c r="M33" i="6"/>
  <c r="N33" i="6" s="1"/>
  <c r="AO244" i="6"/>
  <c r="AP11" i="2" s="1"/>
  <c r="C244" i="6"/>
  <c r="D244" i="6"/>
  <c r="E244" i="6"/>
  <c r="F11" i="2" s="1"/>
  <c r="F244" i="6"/>
  <c r="G11" i="2" s="1"/>
  <c r="G244" i="6"/>
  <c r="H11" i="2" s="1"/>
  <c r="AS244" i="6"/>
  <c r="AT11" i="2" s="1"/>
  <c r="AR244" i="6"/>
  <c r="AS11" i="2" s="1"/>
  <c r="H244" i="6"/>
  <c r="I11" i="2" s="1"/>
  <c r="M244" i="6"/>
  <c r="N11" i="2" s="1"/>
  <c r="I244" i="6"/>
  <c r="J11" i="2" s="1"/>
  <c r="J244" i="6"/>
  <c r="K11" i="2" s="1"/>
  <c r="K244" i="6"/>
  <c r="L11" i="2" s="1"/>
  <c r="N244" i="6"/>
  <c r="O11" i="2" s="1"/>
  <c r="O244" i="6"/>
  <c r="P11" i="2" s="1"/>
  <c r="P244" i="6"/>
  <c r="Q11" i="2" s="1"/>
  <c r="Q244" i="6"/>
  <c r="R11" i="2" s="1"/>
  <c r="S244" i="6"/>
  <c r="T11" i="2" s="1"/>
  <c r="T244" i="6"/>
  <c r="U11" i="2" s="1"/>
  <c r="U244" i="6"/>
  <c r="V11" i="2" s="1"/>
  <c r="V244" i="6"/>
  <c r="W11" i="2" s="1"/>
  <c r="AX244" i="6"/>
  <c r="AY11" i="2" s="1"/>
  <c r="W244" i="6"/>
  <c r="X11" i="2" s="1"/>
  <c r="X244" i="6"/>
  <c r="Y11" i="2" s="1"/>
  <c r="Y244" i="6"/>
  <c r="Z11" i="2" s="1"/>
  <c r="Z244" i="6"/>
  <c r="AA11" i="2" s="1"/>
  <c r="AA244" i="6"/>
  <c r="AB11" i="2" s="1"/>
  <c r="AB244" i="6"/>
  <c r="AC11" i="2" s="1"/>
  <c r="AC244" i="6"/>
  <c r="AD11" i="2" s="1"/>
  <c r="AD244" i="6"/>
  <c r="AE11" i="2" s="1"/>
  <c r="AQ244" i="6"/>
  <c r="AR11" i="2" s="1"/>
  <c r="AE244" i="6"/>
  <c r="AF11" i="2" s="1"/>
  <c r="AJ244" i="6"/>
  <c r="AK11" i="2" s="1"/>
  <c r="AI244" i="6"/>
  <c r="AJ11" i="2" s="1"/>
  <c r="AF244" i="6"/>
  <c r="AG11" i="2" s="1"/>
  <c r="AG244" i="6"/>
  <c r="AH11" i="2" s="1"/>
  <c r="AP244" i="6"/>
  <c r="AQ11" i="2" s="1"/>
  <c r="AH244" i="6"/>
  <c r="AI11" i="2" s="1"/>
  <c r="AY244" i="6"/>
  <c r="AZ11" i="2" s="1"/>
  <c r="AW244" i="6"/>
  <c r="AX11" i="2" s="1"/>
  <c r="AV244" i="6"/>
  <c r="AW11" i="2" s="1"/>
  <c r="AU244" i="6"/>
  <c r="AV11" i="2" s="1"/>
  <c r="Z243" i="6"/>
  <c r="AA47" i="2" s="1"/>
  <c r="AA243" i="6"/>
  <c r="AB47" i="2" s="1"/>
  <c r="AB243" i="6"/>
  <c r="AC47" i="2" s="1"/>
  <c r="AC243" i="6"/>
  <c r="AD47" i="2" s="1"/>
  <c r="AD243" i="6"/>
  <c r="AE47" i="2" s="1"/>
  <c r="AE243" i="6"/>
  <c r="AF47" i="2" s="1"/>
  <c r="AF243" i="6"/>
  <c r="AG47" i="2" s="1"/>
  <c r="AG243" i="6"/>
  <c r="AH47" i="2" s="1"/>
  <c r="AH243" i="6"/>
  <c r="AI47" i="2" s="1"/>
  <c r="AI243" i="6"/>
  <c r="AJ47" i="2" s="1"/>
  <c r="AJ243" i="6"/>
  <c r="AK47" i="2" s="1"/>
  <c r="AK243" i="6"/>
  <c r="AL47" i="2" s="1"/>
  <c r="AM243" i="6"/>
  <c r="AN47" i="2" s="1"/>
  <c r="AN243" i="6"/>
  <c r="AO47" i="2" s="1"/>
  <c r="AO243" i="6"/>
  <c r="AP47" i="2" s="1"/>
  <c r="AP243" i="6"/>
  <c r="AQ47" i="2" s="1"/>
  <c r="AQ243" i="6"/>
  <c r="AR47" i="2" s="1"/>
  <c r="AR243" i="6"/>
  <c r="AS47" i="2" s="1"/>
  <c r="AS243" i="6"/>
  <c r="AT47" i="2" s="1"/>
  <c r="AT243" i="6"/>
  <c r="AU47" i="2" s="1"/>
  <c r="AU243" i="6"/>
  <c r="AV47" i="2" s="1"/>
  <c r="AW243" i="6"/>
  <c r="AX47" i="2" s="1"/>
  <c r="AX243" i="6"/>
  <c r="AY47" i="2" s="1"/>
  <c r="AY243" i="6"/>
  <c r="AZ47" i="2" s="1"/>
  <c r="AZ243" i="6"/>
  <c r="BA47" i="2" s="1"/>
  <c r="BA243" i="6"/>
  <c r="BB47" i="2" s="1"/>
  <c r="BB243" i="6"/>
  <c r="BC47" i="2" s="1"/>
  <c r="BC243" i="6"/>
  <c r="BD47" i="2" s="1"/>
  <c r="BD243" i="6"/>
  <c r="BE47" i="2" s="1"/>
  <c r="BE243" i="6"/>
  <c r="BF47" i="2" s="1"/>
  <c r="BF243" i="6"/>
  <c r="BG47" i="2" s="1"/>
  <c r="BG243" i="6"/>
  <c r="BH47" i="2" s="1"/>
  <c r="BH243" i="6"/>
  <c r="BI47" i="2" s="1"/>
  <c r="BI243" i="6"/>
  <c r="BJ47" i="2" s="1"/>
  <c r="BJ243" i="6"/>
  <c r="BK47" i="2" s="1"/>
  <c r="P243" i="6"/>
  <c r="Q47" i="2" s="1"/>
  <c r="O243" i="6"/>
  <c r="P47" i="2" s="1"/>
  <c r="N243" i="6"/>
  <c r="O47" i="2" s="1"/>
  <c r="M243" i="6"/>
  <c r="N47" i="2" s="1"/>
  <c r="L243" i="6"/>
  <c r="M47" i="2" s="1"/>
  <c r="M32" i="6"/>
  <c r="N32" i="6" s="1"/>
  <c r="AL243" i="6"/>
  <c r="AM47" i="2" s="1"/>
  <c r="AV243" i="6"/>
  <c r="AW47" i="2" s="1"/>
  <c r="S243" i="6"/>
  <c r="T47" i="2" s="1"/>
  <c r="T243" i="6"/>
  <c r="U47" i="2" s="1"/>
  <c r="U243" i="6"/>
  <c r="Q243" i="6"/>
  <c r="R47" i="2" s="1"/>
  <c r="V243" i="6"/>
  <c r="W243" i="6"/>
  <c r="X47" i="2" s="1"/>
  <c r="X243" i="6"/>
  <c r="Y47" i="2" s="1"/>
  <c r="Y243" i="6"/>
  <c r="Z47" i="2" s="1"/>
  <c r="K243" i="6"/>
  <c r="L47" i="2" s="1"/>
  <c r="BD242" i="6"/>
  <c r="BE203" i="2" s="1"/>
  <c r="AZ242" i="6"/>
  <c r="BA203" i="2" s="1"/>
  <c r="AY242" i="6"/>
  <c r="AZ203" i="2" s="1"/>
  <c r="BH242" i="6"/>
  <c r="BI203" i="2" s="1"/>
  <c r="BI242" i="6"/>
  <c r="BJ203" i="2" s="1"/>
  <c r="BJ242" i="6"/>
  <c r="BK203" i="2" s="1"/>
  <c r="G242" i="6"/>
  <c r="H203" i="2" s="1"/>
  <c r="F242" i="6"/>
  <c r="G203" i="2" s="1"/>
  <c r="E242" i="6"/>
  <c r="F203" i="2" s="1"/>
  <c r="D242" i="6"/>
  <c r="E203" i="2" s="1"/>
  <c r="C242" i="6"/>
  <c r="V242" i="6"/>
  <c r="O241" i="6"/>
  <c r="P167" i="2" s="1"/>
  <c r="M241" i="6"/>
  <c r="N167" i="2" s="1"/>
  <c r="N241" i="6"/>
  <c r="O167" i="2" s="1"/>
  <c r="AC241" i="6"/>
  <c r="AD167" i="2" s="1"/>
  <c r="P241" i="6"/>
  <c r="Q167" i="2" s="1"/>
  <c r="Q241" i="6"/>
  <c r="R167" i="2" s="1"/>
  <c r="R241" i="6"/>
  <c r="S167" i="2" s="1"/>
  <c r="S241" i="6"/>
  <c r="T167" i="2" s="1"/>
  <c r="T241" i="6"/>
  <c r="U167" i="2" s="1"/>
  <c r="U241" i="6"/>
  <c r="V167" i="2" s="1"/>
  <c r="W241" i="6"/>
  <c r="X167" i="2" s="1"/>
  <c r="X241" i="6"/>
  <c r="Y167" i="2" s="1"/>
  <c r="Y241" i="6"/>
  <c r="Z167" i="2" s="1"/>
  <c r="Z241" i="6"/>
  <c r="AA167" i="2" s="1"/>
  <c r="AA241" i="6"/>
  <c r="AB167" i="2" s="1"/>
  <c r="AB241" i="6"/>
  <c r="AC167" i="2" s="1"/>
  <c r="M30" i="6"/>
  <c r="N30" i="6" s="1"/>
  <c r="H241" i="6"/>
  <c r="I167" i="2" s="1"/>
  <c r="I241" i="6"/>
  <c r="J167" i="2" s="1"/>
  <c r="J241" i="6"/>
  <c r="K167" i="2" s="1"/>
  <c r="K241" i="6"/>
  <c r="L167" i="2" s="1"/>
  <c r="L241" i="6"/>
  <c r="M167" i="2" s="1"/>
  <c r="S240" i="6"/>
  <c r="T53" i="2" s="1"/>
  <c r="T240" i="6"/>
  <c r="U53" i="2" s="1"/>
  <c r="U240" i="6"/>
  <c r="V240" i="6"/>
  <c r="W240" i="6"/>
  <c r="X53" i="2" s="1"/>
  <c r="X240" i="6"/>
  <c r="Y53" i="2" s="1"/>
  <c r="Y240" i="6"/>
  <c r="Z53" i="2" s="1"/>
  <c r="Z240" i="6"/>
  <c r="AA53" i="2" s="1"/>
  <c r="AA240" i="6"/>
  <c r="AB53" i="2" s="1"/>
  <c r="AB240" i="6"/>
  <c r="AC53" i="2" s="1"/>
  <c r="AC240" i="6"/>
  <c r="AD53" i="2" s="1"/>
  <c r="R240" i="6"/>
  <c r="S53" i="2" s="1"/>
  <c r="AE240" i="6"/>
  <c r="AF53" i="2" s="1"/>
  <c r="AF240" i="6"/>
  <c r="AG53" i="2" s="1"/>
  <c r="AG240" i="6"/>
  <c r="AH53" i="2" s="1"/>
  <c r="AD240" i="6"/>
  <c r="AE53" i="2" s="1"/>
  <c r="J240" i="6"/>
  <c r="K53" i="2" s="1"/>
  <c r="K240" i="6"/>
  <c r="L53" i="2" s="1"/>
  <c r="L240" i="6"/>
  <c r="M53" i="2" s="1"/>
  <c r="M240" i="6"/>
  <c r="N53" i="2" s="1"/>
  <c r="N240" i="6"/>
  <c r="O53" i="2" s="1"/>
  <c r="O240" i="6"/>
  <c r="P53" i="2" s="1"/>
  <c r="P240" i="6"/>
  <c r="Q53" i="2" s="1"/>
  <c r="Q240" i="6"/>
  <c r="R53" i="2" s="1"/>
  <c r="I240" i="6"/>
  <c r="J53" i="2" s="1"/>
  <c r="H240" i="6"/>
  <c r="I53" i="2" s="1"/>
  <c r="G240" i="6"/>
  <c r="H53" i="2" s="1"/>
  <c r="F240" i="6"/>
  <c r="G53" i="2" s="1"/>
  <c r="E240" i="6"/>
  <c r="F53" i="2" s="1"/>
  <c r="D240" i="6"/>
  <c r="E53" i="2" s="1"/>
  <c r="C240" i="6"/>
  <c r="M29" i="6"/>
  <c r="N29" i="6" s="1"/>
  <c r="O239" i="6"/>
  <c r="P302" i="2" s="1"/>
  <c r="N239" i="6"/>
  <c r="O302" i="2" s="1"/>
  <c r="M239" i="6"/>
  <c r="N302" i="2" s="1"/>
  <c r="L239" i="6"/>
  <c r="M302" i="2" s="1"/>
  <c r="K239" i="6"/>
  <c r="L302" i="2" s="1"/>
  <c r="J239" i="6"/>
  <c r="K302" i="2" s="1"/>
  <c r="I239" i="6"/>
  <c r="J302" i="2" s="1"/>
  <c r="BE239" i="6"/>
  <c r="BF302" i="2" s="1"/>
  <c r="BD239" i="6"/>
  <c r="BE302" i="2" s="1"/>
  <c r="BC239" i="6"/>
  <c r="BD302" i="2" s="1"/>
  <c r="BB239" i="6"/>
  <c r="BC302" i="2" s="1"/>
  <c r="BA239" i="6"/>
  <c r="BB302" i="2" s="1"/>
  <c r="AZ239" i="6"/>
  <c r="BA302" i="2" s="1"/>
  <c r="H239" i="6"/>
  <c r="I302" i="2" s="1"/>
  <c r="M28" i="6"/>
  <c r="N28" i="6" s="1"/>
  <c r="G239" i="6"/>
  <c r="H302" i="2" s="1"/>
  <c r="AY239" i="6"/>
  <c r="AZ302" i="2" s="1"/>
  <c r="AX239" i="6"/>
  <c r="AY302" i="2" s="1"/>
  <c r="AW239" i="6"/>
  <c r="AX302" i="2" s="1"/>
  <c r="AV239" i="6"/>
  <c r="AW302" i="2" s="1"/>
  <c r="AU239" i="6"/>
  <c r="AV302" i="2" s="1"/>
  <c r="AT239" i="6"/>
  <c r="AU302" i="2" s="1"/>
  <c r="AS239" i="6"/>
  <c r="AT302" i="2" s="1"/>
  <c r="AI239" i="6"/>
  <c r="AJ302" i="2" s="1"/>
  <c r="AR239" i="6"/>
  <c r="AS302" i="2" s="1"/>
  <c r="AQ239" i="6"/>
  <c r="AR302" i="2" s="1"/>
  <c r="AP239" i="6"/>
  <c r="AQ302" i="2" s="1"/>
  <c r="AO239" i="6"/>
  <c r="AP302" i="2" s="1"/>
  <c r="AN239" i="6"/>
  <c r="AO302" i="2" s="1"/>
  <c r="AM239" i="6"/>
  <c r="AN302" i="2" s="1"/>
  <c r="AL239" i="6"/>
  <c r="AM302" i="2" s="1"/>
  <c r="AK239" i="6"/>
  <c r="AL302" i="2" s="1"/>
  <c r="AJ239" i="6"/>
  <c r="AK302" i="2" s="1"/>
  <c r="AH239" i="6"/>
  <c r="AI302" i="2" s="1"/>
  <c r="AG239" i="6"/>
  <c r="AH302" i="2" s="1"/>
  <c r="AF239" i="6"/>
  <c r="AG302" i="2" s="1"/>
  <c r="D239" i="6"/>
  <c r="E302" i="2" s="1"/>
  <c r="BG239" i="6"/>
  <c r="BH302" i="2" s="1"/>
  <c r="BF239" i="6"/>
  <c r="BG302" i="2" s="1"/>
  <c r="T239" i="6"/>
  <c r="U302" i="2" s="1"/>
  <c r="F239" i="6"/>
  <c r="E239" i="6"/>
  <c r="F302" i="2" s="1"/>
  <c r="C239" i="6"/>
  <c r="BJ238" i="6"/>
  <c r="BK272" i="2" s="1"/>
  <c r="BE238" i="6"/>
  <c r="BF272" i="2" s="1"/>
  <c r="BF238" i="6"/>
  <c r="BG272" i="2" s="1"/>
  <c r="BG238" i="6"/>
  <c r="BH272" i="2" s="1"/>
  <c r="BH238" i="6"/>
  <c r="BI272" i="2" s="1"/>
  <c r="BI238" i="6"/>
  <c r="BJ272" i="2" s="1"/>
  <c r="AO238" i="6"/>
  <c r="AP272" i="2" s="1"/>
  <c r="L238" i="6"/>
  <c r="M272" i="2" s="1"/>
  <c r="K238" i="6"/>
  <c r="L272" i="2" s="1"/>
  <c r="J238" i="6"/>
  <c r="K272" i="2" s="1"/>
  <c r="I238" i="6"/>
  <c r="J272" i="2" s="1"/>
  <c r="H238" i="6"/>
  <c r="I272" i="2" s="1"/>
  <c r="G238" i="6"/>
  <c r="H272" i="2" s="1"/>
  <c r="F238" i="6"/>
  <c r="G272" i="2" s="1"/>
  <c r="E238" i="6"/>
  <c r="F272" i="2" s="1"/>
  <c r="D238" i="6"/>
  <c r="E272" i="2" s="1"/>
  <c r="C238" i="6"/>
  <c r="R238" i="6"/>
  <c r="S272" i="2" s="1"/>
  <c r="AB238" i="6"/>
  <c r="AC272" i="2" s="1"/>
  <c r="AA238" i="6"/>
  <c r="AB272" i="2" s="1"/>
  <c r="AI237" i="6"/>
  <c r="AJ200" i="2" s="1"/>
  <c r="I237" i="6"/>
  <c r="J200" i="2" s="1"/>
  <c r="J237" i="6"/>
  <c r="K200" i="2" s="1"/>
  <c r="K237" i="6"/>
  <c r="L200" i="2" s="1"/>
  <c r="L237" i="6"/>
  <c r="M200" i="2" s="1"/>
  <c r="M237" i="6"/>
  <c r="N200" i="2" s="1"/>
  <c r="N237" i="6"/>
  <c r="O200" i="2" s="1"/>
  <c r="AI236" i="6"/>
  <c r="AJ8" i="2" s="1"/>
  <c r="AG236" i="6"/>
  <c r="AH8" i="2" s="1"/>
  <c r="AF236" i="6"/>
  <c r="AG8" i="2" s="1"/>
  <c r="AH236" i="6"/>
  <c r="AI8" i="2" s="1"/>
  <c r="AE236" i="6"/>
  <c r="AF8" i="2" s="1"/>
  <c r="AD236" i="6"/>
  <c r="AE8" i="2" s="1"/>
  <c r="AC236" i="6"/>
  <c r="AD8" i="2" s="1"/>
  <c r="AB236" i="6"/>
  <c r="AC8" i="2" s="1"/>
  <c r="AA236" i="6"/>
  <c r="AB8" i="2" s="1"/>
  <c r="K235" i="6"/>
  <c r="M24" i="6"/>
  <c r="N24" i="6" s="1"/>
  <c r="C235" i="6"/>
  <c r="AA235" i="6"/>
  <c r="AB235" i="6"/>
  <c r="AC235" i="6"/>
  <c r="AD235" i="6"/>
  <c r="AE235" i="6"/>
  <c r="Q235" i="6"/>
  <c r="BG235" i="6"/>
  <c r="D235" i="6"/>
  <c r="E235" i="6"/>
  <c r="F235" i="6"/>
  <c r="G235" i="6"/>
  <c r="H235" i="6"/>
  <c r="I235" i="6"/>
  <c r="J235" i="6"/>
  <c r="BB235" i="6"/>
  <c r="L235" i="6"/>
  <c r="M235" i="6"/>
  <c r="N235" i="6"/>
  <c r="O235" i="6"/>
  <c r="P235" i="6"/>
  <c r="R235" i="6"/>
  <c r="S235" i="6"/>
  <c r="BJ235" i="6"/>
  <c r="BI235" i="6"/>
  <c r="BH235" i="6"/>
  <c r="T235" i="6"/>
  <c r="U235" i="6"/>
  <c r="V235" i="6"/>
  <c r="W235" i="6"/>
  <c r="X235" i="6"/>
  <c r="Y235" i="6"/>
  <c r="Z235" i="6"/>
  <c r="Q332" i="5"/>
  <c r="R37" i="2" s="1"/>
  <c r="X332" i="5"/>
  <c r="Y37" i="2" s="1"/>
  <c r="W332" i="5"/>
  <c r="X37" i="2" s="1"/>
  <c r="I332" i="5"/>
  <c r="J37" i="2" s="1"/>
  <c r="F332" i="5"/>
  <c r="G37" i="2" s="1"/>
  <c r="G332" i="5"/>
  <c r="H37" i="2" s="1"/>
  <c r="E332" i="5"/>
  <c r="F37" i="2" s="1"/>
  <c r="C332" i="5"/>
  <c r="K332" i="5"/>
  <c r="L37" i="2" s="1"/>
  <c r="H332" i="5"/>
  <c r="I37" i="2" s="1"/>
  <c r="J332" i="5"/>
  <c r="K37" i="2" s="1"/>
  <c r="P332" i="5"/>
  <c r="Q37" i="2" s="1"/>
  <c r="D332" i="5"/>
  <c r="E37" i="2" s="1"/>
  <c r="S332" i="5"/>
  <c r="T37" i="2" s="1"/>
  <c r="L332" i="5"/>
  <c r="M37" i="2" s="1"/>
  <c r="M332" i="5"/>
  <c r="N37" i="2" s="1"/>
  <c r="N332" i="5"/>
  <c r="O37" i="2" s="1"/>
  <c r="O332" i="5"/>
  <c r="P37" i="2" s="1"/>
  <c r="R332" i="5"/>
  <c r="S37" i="2" s="1"/>
  <c r="U332" i="5"/>
  <c r="V37" i="2" s="1"/>
  <c r="M121" i="5"/>
  <c r="N121" i="5" s="1"/>
  <c r="M42" i="3" s="1"/>
  <c r="V332" i="5"/>
  <c r="W37" i="2" s="1"/>
  <c r="L81" i="3"/>
  <c r="AU331" i="5"/>
  <c r="AV238" i="2" s="1"/>
  <c r="BB331" i="5"/>
  <c r="BC238" i="2" s="1"/>
  <c r="AY331" i="5"/>
  <c r="AZ238" i="2" s="1"/>
  <c r="AW331" i="5"/>
  <c r="AX238" i="2" s="1"/>
  <c r="AT331" i="5"/>
  <c r="AU238" i="2" s="1"/>
  <c r="AQ331" i="5"/>
  <c r="AR238" i="2" s="1"/>
  <c r="AM331" i="5"/>
  <c r="AN238" i="2" s="1"/>
  <c r="AK331" i="5"/>
  <c r="AL238" i="2" s="1"/>
  <c r="AR331" i="5"/>
  <c r="AS238" i="2" s="1"/>
  <c r="AE331" i="5"/>
  <c r="AF238" i="2" s="1"/>
  <c r="AA331" i="5"/>
  <c r="AB238" i="2" s="1"/>
  <c r="W331" i="5"/>
  <c r="X238" i="2" s="1"/>
  <c r="S331" i="5"/>
  <c r="T238" i="2" s="1"/>
  <c r="R331" i="5"/>
  <c r="S238" i="2" s="1"/>
  <c r="P331" i="5"/>
  <c r="Q238" i="2" s="1"/>
  <c r="AO331" i="5"/>
  <c r="AP238" i="2" s="1"/>
  <c r="AJ331" i="5"/>
  <c r="AK238" i="2" s="1"/>
  <c r="AG331" i="5"/>
  <c r="AH238" i="2" s="1"/>
  <c r="AD331" i="5"/>
  <c r="AE238" i="2" s="1"/>
  <c r="AB331" i="5"/>
  <c r="AC238" i="2" s="1"/>
  <c r="Y331" i="5"/>
  <c r="Z238" i="2" s="1"/>
  <c r="V331" i="5"/>
  <c r="W238" i="2" s="1"/>
  <c r="Q331" i="5"/>
  <c r="R238" i="2" s="1"/>
  <c r="O331" i="5"/>
  <c r="P238" i="2" s="1"/>
  <c r="BA331" i="5"/>
  <c r="BB238" i="2" s="1"/>
  <c r="BH331" i="5"/>
  <c r="BI238" i="2" s="1"/>
  <c r="BE331" i="5"/>
  <c r="BF238" i="2" s="1"/>
  <c r="M120" i="5"/>
  <c r="N120" i="5" s="1"/>
  <c r="M81" i="3" s="1"/>
  <c r="AZ331" i="5"/>
  <c r="BA238" i="2" s="1"/>
  <c r="AH331" i="5"/>
  <c r="AI238" i="2" s="1"/>
  <c r="AV331" i="5"/>
  <c r="AW238" i="2" s="1"/>
  <c r="AS331" i="5"/>
  <c r="AT238" i="2" s="1"/>
  <c r="AP331" i="5"/>
  <c r="AQ238" i="2" s="1"/>
  <c r="AN331" i="5"/>
  <c r="AO238" i="2" s="1"/>
  <c r="AI331" i="5"/>
  <c r="AJ238" i="2" s="1"/>
  <c r="AF331" i="5"/>
  <c r="AG238" i="2" s="1"/>
  <c r="Z331" i="5"/>
  <c r="AA238" i="2" s="1"/>
  <c r="X331" i="5"/>
  <c r="Y238" i="2" s="1"/>
  <c r="U331" i="5"/>
  <c r="V238" i="2" s="1"/>
  <c r="T331" i="5"/>
  <c r="U238" i="2" s="1"/>
  <c r="AL331" i="5"/>
  <c r="AM238" i="2" s="1"/>
  <c r="BC331" i="5"/>
  <c r="BD238" i="2" s="1"/>
  <c r="N331" i="5"/>
  <c r="O238" i="2" s="1"/>
  <c r="M331" i="5"/>
  <c r="N238" i="2" s="1"/>
  <c r="L331" i="5"/>
  <c r="M238" i="2" s="1"/>
  <c r="J331" i="5"/>
  <c r="I331" i="5"/>
  <c r="K331" i="5"/>
  <c r="BJ331" i="5"/>
  <c r="BK238" i="2" s="1"/>
  <c r="BG331" i="5"/>
  <c r="BH238" i="2" s="1"/>
  <c r="G331" i="5"/>
  <c r="H238" i="2" s="1"/>
  <c r="BI331" i="5"/>
  <c r="BJ238" i="2" s="1"/>
  <c r="BF331" i="5"/>
  <c r="BG238" i="2" s="1"/>
  <c r="BD331" i="5"/>
  <c r="BE238" i="2" s="1"/>
  <c r="AX331" i="5"/>
  <c r="AY238" i="2" s="1"/>
  <c r="L14" i="3"/>
  <c r="O14" i="3" s="1"/>
  <c r="AW330" i="5"/>
  <c r="AX64" i="2" s="1"/>
  <c r="AU330" i="5"/>
  <c r="AV64" i="2" s="1"/>
  <c r="AQ330" i="5"/>
  <c r="AR64" i="2" s="1"/>
  <c r="AP330" i="5"/>
  <c r="AQ64" i="2" s="1"/>
  <c r="AK330" i="5"/>
  <c r="AL64" i="2" s="1"/>
  <c r="AI330" i="5"/>
  <c r="AJ64" i="2" s="1"/>
  <c r="AD330" i="5"/>
  <c r="AE64" i="2" s="1"/>
  <c r="Z330" i="5"/>
  <c r="AA64" i="2" s="1"/>
  <c r="W330" i="5"/>
  <c r="X64" i="2" s="1"/>
  <c r="U330" i="5"/>
  <c r="V64" i="2" s="1"/>
  <c r="AY330" i="5"/>
  <c r="AZ64" i="2" s="1"/>
  <c r="AV330" i="5"/>
  <c r="AW64" i="2" s="1"/>
  <c r="AT330" i="5"/>
  <c r="AU64" i="2" s="1"/>
  <c r="AS330" i="5"/>
  <c r="AT64" i="2" s="1"/>
  <c r="AO330" i="5"/>
  <c r="AP64" i="2" s="1"/>
  <c r="AL330" i="5"/>
  <c r="AM64" i="2" s="1"/>
  <c r="AG330" i="5"/>
  <c r="AH64" i="2" s="1"/>
  <c r="AB330" i="5"/>
  <c r="AC64" i="2" s="1"/>
  <c r="X330" i="5"/>
  <c r="Y64" i="2" s="1"/>
  <c r="S330" i="5"/>
  <c r="T64" i="2" s="1"/>
  <c r="O330" i="5"/>
  <c r="P64" i="2" s="1"/>
  <c r="L330" i="5"/>
  <c r="M64" i="2" s="1"/>
  <c r="H330" i="5"/>
  <c r="I64" i="2" s="1"/>
  <c r="F330" i="5"/>
  <c r="G64" i="2" s="1"/>
  <c r="C330" i="5"/>
  <c r="J330" i="5"/>
  <c r="K64" i="2" s="1"/>
  <c r="Q330" i="5"/>
  <c r="M330" i="5"/>
  <c r="N64" i="2" s="1"/>
  <c r="I330" i="5"/>
  <c r="J64" i="2" s="1"/>
  <c r="D330" i="5"/>
  <c r="E64" i="2" s="1"/>
  <c r="AX330" i="5"/>
  <c r="AY64" i="2" s="1"/>
  <c r="AR330" i="5"/>
  <c r="AS64" i="2" s="1"/>
  <c r="AN330" i="5"/>
  <c r="AO64" i="2" s="1"/>
  <c r="AM330" i="5"/>
  <c r="AN64" i="2" s="1"/>
  <c r="AJ330" i="5"/>
  <c r="AK64" i="2" s="1"/>
  <c r="AH330" i="5"/>
  <c r="AI64" i="2" s="1"/>
  <c r="AE330" i="5"/>
  <c r="AF64" i="2" s="1"/>
  <c r="AC330" i="5"/>
  <c r="AD64" i="2" s="1"/>
  <c r="AA330" i="5"/>
  <c r="AB64" i="2" s="1"/>
  <c r="Y330" i="5"/>
  <c r="Z64" i="2" s="1"/>
  <c r="V330" i="5"/>
  <c r="W64" i="2" s="1"/>
  <c r="T330" i="5"/>
  <c r="U64" i="2" s="1"/>
  <c r="R330" i="5"/>
  <c r="S64" i="2" s="1"/>
  <c r="P330" i="5"/>
  <c r="N330" i="5"/>
  <c r="O64" i="2" s="1"/>
  <c r="K330" i="5"/>
  <c r="L64" i="2" s="1"/>
  <c r="G330" i="5"/>
  <c r="H64" i="2" s="1"/>
  <c r="E330" i="5"/>
  <c r="F64" i="2" s="1"/>
  <c r="M119" i="5"/>
  <c r="N119" i="5" s="1"/>
  <c r="M14" i="3" s="1"/>
  <c r="AF330" i="5"/>
  <c r="AG64" i="2" s="1"/>
  <c r="BA330" i="5"/>
  <c r="BB64" i="2" s="1"/>
  <c r="AZ330" i="5"/>
  <c r="BA64" i="2" s="1"/>
  <c r="L18" i="3"/>
  <c r="O18" i="3" s="1"/>
  <c r="BD329" i="5"/>
  <c r="BE145" i="2" s="1"/>
  <c r="BB329" i="5"/>
  <c r="BC145" i="2" s="1"/>
  <c r="AT329" i="5"/>
  <c r="AU145" i="2" s="1"/>
  <c r="AV329" i="5"/>
  <c r="AW145" i="2" s="1"/>
  <c r="AJ329" i="5"/>
  <c r="AK145" i="2" s="1"/>
  <c r="AU329" i="5"/>
  <c r="AV145" i="2" s="1"/>
  <c r="AY329" i="5"/>
  <c r="AZ145" i="2" s="1"/>
  <c r="BA329" i="5"/>
  <c r="BB145" i="2" s="1"/>
  <c r="BF329" i="5"/>
  <c r="BG145" i="2" s="1"/>
  <c r="BI329" i="5"/>
  <c r="BJ145" i="2" s="1"/>
  <c r="AW329" i="5"/>
  <c r="AX145" i="2" s="1"/>
  <c r="AZ329" i="5"/>
  <c r="BA145" i="2" s="1"/>
  <c r="BC329" i="5"/>
  <c r="BD145" i="2" s="1"/>
  <c r="AP329" i="5"/>
  <c r="AQ145" i="2" s="1"/>
  <c r="BH329" i="5"/>
  <c r="BI145" i="2" s="1"/>
  <c r="N329" i="5"/>
  <c r="O145" i="2" s="1"/>
  <c r="P329" i="5"/>
  <c r="Q145" i="2" s="1"/>
  <c r="S329" i="5"/>
  <c r="U329" i="5"/>
  <c r="V145" i="2" s="1"/>
  <c r="X329" i="5"/>
  <c r="Y145" i="2" s="1"/>
  <c r="AB329" i="5"/>
  <c r="AC145" i="2" s="1"/>
  <c r="AD329" i="5"/>
  <c r="AE145" i="2" s="1"/>
  <c r="AF329" i="5"/>
  <c r="AG145" i="2" s="1"/>
  <c r="AI329" i="5"/>
  <c r="AJ145" i="2" s="1"/>
  <c r="AK329" i="5"/>
  <c r="AL145" i="2" s="1"/>
  <c r="AN329" i="5"/>
  <c r="AO145" i="2" s="1"/>
  <c r="M329" i="5"/>
  <c r="N145" i="2" s="1"/>
  <c r="O329" i="5"/>
  <c r="P145" i="2" s="1"/>
  <c r="R329" i="5"/>
  <c r="S145" i="2" s="1"/>
  <c r="T329" i="5"/>
  <c r="W329" i="5"/>
  <c r="X145" i="2" s="1"/>
  <c r="Y329" i="5"/>
  <c r="Z145" i="2" s="1"/>
  <c r="AC329" i="5"/>
  <c r="AD145" i="2" s="1"/>
  <c r="AG329" i="5"/>
  <c r="AH145" i="2" s="1"/>
  <c r="AL329" i="5"/>
  <c r="AM145" i="2" s="1"/>
  <c r="AM329" i="5"/>
  <c r="AN145" i="2" s="1"/>
  <c r="AO329" i="5"/>
  <c r="AP145" i="2" s="1"/>
  <c r="AQ329" i="5"/>
  <c r="AR145" i="2" s="1"/>
  <c r="AH329" i="5"/>
  <c r="AI145" i="2" s="1"/>
  <c r="AE329" i="5"/>
  <c r="AF145" i="2" s="1"/>
  <c r="AX329" i="5"/>
  <c r="AY145" i="2" s="1"/>
  <c r="AA329" i="5"/>
  <c r="AB145" i="2" s="1"/>
  <c r="Z329" i="5"/>
  <c r="AA145" i="2" s="1"/>
  <c r="V329" i="5"/>
  <c r="W145" i="2" s="1"/>
  <c r="Q329" i="5"/>
  <c r="R145" i="2" s="1"/>
  <c r="AS329" i="5"/>
  <c r="AT145" i="2" s="1"/>
  <c r="BJ329" i="5"/>
  <c r="BK145" i="2" s="1"/>
  <c r="BG329" i="5"/>
  <c r="BH145" i="2" s="1"/>
  <c r="BE329" i="5"/>
  <c r="BF145" i="2" s="1"/>
  <c r="L92" i="3"/>
  <c r="Z328" i="5"/>
  <c r="AA178" i="2" s="1"/>
  <c r="AB328" i="5"/>
  <c r="AC178" i="2" s="1"/>
  <c r="AG328" i="5"/>
  <c r="AH178" i="2" s="1"/>
  <c r="AI328" i="5"/>
  <c r="AJ178" i="2" s="1"/>
  <c r="AL328" i="5"/>
  <c r="AM178" i="2" s="1"/>
  <c r="AO328" i="5"/>
  <c r="AP178" i="2" s="1"/>
  <c r="AS328" i="5"/>
  <c r="AT178" i="2" s="1"/>
  <c r="M117" i="5"/>
  <c r="N117" i="5" s="1"/>
  <c r="M92" i="3" s="1"/>
  <c r="Y328" i="5"/>
  <c r="Z178" i="2" s="1"/>
  <c r="AA328" i="5"/>
  <c r="AB178" i="2" s="1"/>
  <c r="BJ328" i="5"/>
  <c r="BK178" i="2" s="1"/>
  <c r="AF328" i="5"/>
  <c r="AG178" i="2" s="1"/>
  <c r="AK328" i="5"/>
  <c r="AL178" i="2" s="1"/>
  <c r="AM328" i="5"/>
  <c r="AN178" i="2" s="1"/>
  <c r="AP328" i="5"/>
  <c r="AQ178" i="2" s="1"/>
  <c r="AR328" i="5"/>
  <c r="AS178" i="2" s="1"/>
  <c r="AD328" i="5"/>
  <c r="AE178" i="2" s="1"/>
  <c r="AN328" i="5"/>
  <c r="AO178" i="2" s="1"/>
  <c r="R328" i="5"/>
  <c r="S178" i="2" s="1"/>
  <c r="T328" i="5"/>
  <c r="U178" i="2" s="1"/>
  <c r="V328" i="5"/>
  <c r="W178" i="2" s="1"/>
  <c r="X328" i="5"/>
  <c r="Y178" i="2" s="1"/>
  <c r="AC328" i="5"/>
  <c r="AD178" i="2" s="1"/>
  <c r="AE328" i="5"/>
  <c r="AF178" i="2" s="1"/>
  <c r="AH328" i="5"/>
  <c r="AI178" i="2" s="1"/>
  <c r="AJ328" i="5"/>
  <c r="AK178" i="2" s="1"/>
  <c r="AQ328" i="5"/>
  <c r="AR178" i="2" s="1"/>
  <c r="Q328" i="5"/>
  <c r="R178" i="2" s="1"/>
  <c r="S328" i="5"/>
  <c r="T178" i="2" s="1"/>
  <c r="U328" i="5"/>
  <c r="W328" i="5"/>
  <c r="X178" i="2" s="1"/>
  <c r="L74" i="3"/>
  <c r="AB327" i="5"/>
  <c r="AC298" i="2" s="1"/>
  <c r="AD327" i="5"/>
  <c r="AE298" i="2" s="1"/>
  <c r="AF327" i="5"/>
  <c r="AG298" i="2" s="1"/>
  <c r="AH327" i="5"/>
  <c r="AI298" i="2" s="1"/>
  <c r="AK327" i="5"/>
  <c r="AL298" i="2" s="1"/>
  <c r="AO327" i="5"/>
  <c r="AP298" i="2" s="1"/>
  <c r="AS327" i="5"/>
  <c r="AT298" i="2" s="1"/>
  <c r="AV327" i="5"/>
  <c r="AW298" i="2" s="1"/>
  <c r="AY327" i="5"/>
  <c r="AZ298" i="2" s="1"/>
  <c r="BA327" i="5"/>
  <c r="BB298" i="2" s="1"/>
  <c r="BC327" i="5"/>
  <c r="BD298" i="2" s="1"/>
  <c r="AM327" i="5"/>
  <c r="AN298" i="2" s="1"/>
  <c r="AQ327" i="5"/>
  <c r="AR298" i="2" s="1"/>
  <c r="AE327" i="5"/>
  <c r="AF298" i="2" s="1"/>
  <c r="AG327" i="5"/>
  <c r="AH298" i="2" s="1"/>
  <c r="AI327" i="5"/>
  <c r="AJ298" i="2" s="1"/>
  <c r="AU327" i="5"/>
  <c r="AV298" i="2" s="1"/>
  <c r="AW327" i="5"/>
  <c r="AX298" i="2" s="1"/>
  <c r="BB327" i="5"/>
  <c r="BC298" i="2" s="1"/>
  <c r="BE327" i="5"/>
  <c r="BF298" i="2" s="1"/>
  <c r="BH327" i="5"/>
  <c r="BI298" i="2" s="1"/>
  <c r="AL327" i="5"/>
  <c r="AM298" i="2" s="1"/>
  <c r="AN327" i="5"/>
  <c r="AO298" i="2" s="1"/>
  <c r="AP327" i="5"/>
  <c r="AQ298" i="2" s="1"/>
  <c r="AR327" i="5"/>
  <c r="AS298" i="2" s="1"/>
  <c r="AT327" i="5"/>
  <c r="AU298" i="2" s="1"/>
  <c r="AX327" i="5"/>
  <c r="AY298" i="2" s="1"/>
  <c r="BD327" i="5"/>
  <c r="BE298" i="2" s="1"/>
  <c r="BF327" i="5"/>
  <c r="BG298" i="2" s="1"/>
  <c r="AZ327" i="5"/>
  <c r="BA298" i="2" s="1"/>
  <c r="AC327" i="5"/>
  <c r="AD298" i="2" s="1"/>
  <c r="AJ327" i="5"/>
  <c r="AK298" i="2" s="1"/>
  <c r="L91" i="3"/>
  <c r="AH326" i="5"/>
  <c r="AI175" i="2" s="1"/>
  <c r="M115" i="5"/>
  <c r="N115" i="5" s="1"/>
  <c r="M91" i="3" s="1"/>
  <c r="O326" i="5"/>
  <c r="BF326" i="5"/>
  <c r="BG175" i="2" s="1"/>
  <c r="L99" i="3"/>
  <c r="E325" i="5"/>
  <c r="BD325" i="5"/>
  <c r="BE250" i="2" s="1"/>
  <c r="BB325" i="5"/>
  <c r="BC250" i="2" s="1"/>
  <c r="BA325" i="5"/>
  <c r="BB250" i="2" s="1"/>
  <c r="AW325" i="5"/>
  <c r="AX250" i="2" s="1"/>
  <c r="BJ325" i="5"/>
  <c r="BK250" i="2" s="1"/>
  <c r="AE325" i="5"/>
  <c r="AF250" i="2" s="1"/>
  <c r="BG325" i="5"/>
  <c r="BH250" i="2" s="1"/>
  <c r="M114" i="5"/>
  <c r="N114" i="5" s="1"/>
  <c r="M99" i="3" s="1"/>
  <c r="AV325" i="5"/>
  <c r="AW250" i="2" s="1"/>
  <c r="BH325" i="5"/>
  <c r="BI250" i="2" s="1"/>
  <c r="AF325" i="5"/>
  <c r="AG250" i="2" s="1"/>
  <c r="BE325" i="5"/>
  <c r="BF250" i="2" s="1"/>
  <c r="D325" i="5"/>
  <c r="C325" i="5"/>
  <c r="BC325" i="5"/>
  <c r="BD250" i="2" s="1"/>
  <c r="AY325" i="5"/>
  <c r="AZ250" i="2" s="1"/>
  <c r="AX325" i="5"/>
  <c r="AY250" i="2" s="1"/>
  <c r="AZ325" i="5"/>
  <c r="BA250" i="2" s="1"/>
  <c r="AU325" i="5"/>
  <c r="AV250" i="2" s="1"/>
  <c r="L90" i="3"/>
  <c r="AU324" i="5"/>
  <c r="AV292" i="2" s="1"/>
  <c r="BC324" i="5"/>
  <c r="BD292" i="2" s="1"/>
  <c r="M113" i="5"/>
  <c r="N113" i="5" s="1"/>
  <c r="M90" i="3" s="1"/>
  <c r="BH324" i="5"/>
  <c r="BI292" i="2" s="1"/>
  <c r="BI324" i="5"/>
  <c r="BJ292" i="2" s="1"/>
  <c r="AC324" i="5"/>
  <c r="AD292" i="2" s="1"/>
  <c r="D324" i="5"/>
  <c r="E292" i="2" s="1"/>
  <c r="G324" i="5"/>
  <c r="H292" i="2" s="1"/>
  <c r="J324" i="5"/>
  <c r="N324" i="5"/>
  <c r="O292" i="2" s="1"/>
  <c r="BB324" i="5"/>
  <c r="BC292" i="2" s="1"/>
  <c r="BE324" i="5"/>
  <c r="BF292" i="2" s="1"/>
  <c r="BF324" i="5"/>
  <c r="BG292" i="2" s="1"/>
  <c r="BG324" i="5"/>
  <c r="BH292" i="2" s="1"/>
  <c r="AV324" i="5"/>
  <c r="AW292" i="2" s="1"/>
  <c r="C324" i="5"/>
  <c r="F324" i="5"/>
  <c r="G292" i="2" s="1"/>
  <c r="AW324" i="5"/>
  <c r="AX292" i="2" s="1"/>
  <c r="I324" i="5"/>
  <c r="T324" i="5"/>
  <c r="U292" i="2" s="1"/>
  <c r="AY324" i="5"/>
  <c r="AZ292" i="2" s="1"/>
  <c r="AZ324" i="5"/>
  <c r="BA292" i="2" s="1"/>
  <c r="P324" i="5"/>
  <c r="Q292" i="2" s="1"/>
  <c r="R324" i="5"/>
  <c r="S292" i="2" s="1"/>
  <c r="V324" i="5"/>
  <c r="W292" i="2" s="1"/>
  <c r="AG324" i="5"/>
  <c r="AH292" i="2" s="1"/>
  <c r="L324" i="5"/>
  <c r="M292" i="2" s="1"/>
  <c r="Y324" i="5"/>
  <c r="Z292" i="2" s="1"/>
  <c r="AD324" i="5"/>
  <c r="AE292" i="2" s="1"/>
  <c r="AH324" i="5"/>
  <c r="AI292" i="2" s="1"/>
  <c r="AJ324" i="5"/>
  <c r="AK292" i="2" s="1"/>
  <c r="AM324" i="5"/>
  <c r="AN292" i="2" s="1"/>
  <c r="AO324" i="5"/>
  <c r="AP292" i="2" s="1"/>
  <c r="AR324" i="5"/>
  <c r="AS292" i="2" s="1"/>
  <c r="AL324" i="5"/>
  <c r="AM292" i="2" s="1"/>
  <c r="AP324" i="5"/>
  <c r="AQ292" i="2" s="1"/>
  <c r="AB324" i="5"/>
  <c r="AC292" i="2" s="1"/>
  <c r="U324" i="5"/>
  <c r="V292" i="2" s="1"/>
  <c r="BA324" i="5"/>
  <c r="BB292" i="2" s="1"/>
  <c r="BD324" i="5"/>
  <c r="BE292" i="2" s="1"/>
  <c r="BJ324" i="5"/>
  <c r="BK292" i="2" s="1"/>
  <c r="E324" i="5"/>
  <c r="F292" i="2" s="1"/>
  <c r="H324" i="5"/>
  <c r="K324" i="5"/>
  <c r="L292" i="2" s="1"/>
  <c r="M324" i="5"/>
  <c r="N292" i="2" s="1"/>
  <c r="O324" i="5"/>
  <c r="P292" i="2" s="1"/>
  <c r="Q324" i="5"/>
  <c r="R292" i="2" s="1"/>
  <c r="S324" i="5"/>
  <c r="T292" i="2" s="1"/>
  <c r="W324" i="5"/>
  <c r="X292" i="2" s="1"/>
  <c r="X324" i="5"/>
  <c r="Y292" i="2" s="1"/>
  <c r="Z324" i="5"/>
  <c r="AA292" i="2" s="1"/>
  <c r="AA324" i="5"/>
  <c r="AB292" i="2" s="1"/>
  <c r="AE324" i="5"/>
  <c r="AF292" i="2" s="1"/>
  <c r="AF324" i="5"/>
  <c r="AG292" i="2" s="1"/>
  <c r="AI324" i="5"/>
  <c r="AJ292" i="2" s="1"/>
  <c r="AK324" i="5"/>
  <c r="AL292" i="2" s="1"/>
  <c r="AN324" i="5"/>
  <c r="AO292" i="2" s="1"/>
  <c r="AQ324" i="5"/>
  <c r="AR292" i="2" s="1"/>
  <c r="AS324" i="5"/>
  <c r="AT292" i="2" s="1"/>
  <c r="AT324" i="5"/>
  <c r="AU292" i="2" s="1"/>
  <c r="AX324" i="5"/>
  <c r="AY292" i="2" s="1"/>
  <c r="L17" i="3"/>
  <c r="O17" i="3" s="1"/>
  <c r="AN323" i="5"/>
  <c r="AO55" i="2" s="1"/>
  <c r="AO323" i="5"/>
  <c r="AP55" i="2" s="1"/>
  <c r="AM323" i="5"/>
  <c r="AN55" i="2" s="1"/>
  <c r="AQ323" i="5"/>
  <c r="AR55" i="2" s="1"/>
  <c r="AP323" i="5"/>
  <c r="AQ55" i="2" s="1"/>
  <c r="L84" i="3"/>
  <c r="AB322" i="5"/>
  <c r="AC214" i="2" s="1"/>
  <c r="C322" i="5"/>
  <c r="BD322" i="5"/>
  <c r="BE214" i="2" s="1"/>
  <c r="J322" i="5"/>
  <c r="D322" i="5"/>
  <c r="E214" i="2" s="1"/>
  <c r="E322" i="5"/>
  <c r="F214" i="2" s="1"/>
  <c r="AA322" i="5"/>
  <c r="AB214" i="2" s="1"/>
  <c r="L101" i="3"/>
  <c r="H321" i="5"/>
  <c r="I289" i="2" s="1"/>
  <c r="K321" i="5"/>
  <c r="L289" i="2" s="1"/>
  <c r="M110" i="5"/>
  <c r="N110" i="5" s="1"/>
  <c r="M101" i="3" s="1"/>
  <c r="I321" i="5"/>
  <c r="J289" i="2" s="1"/>
  <c r="Y321" i="5"/>
  <c r="Z289" i="2" s="1"/>
  <c r="U321" i="5"/>
  <c r="V289" i="2" s="1"/>
  <c r="C321" i="5"/>
  <c r="X321" i="5"/>
  <c r="Y289" i="2" s="1"/>
  <c r="E321" i="5"/>
  <c r="F289" i="2" s="1"/>
  <c r="V321" i="5"/>
  <c r="W289" i="2" s="1"/>
  <c r="F321" i="5"/>
  <c r="G289" i="2" s="1"/>
  <c r="L321" i="5"/>
  <c r="M289" i="2" s="1"/>
  <c r="R321" i="5"/>
  <c r="S289" i="2" s="1"/>
  <c r="W321" i="5"/>
  <c r="X289" i="2" s="1"/>
  <c r="AX321" i="5"/>
  <c r="AY289" i="2" s="1"/>
  <c r="D321" i="5"/>
  <c r="E289" i="2" s="1"/>
  <c r="G321" i="5"/>
  <c r="H289" i="2" s="1"/>
  <c r="J321" i="5"/>
  <c r="K289" i="2" s="1"/>
  <c r="BJ321" i="5"/>
  <c r="BK289" i="2" s="1"/>
  <c r="L97" i="3"/>
  <c r="AI320" i="5"/>
  <c r="AJ235" i="2" s="1"/>
  <c r="AP320" i="5"/>
  <c r="AQ235" i="2" s="1"/>
  <c r="AL320" i="5"/>
  <c r="AM235" i="2" s="1"/>
  <c r="AE320" i="5"/>
  <c r="AF235" i="2" s="1"/>
  <c r="AG320" i="5"/>
  <c r="AH235" i="2" s="1"/>
  <c r="AC320" i="5"/>
  <c r="AD235" i="2" s="1"/>
  <c r="T320" i="5"/>
  <c r="U235" i="2" s="1"/>
  <c r="AJ320" i="5"/>
  <c r="AK235" i="2" s="1"/>
  <c r="AM320" i="5"/>
  <c r="AN235" i="2" s="1"/>
  <c r="AH320" i="5"/>
  <c r="AI235" i="2" s="1"/>
  <c r="AD320" i="5"/>
  <c r="AE235" i="2" s="1"/>
  <c r="M109" i="5"/>
  <c r="N109" i="5" s="1"/>
  <c r="M97" i="3" s="1"/>
  <c r="AN320" i="5"/>
  <c r="AO235" i="2" s="1"/>
  <c r="AK320" i="5"/>
  <c r="AL235" i="2" s="1"/>
  <c r="Q320" i="5"/>
  <c r="AO320" i="5"/>
  <c r="AP235" i="2" s="1"/>
  <c r="AF320" i="5"/>
  <c r="AG235" i="2" s="1"/>
  <c r="L83" i="3"/>
  <c r="D319" i="5"/>
  <c r="E304" i="2" s="1"/>
  <c r="F319" i="5"/>
  <c r="G304" i="2" s="1"/>
  <c r="I319" i="5"/>
  <c r="J304" i="2" s="1"/>
  <c r="J319" i="5"/>
  <c r="K304" i="2" s="1"/>
  <c r="P319" i="5"/>
  <c r="Q304" i="2" s="1"/>
  <c r="BD319" i="5"/>
  <c r="BE304" i="2" s="1"/>
  <c r="BB319" i="5"/>
  <c r="BC304" i="2" s="1"/>
  <c r="AZ319" i="5"/>
  <c r="BA304" i="2" s="1"/>
  <c r="W319" i="5"/>
  <c r="X304" i="2" s="1"/>
  <c r="AA319" i="5"/>
  <c r="AB304" i="2" s="1"/>
  <c r="AC319" i="5"/>
  <c r="AD304" i="2" s="1"/>
  <c r="AP319" i="5"/>
  <c r="AQ304" i="2" s="1"/>
  <c r="AN319" i="5"/>
  <c r="AO304" i="2" s="1"/>
  <c r="R319" i="5"/>
  <c r="S304" i="2" s="1"/>
  <c r="AG319" i="5"/>
  <c r="AH304" i="2" s="1"/>
  <c r="AK319" i="5"/>
  <c r="AL304" i="2" s="1"/>
  <c r="BA319" i="5"/>
  <c r="BB304" i="2" s="1"/>
  <c r="Y319" i="5"/>
  <c r="Z304" i="2" s="1"/>
  <c r="AB319" i="5"/>
  <c r="AC304" i="2" s="1"/>
  <c r="AF319" i="5"/>
  <c r="AG304" i="2" s="1"/>
  <c r="AJ319" i="5"/>
  <c r="AK304" i="2" s="1"/>
  <c r="AM319" i="5"/>
  <c r="AN304" i="2" s="1"/>
  <c r="T319" i="5"/>
  <c r="U304" i="2" s="1"/>
  <c r="AX319" i="5"/>
  <c r="AY304" i="2" s="1"/>
  <c r="L319" i="5"/>
  <c r="U319" i="5"/>
  <c r="V304" i="2" s="1"/>
  <c r="BG319" i="5"/>
  <c r="BH304" i="2" s="1"/>
  <c r="Z319" i="5"/>
  <c r="AA304" i="2" s="1"/>
  <c r="AD319" i="5"/>
  <c r="AE304" i="2" s="1"/>
  <c r="AI319" i="5"/>
  <c r="AJ304" i="2" s="1"/>
  <c r="AO319" i="5"/>
  <c r="AP304" i="2" s="1"/>
  <c r="AL319" i="5"/>
  <c r="AM304" i="2" s="1"/>
  <c r="AY319" i="5"/>
  <c r="AZ304" i="2" s="1"/>
  <c r="AH319" i="5"/>
  <c r="AI304" i="2" s="1"/>
  <c r="AE319" i="5"/>
  <c r="AF304" i="2" s="1"/>
  <c r="X319" i="5"/>
  <c r="Y304" i="2" s="1"/>
  <c r="V319" i="5"/>
  <c r="W304" i="2" s="1"/>
  <c r="BC319" i="5"/>
  <c r="BD304" i="2" s="1"/>
  <c r="BF319" i="5"/>
  <c r="BG304" i="2" s="1"/>
  <c r="BH319" i="5"/>
  <c r="BI304" i="2" s="1"/>
  <c r="Q319" i="5"/>
  <c r="R304" i="2" s="1"/>
  <c r="N319" i="5"/>
  <c r="O304" i="2" s="1"/>
  <c r="K319" i="5"/>
  <c r="H319" i="5"/>
  <c r="I304" i="2" s="1"/>
  <c r="E319" i="5"/>
  <c r="F304" i="2" s="1"/>
  <c r="G319" i="5"/>
  <c r="H304" i="2" s="1"/>
  <c r="C319" i="5"/>
  <c r="M319" i="5"/>
  <c r="N304" i="2" s="1"/>
  <c r="O319" i="5"/>
  <c r="P304" i="2" s="1"/>
  <c r="S319" i="5"/>
  <c r="T304" i="2" s="1"/>
  <c r="BI319" i="5"/>
  <c r="BJ304" i="2" s="1"/>
  <c r="BE319" i="5"/>
  <c r="BF304" i="2" s="1"/>
  <c r="L73" i="3"/>
  <c r="AJ318" i="5"/>
  <c r="AK223" i="2" s="1"/>
  <c r="L69" i="3"/>
  <c r="AH317" i="5"/>
  <c r="AI229" i="2" s="1"/>
  <c r="C317" i="5"/>
  <c r="BG317" i="5"/>
  <c r="BH229" i="2" s="1"/>
  <c r="AP317" i="5"/>
  <c r="AQ229" i="2" s="1"/>
  <c r="E317" i="5"/>
  <c r="F229" i="2" s="1"/>
  <c r="BH317" i="5"/>
  <c r="BI229" i="2" s="1"/>
  <c r="AQ317" i="5"/>
  <c r="AR229" i="2" s="1"/>
  <c r="BI317" i="5"/>
  <c r="BJ229" i="2" s="1"/>
  <c r="D317" i="5"/>
  <c r="E229" i="2" s="1"/>
  <c r="L68" i="3"/>
  <c r="R316" i="5"/>
  <c r="S244" i="2" s="1"/>
  <c r="M316" i="5"/>
  <c r="BI316" i="5"/>
  <c r="BJ244" i="2" s="1"/>
  <c r="BF316" i="5"/>
  <c r="BG244" i="2" s="1"/>
  <c r="BB316" i="5"/>
  <c r="BC244" i="2" s="1"/>
  <c r="AY316" i="5"/>
  <c r="AZ244" i="2" s="1"/>
  <c r="AS316" i="5"/>
  <c r="AT244" i="2" s="1"/>
  <c r="AN316" i="5"/>
  <c r="AO244" i="2" s="1"/>
  <c r="AA316" i="5"/>
  <c r="AB244" i="2" s="1"/>
  <c r="AM316" i="5"/>
  <c r="AN244" i="2" s="1"/>
  <c r="BE316" i="5"/>
  <c r="BF244" i="2" s="1"/>
  <c r="BA316" i="5"/>
  <c r="BB244" i="2" s="1"/>
  <c r="AW316" i="5"/>
  <c r="AX244" i="2" s="1"/>
  <c r="AT316" i="5"/>
  <c r="AU244" i="2" s="1"/>
  <c r="BG316" i="5"/>
  <c r="BH244" i="2" s="1"/>
  <c r="AQ316" i="5"/>
  <c r="AR244" i="2" s="1"/>
  <c r="AL316" i="5"/>
  <c r="AM244" i="2" s="1"/>
  <c r="AB316" i="5"/>
  <c r="AC244" i="2" s="1"/>
  <c r="E316" i="5"/>
  <c r="F244" i="2" s="1"/>
  <c r="BD316" i="5"/>
  <c r="BE244" i="2" s="1"/>
  <c r="AZ316" i="5"/>
  <c r="BA244" i="2" s="1"/>
  <c r="D316" i="5"/>
  <c r="E244" i="2" s="1"/>
  <c r="M105" i="5"/>
  <c r="N105" i="5" s="1"/>
  <c r="M68" i="3" s="1"/>
  <c r="L316" i="5"/>
  <c r="P316" i="5"/>
  <c r="C316" i="5"/>
  <c r="X316" i="5"/>
  <c r="Y244" i="2" s="1"/>
  <c r="AK316" i="5"/>
  <c r="AL244" i="2" s="1"/>
  <c r="AH316" i="5"/>
  <c r="AI244" i="2" s="1"/>
  <c r="AE316" i="5"/>
  <c r="AF244" i="2" s="1"/>
  <c r="AC316" i="5"/>
  <c r="AD244" i="2" s="1"/>
  <c r="O316" i="5"/>
  <c r="Z316" i="5"/>
  <c r="AA244" i="2" s="1"/>
  <c r="S316" i="5"/>
  <c r="T244" i="2" s="1"/>
  <c r="AF316" i="5"/>
  <c r="AG244" i="2" s="1"/>
  <c r="AR316" i="5"/>
  <c r="AS244" i="2" s="1"/>
  <c r="I316" i="5"/>
  <c r="J244" i="2" s="1"/>
  <c r="AJ316" i="5"/>
  <c r="AK244" i="2" s="1"/>
  <c r="AO316" i="5"/>
  <c r="AP244" i="2" s="1"/>
  <c r="AP316" i="5"/>
  <c r="AQ244" i="2" s="1"/>
  <c r="AU316" i="5"/>
  <c r="AV244" i="2" s="1"/>
  <c r="AV316" i="5"/>
  <c r="AW244" i="2" s="1"/>
  <c r="AX316" i="5"/>
  <c r="AY244" i="2" s="1"/>
  <c r="BC316" i="5"/>
  <c r="BD244" i="2" s="1"/>
  <c r="BH316" i="5"/>
  <c r="BI244" i="2" s="1"/>
  <c r="H316" i="5"/>
  <c r="I244" i="2" s="1"/>
  <c r="J316" i="5"/>
  <c r="K244" i="2" s="1"/>
  <c r="W316" i="5"/>
  <c r="X244" i="2" s="1"/>
  <c r="U316" i="5"/>
  <c r="V244" i="2" s="1"/>
  <c r="F316" i="5"/>
  <c r="G244" i="2" s="1"/>
  <c r="AD316" i="5"/>
  <c r="AE244" i="2" s="1"/>
  <c r="AG316" i="5"/>
  <c r="AH244" i="2" s="1"/>
  <c r="AI316" i="5"/>
  <c r="AJ244" i="2" s="1"/>
  <c r="Y316" i="5"/>
  <c r="Z244" i="2" s="1"/>
  <c r="V316" i="5"/>
  <c r="W244" i="2" s="1"/>
  <c r="T316" i="5"/>
  <c r="U244" i="2" s="1"/>
  <c r="Q316" i="5"/>
  <c r="R244" i="2" s="1"/>
  <c r="N316" i="5"/>
  <c r="K316" i="5"/>
  <c r="L244" i="2" s="1"/>
  <c r="G316" i="5"/>
  <c r="H244" i="2" s="1"/>
  <c r="BJ316" i="5"/>
  <c r="BK244" i="2" s="1"/>
  <c r="L89" i="3"/>
  <c r="AG315" i="5"/>
  <c r="AH259" i="2" s="1"/>
  <c r="AE315" i="5"/>
  <c r="AF259" i="2" s="1"/>
  <c r="AA315" i="5"/>
  <c r="AB259" i="2" s="1"/>
  <c r="AC315" i="5"/>
  <c r="AD259" i="2" s="1"/>
  <c r="AF315" i="5"/>
  <c r="AG259" i="2" s="1"/>
  <c r="Z315" i="5"/>
  <c r="AA259" i="2" s="1"/>
  <c r="AB315" i="5"/>
  <c r="AC259" i="2" s="1"/>
  <c r="AD315" i="5"/>
  <c r="AE259" i="2" s="1"/>
  <c r="L57" i="3"/>
  <c r="T314" i="5"/>
  <c r="U106" i="2" s="1"/>
  <c r="S314" i="5"/>
  <c r="T106" i="2" s="1"/>
  <c r="R314" i="5"/>
  <c r="S106" i="2" s="1"/>
  <c r="Q314" i="5"/>
  <c r="R106" i="2" s="1"/>
  <c r="AN314" i="5"/>
  <c r="AO106" i="2" s="1"/>
  <c r="AP314" i="5"/>
  <c r="AQ106" i="2" s="1"/>
  <c r="J314" i="5"/>
  <c r="K106" i="2" s="1"/>
  <c r="I314" i="5"/>
  <c r="AQ314" i="5"/>
  <c r="AR106" i="2" s="1"/>
  <c r="AR314" i="5"/>
  <c r="AS106" i="2" s="1"/>
  <c r="AS314" i="5"/>
  <c r="AT106" i="2" s="1"/>
  <c r="AT314" i="5"/>
  <c r="AU106" i="2" s="1"/>
  <c r="AU314" i="5"/>
  <c r="AV106" i="2" s="1"/>
  <c r="AV314" i="5"/>
  <c r="AW106" i="2" s="1"/>
  <c r="AW314" i="5"/>
  <c r="AX106" i="2" s="1"/>
  <c r="AX314" i="5"/>
  <c r="AY106" i="2" s="1"/>
  <c r="AY314" i="5"/>
  <c r="AZ106" i="2" s="1"/>
  <c r="BF314" i="5"/>
  <c r="BG106" i="2" s="1"/>
  <c r="BE314" i="5"/>
  <c r="BF106" i="2" s="1"/>
  <c r="BC314" i="5"/>
  <c r="BD106" i="2" s="1"/>
  <c r="P314" i="5"/>
  <c r="Q106" i="2" s="1"/>
  <c r="BB314" i="5"/>
  <c r="BC106" i="2" s="1"/>
  <c r="BA314" i="5"/>
  <c r="BB106" i="2" s="1"/>
  <c r="AZ314" i="5"/>
  <c r="BA106" i="2" s="1"/>
  <c r="M103" i="5"/>
  <c r="N103" i="5" s="1"/>
  <c r="M57" i="3" s="1"/>
  <c r="BI314" i="5"/>
  <c r="BJ106" i="2" s="1"/>
  <c r="AO314" i="5"/>
  <c r="AP106" i="2" s="1"/>
  <c r="N314" i="5"/>
  <c r="O106" i="2" s="1"/>
  <c r="BJ314" i="5"/>
  <c r="BK106" i="2" s="1"/>
  <c r="O314" i="5"/>
  <c r="P106" i="2" s="1"/>
  <c r="BH314" i="5"/>
  <c r="BI106" i="2" s="1"/>
  <c r="BG314" i="5"/>
  <c r="BH106" i="2" s="1"/>
  <c r="L12" i="3"/>
  <c r="O12" i="3" s="1"/>
  <c r="V313" i="5"/>
  <c r="W94" i="2" s="1"/>
  <c r="U313" i="5"/>
  <c r="V94" i="2" s="1"/>
  <c r="T313" i="5"/>
  <c r="S313" i="5"/>
  <c r="R313" i="5"/>
  <c r="Q313" i="5"/>
  <c r="R94" i="2" s="1"/>
  <c r="P313" i="5"/>
  <c r="Q94" i="2" s="1"/>
  <c r="O313" i="5"/>
  <c r="P94" i="2" s="1"/>
  <c r="N313" i="5"/>
  <c r="O94" i="2" s="1"/>
  <c r="M313" i="5"/>
  <c r="N94" i="2" s="1"/>
  <c r="L313" i="5"/>
  <c r="M94" i="2" s="1"/>
  <c r="K313" i="5"/>
  <c r="L94" i="2" s="1"/>
  <c r="J313" i="5"/>
  <c r="K94" i="2" s="1"/>
  <c r="I313" i="5"/>
  <c r="J94" i="2" s="1"/>
  <c r="H313" i="5"/>
  <c r="I94" i="2" s="1"/>
  <c r="G313" i="5"/>
  <c r="H94" i="2" s="1"/>
  <c r="F313" i="5"/>
  <c r="G94" i="2" s="1"/>
  <c r="E313" i="5"/>
  <c r="F94" i="2" s="1"/>
  <c r="D313" i="5"/>
  <c r="E94" i="2" s="1"/>
  <c r="C313" i="5"/>
  <c r="M102" i="5"/>
  <c r="N102" i="5" s="1"/>
  <c r="M12" i="3" s="1"/>
  <c r="AS313" i="5"/>
  <c r="AT94" i="2" s="1"/>
  <c r="AR313" i="5"/>
  <c r="AS94" i="2" s="1"/>
  <c r="AG313" i="5"/>
  <c r="AH94" i="2" s="1"/>
  <c r="AQ313" i="5"/>
  <c r="AR94" i="2" s="1"/>
  <c r="AP313" i="5"/>
  <c r="AQ94" i="2" s="1"/>
  <c r="Z313" i="5"/>
  <c r="AA94" i="2" s="1"/>
  <c r="AA313" i="5"/>
  <c r="AB94" i="2" s="1"/>
  <c r="BI313" i="5"/>
  <c r="BJ94" i="2" s="1"/>
  <c r="AB313" i="5"/>
  <c r="AC94" i="2" s="1"/>
  <c r="AC313" i="5"/>
  <c r="AD94" i="2" s="1"/>
  <c r="AD313" i="5"/>
  <c r="AE94" i="2" s="1"/>
  <c r="AE313" i="5"/>
  <c r="AF94" i="2" s="1"/>
  <c r="AF313" i="5"/>
  <c r="AG94" i="2" s="1"/>
  <c r="AH313" i="5"/>
  <c r="AI94" i="2" s="1"/>
  <c r="AZ313" i="5"/>
  <c r="BA94" i="2" s="1"/>
  <c r="BJ313" i="5"/>
  <c r="BK94" i="2" s="1"/>
  <c r="BB313" i="5"/>
  <c r="BC94" i="2" s="1"/>
  <c r="BH313" i="5"/>
  <c r="BI94" i="2" s="1"/>
  <c r="BG313" i="5"/>
  <c r="BH94" i="2" s="1"/>
  <c r="BF313" i="5"/>
  <c r="BG94" i="2" s="1"/>
  <c r="BE313" i="5"/>
  <c r="BF94" i="2" s="1"/>
  <c r="X313" i="5"/>
  <c r="Y94" i="2" s="1"/>
  <c r="W313" i="5"/>
  <c r="X94" i="2" s="1"/>
  <c r="BD313" i="5"/>
  <c r="BE94" i="2" s="1"/>
  <c r="BC313" i="5"/>
  <c r="BD94" i="2" s="1"/>
  <c r="BA313" i="5"/>
  <c r="BB94" i="2" s="1"/>
  <c r="AY313" i="5"/>
  <c r="AZ94" i="2" s="1"/>
  <c r="AX313" i="5"/>
  <c r="AY94" i="2" s="1"/>
  <c r="Y313" i="5"/>
  <c r="Z94" i="2" s="1"/>
  <c r="AW313" i="5"/>
  <c r="AX94" i="2" s="1"/>
  <c r="AV313" i="5"/>
  <c r="AW94" i="2" s="1"/>
  <c r="AU313" i="5"/>
  <c r="AV94" i="2" s="1"/>
  <c r="AT313" i="5"/>
  <c r="AU94" i="2" s="1"/>
  <c r="L52" i="3"/>
  <c r="I312" i="5"/>
  <c r="J196" i="2" s="1"/>
  <c r="AE312" i="5"/>
  <c r="AF196" i="2" s="1"/>
  <c r="AC312" i="5"/>
  <c r="AD196" i="2" s="1"/>
  <c r="AB312" i="5"/>
  <c r="AC196" i="2" s="1"/>
  <c r="H312" i="5"/>
  <c r="I196" i="2" s="1"/>
  <c r="G312" i="5"/>
  <c r="H196" i="2" s="1"/>
  <c r="E312" i="5"/>
  <c r="F196" i="2" s="1"/>
  <c r="D312" i="5"/>
  <c r="E196" i="2" s="1"/>
  <c r="AF312" i="5"/>
  <c r="AG196" i="2" s="1"/>
  <c r="AT312" i="5"/>
  <c r="AU196" i="2" s="1"/>
  <c r="C312" i="5"/>
  <c r="S312" i="5"/>
  <c r="T196" i="2" s="1"/>
  <c r="R312" i="5"/>
  <c r="S196" i="2" s="1"/>
  <c r="O312" i="5"/>
  <c r="P196" i="2" s="1"/>
  <c r="AD312" i="5"/>
  <c r="AE196" i="2" s="1"/>
  <c r="BJ312" i="5"/>
  <c r="BK196" i="2" s="1"/>
  <c r="BI312" i="5"/>
  <c r="BJ196" i="2" s="1"/>
  <c r="M101" i="5"/>
  <c r="N101" i="5" s="1"/>
  <c r="M52" i="3" s="1"/>
  <c r="Q312" i="5"/>
  <c r="R196" i="2" s="1"/>
  <c r="P312" i="5"/>
  <c r="Q196" i="2" s="1"/>
  <c r="F312" i="5"/>
  <c r="G196" i="2" s="1"/>
  <c r="L100" i="3"/>
  <c r="N311" i="5"/>
  <c r="O286" i="2" s="1"/>
  <c r="Z311" i="5"/>
  <c r="AA286" i="2" s="1"/>
  <c r="M100" i="5"/>
  <c r="N100" i="5" s="1"/>
  <c r="M100" i="3" s="1"/>
  <c r="AA311" i="5"/>
  <c r="AB286" i="2" s="1"/>
  <c r="O311" i="5"/>
  <c r="P286" i="2" s="1"/>
  <c r="AB311" i="5"/>
  <c r="AC286" i="2" s="1"/>
  <c r="AC311" i="5"/>
  <c r="AD286" i="2" s="1"/>
  <c r="BE311" i="5"/>
  <c r="BF286" i="2" s="1"/>
  <c r="AE311" i="5"/>
  <c r="AF286" i="2" s="1"/>
  <c r="AF311" i="5"/>
  <c r="AG286" i="2" s="1"/>
  <c r="AG311" i="5"/>
  <c r="AH286" i="2" s="1"/>
  <c r="AH311" i="5"/>
  <c r="AI286" i="2" s="1"/>
  <c r="AI311" i="5"/>
  <c r="AJ286" i="2" s="1"/>
  <c r="AJ311" i="5"/>
  <c r="AK286" i="2" s="1"/>
  <c r="AK311" i="5"/>
  <c r="AL286" i="2" s="1"/>
  <c r="AL311" i="5"/>
  <c r="AM286" i="2" s="1"/>
  <c r="AM311" i="5"/>
  <c r="AN286" i="2" s="1"/>
  <c r="AN311" i="5"/>
  <c r="AO286" i="2" s="1"/>
  <c r="AO311" i="5"/>
  <c r="AP286" i="2" s="1"/>
  <c r="AP311" i="5"/>
  <c r="AQ286" i="2" s="1"/>
  <c r="AQ311" i="5"/>
  <c r="AR286" i="2" s="1"/>
  <c r="AR311" i="5"/>
  <c r="AS286" i="2" s="1"/>
  <c r="AS311" i="5"/>
  <c r="AT286" i="2" s="1"/>
  <c r="AT311" i="5"/>
  <c r="AU286" i="2" s="1"/>
  <c r="AU311" i="5"/>
  <c r="AV286" i="2" s="1"/>
  <c r="AV311" i="5"/>
  <c r="AW286" i="2" s="1"/>
  <c r="AW311" i="5"/>
  <c r="AX286" i="2" s="1"/>
  <c r="AX311" i="5"/>
  <c r="AY286" i="2" s="1"/>
  <c r="AY311" i="5"/>
  <c r="AZ286" i="2" s="1"/>
  <c r="AZ311" i="5"/>
  <c r="BA286" i="2" s="1"/>
  <c r="BA311" i="5"/>
  <c r="BB286" i="2" s="1"/>
  <c r="BB311" i="5"/>
  <c r="BC286" i="2" s="1"/>
  <c r="BC311" i="5"/>
  <c r="BD286" i="2" s="1"/>
  <c r="BD311" i="5"/>
  <c r="BE286" i="2" s="1"/>
  <c r="BF311" i="5"/>
  <c r="BG286" i="2" s="1"/>
  <c r="BG311" i="5"/>
  <c r="BH286" i="2" s="1"/>
  <c r="BH311" i="5"/>
  <c r="BI286" i="2" s="1"/>
  <c r="BI311" i="5"/>
  <c r="BJ286" i="2" s="1"/>
  <c r="BJ311" i="5"/>
  <c r="BK286" i="2" s="1"/>
  <c r="AD311" i="5"/>
  <c r="AE286" i="2" s="1"/>
  <c r="C311" i="5"/>
  <c r="D311" i="5"/>
  <c r="E311" i="5"/>
  <c r="F311" i="5"/>
  <c r="G286" i="2" s="1"/>
  <c r="G311" i="5"/>
  <c r="H286" i="2" s="1"/>
  <c r="H311" i="5"/>
  <c r="I286" i="2" s="1"/>
  <c r="I311" i="5"/>
  <c r="J286" i="2" s="1"/>
  <c r="J311" i="5"/>
  <c r="K286" i="2" s="1"/>
  <c r="K311" i="5"/>
  <c r="L286" i="2" s="1"/>
  <c r="L311" i="5"/>
  <c r="M286" i="2" s="1"/>
  <c r="M311" i="5"/>
  <c r="N286" i="2" s="1"/>
  <c r="L56" i="3"/>
  <c r="BH310" i="5"/>
  <c r="BI163" i="2" s="1"/>
  <c r="AJ310" i="5"/>
  <c r="AK163" i="2" s="1"/>
  <c r="BG310" i="5"/>
  <c r="BH163" i="2" s="1"/>
  <c r="H310" i="5"/>
  <c r="I163" i="2" s="1"/>
  <c r="BF310" i="5"/>
  <c r="BG163" i="2" s="1"/>
  <c r="C310" i="5"/>
  <c r="D310" i="5"/>
  <c r="E163" i="2" s="1"/>
  <c r="E310" i="5"/>
  <c r="F163" i="2" s="1"/>
  <c r="F310" i="5"/>
  <c r="G163" i="2" s="1"/>
  <c r="G310" i="5"/>
  <c r="H163" i="2" s="1"/>
  <c r="I310" i="5"/>
  <c r="J163" i="2" s="1"/>
  <c r="J310" i="5"/>
  <c r="K310" i="5"/>
  <c r="L310" i="5"/>
  <c r="M310" i="5"/>
  <c r="N163" i="2" s="1"/>
  <c r="AQ310" i="5"/>
  <c r="AR163" i="2" s="1"/>
  <c r="O310" i="5"/>
  <c r="P163" i="2" s="1"/>
  <c r="P310" i="5"/>
  <c r="Q163" i="2" s="1"/>
  <c r="Q310" i="5"/>
  <c r="R163" i="2" s="1"/>
  <c r="R310" i="5"/>
  <c r="S163" i="2" s="1"/>
  <c r="X310" i="5"/>
  <c r="Y163" i="2" s="1"/>
  <c r="S310" i="5"/>
  <c r="T163" i="2" s="1"/>
  <c r="Y310" i="5"/>
  <c r="Z163" i="2" s="1"/>
  <c r="N310" i="5"/>
  <c r="O163" i="2" s="1"/>
  <c r="Z310" i="5"/>
  <c r="AA163" i="2" s="1"/>
  <c r="AA310" i="5"/>
  <c r="AB163" i="2" s="1"/>
  <c r="AB310" i="5"/>
  <c r="AC163" i="2" s="1"/>
  <c r="AC310" i="5"/>
  <c r="AD163" i="2" s="1"/>
  <c r="AD310" i="5"/>
  <c r="AE163" i="2" s="1"/>
  <c r="AE310" i="5"/>
  <c r="AF163" i="2" s="1"/>
  <c r="AF310" i="5"/>
  <c r="AG163" i="2" s="1"/>
  <c r="AG310" i="5"/>
  <c r="AH163" i="2" s="1"/>
  <c r="AH310" i="5"/>
  <c r="AI163" i="2" s="1"/>
  <c r="AI310" i="5"/>
  <c r="AJ163" i="2" s="1"/>
  <c r="L11" i="3"/>
  <c r="O11" i="3" s="1"/>
  <c r="M98" i="5"/>
  <c r="N98" i="5" s="1"/>
  <c r="M11" i="3" s="1"/>
  <c r="AU309" i="5"/>
  <c r="AV67" i="2" s="1"/>
  <c r="L41" i="3"/>
  <c r="BF308" i="5"/>
  <c r="BG34" i="2" s="1"/>
  <c r="BG308" i="5"/>
  <c r="BH34" i="2" s="1"/>
  <c r="BH308" i="5"/>
  <c r="BI34" i="2" s="1"/>
  <c r="AQ308" i="5"/>
  <c r="AR34" i="2" s="1"/>
  <c r="AX308" i="5"/>
  <c r="AY34" i="2" s="1"/>
  <c r="C308" i="5"/>
  <c r="D308" i="5"/>
  <c r="E308" i="5"/>
  <c r="F34" i="2" s="1"/>
  <c r="F308" i="5"/>
  <c r="G34" i="2" s="1"/>
  <c r="G308" i="5"/>
  <c r="H34" i="2" s="1"/>
  <c r="L21" i="3"/>
  <c r="O21" i="3" s="1"/>
  <c r="O307" i="5"/>
  <c r="P43" i="2" s="1"/>
  <c r="BJ307" i="5"/>
  <c r="BK43" i="2" s="1"/>
  <c r="L55" i="3"/>
  <c r="L306" i="5"/>
  <c r="K306" i="5"/>
  <c r="J306" i="5"/>
  <c r="I306" i="5"/>
  <c r="J160" i="2" s="1"/>
  <c r="H306" i="5"/>
  <c r="I160" i="2" s="1"/>
  <c r="AW306" i="5"/>
  <c r="AX160" i="2" s="1"/>
  <c r="F306" i="5"/>
  <c r="G160" i="2" s="1"/>
  <c r="E306" i="5"/>
  <c r="F160" i="2" s="1"/>
  <c r="D306" i="5"/>
  <c r="E160" i="2" s="1"/>
  <c r="C306" i="5"/>
  <c r="M95" i="5"/>
  <c r="N95" i="5" s="1"/>
  <c r="M55" i="3" s="1"/>
  <c r="BJ306" i="5"/>
  <c r="BK160" i="2" s="1"/>
  <c r="BI306" i="5"/>
  <c r="BJ160" i="2" s="1"/>
  <c r="BH306" i="5"/>
  <c r="BI160" i="2" s="1"/>
  <c r="BG306" i="5"/>
  <c r="BH160" i="2" s="1"/>
  <c r="BF306" i="5"/>
  <c r="BG160" i="2" s="1"/>
  <c r="AM306" i="5"/>
  <c r="AN160" i="2" s="1"/>
  <c r="BE306" i="5"/>
  <c r="BF160" i="2" s="1"/>
  <c r="G306" i="5"/>
  <c r="H160" i="2" s="1"/>
  <c r="BD306" i="5"/>
  <c r="BE160" i="2" s="1"/>
  <c r="BC306" i="5"/>
  <c r="BD160" i="2" s="1"/>
  <c r="BB306" i="5"/>
  <c r="BC160" i="2" s="1"/>
  <c r="BA306" i="5"/>
  <c r="BB160" i="2" s="1"/>
  <c r="AZ306" i="5"/>
  <c r="BA160" i="2" s="1"/>
  <c r="AY306" i="5"/>
  <c r="AZ160" i="2" s="1"/>
  <c r="AX306" i="5"/>
  <c r="AY160" i="2" s="1"/>
  <c r="AV306" i="5"/>
  <c r="AW160" i="2" s="1"/>
  <c r="AU306" i="5"/>
  <c r="AV160" i="2" s="1"/>
  <c r="AS306" i="5"/>
  <c r="AT160" i="2" s="1"/>
  <c r="AR306" i="5"/>
  <c r="AS160" i="2" s="1"/>
  <c r="AQ306" i="5"/>
  <c r="AR160" i="2" s="1"/>
  <c r="AP306" i="5"/>
  <c r="AQ160" i="2" s="1"/>
  <c r="AO306" i="5"/>
  <c r="AP160" i="2" s="1"/>
  <c r="AN306" i="5"/>
  <c r="AO160" i="2" s="1"/>
  <c r="AL306" i="5"/>
  <c r="AM160" i="2" s="1"/>
  <c r="AK306" i="5"/>
  <c r="AL160" i="2" s="1"/>
  <c r="AI306" i="5"/>
  <c r="AJ160" i="2" s="1"/>
  <c r="AH306" i="5"/>
  <c r="AI160" i="2" s="1"/>
  <c r="AG306" i="5"/>
  <c r="AH160" i="2" s="1"/>
  <c r="AF306" i="5"/>
  <c r="AG160" i="2" s="1"/>
  <c r="AE306" i="5"/>
  <c r="AF160" i="2" s="1"/>
  <c r="AD306" i="5"/>
  <c r="AE160" i="2" s="1"/>
  <c r="AC306" i="5"/>
  <c r="AD160" i="2" s="1"/>
  <c r="AB306" i="5"/>
  <c r="AC160" i="2" s="1"/>
  <c r="AA306" i="5"/>
  <c r="AB160" i="2" s="1"/>
  <c r="Z306" i="5"/>
  <c r="AA160" i="2" s="1"/>
  <c r="T306" i="5"/>
  <c r="U160" i="2" s="1"/>
  <c r="Y306" i="5"/>
  <c r="Z160" i="2" s="1"/>
  <c r="X306" i="5"/>
  <c r="Y160" i="2" s="1"/>
  <c r="W306" i="5"/>
  <c r="X160" i="2" s="1"/>
  <c r="V306" i="5"/>
  <c r="W160" i="2" s="1"/>
  <c r="U306" i="5"/>
  <c r="V160" i="2" s="1"/>
  <c r="S306" i="5"/>
  <c r="T160" i="2" s="1"/>
  <c r="R306" i="5"/>
  <c r="S160" i="2" s="1"/>
  <c r="Q306" i="5"/>
  <c r="R160" i="2" s="1"/>
  <c r="P306" i="5"/>
  <c r="Q160" i="2" s="1"/>
  <c r="O306" i="5"/>
  <c r="P160" i="2" s="1"/>
  <c r="N306" i="5"/>
  <c r="O160" i="2" s="1"/>
  <c r="M306" i="5"/>
  <c r="N160" i="2" s="1"/>
  <c r="AJ306" i="5"/>
  <c r="AK160" i="2" s="1"/>
  <c r="L98" i="3"/>
  <c r="AY305" i="5"/>
  <c r="AZ247" i="2" s="1"/>
  <c r="AZ305" i="5"/>
  <c r="BA247" i="2" s="1"/>
  <c r="BA305" i="5"/>
  <c r="BB247" i="2" s="1"/>
  <c r="BB305" i="5"/>
  <c r="BC247" i="2" s="1"/>
  <c r="BC305" i="5"/>
  <c r="BD247" i="2" s="1"/>
  <c r="BD305" i="5"/>
  <c r="BE247" i="2" s="1"/>
  <c r="BE305" i="5"/>
  <c r="BF247" i="2" s="1"/>
  <c r="BF305" i="5"/>
  <c r="BG247" i="2" s="1"/>
  <c r="BG305" i="5"/>
  <c r="BH247" i="2" s="1"/>
  <c r="BH305" i="5"/>
  <c r="BI247" i="2" s="1"/>
  <c r="BI305" i="5"/>
  <c r="BJ247" i="2" s="1"/>
  <c r="AC305" i="5"/>
  <c r="AD247" i="2" s="1"/>
  <c r="L305" i="5"/>
  <c r="M247" i="2" s="1"/>
  <c r="AA305" i="5"/>
  <c r="AB247" i="2" s="1"/>
  <c r="C305" i="5"/>
  <c r="D305" i="5"/>
  <c r="E305" i="5"/>
  <c r="F305" i="5"/>
  <c r="M305" i="5"/>
  <c r="N247" i="2" s="1"/>
  <c r="G305" i="5"/>
  <c r="H247" i="2" s="1"/>
  <c r="H305" i="5"/>
  <c r="I247" i="2" s="1"/>
  <c r="I305" i="5"/>
  <c r="J247" i="2" s="1"/>
  <c r="AW305" i="5"/>
  <c r="AX247" i="2" s="1"/>
  <c r="AV305" i="5"/>
  <c r="AW247" i="2" s="1"/>
  <c r="AU305" i="5"/>
  <c r="AV247" i="2" s="1"/>
  <c r="AT305" i="5"/>
  <c r="AU247" i="2" s="1"/>
  <c r="AS305" i="5"/>
  <c r="AT247" i="2" s="1"/>
  <c r="AR305" i="5"/>
  <c r="AS247" i="2" s="1"/>
  <c r="AQ305" i="5"/>
  <c r="AR247" i="2" s="1"/>
  <c r="AP305" i="5"/>
  <c r="AQ247" i="2" s="1"/>
  <c r="AO305" i="5"/>
  <c r="AP247" i="2" s="1"/>
  <c r="AN305" i="5"/>
  <c r="AO247" i="2" s="1"/>
  <c r="AM305" i="5"/>
  <c r="AN247" i="2" s="1"/>
  <c r="AL305" i="5"/>
  <c r="AM247" i="2" s="1"/>
  <c r="AK305" i="5"/>
  <c r="AL247" i="2" s="1"/>
  <c r="AJ305" i="5"/>
  <c r="AK247" i="2" s="1"/>
  <c r="AI305" i="5"/>
  <c r="AJ247" i="2" s="1"/>
  <c r="AH305" i="5"/>
  <c r="AI247" i="2" s="1"/>
  <c r="AG305" i="5"/>
  <c r="AH247" i="2" s="1"/>
  <c r="AF305" i="5"/>
  <c r="AG247" i="2" s="1"/>
  <c r="AE305" i="5"/>
  <c r="AF247" i="2" s="1"/>
  <c r="AD305" i="5"/>
  <c r="AE247" i="2" s="1"/>
  <c r="J305" i="5"/>
  <c r="K247" i="2" s="1"/>
  <c r="AB305" i="5"/>
  <c r="AC247" i="2" s="1"/>
  <c r="Z305" i="5"/>
  <c r="AA247" i="2" s="1"/>
  <c r="Y305" i="5"/>
  <c r="Z247" i="2" s="1"/>
  <c r="X305" i="5"/>
  <c r="Y247" i="2" s="1"/>
  <c r="W305" i="5"/>
  <c r="X247" i="2" s="1"/>
  <c r="V305" i="5"/>
  <c r="W247" i="2" s="1"/>
  <c r="U305" i="5"/>
  <c r="V247" i="2" s="1"/>
  <c r="T305" i="5"/>
  <c r="U247" i="2" s="1"/>
  <c r="S305" i="5"/>
  <c r="T247" i="2" s="1"/>
  <c r="R305" i="5"/>
  <c r="S247" i="2" s="1"/>
  <c r="Q305" i="5"/>
  <c r="R247" i="2" s="1"/>
  <c r="O305" i="5"/>
  <c r="P247" i="2" s="1"/>
  <c r="N305" i="5"/>
  <c r="O247" i="2" s="1"/>
  <c r="K305" i="5"/>
  <c r="L247" i="2" s="1"/>
  <c r="P305" i="5"/>
  <c r="Q247" i="2" s="1"/>
  <c r="BJ305" i="5"/>
  <c r="BK247" i="2" s="1"/>
  <c r="AX305" i="5"/>
  <c r="AY247" i="2" s="1"/>
  <c r="L72" i="3"/>
  <c r="AG304" i="5"/>
  <c r="AH220" i="2" s="1"/>
  <c r="AH304" i="5"/>
  <c r="AI220" i="2" s="1"/>
  <c r="AF304" i="5"/>
  <c r="AG220" i="2" s="1"/>
  <c r="AE304" i="5"/>
  <c r="AF220" i="2" s="1"/>
  <c r="AD304" i="5"/>
  <c r="AE220" i="2" s="1"/>
  <c r="AI304" i="5"/>
  <c r="AJ220" i="2" s="1"/>
  <c r="AJ304" i="5"/>
  <c r="AK220" i="2" s="1"/>
  <c r="AK304" i="5"/>
  <c r="AL220" i="2" s="1"/>
  <c r="AY304" i="5"/>
  <c r="AZ220" i="2" s="1"/>
  <c r="L80" i="3"/>
  <c r="AN303" i="5"/>
  <c r="AO217" i="2" s="1"/>
  <c r="S303" i="5"/>
  <c r="T217" i="2" s="1"/>
  <c r="L303" i="5"/>
  <c r="AM303" i="5"/>
  <c r="AN217" i="2" s="1"/>
  <c r="J303" i="5"/>
  <c r="K217" i="2" s="1"/>
  <c r="M92" i="5"/>
  <c r="N92" i="5" s="1"/>
  <c r="M80" i="3" s="1"/>
  <c r="I303" i="5"/>
  <c r="J217" i="2" s="1"/>
  <c r="AO303" i="5"/>
  <c r="AP217" i="2" s="1"/>
  <c r="K303" i="5"/>
  <c r="L217" i="2" s="1"/>
  <c r="M303" i="5"/>
  <c r="N217" i="2" s="1"/>
  <c r="N303" i="5"/>
  <c r="O217" i="2" s="1"/>
  <c r="AU303" i="5"/>
  <c r="AV217" i="2" s="1"/>
  <c r="O303" i="5"/>
  <c r="P217" i="2" s="1"/>
  <c r="P303" i="5"/>
  <c r="Q217" i="2" s="1"/>
  <c r="Q303" i="5"/>
  <c r="R217" i="2" s="1"/>
  <c r="R303" i="5"/>
  <c r="S217" i="2" s="1"/>
  <c r="L51" i="3"/>
  <c r="BJ302" i="5"/>
  <c r="BK88" i="2" s="1"/>
  <c r="AV302" i="5"/>
  <c r="AW88" i="2" s="1"/>
  <c r="AU302" i="5"/>
  <c r="AV88" i="2" s="1"/>
  <c r="AS302" i="5"/>
  <c r="AT88" i="2" s="1"/>
  <c r="AE302" i="5"/>
  <c r="AF88" i="2" s="1"/>
  <c r="AQ302" i="5"/>
  <c r="AR88" i="2" s="1"/>
  <c r="AP302" i="5"/>
  <c r="AQ88" i="2" s="1"/>
  <c r="AO302" i="5"/>
  <c r="AP88" i="2" s="1"/>
  <c r="AN302" i="5"/>
  <c r="AO88" i="2" s="1"/>
  <c r="AK302" i="5"/>
  <c r="AL88" i="2" s="1"/>
  <c r="AM302" i="5"/>
  <c r="AN88" i="2" s="1"/>
  <c r="AR302" i="5"/>
  <c r="AS88" i="2" s="1"/>
  <c r="AJ302" i="5"/>
  <c r="AK88" i="2" s="1"/>
  <c r="AI302" i="5"/>
  <c r="AJ88" i="2" s="1"/>
  <c r="AH302" i="5"/>
  <c r="AI88" i="2" s="1"/>
  <c r="AL302" i="5"/>
  <c r="AM88" i="2" s="1"/>
  <c r="AG302" i="5"/>
  <c r="AH88" i="2" s="1"/>
  <c r="AT302" i="5"/>
  <c r="AU88" i="2" s="1"/>
  <c r="AF302" i="5"/>
  <c r="AG88" i="2" s="1"/>
  <c r="AD302" i="5"/>
  <c r="AE88" i="2" s="1"/>
  <c r="AC302" i="5"/>
  <c r="AD88" i="2" s="1"/>
  <c r="AB302" i="5"/>
  <c r="AC88" i="2" s="1"/>
  <c r="AA302" i="5"/>
  <c r="AB88" i="2" s="1"/>
  <c r="Z302" i="5"/>
  <c r="AA88" i="2" s="1"/>
  <c r="Y302" i="5"/>
  <c r="Z88" i="2" s="1"/>
  <c r="X302" i="5"/>
  <c r="AY302" i="5"/>
  <c r="AZ88" i="2" s="1"/>
  <c r="BI302" i="5"/>
  <c r="BJ88" i="2" s="1"/>
  <c r="M91" i="5"/>
  <c r="N91" i="5" s="1"/>
  <c r="M51" i="3" s="1"/>
  <c r="BB302" i="5"/>
  <c r="BC88" i="2" s="1"/>
  <c r="BA302" i="5"/>
  <c r="BB88" i="2" s="1"/>
  <c r="AZ302" i="5"/>
  <c r="BA88" i="2" s="1"/>
  <c r="AX302" i="5"/>
  <c r="AY88" i="2" s="1"/>
  <c r="AW302" i="5"/>
  <c r="AX88" i="2" s="1"/>
  <c r="L79" i="3"/>
  <c r="M90" i="5"/>
  <c r="N90" i="5" s="1"/>
  <c r="M79" i="3" s="1"/>
  <c r="AP301" i="5"/>
  <c r="AQ265" i="2" s="1"/>
  <c r="AO301" i="5"/>
  <c r="AP265" i="2" s="1"/>
  <c r="AN301" i="5"/>
  <c r="AO265" i="2" s="1"/>
  <c r="AM301" i="5"/>
  <c r="AN265" i="2" s="1"/>
  <c r="AL301" i="5"/>
  <c r="AM265" i="2" s="1"/>
  <c r="AK301" i="5"/>
  <c r="AL265" i="2" s="1"/>
  <c r="K301" i="5"/>
  <c r="AI301" i="5"/>
  <c r="AJ265" i="2" s="1"/>
  <c r="AH301" i="5"/>
  <c r="AI265" i="2" s="1"/>
  <c r="AG301" i="5"/>
  <c r="AH265" i="2" s="1"/>
  <c r="AF301" i="5"/>
  <c r="AG265" i="2" s="1"/>
  <c r="AE301" i="5"/>
  <c r="AF265" i="2" s="1"/>
  <c r="AD301" i="5"/>
  <c r="AE265" i="2" s="1"/>
  <c r="AC301" i="5"/>
  <c r="AD265" i="2" s="1"/>
  <c r="AB301" i="5"/>
  <c r="AC265" i="2" s="1"/>
  <c r="AA301" i="5"/>
  <c r="AB265" i="2" s="1"/>
  <c r="Z301" i="5"/>
  <c r="AA265" i="2" s="1"/>
  <c r="Y301" i="5"/>
  <c r="Z265" i="2" s="1"/>
  <c r="X301" i="5"/>
  <c r="Y265" i="2" s="1"/>
  <c r="W301" i="5"/>
  <c r="X265" i="2" s="1"/>
  <c r="V301" i="5"/>
  <c r="W265" i="2" s="1"/>
  <c r="U301" i="5"/>
  <c r="V265" i="2" s="1"/>
  <c r="T301" i="5"/>
  <c r="U265" i="2" s="1"/>
  <c r="R301" i="5"/>
  <c r="S265" i="2" s="1"/>
  <c r="Q301" i="5"/>
  <c r="R265" i="2" s="1"/>
  <c r="P301" i="5"/>
  <c r="Q265" i="2" s="1"/>
  <c r="O301" i="5"/>
  <c r="P265" i="2" s="1"/>
  <c r="N301" i="5"/>
  <c r="O265" i="2" s="1"/>
  <c r="M301" i="5"/>
  <c r="N265" i="2" s="1"/>
  <c r="S301" i="5"/>
  <c r="T265" i="2" s="1"/>
  <c r="L54" i="3"/>
  <c r="K300" i="5"/>
  <c r="M300" i="5"/>
  <c r="N103" i="2" s="1"/>
  <c r="N300" i="5"/>
  <c r="O103" i="2" s="1"/>
  <c r="O300" i="5"/>
  <c r="P103" i="2" s="1"/>
  <c r="P300" i="5"/>
  <c r="Q103" i="2" s="1"/>
  <c r="AN300" i="5"/>
  <c r="AO103" i="2" s="1"/>
  <c r="Q300" i="5"/>
  <c r="R103" i="2" s="1"/>
  <c r="AT300" i="5"/>
  <c r="AU103" i="2" s="1"/>
  <c r="AS300" i="5"/>
  <c r="AT103" i="2" s="1"/>
  <c r="AM300" i="5"/>
  <c r="AN103" i="2" s="1"/>
  <c r="AL300" i="5"/>
  <c r="AM103" i="2" s="1"/>
  <c r="L67" i="3"/>
  <c r="AN299" i="5"/>
  <c r="AO232" i="2" s="1"/>
  <c r="AO299" i="5"/>
  <c r="AP232" i="2" s="1"/>
  <c r="AP299" i="5"/>
  <c r="AQ232" i="2" s="1"/>
  <c r="AQ299" i="5"/>
  <c r="AR232" i="2" s="1"/>
  <c r="AR299" i="5"/>
  <c r="AS232" i="2" s="1"/>
  <c r="AS299" i="5"/>
  <c r="AT232" i="2" s="1"/>
  <c r="AT299" i="5"/>
  <c r="AU232" i="2" s="1"/>
  <c r="AU299" i="5"/>
  <c r="AV232" i="2" s="1"/>
  <c r="AV299" i="5"/>
  <c r="AW232" i="2" s="1"/>
  <c r="AW299" i="5"/>
  <c r="AX232" i="2" s="1"/>
  <c r="AX299" i="5"/>
  <c r="AY232" i="2" s="1"/>
  <c r="AY299" i="5"/>
  <c r="AZ232" i="2" s="1"/>
  <c r="AZ299" i="5"/>
  <c r="BA232" i="2" s="1"/>
  <c r="BA299" i="5"/>
  <c r="BB232" i="2" s="1"/>
  <c r="BB299" i="5"/>
  <c r="BC232" i="2" s="1"/>
  <c r="BC299" i="5"/>
  <c r="BD232" i="2" s="1"/>
  <c r="BD299" i="5"/>
  <c r="BE232" i="2" s="1"/>
  <c r="BE299" i="5"/>
  <c r="BF232" i="2" s="1"/>
  <c r="BF299" i="5"/>
  <c r="BG232" i="2" s="1"/>
  <c r="BG299" i="5"/>
  <c r="BH232" i="2" s="1"/>
  <c r="BI299" i="5"/>
  <c r="BJ232" i="2" s="1"/>
  <c r="BJ299" i="5"/>
  <c r="BK232" i="2" s="1"/>
  <c r="J299" i="5"/>
  <c r="K232" i="2" s="1"/>
  <c r="L63" i="3"/>
  <c r="AH298" i="5"/>
  <c r="AI187" i="2" s="1"/>
  <c r="AG298" i="5"/>
  <c r="AH187" i="2" s="1"/>
  <c r="AF298" i="5"/>
  <c r="AG187" i="2" s="1"/>
  <c r="AE298" i="5"/>
  <c r="AF187" i="2" s="1"/>
  <c r="AD298" i="5"/>
  <c r="AE187" i="2" s="1"/>
  <c r="AC298" i="5"/>
  <c r="AD187" i="2" s="1"/>
  <c r="AB298" i="5"/>
  <c r="AC187" i="2" s="1"/>
  <c r="AA298" i="5"/>
  <c r="AB187" i="2" s="1"/>
  <c r="Z298" i="5"/>
  <c r="AA187" i="2" s="1"/>
  <c r="Y298" i="5"/>
  <c r="Z187" i="2" s="1"/>
  <c r="X298" i="5"/>
  <c r="Y187" i="2" s="1"/>
  <c r="W298" i="5"/>
  <c r="X187" i="2" s="1"/>
  <c r="V298" i="5"/>
  <c r="W187" i="2" s="1"/>
  <c r="U298" i="5"/>
  <c r="V187" i="2" s="1"/>
  <c r="T298" i="5"/>
  <c r="U187" i="2" s="1"/>
  <c r="BD298" i="5"/>
  <c r="BE187" i="2" s="1"/>
  <c r="R298" i="5"/>
  <c r="S187" i="2" s="1"/>
  <c r="Q298" i="5"/>
  <c r="R187" i="2" s="1"/>
  <c r="P298" i="5"/>
  <c r="O298" i="5"/>
  <c r="N298" i="5"/>
  <c r="M298" i="5"/>
  <c r="L298" i="5"/>
  <c r="K298" i="5"/>
  <c r="J298" i="5"/>
  <c r="I298" i="5"/>
  <c r="J187" i="2" s="1"/>
  <c r="H298" i="5"/>
  <c r="I187" i="2" s="1"/>
  <c r="G298" i="5"/>
  <c r="H187" i="2" s="1"/>
  <c r="F298" i="5"/>
  <c r="G187" i="2" s="1"/>
  <c r="E298" i="5"/>
  <c r="F187" i="2" s="1"/>
  <c r="D298" i="5"/>
  <c r="E187" i="2" s="1"/>
  <c r="C298" i="5"/>
  <c r="AU298" i="5"/>
  <c r="AV187" i="2" s="1"/>
  <c r="BE298" i="5"/>
  <c r="BF187" i="2" s="1"/>
  <c r="AT298" i="5"/>
  <c r="AU187" i="2" s="1"/>
  <c r="AS298" i="5"/>
  <c r="AT187" i="2" s="1"/>
  <c r="AR298" i="5"/>
  <c r="AS187" i="2" s="1"/>
  <c r="AQ298" i="5"/>
  <c r="AR187" i="2" s="1"/>
  <c r="S298" i="5"/>
  <c r="T187" i="2" s="1"/>
  <c r="AO298" i="5"/>
  <c r="AP187" i="2" s="1"/>
  <c r="AN298" i="5"/>
  <c r="AO187" i="2" s="1"/>
  <c r="AM298" i="5"/>
  <c r="AN187" i="2" s="1"/>
  <c r="AL298" i="5"/>
  <c r="AM187" i="2" s="1"/>
  <c r="M87" i="5"/>
  <c r="N87" i="5" s="1"/>
  <c r="M63" i="3" s="1"/>
  <c r="AV298" i="5"/>
  <c r="AW187" i="2" s="1"/>
  <c r="BJ298" i="5"/>
  <c r="BK187" i="2" s="1"/>
  <c r="BI298" i="5"/>
  <c r="BJ187" i="2" s="1"/>
  <c r="BH298" i="5"/>
  <c r="BI187" i="2" s="1"/>
  <c r="BG298" i="5"/>
  <c r="BH187" i="2" s="1"/>
  <c r="BF298" i="5"/>
  <c r="BG187" i="2" s="1"/>
  <c r="AX298" i="5"/>
  <c r="AY187" i="2" s="1"/>
  <c r="AY298" i="5"/>
  <c r="AZ187" i="2" s="1"/>
  <c r="AZ298" i="5"/>
  <c r="BA187" i="2" s="1"/>
  <c r="BA298" i="5"/>
  <c r="BB187" i="2" s="1"/>
  <c r="AK298" i="5"/>
  <c r="AL187" i="2" s="1"/>
  <c r="L82" i="3"/>
  <c r="R297" i="5"/>
  <c r="S151" i="2" s="1"/>
  <c r="Q297" i="5"/>
  <c r="R151" i="2" s="1"/>
  <c r="P297" i="5"/>
  <c r="Q151" i="2" s="1"/>
  <c r="O297" i="5"/>
  <c r="P151" i="2" s="1"/>
  <c r="N297" i="5"/>
  <c r="O151" i="2" s="1"/>
  <c r="M297" i="5"/>
  <c r="N151" i="2" s="1"/>
  <c r="L297" i="5"/>
  <c r="M151" i="2" s="1"/>
  <c r="K297" i="5"/>
  <c r="L151" i="2" s="1"/>
  <c r="J297" i="5"/>
  <c r="I297" i="5"/>
  <c r="H297" i="5"/>
  <c r="G297" i="5"/>
  <c r="F297" i="5"/>
  <c r="E297" i="5"/>
  <c r="D297" i="5"/>
  <c r="C297" i="5"/>
  <c r="BJ297" i="5"/>
  <c r="BK151" i="2" s="1"/>
  <c r="AH297" i="5"/>
  <c r="AI151" i="2" s="1"/>
  <c r="AI297" i="5"/>
  <c r="AJ151" i="2" s="1"/>
  <c r="AJ297" i="5"/>
  <c r="AK151" i="2" s="1"/>
  <c r="AK297" i="5"/>
  <c r="AL151" i="2" s="1"/>
  <c r="AL297" i="5"/>
  <c r="AM151" i="2" s="1"/>
  <c r="AF297" i="5"/>
  <c r="AG151" i="2" s="1"/>
  <c r="AS297" i="5"/>
  <c r="AT151" i="2" s="1"/>
  <c r="AG297" i="5"/>
  <c r="AH151" i="2" s="1"/>
  <c r="AN297" i="5"/>
  <c r="AO151" i="2" s="1"/>
  <c r="AO297" i="5"/>
  <c r="AP151" i="2" s="1"/>
  <c r="AP297" i="5"/>
  <c r="AQ151" i="2" s="1"/>
  <c r="AQ297" i="5"/>
  <c r="AR151" i="2" s="1"/>
  <c r="AR297" i="5"/>
  <c r="AS151" i="2" s="1"/>
  <c r="AT297" i="5"/>
  <c r="AU151" i="2" s="1"/>
  <c r="AU297" i="5"/>
  <c r="AV151" i="2" s="1"/>
  <c r="AV297" i="5"/>
  <c r="AW151" i="2" s="1"/>
  <c r="AW297" i="5"/>
  <c r="AX151" i="2" s="1"/>
  <c r="AX297" i="5"/>
  <c r="AY151" i="2" s="1"/>
  <c r="AY297" i="5"/>
  <c r="AZ151" i="2" s="1"/>
  <c r="AZ297" i="5"/>
  <c r="BA151" i="2" s="1"/>
  <c r="BA297" i="5"/>
  <c r="BB151" i="2" s="1"/>
  <c r="BB297" i="5"/>
  <c r="BC151" i="2" s="1"/>
  <c r="BC297" i="5"/>
  <c r="BD151" i="2" s="1"/>
  <c r="AM297" i="5"/>
  <c r="AN151" i="2" s="1"/>
  <c r="BE297" i="5"/>
  <c r="BF151" i="2" s="1"/>
  <c r="BF297" i="5"/>
  <c r="BG151" i="2" s="1"/>
  <c r="BG297" i="5"/>
  <c r="BH151" i="2" s="1"/>
  <c r="BH297" i="5"/>
  <c r="BI151" i="2" s="1"/>
  <c r="BI297" i="5"/>
  <c r="BJ151" i="2" s="1"/>
  <c r="AE297" i="5"/>
  <c r="AF151" i="2" s="1"/>
  <c r="AD297" i="5"/>
  <c r="AE151" i="2" s="1"/>
  <c r="AC297" i="5"/>
  <c r="AD151" i="2" s="1"/>
  <c r="AB297" i="5"/>
  <c r="AC151" i="2" s="1"/>
  <c r="AA297" i="5"/>
  <c r="AB151" i="2" s="1"/>
  <c r="Z297" i="5"/>
  <c r="AA151" i="2" s="1"/>
  <c r="Y297" i="5"/>
  <c r="Z151" i="2" s="1"/>
  <c r="X297" i="5"/>
  <c r="Y151" i="2" s="1"/>
  <c r="W297" i="5"/>
  <c r="X151" i="2" s="1"/>
  <c r="V297" i="5"/>
  <c r="W151" i="2" s="1"/>
  <c r="S297" i="5"/>
  <c r="T151" i="2" s="1"/>
  <c r="T297" i="5"/>
  <c r="U151" i="2" s="1"/>
  <c r="BD297" i="5"/>
  <c r="BE151" i="2" s="1"/>
  <c r="L85" i="3"/>
  <c r="BI296" i="5"/>
  <c r="BJ211" i="2" s="1"/>
  <c r="BH296" i="5"/>
  <c r="BG296" i="5"/>
  <c r="BH211" i="2" s="1"/>
  <c r="BF296" i="5"/>
  <c r="BG211" i="2" s="1"/>
  <c r="P296" i="5"/>
  <c r="Q211" i="2" s="1"/>
  <c r="M85" i="5"/>
  <c r="N85" i="5" s="1"/>
  <c r="M85" i="3" s="1"/>
  <c r="AC296" i="5"/>
  <c r="AD211" i="2" s="1"/>
  <c r="AB296" i="5"/>
  <c r="AC211" i="2" s="1"/>
  <c r="AA296" i="5"/>
  <c r="AB211" i="2" s="1"/>
  <c r="Z296" i="5"/>
  <c r="AA211" i="2" s="1"/>
  <c r="Y296" i="5"/>
  <c r="Z211" i="2" s="1"/>
  <c r="X296" i="5"/>
  <c r="Y211" i="2" s="1"/>
  <c r="W296" i="5"/>
  <c r="X211" i="2" s="1"/>
  <c r="K296" i="5"/>
  <c r="L211" i="2" s="1"/>
  <c r="V296" i="5"/>
  <c r="W211" i="2" s="1"/>
  <c r="U296" i="5"/>
  <c r="V211" i="2" s="1"/>
  <c r="T296" i="5"/>
  <c r="U211" i="2" s="1"/>
  <c r="S296" i="5"/>
  <c r="T211" i="2" s="1"/>
  <c r="R296" i="5"/>
  <c r="S211" i="2" s="1"/>
  <c r="Q296" i="5"/>
  <c r="R211" i="2" s="1"/>
  <c r="O296" i="5"/>
  <c r="P211" i="2" s="1"/>
  <c r="N296" i="5"/>
  <c r="O211" i="2" s="1"/>
  <c r="M296" i="5"/>
  <c r="N211" i="2" s="1"/>
  <c r="BE296" i="5"/>
  <c r="BF211" i="2" s="1"/>
  <c r="BD296" i="5"/>
  <c r="BE211" i="2" s="1"/>
  <c r="BC296" i="5"/>
  <c r="BD211" i="2" s="1"/>
  <c r="BB296" i="5"/>
  <c r="BC211" i="2" s="1"/>
  <c r="BA296" i="5"/>
  <c r="BB211" i="2" s="1"/>
  <c r="AZ296" i="5"/>
  <c r="BA211" i="2" s="1"/>
  <c r="AY296" i="5"/>
  <c r="AZ211" i="2" s="1"/>
  <c r="AX296" i="5"/>
  <c r="AY211" i="2" s="1"/>
  <c r="AW296" i="5"/>
  <c r="AX211" i="2" s="1"/>
  <c r="AV296" i="5"/>
  <c r="AW211" i="2" s="1"/>
  <c r="AU296" i="5"/>
  <c r="AV211" i="2" s="1"/>
  <c r="AT296" i="5"/>
  <c r="AU211" i="2" s="1"/>
  <c r="AS296" i="5"/>
  <c r="AT211" i="2" s="1"/>
  <c r="L296" i="5"/>
  <c r="M211" i="2" s="1"/>
  <c r="AR296" i="5"/>
  <c r="AS211" i="2" s="1"/>
  <c r="AQ296" i="5"/>
  <c r="AR211" i="2" s="1"/>
  <c r="AP296" i="5"/>
  <c r="AQ211" i="2" s="1"/>
  <c r="AO296" i="5"/>
  <c r="AP211" i="2" s="1"/>
  <c r="AN296" i="5"/>
  <c r="AO211" i="2" s="1"/>
  <c r="AM296" i="5"/>
  <c r="AN211" i="2" s="1"/>
  <c r="AL296" i="5"/>
  <c r="AM211" i="2" s="1"/>
  <c r="AK296" i="5"/>
  <c r="AL211" i="2" s="1"/>
  <c r="AJ296" i="5"/>
  <c r="AK211" i="2" s="1"/>
  <c r="AI296" i="5"/>
  <c r="AJ211" i="2" s="1"/>
  <c r="BJ296" i="5"/>
  <c r="BK211" i="2" s="1"/>
  <c r="L7" i="3"/>
  <c r="O7" i="3" s="1"/>
  <c r="AG294" i="5"/>
  <c r="AH79" i="2" s="1"/>
  <c r="AF294" i="5"/>
  <c r="AG79" i="2" s="1"/>
  <c r="G294" i="5"/>
  <c r="H79" i="2" s="1"/>
  <c r="AE294" i="5"/>
  <c r="AF79" i="2" s="1"/>
  <c r="E294" i="5"/>
  <c r="F79" i="2" s="1"/>
  <c r="D294" i="5"/>
  <c r="E79" i="2" s="1"/>
  <c r="C294" i="5"/>
  <c r="BI294" i="5"/>
  <c r="BJ79" i="2" s="1"/>
  <c r="BH294" i="5"/>
  <c r="BI79" i="2" s="1"/>
  <c r="AD294" i="5"/>
  <c r="AE79" i="2" s="1"/>
  <c r="AC294" i="5"/>
  <c r="AD79" i="2" s="1"/>
  <c r="AB294" i="5"/>
  <c r="AC79" i="2" s="1"/>
  <c r="AA294" i="5"/>
  <c r="AB79" i="2" s="1"/>
  <c r="Z294" i="5"/>
  <c r="AA79" i="2" s="1"/>
  <c r="N294" i="5"/>
  <c r="O79" i="2" s="1"/>
  <c r="Y294" i="5"/>
  <c r="Z79" i="2" s="1"/>
  <c r="X294" i="5"/>
  <c r="Y79" i="2" s="1"/>
  <c r="W294" i="5"/>
  <c r="X79" i="2" s="1"/>
  <c r="V294" i="5"/>
  <c r="W79" i="2" s="1"/>
  <c r="U294" i="5"/>
  <c r="V79" i="2" s="1"/>
  <c r="T294" i="5"/>
  <c r="S294" i="5"/>
  <c r="R294" i="5"/>
  <c r="S79" i="2" s="1"/>
  <c r="H294" i="5"/>
  <c r="I79" i="2" s="1"/>
  <c r="Q294" i="5"/>
  <c r="R79" i="2" s="1"/>
  <c r="I294" i="5"/>
  <c r="J79" i="2" s="1"/>
  <c r="AO294" i="5"/>
  <c r="AP79" i="2" s="1"/>
  <c r="O294" i="5"/>
  <c r="P79" i="2" s="1"/>
  <c r="AM294" i="5"/>
  <c r="AN79" i="2" s="1"/>
  <c r="M294" i="5"/>
  <c r="N79" i="2" s="1"/>
  <c r="L294" i="5"/>
  <c r="M79" i="2" s="1"/>
  <c r="AT294" i="5"/>
  <c r="AU79" i="2" s="1"/>
  <c r="AS294" i="5"/>
  <c r="AT79" i="2" s="1"/>
  <c r="AR294" i="5"/>
  <c r="AS79" i="2" s="1"/>
  <c r="AQ294" i="5"/>
  <c r="AR79" i="2" s="1"/>
  <c r="AP294" i="5"/>
  <c r="AQ79" i="2" s="1"/>
  <c r="K294" i="5"/>
  <c r="L79" i="2" s="1"/>
  <c r="AN294" i="5"/>
  <c r="AO79" i="2" s="1"/>
  <c r="J294" i="5"/>
  <c r="K79" i="2" s="1"/>
  <c r="AL294" i="5"/>
  <c r="AM79" i="2" s="1"/>
  <c r="AK294" i="5"/>
  <c r="AL79" i="2" s="1"/>
  <c r="AJ294" i="5"/>
  <c r="AK79" i="2" s="1"/>
  <c r="AI294" i="5"/>
  <c r="AJ79" i="2" s="1"/>
  <c r="AH294" i="5"/>
  <c r="AI79" i="2" s="1"/>
  <c r="F294" i="5"/>
  <c r="G79" i="2" s="1"/>
  <c r="L28" i="3"/>
  <c r="O28" i="3" s="1"/>
  <c r="BD293" i="5"/>
  <c r="BE205" i="2" s="1"/>
  <c r="BC293" i="5"/>
  <c r="BD205" i="2" s="1"/>
  <c r="BB293" i="5"/>
  <c r="BC205" i="2" s="1"/>
  <c r="BA293" i="5"/>
  <c r="BB205" i="2" s="1"/>
  <c r="AZ293" i="5"/>
  <c r="BA205" i="2" s="1"/>
  <c r="AY293" i="5"/>
  <c r="AZ205" i="2" s="1"/>
  <c r="AX293" i="5"/>
  <c r="AY205" i="2" s="1"/>
  <c r="AW293" i="5"/>
  <c r="AX205" i="2" s="1"/>
  <c r="AV293" i="5"/>
  <c r="AW205" i="2" s="1"/>
  <c r="AU293" i="5"/>
  <c r="AV205" i="2" s="1"/>
  <c r="AT293" i="5"/>
  <c r="AU205" i="2" s="1"/>
  <c r="AS293" i="5"/>
  <c r="AT205" i="2" s="1"/>
  <c r="BJ293" i="5"/>
  <c r="BK205" i="2" s="1"/>
  <c r="D293" i="5"/>
  <c r="E205" i="2" s="1"/>
  <c r="C293" i="5"/>
  <c r="AH293" i="5"/>
  <c r="AI205" i="2" s="1"/>
  <c r="AG293" i="5"/>
  <c r="AH205" i="2" s="1"/>
  <c r="AF293" i="5"/>
  <c r="AG205" i="2" s="1"/>
  <c r="AE293" i="5"/>
  <c r="AF205" i="2" s="1"/>
  <c r="BI293" i="5"/>
  <c r="BJ205" i="2" s="1"/>
  <c r="BH293" i="5"/>
  <c r="BI205" i="2" s="1"/>
  <c r="BG293" i="5"/>
  <c r="BH205" i="2" s="1"/>
  <c r="BF293" i="5"/>
  <c r="BG205" i="2" s="1"/>
  <c r="BE293" i="5"/>
  <c r="BF205" i="2" s="1"/>
  <c r="L40" i="3"/>
  <c r="H292" i="5"/>
  <c r="F292" i="5"/>
  <c r="E292" i="5"/>
  <c r="D292" i="5"/>
  <c r="C292" i="5"/>
  <c r="L292" i="5"/>
  <c r="M31" i="2" s="1"/>
  <c r="AG292" i="5"/>
  <c r="AH31" i="2" s="1"/>
  <c r="AH292" i="5"/>
  <c r="AI31" i="2" s="1"/>
  <c r="AI292" i="5"/>
  <c r="AJ31" i="2" s="1"/>
  <c r="S292" i="5"/>
  <c r="T31" i="2" s="1"/>
  <c r="AA292" i="5"/>
  <c r="AB31" i="2" s="1"/>
  <c r="W292" i="5"/>
  <c r="X31" i="2" s="1"/>
  <c r="X292" i="5"/>
  <c r="Y31" i="2" s="1"/>
  <c r="Y292" i="5"/>
  <c r="Z31" i="2" s="1"/>
  <c r="Z292" i="5"/>
  <c r="AA31" i="2" s="1"/>
  <c r="AB292" i="5"/>
  <c r="AC31" i="2" s="1"/>
  <c r="AC292" i="5"/>
  <c r="AD31" i="2" s="1"/>
  <c r="AD292" i="5"/>
  <c r="AE31" i="2" s="1"/>
  <c r="AE292" i="5"/>
  <c r="AF31" i="2" s="1"/>
  <c r="AF292" i="5"/>
  <c r="AG31" i="2" s="1"/>
  <c r="V292" i="5"/>
  <c r="W31" i="2" s="1"/>
  <c r="U292" i="5"/>
  <c r="V31" i="2" s="1"/>
  <c r="T292" i="5"/>
  <c r="U31" i="2" s="1"/>
  <c r="R292" i="5"/>
  <c r="S31" i="2" s="1"/>
  <c r="Q292" i="5"/>
  <c r="R31" i="2" s="1"/>
  <c r="P292" i="5"/>
  <c r="Q31" i="2" s="1"/>
  <c r="O292" i="5"/>
  <c r="P31" i="2" s="1"/>
  <c r="N292" i="5"/>
  <c r="O31" i="2" s="1"/>
  <c r="M292" i="5"/>
  <c r="N31" i="2" s="1"/>
  <c r="K292" i="5"/>
  <c r="L31" i="2" s="1"/>
  <c r="J292" i="5"/>
  <c r="K31" i="2" s="1"/>
  <c r="I292" i="5"/>
  <c r="J31" i="2" s="1"/>
  <c r="L78" i="3"/>
  <c r="M291" i="5"/>
  <c r="N181" i="2" s="1"/>
  <c r="L291" i="5"/>
  <c r="M181" i="2" s="1"/>
  <c r="K291" i="5"/>
  <c r="J291" i="5"/>
  <c r="I291" i="5"/>
  <c r="V291" i="5"/>
  <c r="W181" i="2" s="1"/>
  <c r="Y291" i="5"/>
  <c r="Z181" i="2" s="1"/>
  <c r="X291" i="5"/>
  <c r="Y181" i="2" s="1"/>
  <c r="W291" i="5"/>
  <c r="X181" i="2" s="1"/>
  <c r="U291" i="5"/>
  <c r="V181" i="2" s="1"/>
  <c r="T291" i="5"/>
  <c r="U181" i="2" s="1"/>
  <c r="S291" i="5"/>
  <c r="T181" i="2" s="1"/>
  <c r="R291" i="5"/>
  <c r="S181" i="2" s="1"/>
  <c r="Q291" i="5"/>
  <c r="R181" i="2" s="1"/>
  <c r="P291" i="5"/>
  <c r="Q181" i="2" s="1"/>
  <c r="M80" i="5"/>
  <c r="N80" i="5" s="1"/>
  <c r="M78" i="3" s="1"/>
  <c r="O291" i="5"/>
  <c r="P181" i="2" s="1"/>
  <c r="N291" i="5"/>
  <c r="O181" i="2" s="1"/>
  <c r="L39" i="3"/>
  <c r="AX290" i="5"/>
  <c r="AY28" i="2" s="1"/>
  <c r="AW290" i="5"/>
  <c r="AX28" i="2" s="1"/>
  <c r="AV290" i="5"/>
  <c r="AW28" i="2" s="1"/>
  <c r="AU290" i="5"/>
  <c r="AV28" i="2" s="1"/>
  <c r="AT290" i="5"/>
  <c r="AU28" i="2" s="1"/>
  <c r="AS290" i="5"/>
  <c r="AT28" i="2" s="1"/>
  <c r="AR290" i="5"/>
  <c r="AS28" i="2" s="1"/>
  <c r="AQ290" i="5"/>
  <c r="AR28" i="2" s="1"/>
  <c r="AP290" i="5"/>
  <c r="AQ28" i="2" s="1"/>
  <c r="AO290" i="5"/>
  <c r="AP28" i="2" s="1"/>
  <c r="AN290" i="5"/>
  <c r="BB290" i="5"/>
  <c r="BC28" i="2" s="1"/>
  <c r="BC290" i="5"/>
  <c r="BD28" i="2" s="1"/>
  <c r="BD290" i="5"/>
  <c r="BE28" i="2" s="1"/>
  <c r="BA290" i="5"/>
  <c r="BB28" i="2" s="1"/>
  <c r="BE290" i="5"/>
  <c r="BF28" i="2" s="1"/>
  <c r="BF290" i="5"/>
  <c r="BG28" i="2" s="1"/>
  <c r="BG290" i="5"/>
  <c r="BH28" i="2" s="1"/>
  <c r="BH290" i="5"/>
  <c r="BI28" i="2" s="1"/>
  <c r="BI290" i="5"/>
  <c r="BJ28" i="2" s="1"/>
  <c r="BJ290" i="5"/>
  <c r="BK28" i="2" s="1"/>
  <c r="M79" i="5"/>
  <c r="N79" i="5" s="1"/>
  <c r="M39" i="3" s="1"/>
  <c r="AZ290" i="5"/>
  <c r="BA28" i="2" s="1"/>
  <c r="AY290" i="5"/>
  <c r="AZ28" i="2" s="1"/>
  <c r="L34" i="3"/>
  <c r="O34" i="3" s="1"/>
  <c r="BI289" i="5"/>
  <c r="BJ139" i="2" s="1"/>
  <c r="BH289" i="5"/>
  <c r="BI139" i="2" s="1"/>
  <c r="BG289" i="5"/>
  <c r="BH139" i="2" s="1"/>
  <c r="BF289" i="5"/>
  <c r="BG139" i="2" s="1"/>
  <c r="U289" i="5"/>
  <c r="V139" i="2" s="1"/>
  <c r="E289" i="5"/>
  <c r="F139" i="2" s="1"/>
  <c r="BD289" i="5"/>
  <c r="BE139" i="2" s="1"/>
  <c r="M78" i="5"/>
  <c r="N78" i="5" s="1"/>
  <c r="M34" i="3" s="1"/>
  <c r="W289" i="5"/>
  <c r="X139" i="2" s="1"/>
  <c r="BC289" i="5"/>
  <c r="BD139" i="2" s="1"/>
  <c r="BB289" i="5"/>
  <c r="BC139" i="2" s="1"/>
  <c r="BA289" i="5"/>
  <c r="BB139" i="2" s="1"/>
  <c r="AY289" i="5"/>
  <c r="AZ139" i="2" s="1"/>
  <c r="AX289" i="5"/>
  <c r="AY139" i="2" s="1"/>
  <c r="AW289" i="5"/>
  <c r="AX139" i="2" s="1"/>
  <c r="AV289" i="5"/>
  <c r="AW139" i="2" s="1"/>
  <c r="F289" i="5"/>
  <c r="G139" i="2" s="1"/>
  <c r="AU289" i="5"/>
  <c r="AV139" i="2" s="1"/>
  <c r="X289" i="5"/>
  <c r="Y139" i="2" s="1"/>
  <c r="AI289" i="5"/>
  <c r="AJ139" i="2" s="1"/>
  <c r="AJ289" i="5"/>
  <c r="AK139" i="2" s="1"/>
  <c r="AK289" i="5"/>
  <c r="AL139" i="2" s="1"/>
  <c r="AL289" i="5"/>
  <c r="AM139" i="2" s="1"/>
  <c r="AM289" i="5"/>
  <c r="AN139" i="2" s="1"/>
  <c r="AN289" i="5"/>
  <c r="AO139" i="2" s="1"/>
  <c r="AO289" i="5"/>
  <c r="AP139" i="2" s="1"/>
  <c r="D289" i="5"/>
  <c r="E139" i="2" s="1"/>
  <c r="C289" i="5"/>
  <c r="V289" i="5"/>
  <c r="W139" i="2" s="1"/>
  <c r="AH289" i="5"/>
  <c r="AI139" i="2" s="1"/>
  <c r="S289" i="5"/>
  <c r="T139" i="2" s="1"/>
  <c r="G289" i="5"/>
  <c r="H139" i="2" s="1"/>
  <c r="H289" i="5"/>
  <c r="I139" i="2" s="1"/>
  <c r="I289" i="5"/>
  <c r="J139" i="2" s="1"/>
  <c r="J289" i="5"/>
  <c r="K139" i="2" s="1"/>
  <c r="BE289" i="5"/>
  <c r="BF139" i="2" s="1"/>
  <c r="K289" i="5"/>
  <c r="L139" i="2" s="1"/>
  <c r="L289" i="5"/>
  <c r="M289" i="5"/>
  <c r="N289" i="5"/>
  <c r="O289" i="5"/>
  <c r="P139" i="2" s="1"/>
  <c r="P289" i="5"/>
  <c r="Q139" i="2" s="1"/>
  <c r="Q289" i="5"/>
  <c r="R139" i="2" s="1"/>
  <c r="R289" i="5"/>
  <c r="S139" i="2" s="1"/>
  <c r="T289" i="5"/>
  <c r="U139" i="2" s="1"/>
  <c r="BJ289" i="5"/>
  <c r="BK139" i="2" s="1"/>
  <c r="L50" i="3"/>
  <c r="BF288" i="5"/>
  <c r="BG148" i="2" s="1"/>
  <c r="BE288" i="5"/>
  <c r="BF148" i="2" s="1"/>
  <c r="BB288" i="5"/>
  <c r="BC148" i="2" s="1"/>
  <c r="AZ288" i="5"/>
  <c r="BA148" i="2" s="1"/>
  <c r="AX288" i="5"/>
  <c r="AY148" i="2" s="1"/>
  <c r="AV288" i="5"/>
  <c r="AW148" i="2" s="1"/>
  <c r="BD288" i="5"/>
  <c r="BE148" i="2" s="1"/>
  <c r="D288" i="5"/>
  <c r="E148" i="2" s="1"/>
  <c r="AU288" i="5"/>
  <c r="AV148" i="2" s="1"/>
  <c r="BG288" i="5"/>
  <c r="BH148" i="2" s="1"/>
  <c r="AW288" i="5"/>
  <c r="AX148" i="2" s="1"/>
  <c r="AY288" i="5"/>
  <c r="AZ148" i="2" s="1"/>
  <c r="BA288" i="5"/>
  <c r="BB148" i="2" s="1"/>
  <c r="BC288" i="5"/>
  <c r="BD148" i="2" s="1"/>
  <c r="BJ288" i="5"/>
  <c r="BK148" i="2" s="1"/>
  <c r="BI288" i="5"/>
  <c r="BJ148" i="2" s="1"/>
  <c r="BH288" i="5"/>
  <c r="BI148" i="2" s="1"/>
  <c r="L38" i="3"/>
  <c r="M76" i="5"/>
  <c r="N76" i="5" s="1"/>
  <c r="M38" i="3" s="1"/>
  <c r="D287" i="5"/>
  <c r="E109" i="2" s="1"/>
  <c r="C287" i="5"/>
  <c r="X287" i="5"/>
  <c r="Y109" i="2" s="1"/>
  <c r="BI287" i="5"/>
  <c r="BJ109" i="2" s="1"/>
  <c r="E287" i="5"/>
  <c r="F109" i="2" s="1"/>
  <c r="BJ287" i="5"/>
  <c r="BK109" i="2" s="1"/>
  <c r="L27" i="3"/>
  <c r="O27" i="3" s="1"/>
  <c r="R286" i="5"/>
  <c r="AD286" i="5"/>
  <c r="AE97" i="2" s="1"/>
  <c r="AR286" i="5"/>
  <c r="AS97" i="2" s="1"/>
  <c r="AW286" i="5"/>
  <c r="AX97" i="2" s="1"/>
  <c r="D286" i="5"/>
  <c r="E97" i="2" s="1"/>
  <c r="BB286" i="5"/>
  <c r="BC97" i="2" s="1"/>
  <c r="AH286" i="5"/>
  <c r="AI97" i="2" s="1"/>
  <c r="Y286" i="5"/>
  <c r="Z97" i="2" s="1"/>
  <c r="M286" i="5"/>
  <c r="F286" i="5"/>
  <c r="G97" i="2" s="1"/>
  <c r="I286" i="5"/>
  <c r="J97" i="2" s="1"/>
  <c r="L286" i="5"/>
  <c r="O286" i="5"/>
  <c r="AC286" i="5"/>
  <c r="AD97" i="2" s="1"/>
  <c r="AG286" i="5"/>
  <c r="AH97" i="2" s="1"/>
  <c r="AS286" i="5"/>
  <c r="AT97" i="2" s="1"/>
  <c r="AU286" i="5"/>
  <c r="AV97" i="2" s="1"/>
  <c r="AX286" i="5"/>
  <c r="AY97" i="2" s="1"/>
  <c r="BC286" i="5"/>
  <c r="BD97" i="2" s="1"/>
  <c r="BE286" i="5"/>
  <c r="BF97" i="2" s="1"/>
  <c r="G286" i="5"/>
  <c r="H97" i="2" s="1"/>
  <c r="E286" i="5"/>
  <c r="F97" i="2" s="1"/>
  <c r="AV286" i="5"/>
  <c r="AW97" i="2" s="1"/>
  <c r="AY286" i="5"/>
  <c r="AZ97" i="2" s="1"/>
  <c r="AN286" i="5"/>
  <c r="AO97" i="2" s="1"/>
  <c r="AI286" i="5"/>
  <c r="AJ97" i="2" s="1"/>
  <c r="X286" i="5"/>
  <c r="Y97" i="2" s="1"/>
  <c r="U286" i="5"/>
  <c r="V97" i="2" s="1"/>
  <c r="J286" i="5"/>
  <c r="BJ286" i="5"/>
  <c r="BK97" i="2" s="1"/>
  <c r="C286" i="5"/>
  <c r="BD286" i="5"/>
  <c r="BE97" i="2" s="1"/>
  <c r="BA286" i="5"/>
  <c r="BB97" i="2" s="1"/>
  <c r="AT286" i="5"/>
  <c r="AU97" i="2" s="1"/>
  <c r="AQ286" i="5"/>
  <c r="AR97" i="2" s="1"/>
  <c r="BF286" i="5"/>
  <c r="BG97" i="2" s="1"/>
  <c r="AJ286" i="5"/>
  <c r="AK97" i="2" s="1"/>
  <c r="AE286" i="5"/>
  <c r="AF97" i="2" s="1"/>
  <c r="AA286" i="5"/>
  <c r="AB97" i="2" s="1"/>
  <c r="V286" i="5"/>
  <c r="W97" i="2" s="1"/>
  <c r="N286" i="5"/>
  <c r="K286" i="5"/>
  <c r="L97" i="2" s="1"/>
  <c r="AM286" i="5"/>
  <c r="AN97" i="2" s="1"/>
  <c r="M75" i="5"/>
  <c r="N75" i="5" s="1"/>
  <c r="M27" i="3" s="1"/>
  <c r="BG286" i="5"/>
  <c r="BH97" i="2" s="1"/>
  <c r="AO286" i="5"/>
  <c r="AP97" i="2" s="1"/>
  <c r="AK286" i="5"/>
  <c r="AL97" i="2" s="1"/>
  <c r="AF286" i="5"/>
  <c r="AG97" i="2" s="1"/>
  <c r="AB286" i="5"/>
  <c r="AC97" i="2" s="1"/>
  <c r="Z286" i="5"/>
  <c r="AA97" i="2" s="1"/>
  <c r="W286" i="5"/>
  <c r="X97" i="2" s="1"/>
  <c r="S286" i="5"/>
  <c r="T97" i="2" s="1"/>
  <c r="P286" i="5"/>
  <c r="BH286" i="5"/>
  <c r="BI97" i="2" s="1"/>
  <c r="Q286" i="5"/>
  <c r="T286" i="5"/>
  <c r="U97" i="2" s="1"/>
  <c r="AL286" i="5"/>
  <c r="AM97" i="2" s="1"/>
  <c r="AP286" i="5"/>
  <c r="AQ97" i="2" s="1"/>
  <c r="AZ286" i="5"/>
  <c r="BA97" i="2" s="1"/>
  <c r="H286" i="5"/>
  <c r="I97" i="2" s="1"/>
  <c r="L37" i="3"/>
  <c r="AL285" i="5"/>
  <c r="AM25" i="2" s="1"/>
  <c r="AM285" i="5"/>
  <c r="AN25" i="2" s="1"/>
  <c r="AW285" i="5"/>
  <c r="AX25" i="2" s="1"/>
  <c r="AV285" i="5"/>
  <c r="AW25" i="2" s="1"/>
  <c r="AJ285" i="5"/>
  <c r="AK25" i="2" s="1"/>
  <c r="AU285" i="5"/>
  <c r="AV25" i="2" s="1"/>
  <c r="AT285" i="5"/>
  <c r="AU25" i="2" s="1"/>
  <c r="AS285" i="5"/>
  <c r="AT25" i="2" s="1"/>
  <c r="BJ285" i="5"/>
  <c r="BK25" i="2" s="1"/>
  <c r="BI285" i="5"/>
  <c r="BJ25" i="2" s="1"/>
  <c r="BH285" i="5"/>
  <c r="BI25" i="2" s="1"/>
  <c r="BG285" i="5"/>
  <c r="BH25" i="2" s="1"/>
  <c r="BF285" i="5"/>
  <c r="BG25" i="2" s="1"/>
  <c r="BE285" i="5"/>
  <c r="BF25" i="2" s="1"/>
  <c r="BD285" i="5"/>
  <c r="BE25" i="2" s="1"/>
  <c r="BC285" i="5"/>
  <c r="BD25" i="2" s="1"/>
  <c r="BB285" i="5"/>
  <c r="BC25" i="2" s="1"/>
  <c r="BA285" i="5"/>
  <c r="BB25" i="2" s="1"/>
  <c r="AZ285" i="5"/>
  <c r="BA25" i="2" s="1"/>
  <c r="AY285" i="5"/>
  <c r="AZ25" i="2" s="1"/>
  <c r="AX285" i="5"/>
  <c r="AY25" i="2" s="1"/>
  <c r="AI285" i="5"/>
  <c r="AJ25" i="2" s="1"/>
  <c r="AH285" i="5"/>
  <c r="AI25" i="2" s="1"/>
  <c r="AG285" i="5"/>
  <c r="AH25" i="2" s="1"/>
  <c r="AF285" i="5"/>
  <c r="AG25" i="2" s="1"/>
  <c r="AE285" i="5"/>
  <c r="AF25" i="2" s="1"/>
  <c r="AQ285" i="5"/>
  <c r="AR25" i="2" s="1"/>
  <c r="AD285" i="5"/>
  <c r="AE25" i="2" s="1"/>
  <c r="AC285" i="5"/>
  <c r="AD25" i="2" s="1"/>
  <c r="AB285" i="5"/>
  <c r="AC25" i="2" s="1"/>
  <c r="AR285" i="5"/>
  <c r="AS25" i="2" s="1"/>
  <c r="Z285" i="5"/>
  <c r="AA25" i="2" s="1"/>
  <c r="Y285" i="5"/>
  <c r="Z25" i="2" s="1"/>
  <c r="X285" i="5"/>
  <c r="Y25" i="2" s="1"/>
  <c r="V285" i="5"/>
  <c r="W25" i="2" s="1"/>
  <c r="U285" i="5"/>
  <c r="V25" i="2" s="1"/>
  <c r="T285" i="5"/>
  <c r="U25" i="2" s="1"/>
  <c r="S285" i="5"/>
  <c r="T25" i="2" s="1"/>
  <c r="R285" i="5"/>
  <c r="S25" i="2" s="1"/>
  <c r="Q285" i="5"/>
  <c r="R25" i="2" s="1"/>
  <c r="P285" i="5"/>
  <c r="Q25" i="2" s="1"/>
  <c r="O285" i="5"/>
  <c r="P25" i="2" s="1"/>
  <c r="N285" i="5"/>
  <c r="O25" i="2" s="1"/>
  <c r="M285" i="5"/>
  <c r="N25" i="2" s="1"/>
  <c r="L285" i="5"/>
  <c r="M25" i="2" s="1"/>
  <c r="AA285" i="5"/>
  <c r="AB25" i="2" s="1"/>
  <c r="AP285" i="5"/>
  <c r="AQ25" i="2" s="1"/>
  <c r="J285" i="5"/>
  <c r="I285" i="5"/>
  <c r="AO285" i="5"/>
  <c r="AP25" i="2" s="1"/>
  <c r="M74" i="5"/>
  <c r="N74" i="5" s="1"/>
  <c r="M37" i="3" s="1"/>
  <c r="L77" i="3"/>
  <c r="AV284" i="5"/>
  <c r="AW295" i="2" s="1"/>
  <c r="AU284" i="5"/>
  <c r="AV295" i="2" s="1"/>
  <c r="AT284" i="5"/>
  <c r="AU295" i="2" s="1"/>
  <c r="AM284" i="5"/>
  <c r="AN295" i="2" s="1"/>
  <c r="AN284" i="5"/>
  <c r="AO295" i="2" s="1"/>
  <c r="AO284" i="5"/>
  <c r="AP295" i="2" s="1"/>
  <c r="AP284" i="5"/>
  <c r="AQ295" i="2" s="1"/>
  <c r="AQ284" i="5"/>
  <c r="AR295" i="2" s="1"/>
  <c r="AR284" i="5"/>
  <c r="AS295" i="2" s="1"/>
  <c r="AS284" i="5"/>
  <c r="AT295" i="2" s="1"/>
  <c r="AY284" i="5"/>
  <c r="AZ295" i="2" s="1"/>
  <c r="M73" i="5"/>
  <c r="N73" i="5" s="1"/>
  <c r="M77" i="3" s="1"/>
  <c r="AX284" i="5"/>
  <c r="AY295" i="2" s="1"/>
  <c r="AL284" i="5"/>
  <c r="AM295" i="2" s="1"/>
  <c r="AW284" i="5"/>
  <c r="AX295" i="2" s="1"/>
  <c r="BH284" i="5"/>
  <c r="BI295" i="2" s="1"/>
  <c r="AC284" i="5"/>
  <c r="AD295" i="2" s="1"/>
  <c r="T284" i="5"/>
  <c r="U295" i="2" s="1"/>
  <c r="U284" i="5"/>
  <c r="V295" i="2" s="1"/>
  <c r="V284" i="5"/>
  <c r="W295" i="2" s="1"/>
  <c r="W284" i="5"/>
  <c r="X295" i="2" s="1"/>
  <c r="X284" i="5"/>
  <c r="Y295" i="2" s="1"/>
  <c r="Y284" i="5"/>
  <c r="Z295" i="2" s="1"/>
  <c r="Z284" i="5"/>
  <c r="AA295" i="2" s="1"/>
  <c r="AA284" i="5"/>
  <c r="AB295" i="2" s="1"/>
  <c r="AB284" i="5"/>
  <c r="AC295" i="2" s="1"/>
  <c r="AD284" i="5"/>
  <c r="AE295" i="2" s="1"/>
  <c r="AE284" i="5"/>
  <c r="AF295" i="2" s="1"/>
  <c r="AF284" i="5"/>
  <c r="AG295" i="2" s="1"/>
  <c r="AG284" i="5"/>
  <c r="AH295" i="2" s="1"/>
  <c r="AH284" i="5"/>
  <c r="AI295" i="2" s="1"/>
  <c r="AI284" i="5"/>
  <c r="AJ295" i="2" s="1"/>
  <c r="AJ284" i="5"/>
  <c r="AK295" i="2" s="1"/>
  <c r="AK284" i="5"/>
  <c r="AL295" i="2" s="1"/>
  <c r="L76" i="3"/>
  <c r="C283" i="5"/>
  <c r="M72" i="5"/>
  <c r="N72" i="5" s="1"/>
  <c r="M76" i="3" s="1"/>
  <c r="BG283" i="5"/>
  <c r="BH262" i="2" s="1"/>
  <c r="D283" i="5"/>
  <c r="E262" i="2" s="1"/>
  <c r="L87" i="3"/>
  <c r="AV282" i="5"/>
  <c r="AW256" i="2" s="1"/>
  <c r="AW282" i="5"/>
  <c r="AX256" i="2" s="1"/>
  <c r="AX282" i="5"/>
  <c r="AY256" i="2" s="1"/>
  <c r="AY282" i="5"/>
  <c r="AZ256" i="2" s="1"/>
  <c r="AZ282" i="5"/>
  <c r="BA256" i="2" s="1"/>
  <c r="BA282" i="5"/>
  <c r="BB256" i="2" s="1"/>
  <c r="BB282" i="5"/>
  <c r="BC256" i="2" s="1"/>
  <c r="BC282" i="5"/>
  <c r="BD256" i="2" s="1"/>
  <c r="BD282" i="5"/>
  <c r="BE256" i="2" s="1"/>
  <c r="BE282" i="5"/>
  <c r="BF256" i="2" s="1"/>
  <c r="BF282" i="5"/>
  <c r="BG256" i="2" s="1"/>
  <c r="BG282" i="5"/>
  <c r="BH256" i="2" s="1"/>
  <c r="BH282" i="5"/>
  <c r="BI256" i="2" s="1"/>
  <c r="BI282" i="5"/>
  <c r="BJ256" i="2" s="1"/>
  <c r="BJ282" i="5"/>
  <c r="BK256" i="2" s="1"/>
  <c r="AI282" i="5"/>
  <c r="AJ256" i="2" s="1"/>
  <c r="AH282" i="5"/>
  <c r="AI256" i="2" s="1"/>
  <c r="AG282" i="5"/>
  <c r="AH256" i="2" s="1"/>
  <c r="AS282" i="5"/>
  <c r="AT256" i="2" s="1"/>
  <c r="N282" i="5"/>
  <c r="O256" i="2" s="1"/>
  <c r="P282" i="5"/>
  <c r="Q256" i="2" s="1"/>
  <c r="Q282" i="5"/>
  <c r="R256" i="2" s="1"/>
  <c r="R282" i="5"/>
  <c r="S256" i="2" s="1"/>
  <c r="S282" i="5"/>
  <c r="T256" i="2" s="1"/>
  <c r="T282" i="5"/>
  <c r="U256" i="2" s="1"/>
  <c r="U282" i="5"/>
  <c r="V256" i="2" s="1"/>
  <c r="V282" i="5"/>
  <c r="W256" i="2" s="1"/>
  <c r="W282" i="5"/>
  <c r="X256" i="2" s="1"/>
  <c r="X282" i="5"/>
  <c r="Y256" i="2" s="1"/>
  <c r="Y282" i="5"/>
  <c r="Z256" i="2" s="1"/>
  <c r="Z282" i="5"/>
  <c r="AA256" i="2" s="1"/>
  <c r="AA282" i="5"/>
  <c r="AB256" i="2" s="1"/>
  <c r="AB282" i="5"/>
  <c r="AC256" i="2" s="1"/>
  <c r="AC282" i="5"/>
  <c r="AD256" i="2" s="1"/>
  <c r="AD282" i="5"/>
  <c r="AE256" i="2" s="1"/>
  <c r="AE282" i="5"/>
  <c r="AF256" i="2" s="1"/>
  <c r="AP282" i="5"/>
  <c r="AQ256" i="2" s="1"/>
  <c r="AQ282" i="5"/>
  <c r="AR256" i="2" s="1"/>
  <c r="AR282" i="5"/>
  <c r="AS256" i="2" s="1"/>
  <c r="AT282" i="5"/>
  <c r="AU256" i="2" s="1"/>
  <c r="AU282" i="5"/>
  <c r="AV256" i="2" s="1"/>
  <c r="AO282" i="5"/>
  <c r="AP256" i="2" s="1"/>
  <c r="AF282" i="5"/>
  <c r="AG256" i="2" s="1"/>
  <c r="AN282" i="5"/>
  <c r="AO256" i="2" s="1"/>
  <c r="AM282" i="5"/>
  <c r="AN256" i="2" s="1"/>
  <c r="AL282" i="5"/>
  <c r="AM256" i="2" s="1"/>
  <c r="AK282" i="5"/>
  <c r="AL256" i="2" s="1"/>
  <c r="AJ282" i="5"/>
  <c r="AK256" i="2" s="1"/>
  <c r="L15" i="3"/>
  <c r="O15" i="3" s="1"/>
  <c r="G281" i="5"/>
  <c r="H58" i="2" s="1"/>
  <c r="AW281" i="5"/>
  <c r="AX58" i="2" s="1"/>
  <c r="AV281" i="5"/>
  <c r="AW58" i="2" s="1"/>
  <c r="AU281" i="5"/>
  <c r="AV58" i="2" s="1"/>
  <c r="AT281" i="5"/>
  <c r="AU58" i="2" s="1"/>
  <c r="AS281" i="5"/>
  <c r="AT58" i="2" s="1"/>
  <c r="AR281" i="5"/>
  <c r="AS58" i="2" s="1"/>
  <c r="AQ281" i="5"/>
  <c r="AR58" i="2" s="1"/>
  <c r="AP281" i="5"/>
  <c r="AQ58" i="2" s="1"/>
  <c r="AO281" i="5"/>
  <c r="AP58" i="2" s="1"/>
  <c r="AN281" i="5"/>
  <c r="AO58" i="2" s="1"/>
  <c r="AM281" i="5"/>
  <c r="AN58" i="2" s="1"/>
  <c r="AL281" i="5"/>
  <c r="AM58" i="2" s="1"/>
  <c r="AJ281" i="5"/>
  <c r="AK58" i="2" s="1"/>
  <c r="AI281" i="5"/>
  <c r="AJ58" i="2" s="1"/>
  <c r="AK281" i="5"/>
  <c r="AL58" i="2" s="1"/>
  <c r="AH281" i="5"/>
  <c r="AI58" i="2" s="1"/>
  <c r="AG281" i="5"/>
  <c r="AH58" i="2" s="1"/>
  <c r="AF281" i="5"/>
  <c r="AG58" i="2" s="1"/>
  <c r="AE281" i="5"/>
  <c r="AF58" i="2" s="1"/>
  <c r="AD281" i="5"/>
  <c r="AE58" i="2" s="1"/>
  <c r="BA281" i="5"/>
  <c r="BB58" i="2" s="1"/>
  <c r="AC281" i="5"/>
  <c r="AD58" i="2" s="1"/>
  <c r="AB281" i="5"/>
  <c r="AC58" i="2" s="1"/>
  <c r="AA281" i="5"/>
  <c r="AB58" i="2" s="1"/>
  <c r="Z281" i="5"/>
  <c r="AA58" i="2" s="1"/>
  <c r="Y281" i="5"/>
  <c r="Z58" i="2" s="1"/>
  <c r="X281" i="5"/>
  <c r="Y58" i="2" s="1"/>
  <c r="W281" i="5"/>
  <c r="X58" i="2" s="1"/>
  <c r="V281" i="5"/>
  <c r="W58" i="2" s="1"/>
  <c r="U281" i="5"/>
  <c r="V58" i="2" s="1"/>
  <c r="T281" i="5"/>
  <c r="U58" i="2" s="1"/>
  <c r="S281" i="5"/>
  <c r="T58" i="2" s="1"/>
  <c r="R281" i="5"/>
  <c r="S58" i="2" s="1"/>
  <c r="Q281" i="5"/>
  <c r="R58" i="2" s="1"/>
  <c r="P281" i="5"/>
  <c r="O281" i="5"/>
  <c r="N281" i="5"/>
  <c r="O58" i="2" s="1"/>
  <c r="M281" i="5"/>
  <c r="N58" i="2" s="1"/>
  <c r="L281" i="5"/>
  <c r="M58" i="2" s="1"/>
  <c r="K281" i="5"/>
  <c r="L58" i="2" s="1"/>
  <c r="J281" i="5"/>
  <c r="K58" i="2" s="1"/>
  <c r="I281" i="5"/>
  <c r="J58" i="2" s="1"/>
  <c r="H281" i="5"/>
  <c r="I58" i="2" s="1"/>
  <c r="F281" i="5"/>
  <c r="G58" i="2" s="1"/>
  <c r="E281" i="5"/>
  <c r="F58" i="2" s="1"/>
  <c r="D281" i="5"/>
  <c r="E58" i="2" s="1"/>
  <c r="AX281" i="5"/>
  <c r="AY58" i="2" s="1"/>
  <c r="L62" i="3"/>
  <c r="AY280" i="5"/>
  <c r="AZ277" i="2" s="1"/>
  <c r="AX280" i="5"/>
  <c r="AY277" i="2" s="1"/>
  <c r="AW280" i="5"/>
  <c r="AX277" i="2" s="1"/>
  <c r="AV280" i="5"/>
  <c r="AW277" i="2" s="1"/>
  <c r="AU280" i="5"/>
  <c r="AV277" i="2" s="1"/>
  <c r="AT280" i="5"/>
  <c r="AU277" i="2" s="1"/>
  <c r="AS280" i="5"/>
  <c r="AT277" i="2" s="1"/>
  <c r="AR280" i="5"/>
  <c r="AS277" i="2" s="1"/>
  <c r="AQ280" i="5"/>
  <c r="AR277" i="2" s="1"/>
  <c r="AP280" i="5"/>
  <c r="AQ277" i="2" s="1"/>
  <c r="W280" i="5"/>
  <c r="X277" i="2" s="1"/>
  <c r="V280" i="5"/>
  <c r="W277" i="2" s="1"/>
  <c r="U280" i="5"/>
  <c r="V277" i="2" s="1"/>
  <c r="T280" i="5"/>
  <c r="U277" i="2" s="1"/>
  <c r="S280" i="5"/>
  <c r="T277" i="2" s="1"/>
  <c r="Q280" i="5"/>
  <c r="R277" i="2" s="1"/>
  <c r="P280" i="5"/>
  <c r="Q277" i="2" s="1"/>
  <c r="O280" i="5"/>
  <c r="N280" i="5"/>
  <c r="O277" i="2" s="1"/>
  <c r="M280" i="5"/>
  <c r="N277" i="2" s="1"/>
  <c r="L280" i="5"/>
  <c r="M277" i="2" s="1"/>
  <c r="K280" i="5"/>
  <c r="L277" i="2" s="1"/>
  <c r="F280" i="5"/>
  <c r="G277" i="2" s="1"/>
  <c r="E280" i="5"/>
  <c r="F277" i="2" s="1"/>
  <c r="R280" i="5"/>
  <c r="S277" i="2" s="1"/>
  <c r="J280" i="5"/>
  <c r="K277" i="2" s="1"/>
  <c r="I280" i="5"/>
  <c r="J277" i="2" s="1"/>
  <c r="H280" i="5"/>
  <c r="I277" i="2" s="1"/>
  <c r="G280" i="5"/>
  <c r="H277" i="2" s="1"/>
  <c r="X280" i="5"/>
  <c r="Y277" i="2" s="1"/>
  <c r="Y280" i="5"/>
  <c r="Z277" i="2" s="1"/>
  <c r="Z280" i="5"/>
  <c r="AA277" i="2" s="1"/>
  <c r="AA280" i="5"/>
  <c r="AB277" i="2" s="1"/>
  <c r="AB280" i="5"/>
  <c r="AC277" i="2" s="1"/>
  <c r="AC280" i="5"/>
  <c r="AD277" i="2" s="1"/>
  <c r="AD280" i="5"/>
  <c r="AE277" i="2" s="1"/>
  <c r="AE280" i="5"/>
  <c r="AF277" i="2" s="1"/>
  <c r="AF280" i="5"/>
  <c r="AG277" i="2" s="1"/>
  <c r="AG280" i="5"/>
  <c r="AH277" i="2" s="1"/>
  <c r="AH280" i="5"/>
  <c r="AI277" i="2" s="1"/>
  <c r="AI280" i="5"/>
  <c r="AJ277" i="2" s="1"/>
  <c r="AK280" i="5"/>
  <c r="AL277" i="2" s="1"/>
  <c r="AL280" i="5"/>
  <c r="AM277" i="2" s="1"/>
  <c r="AM280" i="5"/>
  <c r="AN277" i="2" s="1"/>
  <c r="AN280" i="5"/>
  <c r="AO277" i="2" s="1"/>
  <c r="AO280" i="5"/>
  <c r="AP277" i="2" s="1"/>
  <c r="L96" i="3"/>
  <c r="S279" i="5"/>
  <c r="T208" i="2" s="1"/>
  <c r="Y279" i="5"/>
  <c r="Z208" i="2" s="1"/>
  <c r="X279" i="5"/>
  <c r="Y208" i="2" s="1"/>
  <c r="W279" i="5"/>
  <c r="X208" i="2" s="1"/>
  <c r="V279" i="5"/>
  <c r="W208" i="2" s="1"/>
  <c r="U279" i="5"/>
  <c r="V208" i="2" s="1"/>
  <c r="AR279" i="5"/>
  <c r="AS208" i="2" s="1"/>
  <c r="AS279" i="5"/>
  <c r="AT208" i="2" s="1"/>
  <c r="AT279" i="5"/>
  <c r="AU208" i="2" s="1"/>
  <c r="AU279" i="5"/>
  <c r="AV208" i="2" s="1"/>
  <c r="AV279" i="5"/>
  <c r="AW208" i="2" s="1"/>
  <c r="AW279" i="5"/>
  <c r="AX208" i="2" s="1"/>
  <c r="AX279" i="5"/>
  <c r="AY208" i="2" s="1"/>
  <c r="AY279" i="5"/>
  <c r="AZ208" i="2" s="1"/>
  <c r="AZ279" i="5"/>
  <c r="BA208" i="2" s="1"/>
  <c r="BA279" i="5"/>
  <c r="BB208" i="2" s="1"/>
  <c r="BB279" i="5"/>
  <c r="BC208" i="2" s="1"/>
  <c r="BC279" i="5"/>
  <c r="BD208" i="2" s="1"/>
  <c r="BD279" i="5"/>
  <c r="BE208" i="2" s="1"/>
  <c r="BE279" i="5"/>
  <c r="BF208" i="2" s="1"/>
  <c r="BF279" i="5"/>
  <c r="BG208" i="2" s="1"/>
  <c r="BG279" i="5"/>
  <c r="BH208" i="2" s="1"/>
  <c r="T279" i="5"/>
  <c r="U208" i="2" s="1"/>
  <c r="BH279" i="5"/>
  <c r="BI208" i="2" s="1"/>
  <c r="BI279" i="5"/>
  <c r="BJ208" i="2" s="1"/>
  <c r="BJ279" i="5"/>
  <c r="BK208" i="2" s="1"/>
  <c r="J279" i="5"/>
  <c r="AF279" i="5"/>
  <c r="AG208" i="2" s="1"/>
  <c r="R279" i="5"/>
  <c r="S208" i="2" s="1"/>
  <c r="Q279" i="5"/>
  <c r="R208" i="2" s="1"/>
  <c r="P279" i="5"/>
  <c r="Q208" i="2" s="1"/>
  <c r="AG279" i="5"/>
  <c r="AH208" i="2" s="1"/>
  <c r="AE279" i="5"/>
  <c r="AF208" i="2" s="1"/>
  <c r="AD279" i="5"/>
  <c r="AE208" i="2" s="1"/>
  <c r="AH279" i="5"/>
  <c r="AI208" i="2" s="1"/>
  <c r="AC279" i="5"/>
  <c r="AD208" i="2" s="1"/>
  <c r="AB279" i="5"/>
  <c r="AC208" i="2" s="1"/>
  <c r="AI279" i="5"/>
  <c r="AJ208" i="2" s="1"/>
  <c r="AJ279" i="5"/>
  <c r="AK208" i="2" s="1"/>
  <c r="AK279" i="5"/>
  <c r="AL208" i="2" s="1"/>
  <c r="AL279" i="5"/>
  <c r="AM208" i="2" s="1"/>
  <c r="AM279" i="5"/>
  <c r="AN208" i="2" s="1"/>
  <c r="AN279" i="5"/>
  <c r="AO208" i="2" s="1"/>
  <c r="AO279" i="5"/>
  <c r="AP208" i="2" s="1"/>
  <c r="AP279" i="5"/>
  <c r="AQ208" i="2" s="1"/>
  <c r="AA279" i="5"/>
  <c r="AB208" i="2" s="1"/>
  <c r="Z279" i="5"/>
  <c r="AA208" i="2" s="1"/>
  <c r="AQ279" i="5"/>
  <c r="AR208" i="2" s="1"/>
  <c r="L61" i="3"/>
  <c r="M67" i="5"/>
  <c r="N67" i="5" s="1"/>
  <c r="M61" i="3" s="1"/>
  <c r="L66" i="3"/>
  <c r="R277" i="5"/>
  <c r="S112" i="2" s="1"/>
  <c r="T277" i="5"/>
  <c r="U112" i="2" s="1"/>
  <c r="M66" i="5"/>
  <c r="N66" i="5" s="1"/>
  <c r="M66" i="3" s="1"/>
  <c r="S277" i="5"/>
  <c r="T112" i="2" s="1"/>
  <c r="BJ277" i="5"/>
  <c r="BK112" i="2" s="1"/>
  <c r="U277" i="5"/>
  <c r="V112" i="2" s="1"/>
  <c r="V277" i="5"/>
  <c r="W112" i="2" s="1"/>
  <c r="M277" i="5"/>
  <c r="L24" i="3"/>
  <c r="O24" i="3" s="1"/>
  <c r="M276" i="5"/>
  <c r="N115" i="2" s="1"/>
  <c r="N276" i="5"/>
  <c r="O276" i="5"/>
  <c r="Q276" i="5"/>
  <c r="R115" i="2" s="1"/>
  <c r="H276" i="5"/>
  <c r="I115" i="2" s="1"/>
  <c r="G276" i="5"/>
  <c r="H115" i="2" s="1"/>
  <c r="F276" i="5"/>
  <c r="G115" i="2" s="1"/>
  <c r="E276" i="5"/>
  <c r="F115" i="2" s="1"/>
  <c r="D276" i="5"/>
  <c r="E115" i="2" s="1"/>
  <c r="C276" i="5"/>
  <c r="M65" i="5"/>
  <c r="N65" i="5" s="1"/>
  <c r="M24" i="3" s="1"/>
  <c r="AU276" i="5"/>
  <c r="AV115" i="2" s="1"/>
  <c r="BC276" i="5"/>
  <c r="BD115" i="2" s="1"/>
  <c r="J276" i="5"/>
  <c r="K115" i="2" s="1"/>
  <c r="P276" i="5"/>
  <c r="AH276" i="5"/>
  <c r="AI115" i="2" s="1"/>
  <c r="AI276" i="5"/>
  <c r="AJ115" i="2" s="1"/>
  <c r="AJ276" i="5"/>
  <c r="AK115" i="2" s="1"/>
  <c r="L276" i="5"/>
  <c r="M115" i="2" s="1"/>
  <c r="R276" i="5"/>
  <c r="S115" i="2" s="1"/>
  <c r="S276" i="5"/>
  <c r="T115" i="2" s="1"/>
  <c r="T276" i="5"/>
  <c r="U115" i="2" s="1"/>
  <c r="U276" i="5"/>
  <c r="V115" i="2" s="1"/>
  <c r="V276" i="5"/>
  <c r="W115" i="2" s="1"/>
  <c r="W276" i="5"/>
  <c r="X115" i="2" s="1"/>
  <c r="K276" i="5"/>
  <c r="L115" i="2" s="1"/>
  <c r="Y276" i="5"/>
  <c r="Z115" i="2" s="1"/>
  <c r="Z276" i="5"/>
  <c r="AA115" i="2" s="1"/>
  <c r="AA276" i="5"/>
  <c r="AB115" i="2" s="1"/>
  <c r="AB276" i="5"/>
  <c r="AC115" i="2" s="1"/>
  <c r="AC276" i="5"/>
  <c r="AD115" i="2" s="1"/>
  <c r="AD276" i="5"/>
  <c r="AE115" i="2" s="1"/>
  <c r="AE276" i="5"/>
  <c r="AF115" i="2" s="1"/>
  <c r="AF276" i="5"/>
  <c r="AG115" i="2" s="1"/>
  <c r="AG276" i="5"/>
  <c r="AH115" i="2" s="1"/>
  <c r="I276" i="5"/>
  <c r="J115" i="2" s="1"/>
  <c r="X276" i="5"/>
  <c r="Y115" i="2" s="1"/>
  <c r="L9" i="3"/>
  <c r="O9" i="3" s="1"/>
  <c r="BI275" i="5"/>
  <c r="BJ76" i="2" s="1"/>
  <c r="BJ275" i="5"/>
  <c r="BK76" i="2" s="1"/>
  <c r="D275" i="5"/>
  <c r="E76" i="2" s="1"/>
  <c r="AY275" i="5"/>
  <c r="AZ76" i="2" s="1"/>
  <c r="R275" i="5"/>
  <c r="S76" i="2" s="1"/>
  <c r="S275" i="5"/>
  <c r="T275" i="5"/>
  <c r="U76" i="2" s="1"/>
  <c r="U275" i="5"/>
  <c r="V76" i="2" s="1"/>
  <c r="V275" i="5"/>
  <c r="W76" i="2" s="1"/>
  <c r="X275" i="5"/>
  <c r="Y76" i="2" s="1"/>
  <c r="Y275" i="5"/>
  <c r="Z76" i="2" s="1"/>
  <c r="Z275" i="5"/>
  <c r="AA76" i="2" s="1"/>
  <c r="AA275" i="5"/>
  <c r="AB76" i="2" s="1"/>
  <c r="AB275" i="5"/>
  <c r="AC76" i="2" s="1"/>
  <c r="AC275" i="5"/>
  <c r="AD76" i="2" s="1"/>
  <c r="AD275" i="5"/>
  <c r="AE76" i="2" s="1"/>
  <c r="AE275" i="5"/>
  <c r="AF76" i="2" s="1"/>
  <c r="AF275" i="5"/>
  <c r="AG76" i="2" s="1"/>
  <c r="AG275" i="5"/>
  <c r="AH76" i="2" s="1"/>
  <c r="AH275" i="5"/>
  <c r="AI76" i="2" s="1"/>
  <c r="AI275" i="5"/>
  <c r="AJ76" i="2" s="1"/>
  <c r="W275" i="5"/>
  <c r="X76" i="2" s="1"/>
  <c r="AJ275" i="5"/>
  <c r="AK76" i="2" s="1"/>
  <c r="AK275" i="5"/>
  <c r="AL76" i="2" s="1"/>
  <c r="AL275" i="5"/>
  <c r="AM76" i="2" s="1"/>
  <c r="AM275" i="5"/>
  <c r="AN76" i="2" s="1"/>
  <c r="AN275" i="5"/>
  <c r="AO76" i="2" s="1"/>
  <c r="M275" i="5"/>
  <c r="N76" i="2" s="1"/>
  <c r="N275" i="5"/>
  <c r="O76" i="2" s="1"/>
  <c r="AO275" i="5"/>
  <c r="AP76" i="2" s="1"/>
  <c r="AP275" i="5"/>
  <c r="AQ76" i="2" s="1"/>
  <c r="AQ275" i="5"/>
  <c r="AR76" i="2" s="1"/>
  <c r="AR275" i="5"/>
  <c r="AS76" i="2" s="1"/>
  <c r="AT275" i="5"/>
  <c r="AU76" i="2" s="1"/>
  <c r="AS275" i="5"/>
  <c r="AT76" i="2" s="1"/>
  <c r="AU275" i="5"/>
  <c r="AV76" i="2" s="1"/>
  <c r="AV275" i="5"/>
  <c r="AW76" i="2" s="1"/>
  <c r="AW275" i="5"/>
  <c r="AX76" i="2" s="1"/>
  <c r="AX275" i="5"/>
  <c r="AY76" i="2" s="1"/>
  <c r="AZ275" i="5"/>
  <c r="BA76" i="2" s="1"/>
  <c r="BA275" i="5"/>
  <c r="BB76" i="2" s="1"/>
  <c r="BB275" i="5"/>
  <c r="BC76" i="2" s="1"/>
  <c r="BC275" i="5"/>
  <c r="BD76" i="2" s="1"/>
  <c r="BD275" i="5"/>
  <c r="BE76" i="2" s="1"/>
  <c r="BE275" i="5"/>
  <c r="BF76" i="2" s="1"/>
  <c r="BF275" i="5"/>
  <c r="BG76" i="2" s="1"/>
  <c r="BG275" i="5"/>
  <c r="BH76" i="2" s="1"/>
  <c r="BH275" i="5"/>
  <c r="BI76" i="2" s="1"/>
  <c r="L49" i="3"/>
  <c r="S274" i="5"/>
  <c r="T133" i="2" s="1"/>
  <c r="R274" i="5"/>
  <c r="S133" i="2" s="1"/>
  <c r="Q274" i="5"/>
  <c r="R133" i="2" s="1"/>
  <c r="P274" i="5"/>
  <c r="Q133" i="2" s="1"/>
  <c r="O274" i="5"/>
  <c r="P133" i="2" s="1"/>
  <c r="N274" i="5"/>
  <c r="O133" i="2" s="1"/>
  <c r="M274" i="5"/>
  <c r="N133" i="2" s="1"/>
  <c r="L274" i="5"/>
  <c r="M133" i="2" s="1"/>
  <c r="K274" i="5"/>
  <c r="J274" i="5"/>
  <c r="I274" i="5"/>
  <c r="H274" i="5"/>
  <c r="I133" i="2" s="1"/>
  <c r="G274" i="5"/>
  <c r="H133" i="2" s="1"/>
  <c r="F274" i="5"/>
  <c r="G133" i="2" s="1"/>
  <c r="E274" i="5"/>
  <c r="F133" i="2" s="1"/>
  <c r="D274" i="5"/>
  <c r="E133" i="2" s="1"/>
  <c r="C274" i="5"/>
  <c r="M63" i="5"/>
  <c r="N63" i="5" s="1"/>
  <c r="M49" i="3" s="1"/>
  <c r="W274" i="5"/>
  <c r="X133" i="2" s="1"/>
  <c r="X274" i="5"/>
  <c r="Y133" i="2" s="1"/>
  <c r="AC274" i="5"/>
  <c r="AD133" i="2" s="1"/>
  <c r="Y274" i="5"/>
  <c r="Z133" i="2" s="1"/>
  <c r="Z274" i="5"/>
  <c r="AA133" i="2" s="1"/>
  <c r="AA274" i="5"/>
  <c r="AB133" i="2" s="1"/>
  <c r="AB274" i="5"/>
  <c r="AC133" i="2" s="1"/>
  <c r="T274" i="5"/>
  <c r="U133" i="2" s="1"/>
  <c r="U274" i="5"/>
  <c r="V133" i="2" s="1"/>
  <c r="V274" i="5"/>
  <c r="W133" i="2" s="1"/>
  <c r="L26" i="3"/>
  <c r="O26" i="3" s="1"/>
  <c r="F273" i="5"/>
  <c r="G127" i="2" s="1"/>
  <c r="L273" i="5"/>
  <c r="M127" i="2" s="1"/>
  <c r="M273" i="5"/>
  <c r="N127" i="2" s="1"/>
  <c r="N273" i="5"/>
  <c r="O273" i="5"/>
  <c r="P127" i="2" s="1"/>
  <c r="P273" i="5"/>
  <c r="Q127" i="2" s="1"/>
  <c r="Q273" i="5"/>
  <c r="R127" i="2" s="1"/>
  <c r="I273" i="5"/>
  <c r="J127" i="2" s="1"/>
  <c r="S273" i="5"/>
  <c r="T127" i="2" s="1"/>
  <c r="H273" i="5"/>
  <c r="I127" i="2" s="1"/>
  <c r="G273" i="5"/>
  <c r="H127" i="2" s="1"/>
  <c r="E273" i="5"/>
  <c r="F127" i="2" s="1"/>
  <c r="D273" i="5"/>
  <c r="E127" i="2" s="1"/>
  <c r="C273" i="5"/>
  <c r="M62" i="5"/>
  <c r="N62" i="5" s="1"/>
  <c r="BA273" i="5"/>
  <c r="BB127" i="2" s="1"/>
  <c r="AO308" i="4"/>
  <c r="AP33" i="2" s="1"/>
  <c r="AS308" i="4"/>
  <c r="AT33" i="2" s="1"/>
  <c r="AC308" i="4"/>
  <c r="AD33" i="2" s="1"/>
  <c r="AU308" i="4"/>
  <c r="AV33" i="2" s="1"/>
  <c r="AV308" i="4"/>
  <c r="AW33" i="2" s="1"/>
  <c r="AY308" i="4"/>
  <c r="AZ33" i="2" s="1"/>
  <c r="AK308" i="4"/>
  <c r="AL33" i="2" s="1"/>
  <c r="AZ308" i="4"/>
  <c r="BA33" i="2" s="1"/>
  <c r="BA308" i="4"/>
  <c r="BB33" i="2" s="1"/>
  <c r="AI308" i="4"/>
  <c r="AJ33" i="2" s="1"/>
  <c r="AG308" i="4"/>
  <c r="AH33" i="2" s="1"/>
  <c r="AD308" i="4"/>
  <c r="AE33" i="2" s="1"/>
  <c r="AE308" i="4"/>
  <c r="AF33" i="2" s="1"/>
  <c r="AX308" i="4"/>
  <c r="AY33" i="2" s="1"/>
  <c r="BB308" i="4"/>
  <c r="BC33" i="2" s="1"/>
  <c r="AF308" i="4"/>
  <c r="AG33" i="2" s="1"/>
  <c r="K308" i="4"/>
  <c r="L33" i="2" s="1"/>
  <c r="M308" i="4"/>
  <c r="N33" i="2" s="1"/>
  <c r="AW308" i="4"/>
  <c r="AX33" i="2" s="1"/>
  <c r="P308" i="4"/>
  <c r="Q33" i="2" s="1"/>
  <c r="AP308" i="4"/>
  <c r="AQ33" i="2" s="1"/>
  <c r="AL308" i="4"/>
  <c r="AM33" i="2" s="1"/>
  <c r="Q308" i="4"/>
  <c r="R33" i="2" s="1"/>
  <c r="S308" i="4"/>
  <c r="T33" i="2" s="1"/>
  <c r="V308" i="4"/>
  <c r="W33" i="2" s="1"/>
  <c r="E308" i="4"/>
  <c r="F33" i="2" s="1"/>
  <c r="G308" i="4"/>
  <c r="H33" i="2" s="1"/>
  <c r="I308" i="4"/>
  <c r="J33" i="2" s="1"/>
  <c r="L308" i="4"/>
  <c r="M33" i="2" s="1"/>
  <c r="O308" i="4"/>
  <c r="P33" i="2" s="1"/>
  <c r="AN308" i="4"/>
  <c r="AO33" i="2" s="1"/>
  <c r="AJ308" i="4"/>
  <c r="AK33" i="2" s="1"/>
  <c r="AH308" i="4"/>
  <c r="AI33" i="2" s="1"/>
  <c r="AT308" i="4"/>
  <c r="AU33" i="2" s="1"/>
  <c r="N308" i="4"/>
  <c r="O33" i="2" s="1"/>
  <c r="J308" i="4"/>
  <c r="K33" i="2" s="1"/>
  <c r="F308" i="4"/>
  <c r="G33" i="2" s="1"/>
  <c r="C308" i="4"/>
  <c r="U308" i="4"/>
  <c r="V33" i="2" s="1"/>
  <c r="R308" i="4"/>
  <c r="S33" i="2" s="1"/>
  <c r="D308" i="4"/>
  <c r="T308" i="4"/>
  <c r="U33" i="2" s="1"/>
  <c r="AM308" i="4"/>
  <c r="AN33" i="2" s="1"/>
  <c r="AQ308" i="4"/>
  <c r="AR33" i="2" s="1"/>
  <c r="H308" i="4"/>
  <c r="I33" i="2" s="1"/>
  <c r="AR308" i="4"/>
  <c r="AS33" i="2" s="1"/>
  <c r="AT307" i="4"/>
  <c r="AU42" i="2" s="1"/>
  <c r="BA307" i="4"/>
  <c r="BB42" i="2" s="1"/>
  <c r="BD307" i="4"/>
  <c r="BE42" i="2" s="1"/>
  <c r="AI307" i="4"/>
  <c r="AJ42" i="2" s="1"/>
  <c r="AR307" i="4"/>
  <c r="AS42" i="2" s="1"/>
  <c r="BE307" i="4"/>
  <c r="BF42" i="2" s="1"/>
  <c r="AW307" i="4"/>
  <c r="AX42" i="2" s="1"/>
  <c r="AX307" i="4"/>
  <c r="AY42" i="2" s="1"/>
  <c r="R307" i="4"/>
  <c r="S42" i="2" s="1"/>
  <c r="AV307" i="4"/>
  <c r="AW42" i="2" s="1"/>
  <c r="AS307" i="4"/>
  <c r="AT42" i="2" s="1"/>
  <c r="D307" i="4"/>
  <c r="AZ307" i="4"/>
  <c r="BA42" i="2" s="1"/>
  <c r="BB307" i="4"/>
  <c r="BC42" i="2" s="1"/>
  <c r="AG307" i="4"/>
  <c r="AH42" i="2" s="1"/>
  <c r="AE307" i="4"/>
  <c r="AF42" i="2" s="1"/>
  <c r="U307" i="4"/>
  <c r="V42" i="2" s="1"/>
  <c r="AB307" i="4"/>
  <c r="AC42" i="2" s="1"/>
  <c r="Y307" i="4"/>
  <c r="Z42" i="2" s="1"/>
  <c r="AH307" i="4"/>
  <c r="AI42" i="2" s="1"/>
  <c r="S307" i="4"/>
  <c r="T42" i="2" s="1"/>
  <c r="AA307" i="4"/>
  <c r="AB42" i="2" s="1"/>
  <c r="W307" i="4"/>
  <c r="X42" i="2" s="1"/>
  <c r="E307" i="4"/>
  <c r="F42" i="2" s="1"/>
  <c r="AJ307" i="4"/>
  <c r="AK42" i="2" s="1"/>
  <c r="BC307" i="4"/>
  <c r="BD42" i="2" s="1"/>
  <c r="AY307" i="4"/>
  <c r="AZ42" i="2" s="1"/>
  <c r="C307" i="4"/>
  <c r="T307" i="4"/>
  <c r="U42" i="2" s="1"/>
  <c r="V307" i="4"/>
  <c r="W42" i="2" s="1"/>
  <c r="X307" i="4"/>
  <c r="Y42" i="2" s="1"/>
  <c r="Z307" i="4"/>
  <c r="AA42" i="2" s="1"/>
  <c r="AC307" i="4"/>
  <c r="AD42" i="2" s="1"/>
  <c r="AF307" i="4"/>
  <c r="AG42" i="2" s="1"/>
  <c r="AD307" i="4"/>
  <c r="AE42" i="2" s="1"/>
  <c r="BD306" i="4"/>
  <c r="BE159" i="2" s="1"/>
  <c r="BH306" i="4"/>
  <c r="BI159" i="2" s="1"/>
  <c r="AR306" i="4"/>
  <c r="AS159" i="2" s="1"/>
  <c r="AU306" i="4"/>
  <c r="AV159" i="2" s="1"/>
  <c r="AZ306" i="4"/>
  <c r="BA159" i="2" s="1"/>
  <c r="BC306" i="4"/>
  <c r="BD159" i="2" s="1"/>
  <c r="BE306" i="4"/>
  <c r="BF159" i="2" s="1"/>
  <c r="BF306" i="4"/>
  <c r="BG159" i="2" s="1"/>
  <c r="BI306" i="4"/>
  <c r="BJ159" i="2" s="1"/>
  <c r="V306" i="4"/>
  <c r="W159" i="2" s="1"/>
  <c r="BJ306" i="4"/>
  <c r="BK159" i="2" s="1"/>
  <c r="BG306" i="4"/>
  <c r="BH159" i="2" s="1"/>
  <c r="BB306" i="4"/>
  <c r="BC159" i="2" s="1"/>
  <c r="AY306" i="4"/>
  <c r="AZ159" i="2" s="1"/>
  <c r="AW306" i="4"/>
  <c r="AX159" i="2" s="1"/>
  <c r="AT306" i="4"/>
  <c r="AU159" i="2" s="1"/>
  <c r="AP306" i="4"/>
  <c r="AQ159" i="2" s="1"/>
  <c r="AN306" i="4"/>
  <c r="AO159" i="2" s="1"/>
  <c r="AK306" i="4"/>
  <c r="AL159" i="2" s="1"/>
  <c r="AH306" i="4"/>
  <c r="AI159" i="2" s="1"/>
  <c r="AG306" i="4"/>
  <c r="AH159" i="2" s="1"/>
  <c r="AC306" i="4"/>
  <c r="AD159" i="2" s="1"/>
  <c r="AA306" i="4"/>
  <c r="AB159" i="2" s="1"/>
  <c r="X306" i="4"/>
  <c r="Y159" i="2" s="1"/>
  <c r="U306" i="4"/>
  <c r="W306" i="4"/>
  <c r="X159" i="2" s="1"/>
  <c r="Z306" i="4"/>
  <c r="AA159" i="2" s="1"/>
  <c r="AB306" i="4"/>
  <c r="AC159" i="2" s="1"/>
  <c r="AE306" i="4"/>
  <c r="AF159" i="2" s="1"/>
  <c r="AJ306" i="4"/>
  <c r="AK159" i="2" s="1"/>
  <c r="AM306" i="4"/>
  <c r="AN159" i="2" s="1"/>
  <c r="AO306" i="4"/>
  <c r="AP159" i="2" s="1"/>
  <c r="Y306" i="4"/>
  <c r="Z159" i="2" s="1"/>
  <c r="AD306" i="4"/>
  <c r="AE159" i="2" s="1"/>
  <c r="AF306" i="4"/>
  <c r="AG159" i="2" s="1"/>
  <c r="AI306" i="4"/>
  <c r="AJ159" i="2" s="1"/>
  <c r="AL306" i="4"/>
  <c r="AM159" i="2" s="1"/>
  <c r="AQ306" i="4"/>
  <c r="AR159" i="2" s="1"/>
  <c r="AS306" i="4"/>
  <c r="AT159" i="2" s="1"/>
  <c r="AV306" i="4"/>
  <c r="AW159" i="2" s="1"/>
  <c r="AX306" i="4"/>
  <c r="AY159" i="2" s="1"/>
  <c r="BA306" i="4"/>
  <c r="BB159" i="2" s="1"/>
  <c r="M305" i="4"/>
  <c r="N246" i="2" s="1"/>
  <c r="P305" i="4"/>
  <c r="Q246" i="2" s="1"/>
  <c r="T305" i="4"/>
  <c r="U305" i="4"/>
  <c r="Z305" i="4"/>
  <c r="AA246" i="2" s="1"/>
  <c r="AD305" i="4"/>
  <c r="AE246" i="2" s="1"/>
  <c r="AN305" i="4"/>
  <c r="AO246" i="2" s="1"/>
  <c r="BI305" i="4"/>
  <c r="BJ246" i="2" s="1"/>
  <c r="N305" i="4"/>
  <c r="O246" i="2" s="1"/>
  <c r="BJ305" i="4"/>
  <c r="BK246" i="2" s="1"/>
  <c r="AG305" i="4"/>
  <c r="AH246" i="2" s="1"/>
  <c r="R305" i="4"/>
  <c r="K305" i="4"/>
  <c r="L246" i="2" s="1"/>
  <c r="V305" i="4"/>
  <c r="W246" i="2" s="1"/>
  <c r="X305" i="4"/>
  <c r="Y246" i="2" s="1"/>
  <c r="AA305" i="4"/>
  <c r="AB246" i="2" s="1"/>
  <c r="AC305" i="4"/>
  <c r="AD246" i="2" s="1"/>
  <c r="AF305" i="4"/>
  <c r="AG246" i="2" s="1"/>
  <c r="AI305" i="4"/>
  <c r="AJ246" i="2" s="1"/>
  <c r="AB305" i="4"/>
  <c r="AC246" i="2" s="1"/>
  <c r="O305" i="4"/>
  <c r="P246" i="2" s="1"/>
  <c r="I305" i="4"/>
  <c r="J246" i="2" s="1"/>
  <c r="AL305" i="4"/>
  <c r="AM246" i="2" s="1"/>
  <c r="H305" i="4"/>
  <c r="Q305" i="4"/>
  <c r="R246" i="2" s="1"/>
  <c r="S305" i="4"/>
  <c r="W305" i="4"/>
  <c r="X246" i="2" s="1"/>
  <c r="Y305" i="4"/>
  <c r="Z246" i="2" s="1"/>
  <c r="AE305" i="4"/>
  <c r="AF246" i="2" s="1"/>
  <c r="AH305" i="4"/>
  <c r="AI246" i="2" s="1"/>
  <c r="AJ305" i="4"/>
  <c r="AK246" i="2" s="1"/>
  <c r="AX305" i="4"/>
  <c r="AY246" i="2" s="1"/>
  <c r="J305" i="4"/>
  <c r="K246" i="2" s="1"/>
  <c r="AK305" i="4"/>
  <c r="AL246" i="2" s="1"/>
  <c r="AM305" i="4"/>
  <c r="AN246" i="2" s="1"/>
  <c r="AE304" i="4"/>
  <c r="AF219" i="2" s="1"/>
  <c r="AB304" i="4"/>
  <c r="AC219" i="2" s="1"/>
  <c r="X304" i="4"/>
  <c r="Y219" i="2" s="1"/>
  <c r="T304" i="4"/>
  <c r="R304" i="4"/>
  <c r="P304" i="4"/>
  <c r="AT304" i="4"/>
  <c r="AU219" i="2" s="1"/>
  <c r="AR304" i="4"/>
  <c r="AS219" i="2" s="1"/>
  <c r="BI304" i="4"/>
  <c r="BJ219" i="2" s="1"/>
  <c r="O304" i="4"/>
  <c r="P219" i="2" s="1"/>
  <c r="BE304" i="4"/>
  <c r="BF219" i="2" s="1"/>
  <c r="BC304" i="4"/>
  <c r="BD219" i="2" s="1"/>
  <c r="AZ304" i="4"/>
  <c r="BA219" i="2" s="1"/>
  <c r="C304" i="4"/>
  <c r="E304" i="4"/>
  <c r="F219" i="2" s="1"/>
  <c r="AQ304" i="4"/>
  <c r="AR219" i="2" s="1"/>
  <c r="AL304" i="4"/>
  <c r="AM219" i="2" s="1"/>
  <c r="AI304" i="4"/>
  <c r="AJ219" i="2" s="1"/>
  <c r="AC304" i="4"/>
  <c r="AD219" i="2" s="1"/>
  <c r="Z304" i="4"/>
  <c r="AA219" i="2" s="1"/>
  <c r="U304" i="4"/>
  <c r="S304" i="4"/>
  <c r="Q304" i="4"/>
  <c r="N304" i="4"/>
  <c r="O219" i="2" s="1"/>
  <c r="W304" i="4"/>
  <c r="X219" i="2" s="1"/>
  <c r="Y304" i="4"/>
  <c r="Z219" i="2" s="1"/>
  <c r="AA304" i="4"/>
  <c r="AB219" i="2" s="1"/>
  <c r="AD304" i="4"/>
  <c r="AE219" i="2" s="1"/>
  <c r="AF304" i="4"/>
  <c r="AG219" i="2" s="1"/>
  <c r="AG304" i="4"/>
  <c r="AH219" i="2" s="1"/>
  <c r="AJ304" i="4"/>
  <c r="AK219" i="2" s="1"/>
  <c r="AK304" i="4"/>
  <c r="AL219" i="2" s="1"/>
  <c r="AO304" i="4"/>
  <c r="AP219" i="2" s="1"/>
  <c r="BJ304" i="4"/>
  <c r="BK219" i="2" s="1"/>
  <c r="BG304" i="4"/>
  <c r="BH219" i="2" s="1"/>
  <c r="BD304" i="4"/>
  <c r="BE219" i="2" s="1"/>
  <c r="BA304" i="4"/>
  <c r="BB219" i="2" s="1"/>
  <c r="M93" i="4"/>
  <c r="N93" i="4" s="1"/>
  <c r="AM304" i="4"/>
  <c r="AN219" i="2" s="1"/>
  <c r="AN304" i="4"/>
  <c r="AO219" i="2" s="1"/>
  <c r="AH304" i="4"/>
  <c r="AI219" i="2" s="1"/>
  <c r="D304" i="4"/>
  <c r="E219" i="2" s="1"/>
  <c r="AY304" i="4"/>
  <c r="AZ219" i="2" s="1"/>
  <c r="BB304" i="4"/>
  <c r="BC219" i="2" s="1"/>
  <c r="BF304" i="4"/>
  <c r="BG219" i="2" s="1"/>
  <c r="BH304" i="4"/>
  <c r="BI219" i="2" s="1"/>
  <c r="V304" i="4"/>
  <c r="W219" i="2" s="1"/>
  <c r="AP304" i="4"/>
  <c r="AQ219" i="2" s="1"/>
  <c r="G303" i="4"/>
  <c r="H216" i="2" s="1"/>
  <c r="J303" i="4"/>
  <c r="K216" i="2" s="1"/>
  <c r="L303" i="4"/>
  <c r="M216" i="2" s="1"/>
  <c r="N303" i="4"/>
  <c r="O216" i="2" s="1"/>
  <c r="Q303" i="4"/>
  <c r="R216" i="2" s="1"/>
  <c r="M303" i="4"/>
  <c r="N216" i="2" s="1"/>
  <c r="H303" i="4"/>
  <c r="I216" i="2" s="1"/>
  <c r="E303" i="4"/>
  <c r="AE303" i="4"/>
  <c r="AF216" i="2" s="1"/>
  <c r="AD303" i="4"/>
  <c r="AE216" i="2" s="1"/>
  <c r="AB303" i="4"/>
  <c r="AC216" i="2" s="1"/>
  <c r="W303" i="4"/>
  <c r="X216" i="2" s="1"/>
  <c r="Y303" i="4"/>
  <c r="Z216" i="2" s="1"/>
  <c r="AC303" i="4"/>
  <c r="AD216" i="2" s="1"/>
  <c r="AG303" i="4"/>
  <c r="AH216" i="2" s="1"/>
  <c r="AI303" i="4"/>
  <c r="AJ216" i="2" s="1"/>
  <c r="BF303" i="4"/>
  <c r="BG216" i="2" s="1"/>
  <c r="BG303" i="4"/>
  <c r="BH216" i="2" s="1"/>
  <c r="BI303" i="4"/>
  <c r="BJ216" i="2" s="1"/>
  <c r="AS303" i="4"/>
  <c r="AT216" i="2" s="1"/>
  <c r="X303" i="4"/>
  <c r="Y216" i="2" s="1"/>
  <c r="V303" i="4"/>
  <c r="W216" i="2" s="1"/>
  <c r="BJ303" i="4"/>
  <c r="BK216" i="2" s="1"/>
  <c r="BH303" i="4"/>
  <c r="BI216" i="2" s="1"/>
  <c r="BD303" i="4"/>
  <c r="BE216" i="2" s="1"/>
  <c r="Z303" i="4"/>
  <c r="AA216" i="2" s="1"/>
  <c r="R303" i="4"/>
  <c r="S216" i="2" s="1"/>
  <c r="O303" i="4"/>
  <c r="P216" i="2" s="1"/>
  <c r="K303" i="4"/>
  <c r="L216" i="2" s="1"/>
  <c r="U303" i="4"/>
  <c r="V216" i="2" s="1"/>
  <c r="I303" i="4"/>
  <c r="J216" i="2" s="1"/>
  <c r="F303" i="4"/>
  <c r="G216" i="2" s="1"/>
  <c r="S303" i="4"/>
  <c r="T216" i="2" s="1"/>
  <c r="P303" i="4"/>
  <c r="AQ303" i="4"/>
  <c r="AR216" i="2" s="1"/>
  <c r="BE303" i="4"/>
  <c r="BF216" i="2" s="1"/>
  <c r="AH303" i="4"/>
  <c r="AI216" i="2" s="1"/>
  <c r="T303" i="4"/>
  <c r="AF303" i="4"/>
  <c r="AG216" i="2" s="1"/>
  <c r="AR303" i="4"/>
  <c r="AS216" i="2" s="1"/>
  <c r="C302" i="4"/>
  <c r="D302" i="4"/>
  <c r="G302" i="4"/>
  <c r="H87" i="2" s="1"/>
  <c r="I302" i="4"/>
  <c r="J87" i="2" s="1"/>
  <c r="K302" i="4"/>
  <c r="L87" i="2" s="1"/>
  <c r="M302" i="4"/>
  <c r="N87" i="2" s="1"/>
  <c r="P302" i="4"/>
  <c r="Q87" i="2" s="1"/>
  <c r="U302" i="4"/>
  <c r="V87" i="2" s="1"/>
  <c r="X302" i="4"/>
  <c r="Y87" i="2" s="1"/>
  <c r="Z302" i="4"/>
  <c r="AA87" i="2" s="1"/>
  <c r="AG302" i="4"/>
  <c r="AH87" i="2" s="1"/>
  <c r="AI302" i="4"/>
  <c r="AJ87" i="2" s="1"/>
  <c r="AL302" i="4"/>
  <c r="AM87" i="2" s="1"/>
  <c r="AP302" i="4"/>
  <c r="AQ87" i="2" s="1"/>
  <c r="AX302" i="4"/>
  <c r="AY87" i="2" s="1"/>
  <c r="AZ302" i="4"/>
  <c r="BA87" i="2" s="1"/>
  <c r="BD302" i="4"/>
  <c r="BE87" i="2" s="1"/>
  <c r="BF302" i="4"/>
  <c r="BG87" i="2" s="1"/>
  <c r="BJ302" i="4"/>
  <c r="BK87" i="2" s="1"/>
  <c r="R302" i="4"/>
  <c r="S87" i="2" s="1"/>
  <c r="F302" i="4"/>
  <c r="G87" i="2" s="1"/>
  <c r="E302" i="4"/>
  <c r="F87" i="2" s="1"/>
  <c r="M91" i="4"/>
  <c r="N91" i="4" s="1"/>
  <c r="AD302" i="4"/>
  <c r="AE87" i="2" s="1"/>
  <c r="AJ302" i="4"/>
  <c r="AK87" i="2" s="1"/>
  <c r="AM302" i="4"/>
  <c r="AN87" i="2" s="1"/>
  <c r="AO302" i="4"/>
  <c r="AP87" i="2" s="1"/>
  <c r="AQ302" i="4"/>
  <c r="AR87" i="2" s="1"/>
  <c r="AR302" i="4"/>
  <c r="AS87" i="2" s="1"/>
  <c r="AT302" i="4"/>
  <c r="AU87" i="2" s="1"/>
  <c r="AU302" i="4"/>
  <c r="AV87" i="2" s="1"/>
  <c r="AW302" i="4"/>
  <c r="AX87" i="2" s="1"/>
  <c r="BA302" i="4"/>
  <c r="BB87" i="2" s="1"/>
  <c r="BC302" i="4"/>
  <c r="BD87" i="2" s="1"/>
  <c r="BE302" i="4"/>
  <c r="BF87" i="2" s="1"/>
  <c r="BG302" i="4"/>
  <c r="BH87" i="2" s="1"/>
  <c r="BI302" i="4"/>
  <c r="BJ87" i="2" s="1"/>
  <c r="AF302" i="4"/>
  <c r="AG87" i="2" s="1"/>
  <c r="AB302" i="4"/>
  <c r="AC87" i="2" s="1"/>
  <c r="Y302" i="4"/>
  <c r="Z87" i="2" s="1"/>
  <c r="V302" i="4"/>
  <c r="W87" i="2" s="1"/>
  <c r="T302" i="4"/>
  <c r="U87" i="2" s="1"/>
  <c r="S302" i="4"/>
  <c r="T87" i="2" s="1"/>
  <c r="O302" i="4"/>
  <c r="P87" i="2" s="1"/>
  <c r="J302" i="4"/>
  <c r="K87" i="2" s="1"/>
  <c r="N302" i="4"/>
  <c r="O87" i="2" s="1"/>
  <c r="Q302" i="4"/>
  <c r="R87" i="2" s="1"/>
  <c r="W302" i="4"/>
  <c r="X87" i="2" s="1"/>
  <c r="AA302" i="4"/>
  <c r="AB87" i="2" s="1"/>
  <c r="AC302" i="4"/>
  <c r="AD87" i="2" s="1"/>
  <c r="AH302" i="4"/>
  <c r="AI87" i="2" s="1"/>
  <c r="AK302" i="4"/>
  <c r="AL87" i="2" s="1"/>
  <c r="AN302" i="4"/>
  <c r="AO87" i="2" s="1"/>
  <c r="AS302" i="4"/>
  <c r="AT87" i="2" s="1"/>
  <c r="AV302" i="4"/>
  <c r="AW87" i="2" s="1"/>
  <c r="AY302" i="4"/>
  <c r="AZ87" i="2" s="1"/>
  <c r="BB302" i="4"/>
  <c r="BC87" i="2" s="1"/>
  <c r="BH302" i="4"/>
  <c r="BI87" i="2" s="1"/>
  <c r="AE302" i="4"/>
  <c r="AF87" i="2" s="1"/>
  <c r="L302" i="4"/>
  <c r="M87" i="2" s="1"/>
  <c r="H302" i="4"/>
  <c r="Y301" i="4"/>
  <c r="BI301" i="4"/>
  <c r="BJ264" i="2" s="1"/>
  <c r="BJ301" i="4"/>
  <c r="BK264" i="2" s="1"/>
  <c r="BC300" i="4"/>
  <c r="BD102" i="2" s="1"/>
  <c r="W300" i="4"/>
  <c r="X102" i="2" s="1"/>
  <c r="V300" i="4"/>
  <c r="W102" i="2" s="1"/>
  <c r="U300" i="4"/>
  <c r="V102" i="2" s="1"/>
  <c r="G300" i="4"/>
  <c r="S300" i="4"/>
  <c r="T102" i="2" s="1"/>
  <c r="R300" i="4"/>
  <c r="S102" i="2" s="1"/>
  <c r="Q300" i="4"/>
  <c r="R102" i="2" s="1"/>
  <c r="P300" i="4"/>
  <c r="Q102" i="2" s="1"/>
  <c r="M89" i="4"/>
  <c r="N89" i="4" s="1"/>
  <c r="AD300" i="4"/>
  <c r="AE102" i="2" s="1"/>
  <c r="BJ300" i="4"/>
  <c r="BK102" i="2" s="1"/>
  <c r="BD300" i="4"/>
  <c r="BE102" i="2" s="1"/>
  <c r="T300" i="4"/>
  <c r="U102" i="2" s="1"/>
  <c r="X300" i="4"/>
  <c r="Y102" i="2" s="1"/>
  <c r="Y300" i="4"/>
  <c r="Z102" i="2" s="1"/>
  <c r="Z300" i="4"/>
  <c r="AA102" i="2" s="1"/>
  <c r="AA300" i="4"/>
  <c r="AB102" i="2" s="1"/>
  <c r="H300" i="4"/>
  <c r="AB300" i="4"/>
  <c r="AC102" i="2" s="1"/>
  <c r="AC300" i="4"/>
  <c r="AD102" i="2" s="1"/>
  <c r="AE300" i="4"/>
  <c r="AF102" i="2" s="1"/>
  <c r="AM300" i="4"/>
  <c r="AN102" i="2" s="1"/>
  <c r="N300" i="4"/>
  <c r="O102" i="2" s="1"/>
  <c r="I300" i="4"/>
  <c r="J102" i="2" s="1"/>
  <c r="J300" i="4"/>
  <c r="K102" i="2" s="1"/>
  <c r="K300" i="4"/>
  <c r="L102" i="2" s="1"/>
  <c r="M300" i="4"/>
  <c r="N102" i="2" s="1"/>
  <c r="F300" i="4"/>
  <c r="O300" i="4"/>
  <c r="P102" i="2" s="1"/>
  <c r="L300" i="4"/>
  <c r="M102" i="2" s="1"/>
  <c r="BI297" i="4"/>
  <c r="BJ150" i="2" s="1"/>
  <c r="BF297" i="4"/>
  <c r="BG150" i="2" s="1"/>
  <c r="E297" i="4"/>
  <c r="F150" i="2" s="1"/>
  <c r="G297" i="4"/>
  <c r="H150" i="2" s="1"/>
  <c r="J297" i="4"/>
  <c r="K150" i="2" s="1"/>
  <c r="K297" i="4"/>
  <c r="L150" i="2" s="1"/>
  <c r="L297" i="4"/>
  <c r="M297" i="4"/>
  <c r="N297" i="4"/>
  <c r="O297" i="4"/>
  <c r="P297" i="4"/>
  <c r="Q297" i="4"/>
  <c r="R297" i="4"/>
  <c r="S297" i="4"/>
  <c r="U297" i="4"/>
  <c r="V150" i="2" s="1"/>
  <c r="V297" i="4"/>
  <c r="W150" i="2" s="1"/>
  <c r="I297" i="4"/>
  <c r="J150" i="2" s="1"/>
  <c r="H297" i="4"/>
  <c r="I150" i="2" s="1"/>
  <c r="W297" i="4"/>
  <c r="X150" i="2" s="1"/>
  <c r="X297" i="4"/>
  <c r="Y150" i="2" s="1"/>
  <c r="Y297" i="4"/>
  <c r="Z150" i="2" s="1"/>
  <c r="Z297" i="4"/>
  <c r="AA150" i="2" s="1"/>
  <c r="AA297" i="4"/>
  <c r="AB150" i="2" s="1"/>
  <c r="T297" i="4"/>
  <c r="U150" i="2" s="1"/>
  <c r="BG297" i="4"/>
  <c r="BH150" i="2" s="1"/>
  <c r="M86" i="4"/>
  <c r="N86" i="4" s="1"/>
  <c r="BH297" i="4"/>
  <c r="BI150" i="2" s="1"/>
  <c r="BJ297" i="4"/>
  <c r="BK150" i="2" s="1"/>
  <c r="D297" i="4"/>
  <c r="F297" i="4"/>
  <c r="G150" i="2" s="1"/>
  <c r="T296" i="4"/>
  <c r="P296" i="4"/>
  <c r="Z296" i="4"/>
  <c r="AA210" i="2" s="1"/>
  <c r="AF296" i="4"/>
  <c r="AG210" i="2" s="1"/>
  <c r="AA296" i="4"/>
  <c r="AB210" i="2" s="1"/>
  <c r="AB296" i="4"/>
  <c r="AC210" i="2" s="1"/>
  <c r="AH296" i="4"/>
  <c r="AI210" i="2" s="1"/>
  <c r="AL296" i="4"/>
  <c r="AM210" i="2" s="1"/>
  <c r="M85" i="4"/>
  <c r="N85" i="4" s="1"/>
  <c r="AD296" i="4"/>
  <c r="AE210" i="2" s="1"/>
  <c r="L296" i="4"/>
  <c r="M210" i="2" s="1"/>
  <c r="AP296" i="4"/>
  <c r="AQ210" i="2" s="1"/>
  <c r="AN296" i="4"/>
  <c r="AO210" i="2" s="1"/>
  <c r="AE296" i="4"/>
  <c r="AF210" i="2" s="1"/>
  <c r="AI296" i="4"/>
  <c r="AJ210" i="2" s="1"/>
  <c r="X296" i="4"/>
  <c r="Y210" i="2" s="1"/>
  <c r="J296" i="4"/>
  <c r="K210" i="2" s="1"/>
  <c r="K296" i="4"/>
  <c r="L210" i="2" s="1"/>
  <c r="M296" i="4"/>
  <c r="N210" i="2" s="1"/>
  <c r="S296" i="4"/>
  <c r="AC296" i="4"/>
  <c r="AD210" i="2" s="1"/>
  <c r="I296" i="4"/>
  <c r="J210" i="2" s="1"/>
  <c r="AG296" i="4"/>
  <c r="AH210" i="2" s="1"/>
  <c r="AM296" i="4"/>
  <c r="AN210" i="2" s="1"/>
  <c r="AQ296" i="4"/>
  <c r="AR210" i="2" s="1"/>
  <c r="AO296" i="4"/>
  <c r="AP210" i="2" s="1"/>
  <c r="Y296" i="4"/>
  <c r="Z210" i="2" s="1"/>
  <c r="O296" i="4"/>
  <c r="P210" i="2" s="1"/>
  <c r="C296" i="4"/>
  <c r="R296" i="4"/>
  <c r="U296" i="4"/>
  <c r="V210" i="2" s="1"/>
  <c r="V296" i="4"/>
  <c r="W210" i="2" s="1"/>
  <c r="AY296" i="4"/>
  <c r="AZ210" i="2" s="1"/>
  <c r="N296" i="4"/>
  <c r="O210" i="2" s="1"/>
  <c r="Q296" i="4"/>
  <c r="W296" i="4"/>
  <c r="X210" i="2" s="1"/>
  <c r="AJ296" i="4"/>
  <c r="AK210" i="2" s="1"/>
  <c r="AK296" i="4"/>
  <c r="AL210" i="2" s="1"/>
  <c r="AZ295" i="4"/>
  <c r="BA69" i="2" s="1"/>
  <c r="BA295" i="4"/>
  <c r="BB69" i="2" s="1"/>
  <c r="BB295" i="4"/>
  <c r="BC69" i="2" s="1"/>
  <c r="P295" i="4"/>
  <c r="Q69" i="2" s="1"/>
  <c r="AQ295" i="4"/>
  <c r="AR69" i="2" s="1"/>
  <c r="K295" i="4"/>
  <c r="O295" i="4"/>
  <c r="P69" i="2" s="1"/>
  <c r="AF295" i="4"/>
  <c r="AG69" i="2" s="1"/>
  <c r="AG295" i="4"/>
  <c r="AH69" i="2" s="1"/>
  <c r="AH295" i="4"/>
  <c r="AI69" i="2" s="1"/>
  <c r="AK295" i="4"/>
  <c r="AL69" i="2" s="1"/>
  <c r="N295" i="4"/>
  <c r="O69" i="2" s="1"/>
  <c r="AT295" i="4"/>
  <c r="AU69" i="2" s="1"/>
  <c r="AU295" i="4"/>
  <c r="AV69" i="2" s="1"/>
  <c r="AW295" i="4"/>
  <c r="AX69" i="2" s="1"/>
  <c r="AS295" i="4"/>
  <c r="AT69" i="2" s="1"/>
  <c r="AL295" i="4"/>
  <c r="AM69" i="2" s="1"/>
  <c r="AI295" i="4"/>
  <c r="AJ69" i="2" s="1"/>
  <c r="AX295" i="4"/>
  <c r="AY69" i="2" s="1"/>
  <c r="L295" i="4"/>
  <c r="M69" i="2" s="1"/>
  <c r="AY295" i="4"/>
  <c r="AZ69" i="2" s="1"/>
  <c r="AO295" i="4"/>
  <c r="AP69" i="2" s="1"/>
  <c r="AR295" i="4"/>
  <c r="AS69" i="2" s="1"/>
  <c r="M295" i="4"/>
  <c r="N69" i="2" s="1"/>
  <c r="AJ295" i="4"/>
  <c r="AK69" i="2" s="1"/>
  <c r="AM295" i="4"/>
  <c r="AN69" i="2" s="1"/>
  <c r="AP295" i="4"/>
  <c r="AQ69" i="2" s="1"/>
  <c r="AV295" i="4"/>
  <c r="AW69" i="2" s="1"/>
  <c r="T294" i="4"/>
  <c r="U78" i="2" s="1"/>
  <c r="Q294" i="4"/>
  <c r="R78" i="2" s="1"/>
  <c r="AZ294" i="4"/>
  <c r="BA78" i="2" s="1"/>
  <c r="AV294" i="4"/>
  <c r="AW78" i="2" s="1"/>
  <c r="AX294" i="4"/>
  <c r="AY78" i="2" s="1"/>
  <c r="BA294" i="4"/>
  <c r="BB78" i="2" s="1"/>
  <c r="AT294" i="4"/>
  <c r="AU78" i="2" s="1"/>
  <c r="AP294" i="4"/>
  <c r="AQ78" i="2" s="1"/>
  <c r="AL294" i="4"/>
  <c r="AM78" i="2" s="1"/>
  <c r="AJ294" i="4"/>
  <c r="AK78" i="2" s="1"/>
  <c r="AH294" i="4"/>
  <c r="AI78" i="2" s="1"/>
  <c r="AE294" i="4"/>
  <c r="AF78" i="2" s="1"/>
  <c r="Z294" i="4"/>
  <c r="AA78" i="2" s="1"/>
  <c r="V294" i="4"/>
  <c r="W78" i="2" s="1"/>
  <c r="R294" i="4"/>
  <c r="S78" i="2" s="1"/>
  <c r="P294" i="4"/>
  <c r="AS294" i="4"/>
  <c r="AT78" i="2" s="1"/>
  <c r="AO294" i="4"/>
  <c r="AP78" i="2" s="1"/>
  <c r="AK294" i="4"/>
  <c r="AL78" i="2" s="1"/>
  <c r="U294" i="4"/>
  <c r="V78" i="2" s="1"/>
  <c r="AI294" i="4"/>
  <c r="AJ78" i="2" s="1"/>
  <c r="AF294" i="4"/>
  <c r="AG78" i="2" s="1"/>
  <c r="Y294" i="4"/>
  <c r="Z78" i="2" s="1"/>
  <c r="S294" i="4"/>
  <c r="T78" i="2" s="1"/>
  <c r="AU294" i="4"/>
  <c r="AV78" i="2" s="1"/>
  <c r="W294" i="4"/>
  <c r="X78" i="2" s="1"/>
  <c r="AB294" i="4"/>
  <c r="AC78" i="2" s="1"/>
  <c r="AD294" i="4"/>
  <c r="AE78" i="2" s="1"/>
  <c r="AM294" i="4"/>
  <c r="AN78" i="2" s="1"/>
  <c r="AQ294" i="4"/>
  <c r="AR78" i="2" s="1"/>
  <c r="AW294" i="4"/>
  <c r="AX78" i="2" s="1"/>
  <c r="AA294" i="4"/>
  <c r="AB78" i="2" s="1"/>
  <c r="BC294" i="4"/>
  <c r="BD78" i="2" s="1"/>
  <c r="AY294" i="4"/>
  <c r="AZ78" i="2" s="1"/>
  <c r="AR294" i="4"/>
  <c r="AS78" i="2" s="1"/>
  <c r="AN294" i="4"/>
  <c r="AO78" i="2" s="1"/>
  <c r="BB294" i="4"/>
  <c r="BC78" i="2" s="1"/>
  <c r="AC294" i="4"/>
  <c r="AD78" i="2" s="1"/>
  <c r="X294" i="4"/>
  <c r="Y78" i="2" s="1"/>
  <c r="AG294" i="4"/>
  <c r="AH78" i="2" s="1"/>
  <c r="AA293" i="4"/>
  <c r="AB204" i="2" s="1"/>
  <c r="E293" i="4"/>
  <c r="F204" i="2" s="1"/>
  <c r="BA293" i="4"/>
  <c r="BB204" i="2" s="1"/>
  <c r="AY293" i="4"/>
  <c r="AZ204" i="2" s="1"/>
  <c r="AV293" i="4"/>
  <c r="AW204" i="2" s="1"/>
  <c r="AT293" i="4"/>
  <c r="AU204" i="2" s="1"/>
  <c r="AN293" i="4"/>
  <c r="AO204" i="2" s="1"/>
  <c r="AK293" i="4"/>
  <c r="AL204" i="2" s="1"/>
  <c r="AI293" i="4"/>
  <c r="AJ204" i="2" s="1"/>
  <c r="AF293" i="4"/>
  <c r="AG204" i="2" s="1"/>
  <c r="L293" i="4"/>
  <c r="M204" i="2" s="1"/>
  <c r="Z293" i="4"/>
  <c r="AA204" i="2" s="1"/>
  <c r="Y293" i="4"/>
  <c r="Z204" i="2" s="1"/>
  <c r="W293" i="4"/>
  <c r="X204" i="2" s="1"/>
  <c r="T293" i="4"/>
  <c r="U204" i="2" s="1"/>
  <c r="V293" i="4"/>
  <c r="W204" i="2" s="1"/>
  <c r="U293" i="4"/>
  <c r="V204" i="2" s="1"/>
  <c r="M82" i="4"/>
  <c r="N82" i="4" s="1"/>
  <c r="AX293" i="4"/>
  <c r="AY204" i="2" s="1"/>
  <c r="AR293" i="4"/>
  <c r="AS204" i="2" s="1"/>
  <c r="AP293" i="4"/>
  <c r="AQ204" i="2" s="1"/>
  <c r="AL293" i="4"/>
  <c r="AM204" i="2" s="1"/>
  <c r="AH293" i="4"/>
  <c r="AI204" i="2" s="1"/>
  <c r="AG293" i="4"/>
  <c r="AH204" i="2" s="1"/>
  <c r="AD293" i="4"/>
  <c r="AE204" i="2" s="1"/>
  <c r="AB293" i="4"/>
  <c r="AC204" i="2" s="1"/>
  <c r="C293" i="4"/>
  <c r="K293" i="4"/>
  <c r="L204" i="2" s="1"/>
  <c r="X293" i="4"/>
  <c r="Y204" i="2" s="1"/>
  <c r="I293" i="4"/>
  <c r="J204" i="2" s="1"/>
  <c r="H293" i="4"/>
  <c r="I204" i="2" s="1"/>
  <c r="J293" i="4"/>
  <c r="K204" i="2" s="1"/>
  <c r="AZ293" i="4"/>
  <c r="BA204" i="2" s="1"/>
  <c r="AW293" i="4"/>
  <c r="AX204" i="2" s="1"/>
  <c r="AU293" i="4"/>
  <c r="AV204" i="2" s="1"/>
  <c r="AS293" i="4"/>
  <c r="AT204" i="2" s="1"/>
  <c r="AQ293" i="4"/>
  <c r="AR204" i="2" s="1"/>
  <c r="AO293" i="4"/>
  <c r="AP204" i="2" s="1"/>
  <c r="AM293" i="4"/>
  <c r="AN204" i="2" s="1"/>
  <c r="AJ293" i="4"/>
  <c r="AK204" i="2" s="1"/>
  <c r="AE293" i="4"/>
  <c r="AF204" i="2" s="1"/>
  <c r="AC293" i="4"/>
  <c r="AD204" i="2" s="1"/>
  <c r="AU292" i="4"/>
  <c r="AV30" i="2" s="1"/>
  <c r="AG292" i="4"/>
  <c r="AH30" i="2" s="1"/>
  <c r="AD292" i="4"/>
  <c r="AE30" i="2" s="1"/>
  <c r="AA292" i="4"/>
  <c r="AB30" i="2" s="1"/>
  <c r="W292" i="4"/>
  <c r="X30" i="2" s="1"/>
  <c r="Q292" i="4"/>
  <c r="R30" i="2" s="1"/>
  <c r="N292" i="4"/>
  <c r="O30" i="2" s="1"/>
  <c r="K292" i="4"/>
  <c r="L30" i="2" s="1"/>
  <c r="G292" i="4"/>
  <c r="D292" i="4"/>
  <c r="AX292" i="4"/>
  <c r="AY30" i="2" s="1"/>
  <c r="BJ292" i="4"/>
  <c r="BK30" i="2" s="1"/>
  <c r="BH292" i="4"/>
  <c r="BI30" i="2" s="1"/>
  <c r="AI292" i="4"/>
  <c r="AJ30" i="2" s="1"/>
  <c r="AE292" i="4"/>
  <c r="AF30" i="2" s="1"/>
  <c r="R292" i="4"/>
  <c r="S30" i="2" s="1"/>
  <c r="P292" i="4"/>
  <c r="Q30" i="2" s="1"/>
  <c r="O292" i="4"/>
  <c r="P30" i="2" s="1"/>
  <c r="I292" i="4"/>
  <c r="J30" i="2" s="1"/>
  <c r="F292" i="4"/>
  <c r="Z292" i="4"/>
  <c r="AA30" i="2" s="1"/>
  <c r="C292" i="4"/>
  <c r="AV292" i="4"/>
  <c r="AW30" i="2" s="1"/>
  <c r="AM292" i="4"/>
  <c r="AN30" i="2" s="1"/>
  <c r="AC292" i="4"/>
  <c r="AD30" i="2" s="1"/>
  <c r="M81" i="4"/>
  <c r="N81" i="4" s="1"/>
  <c r="T292" i="4"/>
  <c r="U30" i="2" s="1"/>
  <c r="BG292" i="4"/>
  <c r="BH30" i="2" s="1"/>
  <c r="BI292" i="4"/>
  <c r="BJ30" i="2" s="1"/>
  <c r="AW292" i="4"/>
  <c r="AX30" i="2" s="1"/>
  <c r="E292" i="4"/>
  <c r="H292" i="4"/>
  <c r="J292" i="4"/>
  <c r="K30" i="2" s="1"/>
  <c r="L292" i="4"/>
  <c r="M30" i="2" s="1"/>
  <c r="M292" i="4"/>
  <c r="N30" i="2" s="1"/>
  <c r="S292" i="4"/>
  <c r="T30" i="2" s="1"/>
  <c r="U292" i="4"/>
  <c r="V30" i="2" s="1"/>
  <c r="X292" i="4"/>
  <c r="Y30" i="2" s="1"/>
  <c r="AB292" i="4"/>
  <c r="AC30" i="2" s="1"/>
  <c r="AF292" i="4"/>
  <c r="AG30" i="2" s="1"/>
  <c r="V292" i="4"/>
  <c r="W30" i="2" s="1"/>
  <c r="Y292" i="4"/>
  <c r="Z30" i="2" s="1"/>
  <c r="M80" i="4"/>
  <c r="N80" i="4" s="1"/>
  <c r="BB291" i="4"/>
  <c r="BC180" i="2" s="1"/>
  <c r="E291" i="4"/>
  <c r="F180" i="2" s="1"/>
  <c r="G291" i="4"/>
  <c r="H180" i="2" s="1"/>
  <c r="I291" i="4"/>
  <c r="J180" i="2" s="1"/>
  <c r="BI291" i="4"/>
  <c r="BJ180" i="2" s="1"/>
  <c r="BF291" i="4"/>
  <c r="BG180" i="2" s="1"/>
  <c r="BC291" i="4"/>
  <c r="BD180" i="2" s="1"/>
  <c r="Z291" i="4"/>
  <c r="AA180" i="2" s="1"/>
  <c r="F291" i="4"/>
  <c r="G180" i="2" s="1"/>
  <c r="C291" i="4"/>
  <c r="BG291" i="4"/>
  <c r="BH180" i="2" s="1"/>
  <c r="BE291" i="4"/>
  <c r="BF180" i="2" s="1"/>
  <c r="BD291" i="4"/>
  <c r="BE180" i="2" s="1"/>
  <c r="D291" i="4"/>
  <c r="E180" i="2" s="1"/>
  <c r="H291" i="4"/>
  <c r="I180" i="2" s="1"/>
  <c r="AE291" i="4"/>
  <c r="AF180" i="2" s="1"/>
  <c r="BJ291" i="4"/>
  <c r="BK180" i="2" s="1"/>
  <c r="BH291" i="4"/>
  <c r="BI180" i="2" s="1"/>
  <c r="BI290" i="4"/>
  <c r="BJ27" i="2" s="1"/>
  <c r="AE290" i="4"/>
  <c r="AF27" i="2" s="1"/>
  <c r="S290" i="4"/>
  <c r="T27" i="2" s="1"/>
  <c r="R290" i="4"/>
  <c r="S27" i="2" s="1"/>
  <c r="P290" i="4"/>
  <c r="Q27" i="2" s="1"/>
  <c r="O290" i="4"/>
  <c r="P27" i="2" s="1"/>
  <c r="Q290" i="4"/>
  <c r="R27" i="2" s="1"/>
  <c r="N290" i="4"/>
  <c r="O27" i="2" s="1"/>
  <c r="M290" i="4"/>
  <c r="N27" i="2" s="1"/>
  <c r="L290" i="4"/>
  <c r="M27" i="2" s="1"/>
  <c r="Z290" i="4"/>
  <c r="AA27" i="2" s="1"/>
  <c r="AA290" i="4"/>
  <c r="AB27" i="2" s="1"/>
  <c r="AB290" i="4"/>
  <c r="AC27" i="2" s="1"/>
  <c r="AC290" i="4"/>
  <c r="AD27" i="2" s="1"/>
  <c r="D290" i="4"/>
  <c r="E290" i="4"/>
  <c r="F290" i="4"/>
  <c r="C290" i="4"/>
  <c r="G290" i="4"/>
  <c r="H290" i="4"/>
  <c r="I27" i="2" s="1"/>
  <c r="AD290" i="4"/>
  <c r="AE27" i="2" s="1"/>
  <c r="K290" i="4"/>
  <c r="L27" i="2" s="1"/>
  <c r="BE290" i="4"/>
  <c r="BF27" i="2" s="1"/>
  <c r="AN290" i="4"/>
  <c r="AO27" i="2" s="1"/>
  <c r="BH290" i="4"/>
  <c r="BI27" i="2" s="1"/>
  <c r="T290" i="4"/>
  <c r="U27" i="2" s="1"/>
  <c r="BF290" i="4"/>
  <c r="BG27" i="2" s="1"/>
  <c r="BJ290" i="4"/>
  <c r="BK27" i="2" s="1"/>
  <c r="V290" i="4"/>
  <c r="W27" i="2" s="1"/>
  <c r="W290" i="4"/>
  <c r="X27" i="2" s="1"/>
  <c r="I290" i="4"/>
  <c r="J27" i="2" s="1"/>
  <c r="U290" i="4"/>
  <c r="V27" i="2" s="1"/>
  <c r="X290" i="4"/>
  <c r="Y27" i="2" s="1"/>
  <c r="Y290" i="4"/>
  <c r="Z27" i="2" s="1"/>
  <c r="M79" i="4"/>
  <c r="N79" i="4" s="1"/>
  <c r="AT290" i="4"/>
  <c r="AU27" i="2" s="1"/>
  <c r="AS290" i="4"/>
  <c r="AT27" i="2" s="1"/>
  <c r="AR290" i="4"/>
  <c r="AS27" i="2" s="1"/>
  <c r="AQ290" i="4"/>
  <c r="AR27" i="2" s="1"/>
  <c r="AP290" i="4"/>
  <c r="AQ27" i="2" s="1"/>
  <c r="AO290" i="4"/>
  <c r="AP27" i="2" s="1"/>
  <c r="AM290" i="4"/>
  <c r="AN27" i="2" s="1"/>
  <c r="AL290" i="4"/>
  <c r="AM27" i="2" s="1"/>
  <c r="AK290" i="4"/>
  <c r="AL27" i="2" s="1"/>
  <c r="AJ290" i="4"/>
  <c r="AK27" i="2" s="1"/>
  <c r="AI290" i="4"/>
  <c r="AJ27" i="2" s="1"/>
  <c r="AH290" i="4"/>
  <c r="AI27" i="2" s="1"/>
  <c r="AG290" i="4"/>
  <c r="AH27" i="2" s="1"/>
  <c r="AF290" i="4"/>
  <c r="AG27" i="2" s="1"/>
  <c r="H289" i="4"/>
  <c r="AN289" i="4"/>
  <c r="AO138" i="2" s="1"/>
  <c r="AO289" i="4"/>
  <c r="AP138" i="2" s="1"/>
  <c r="AP289" i="4"/>
  <c r="AQ138" i="2" s="1"/>
  <c r="AQ289" i="4"/>
  <c r="AR138" i="2" s="1"/>
  <c r="AR289" i="4"/>
  <c r="AS138" i="2" s="1"/>
  <c r="AS289" i="4"/>
  <c r="AT138" i="2" s="1"/>
  <c r="AT289" i="4"/>
  <c r="AU138" i="2" s="1"/>
  <c r="AU289" i="4"/>
  <c r="AV138" i="2" s="1"/>
  <c r="AV289" i="4"/>
  <c r="AW138" i="2" s="1"/>
  <c r="AW289" i="4"/>
  <c r="AX138" i="2" s="1"/>
  <c r="AX289" i="4"/>
  <c r="AY138" i="2" s="1"/>
  <c r="AY289" i="4"/>
  <c r="AZ138" i="2" s="1"/>
  <c r="AZ289" i="4"/>
  <c r="BA138" i="2" s="1"/>
  <c r="BA289" i="4"/>
  <c r="BB138" i="2" s="1"/>
  <c r="BB289" i="4"/>
  <c r="BC138" i="2" s="1"/>
  <c r="BC289" i="4"/>
  <c r="BD138" i="2" s="1"/>
  <c r="BD289" i="4"/>
  <c r="BE138" i="2" s="1"/>
  <c r="BE289" i="4"/>
  <c r="BF138" i="2" s="1"/>
  <c r="BF289" i="4"/>
  <c r="BG138" i="2" s="1"/>
  <c r="BG289" i="4"/>
  <c r="BH138" i="2" s="1"/>
  <c r="BH289" i="4"/>
  <c r="BI138" i="2" s="1"/>
  <c r="BI289" i="4"/>
  <c r="BJ138" i="2" s="1"/>
  <c r="BJ289" i="4"/>
  <c r="BK138" i="2" s="1"/>
  <c r="AM289" i="4"/>
  <c r="AN138" i="2" s="1"/>
  <c r="W289" i="4"/>
  <c r="X138" i="2" s="1"/>
  <c r="M78" i="4"/>
  <c r="N78" i="4" s="1"/>
  <c r="H288" i="4"/>
  <c r="I147" i="2" s="1"/>
  <c r="O288" i="4"/>
  <c r="N288" i="4"/>
  <c r="M288" i="4"/>
  <c r="N147" i="2" s="1"/>
  <c r="L288" i="4"/>
  <c r="K288" i="4"/>
  <c r="L147" i="2" s="1"/>
  <c r="J288" i="4"/>
  <c r="I288" i="4"/>
  <c r="J147" i="2" s="1"/>
  <c r="V288" i="4"/>
  <c r="W147" i="2" s="1"/>
  <c r="G288" i="4"/>
  <c r="H147" i="2" s="1"/>
  <c r="F288" i="4"/>
  <c r="G147" i="2" s="1"/>
  <c r="D288" i="4"/>
  <c r="E147" i="2" s="1"/>
  <c r="C288" i="4"/>
  <c r="U288" i="4"/>
  <c r="V147" i="2" s="1"/>
  <c r="S288" i="4"/>
  <c r="T147" i="2" s="1"/>
  <c r="R288" i="4"/>
  <c r="S147" i="2" s="1"/>
  <c r="T288" i="4"/>
  <c r="U147" i="2" s="1"/>
  <c r="Q288" i="4"/>
  <c r="P288" i="4"/>
  <c r="Y288" i="4"/>
  <c r="Z147" i="2" s="1"/>
  <c r="X288" i="4"/>
  <c r="Y147" i="2" s="1"/>
  <c r="W288" i="4"/>
  <c r="X147" i="2" s="1"/>
  <c r="M76" i="4"/>
  <c r="N76" i="4" s="1"/>
  <c r="O287" i="4"/>
  <c r="N287" i="4"/>
  <c r="M287" i="4"/>
  <c r="L287" i="4"/>
  <c r="J287" i="4"/>
  <c r="I287" i="4"/>
  <c r="H287" i="4"/>
  <c r="G287" i="4"/>
  <c r="F287" i="4"/>
  <c r="AA287" i="4"/>
  <c r="AB108" i="2" s="1"/>
  <c r="E287" i="4"/>
  <c r="F108" i="2" s="1"/>
  <c r="D287" i="4"/>
  <c r="E108" i="2" s="1"/>
  <c r="C287" i="4"/>
  <c r="K287" i="4"/>
  <c r="C286" i="4"/>
  <c r="D286" i="4"/>
  <c r="E96" i="2" s="1"/>
  <c r="E286" i="4"/>
  <c r="F286" i="4"/>
  <c r="G96" i="2" s="1"/>
  <c r="G286" i="4"/>
  <c r="H286" i="4"/>
  <c r="I286" i="4"/>
  <c r="J286" i="4"/>
  <c r="K286" i="4"/>
  <c r="L286" i="4"/>
  <c r="M286" i="4"/>
  <c r="N286" i="4"/>
  <c r="O96" i="2" s="1"/>
  <c r="O286" i="4"/>
  <c r="P96" i="2" s="1"/>
  <c r="Q286" i="4"/>
  <c r="R96" i="2" s="1"/>
  <c r="R286" i="4"/>
  <c r="S96" i="2" s="1"/>
  <c r="T286" i="4"/>
  <c r="U96" i="2" s="1"/>
  <c r="U286" i="4"/>
  <c r="V96" i="2" s="1"/>
  <c r="V286" i="4"/>
  <c r="W96" i="2" s="1"/>
  <c r="W286" i="4"/>
  <c r="X96" i="2" s="1"/>
  <c r="X286" i="4"/>
  <c r="Y96" i="2" s="1"/>
  <c r="AD286" i="4"/>
  <c r="AE96" i="2" s="1"/>
  <c r="Y286" i="4"/>
  <c r="Z96" i="2" s="1"/>
  <c r="Z286" i="4"/>
  <c r="AA96" i="2" s="1"/>
  <c r="AA286" i="4"/>
  <c r="AB96" i="2" s="1"/>
  <c r="AB286" i="4"/>
  <c r="AC96" i="2" s="1"/>
  <c r="S286" i="4"/>
  <c r="T96" i="2" s="1"/>
  <c r="AC286" i="4"/>
  <c r="AD96" i="2" s="1"/>
  <c r="P286" i="4"/>
  <c r="Q96" i="2" s="1"/>
  <c r="BB286" i="4"/>
  <c r="BC96" i="2" s="1"/>
  <c r="BA286" i="4"/>
  <c r="BB96" i="2" s="1"/>
  <c r="AZ286" i="4"/>
  <c r="BA96" i="2" s="1"/>
  <c r="AY286" i="4"/>
  <c r="AZ96" i="2" s="1"/>
  <c r="AX286" i="4"/>
  <c r="AY96" i="2" s="1"/>
  <c r="AW286" i="4"/>
  <c r="AX96" i="2" s="1"/>
  <c r="AV286" i="4"/>
  <c r="AW96" i="2" s="1"/>
  <c r="AU286" i="4"/>
  <c r="AV96" i="2" s="1"/>
  <c r="AT286" i="4"/>
  <c r="AU96" i="2" s="1"/>
  <c r="AS286" i="4"/>
  <c r="AT96" i="2" s="1"/>
  <c r="AR286" i="4"/>
  <c r="AS96" i="2" s="1"/>
  <c r="AQ286" i="4"/>
  <c r="AR96" i="2" s="1"/>
  <c r="AP286" i="4"/>
  <c r="AQ96" i="2" s="1"/>
  <c r="AO286" i="4"/>
  <c r="AP96" i="2" s="1"/>
  <c r="AN286" i="4"/>
  <c r="AO96" i="2" s="1"/>
  <c r="AM286" i="4"/>
  <c r="AN96" i="2" s="1"/>
  <c r="AL286" i="4"/>
  <c r="AM96" i="2" s="1"/>
  <c r="AK286" i="4"/>
  <c r="AL96" i="2" s="1"/>
  <c r="AJ286" i="4"/>
  <c r="AK96" i="2" s="1"/>
  <c r="AI286" i="4"/>
  <c r="AJ96" i="2" s="1"/>
  <c r="AH286" i="4"/>
  <c r="AI96" i="2" s="1"/>
  <c r="AG286" i="4"/>
  <c r="AH96" i="2" s="1"/>
  <c r="AF286" i="4"/>
  <c r="AG96" i="2" s="1"/>
  <c r="AE286" i="4"/>
  <c r="AF96" i="2" s="1"/>
  <c r="BG286" i="4"/>
  <c r="BH96" i="2" s="1"/>
  <c r="BH286" i="4"/>
  <c r="BI96" i="2" s="1"/>
  <c r="BI286" i="4"/>
  <c r="BJ96" i="2" s="1"/>
  <c r="BJ286" i="4"/>
  <c r="BK96" i="2" s="1"/>
  <c r="M75" i="4"/>
  <c r="N75" i="4" s="1"/>
  <c r="BJ285" i="4"/>
  <c r="BK24" i="2" s="1"/>
  <c r="BI285" i="4"/>
  <c r="BJ24" i="2" s="1"/>
  <c r="BH285" i="4"/>
  <c r="BI24" i="2" s="1"/>
  <c r="BG285" i="4"/>
  <c r="BH24" i="2" s="1"/>
  <c r="BF285" i="4"/>
  <c r="BG24" i="2" s="1"/>
  <c r="BE285" i="4"/>
  <c r="BF24" i="2" s="1"/>
  <c r="BD285" i="4"/>
  <c r="BE24" i="2" s="1"/>
  <c r="BC285" i="4"/>
  <c r="BD24" i="2" s="1"/>
  <c r="BB285" i="4"/>
  <c r="BC24" i="2" s="1"/>
  <c r="BA285" i="4"/>
  <c r="BB24" i="2" s="1"/>
  <c r="AZ285" i="4"/>
  <c r="BA24" i="2" s="1"/>
  <c r="AY285" i="4"/>
  <c r="AZ24" i="2" s="1"/>
  <c r="AU285" i="4"/>
  <c r="AV24" i="2" s="1"/>
  <c r="AV285" i="4"/>
  <c r="AW24" i="2" s="1"/>
  <c r="AW285" i="4"/>
  <c r="AX24" i="2" s="1"/>
  <c r="M74" i="4"/>
  <c r="N74" i="4" s="1"/>
  <c r="BB284" i="4"/>
  <c r="BC294" i="2" s="1"/>
  <c r="BH284" i="4"/>
  <c r="BI294" i="2" s="1"/>
  <c r="BC284" i="4"/>
  <c r="BD294" i="2" s="1"/>
  <c r="BD284" i="4"/>
  <c r="BE294" i="2" s="1"/>
  <c r="BE284" i="4"/>
  <c r="BF294" i="2" s="1"/>
  <c r="BF284" i="4"/>
  <c r="BG294" i="2" s="1"/>
  <c r="BG284" i="4"/>
  <c r="BH294" i="2" s="1"/>
  <c r="BI284" i="4"/>
  <c r="BJ294" i="2" s="1"/>
  <c r="BJ284" i="4"/>
  <c r="BK294" i="2" s="1"/>
  <c r="M73" i="4"/>
  <c r="N73" i="4" s="1"/>
  <c r="AF256" i="4"/>
  <c r="AG282" i="2" s="1"/>
  <c r="AG256" i="4"/>
  <c r="AH282" i="2" s="1"/>
  <c r="AH256" i="4"/>
  <c r="AI282" i="2" s="1"/>
  <c r="AS256" i="4"/>
  <c r="AT282" i="2" s="1"/>
  <c r="Y256" i="4"/>
  <c r="Z282" i="2" s="1"/>
  <c r="D256" i="4"/>
  <c r="E282" i="2" s="1"/>
  <c r="AU256" i="4"/>
  <c r="AV282" i="2" s="1"/>
  <c r="AT256" i="4"/>
  <c r="AU282" i="2" s="1"/>
  <c r="O256" i="4"/>
  <c r="P282" i="2" s="1"/>
  <c r="P256" i="4"/>
  <c r="Q282" i="2" s="1"/>
  <c r="Q256" i="4"/>
  <c r="R282" i="2" s="1"/>
  <c r="R256" i="4"/>
  <c r="S282" i="2" s="1"/>
  <c r="S256" i="4"/>
  <c r="C256" i="4"/>
  <c r="U256" i="4"/>
  <c r="V282" i="2" s="1"/>
  <c r="AI256" i="4"/>
  <c r="AJ282" i="2" s="1"/>
  <c r="V256" i="4"/>
  <c r="W282" i="2" s="1"/>
  <c r="W256" i="4"/>
  <c r="X282" i="2" s="1"/>
  <c r="X256" i="4"/>
  <c r="Y282" i="2" s="1"/>
  <c r="T256" i="4"/>
  <c r="Z256" i="4"/>
  <c r="AA282" i="2" s="1"/>
  <c r="M256" i="4"/>
  <c r="N282" i="2" s="1"/>
  <c r="AA256" i="4"/>
  <c r="AB282" i="2" s="1"/>
  <c r="AB256" i="4"/>
  <c r="AC282" i="2" s="1"/>
  <c r="AC256" i="4"/>
  <c r="AD282" i="2" s="1"/>
  <c r="AD256" i="4"/>
  <c r="AE282" i="2" s="1"/>
  <c r="AE256" i="4"/>
  <c r="AF282" i="2" s="1"/>
  <c r="AV256" i="4"/>
  <c r="AW282" i="2" s="1"/>
  <c r="E256" i="4"/>
  <c r="F282" i="2" s="1"/>
  <c r="AR256" i="4"/>
  <c r="AS282" i="2" s="1"/>
  <c r="AQ256" i="4"/>
  <c r="AR282" i="2" s="1"/>
  <c r="AO256" i="4"/>
  <c r="AP282" i="2" s="1"/>
  <c r="AP256" i="4"/>
  <c r="AQ282" i="2" s="1"/>
  <c r="AN256" i="4"/>
  <c r="AO282" i="2" s="1"/>
  <c r="AM256" i="4"/>
  <c r="AN282" i="2" s="1"/>
  <c r="AL256" i="4"/>
  <c r="AM282" i="2" s="1"/>
  <c r="AK256" i="4"/>
  <c r="AL282" i="2" s="1"/>
  <c r="AJ256" i="4"/>
  <c r="AK282" i="2" s="1"/>
  <c r="AY255" i="4"/>
  <c r="AZ279" i="2" s="1"/>
  <c r="AZ255" i="4"/>
  <c r="BA279" i="2" s="1"/>
  <c r="BA255" i="4"/>
  <c r="BB279" i="2" s="1"/>
  <c r="BB255" i="4"/>
  <c r="BC279" i="2" s="1"/>
  <c r="BC255" i="4"/>
  <c r="BD279" i="2" s="1"/>
  <c r="BD255" i="4"/>
  <c r="BE279" i="2" s="1"/>
  <c r="BE255" i="4"/>
  <c r="BF279" i="2" s="1"/>
  <c r="BF255" i="4"/>
  <c r="BG279" i="2" s="1"/>
  <c r="BG255" i="4"/>
  <c r="BH279" i="2" s="1"/>
  <c r="BH255" i="4"/>
  <c r="BI279" i="2" s="1"/>
  <c r="BI255" i="4"/>
  <c r="BJ279" i="2" s="1"/>
  <c r="BJ255" i="4"/>
  <c r="BK279" i="2" s="1"/>
  <c r="AW255" i="4"/>
  <c r="AX279" i="2" s="1"/>
  <c r="AS255" i="4"/>
  <c r="AT279" i="2" s="1"/>
  <c r="Y255" i="4"/>
  <c r="Z279" i="2" s="1"/>
  <c r="Z255" i="4"/>
  <c r="AA279" i="2" s="1"/>
  <c r="AA255" i="4"/>
  <c r="AB279" i="2" s="1"/>
  <c r="AB255" i="4"/>
  <c r="AC279" i="2" s="1"/>
  <c r="AC255" i="4"/>
  <c r="AD279" i="2" s="1"/>
  <c r="AD255" i="4"/>
  <c r="AE279" i="2" s="1"/>
  <c r="AE255" i="4"/>
  <c r="AF279" i="2" s="1"/>
  <c r="AF255" i="4"/>
  <c r="AG279" i="2" s="1"/>
  <c r="AG255" i="4"/>
  <c r="AH279" i="2" s="1"/>
  <c r="AH255" i="4"/>
  <c r="AI279" i="2" s="1"/>
  <c r="AI255" i="4"/>
  <c r="AJ279" i="2" s="1"/>
  <c r="AJ255" i="4"/>
  <c r="AK279" i="2" s="1"/>
  <c r="AK255" i="4"/>
  <c r="AL279" i="2" s="1"/>
  <c r="AL255" i="4"/>
  <c r="AM279" i="2" s="1"/>
  <c r="AM255" i="4"/>
  <c r="AN279" i="2" s="1"/>
  <c r="AN255" i="4"/>
  <c r="AO279" i="2" s="1"/>
  <c r="AO255" i="4"/>
  <c r="AP279" i="2" s="1"/>
  <c r="AP255" i="4"/>
  <c r="AQ279" i="2" s="1"/>
  <c r="AQ255" i="4"/>
  <c r="AR279" i="2" s="1"/>
  <c r="AR255" i="4"/>
  <c r="AS279" i="2" s="1"/>
  <c r="AT255" i="4"/>
  <c r="AU279" i="2" s="1"/>
  <c r="AU255" i="4"/>
  <c r="AV279" i="2" s="1"/>
  <c r="AV255" i="4"/>
  <c r="AW279" i="2" s="1"/>
  <c r="AX255" i="4"/>
  <c r="AY279" i="2" s="1"/>
  <c r="Z254" i="4"/>
  <c r="AA156" i="2" s="1"/>
  <c r="BI254" i="4"/>
  <c r="BJ156" i="2" s="1"/>
  <c r="N254" i="4"/>
  <c r="O254" i="4"/>
  <c r="P254" i="4"/>
  <c r="Q254" i="4"/>
  <c r="R156" i="2" s="1"/>
  <c r="E254" i="4"/>
  <c r="F156" i="2" s="1"/>
  <c r="R254" i="4"/>
  <c r="S156" i="2" s="1"/>
  <c r="S254" i="4"/>
  <c r="T156" i="2" s="1"/>
  <c r="T254" i="4"/>
  <c r="U156" i="2" s="1"/>
  <c r="U254" i="4"/>
  <c r="V156" i="2" s="1"/>
  <c r="V254" i="4"/>
  <c r="W156" i="2" s="1"/>
  <c r="W254" i="4"/>
  <c r="X156" i="2" s="1"/>
  <c r="X254" i="4"/>
  <c r="Y156" i="2" s="1"/>
  <c r="Y254" i="4"/>
  <c r="Z156" i="2" s="1"/>
  <c r="H254" i="4"/>
  <c r="I156" i="2" s="1"/>
  <c r="AA254" i="4"/>
  <c r="AB156" i="2" s="1"/>
  <c r="AB254" i="4"/>
  <c r="AC156" i="2" s="1"/>
  <c r="AC254" i="4"/>
  <c r="AD156" i="2" s="1"/>
  <c r="AD254" i="4"/>
  <c r="AE156" i="2" s="1"/>
  <c r="AE254" i="4"/>
  <c r="AF156" i="2" s="1"/>
  <c r="AG254" i="4"/>
  <c r="AH156" i="2" s="1"/>
  <c r="AH254" i="4"/>
  <c r="AI156" i="2" s="1"/>
  <c r="AI254" i="4"/>
  <c r="AJ156" i="2" s="1"/>
  <c r="AJ254" i="4"/>
  <c r="AK156" i="2" s="1"/>
  <c r="AF254" i="4"/>
  <c r="AG156" i="2" s="1"/>
  <c r="AK254" i="4"/>
  <c r="AL156" i="2" s="1"/>
  <c r="AL254" i="4"/>
  <c r="AM156" i="2" s="1"/>
  <c r="AM254" i="4"/>
  <c r="AN156" i="2" s="1"/>
  <c r="AN254" i="4"/>
  <c r="AO156" i="2" s="1"/>
  <c r="AO254" i="4"/>
  <c r="AP156" i="2" s="1"/>
  <c r="AP254" i="4"/>
  <c r="AQ156" i="2" s="1"/>
  <c r="AQ254" i="4"/>
  <c r="AR156" i="2" s="1"/>
  <c r="AR254" i="4"/>
  <c r="AS156" i="2" s="1"/>
  <c r="AS254" i="4"/>
  <c r="AT156" i="2" s="1"/>
  <c r="AT254" i="4"/>
  <c r="AU156" i="2" s="1"/>
  <c r="AU254" i="4"/>
  <c r="AV156" i="2" s="1"/>
  <c r="AZ254" i="4"/>
  <c r="BA156" i="2" s="1"/>
  <c r="F254" i="4"/>
  <c r="G156" i="2" s="1"/>
  <c r="G254" i="4"/>
  <c r="H156" i="2" s="1"/>
  <c r="I254" i="4"/>
  <c r="J156" i="2" s="1"/>
  <c r="J254" i="4"/>
  <c r="K156" i="2" s="1"/>
  <c r="K254" i="4"/>
  <c r="L156" i="2" s="1"/>
  <c r="L254" i="4"/>
  <c r="M156" i="2" s="1"/>
  <c r="M254" i="4"/>
  <c r="V253" i="4"/>
  <c r="W189" i="2" s="1"/>
  <c r="U253" i="4"/>
  <c r="V189" i="2" s="1"/>
  <c r="S253" i="4"/>
  <c r="T189" i="2" s="1"/>
  <c r="T253" i="4"/>
  <c r="U189" i="2" s="1"/>
  <c r="AR252" i="4"/>
  <c r="AS81" i="2" s="1"/>
  <c r="S252" i="4"/>
  <c r="T81" i="2" s="1"/>
  <c r="U252" i="4"/>
  <c r="V81" i="2" s="1"/>
  <c r="T252" i="4"/>
  <c r="U81" i="2" s="1"/>
  <c r="R252" i="4"/>
  <c r="S81" i="2" s="1"/>
  <c r="Q252" i="4"/>
  <c r="R81" i="2" s="1"/>
  <c r="L252" i="4"/>
  <c r="M81" i="2" s="1"/>
  <c r="P252" i="4"/>
  <c r="Q81" i="2" s="1"/>
  <c r="K252" i="4"/>
  <c r="L81" i="2" s="1"/>
  <c r="J252" i="4"/>
  <c r="K81" i="2" s="1"/>
  <c r="O252" i="4"/>
  <c r="P81" i="2" s="1"/>
  <c r="N252" i="4"/>
  <c r="O81" i="2" s="1"/>
  <c r="M252" i="4"/>
  <c r="N81" i="2" s="1"/>
  <c r="V252" i="4"/>
  <c r="W81" i="2" s="1"/>
  <c r="W252" i="4"/>
  <c r="X81" i="2" s="1"/>
  <c r="X252" i="4"/>
  <c r="Y81" i="2" s="1"/>
  <c r="Y252" i="4"/>
  <c r="Z81" i="2" s="1"/>
  <c r="Z252" i="4"/>
  <c r="AA81" i="2" s="1"/>
  <c r="AA252" i="4"/>
  <c r="AB81" i="2" s="1"/>
  <c r="AB252" i="4"/>
  <c r="AC81" i="2" s="1"/>
  <c r="AC252" i="4"/>
  <c r="AD81" i="2" s="1"/>
  <c r="AD252" i="4"/>
  <c r="AE81" i="2" s="1"/>
  <c r="AE252" i="4"/>
  <c r="AF81" i="2" s="1"/>
  <c r="AF252" i="4"/>
  <c r="AG81" i="2" s="1"/>
  <c r="AG252" i="4"/>
  <c r="AH81" i="2" s="1"/>
  <c r="AH252" i="4"/>
  <c r="AI81" i="2" s="1"/>
  <c r="AI252" i="4"/>
  <c r="AJ81" i="2" s="1"/>
  <c r="AJ252" i="4"/>
  <c r="AK81" i="2" s="1"/>
  <c r="AK252" i="4"/>
  <c r="AL81" i="2" s="1"/>
  <c r="AL252" i="4"/>
  <c r="AM81" i="2" s="1"/>
  <c r="AM252" i="4"/>
  <c r="AN81" i="2" s="1"/>
  <c r="AN252" i="4"/>
  <c r="AO81" i="2" s="1"/>
  <c r="D252" i="4"/>
  <c r="AQ252" i="4"/>
  <c r="AR81" i="2" s="1"/>
  <c r="AS252" i="4"/>
  <c r="AT81" i="2" s="1"/>
  <c r="AT252" i="4"/>
  <c r="AU81" i="2" s="1"/>
  <c r="AU252" i="4"/>
  <c r="AV81" i="2" s="1"/>
  <c r="AV252" i="4"/>
  <c r="AW81" i="2" s="1"/>
  <c r="AW252" i="4"/>
  <c r="AX81" i="2" s="1"/>
  <c r="AX252" i="4"/>
  <c r="AY81" i="2" s="1"/>
  <c r="AP252" i="4"/>
  <c r="AQ81" i="2" s="1"/>
  <c r="M41" i="4"/>
  <c r="N41" i="4" s="1"/>
  <c r="BA251" i="4"/>
  <c r="BB18" i="2" s="1"/>
  <c r="AZ251" i="4"/>
  <c r="BA18" i="2" s="1"/>
  <c r="AY251" i="4"/>
  <c r="AZ18" i="2" s="1"/>
  <c r="AX251" i="4"/>
  <c r="AY18" i="2" s="1"/>
  <c r="AW251" i="4"/>
  <c r="AX18" i="2" s="1"/>
  <c r="AV251" i="4"/>
  <c r="AW18" i="2" s="1"/>
  <c r="AU251" i="4"/>
  <c r="AV18" i="2" s="1"/>
  <c r="AT251" i="4"/>
  <c r="AU18" i="2" s="1"/>
  <c r="BJ251" i="4"/>
  <c r="BK18" i="2" s="1"/>
  <c r="M40" i="4"/>
  <c r="N40" i="4" s="1"/>
  <c r="BH251" i="4"/>
  <c r="BI18" i="2" s="1"/>
  <c r="Y251" i="4"/>
  <c r="Z18" i="2" s="1"/>
  <c r="X251" i="4"/>
  <c r="Y18" i="2" s="1"/>
  <c r="W251" i="4"/>
  <c r="X18" i="2" s="1"/>
  <c r="BD251" i="4"/>
  <c r="BE18" i="2" s="1"/>
  <c r="U251" i="4"/>
  <c r="V18" i="2" s="1"/>
  <c r="T251" i="4"/>
  <c r="U18" i="2" s="1"/>
  <c r="S251" i="4"/>
  <c r="T18" i="2" s="1"/>
  <c r="R251" i="4"/>
  <c r="S18" i="2" s="1"/>
  <c r="Q251" i="4"/>
  <c r="R18" i="2" s="1"/>
  <c r="P251" i="4"/>
  <c r="Q18" i="2" s="1"/>
  <c r="O251" i="4"/>
  <c r="P18" i="2" s="1"/>
  <c r="N251" i="4"/>
  <c r="O18" i="2" s="1"/>
  <c r="M251" i="4"/>
  <c r="N18" i="2" s="1"/>
  <c r="L251" i="4"/>
  <c r="M18" i="2" s="1"/>
  <c r="K251" i="4"/>
  <c r="L18" i="2" s="1"/>
  <c r="J251" i="4"/>
  <c r="K18" i="2" s="1"/>
  <c r="I251" i="4"/>
  <c r="J18" i="2" s="1"/>
  <c r="H251" i="4"/>
  <c r="I18" i="2" s="1"/>
  <c r="G251" i="4"/>
  <c r="H18" i="2" s="1"/>
  <c r="F251" i="4"/>
  <c r="G18" i="2" s="1"/>
  <c r="E251" i="4"/>
  <c r="D251" i="4"/>
  <c r="C251" i="4"/>
  <c r="BI251" i="4"/>
  <c r="BJ18" i="2" s="1"/>
  <c r="BF251" i="4"/>
  <c r="BG18" i="2" s="1"/>
  <c r="BE251" i="4"/>
  <c r="BF18" i="2" s="1"/>
  <c r="BC251" i="4"/>
  <c r="BD18" i="2" s="1"/>
  <c r="BB251" i="4"/>
  <c r="BC18" i="2" s="1"/>
  <c r="BG251" i="4"/>
  <c r="BH18" i="2" s="1"/>
  <c r="AN251" i="4"/>
  <c r="AO18" i="2" s="1"/>
  <c r="AO251" i="4"/>
  <c r="AP18" i="2" s="1"/>
  <c r="AM251" i="4"/>
  <c r="AN18" i="2" s="1"/>
  <c r="AL251" i="4"/>
  <c r="AM18" i="2" s="1"/>
  <c r="AK251" i="4"/>
  <c r="AL18" i="2" s="1"/>
  <c r="AJ251" i="4"/>
  <c r="AK18" i="2" s="1"/>
  <c r="AI251" i="4"/>
  <c r="AJ18" i="2" s="1"/>
  <c r="V251" i="4"/>
  <c r="W18" i="2" s="1"/>
  <c r="AH251" i="4"/>
  <c r="AI18" i="2" s="1"/>
  <c r="AG251" i="4"/>
  <c r="AH18" i="2" s="1"/>
  <c r="AF251" i="4"/>
  <c r="AG18" i="2" s="1"/>
  <c r="AE251" i="4"/>
  <c r="AF18" i="2" s="1"/>
  <c r="AD251" i="4"/>
  <c r="AE18" i="2" s="1"/>
  <c r="AC251" i="4"/>
  <c r="AD18" i="2" s="1"/>
  <c r="AB251" i="4"/>
  <c r="AC18" i="2" s="1"/>
  <c r="AA251" i="4"/>
  <c r="AB18" i="2" s="1"/>
  <c r="Z251" i="4"/>
  <c r="AA18" i="2" s="1"/>
  <c r="BH250" i="4"/>
  <c r="BI135" i="2" s="1"/>
  <c r="BI250" i="4"/>
  <c r="BJ135" i="2" s="1"/>
  <c r="BJ250" i="4"/>
  <c r="BK135" i="2" s="1"/>
  <c r="AR250" i="4"/>
  <c r="AS135" i="2" s="1"/>
  <c r="AX250" i="4"/>
  <c r="AY135" i="2" s="1"/>
  <c r="F250" i="4"/>
  <c r="G135" i="2" s="1"/>
  <c r="E250" i="4"/>
  <c r="F135" i="2" s="1"/>
  <c r="AW250" i="4"/>
  <c r="AX135" i="2" s="1"/>
  <c r="M39" i="4"/>
  <c r="N39" i="4" s="1"/>
  <c r="BA250" i="4"/>
  <c r="BB135" i="2" s="1"/>
  <c r="AY250" i="4"/>
  <c r="AZ135" i="2" s="1"/>
  <c r="AZ250" i="4"/>
  <c r="BA135" i="2" s="1"/>
  <c r="BB250" i="4"/>
  <c r="BC135" i="2" s="1"/>
  <c r="BC250" i="4"/>
  <c r="BD135" i="2" s="1"/>
  <c r="BD250" i="4"/>
  <c r="BE135" i="2" s="1"/>
  <c r="BE250" i="4"/>
  <c r="BF135" i="2" s="1"/>
  <c r="BF250" i="4"/>
  <c r="BG135" i="2" s="1"/>
  <c r="BG250" i="4"/>
  <c r="BH135" i="2" s="1"/>
  <c r="M38" i="4"/>
  <c r="N38" i="4" s="1"/>
  <c r="AK249" i="4"/>
  <c r="AL15" i="2" s="1"/>
  <c r="AJ249" i="4"/>
  <c r="AK15" i="2" s="1"/>
  <c r="AI249" i="4"/>
  <c r="AJ15" i="2" s="1"/>
  <c r="AH249" i="4"/>
  <c r="AI15" i="2" s="1"/>
  <c r="AG249" i="4"/>
  <c r="AH15" i="2" s="1"/>
  <c r="AF249" i="4"/>
  <c r="AG15" i="2" s="1"/>
  <c r="AE249" i="4"/>
  <c r="AF15" i="2" s="1"/>
  <c r="AD249" i="4"/>
  <c r="AE15" i="2" s="1"/>
  <c r="AC249" i="4"/>
  <c r="AD15" i="2" s="1"/>
  <c r="AB249" i="4"/>
  <c r="AC15" i="2" s="1"/>
  <c r="AA249" i="4"/>
  <c r="AB15" i="2" s="1"/>
  <c r="Z249" i="4"/>
  <c r="AA15" i="2" s="1"/>
  <c r="Y249" i="4"/>
  <c r="Z15" i="2" s="1"/>
  <c r="X249" i="4"/>
  <c r="Y15" i="2" s="1"/>
  <c r="W249" i="4"/>
  <c r="X15" i="2" s="1"/>
  <c r="V249" i="4"/>
  <c r="W15" i="2" s="1"/>
  <c r="U249" i="4"/>
  <c r="V15" i="2" s="1"/>
  <c r="T249" i="4"/>
  <c r="U15" i="2" s="1"/>
  <c r="J249" i="4"/>
  <c r="K15" i="2" s="1"/>
  <c r="I249" i="4"/>
  <c r="J15" i="2" s="1"/>
  <c r="H249" i="4"/>
  <c r="I15" i="2" s="1"/>
  <c r="G249" i="4"/>
  <c r="H15" i="2" s="1"/>
  <c r="R249" i="4"/>
  <c r="S15" i="2" s="1"/>
  <c r="E249" i="4"/>
  <c r="F15" i="2" s="1"/>
  <c r="D249" i="4"/>
  <c r="C249" i="4"/>
  <c r="Q249" i="4"/>
  <c r="R15" i="2" s="1"/>
  <c r="P249" i="4"/>
  <c r="Q15" i="2" s="1"/>
  <c r="S249" i="4"/>
  <c r="T15" i="2" s="1"/>
  <c r="O249" i="4"/>
  <c r="P15" i="2" s="1"/>
  <c r="N249" i="4"/>
  <c r="O15" i="2" s="1"/>
  <c r="M249" i="4"/>
  <c r="N15" i="2" s="1"/>
  <c r="L249" i="4"/>
  <c r="M15" i="2" s="1"/>
  <c r="K249" i="4"/>
  <c r="L15" i="2" s="1"/>
  <c r="F249" i="4"/>
  <c r="G15" i="2" s="1"/>
  <c r="R248" i="4"/>
  <c r="S129" i="2" s="1"/>
  <c r="Q248" i="4"/>
  <c r="R129" i="2" s="1"/>
  <c r="BG248" i="4"/>
  <c r="BH129" i="2" s="1"/>
  <c r="O248" i="4"/>
  <c r="P129" i="2" s="1"/>
  <c r="N248" i="4"/>
  <c r="O129" i="2" s="1"/>
  <c r="M248" i="4"/>
  <c r="N129" i="2" s="1"/>
  <c r="L248" i="4"/>
  <c r="M129" i="2" s="1"/>
  <c r="K248" i="4"/>
  <c r="L129" i="2" s="1"/>
  <c r="J248" i="4"/>
  <c r="K129" i="2" s="1"/>
  <c r="I248" i="4"/>
  <c r="H248" i="4"/>
  <c r="G248" i="4"/>
  <c r="H129" i="2" s="1"/>
  <c r="F248" i="4"/>
  <c r="G129" i="2" s="1"/>
  <c r="D248" i="4"/>
  <c r="E129" i="2" s="1"/>
  <c r="C248" i="4"/>
  <c r="AJ248" i="4"/>
  <c r="AK129" i="2" s="1"/>
  <c r="BH248" i="4"/>
  <c r="BI129" i="2" s="1"/>
  <c r="BI248" i="4"/>
  <c r="BJ129" i="2" s="1"/>
  <c r="BJ248" i="4"/>
  <c r="BK129" i="2" s="1"/>
  <c r="M37" i="4"/>
  <c r="N37" i="4" s="1"/>
  <c r="AI248" i="4"/>
  <c r="AJ129" i="2" s="1"/>
  <c r="AH248" i="4"/>
  <c r="AI129" i="2" s="1"/>
  <c r="AG248" i="4"/>
  <c r="AH129" i="2" s="1"/>
  <c r="AF248" i="4"/>
  <c r="AG129" i="2" s="1"/>
  <c r="AE248" i="4"/>
  <c r="AF129" i="2" s="1"/>
  <c r="AD248" i="4"/>
  <c r="AE129" i="2" s="1"/>
  <c r="AC248" i="4"/>
  <c r="AD129" i="2" s="1"/>
  <c r="AB248" i="4"/>
  <c r="AC129" i="2" s="1"/>
  <c r="AA248" i="4"/>
  <c r="AB129" i="2" s="1"/>
  <c r="Z248" i="4"/>
  <c r="AA129" i="2" s="1"/>
  <c r="Y248" i="4"/>
  <c r="Z129" i="2" s="1"/>
  <c r="X248" i="4"/>
  <c r="Y129" i="2" s="1"/>
  <c r="W248" i="4"/>
  <c r="X129" i="2" s="1"/>
  <c r="V248" i="4"/>
  <c r="W129" i="2" s="1"/>
  <c r="U248" i="4"/>
  <c r="V129" i="2" s="1"/>
  <c r="T248" i="4"/>
  <c r="U129" i="2" s="1"/>
  <c r="S248" i="4"/>
  <c r="T129" i="2" s="1"/>
  <c r="AQ247" i="4"/>
  <c r="AR12" i="2" s="1"/>
  <c r="AR247" i="4"/>
  <c r="AS12" i="2" s="1"/>
  <c r="AS247" i="4"/>
  <c r="AT12" i="2" s="1"/>
  <c r="AT247" i="4"/>
  <c r="AU12" i="2" s="1"/>
  <c r="AU247" i="4"/>
  <c r="AV12" i="2" s="1"/>
  <c r="AV247" i="4"/>
  <c r="AW12" i="2" s="1"/>
  <c r="AW247" i="4"/>
  <c r="AX12" i="2" s="1"/>
  <c r="AX247" i="4"/>
  <c r="AY12" i="2" s="1"/>
  <c r="AY247" i="4"/>
  <c r="AZ12" i="2" s="1"/>
  <c r="AZ247" i="4"/>
  <c r="BA12" i="2" s="1"/>
  <c r="BA247" i="4"/>
  <c r="BB12" i="2" s="1"/>
  <c r="BB247" i="4"/>
  <c r="BC12" i="2" s="1"/>
  <c r="BC247" i="4"/>
  <c r="BD12" i="2" s="1"/>
  <c r="BD247" i="4"/>
  <c r="BE12" i="2" s="1"/>
  <c r="BE247" i="4"/>
  <c r="BF12" i="2" s="1"/>
  <c r="BF247" i="4"/>
  <c r="BG12" i="2" s="1"/>
  <c r="AL247" i="4"/>
  <c r="AM12" i="2" s="1"/>
  <c r="BG247" i="4"/>
  <c r="BH12" i="2" s="1"/>
  <c r="BH247" i="4"/>
  <c r="BI12" i="2" s="1"/>
  <c r="BI247" i="4"/>
  <c r="BJ12" i="2" s="1"/>
  <c r="BJ247" i="4"/>
  <c r="BK12" i="2" s="1"/>
  <c r="J247" i="4"/>
  <c r="AG247" i="4"/>
  <c r="AH12" i="2" s="1"/>
  <c r="AH247" i="4"/>
  <c r="AI12" i="2" s="1"/>
  <c r="AI247" i="4"/>
  <c r="AJ12" i="2" s="1"/>
  <c r="AJ247" i="4"/>
  <c r="AK12" i="2" s="1"/>
  <c r="AK247" i="4"/>
  <c r="AL12" i="2" s="1"/>
  <c r="AM247" i="4"/>
  <c r="AN12" i="2" s="1"/>
  <c r="AN247" i="4"/>
  <c r="AO12" i="2" s="1"/>
  <c r="AO247" i="4"/>
  <c r="AP12" i="2" s="1"/>
  <c r="AP247" i="4"/>
  <c r="AQ12" i="2" s="1"/>
  <c r="AG244" i="4"/>
  <c r="AH9" i="2" s="1"/>
  <c r="AI244" i="4"/>
  <c r="AJ9" i="2" s="1"/>
  <c r="AJ244" i="4"/>
  <c r="AK9" i="2" s="1"/>
  <c r="AM244" i="4"/>
  <c r="AN9" i="2" s="1"/>
  <c r="AO244" i="4"/>
  <c r="AP9" i="2" s="1"/>
  <c r="AQ244" i="4"/>
  <c r="AR9" i="2" s="1"/>
  <c r="AS244" i="4"/>
  <c r="AT9" i="2" s="1"/>
  <c r="AU244" i="4"/>
  <c r="AV9" i="2" s="1"/>
  <c r="AW244" i="4"/>
  <c r="AX9" i="2" s="1"/>
  <c r="AZ244" i="4"/>
  <c r="BA9" i="2" s="1"/>
  <c r="BB244" i="4"/>
  <c r="BC9" i="2" s="1"/>
  <c r="BD244" i="4"/>
  <c r="BE9" i="2" s="1"/>
  <c r="BF244" i="4"/>
  <c r="BG9" i="2" s="1"/>
  <c r="BH244" i="4"/>
  <c r="BI9" i="2" s="1"/>
  <c r="BJ244" i="4"/>
  <c r="BK9" i="2" s="1"/>
  <c r="T244" i="4"/>
  <c r="U9" i="2" s="1"/>
  <c r="W244" i="4"/>
  <c r="X9" i="2" s="1"/>
  <c r="AA244" i="4"/>
  <c r="AB9" i="2" s="1"/>
  <c r="AC244" i="4"/>
  <c r="AD9" i="2" s="1"/>
  <c r="AE244" i="4"/>
  <c r="AF9" i="2" s="1"/>
  <c r="N244" i="4"/>
  <c r="O9" i="2" s="1"/>
  <c r="P244" i="4"/>
  <c r="Q9" i="2" s="1"/>
  <c r="S244" i="4"/>
  <c r="T9" i="2" s="1"/>
  <c r="U244" i="4"/>
  <c r="V9" i="2" s="1"/>
  <c r="V244" i="4"/>
  <c r="W9" i="2" s="1"/>
  <c r="X244" i="4"/>
  <c r="Y9" i="2" s="1"/>
  <c r="Z244" i="4"/>
  <c r="AA9" i="2" s="1"/>
  <c r="AB244" i="4"/>
  <c r="AC9" i="2" s="1"/>
  <c r="AD244" i="4"/>
  <c r="AE9" i="2" s="1"/>
  <c r="AF244" i="4"/>
  <c r="AG9" i="2" s="1"/>
  <c r="AH244" i="4"/>
  <c r="AI9" i="2" s="1"/>
  <c r="AK244" i="4"/>
  <c r="AL9" i="2" s="1"/>
  <c r="AN244" i="4"/>
  <c r="AO9" i="2" s="1"/>
  <c r="AP244" i="4"/>
  <c r="AQ9" i="2" s="1"/>
  <c r="AR244" i="4"/>
  <c r="AS9" i="2" s="1"/>
  <c r="AT244" i="4"/>
  <c r="AU9" i="2" s="1"/>
  <c r="AV244" i="4"/>
  <c r="AW9" i="2" s="1"/>
  <c r="AX244" i="4"/>
  <c r="AY9" i="2" s="1"/>
  <c r="AY244" i="4"/>
  <c r="AZ9" i="2" s="1"/>
  <c r="BA244" i="4"/>
  <c r="BB9" i="2" s="1"/>
  <c r="BC244" i="4"/>
  <c r="BD9" i="2" s="1"/>
  <c r="BE244" i="4"/>
  <c r="BF9" i="2" s="1"/>
  <c r="BG244" i="4"/>
  <c r="BH9" i="2" s="1"/>
  <c r="BI244" i="4"/>
  <c r="BJ9" i="2" s="1"/>
  <c r="Y244" i="4"/>
  <c r="Z9" i="2" s="1"/>
  <c r="M244" i="4"/>
  <c r="N9" i="2" s="1"/>
  <c r="O244" i="4"/>
  <c r="P9" i="2" s="1"/>
  <c r="Q244" i="4"/>
  <c r="R9" i="2" s="1"/>
  <c r="R244" i="4"/>
  <c r="S9" i="2" s="1"/>
  <c r="AB243" i="4"/>
  <c r="AC45" i="2" s="1"/>
  <c r="Y243" i="4"/>
  <c r="Z45" i="2" s="1"/>
  <c r="AT243" i="4"/>
  <c r="AU45" i="2" s="1"/>
  <c r="BB243" i="4"/>
  <c r="BC45" i="2" s="1"/>
  <c r="BA243" i="4"/>
  <c r="BB45" i="2" s="1"/>
  <c r="AM243" i="4"/>
  <c r="AN45" i="2" s="1"/>
  <c r="AL243" i="4"/>
  <c r="AM45" i="2" s="1"/>
  <c r="AK243" i="4"/>
  <c r="AL45" i="2" s="1"/>
  <c r="AJ243" i="4"/>
  <c r="AK45" i="2" s="1"/>
  <c r="AI243" i="4"/>
  <c r="AJ45" i="2" s="1"/>
  <c r="AH243" i="4"/>
  <c r="AI45" i="2" s="1"/>
  <c r="AG243" i="4"/>
  <c r="AH45" i="2" s="1"/>
  <c r="AF243" i="4"/>
  <c r="AG45" i="2" s="1"/>
  <c r="AE243" i="4"/>
  <c r="AF45" i="2" s="1"/>
  <c r="T243" i="4"/>
  <c r="U45" i="2" s="1"/>
  <c r="S243" i="4"/>
  <c r="T45" i="2" s="1"/>
  <c r="R243" i="4"/>
  <c r="S45" i="2" s="1"/>
  <c r="Q243" i="4"/>
  <c r="R45" i="2" s="1"/>
  <c r="Z243" i="4"/>
  <c r="AA45" i="2" s="1"/>
  <c r="P243" i="4"/>
  <c r="Q45" i="2" s="1"/>
  <c r="O243" i="4"/>
  <c r="P45" i="2" s="1"/>
  <c r="N243" i="4"/>
  <c r="O45" i="2" s="1"/>
  <c r="M243" i="4"/>
  <c r="N45" i="2" s="1"/>
  <c r="L243" i="4"/>
  <c r="M45" i="2" s="1"/>
  <c r="K243" i="4"/>
  <c r="L45" i="2" s="1"/>
  <c r="J243" i="4"/>
  <c r="K45" i="2" s="1"/>
  <c r="I243" i="4"/>
  <c r="J45" i="2" s="1"/>
  <c r="H243" i="4"/>
  <c r="I45" i="2" s="1"/>
  <c r="G243" i="4"/>
  <c r="H45" i="2" s="1"/>
  <c r="AP243" i="4"/>
  <c r="AQ45" i="2" s="1"/>
  <c r="AQ243" i="4"/>
  <c r="AR45" i="2" s="1"/>
  <c r="AR243" i="4"/>
  <c r="AS45" i="2" s="1"/>
  <c r="BC243" i="4"/>
  <c r="BD45" i="2" s="1"/>
  <c r="AC243" i="4"/>
  <c r="AD45" i="2" s="1"/>
  <c r="C243" i="4"/>
  <c r="D243" i="4"/>
  <c r="F243" i="4"/>
  <c r="G45" i="2" s="1"/>
  <c r="AU243" i="4"/>
  <c r="AV45" i="2" s="1"/>
  <c r="AA243" i="4"/>
  <c r="AB45" i="2" s="1"/>
  <c r="AV243" i="4"/>
  <c r="AW45" i="2" s="1"/>
  <c r="AW243" i="4"/>
  <c r="AX45" i="2" s="1"/>
  <c r="AX243" i="4"/>
  <c r="AY45" i="2" s="1"/>
  <c r="AY243" i="4"/>
  <c r="AZ45" i="2" s="1"/>
  <c r="E243" i="4"/>
  <c r="F45" i="2" s="1"/>
  <c r="AZ243" i="4"/>
  <c r="BA45" i="2" s="1"/>
  <c r="BI243" i="4"/>
  <c r="BJ45" i="2" s="1"/>
  <c r="BJ243" i="4"/>
  <c r="BK45" i="2" s="1"/>
  <c r="U243" i="4"/>
  <c r="V45" i="2" s="1"/>
  <c r="BH243" i="4"/>
  <c r="BI45" i="2" s="1"/>
  <c r="BG243" i="4"/>
  <c r="BH45" i="2" s="1"/>
  <c r="BF243" i="4"/>
  <c r="BG45" i="2" s="1"/>
  <c r="AD243" i="4"/>
  <c r="AE45" i="2" s="1"/>
  <c r="BE243" i="4"/>
  <c r="BF45" i="2" s="1"/>
  <c r="BD243" i="4"/>
  <c r="BE45" i="2" s="1"/>
  <c r="AN243" i="4"/>
  <c r="AO45" i="2" s="1"/>
  <c r="AF242" i="4"/>
  <c r="AG201" i="2" s="1"/>
  <c r="AG242" i="4"/>
  <c r="AH201" i="2" s="1"/>
  <c r="AI242" i="4"/>
  <c r="AJ201" i="2" s="1"/>
  <c r="AJ242" i="4"/>
  <c r="AK201" i="2" s="1"/>
  <c r="AK242" i="4"/>
  <c r="AL201" i="2" s="1"/>
  <c r="AL242" i="4"/>
  <c r="AM201" i="2" s="1"/>
  <c r="AM242" i="4"/>
  <c r="AN201" i="2" s="1"/>
  <c r="AN242" i="4"/>
  <c r="AO201" i="2" s="1"/>
  <c r="AO242" i="4"/>
  <c r="AP201" i="2" s="1"/>
  <c r="AQ242" i="4"/>
  <c r="AR201" i="2" s="1"/>
  <c r="AR242" i="4"/>
  <c r="AS201" i="2" s="1"/>
  <c r="AS242" i="4"/>
  <c r="AT201" i="2" s="1"/>
  <c r="AT242" i="4"/>
  <c r="AU201" i="2" s="1"/>
  <c r="AU242" i="4"/>
  <c r="AV201" i="2" s="1"/>
  <c r="AV242" i="4"/>
  <c r="AW201" i="2" s="1"/>
  <c r="AW242" i="4"/>
  <c r="AX201" i="2" s="1"/>
  <c r="AX242" i="4"/>
  <c r="AY201" i="2" s="1"/>
  <c r="AY242" i="4"/>
  <c r="AZ201" i="2" s="1"/>
  <c r="AZ242" i="4"/>
  <c r="BA201" i="2" s="1"/>
  <c r="BB242" i="4"/>
  <c r="BC201" i="2" s="1"/>
  <c r="BC242" i="4"/>
  <c r="BD201" i="2" s="1"/>
  <c r="BD242" i="4"/>
  <c r="BE201" i="2" s="1"/>
  <c r="BE242" i="4"/>
  <c r="BF201" i="2" s="1"/>
  <c r="BF242" i="4"/>
  <c r="BG201" i="2" s="1"/>
  <c r="BG242" i="4"/>
  <c r="BH201" i="2" s="1"/>
  <c r="BH242" i="4"/>
  <c r="BI201" i="2" s="1"/>
  <c r="BI242" i="4"/>
  <c r="BJ201" i="2" s="1"/>
  <c r="BJ242" i="4"/>
  <c r="BK201" i="2" s="1"/>
  <c r="AH242" i="4"/>
  <c r="AI201" i="2" s="1"/>
  <c r="C242" i="4"/>
  <c r="D242" i="4"/>
  <c r="E201" i="2" s="1"/>
  <c r="E242" i="4"/>
  <c r="F201" i="2" s="1"/>
  <c r="F242" i="4"/>
  <c r="G201" i="2" s="1"/>
  <c r="AP242" i="4"/>
  <c r="AQ201" i="2" s="1"/>
  <c r="H242" i="4"/>
  <c r="I201" i="2" s="1"/>
  <c r="I242" i="4"/>
  <c r="J201" i="2" s="1"/>
  <c r="J242" i="4"/>
  <c r="K201" i="2" s="1"/>
  <c r="K242" i="4"/>
  <c r="L201" i="2" s="1"/>
  <c r="L242" i="4"/>
  <c r="M201" i="2" s="1"/>
  <c r="N242" i="4"/>
  <c r="O242" i="4"/>
  <c r="P201" i="2" s="1"/>
  <c r="P242" i="4"/>
  <c r="Q201" i="2" s="1"/>
  <c r="Q242" i="4"/>
  <c r="R201" i="2" s="1"/>
  <c r="R242" i="4"/>
  <c r="S201" i="2" s="1"/>
  <c r="S242" i="4"/>
  <c r="T201" i="2" s="1"/>
  <c r="T242" i="4"/>
  <c r="U201" i="2" s="1"/>
  <c r="U242" i="4"/>
  <c r="V201" i="2" s="1"/>
  <c r="V242" i="4"/>
  <c r="W201" i="2" s="1"/>
  <c r="W242" i="4"/>
  <c r="X201" i="2" s="1"/>
  <c r="X242" i="4"/>
  <c r="Y201" i="2" s="1"/>
  <c r="Y242" i="4"/>
  <c r="Z201" i="2" s="1"/>
  <c r="M242" i="4"/>
  <c r="N201" i="2" s="1"/>
  <c r="AC242" i="4"/>
  <c r="AD201" i="2" s="1"/>
  <c r="AD242" i="4"/>
  <c r="AE201" i="2" s="1"/>
  <c r="AE242" i="4"/>
  <c r="AF201" i="2" s="1"/>
  <c r="AX241" i="4"/>
  <c r="AY165" i="2" s="1"/>
  <c r="AW241" i="4"/>
  <c r="AX165" i="2" s="1"/>
  <c r="AV241" i="4"/>
  <c r="AW165" i="2" s="1"/>
  <c r="AU241" i="4"/>
  <c r="AV165" i="2" s="1"/>
  <c r="AT241" i="4"/>
  <c r="AU165" i="2" s="1"/>
  <c r="AS241" i="4"/>
  <c r="BI241" i="4"/>
  <c r="BJ165" i="2" s="1"/>
  <c r="BH241" i="4"/>
  <c r="BI165" i="2" s="1"/>
  <c r="BG241" i="4"/>
  <c r="BH165" i="2" s="1"/>
  <c r="BF241" i="4"/>
  <c r="BG165" i="2" s="1"/>
  <c r="BJ241" i="4"/>
  <c r="BK165" i="2" s="1"/>
  <c r="BF240" i="4"/>
  <c r="BG51" i="2" s="1"/>
  <c r="BE240" i="4"/>
  <c r="BF51" i="2" s="1"/>
  <c r="BD240" i="4"/>
  <c r="BE51" i="2" s="1"/>
  <c r="BC240" i="4"/>
  <c r="BD51" i="2" s="1"/>
  <c r="BB240" i="4"/>
  <c r="BC51" i="2" s="1"/>
  <c r="BA240" i="4"/>
  <c r="BB51" i="2" s="1"/>
  <c r="BG240" i="4"/>
  <c r="BH51" i="2" s="1"/>
  <c r="AV240" i="4"/>
  <c r="AW51" i="2" s="1"/>
  <c r="AS240" i="4"/>
  <c r="AT51" i="2" s="1"/>
  <c r="AT240" i="4"/>
  <c r="AU51" i="2" s="1"/>
  <c r="AU240" i="4"/>
  <c r="AV51" i="2" s="1"/>
  <c r="AZ240" i="4"/>
  <c r="BA51" i="2" s="1"/>
  <c r="AY240" i="4"/>
  <c r="AZ51" i="2" s="1"/>
  <c r="AX240" i="4"/>
  <c r="AY51" i="2" s="1"/>
  <c r="AW240" i="4"/>
  <c r="AX51" i="2" s="1"/>
  <c r="M29" i="4"/>
  <c r="N29" i="4" s="1"/>
  <c r="T240" i="4"/>
  <c r="U51" i="2" s="1"/>
  <c r="S240" i="4"/>
  <c r="BJ240" i="4"/>
  <c r="BK51" i="2" s="1"/>
  <c r="BI240" i="4"/>
  <c r="BJ51" i="2" s="1"/>
  <c r="BH240" i="4"/>
  <c r="BI51" i="2" s="1"/>
  <c r="BD239" i="4"/>
  <c r="BE300" i="2" s="1"/>
  <c r="AW239" i="4"/>
  <c r="AX300" i="2" s="1"/>
  <c r="AZ239" i="4"/>
  <c r="BA300" i="2" s="1"/>
  <c r="BB239" i="4"/>
  <c r="BC300" i="2" s="1"/>
  <c r="AS239" i="4"/>
  <c r="AT300" i="2" s="1"/>
  <c r="BG239" i="4"/>
  <c r="BH300" i="2" s="1"/>
  <c r="BE239" i="4"/>
  <c r="BF300" i="2" s="1"/>
  <c r="M28" i="4"/>
  <c r="N28" i="4" s="1"/>
  <c r="AU239" i="4"/>
  <c r="AV300" i="2" s="1"/>
  <c r="BC239" i="4"/>
  <c r="BD300" i="2" s="1"/>
  <c r="AQ239" i="4"/>
  <c r="BH239" i="4"/>
  <c r="BI300" i="2" s="1"/>
  <c r="BF239" i="4"/>
  <c r="BG300" i="2" s="1"/>
  <c r="BA239" i="4"/>
  <c r="BB300" i="2" s="1"/>
  <c r="AY239" i="4"/>
  <c r="AZ300" i="2" s="1"/>
  <c r="AX239" i="4"/>
  <c r="AY300" i="2" s="1"/>
  <c r="AV239" i="4"/>
  <c r="AW300" i="2" s="1"/>
  <c r="BI239" i="4"/>
  <c r="BJ300" i="2" s="1"/>
  <c r="AR239" i="4"/>
  <c r="AS300" i="2" s="1"/>
  <c r="AT239" i="4"/>
  <c r="AU300" i="2" s="1"/>
  <c r="V238" i="4"/>
  <c r="W270" i="2" s="1"/>
  <c r="Y238" i="4"/>
  <c r="Z270" i="2" s="1"/>
  <c r="W238" i="4"/>
  <c r="X270" i="2" s="1"/>
  <c r="R238" i="4"/>
  <c r="Z238" i="4"/>
  <c r="AA270" i="2" s="1"/>
  <c r="AL238" i="4"/>
  <c r="AM270" i="2" s="1"/>
  <c r="AK238" i="4"/>
  <c r="AL270" i="2" s="1"/>
  <c r="S238" i="4"/>
  <c r="T270" i="2" s="1"/>
  <c r="U238" i="4"/>
  <c r="V270" i="2" s="1"/>
  <c r="X238" i="4"/>
  <c r="Y270" i="2" s="1"/>
  <c r="Y237" i="4"/>
  <c r="Z198" i="2" s="1"/>
  <c r="AD237" i="4"/>
  <c r="AE198" i="2" s="1"/>
  <c r="AG237" i="4"/>
  <c r="AH198" i="2" s="1"/>
  <c r="AC237" i="4"/>
  <c r="AD198" i="2" s="1"/>
  <c r="AH237" i="4"/>
  <c r="AI198" i="2" s="1"/>
  <c r="BE237" i="4"/>
  <c r="BF198" i="2" s="1"/>
  <c r="BG237" i="4"/>
  <c r="BH198" i="2" s="1"/>
  <c r="BJ237" i="4"/>
  <c r="BK198" i="2" s="1"/>
  <c r="AE237" i="4"/>
  <c r="AF198" i="2" s="1"/>
  <c r="AA237" i="4"/>
  <c r="AB198" i="2" s="1"/>
  <c r="BF237" i="4"/>
  <c r="BG198" i="2" s="1"/>
  <c r="AI237" i="4"/>
  <c r="AJ198" i="2" s="1"/>
  <c r="AF237" i="4"/>
  <c r="AG198" i="2" s="1"/>
  <c r="BH237" i="4"/>
  <c r="BI198" i="2" s="1"/>
  <c r="BI237" i="4"/>
  <c r="BJ198" i="2" s="1"/>
  <c r="Z237" i="4"/>
  <c r="AA198" i="2" s="1"/>
  <c r="M155" i="1"/>
  <c r="U155" i="1"/>
  <c r="S155" i="1"/>
  <c r="T155" i="1"/>
  <c r="M154" i="1"/>
  <c r="S154" i="1"/>
  <c r="T154" i="1"/>
  <c r="U154" i="1"/>
  <c r="M153" i="1"/>
  <c r="U153" i="1"/>
  <c r="T153" i="1"/>
  <c r="S153" i="1"/>
  <c r="M152" i="1"/>
  <c r="S152" i="1"/>
  <c r="U152" i="1"/>
  <c r="T152" i="1"/>
  <c r="M151" i="1"/>
  <c r="S151" i="1"/>
  <c r="U151" i="1"/>
  <c r="T151" i="1"/>
  <c r="M150" i="1"/>
  <c r="S150" i="1"/>
  <c r="U150" i="1"/>
  <c r="T150" i="1"/>
  <c r="M149" i="1"/>
  <c r="U149" i="1"/>
  <c r="T149" i="1"/>
  <c r="S149" i="1"/>
  <c r="M148" i="1"/>
  <c r="U148" i="1"/>
  <c r="T148" i="1"/>
  <c r="S148" i="1"/>
  <c r="M147" i="1"/>
  <c r="T147" i="1"/>
  <c r="S147" i="1"/>
  <c r="U147" i="1"/>
  <c r="O85" i="6" l="1"/>
  <c r="O68" i="6"/>
  <c r="G129" i="6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AK129" i="6" s="1"/>
  <c r="AL129" i="6" s="1"/>
  <c r="AM129" i="6" s="1"/>
  <c r="AN129" i="6" s="1"/>
  <c r="AO129" i="6" s="1"/>
  <c r="AP129" i="6" s="1"/>
  <c r="AQ129" i="6" s="1"/>
  <c r="AR129" i="6" s="1"/>
  <c r="AS129" i="6" s="1"/>
  <c r="AT129" i="6" s="1"/>
  <c r="AU129" i="6" s="1"/>
  <c r="AV129" i="6" s="1"/>
  <c r="AW129" i="6" s="1"/>
  <c r="AX129" i="6" s="1"/>
  <c r="AY129" i="6" s="1"/>
  <c r="AZ129" i="6" s="1"/>
  <c r="BA129" i="6" s="1"/>
  <c r="BB129" i="6" s="1"/>
  <c r="BC129" i="6" s="1"/>
  <c r="BD129" i="6" s="1"/>
  <c r="BE129" i="6" s="1"/>
  <c r="BF129" i="6" s="1"/>
  <c r="BG129" i="6" s="1"/>
  <c r="BH129" i="6" s="1"/>
  <c r="BI129" i="6" s="1"/>
  <c r="BJ129" i="6" s="1"/>
  <c r="O55" i="6"/>
  <c r="O61" i="6"/>
  <c r="O25" i="6"/>
  <c r="R90" i="6"/>
  <c r="O43" i="6"/>
  <c r="R35" i="6"/>
  <c r="R60" i="6"/>
  <c r="R64" i="6"/>
  <c r="R73" i="6"/>
  <c r="R82" i="6"/>
  <c r="R30" i="6"/>
  <c r="R47" i="6"/>
  <c r="R59" i="6"/>
  <c r="R77" i="6"/>
  <c r="R39" i="6"/>
  <c r="R45" i="6"/>
  <c r="R51" i="6"/>
  <c r="R75" i="6"/>
  <c r="R29" i="6"/>
  <c r="R44" i="6"/>
  <c r="R76" i="6"/>
  <c r="R85" i="6"/>
  <c r="R95" i="6"/>
  <c r="R99" i="6"/>
  <c r="R102" i="6"/>
  <c r="R106" i="6"/>
  <c r="R110" i="6"/>
  <c r="R113" i="6"/>
  <c r="R117" i="6"/>
  <c r="R120" i="6"/>
  <c r="R25" i="6"/>
  <c r="R53" i="6"/>
  <c r="R61" i="6"/>
  <c r="R67" i="6"/>
  <c r="S67" i="6" s="1"/>
  <c r="R70" i="6"/>
  <c r="S70" i="6" s="1"/>
  <c r="R79" i="6"/>
  <c r="R84" i="6"/>
  <c r="S84" i="6" s="1"/>
  <c r="R92" i="6"/>
  <c r="S92" i="6" s="1"/>
  <c r="R36" i="6"/>
  <c r="R54" i="6"/>
  <c r="R65" i="6"/>
  <c r="S65" i="6" s="1"/>
  <c r="R74" i="6"/>
  <c r="R31" i="6"/>
  <c r="R41" i="6"/>
  <c r="S41" i="6" s="1"/>
  <c r="R46" i="6"/>
  <c r="R49" i="6"/>
  <c r="S49" i="6" s="1"/>
  <c r="R55" i="6"/>
  <c r="R24" i="6"/>
  <c r="R32" i="6"/>
  <c r="S32" i="6" s="1"/>
  <c r="R57" i="6"/>
  <c r="S57" i="6" s="1"/>
  <c r="R66" i="6"/>
  <c r="R80" i="6"/>
  <c r="R87" i="6"/>
  <c r="R94" i="6"/>
  <c r="R97" i="6"/>
  <c r="R100" i="6"/>
  <c r="R103" i="6"/>
  <c r="R105" i="6"/>
  <c r="R108" i="6"/>
  <c r="R111" i="6"/>
  <c r="R114" i="6"/>
  <c r="R116" i="6"/>
  <c r="R119" i="6"/>
  <c r="R122" i="6"/>
  <c r="R27" i="6"/>
  <c r="R37" i="6"/>
  <c r="R40" i="6"/>
  <c r="S40" i="6" s="1"/>
  <c r="R43" i="6"/>
  <c r="R58" i="6"/>
  <c r="R63" i="6"/>
  <c r="R68" i="6"/>
  <c r="R72" i="6"/>
  <c r="R81" i="6"/>
  <c r="R86" i="6"/>
  <c r="R33" i="6"/>
  <c r="R50" i="6"/>
  <c r="R56" i="6"/>
  <c r="R69" i="6"/>
  <c r="R28" i="6"/>
  <c r="R38" i="6"/>
  <c r="R42" i="6"/>
  <c r="R48" i="6"/>
  <c r="R52" i="6"/>
  <c r="R71" i="6"/>
  <c r="R26" i="6"/>
  <c r="R34" i="6"/>
  <c r="R62" i="6"/>
  <c r="R78" i="6"/>
  <c r="R83" i="6"/>
  <c r="R93" i="6"/>
  <c r="R96" i="6"/>
  <c r="R98" i="6"/>
  <c r="R101" i="6"/>
  <c r="R104" i="6"/>
  <c r="R107" i="6"/>
  <c r="R109" i="6"/>
  <c r="R112" i="6"/>
  <c r="R115" i="6"/>
  <c r="R118" i="6"/>
  <c r="R121" i="6"/>
  <c r="R123" i="6"/>
  <c r="P20" i="2"/>
  <c r="O40" i="6"/>
  <c r="Q40" i="6" s="1"/>
  <c r="D354" i="6"/>
  <c r="D346" i="6"/>
  <c r="D348" i="6" s="1"/>
  <c r="E342" i="6"/>
  <c r="E344" i="6" s="1"/>
  <c r="C348" i="6"/>
  <c r="D254" i="2"/>
  <c r="O123" i="6"/>
  <c r="D122" i="2"/>
  <c r="O122" i="6"/>
  <c r="D239" i="2"/>
  <c r="O120" i="6"/>
  <c r="D65" i="2"/>
  <c r="O119" i="6"/>
  <c r="D146" i="2"/>
  <c r="O118" i="6"/>
  <c r="D299" i="2"/>
  <c r="O116" i="6"/>
  <c r="D251" i="2"/>
  <c r="O114" i="6"/>
  <c r="D293" i="2"/>
  <c r="O113" i="6"/>
  <c r="D56" i="2"/>
  <c r="O112" i="6"/>
  <c r="D215" i="2"/>
  <c r="O111" i="6"/>
  <c r="D305" i="2"/>
  <c r="O108" i="6"/>
  <c r="D224" i="2"/>
  <c r="O107" i="6"/>
  <c r="D230" i="2"/>
  <c r="O106" i="6"/>
  <c r="D245" i="2"/>
  <c r="O105" i="6"/>
  <c r="D260" i="2"/>
  <c r="O104" i="6"/>
  <c r="D95" i="2"/>
  <c r="O102" i="6"/>
  <c r="D197" i="2"/>
  <c r="O101" i="6"/>
  <c r="D164" i="2"/>
  <c r="O99" i="6"/>
  <c r="D68" i="2"/>
  <c r="O98" i="6"/>
  <c r="D44" i="2"/>
  <c r="O96" i="6"/>
  <c r="D161" i="2"/>
  <c r="O95" i="6"/>
  <c r="D221" i="2"/>
  <c r="O93" i="6"/>
  <c r="Q92" i="6"/>
  <c r="Q84" i="6"/>
  <c r="S75" i="6"/>
  <c r="Q75" i="6"/>
  <c r="S73" i="6"/>
  <c r="Q73" i="6"/>
  <c r="Q70" i="6"/>
  <c r="S69" i="6"/>
  <c r="Q69" i="6"/>
  <c r="Q67" i="6"/>
  <c r="Q65" i="6"/>
  <c r="S63" i="6"/>
  <c r="Q63" i="6"/>
  <c r="S62" i="6"/>
  <c r="Q62" i="6"/>
  <c r="S60" i="6"/>
  <c r="Q60" i="6"/>
  <c r="S58" i="6"/>
  <c r="Q58" i="6"/>
  <c r="Q57" i="6"/>
  <c r="S52" i="6"/>
  <c r="Q52" i="6"/>
  <c r="S51" i="6"/>
  <c r="Q51" i="6"/>
  <c r="Q49" i="6"/>
  <c r="S48" i="6"/>
  <c r="Q48" i="6"/>
  <c r="Q41" i="6"/>
  <c r="S39" i="6"/>
  <c r="Q39" i="6"/>
  <c r="S35" i="6"/>
  <c r="Q35" i="6"/>
  <c r="Q32" i="6"/>
  <c r="S30" i="6"/>
  <c r="Q30" i="6"/>
  <c r="S26" i="6"/>
  <c r="Q26" i="6"/>
  <c r="J10" i="5"/>
  <c r="C14" i="1" s="1"/>
  <c r="C344" i="5"/>
  <c r="J8" i="5"/>
  <c r="C9" i="1" s="1"/>
  <c r="J9" i="5"/>
  <c r="C10" i="1" s="1"/>
  <c r="G129" i="5"/>
  <c r="G357" i="5" s="1"/>
  <c r="D253" i="2"/>
  <c r="D121" i="2"/>
  <c r="D241" i="2"/>
  <c r="D268" i="2"/>
  <c r="D226" i="2"/>
  <c r="D73" i="2"/>
  <c r="D274" i="2"/>
  <c r="D142" i="2"/>
  <c r="D91" i="2"/>
  <c r="D85" i="2"/>
  <c r="D184" i="2"/>
  <c r="D40" i="2"/>
  <c r="J7" i="1"/>
  <c r="O32" i="3"/>
  <c r="D49" i="2"/>
  <c r="D124" i="2"/>
  <c r="D118" i="2"/>
  <c r="D190" i="2"/>
  <c r="D82" i="2"/>
  <c r="J9" i="1"/>
  <c r="O5" i="3"/>
  <c r="D136" i="2"/>
  <c r="D130" i="2"/>
  <c r="D193" i="2"/>
  <c r="D46" i="2"/>
  <c r="D202" i="2"/>
  <c r="D52" i="2"/>
  <c r="D271" i="2"/>
  <c r="D199" i="2"/>
  <c r="C335" i="5"/>
  <c r="D61" i="2"/>
  <c r="F335" i="5"/>
  <c r="G61" i="2"/>
  <c r="I335" i="5"/>
  <c r="J61" i="2"/>
  <c r="L335" i="5"/>
  <c r="M61" i="2"/>
  <c r="O335" i="5"/>
  <c r="P61" i="2"/>
  <c r="X335" i="5"/>
  <c r="Y61" i="2"/>
  <c r="AC335" i="5"/>
  <c r="AD61" i="2"/>
  <c r="AG335" i="5"/>
  <c r="AH61" i="2"/>
  <c r="AK335" i="5"/>
  <c r="AL61" i="2"/>
  <c r="AV335" i="5"/>
  <c r="AW61" i="2"/>
  <c r="AX335" i="5"/>
  <c r="AY61" i="2"/>
  <c r="AZ335" i="5"/>
  <c r="BA61" i="2"/>
  <c r="BC335" i="5"/>
  <c r="BD61" i="2"/>
  <c r="BF335" i="5"/>
  <c r="BG61" i="2"/>
  <c r="BI335" i="5"/>
  <c r="BJ61" i="2"/>
  <c r="D335" i="5"/>
  <c r="E61" i="2"/>
  <c r="E335" i="5"/>
  <c r="F61" i="2"/>
  <c r="G335" i="5"/>
  <c r="H61" i="2"/>
  <c r="H335" i="5"/>
  <c r="I61" i="2"/>
  <c r="J335" i="5"/>
  <c r="K61" i="2"/>
  <c r="K335" i="5"/>
  <c r="L61" i="2"/>
  <c r="M335" i="5"/>
  <c r="N61" i="2"/>
  <c r="N335" i="5"/>
  <c r="O61" i="2"/>
  <c r="V335" i="5"/>
  <c r="W61" i="2"/>
  <c r="W335" i="5"/>
  <c r="X61" i="2"/>
  <c r="Y335" i="5"/>
  <c r="Z61" i="2"/>
  <c r="Z335" i="5"/>
  <c r="AA61" i="2"/>
  <c r="AA335" i="5"/>
  <c r="AB61" i="2"/>
  <c r="AB335" i="5"/>
  <c r="AC61" i="2"/>
  <c r="AD335" i="5"/>
  <c r="AE61" i="2"/>
  <c r="AE335" i="5"/>
  <c r="AF61" i="2"/>
  <c r="AF335" i="5"/>
  <c r="AG61" i="2"/>
  <c r="AH335" i="5"/>
  <c r="AI61" i="2"/>
  <c r="AI335" i="5"/>
  <c r="AJ61" i="2"/>
  <c r="AJ335" i="5"/>
  <c r="AK61" i="2"/>
  <c r="AL335" i="5"/>
  <c r="AM61" i="2"/>
  <c r="AM335" i="5"/>
  <c r="AN61" i="2"/>
  <c r="AN335" i="5"/>
  <c r="AO61" i="2"/>
  <c r="AO335" i="5"/>
  <c r="AP61" i="2"/>
  <c r="AP335" i="5"/>
  <c r="AQ61" i="2"/>
  <c r="AQ335" i="5"/>
  <c r="AR61" i="2"/>
  <c r="AR335" i="5"/>
  <c r="AS61" i="2"/>
  <c r="AS335" i="5"/>
  <c r="AT61" i="2"/>
  <c r="AT335" i="5"/>
  <c r="AU61" i="2"/>
  <c r="AU335" i="5"/>
  <c r="AV61" i="2"/>
  <c r="AW335" i="5"/>
  <c r="AX61" i="2"/>
  <c r="AY335" i="5"/>
  <c r="AZ61" i="2"/>
  <c r="BA335" i="5"/>
  <c r="BB61" i="2"/>
  <c r="BB335" i="5"/>
  <c r="BC61" i="2"/>
  <c r="BD335" i="5"/>
  <c r="BE61" i="2"/>
  <c r="BE335" i="5"/>
  <c r="BF61" i="2"/>
  <c r="BG335" i="5"/>
  <c r="BH61" i="2"/>
  <c r="BH335" i="5"/>
  <c r="BI61" i="2"/>
  <c r="BJ335" i="5"/>
  <c r="BK61" i="2"/>
  <c r="C344" i="4"/>
  <c r="J10" i="4"/>
  <c r="B14" i="1" s="1"/>
  <c r="J9" i="4"/>
  <c r="B10" i="1" s="1"/>
  <c r="J8" i="4"/>
  <c r="B9" i="1" s="1"/>
  <c r="G129" i="4"/>
  <c r="D252" i="2"/>
  <c r="D120" i="2"/>
  <c r="D237" i="2"/>
  <c r="D144" i="2"/>
  <c r="D177" i="2"/>
  <c r="D297" i="2"/>
  <c r="D174" i="2"/>
  <c r="D249" i="2"/>
  <c r="D291" i="2"/>
  <c r="D213" i="2"/>
  <c r="D288" i="2"/>
  <c r="D234" i="2"/>
  <c r="D303" i="2"/>
  <c r="D222" i="2"/>
  <c r="D228" i="2"/>
  <c r="D243" i="2"/>
  <c r="D258" i="2"/>
  <c r="D105" i="2"/>
  <c r="D93" i="2"/>
  <c r="D195" i="2"/>
  <c r="D285" i="2"/>
  <c r="D162" i="2"/>
  <c r="D294" i="2"/>
  <c r="D261" i="2"/>
  <c r="D255" i="2"/>
  <c r="D276" i="2"/>
  <c r="D207" i="2"/>
  <c r="D153" i="2"/>
  <c r="D111" i="2"/>
  <c r="D114" i="2"/>
  <c r="D132" i="2"/>
  <c r="D126" i="2"/>
  <c r="D99" i="2"/>
  <c r="D240" i="2"/>
  <c r="D267" i="2"/>
  <c r="D225" i="2"/>
  <c r="D171" i="2"/>
  <c r="D273" i="2"/>
  <c r="D141" i="2"/>
  <c r="D90" i="2"/>
  <c r="D183" i="2"/>
  <c r="D123" i="2"/>
  <c r="D117" i="2"/>
  <c r="D198" i="2"/>
  <c r="C335" i="4"/>
  <c r="I335" i="4"/>
  <c r="J60" i="2"/>
  <c r="J335" i="4"/>
  <c r="K60" i="2"/>
  <c r="K335" i="4"/>
  <c r="L60" i="2"/>
  <c r="L335" i="4"/>
  <c r="M60" i="2"/>
  <c r="M335" i="4"/>
  <c r="N60" i="2"/>
  <c r="N335" i="4"/>
  <c r="O60" i="2"/>
  <c r="O335" i="4"/>
  <c r="P60" i="2"/>
  <c r="P335" i="4"/>
  <c r="Q60" i="2"/>
  <c r="Q335" i="4"/>
  <c r="R60" i="2"/>
  <c r="R335" i="4"/>
  <c r="S60" i="2"/>
  <c r="S335" i="4"/>
  <c r="T60" i="2"/>
  <c r="T335" i="4"/>
  <c r="U60" i="2"/>
  <c r="U335" i="4"/>
  <c r="V60" i="2"/>
  <c r="V335" i="4"/>
  <c r="W60" i="2"/>
  <c r="W335" i="4"/>
  <c r="X60" i="2"/>
  <c r="X335" i="4"/>
  <c r="Y60" i="2"/>
  <c r="Y335" i="4"/>
  <c r="Z60" i="2"/>
  <c r="Z335" i="4"/>
  <c r="AA60" i="2"/>
  <c r="AA335" i="4"/>
  <c r="AB60" i="2"/>
  <c r="AB335" i="4"/>
  <c r="AC60" i="2"/>
  <c r="AC335" i="4"/>
  <c r="AD60" i="2"/>
  <c r="AD335" i="4"/>
  <c r="AE60" i="2"/>
  <c r="AE335" i="4"/>
  <c r="AF60" i="2"/>
  <c r="AF335" i="4"/>
  <c r="AG60" i="2"/>
  <c r="AG335" i="4"/>
  <c r="AH60" i="2"/>
  <c r="AH335" i="4"/>
  <c r="AI60" i="2"/>
  <c r="AI335" i="4"/>
  <c r="AJ60" i="2"/>
  <c r="AJ335" i="4"/>
  <c r="AK60" i="2"/>
  <c r="AK335" i="4"/>
  <c r="AL60" i="2"/>
  <c r="AL335" i="4"/>
  <c r="AM60" i="2"/>
  <c r="AM335" i="4"/>
  <c r="AN60" i="2"/>
  <c r="AN335" i="4"/>
  <c r="AO60" i="2"/>
  <c r="AO335" i="4"/>
  <c r="AP60" i="2"/>
  <c r="AP335" i="4"/>
  <c r="AQ60" i="2"/>
  <c r="AQ335" i="4"/>
  <c r="AR60" i="2"/>
  <c r="AR335" i="4"/>
  <c r="AS60" i="2"/>
  <c r="AS335" i="4"/>
  <c r="AT60" i="2"/>
  <c r="AT335" i="4"/>
  <c r="AU60" i="2"/>
  <c r="AU335" i="4"/>
  <c r="AV60" i="2"/>
  <c r="AV335" i="4"/>
  <c r="AW60" i="2"/>
  <c r="AW335" i="4"/>
  <c r="AX60" i="2"/>
  <c r="AX335" i="4"/>
  <c r="AY60" i="2"/>
  <c r="AY335" i="4"/>
  <c r="AZ60" i="2"/>
  <c r="AZ335" i="4"/>
  <c r="BA60" i="2"/>
  <c r="BA335" i="4"/>
  <c r="BB60" i="2"/>
  <c r="BB335" i="4"/>
  <c r="BC60" i="2"/>
  <c r="BC335" i="4"/>
  <c r="BD60" i="2"/>
  <c r="BD335" i="4"/>
  <c r="BE60" i="2"/>
  <c r="BE335" i="4"/>
  <c r="BF60" i="2"/>
  <c r="BF335" i="4"/>
  <c r="BG60" i="2"/>
  <c r="BG335" i="4"/>
  <c r="BH60" i="2"/>
  <c r="BH335" i="4"/>
  <c r="BI60" i="2"/>
  <c r="BI335" i="4"/>
  <c r="BJ60" i="2"/>
  <c r="BJ335" i="4"/>
  <c r="BK60" i="2"/>
  <c r="S55" i="6"/>
  <c r="Q55" i="6"/>
  <c r="S61" i="6"/>
  <c r="Q61" i="6"/>
  <c r="S38" i="6"/>
  <c r="Q38" i="6"/>
  <c r="S25" i="6"/>
  <c r="Q25" i="6"/>
  <c r="S43" i="6"/>
  <c r="Q43" i="6"/>
  <c r="O88" i="6"/>
  <c r="D233" i="2"/>
  <c r="O87" i="6"/>
  <c r="D188" i="2"/>
  <c r="O83" i="6"/>
  <c r="D80" i="2"/>
  <c r="O80" i="6"/>
  <c r="D182" i="2"/>
  <c r="O78" i="6"/>
  <c r="D140" i="2"/>
  <c r="O77" i="6"/>
  <c r="D149" i="2"/>
  <c r="O76" i="6"/>
  <c r="D110" i="2"/>
  <c r="O72" i="6"/>
  <c r="D263" i="2"/>
  <c r="O71" i="6"/>
  <c r="D257" i="2"/>
  <c r="S68" i="6"/>
  <c r="Q68" i="6"/>
  <c r="O66" i="6"/>
  <c r="AN113" i="2"/>
  <c r="O64" i="6"/>
  <c r="D77" i="2"/>
  <c r="O56" i="6"/>
  <c r="D74" i="2"/>
  <c r="O54" i="6"/>
  <c r="D275" i="2"/>
  <c r="O53" i="6"/>
  <c r="D143" i="2"/>
  <c r="O50" i="6"/>
  <c r="D185" i="2"/>
  <c r="O47" i="6"/>
  <c r="D125" i="2"/>
  <c r="O46" i="6"/>
  <c r="D119" i="2"/>
  <c r="O42" i="6"/>
  <c r="D191" i="2"/>
  <c r="O37" i="6"/>
  <c r="D131" i="2"/>
  <c r="O31" i="6"/>
  <c r="D203" i="2"/>
  <c r="O29" i="6"/>
  <c r="D53" i="2"/>
  <c r="O28" i="6"/>
  <c r="D302" i="2"/>
  <c r="D272" i="2"/>
  <c r="O27" i="6"/>
  <c r="L62" i="2"/>
  <c r="K335" i="6"/>
  <c r="O24" i="6"/>
  <c r="D62" i="2"/>
  <c r="C335" i="6"/>
  <c r="AB62" i="2"/>
  <c r="AA335" i="6"/>
  <c r="AC62" i="2"/>
  <c r="AB335" i="6"/>
  <c r="AD62" i="2"/>
  <c r="AC335" i="6"/>
  <c r="AE62" i="2"/>
  <c r="AD335" i="6"/>
  <c r="AF62" i="2"/>
  <c r="AE335" i="6"/>
  <c r="BH62" i="2"/>
  <c r="BG335" i="6"/>
  <c r="E62" i="2"/>
  <c r="D335" i="6"/>
  <c r="F62" i="2"/>
  <c r="E335" i="6"/>
  <c r="G62" i="2"/>
  <c r="F335" i="6"/>
  <c r="H62" i="2"/>
  <c r="G335" i="6"/>
  <c r="I62" i="2"/>
  <c r="H335" i="6"/>
  <c r="J62" i="2"/>
  <c r="I335" i="6"/>
  <c r="K62" i="2"/>
  <c r="J335" i="6"/>
  <c r="BC62" i="2"/>
  <c r="BB335" i="6"/>
  <c r="M62" i="2"/>
  <c r="L335" i="6"/>
  <c r="N62" i="2"/>
  <c r="M335" i="6"/>
  <c r="O62" i="2"/>
  <c r="N335" i="6"/>
  <c r="P62" i="2"/>
  <c r="O335" i="6"/>
  <c r="Q62" i="2"/>
  <c r="P335" i="6"/>
  <c r="BK62" i="2"/>
  <c r="BJ335" i="6"/>
  <c r="BJ62" i="2"/>
  <c r="BI335" i="6"/>
  <c r="BI62" i="2"/>
  <c r="BH335" i="6"/>
  <c r="X62" i="2"/>
  <c r="W335" i="6"/>
  <c r="Y62" i="2"/>
  <c r="X335" i="6"/>
  <c r="Z62" i="2"/>
  <c r="Y335" i="6"/>
  <c r="AA62" i="2"/>
  <c r="Z335" i="6"/>
  <c r="D64" i="2"/>
  <c r="D292" i="2"/>
  <c r="D214" i="2"/>
  <c r="R235" i="2"/>
  <c r="D304" i="2"/>
  <c r="D229" i="2"/>
  <c r="D244" i="2"/>
  <c r="J106" i="2"/>
  <c r="D94" i="2"/>
  <c r="D196" i="2"/>
  <c r="D163" i="2"/>
  <c r="D160" i="2"/>
  <c r="Y88" i="2"/>
  <c r="D187" i="2"/>
  <c r="D79" i="2"/>
  <c r="D205" i="2"/>
  <c r="D139" i="2"/>
  <c r="D109" i="2"/>
  <c r="D97" i="2"/>
  <c r="D262" i="2"/>
  <c r="D115" i="2"/>
  <c r="D133" i="2"/>
  <c r="D127" i="2"/>
  <c r="D219" i="2"/>
  <c r="D87" i="2"/>
  <c r="D210" i="2"/>
  <c r="L69" i="2"/>
  <c r="Q78" i="2"/>
  <c r="D204" i="2"/>
  <c r="D180" i="2"/>
  <c r="D147" i="2"/>
  <c r="D108" i="2"/>
  <c r="D96" i="2"/>
  <c r="D282" i="2"/>
  <c r="D129" i="2"/>
  <c r="K12" i="2"/>
  <c r="D201" i="2"/>
  <c r="O121" i="6"/>
  <c r="O117" i="6"/>
  <c r="O115" i="6"/>
  <c r="O110" i="6"/>
  <c r="O109" i="6"/>
  <c r="O103" i="6"/>
  <c r="O97" i="6"/>
  <c r="O100" i="6"/>
  <c r="O94" i="6"/>
  <c r="S335" i="5"/>
  <c r="Q335" i="5"/>
  <c r="P335" i="5"/>
  <c r="T335" i="5"/>
  <c r="U335" i="5"/>
  <c r="R335" i="5"/>
  <c r="O81" i="6"/>
  <c r="D335" i="4"/>
  <c r="E335" i="4"/>
  <c r="F335" i="4"/>
  <c r="G335" i="4"/>
  <c r="H335" i="4"/>
  <c r="O91" i="6"/>
  <c r="O74" i="6"/>
  <c r="O59" i="6"/>
  <c r="O44" i="6"/>
  <c r="O36" i="6"/>
  <c r="O34" i="6"/>
  <c r="O33" i="6"/>
  <c r="D15" i="1"/>
  <c r="Q335" i="6"/>
  <c r="R335" i="6"/>
  <c r="S335" i="6"/>
  <c r="T335" i="6"/>
  <c r="U335" i="6"/>
  <c r="V335" i="6"/>
  <c r="J8" i="1"/>
  <c r="B15" i="1"/>
  <c r="F357" i="5"/>
  <c r="H266" i="2"/>
  <c r="O90" i="6"/>
  <c r="H104" i="2"/>
  <c r="O89" i="6"/>
  <c r="T152" i="2"/>
  <c r="O86" i="6"/>
  <c r="AD206" i="2"/>
  <c r="O82" i="6"/>
  <c r="BB32" i="2"/>
  <c r="BA335" i="6"/>
  <c r="BD32" i="2"/>
  <c r="BC335" i="6"/>
  <c r="AH182" i="2"/>
  <c r="AG335" i="6"/>
  <c r="BF182" i="2"/>
  <c r="BE335" i="6"/>
  <c r="AI182" i="2"/>
  <c r="AH335" i="6"/>
  <c r="AG182" i="2"/>
  <c r="AF335" i="6"/>
  <c r="BE182" i="2"/>
  <c r="BD335" i="6"/>
  <c r="BG182" i="2"/>
  <c r="BF335" i="6"/>
  <c r="Y29" i="2"/>
  <c r="O79" i="6"/>
  <c r="AZ149" i="2"/>
  <c r="AY335" i="6"/>
  <c r="AP149" i="2"/>
  <c r="AO335" i="6"/>
  <c r="BA149" i="2"/>
  <c r="AZ335" i="6"/>
  <c r="AN149" i="2"/>
  <c r="AM335" i="6"/>
  <c r="AY149" i="2"/>
  <c r="AX335" i="6"/>
  <c r="AX149" i="2"/>
  <c r="AW335" i="6"/>
  <c r="AW149" i="2"/>
  <c r="AV335" i="6"/>
  <c r="AV149" i="2"/>
  <c r="AU335" i="6"/>
  <c r="AU149" i="2"/>
  <c r="AT335" i="6"/>
  <c r="AT149" i="2"/>
  <c r="AS335" i="6"/>
  <c r="AS149" i="2"/>
  <c r="AR335" i="6"/>
  <c r="AR149" i="2"/>
  <c r="AQ335" i="6"/>
  <c r="AQ149" i="2"/>
  <c r="AP335" i="6"/>
  <c r="AO149" i="2"/>
  <c r="AN335" i="6"/>
  <c r="AM149" i="2"/>
  <c r="AL335" i="6"/>
  <c r="AL149" i="2"/>
  <c r="AK335" i="6"/>
  <c r="AK149" i="2"/>
  <c r="AJ335" i="6"/>
  <c r="AJ149" i="2"/>
  <c r="AI335" i="6"/>
  <c r="G284" i="2"/>
  <c r="O45" i="6"/>
  <c r="V178" i="2"/>
  <c r="P175" i="2"/>
  <c r="L103" i="2"/>
  <c r="BI211" i="2"/>
  <c r="AO28" i="2"/>
  <c r="K208" i="2"/>
  <c r="N112" i="2"/>
  <c r="M26" i="3"/>
  <c r="C15" i="1"/>
  <c r="V159" i="2"/>
  <c r="I246" i="2"/>
  <c r="F216" i="2"/>
  <c r="Z264" i="2"/>
  <c r="E150" i="2"/>
  <c r="I138" i="2"/>
  <c r="AT165" i="2"/>
  <c r="T51" i="2"/>
  <c r="AR300" i="2"/>
  <c r="R124" i="6" l="1"/>
  <c r="S85" i="6"/>
  <c r="Q85" i="6"/>
  <c r="D349" i="6"/>
  <c r="D350" i="6"/>
  <c r="D351" i="6"/>
  <c r="D352" i="6"/>
  <c r="E354" i="6"/>
  <c r="E346" i="6"/>
  <c r="F342" i="6"/>
  <c r="F344" i="6" s="1"/>
  <c r="C349" i="6"/>
  <c r="C350" i="6"/>
  <c r="C351" i="6"/>
  <c r="C352" i="6"/>
  <c r="S123" i="6"/>
  <c r="Q123" i="6"/>
  <c r="S122" i="6"/>
  <c r="Q122" i="6"/>
  <c r="S120" i="6"/>
  <c r="Q120" i="6"/>
  <c r="S119" i="6"/>
  <c r="Q119" i="6"/>
  <c r="S118" i="6"/>
  <c r="Q118" i="6"/>
  <c r="S116" i="6"/>
  <c r="Q116" i="6"/>
  <c r="S114" i="6"/>
  <c r="Q114" i="6"/>
  <c r="S113" i="6"/>
  <c r="Q113" i="6"/>
  <c r="S112" i="6"/>
  <c r="Q112" i="6"/>
  <c r="S111" i="6"/>
  <c r="Q111" i="6"/>
  <c r="S108" i="6"/>
  <c r="Q108" i="6"/>
  <c r="S107" i="6"/>
  <c r="Q107" i="6"/>
  <c r="S106" i="6"/>
  <c r="Q106" i="6"/>
  <c r="S105" i="6"/>
  <c r="Q105" i="6"/>
  <c r="S104" i="6"/>
  <c r="Q104" i="6"/>
  <c r="S102" i="6"/>
  <c r="Q102" i="6"/>
  <c r="S101" i="6"/>
  <c r="Q101" i="6"/>
  <c r="S99" i="6"/>
  <c r="Q99" i="6"/>
  <c r="S98" i="6"/>
  <c r="Q98" i="6"/>
  <c r="S96" i="6"/>
  <c r="Q96" i="6"/>
  <c r="S95" i="6"/>
  <c r="Q95" i="6"/>
  <c r="S93" i="6"/>
  <c r="Q93" i="6"/>
  <c r="C346" i="5"/>
  <c r="D342" i="5"/>
  <c r="D344" i="5" s="1"/>
  <c r="C354" i="5"/>
  <c r="H129" i="5"/>
  <c r="C357" i="5"/>
  <c r="E357" i="5"/>
  <c r="D357" i="5"/>
  <c r="C346" i="4"/>
  <c r="D342" i="4"/>
  <c r="D344" i="4" s="1"/>
  <c r="C354" i="4"/>
  <c r="G357" i="4"/>
  <c r="H129" i="4"/>
  <c r="D357" i="4"/>
  <c r="C357" i="4"/>
  <c r="E357" i="4"/>
  <c r="F357" i="4"/>
  <c r="S88" i="6"/>
  <c r="Q88" i="6"/>
  <c r="S87" i="6"/>
  <c r="Q87" i="6"/>
  <c r="S83" i="6"/>
  <c r="Q83" i="6"/>
  <c r="S80" i="6"/>
  <c r="Q80" i="6"/>
  <c r="S78" i="6"/>
  <c r="Q78" i="6"/>
  <c r="S77" i="6"/>
  <c r="Q77" i="6"/>
  <c r="S76" i="6"/>
  <c r="Q76" i="6"/>
  <c r="S72" i="6"/>
  <c r="Q72" i="6"/>
  <c r="S71" i="6"/>
  <c r="Q71" i="6"/>
  <c r="S66" i="6"/>
  <c r="Q66" i="6"/>
  <c r="S64" i="6"/>
  <c r="Q64" i="6"/>
  <c r="S56" i="6"/>
  <c r="Q56" i="6"/>
  <c r="S54" i="6"/>
  <c r="Q54" i="6"/>
  <c r="S53" i="6"/>
  <c r="Q53" i="6"/>
  <c r="S50" i="6"/>
  <c r="Q50" i="6"/>
  <c r="S47" i="6"/>
  <c r="Q47" i="6"/>
  <c r="S46" i="6"/>
  <c r="Q46" i="6"/>
  <c r="S42" i="6"/>
  <c r="Q42" i="6"/>
  <c r="S37" i="6"/>
  <c r="Q37" i="6"/>
  <c r="S31" i="6"/>
  <c r="Q31" i="6"/>
  <c r="S29" i="6"/>
  <c r="Q29" i="6"/>
  <c r="S28" i="6"/>
  <c r="Q28" i="6"/>
  <c r="S27" i="6"/>
  <c r="Q27" i="6"/>
  <c r="S24" i="6"/>
  <c r="O124" i="6"/>
  <c r="Q24" i="6"/>
  <c r="U357" i="6"/>
  <c r="R357" i="6"/>
  <c r="P357" i="6"/>
  <c r="L357" i="6"/>
  <c r="I357" i="6"/>
  <c r="G357" i="6"/>
  <c r="Y357" i="6"/>
  <c r="T357" i="6"/>
  <c r="W357" i="6"/>
  <c r="BI357" i="6"/>
  <c r="BG357" i="6"/>
  <c r="BF357" i="6"/>
  <c r="BD357" i="6"/>
  <c r="BC357" i="6"/>
  <c r="BB357" i="6"/>
  <c r="BA357" i="6"/>
  <c r="AZ357" i="6"/>
  <c r="AY357" i="6"/>
  <c r="AX357" i="6"/>
  <c r="AW357" i="6"/>
  <c r="AV357" i="6"/>
  <c r="AU357" i="6"/>
  <c r="AT357" i="6"/>
  <c r="AS357" i="6"/>
  <c r="AR357" i="6"/>
  <c r="AQ357" i="6"/>
  <c r="AP357" i="6"/>
  <c r="AO357" i="6"/>
  <c r="AN357" i="6"/>
  <c r="AM357" i="6"/>
  <c r="AL357" i="6"/>
  <c r="AK357" i="6"/>
  <c r="AJ357" i="6"/>
  <c r="AI357" i="6"/>
  <c r="AH357" i="6"/>
  <c r="AG357" i="6"/>
  <c r="AF357" i="6"/>
  <c r="AE357" i="6"/>
  <c r="AD357" i="6"/>
  <c r="AC357" i="6"/>
  <c r="AB357" i="6"/>
  <c r="AA357" i="6"/>
  <c r="Z357" i="6"/>
  <c r="N357" i="6"/>
  <c r="V357" i="6"/>
  <c r="S357" i="6"/>
  <c r="Q357" i="6"/>
  <c r="M357" i="6"/>
  <c r="K357" i="6"/>
  <c r="J357" i="6"/>
  <c r="H357" i="6"/>
  <c r="F357" i="6"/>
  <c r="E357" i="6"/>
  <c r="O357" i="6"/>
  <c r="X357" i="6"/>
  <c r="BJ357" i="6"/>
  <c r="BH357" i="6"/>
  <c r="BE357" i="6"/>
  <c r="D357" i="6"/>
  <c r="C357" i="6"/>
  <c r="Q121" i="6"/>
  <c r="S121" i="6"/>
  <c r="Q117" i="6"/>
  <c r="S117" i="6"/>
  <c r="Q115" i="6"/>
  <c r="S115" i="6"/>
  <c r="Q110" i="6"/>
  <c r="S110" i="6"/>
  <c r="Q109" i="6"/>
  <c r="S109" i="6"/>
  <c r="Q103" i="6"/>
  <c r="S103" i="6"/>
  <c r="Q97" i="6"/>
  <c r="S97" i="6"/>
  <c r="Q100" i="6"/>
  <c r="S100" i="6"/>
  <c r="Q94" i="6"/>
  <c r="S94" i="6"/>
  <c r="Q81" i="6"/>
  <c r="S81" i="6"/>
  <c r="S91" i="6"/>
  <c r="Q91" i="6"/>
  <c r="Q74" i="6"/>
  <c r="S74" i="6"/>
  <c r="Q59" i="6"/>
  <c r="S59" i="6"/>
  <c r="Q44" i="6"/>
  <c r="S44" i="6"/>
  <c r="Q36" i="6"/>
  <c r="S36" i="6"/>
  <c r="Q34" i="6"/>
  <c r="S34" i="6"/>
  <c r="Q33" i="6"/>
  <c r="S33" i="6"/>
  <c r="Q90" i="6"/>
  <c r="S90" i="6"/>
  <c r="S89" i="6"/>
  <c r="Q89" i="6"/>
  <c r="Q86" i="6"/>
  <c r="S86" i="6"/>
  <c r="Q82" i="6"/>
  <c r="S82" i="6"/>
  <c r="Q79" i="6"/>
  <c r="S79" i="6"/>
  <c r="Q45" i="6"/>
  <c r="S45" i="6"/>
  <c r="J10" i="1"/>
  <c r="E348" i="6" l="1"/>
  <c r="F354" i="6"/>
  <c r="F346" i="6"/>
  <c r="G342" i="6"/>
  <c r="G344" i="6" s="1"/>
  <c r="C348" i="5"/>
  <c r="D354" i="5"/>
  <c r="D346" i="5"/>
  <c r="E342" i="5"/>
  <c r="E344" i="5" s="1"/>
  <c r="H357" i="5"/>
  <c r="I129" i="5"/>
  <c r="C348" i="4"/>
  <c r="D354" i="4"/>
  <c r="D346" i="4"/>
  <c r="E342" i="4"/>
  <c r="E344" i="4" s="1"/>
  <c r="I129" i="4"/>
  <c r="V356" i="6"/>
  <c r="U356" i="6"/>
  <c r="T356" i="6"/>
  <c r="S356" i="6"/>
  <c r="R356" i="6"/>
  <c r="Q356" i="6"/>
  <c r="P356" i="6"/>
  <c r="O356" i="6"/>
  <c r="N356" i="6"/>
  <c r="I356" i="6"/>
  <c r="H356" i="6"/>
  <c r="G356" i="6"/>
  <c r="F356" i="6"/>
  <c r="E356" i="6"/>
  <c r="D356" i="6"/>
  <c r="C356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F355" i="6"/>
  <c r="E355" i="6"/>
  <c r="D355" i="6"/>
  <c r="C355" i="6"/>
  <c r="R148" i="1"/>
  <c r="R150" i="1"/>
  <c r="R151" i="1"/>
  <c r="R152" i="1"/>
  <c r="R153" i="1"/>
  <c r="R154" i="1"/>
  <c r="R155" i="1"/>
  <c r="R147" i="1"/>
  <c r="R149" i="1"/>
  <c r="S124" i="6"/>
  <c r="J17" i="6"/>
  <c r="D5" i="1" s="1"/>
  <c r="J13" i="6"/>
  <c r="Q124" i="6"/>
  <c r="D353" i="6"/>
  <c r="C353" i="6"/>
  <c r="H357" i="4"/>
  <c r="M357" i="5" l="1"/>
  <c r="I357" i="5"/>
  <c r="K357" i="5"/>
  <c r="L357" i="5"/>
  <c r="E349" i="6"/>
  <c r="E350" i="6"/>
  <c r="E351" i="6"/>
  <c r="E352" i="6"/>
  <c r="G354" i="6"/>
  <c r="G346" i="6"/>
  <c r="H342" i="6"/>
  <c r="H344" i="6" s="1"/>
  <c r="C351" i="5"/>
  <c r="C349" i="5"/>
  <c r="C350" i="5"/>
  <c r="C352" i="5"/>
  <c r="E354" i="5"/>
  <c r="E346" i="5"/>
  <c r="F342" i="5"/>
  <c r="F344" i="5" s="1"/>
  <c r="C349" i="4"/>
  <c r="C350" i="4"/>
  <c r="C351" i="4"/>
  <c r="C352" i="4"/>
  <c r="E354" i="4"/>
  <c r="E346" i="4"/>
  <c r="E348" i="4" s="1"/>
  <c r="F342" i="4"/>
  <c r="F344" i="4" s="1"/>
  <c r="F348" i="6"/>
  <c r="D348" i="5"/>
  <c r="J129" i="5"/>
  <c r="D348" i="4"/>
  <c r="J129" i="4"/>
  <c r="I357" i="4"/>
  <c r="K129" i="5" l="1"/>
  <c r="J357" i="5"/>
  <c r="J357" i="4"/>
  <c r="H354" i="6"/>
  <c r="H346" i="6"/>
  <c r="H348" i="6" s="1"/>
  <c r="I342" i="6"/>
  <c r="I344" i="6" s="1"/>
  <c r="F354" i="5"/>
  <c r="F346" i="5"/>
  <c r="G342" i="5"/>
  <c r="G344" i="5" s="1"/>
  <c r="E349" i="4"/>
  <c r="E350" i="4"/>
  <c r="E351" i="4"/>
  <c r="E352" i="4"/>
  <c r="F354" i="4"/>
  <c r="F346" i="4"/>
  <c r="G342" i="4"/>
  <c r="G344" i="4" s="1"/>
  <c r="F352" i="6"/>
  <c r="F351" i="6"/>
  <c r="F350" i="6"/>
  <c r="F349" i="6"/>
  <c r="F353" i="6" s="1"/>
  <c r="D351" i="5"/>
  <c r="D352" i="5"/>
  <c r="D350" i="5"/>
  <c r="D349" i="5"/>
  <c r="D353" i="5" s="1"/>
  <c r="N129" i="5"/>
  <c r="D352" i="4"/>
  <c r="D351" i="4"/>
  <c r="D350" i="4"/>
  <c r="D349" i="4"/>
  <c r="K129" i="4"/>
  <c r="C353" i="4"/>
  <c r="E353" i="6"/>
  <c r="C353" i="5"/>
  <c r="G348" i="6"/>
  <c r="E348" i="5"/>
  <c r="L129" i="5" l="1"/>
  <c r="M129" i="5" s="1"/>
  <c r="D353" i="4"/>
  <c r="O129" i="5"/>
  <c r="P129" i="5" s="1"/>
  <c r="Q129" i="5" s="1"/>
  <c r="R129" i="5" s="1"/>
  <c r="S129" i="5" s="1"/>
  <c r="P357" i="5"/>
  <c r="O357" i="5"/>
  <c r="R357" i="5"/>
  <c r="N357" i="5"/>
  <c r="Q357" i="5"/>
  <c r="S357" i="5"/>
  <c r="V357" i="5"/>
  <c r="L129" i="4"/>
  <c r="L357" i="4"/>
  <c r="P357" i="4"/>
  <c r="K357" i="4"/>
  <c r="H349" i="6"/>
  <c r="H350" i="6"/>
  <c r="H351" i="6"/>
  <c r="H352" i="6"/>
  <c r="I354" i="6"/>
  <c r="I346" i="6"/>
  <c r="I348" i="6" s="1"/>
  <c r="J342" i="6"/>
  <c r="J344" i="6" s="1"/>
  <c r="G354" i="5"/>
  <c r="G346" i="5"/>
  <c r="G348" i="5" s="1"/>
  <c r="H342" i="5"/>
  <c r="H344" i="5" s="1"/>
  <c r="F348" i="4"/>
  <c r="G354" i="4"/>
  <c r="G346" i="4"/>
  <c r="H342" i="4"/>
  <c r="H344" i="4" s="1"/>
  <c r="T129" i="5"/>
  <c r="M129" i="4"/>
  <c r="G352" i="6"/>
  <c r="G351" i="6"/>
  <c r="G350" i="6"/>
  <c r="G349" i="6"/>
  <c r="E352" i="5"/>
  <c r="E349" i="5"/>
  <c r="E351" i="5"/>
  <c r="E350" i="5"/>
  <c r="E353" i="4"/>
  <c r="F348" i="5"/>
  <c r="U129" i="5" l="1"/>
  <c r="Y357" i="5"/>
  <c r="AC357" i="5"/>
  <c r="U357" i="5"/>
  <c r="AD357" i="5"/>
  <c r="T357" i="5"/>
  <c r="X357" i="5"/>
  <c r="AA357" i="5"/>
  <c r="W357" i="5"/>
  <c r="N129" i="4"/>
  <c r="R357" i="4"/>
  <c r="T357" i="4"/>
  <c r="O357" i="4"/>
  <c r="Q357" i="4"/>
  <c r="N357" i="4"/>
  <c r="M357" i="4"/>
  <c r="I349" i="6"/>
  <c r="I350" i="6"/>
  <c r="I351" i="6"/>
  <c r="I352" i="6"/>
  <c r="J354" i="6"/>
  <c r="J346" i="6"/>
  <c r="J348" i="6" s="1"/>
  <c r="K342" i="6"/>
  <c r="K344" i="6" s="1"/>
  <c r="G350" i="5"/>
  <c r="G352" i="5"/>
  <c r="G351" i="5"/>
  <c r="G349" i="5"/>
  <c r="G353" i="5" s="1"/>
  <c r="H354" i="5"/>
  <c r="H346" i="5"/>
  <c r="H348" i="5" s="1"/>
  <c r="I342" i="5"/>
  <c r="I344" i="5" s="1"/>
  <c r="F349" i="4"/>
  <c r="F350" i="4"/>
  <c r="F351" i="4"/>
  <c r="F352" i="4"/>
  <c r="H354" i="4"/>
  <c r="H346" i="4"/>
  <c r="H348" i="4" s="1"/>
  <c r="I342" i="4"/>
  <c r="I344" i="4" s="1"/>
  <c r="Z129" i="5"/>
  <c r="R129" i="4"/>
  <c r="F352" i="5"/>
  <c r="F351" i="5"/>
  <c r="F350" i="5"/>
  <c r="F349" i="5"/>
  <c r="G353" i="6"/>
  <c r="E353" i="5"/>
  <c r="H353" i="6"/>
  <c r="G348" i="4"/>
  <c r="Z357" i="5" l="1"/>
  <c r="V129" i="5"/>
  <c r="O129" i="4"/>
  <c r="P129" i="4" s="1"/>
  <c r="Q129" i="4" s="1"/>
  <c r="AA129" i="5"/>
  <c r="AB129" i="5" s="1"/>
  <c r="AC129" i="5" s="1"/>
  <c r="AD129" i="5" s="1"/>
  <c r="AG357" i="5"/>
  <c r="AB357" i="5"/>
  <c r="AF357" i="5"/>
  <c r="AH357" i="5"/>
  <c r="S129" i="4"/>
  <c r="T129" i="4" s="1"/>
  <c r="S357" i="4"/>
  <c r="W357" i="4"/>
  <c r="J349" i="6"/>
  <c r="J350" i="6"/>
  <c r="J351" i="6"/>
  <c r="J352" i="6"/>
  <c r="K354" i="6"/>
  <c r="K346" i="6"/>
  <c r="K348" i="6" s="1"/>
  <c r="L342" i="6"/>
  <c r="L344" i="6" s="1"/>
  <c r="H350" i="5"/>
  <c r="H352" i="5"/>
  <c r="H349" i="5"/>
  <c r="H351" i="5"/>
  <c r="I354" i="5"/>
  <c r="J342" i="5"/>
  <c r="J344" i="5" s="1"/>
  <c r="I346" i="5"/>
  <c r="I348" i="5" s="1"/>
  <c r="H349" i="4"/>
  <c r="H350" i="4"/>
  <c r="H351" i="4"/>
  <c r="H352" i="4"/>
  <c r="I354" i="4"/>
  <c r="I346" i="4"/>
  <c r="I348" i="4" s="1"/>
  <c r="J342" i="4"/>
  <c r="J344" i="4" s="1"/>
  <c r="AE129" i="5"/>
  <c r="U129" i="4"/>
  <c r="G352" i="4"/>
  <c r="G351" i="4"/>
  <c r="G350" i="4"/>
  <c r="G349" i="4"/>
  <c r="G353" i="4" s="1"/>
  <c r="F353" i="4"/>
  <c r="F353" i="5"/>
  <c r="I353" i="6"/>
  <c r="W129" i="5" l="1"/>
  <c r="X129" i="5" s="1"/>
  <c r="H353" i="4"/>
  <c r="AF129" i="5"/>
  <c r="AG129" i="5" s="1"/>
  <c r="AI357" i="5"/>
  <c r="AM357" i="5"/>
  <c r="AE357" i="5"/>
  <c r="V129" i="4"/>
  <c r="W129" i="4" s="1"/>
  <c r="AB357" i="4"/>
  <c r="AC357" i="4"/>
  <c r="V357" i="4"/>
  <c r="X357" i="4"/>
  <c r="U357" i="4"/>
  <c r="K349" i="6"/>
  <c r="K350" i="6"/>
  <c r="K351" i="6"/>
  <c r="K352" i="6"/>
  <c r="L354" i="6"/>
  <c r="L346" i="6"/>
  <c r="L348" i="6" s="1"/>
  <c r="M342" i="6"/>
  <c r="M344" i="6" s="1"/>
  <c r="J354" i="5"/>
  <c r="J346" i="5"/>
  <c r="J348" i="5" s="1"/>
  <c r="K342" i="5"/>
  <c r="K344" i="5" s="1"/>
  <c r="I350" i="5"/>
  <c r="I351" i="5"/>
  <c r="I352" i="5"/>
  <c r="I349" i="5"/>
  <c r="I353" i="5" s="1"/>
  <c r="I349" i="4"/>
  <c r="I350" i="4"/>
  <c r="I351" i="4"/>
  <c r="I352" i="4"/>
  <c r="J354" i="4"/>
  <c r="J346" i="4"/>
  <c r="J348" i="4" s="1"/>
  <c r="K342" i="4"/>
  <c r="K344" i="4" s="1"/>
  <c r="AI129" i="5"/>
  <c r="X129" i="4"/>
  <c r="H353" i="5"/>
  <c r="J353" i="6"/>
  <c r="Y129" i="5" l="1"/>
  <c r="AH129" i="5"/>
  <c r="AJ129" i="5"/>
  <c r="AK129" i="5" s="1"/>
  <c r="AL129" i="5" s="1"/>
  <c r="AM129" i="5" s="1"/>
  <c r="AN129" i="5" s="1"/>
  <c r="AN357" i="5"/>
  <c r="AK357" i="5"/>
  <c r="AJ357" i="5"/>
  <c r="AL357" i="5"/>
  <c r="AT357" i="5"/>
  <c r="AQ357" i="5"/>
  <c r="Y129" i="4"/>
  <c r="Y357" i="4"/>
  <c r="AA357" i="4"/>
  <c r="Z357" i="4"/>
  <c r="L349" i="6"/>
  <c r="L350" i="6"/>
  <c r="L351" i="6"/>
  <c r="L352" i="6"/>
  <c r="M354" i="6"/>
  <c r="M346" i="6"/>
  <c r="M348" i="6" s="1"/>
  <c r="N342" i="6"/>
  <c r="N344" i="6" s="1"/>
  <c r="J350" i="5"/>
  <c r="J352" i="5"/>
  <c r="J349" i="5"/>
  <c r="J351" i="5"/>
  <c r="K354" i="5"/>
  <c r="K346" i="5"/>
  <c r="K348" i="5" s="1"/>
  <c r="L342" i="5"/>
  <c r="L344" i="5" s="1"/>
  <c r="J349" i="4"/>
  <c r="J350" i="4"/>
  <c r="J351" i="4"/>
  <c r="J352" i="4"/>
  <c r="K354" i="4"/>
  <c r="K346" i="4"/>
  <c r="K348" i="4" s="1"/>
  <c r="L342" i="4"/>
  <c r="L344" i="4" s="1"/>
  <c r="AO129" i="5"/>
  <c r="AD129" i="4"/>
  <c r="I353" i="4"/>
  <c r="K353" i="6"/>
  <c r="Z129" i="4" l="1"/>
  <c r="AA129" i="4" s="1"/>
  <c r="AB129" i="4" s="1"/>
  <c r="AC129" i="4" s="1"/>
  <c r="AP129" i="5"/>
  <c r="AQ129" i="5" s="1"/>
  <c r="AS357" i="5"/>
  <c r="AR357" i="5"/>
  <c r="AO357" i="5"/>
  <c r="AP357" i="5"/>
  <c r="AF357" i="4"/>
  <c r="AG357" i="4"/>
  <c r="AD357" i="4"/>
  <c r="M349" i="6"/>
  <c r="M350" i="6"/>
  <c r="M351" i="6"/>
  <c r="M352" i="6"/>
  <c r="N354" i="6"/>
  <c r="N346" i="6"/>
  <c r="N348" i="6" s="1"/>
  <c r="O342" i="6"/>
  <c r="O344" i="6" s="1"/>
  <c r="K349" i="5"/>
  <c r="K350" i="5"/>
  <c r="K352" i="5"/>
  <c r="K351" i="5"/>
  <c r="L354" i="5"/>
  <c r="L346" i="5"/>
  <c r="L348" i="5" s="1"/>
  <c r="M342" i="5"/>
  <c r="M344" i="5" s="1"/>
  <c r="K349" i="4"/>
  <c r="K350" i="4"/>
  <c r="K351" i="4"/>
  <c r="K352" i="4"/>
  <c r="L354" i="4"/>
  <c r="L346" i="4"/>
  <c r="L348" i="4" s="1"/>
  <c r="M342" i="4"/>
  <c r="M344" i="4" s="1"/>
  <c r="AU129" i="5"/>
  <c r="AE129" i="4"/>
  <c r="J353" i="5"/>
  <c r="J353" i="4"/>
  <c r="L353" i="6"/>
  <c r="AR129" i="5" l="1"/>
  <c r="AS129" i="5" s="1"/>
  <c r="AT129" i="5" s="1"/>
  <c r="AV129" i="5"/>
  <c r="AW129" i="5" s="1"/>
  <c r="AX129" i="5" s="1"/>
  <c r="AY129" i="5" s="1"/>
  <c r="AZ129" i="5" s="1"/>
  <c r="AU357" i="5"/>
  <c r="BA357" i="5"/>
  <c r="AW357" i="5"/>
  <c r="AV357" i="5"/>
  <c r="AX357" i="5"/>
  <c r="AY357" i="5"/>
  <c r="AZ357" i="5"/>
  <c r="AF129" i="4"/>
  <c r="AG129" i="4" s="1"/>
  <c r="AE357" i="4"/>
  <c r="N349" i="6"/>
  <c r="N350" i="6"/>
  <c r="N351" i="6"/>
  <c r="N352" i="6"/>
  <c r="O354" i="6"/>
  <c r="O346" i="6"/>
  <c r="O348" i="6" s="1"/>
  <c r="P342" i="6"/>
  <c r="P344" i="6" s="1"/>
  <c r="L352" i="5"/>
  <c r="L349" i="5"/>
  <c r="L350" i="5"/>
  <c r="L351" i="5"/>
  <c r="M354" i="5"/>
  <c r="N342" i="5"/>
  <c r="N344" i="5" s="1"/>
  <c r="M346" i="5"/>
  <c r="M348" i="5" s="1"/>
  <c r="L349" i="4"/>
  <c r="L350" i="4"/>
  <c r="L351" i="4"/>
  <c r="L352" i="4"/>
  <c r="M354" i="4"/>
  <c r="M346" i="4"/>
  <c r="M348" i="4" s="1"/>
  <c r="N342" i="4"/>
  <c r="N344" i="4" s="1"/>
  <c r="BB129" i="5"/>
  <c r="AH129" i="4"/>
  <c r="K353" i="5"/>
  <c r="K353" i="4"/>
  <c r="M353" i="6"/>
  <c r="R76" i="5" l="1"/>
  <c r="BA129" i="5"/>
  <c r="BC129" i="5"/>
  <c r="BD129" i="5" s="1"/>
  <c r="O85" i="5"/>
  <c r="R52" i="5"/>
  <c r="O98" i="5"/>
  <c r="O87" i="5"/>
  <c r="O117" i="5"/>
  <c r="O42" i="5"/>
  <c r="O31" i="5"/>
  <c r="R70" i="5"/>
  <c r="R114" i="5"/>
  <c r="R98" i="5"/>
  <c r="S98" i="5" s="1"/>
  <c r="O33" i="5"/>
  <c r="O91" i="5"/>
  <c r="R88" i="5"/>
  <c r="R41" i="5"/>
  <c r="S41" i="5" s="1"/>
  <c r="O28" i="5"/>
  <c r="O36" i="5"/>
  <c r="O61" i="5"/>
  <c r="O49" i="5"/>
  <c r="R36" i="5"/>
  <c r="S36" i="5" s="1"/>
  <c r="R39" i="5"/>
  <c r="O106" i="5"/>
  <c r="R115" i="5"/>
  <c r="O58" i="5"/>
  <c r="O97" i="5"/>
  <c r="O81" i="5"/>
  <c r="O66" i="5"/>
  <c r="R38" i="5"/>
  <c r="R32" i="5"/>
  <c r="R43" i="5"/>
  <c r="R83" i="5"/>
  <c r="R105" i="5"/>
  <c r="R106" i="5"/>
  <c r="S106" i="5" s="1"/>
  <c r="O71" i="5"/>
  <c r="R116" i="5"/>
  <c r="R31" i="5"/>
  <c r="S31" i="5" s="1"/>
  <c r="R27" i="5"/>
  <c r="R48" i="5"/>
  <c r="O102" i="5"/>
  <c r="O67" i="5"/>
  <c r="O44" i="5"/>
  <c r="R112" i="5"/>
  <c r="S112" i="5" s="1"/>
  <c r="O75" i="5"/>
  <c r="R57" i="5"/>
  <c r="R37" i="5"/>
  <c r="R45" i="5"/>
  <c r="S45" i="5" s="1"/>
  <c r="O105" i="5"/>
  <c r="O116" i="5"/>
  <c r="O111" i="5"/>
  <c r="O48" i="5"/>
  <c r="R73" i="5"/>
  <c r="R72" i="5"/>
  <c r="R86" i="5"/>
  <c r="O32" i="5"/>
  <c r="O35" i="5"/>
  <c r="O37" i="5"/>
  <c r="O39" i="5"/>
  <c r="O43" i="5"/>
  <c r="O76" i="5"/>
  <c r="O109" i="5"/>
  <c r="R107" i="5"/>
  <c r="S107" i="5" s="1"/>
  <c r="R65" i="5"/>
  <c r="O115" i="5"/>
  <c r="R79" i="5"/>
  <c r="R91" i="5"/>
  <c r="S91" i="5" s="1"/>
  <c r="R109" i="5"/>
  <c r="S109" i="5" s="1"/>
  <c r="R122" i="5"/>
  <c r="R24" i="5"/>
  <c r="R62" i="5"/>
  <c r="S62" i="5" s="1"/>
  <c r="O104" i="5"/>
  <c r="R59" i="5"/>
  <c r="S59" i="5" s="1"/>
  <c r="R85" i="5"/>
  <c r="S85" i="5" s="1"/>
  <c r="R78" i="5"/>
  <c r="O89" i="5"/>
  <c r="O93" i="5"/>
  <c r="O88" i="5"/>
  <c r="R44" i="5"/>
  <c r="S44" i="5" s="1"/>
  <c r="O55" i="5"/>
  <c r="R58" i="5"/>
  <c r="S58" i="5" s="1"/>
  <c r="BI357" i="5"/>
  <c r="R29" i="5"/>
  <c r="R42" i="5"/>
  <c r="S42" i="5" s="1"/>
  <c r="O38" i="5"/>
  <c r="R28" i="5"/>
  <c r="S28" i="5" s="1"/>
  <c r="R50" i="5"/>
  <c r="S50" i="5" s="1"/>
  <c r="O60" i="5"/>
  <c r="R95" i="5"/>
  <c r="R51" i="5"/>
  <c r="O86" i="5"/>
  <c r="O99" i="5"/>
  <c r="O70" i="5"/>
  <c r="R87" i="5"/>
  <c r="S87" i="5" s="1"/>
  <c r="R40" i="5"/>
  <c r="R123" i="5"/>
  <c r="S123" i="5" s="1"/>
  <c r="R82" i="5"/>
  <c r="O96" i="5"/>
  <c r="R60" i="5"/>
  <c r="S60" i="5" s="1"/>
  <c r="O118" i="5"/>
  <c r="R101" i="5"/>
  <c r="O83" i="5"/>
  <c r="O103" i="5"/>
  <c r="O79" i="5"/>
  <c r="BB357" i="5"/>
  <c r="O94" i="5"/>
  <c r="O30" i="5"/>
  <c r="O78" i="5"/>
  <c r="O29" i="5"/>
  <c r="R96" i="5"/>
  <c r="S96" i="5" s="1"/>
  <c r="O69" i="5"/>
  <c r="O119" i="5"/>
  <c r="R118" i="5"/>
  <c r="O45" i="5"/>
  <c r="O54" i="5"/>
  <c r="O26" i="5"/>
  <c r="O24" i="5"/>
  <c r="R120" i="5"/>
  <c r="R35" i="5"/>
  <c r="O59" i="5"/>
  <c r="O50" i="5"/>
  <c r="R117" i="5"/>
  <c r="S117" i="5" s="1"/>
  <c r="R67" i="5"/>
  <c r="S67" i="5" s="1"/>
  <c r="R100" i="5"/>
  <c r="S100" i="5" s="1"/>
  <c r="R66" i="5"/>
  <c r="S66" i="5" s="1"/>
  <c r="O25" i="5"/>
  <c r="R49" i="5"/>
  <c r="S49" i="5" s="1"/>
  <c r="R119" i="5"/>
  <c r="S119" i="5" s="1"/>
  <c r="O121" i="5"/>
  <c r="O27" i="5"/>
  <c r="BF357" i="5"/>
  <c r="O72" i="5"/>
  <c r="R81" i="5"/>
  <c r="S81" i="5" s="1"/>
  <c r="O40" i="5"/>
  <c r="R75" i="5"/>
  <c r="S75" i="5" s="1"/>
  <c r="BD357" i="5"/>
  <c r="R92" i="5"/>
  <c r="BC357" i="5"/>
  <c r="R99" i="5"/>
  <c r="R26" i="5"/>
  <c r="R90" i="5"/>
  <c r="O52" i="5"/>
  <c r="O77" i="5"/>
  <c r="O100" i="5"/>
  <c r="O68" i="5"/>
  <c r="R97" i="5"/>
  <c r="R69" i="5"/>
  <c r="R25" i="5"/>
  <c r="R74" i="5"/>
  <c r="R64" i="5"/>
  <c r="O80" i="5"/>
  <c r="R89" i="5"/>
  <c r="O41" i="5"/>
  <c r="R34" i="5"/>
  <c r="R110" i="5"/>
  <c r="BG357" i="5"/>
  <c r="R54" i="5"/>
  <c r="R71" i="5"/>
  <c r="R47" i="5"/>
  <c r="O92" i="5"/>
  <c r="O62" i="5"/>
  <c r="R104" i="5"/>
  <c r="R103" i="5"/>
  <c r="R94" i="5"/>
  <c r="R55" i="5"/>
  <c r="O63" i="5"/>
  <c r="R93" i="5"/>
  <c r="O74" i="5"/>
  <c r="R77" i="5"/>
  <c r="S77" i="5" s="1"/>
  <c r="BJ357" i="5"/>
  <c r="R84" i="5"/>
  <c r="O112" i="5"/>
  <c r="BE357" i="5"/>
  <c r="O107" i="5"/>
  <c r="O123" i="5"/>
  <c r="R53" i="5"/>
  <c r="AI129" i="4"/>
  <c r="AH357" i="4"/>
  <c r="AM357" i="4"/>
  <c r="AI357" i="4"/>
  <c r="AL357" i="4"/>
  <c r="AJ357" i="4"/>
  <c r="O349" i="6"/>
  <c r="O350" i="6"/>
  <c r="O351" i="6"/>
  <c r="O352" i="6"/>
  <c r="P354" i="6"/>
  <c r="P346" i="6"/>
  <c r="P348" i="6" s="1"/>
  <c r="Q342" i="6"/>
  <c r="Q344" i="6" s="1"/>
  <c r="N354" i="5"/>
  <c r="O342" i="5"/>
  <c r="O344" i="5" s="1"/>
  <c r="N346" i="5"/>
  <c r="N348" i="5" s="1"/>
  <c r="M349" i="5"/>
  <c r="M350" i="5"/>
  <c r="M351" i="5"/>
  <c r="M352" i="5"/>
  <c r="M349" i="4"/>
  <c r="M350" i="4"/>
  <c r="M351" i="4"/>
  <c r="M352" i="4"/>
  <c r="N354" i="4"/>
  <c r="N346" i="4"/>
  <c r="N348" i="4" s="1"/>
  <c r="O342" i="4"/>
  <c r="O344" i="4" s="1"/>
  <c r="BG129" i="5"/>
  <c r="AJ129" i="4"/>
  <c r="N353" i="6"/>
  <c r="L353" i="5"/>
  <c r="L353" i="4"/>
  <c r="O73" i="5" l="1"/>
  <c r="BE129" i="5"/>
  <c r="K85" i="3"/>
  <c r="Q85" i="5"/>
  <c r="K11" i="3"/>
  <c r="Q98" i="5"/>
  <c r="Q87" i="5"/>
  <c r="K63" i="3"/>
  <c r="Q117" i="5"/>
  <c r="K92" i="3"/>
  <c r="Q42" i="5"/>
  <c r="K58" i="3"/>
  <c r="Q31" i="5"/>
  <c r="K29" i="3"/>
  <c r="Q33" i="5"/>
  <c r="K43" i="3"/>
  <c r="Q91" i="5"/>
  <c r="K51" i="3"/>
  <c r="K104" i="3"/>
  <c r="Q28" i="5"/>
  <c r="K44" i="3"/>
  <c r="Q36" i="5"/>
  <c r="K60" i="3"/>
  <c r="Q61" i="5"/>
  <c r="Q49" i="5"/>
  <c r="K32" i="3"/>
  <c r="Q106" i="5"/>
  <c r="K69" i="3"/>
  <c r="K71" i="3"/>
  <c r="Q58" i="5"/>
  <c r="Q97" i="5"/>
  <c r="K41" i="3"/>
  <c r="Q81" i="5"/>
  <c r="K40" i="3"/>
  <c r="Q66" i="5"/>
  <c r="K66" i="3"/>
  <c r="K87" i="3"/>
  <c r="Q71" i="5"/>
  <c r="K12" i="3"/>
  <c r="Q102" i="5"/>
  <c r="Q67" i="5"/>
  <c r="K61" i="3"/>
  <c r="Q44" i="5"/>
  <c r="K102" i="3"/>
  <c r="K27" i="3"/>
  <c r="Q75" i="5"/>
  <c r="Q105" i="5"/>
  <c r="K68" i="3"/>
  <c r="K74" i="3"/>
  <c r="Q116" i="5"/>
  <c r="Q111" i="5"/>
  <c r="K84" i="3"/>
  <c r="K20" i="3"/>
  <c r="Q48" i="5"/>
  <c r="K19" i="3"/>
  <c r="Q32" i="5"/>
  <c r="K53" i="3"/>
  <c r="Q35" i="5"/>
  <c r="K23" i="3"/>
  <c r="Q37" i="5"/>
  <c r="K35" i="3"/>
  <c r="Q39" i="5"/>
  <c r="Q43" i="5"/>
  <c r="K86" i="3"/>
  <c r="K38" i="3"/>
  <c r="Q76" i="5"/>
  <c r="Q109" i="5"/>
  <c r="K97" i="3"/>
  <c r="K91" i="3"/>
  <c r="Q115" i="5"/>
  <c r="S24" i="5"/>
  <c r="K89" i="3"/>
  <c r="Q104" i="5"/>
  <c r="Q89" i="5"/>
  <c r="K54" i="3"/>
  <c r="Q93" i="5"/>
  <c r="K72" i="3"/>
  <c r="Q88" i="5"/>
  <c r="K67" i="3"/>
  <c r="K94" i="3"/>
  <c r="Q55" i="5"/>
  <c r="Q38" i="5"/>
  <c r="K45" i="3"/>
  <c r="Q60" i="5"/>
  <c r="K75" i="3"/>
  <c r="K82" i="3"/>
  <c r="Q86" i="5"/>
  <c r="Q99" i="5"/>
  <c r="K56" i="3"/>
  <c r="K15" i="3"/>
  <c r="Q70" i="5"/>
  <c r="K21" i="3"/>
  <c r="Q96" i="5"/>
  <c r="Q118" i="5"/>
  <c r="K18" i="3"/>
  <c r="Q83" i="5"/>
  <c r="K7" i="3"/>
  <c r="K57" i="3"/>
  <c r="Q103" i="5"/>
  <c r="K39" i="3"/>
  <c r="Q79" i="5"/>
  <c r="K98" i="3"/>
  <c r="Q94" i="5"/>
  <c r="Q30" i="5"/>
  <c r="K88" i="3"/>
  <c r="K34" i="3"/>
  <c r="Q78" i="5"/>
  <c r="K16" i="3"/>
  <c r="Q29" i="5"/>
  <c r="Q69" i="5"/>
  <c r="K62" i="3"/>
  <c r="K14" i="3"/>
  <c r="Q119" i="5"/>
  <c r="Q45" i="5"/>
  <c r="K103" i="3"/>
  <c r="K59" i="3"/>
  <c r="Q54" i="5"/>
  <c r="K36" i="3"/>
  <c r="Q26" i="5"/>
  <c r="K13" i="3"/>
  <c r="Q24" i="5"/>
  <c r="K48" i="3"/>
  <c r="Q59" i="5"/>
  <c r="K64" i="3"/>
  <c r="Q50" i="5"/>
  <c r="Q25" i="5"/>
  <c r="K47" i="3"/>
  <c r="K42" i="3"/>
  <c r="Q121" i="5"/>
  <c r="K65" i="3"/>
  <c r="Q27" i="5"/>
  <c r="K76" i="3"/>
  <c r="Q72" i="5"/>
  <c r="Q40" i="5"/>
  <c r="K46" i="3"/>
  <c r="Q52" i="5"/>
  <c r="K33" i="3"/>
  <c r="Q77" i="5"/>
  <c r="K50" i="3"/>
  <c r="Q100" i="5"/>
  <c r="K100" i="3"/>
  <c r="K96" i="3"/>
  <c r="Q68" i="5"/>
  <c r="K78" i="3"/>
  <c r="Q80" i="5"/>
  <c r="Q41" i="5"/>
  <c r="K5" i="3"/>
  <c r="Q92" i="5"/>
  <c r="K80" i="3"/>
  <c r="Q62" i="5"/>
  <c r="K26" i="3"/>
  <c r="Q63" i="5"/>
  <c r="K49" i="3"/>
  <c r="K37" i="3"/>
  <c r="Q74" i="5"/>
  <c r="Q112" i="5"/>
  <c r="K17" i="3"/>
  <c r="Q107" i="5"/>
  <c r="K73" i="3"/>
  <c r="Q123" i="5"/>
  <c r="K95" i="3"/>
  <c r="S118" i="5"/>
  <c r="S35" i="5"/>
  <c r="S92" i="5"/>
  <c r="S99" i="5"/>
  <c r="S26" i="5"/>
  <c r="S54" i="5"/>
  <c r="S71" i="5"/>
  <c r="S103" i="5"/>
  <c r="S55" i="5"/>
  <c r="S93" i="5"/>
  <c r="S97" i="5"/>
  <c r="S69" i="5"/>
  <c r="S25" i="5"/>
  <c r="S74" i="5"/>
  <c r="S89" i="5"/>
  <c r="S104" i="5"/>
  <c r="S94" i="5"/>
  <c r="S79" i="5"/>
  <c r="S40" i="5"/>
  <c r="S78" i="5"/>
  <c r="S88" i="5"/>
  <c r="S32" i="5"/>
  <c r="S83" i="5"/>
  <c r="S116" i="5"/>
  <c r="S27" i="5"/>
  <c r="S37" i="5"/>
  <c r="S86" i="5"/>
  <c r="S76" i="5"/>
  <c r="S52" i="5"/>
  <c r="S70" i="5"/>
  <c r="S39" i="5"/>
  <c r="S115" i="5"/>
  <c r="S38" i="5"/>
  <c r="S43" i="5"/>
  <c r="S105" i="5"/>
  <c r="S48" i="5"/>
  <c r="S72" i="5"/>
  <c r="S29" i="5"/>
  <c r="BH129" i="5"/>
  <c r="BI129" i="5" s="1"/>
  <c r="BJ129" i="5" s="1"/>
  <c r="O90" i="5" s="1"/>
  <c r="O108" i="5"/>
  <c r="R80" i="5"/>
  <c r="S80" i="5" s="1"/>
  <c r="O51" i="5"/>
  <c r="R111" i="5"/>
  <c r="S111" i="5" s="1"/>
  <c r="R33" i="5"/>
  <c r="S33" i="5" s="1"/>
  <c r="R46" i="5"/>
  <c r="R121" i="5"/>
  <c r="S121" i="5" s="1"/>
  <c r="O101" i="5"/>
  <c r="R63" i="5"/>
  <c r="S63" i="5" s="1"/>
  <c r="R108" i="5"/>
  <c r="S108" i="5" s="1"/>
  <c r="R56" i="5"/>
  <c r="R102" i="5"/>
  <c r="S102" i="5" s="1"/>
  <c r="O82" i="5"/>
  <c r="O65" i="5"/>
  <c r="O56" i="5"/>
  <c r="R113" i="5"/>
  <c r="O46" i="5"/>
  <c r="O34" i="5"/>
  <c r="O122" i="5"/>
  <c r="O64" i="5"/>
  <c r="R61" i="5"/>
  <c r="S61" i="5" s="1"/>
  <c r="O95" i="5"/>
  <c r="O114" i="5"/>
  <c r="O53" i="5"/>
  <c r="O84" i="5"/>
  <c r="O47" i="5"/>
  <c r="O113" i="5"/>
  <c r="O57" i="5"/>
  <c r="O120" i="5"/>
  <c r="R30" i="5"/>
  <c r="AK129" i="4"/>
  <c r="AK357" i="4"/>
  <c r="P349" i="6"/>
  <c r="P350" i="6"/>
  <c r="P351" i="6"/>
  <c r="P352" i="6"/>
  <c r="Q354" i="6"/>
  <c r="Q346" i="6"/>
  <c r="Q348" i="6" s="1"/>
  <c r="R342" i="6"/>
  <c r="R344" i="6" s="1"/>
  <c r="O354" i="5"/>
  <c r="P342" i="5"/>
  <c r="P344" i="5" s="1"/>
  <c r="O346" i="5"/>
  <c r="O348" i="5" s="1"/>
  <c r="N349" i="5"/>
  <c r="N350" i="5"/>
  <c r="N351" i="5"/>
  <c r="N352" i="5"/>
  <c r="N349" i="4"/>
  <c r="N350" i="4"/>
  <c r="N351" i="4"/>
  <c r="N352" i="4"/>
  <c r="O354" i="4"/>
  <c r="O346" i="4"/>
  <c r="O348" i="4" s="1"/>
  <c r="P342" i="4"/>
  <c r="P344" i="4" s="1"/>
  <c r="S57" i="5"/>
  <c r="Q57" i="5"/>
  <c r="K70" i="3"/>
  <c r="AN129" i="4"/>
  <c r="M353" i="5"/>
  <c r="M353" i="4"/>
  <c r="O353" i="6"/>
  <c r="S73" i="5" l="1"/>
  <c r="Q73" i="5"/>
  <c r="K77" i="3"/>
  <c r="BH357" i="5"/>
  <c r="R68" i="5"/>
  <c r="O110" i="5"/>
  <c r="BF129" i="5"/>
  <c r="Q90" i="5"/>
  <c r="K79" i="3"/>
  <c r="S90" i="5"/>
  <c r="Q108" i="5"/>
  <c r="K83" i="3"/>
  <c r="Q51" i="5"/>
  <c r="K6" i="3"/>
  <c r="S51" i="5"/>
  <c r="Q101" i="5"/>
  <c r="K52" i="3"/>
  <c r="S101" i="5"/>
  <c r="Q82" i="5"/>
  <c r="K28" i="3"/>
  <c r="S82" i="5"/>
  <c r="K24" i="3"/>
  <c r="Q65" i="5"/>
  <c r="S65" i="5"/>
  <c r="K8" i="3"/>
  <c r="Q56" i="5"/>
  <c r="K31" i="3"/>
  <c r="Q46" i="5"/>
  <c r="K93" i="3"/>
  <c r="Q34" i="5"/>
  <c r="S34" i="5"/>
  <c r="K30" i="3"/>
  <c r="Q122" i="5"/>
  <c r="S122" i="5"/>
  <c r="K9" i="3"/>
  <c r="Q64" i="5"/>
  <c r="S64" i="5"/>
  <c r="K55" i="3"/>
  <c r="Q95" i="5"/>
  <c r="S95" i="5"/>
  <c r="Q114" i="5"/>
  <c r="K99" i="3"/>
  <c r="S114" i="5"/>
  <c r="S53" i="5"/>
  <c r="Q53" i="5"/>
  <c r="K22" i="3"/>
  <c r="S84" i="5"/>
  <c r="Q84" i="5"/>
  <c r="K10" i="3"/>
  <c r="S47" i="5"/>
  <c r="Q47" i="5"/>
  <c r="K25" i="3"/>
  <c r="Q113" i="5"/>
  <c r="K90" i="3"/>
  <c r="S120" i="5"/>
  <c r="K81" i="3"/>
  <c r="Q120" i="5"/>
  <c r="AL129" i="4"/>
  <c r="AM129" i="4" s="1"/>
  <c r="S56" i="5"/>
  <c r="S46" i="5"/>
  <c r="S113" i="5"/>
  <c r="S30" i="5"/>
  <c r="AO129" i="4"/>
  <c r="AN357" i="4"/>
  <c r="AO357" i="4"/>
  <c r="Q349" i="6"/>
  <c r="Q350" i="6"/>
  <c r="Q351" i="6"/>
  <c r="Q352" i="6"/>
  <c r="R354" i="6"/>
  <c r="R346" i="6"/>
  <c r="R348" i="6" s="1"/>
  <c r="S342" i="6"/>
  <c r="S344" i="6" s="1"/>
  <c r="P354" i="5"/>
  <c r="P346" i="5"/>
  <c r="P348" i="5" s="1"/>
  <c r="Q342" i="5"/>
  <c r="Q344" i="5" s="1"/>
  <c r="O351" i="5"/>
  <c r="O352" i="5"/>
  <c r="O349" i="5"/>
  <c r="O350" i="5"/>
  <c r="O349" i="4"/>
  <c r="O350" i="4"/>
  <c r="O351" i="4"/>
  <c r="O352" i="4"/>
  <c r="P354" i="4"/>
  <c r="P346" i="4"/>
  <c r="P348" i="4" s="1"/>
  <c r="Q342" i="4"/>
  <c r="Q344" i="4" s="1"/>
  <c r="AP129" i="4"/>
  <c r="P353" i="6"/>
  <c r="N353" i="5"/>
  <c r="N353" i="4"/>
  <c r="O124" i="5" l="1"/>
  <c r="S110" i="5"/>
  <c r="K101" i="3"/>
  <c r="Q110" i="5"/>
  <c r="Q124" i="5" s="1"/>
  <c r="F356" i="5"/>
  <c r="D355" i="5"/>
  <c r="Q356" i="5"/>
  <c r="Q147" i="1"/>
  <c r="Q152" i="1"/>
  <c r="Q155" i="1"/>
  <c r="C356" i="5"/>
  <c r="H355" i="5"/>
  <c r="S68" i="5"/>
  <c r="R124" i="5"/>
  <c r="S124" i="5" s="1"/>
  <c r="P355" i="5"/>
  <c r="T355" i="5"/>
  <c r="L356" i="5"/>
  <c r="G355" i="5"/>
  <c r="Q355" i="5"/>
  <c r="T356" i="5"/>
  <c r="K355" i="5"/>
  <c r="Q153" i="1"/>
  <c r="G356" i="5"/>
  <c r="Q149" i="1"/>
  <c r="O356" i="5"/>
  <c r="E355" i="5"/>
  <c r="N356" i="5"/>
  <c r="S356" i="5"/>
  <c r="I355" i="5"/>
  <c r="J356" i="5"/>
  <c r="R356" i="5"/>
  <c r="Q151" i="1"/>
  <c r="Q154" i="1"/>
  <c r="M355" i="5"/>
  <c r="Q148" i="1"/>
  <c r="K356" i="5"/>
  <c r="F355" i="5"/>
  <c r="R355" i="5"/>
  <c r="U355" i="5"/>
  <c r="S355" i="5"/>
  <c r="C355" i="5"/>
  <c r="N355" i="5"/>
  <c r="J355" i="5"/>
  <c r="I356" i="5"/>
  <c r="P356" i="5"/>
  <c r="AQ129" i="4"/>
  <c r="AW357" i="4"/>
  <c r="AT357" i="4"/>
  <c r="AR357" i="4"/>
  <c r="AS357" i="4"/>
  <c r="AQ357" i="4"/>
  <c r="AP357" i="4"/>
  <c r="R349" i="6"/>
  <c r="R350" i="6"/>
  <c r="R351" i="6"/>
  <c r="R352" i="6"/>
  <c r="S354" i="6"/>
  <c r="S346" i="6"/>
  <c r="S348" i="6" s="1"/>
  <c r="T342" i="6"/>
  <c r="T344" i="6" s="1"/>
  <c r="P349" i="5"/>
  <c r="P350" i="5"/>
  <c r="P351" i="5"/>
  <c r="P352" i="5"/>
  <c r="Q354" i="5"/>
  <c r="Q346" i="5"/>
  <c r="Q348" i="5" s="1"/>
  <c r="R342" i="5"/>
  <c r="R344" i="5" s="1"/>
  <c r="P349" i="4"/>
  <c r="P350" i="4"/>
  <c r="P351" i="4"/>
  <c r="P352" i="4"/>
  <c r="Q354" i="4"/>
  <c r="Q346" i="4"/>
  <c r="Q348" i="4" s="1"/>
  <c r="R342" i="4"/>
  <c r="R344" i="4" s="1"/>
  <c r="AT129" i="4"/>
  <c r="O353" i="5"/>
  <c r="O353" i="4"/>
  <c r="Q353" i="6"/>
  <c r="J17" i="5" l="1"/>
  <c r="C5" i="1" s="1"/>
  <c r="J13" i="5"/>
  <c r="AR129" i="4"/>
  <c r="AS129" i="4" s="1"/>
  <c r="M356" i="5"/>
  <c r="Q150" i="1"/>
  <c r="O355" i="5"/>
  <c r="H356" i="5"/>
  <c r="L355" i="5"/>
  <c r="AU129" i="4"/>
  <c r="AV129" i="4" s="1"/>
  <c r="BB357" i="4"/>
  <c r="AZ357" i="4"/>
  <c r="AV357" i="4"/>
  <c r="AU357" i="4"/>
  <c r="S349" i="6"/>
  <c r="S350" i="6"/>
  <c r="S351" i="6"/>
  <c r="S352" i="6"/>
  <c r="T354" i="6"/>
  <c r="T346" i="6"/>
  <c r="T348" i="6" s="1"/>
  <c r="U342" i="6"/>
  <c r="U344" i="6" s="1"/>
  <c r="Q350" i="5"/>
  <c r="Q351" i="5"/>
  <c r="Q349" i="5"/>
  <c r="Q352" i="5"/>
  <c r="R354" i="5"/>
  <c r="R346" i="5"/>
  <c r="R348" i="5" s="1"/>
  <c r="S342" i="5"/>
  <c r="S344" i="5" s="1"/>
  <c r="Q349" i="4"/>
  <c r="Q350" i="4"/>
  <c r="Q351" i="4"/>
  <c r="Q352" i="4"/>
  <c r="R354" i="4"/>
  <c r="R346" i="4"/>
  <c r="R348" i="4" s="1"/>
  <c r="S342" i="4"/>
  <c r="S344" i="4" s="1"/>
  <c r="AX129" i="4"/>
  <c r="P353" i="5"/>
  <c r="P353" i="4"/>
  <c r="R353" i="6"/>
  <c r="AW129" i="4" l="1"/>
  <c r="AY129" i="4"/>
  <c r="BA357" i="4"/>
  <c r="AX357" i="4"/>
  <c r="BC357" i="4"/>
  <c r="BH357" i="4"/>
  <c r="BI357" i="4"/>
  <c r="AY357" i="4"/>
  <c r="T349" i="6"/>
  <c r="T350" i="6"/>
  <c r="T351" i="6"/>
  <c r="T352" i="6"/>
  <c r="U354" i="6"/>
  <c r="U346" i="6"/>
  <c r="U348" i="6" s="1"/>
  <c r="V342" i="6"/>
  <c r="R350" i="5"/>
  <c r="R351" i="5"/>
  <c r="R349" i="5"/>
  <c r="R353" i="5" s="1"/>
  <c r="R352" i="5"/>
  <c r="S354" i="5"/>
  <c r="S346" i="5"/>
  <c r="S348" i="5" s="1"/>
  <c r="T342" i="5"/>
  <c r="T344" i="5" s="1"/>
  <c r="R349" i="4"/>
  <c r="R350" i="4"/>
  <c r="R351" i="4"/>
  <c r="R352" i="4"/>
  <c r="S354" i="4"/>
  <c r="S346" i="4"/>
  <c r="S348" i="4" s="1"/>
  <c r="T342" i="4"/>
  <c r="T344" i="4" s="1"/>
  <c r="BC129" i="4"/>
  <c r="Q353" i="5"/>
  <c r="Q353" i="4"/>
  <c r="S353" i="6"/>
  <c r="O102" i="4" l="1"/>
  <c r="AZ129" i="4"/>
  <c r="BA129" i="4" s="1"/>
  <c r="BB129" i="4" s="1"/>
  <c r="T353" i="6"/>
  <c r="BD129" i="4"/>
  <c r="BE129" i="4" s="1"/>
  <c r="BF129" i="4" s="1"/>
  <c r="BG129" i="4" s="1"/>
  <c r="BH129" i="4" s="1"/>
  <c r="O104" i="4"/>
  <c r="O103" i="4"/>
  <c r="O72" i="4"/>
  <c r="R46" i="4"/>
  <c r="R68" i="4"/>
  <c r="O31" i="4"/>
  <c r="O121" i="4"/>
  <c r="R103" i="4"/>
  <c r="S103" i="4" s="1"/>
  <c r="O76" i="4"/>
  <c r="R75" i="4"/>
  <c r="O64" i="4"/>
  <c r="R58" i="4"/>
  <c r="R105" i="4"/>
  <c r="R92" i="4"/>
  <c r="R112" i="4"/>
  <c r="R54" i="4"/>
  <c r="R86" i="4"/>
  <c r="R107" i="4"/>
  <c r="S107" i="4" s="1"/>
  <c r="R123" i="4"/>
  <c r="R118" i="4"/>
  <c r="S118" i="4" s="1"/>
  <c r="R32" i="4"/>
  <c r="S32" i="4" s="1"/>
  <c r="O85" i="4"/>
  <c r="R77" i="4"/>
  <c r="S77" i="4" s="1"/>
  <c r="O96" i="4"/>
  <c r="R36" i="4"/>
  <c r="R81" i="4"/>
  <c r="R65" i="4"/>
  <c r="O28" i="4"/>
  <c r="R72" i="4"/>
  <c r="S72" i="4" s="1"/>
  <c r="BF357" i="4"/>
  <c r="O51" i="4"/>
  <c r="R37" i="4"/>
  <c r="O24" i="4"/>
  <c r="R78" i="4"/>
  <c r="O98" i="4"/>
  <c r="R73" i="4"/>
  <c r="O118" i="4"/>
  <c r="O77" i="4"/>
  <c r="O27" i="4"/>
  <c r="O105" i="4"/>
  <c r="R93" i="4"/>
  <c r="R53" i="4"/>
  <c r="O54" i="4"/>
  <c r="R98" i="4"/>
  <c r="S98" i="4" s="1"/>
  <c r="O91" i="4"/>
  <c r="R25" i="4"/>
  <c r="R104" i="4"/>
  <c r="S104" i="4" s="1"/>
  <c r="O65" i="4"/>
  <c r="R35" i="4"/>
  <c r="S35" i="4" s="1"/>
  <c r="O48" i="4"/>
  <c r="R57" i="4"/>
  <c r="S57" i="4" s="1"/>
  <c r="R33" i="4"/>
  <c r="O88" i="4"/>
  <c r="O119" i="4"/>
  <c r="R70" i="4"/>
  <c r="S70" i="4" s="1"/>
  <c r="BE357" i="4"/>
  <c r="O49" i="4"/>
  <c r="O97" i="4"/>
  <c r="R60" i="4"/>
  <c r="O83" i="4"/>
  <c r="R101" i="4"/>
  <c r="O81" i="4"/>
  <c r="O41" i="4"/>
  <c r="R114" i="4"/>
  <c r="O108" i="4"/>
  <c r="R47" i="4"/>
  <c r="R90" i="4"/>
  <c r="O57" i="4"/>
  <c r="R26" i="4"/>
  <c r="R99" i="4"/>
  <c r="O110" i="4"/>
  <c r="R61" i="4"/>
  <c r="O30" i="4"/>
  <c r="BD357" i="4"/>
  <c r="O70" i="4"/>
  <c r="R116" i="4"/>
  <c r="O116" i="4"/>
  <c r="O35" i="4"/>
  <c r="O50" i="4"/>
  <c r="O112" i="4"/>
  <c r="O89" i="4"/>
  <c r="O59" i="4"/>
  <c r="O32" i="4"/>
  <c r="R62" i="4"/>
  <c r="R45" i="4"/>
  <c r="R71" i="4"/>
  <c r="O107" i="4"/>
  <c r="R24" i="4"/>
  <c r="BG357" i="4"/>
  <c r="O66" i="4"/>
  <c r="R48" i="4"/>
  <c r="O37" i="4"/>
  <c r="O61" i="4"/>
  <c r="O71" i="4"/>
  <c r="R69" i="4"/>
  <c r="O100" i="4"/>
  <c r="R84" i="4"/>
  <c r="U349" i="6"/>
  <c r="U350" i="6"/>
  <c r="U351" i="6"/>
  <c r="U352" i="6"/>
  <c r="V343" i="6"/>
  <c r="V344" i="6"/>
  <c r="S349" i="5"/>
  <c r="S352" i="5"/>
  <c r="S350" i="5"/>
  <c r="S351" i="5"/>
  <c r="T354" i="5"/>
  <c r="T346" i="5"/>
  <c r="T348" i="5" s="1"/>
  <c r="U342" i="5"/>
  <c r="S349" i="4"/>
  <c r="S350" i="4"/>
  <c r="S351" i="4"/>
  <c r="S352" i="4"/>
  <c r="T354" i="4"/>
  <c r="T346" i="4"/>
  <c r="T348" i="4" s="1"/>
  <c r="U342" i="4"/>
  <c r="BJ129" i="4"/>
  <c r="R353" i="4"/>
  <c r="Q102" i="4" l="1"/>
  <c r="J12" i="3"/>
  <c r="R38" i="4"/>
  <c r="BI129" i="4"/>
  <c r="Q104" i="4"/>
  <c r="J89" i="3"/>
  <c r="J57" i="3"/>
  <c r="Q103" i="4"/>
  <c r="J76" i="3"/>
  <c r="Q72" i="4"/>
  <c r="J29" i="3"/>
  <c r="Q31" i="4"/>
  <c r="Q121" i="4"/>
  <c r="J42" i="3"/>
  <c r="Q76" i="4"/>
  <c r="J38" i="3"/>
  <c r="J9" i="3"/>
  <c r="Q64" i="4"/>
  <c r="Q85" i="4"/>
  <c r="J85" i="3"/>
  <c r="Q96" i="4"/>
  <c r="J21" i="3"/>
  <c r="J6" i="3"/>
  <c r="Q51" i="4"/>
  <c r="J13" i="3"/>
  <c r="Q24" i="4"/>
  <c r="J11" i="3"/>
  <c r="Q98" i="4"/>
  <c r="J18" i="3"/>
  <c r="Q118" i="4"/>
  <c r="Q77" i="4"/>
  <c r="J50" i="3"/>
  <c r="Q27" i="4"/>
  <c r="J65" i="3"/>
  <c r="J68" i="3"/>
  <c r="Q105" i="4"/>
  <c r="J59" i="3"/>
  <c r="Q54" i="4"/>
  <c r="J51" i="3"/>
  <c r="Q91" i="4"/>
  <c r="Q65" i="4"/>
  <c r="J24" i="3"/>
  <c r="J20" i="3"/>
  <c r="Q48" i="4"/>
  <c r="Q88" i="4"/>
  <c r="J67" i="3"/>
  <c r="J14" i="3"/>
  <c r="Q119" i="4"/>
  <c r="J32" i="3"/>
  <c r="Q49" i="4"/>
  <c r="J41" i="3"/>
  <c r="Q97" i="4"/>
  <c r="Q83" i="4"/>
  <c r="J7" i="3"/>
  <c r="Q81" i="4"/>
  <c r="J40" i="3"/>
  <c r="J5" i="3"/>
  <c r="Q41" i="4"/>
  <c r="J83" i="3"/>
  <c r="Q108" i="4"/>
  <c r="Q57" i="4"/>
  <c r="J70" i="3"/>
  <c r="J101" i="3"/>
  <c r="Q110" i="4"/>
  <c r="J88" i="3"/>
  <c r="Q30" i="4"/>
  <c r="Q70" i="4"/>
  <c r="J15" i="3"/>
  <c r="Q116" i="4"/>
  <c r="J74" i="3"/>
  <c r="Q35" i="4"/>
  <c r="J53" i="3"/>
  <c r="Q50" i="4"/>
  <c r="J64" i="3"/>
  <c r="Q112" i="4"/>
  <c r="J17" i="3"/>
  <c r="Q89" i="4"/>
  <c r="J54" i="3"/>
  <c r="J48" i="3"/>
  <c r="Q59" i="4"/>
  <c r="J19" i="3"/>
  <c r="Q32" i="4"/>
  <c r="J73" i="3"/>
  <c r="Q107" i="4"/>
  <c r="S24" i="4"/>
  <c r="Q66" i="4"/>
  <c r="J66" i="3"/>
  <c r="J23" i="3"/>
  <c r="Q37" i="4"/>
  <c r="J60" i="3"/>
  <c r="Q61" i="4"/>
  <c r="Q71" i="4"/>
  <c r="J87" i="3"/>
  <c r="Q100" i="4"/>
  <c r="J100" i="3"/>
  <c r="S54" i="4"/>
  <c r="S65" i="4"/>
  <c r="S37" i="4"/>
  <c r="S61" i="4"/>
  <c r="S116" i="4"/>
  <c r="S48" i="4"/>
  <c r="S71" i="4"/>
  <c r="S353" i="5"/>
  <c r="S105" i="4"/>
  <c r="S112" i="4"/>
  <c r="S81" i="4"/>
  <c r="Q28" i="4"/>
  <c r="J104" i="3"/>
  <c r="O82" i="4"/>
  <c r="R117" i="4"/>
  <c r="R110" i="4"/>
  <c r="S110" i="4" s="1"/>
  <c r="O29" i="4"/>
  <c r="R83" i="4"/>
  <c r="S83" i="4" s="1"/>
  <c r="O58" i="4"/>
  <c r="O84" i="4"/>
  <c r="R27" i="4"/>
  <c r="O36" i="4"/>
  <c r="R94" i="4"/>
  <c r="R50" i="4"/>
  <c r="S50" i="4" s="1"/>
  <c r="R91" i="4"/>
  <c r="S91" i="4" s="1"/>
  <c r="R74" i="4"/>
  <c r="O113" i="4"/>
  <c r="R41" i="4"/>
  <c r="S41" i="4" s="1"/>
  <c r="O55" i="4"/>
  <c r="O94" i="4"/>
  <c r="O99" i="4"/>
  <c r="R66" i="4"/>
  <c r="S66" i="4" s="1"/>
  <c r="R49" i="4"/>
  <c r="S49" i="4" s="1"/>
  <c r="O34" i="4"/>
  <c r="O43" i="4"/>
  <c r="O45" i="4"/>
  <c r="O67" i="4"/>
  <c r="O75" i="4"/>
  <c r="R55" i="4"/>
  <c r="S55" i="4" s="1"/>
  <c r="R89" i="4"/>
  <c r="S89" i="4" s="1"/>
  <c r="O111" i="4"/>
  <c r="R88" i="4"/>
  <c r="S88" i="4" s="1"/>
  <c r="R119" i="4"/>
  <c r="S119" i="4" s="1"/>
  <c r="O69" i="4"/>
  <c r="O62" i="4"/>
  <c r="R31" i="4"/>
  <c r="S31" i="4" s="1"/>
  <c r="O68" i="4"/>
  <c r="O73" i="4"/>
  <c r="O101" i="4"/>
  <c r="R43" i="4"/>
  <c r="S43" i="4" s="1"/>
  <c r="BJ357" i="4"/>
  <c r="O74" i="4"/>
  <c r="R64" i="4"/>
  <c r="S64" i="4" s="1"/>
  <c r="R109" i="4"/>
  <c r="S109" i="4" s="1"/>
  <c r="R59" i="4"/>
  <c r="S59" i="4" s="1"/>
  <c r="R28" i="4"/>
  <c r="S28" i="4" s="1"/>
  <c r="R95" i="4"/>
  <c r="S95" i="4" s="1"/>
  <c r="R29" i="4"/>
  <c r="O44" i="4"/>
  <c r="O78" i="4"/>
  <c r="O46" i="4"/>
  <c r="R85" i="4"/>
  <c r="S85" i="4" s="1"/>
  <c r="O80" i="4"/>
  <c r="O38" i="4"/>
  <c r="O115" i="4"/>
  <c r="O39" i="4"/>
  <c r="O120" i="4"/>
  <c r="R40" i="4"/>
  <c r="R82" i="4"/>
  <c r="O109" i="4"/>
  <c r="R96" i="4"/>
  <c r="S96" i="4" s="1"/>
  <c r="R42" i="4"/>
  <c r="S42" i="4" s="1"/>
  <c r="R102" i="4"/>
  <c r="S102" i="4" s="1"/>
  <c r="O53" i="4"/>
  <c r="O40" i="4"/>
  <c r="R52" i="4"/>
  <c r="R34" i="4"/>
  <c r="O122" i="4"/>
  <c r="R63" i="4"/>
  <c r="S63" i="4" s="1"/>
  <c r="R108" i="4"/>
  <c r="S108" i="4" s="1"/>
  <c r="R79" i="4"/>
  <c r="S79" i="4" s="1"/>
  <c r="R111" i="4"/>
  <c r="R97" i="4"/>
  <c r="S97" i="4" s="1"/>
  <c r="O117" i="4"/>
  <c r="O47" i="4"/>
  <c r="R100" i="4"/>
  <c r="S100" i="4" s="1"/>
  <c r="R76" i="4"/>
  <c r="S76" i="4" s="1"/>
  <c r="R80" i="4"/>
  <c r="R113" i="4"/>
  <c r="S113" i="4" s="1"/>
  <c r="O92" i="4"/>
  <c r="R106" i="4"/>
  <c r="S106" i="4" s="1"/>
  <c r="O60" i="4"/>
  <c r="R115" i="4"/>
  <c r="S115" i="4" s="1"/>
  <c r="O33" i="4"/>
  <c r="O86" i="4"/>
  <c r="R30" i="4"/>
  <c r="S30" i="4" s="1"/>
  <c r="O123" i="4"/>
  <c r="R44" i="4"/>
  <c r="O79" i="4"/>
  <c r="O26" i="4"/>
  <c r="O106" i="4"/>
  <c r="R87" i="4"/>
  <c r="O56" i="4"/>
  <c r="O42" i="4"/>
  <c r="O95" i="4"/>
  <c r="R120" i="4"/>
  <c r="S120" i="4" s="1"/>
  <c r="R67" i="4"/>
  <c r="R51" i="4"/>
  <c r="S51" i="4" s="1"/>
  <c r="O63" i="4"/>
  <c r="O87" i="4"/>
  <c r="O25" i="4"/>
  <c r="R56" i="4"/>
  <c r="S56" i="4" s="1"/>
  <c r="O114" i="4"/>
  <c r="O90" i="4"/>
  <c r="O93" i="4"/>
  <c r="R122" i="4"/>
  <c r="S122" i="4" s="1"/>
  <c r="O52" i="4"/>
  <c r="R121" i="4"/>
  <c r="S121" i="4" s="1"/>
  <c r="R39" i="4"/>
  <c r="S39" i="4" s="1"/>
  <c r="V354" i="6"/>
  <c r="V346" i="6"/>
  <c r="V348" i="6" s="1"/>
  <c r="W342" i="6"/>
  <c r="W344" i="6" s="1"/>
  <c r="T350" i="5"/>
  <c r="T351" i="5"/>
  <c r="T352" i="5"/>
  <c r="T349" i="5"/>
  <c r="U343" i="5"/>
  <c r="U344" i="5"/>
  <c r="T349" i="4"/>
  <c r="T350" i="4"/>
  <c r="T351" i="4"/>
  <c r="T352" i="4"/>
  <c r="U343" i="4"/>
  <c r="U344" i="4"/>
  <c r="Q29" i="4"/>
  <c r="J16" i="3"/>
  <c r="S29" i="4"/>
  <c r="S353" i="4"/>
  <c r="U353" i="6"/>
  <c r="Q82" i="4" l="1"/>
  <c r="J28" i="3"/>
  <c r="S58" i="4"/>
  <c r="Q58" i="4"/>
  <c r="J71" i="3"/>
  <c r="S84" i="4"/>
  <c r="J10" i="3"/>
  <c r="Q84" i="4"/>
  <c r="S36" i="4"/>
  <c r="J44" i="3"/>
  <c r="Q36" i="4"/>
  <c r="Q113" i="4"/>
  <c r="J90" i="3"/>
  <c r="J94" i="3"/>
  <c r="Q55" i="4"/>
  <c r="Q94" i="4"/>
  <c r="J98" i="3"/>
  <c r="S99" i="4"/>
  <c r="Q99" i="4"/>
  <c r="J56" i="3"/>
  <c r="Q34" i="4"/>
  <c r="J93" i="3"/>
  <c r="Q43" i="4"/>
  <c r="J86" i="3"/>
  <c r="S45" i="4"/>
  <c r="Q45" i="4"/>
  <c r="J103" i="3"/>
  <c r="Q67" i="4"/>
  <c r="J61" i="3"/>
  <c r="S75" i="4"/>
  <c r="J27" i="3"/>
  <c r="Q75" i="4"/>
  <c r="J84" i="3"/>
  <c r="Q111" i="4"/>
  <c r="S69" i="4"/>
  <c r="J62" i="3"/>
  <c r="Q69" i="4"/>
  <c r="S62" i="4"/>
  <c r="Q62" i="4"/>
  <c r="J26" i="3"/>
  <c r="S68" i="4"/>
  <c r="J96" i="3"/>
  <c r="Q68" i="4"/>
  <c r="S73" i="4"/>
  <c r="J77" i="3"/>
  <c r="Q73" i="4"/>
  <c r="S101" i="4"/>
  <c r="J52" i="3"/>
  <c r="Q101" i="4"/>
  <c r="J37" i="3"/>
  <c r="Q74" i="4"/>
  <c r="Q44" i="4"/>
  <c r="J102" i="3"/>
  <c r="S78" i="4"/>
  <c r="J34" i="3"/>
  <c r="Q78" i="4"/>
  <c r="S46" i="4"/>
  <c r="Q46" i="4"/>
  <c r="J31" i="3"/>
  <c r="J78" i="3"/>
  <c r="Q80" i="4"/>
  <c r="J45" i="3"/>
  <c r="Q38" i="4"/>
  <c r="Q115" i="4"/>
  <c r="J91" i="3"/>
  <c r="J35" i="3"/>
  <c r="Q39" i="4"/>
  <c r="J81" i="3"/>
  <c r="Q120" i="4"/>
  <c r="Q109" i="4"/>
  <c r="J97" i="3"/>
  <c r="S53" i="4"/>
  <c r="J22" i="3"/>
  <c r="Q53" i="4"/>
  <c r="Q40" i="4"/>
  <c r="J46" i="3"/>
  <c r="Q122" i="4"/>
  <c r="J30" i="3"/>
  <c r="J92" i="3"/>
  <c r="Q117" i="4"/>
  <c r="S47" i="4"/>
  <c r="J25" i="3"/>
  <c r="Q47" i="4"/>
  <c r="S92" i="4"/>
  <c r="Q92" i="4"/>
  <c r="J80" i="3"/>
  <c r="S60" i="4"/>
  <c r="J75" i="3"/>
  <c r="Q60" i="4"/>
  <c r="S33" i="4"/>
  <c r="P355" i="4" s="1"/>
  <c r="Q33" i="4"/>
  <c r="J43" i="3"/>
  <c r="S86" i="4"/>
  <c r="Q86" i="4"/>
  <c r="J82" i="3"/>
  <c r="S123" i="4"/>
  <c r="Q123" i="4"/>
  <c r="J95" i="3"/>
  <c r="Q79" i="4"/>
  <c r="J39" i="3"/>
  <c r="S26" i="4"/>
  <c r="Q26" i="4"/>
  <c r="J36" i="3"/>
  <c r="J69" i="3"/>
  <c r="Q106" i="4"/>
  <c r="J8" i="3"/>
  <c r="Q56" i="4"/>
  <c r="J58" i="3"/>
  <c r="Q42" i="4"/>
  <c r="J55" i="3"/>
  <c r="Q95" i="4"/>
  <c r="J49" i="3"/>
  <c r="Q63" i="4"/>
  <c r="Q87" i="4"/>
  <c r="J63" i="3"/>
  <c r="S25" i="4"/>
  <c r="E355" i="4" s="1"/>
  <c r="J47" i="3"/>
  <c r="Q25" i="4"/>
  <c r="S114" i="4"/>
  <c r="J99" i="3"/>
  <c r="Q114" i="4"/>
  <c r="S90" i="4"/>
  <c r="J79" i="3"/>
  <c r="Q90" i="4"/>
  <c r="S93" i="4"/>
  <c r="J72" i="3"/>
  <c r="Q93" i="4"/>
  <c r="J33" i="3"/>
  <c r="Q52" i="4"/>
  <c r="S38" i="4"/>
  <c r="S94" i="4"/>
  <c r="S74" i="4"/>
  <c r="S117" i="4"/>
  <c r="O124" i="4"/>
  <c r="S40" i="4"/>
  <c r="S82" i="4"/>
  <c r="S52" i="4"/>
  <c r="S34" i="4"/>
  <c r="S111" i="4"/>
  <c r="S80" i="4"/>
  <c r="S44" i="4"/>
  <c r="S87" i="4"/>
  <c r="S67" i="4"/>
  <c r="S27" i="4"/>
  <c r="R124" i="4"/>
  <c r="S124" i="4" s="1"/>
  <c r="V349" i="6"/>
  <c r="V350" i="6"/>
  <c r="V351" i="6"/>
  <c r="V352" i="6"/>
  <c r="W354" i="6"/>
  <c r="W346" i="6"/>
  <c r="W348" i="6" s="1"/>
  <c r="X342" i="6"/>
  <c r="X344" i="6" s="1"/>
  <c r="U354" i="5"/>
  <c r="V342" i="5"/>
  <c r="V344" i="5" s="1"/>
  <c r="U346" i="5"/>
  <c r="U348" i="5" s="1"/>
  <c r="U354" i="4"/>
  <c r="U346" i="4"/>
  <c r="U348" i="4" s="1"/>
  <c r="V342" i="4"/>
  <c r="V344" i="4" s="1"/>
  <c r="T353" i="5"/>
  <c r="T353" i="4"/>
  <c r="J356" i="4" l="1"/>
  <c r="T356" i="4"/>
  <c r="C356" i="4"/>
  <c r="L356" i="4"/>
  <c r="T355" i="4"/>
  <c r="I355" i="4"/>
  <c r="N355" i="4"/>
  <c r="S356" i="4"/>
  <c r="E356" i="4"/>
  <c r="F356" i="4"/>
  <c r="O356" i="4"/>
  <c r="P152" i="1"/>
  <c r="P154" i="1"/>
  <c r="M356" i="4"/>
  <c r="P151" i="1"/>
  <c r="P147" i="1"/>
  <c r="Q355" i="4"/>
  <c r="P148" i="1"/>
  <c r="K355" i="4"/>
  <c r="G355" i="4"/>
  <c r="P155" i="1"/>
  <c r="P356" i="4"/>
  <c r="N356" i="4"/>
  <c r="O355" i="4"/>
  <c r="F355" i="4"/>
  <c r="R356" i="4"/>
  <c r="I356" i="4"/>
  <c r="D355" i="4"/>
  <c r="P150" i="1"/>
  <c r="C355" i="4"/>
  <c r="L355" i="4"/>
  <c r="U355" i="4"/>
  <c r="G356" i="4"/>
  <c r="S355" i="4"/>
  <c r="M355" i="4"/>
  <c r="R355" i="4"/>
  <c r="Q356" i="4"/>
  <c r="P153" i="1"/>
  <c r="H355" i="4"/>
  <c r="D356" i="4"/>
  <c r="H356" i="4"/>
  <c r="P149" i="1"/>
  <c r="J355" i="4"/>
  <c r="J13" i="4"/>
  <c r="J17" i="4"/>
  <c r="Q124" i="4"/>
  <c r="W349" i="6"/>
  <c r="W350" i="6"/>
  <c r="W351" i="6"/>
  <c r="W352" i="6"/>
  <c r="X354" i="6"/>
  <c r="X346" i="6"/>
  <c r="X348" i="6" s="1"/>
  <c r="Y342" i="6"/>
  <c r="Y344" i="6" s="1"/>
  <c r="V354" i="5"/>
  <c r="V346" i="5"/>
  <c r="V348" i="5" s="1"/>
  <c r="W342" i="5"/>
  <c r="W344" i="5" s="1"/>
  <c r="U349" i="5"/>
  <c r="U351" i="5"/>
  <c r="U350" i="5"/>
  <c r="U352" i="5"/>
  <c r="U349" i="4"/>
  <c r="U350" i="4"/>
  <c r="U351" i="4"/>
  <c r="U352" i="4"/>
  <c r="V354" i="4"/>
  <c r="V346" i="4"/>
  <c r="V348" i="4" s="1"/>
  <c r="W342" i="4"/>
  <c r="W344" i="4" s="1"/>
  <c r="V353" i="6"/>
  <c r="B5" i="1" l="1"/>
  <c r="C13" i="7"/>
  <c r="W353" i="6"/>
  <c r="U353" i="5"/>
  <c r="U353" i="4"/>
  <c r="X349" i="6"/>
  <c r="X350" i="6"/>
  <c r="X351" i="6"/>
  <c r="X352" i="6"/>
  <c r="Y354" i="6"/>
  <c r="Y346" i="6"/>
  <c r="Y348" i="6" s="1"/>
  <c r="Z342" i="6"/>
  <c r="Z344" i="6" s="1"/>
  <c r="V350" i="5"/>
  <c r="V349" i="5"/>
  <c r="V351" i="5"/>
  <c r="V352" i="5"/>
  <c r="W354" i="5"/>
  <c r="X342" i="5"/>
  <c r="X344" i="5" s="1"/>
  <c r="W346" i="5"/>
  <c r="W348" i="5" s="1"/>
  <c r="V349" i="4"/>
  <c r="V350" i="4"/>
  <c r="V351" i="4"/>
  <c r="V352" i="4"/>
  <c r="W354" i="4"/>
  <c r="W346" i="4"/>
  <c r="W348" i="4" s="1"/>
  <c r="X342" i="4"/>
  <c r="X344" i="4" s="1"/>
  <c r="Y349" i="6" l="1"/>
  <c r="Y350" i="6"/>
  <c r="Y351" i="6"/>
  <c r="Y352" i="6"/>
  <c r="Z354" i="6"/>
  <c r="Z346" i="6"/>
  <c r="Z348" i="6" s="1"/>
  <c r="AA342" i="6"/>
  <c r="AA344" i="6" s="1"/>
  <c r="X354" i="5"/>
  <c r="X346" i="5"/>
  <c r="X348" i="5" s="1"/>
  <c r="Y342" i="5"/>
  <c r="Y344" i="5" s="1"/>
  <c r="W350" i="5"/>
  <c r="W349" i="5"/>
  <c r="W351" i="5"/>
  <c r="W352" i="5"/>
  <c r="W349" i="4"/>
  <c r="W350" i="4"/>
  <c r="W351" i="4"/>
  <c r="W352" i="4"/>
  <c r="X354" i="4"/>
  <c r="X346" i="4"/>
  <c r="X348" i="4" s="1"/>
  <c r="Y342" i="4"/>
  <c r="Y344" i="4" s="1"/>
  <c r="X353" i="6"/>
  <c r="V353" i="5"/>
  <c r="V353" i="4"/>
  <c r="Z349" i="6" l="1"/>
  <c r="Z350" i="6"/>
  <c r="Z351" i="6"/>
  <c r="Z352" i="6"/>
  <c r="AA354" i="6"/>
  <c r="AA346" i="6"/>
  <c r="AA348" i="6" s="1"/>
  <c r="AB342" i="6"/>
  <c r="AB344" i="6" s="1"/>
  <c r="X349" i="5"/>
  <c r="X351" i="5"/>
  <c r="X352" i="5"/>
  <c r="X350" i="5"/>
  <c r="Y354" i="5"/>
  <c r="Y346" i="5"/>
  <c r="Y348" i="5" s="1"/>
  <c r="Z342" i="5"/>
  <c r="Z344" i="5" s="1"/>
  <c r="X349" i="4"/>
  <c r="X350" i="4"/>
  <c r="X351" i="4"/>
  <c r="X352" i="4"/>
  <c r="Y354" i="4"/>
  <c r="Y346" i="4"/>
  <c r="Y348" i="4" s="1"/>
  <c r="Z342" i="4"/>
  <c r="Z344" i="4" s="1"/>
  <c r="Y353" i="6"/>
  <c r="W353" i="5"/>
  <c r="W353" i="4"/>
  <c r="AA349" i="6" l="1"/>
  <c r="AA350" i="6"/>
  <c r="AA351" i="6"/>
  <c r="AA352" i="6"/>
  <c r="AB354" i="6"/>
  <c r="AB346" i="6"/>
  <c r="AB348" i="6" s="1"/>
  <c r="AC342" i="6"/>
  <c r="AC344" i="6" s="1"/>
  <c r="Y351" i="5"/>
  <c r="Y352" i="5"/>
  <c r="Y349" i="5"/>
  <c r="Y350" i="5"/>
  <c r="Z354" i="5"/>
  <c r="AA342" i="5"/>
  <c r="AA344" i="5" s="1"/>
  <c r="Z346" i="5"/>
  <c r="Z348" i="5" s="1"/>
  <c r="Y349" i="4"/>
  <c r="Y350" i="4"/>
  <c r="Y351" i="4"/>
  <c r="Y352" i="4"/>
  <c r="Z354" i="4"/>
  <c r="Z346" i="4"/>
  <c r="Z348" i="4" s="1"/>
  <c r="AA342" i="4"/>
  <c r="AA344" i="4" s="1"/>
  <c r="X353" i="5"/>
  <c r="X353" i="4"/>
  <c r="Z353" i="6"/>
  <c r="AB349" i="6" l="1"/>
  <c r="AB350" i="6"/>
  <c r="AB351" i="6"/>
  <c r="AB352" i="6"/>
  <c r="AC354" i="6"/>
  <c r="AC346" i="6"/>
  <c r="AC348" i="6" s="1"/>
  <c r="AD342" i="6"/>
  <c r="AD344" i="6" s="1"/>
  <c r="AA354" i="5"/>
  <c r="AA346" i="5"/>
  <c r="AA348" i="5" s="1"/>
  <c r="AB342" i="5"/>
  <c r="AB344" i="5" s="1"/>
  <c r="Z349" i="5"/>
  <c r="Z350" i="5"/>
  <c r="Z351" i="5"/>
  <c r="Z352" i="5"/>
  <c r="Z349" i="4"/>
  <c r="Z350" i="4"/>
  <c r="Z351" i="4"/>
  <c r="Z352" i="4"/>
  <c r="AA354" i="4"/>
  <c r="AA346" i="4"/>
  <c r="AA348" i="4" s="1"/>
  <c r="AB342" i="4"/>
  <c r="AB344" i="4" s="1"/>
  <c r="Y353" i="5"/>
  <c r="AA353" i="6"/>
  <c r="Y353" i="4"/>
  <c r="AC349" i="6" l="1"/>
  <c r="AC350" i="6"/>
  <c r="AC351" i="6"/>
  <c r="AC352" i="6"/>
  <c r="AD354" i="6"/>
  <c r="AD346" i="6"/>
  <c r="AD348" i="6" s="1"/>
  <c r="AE342" i="6"/>
  <c r="AE344" i="6" s="1"/>
  <c r="AA351" i="5"/>
  <c r="AA352" i="5"/>
  <c r="AA349" i="5"/>
  <c r="AA350" i="5"/>
  <c r="AB354" i="5"/>
  <c r="AB346" i="5"/>
  <c r="AB348" i="5" s="1"/>
  <c r="AC342" i="5"/>
  <c r="AC344" i="5" s="1"/>
  <c r="AA349" i="4"/>
  <c r="AA350" i="4"/>
  <c r="AA351" i="4"/>
  <c r="AA352" i="4"/>
  <c r="AB354" i="4"/>
  <c r="AB346" i="4"/>
  <c r="AB348" i="4" s="1"/>
  <c r="AC342" i="4"/>
  <c r="AC344" i="4" s="1"/>
  <c r="Z353" i="5"/>
  <c r="Z353" i="4"/>
  <c r="AB353" i="6"/>
  <c r="AD349" i="6" l="1"/>
  <c r="AD350" i="6"/>
  <c r="AD351" i="6"/>
  <c r="AD352" i="6"/>
  <c r="AE354" i="6"/>
  <c r="AE346" i="6"/>
  <c r="AE348" i="6" s="1"/>
  <c r="AF342" i="6"/>
  <c r="AF344" i="6" s="1"/>
  <c r="AB350" i="5"/>
  <c r="AB351" i="5"/>
  <c r="AB352" i="5"/>
  <c r="AB349" i="5"/>
  <c r="AC354" i="5"/>
  <c r="AC346" i="5"/>
  <c r="AC348" i="5" s="1"/>
  <c r="AD342" i="5"/>
  <c r="AD344" i="5" s="1"/>
  <c r="AB349" i="4"/>
  <c r="AB350" i="4"/>
  <c r="AB351" i="4"/>
  <c r="AB352" i="4"/>
  <c r="AC354" i="4"/>
  <c r="AC346" i="4"/>
  <c r="AC348" i="4" s="1"/>
  <c r="AD342" i="4"/>
  <c r="AD344" i="4" s="1"/>
  <c r="AA353" i="5"/>
  <c r="AA353" i="4"/>
  <c r="AC353" i="6"/>
  <c r="AE349" i="6" l="1"/>
  <c r="AE350" i="6"/>
  <c r="AE351" i="6"/>
  <c r="AE352" i="6"/>
  <c r="AF354" i="6"/>
  <c r="AF346" i="6"/>
  <c r="AF348" i="6" s="1"/>
  <c r="AG342" i="6"/>
  <c r="AG344" i="6" s="1"/>
  <c r="AC349" i="5"/>
  <c r="AC352" i="5"/>
  <c r="AC350" i="5"/>
  <c r="AC351" i="5"/>
  <c r="AD354" i="5"/>
  <c r="AD346" i="5"/>
  <c r="AD348" i="5" s="1"/>
  <c r="AE342" i="5"/>
  <c r="AE344" i="5" s="1"/>
  <c r="AC349" i="4"/>
  <c r="AC350" i="4"/>
  <c r="AC351" i="4"/>
  <c r="AC352" i="4"/>
  <c r="AD354" i="4"/>
  <c r="AD346" i="4"/>
  <c r="AD348" i="4" s="1"/>
  <c r="AE342" i="4"/>
  <c r="AE344" i="4" s="1"/>
  <c r="AB353" i="5"/>
  <c r="AB353" i="4"/>
  <c r="AD353" i="6"/>
  <c r="AF349" i="6" l="1"/>
  <c r="AF350" i="6"/>
  <c r="AF351" i="6"/>
  <c r="AF352" i="6"/>
  <c r="AG354" i="6"/>
  <c r="AG346" i="6"/>
  <c r="AG348" i="6" s="1"/>
  <c r="AH342" i="6"/>
  <c r="AH344" i="6" s="1"/>
  <c r="AD349" i="5"/>
  <c r="AD352" i="5"/>
  <c r="AD350" i="5"/>
  <c r="AD351" i="5"/>
  <c r="AE354" i="5"/>
  <c r="AF342" i="5"/>
  <c r="AF344" i="5" s="1"/>
  <c r="AE346" i="5"/>
  <c r="AE348" i="5" s="1"/>
  <c r="AD349" i="4"/>
  <c r="AD350" i="4"/>
  <c r="AD351" i="4"/>
  <c r="AD352" i="4"/>
  <c r="AE354" i="4"/>
  <c r="AE346" i="4"/>
  <c r="AE348" i="4" s="1"/>
  <c r="AF342" i="4"/>
  <c r="AF344" i="4" s="1"/>
  <c r="AC353" i="5"/>
  <c r="AC353" i="4"/>
  <c r="AE353" i="6"/>
  <c r="AG349" i="6" l="1"/>
  <c r="AG350" i="6"/>
  <c r="AG351" i="6"/>
  <c r="AG352" i="6"/>
  <c r="AH354" i="6"/>
  <c r="AH346" i="6"/>
  <c r="AH348" i="6" s="1"/>
  <c r="AI342" i="6"/>
  <c r="AI344" i="6" s="1"/>
  <c r="AF354" i="5"/>
  <c r="AG342" i="5"/>
  <c r="AG344" i="5" s="1"/>
  <c r="AF346" i="5"/>
  <c r="AF348" i="5" s="1"/>
  <c r="AE349" i="5"/>
  <c r="AE350" i="5"/>
  <c r="AE351" i="5"/>
  <c r="AE352" i="5"/>
  <c r="AE349" i="4"/>
  <c r="AE350" i="4"/>
  <c r="AE351" i="4"/>
  <c r="AE352" i="4"/>
  <c r="AF354" i="4"/>
  <c r="AF346" i="4"/>
  <c r="AF348" i="4" s="1"/>
  <c r="AG342" i="4"/>
  <c r="AG344" i="4" s="1"/>
  <c r="AD353" i="5"/>
  <c r="AF353" i="6"/>
  <c r="AD353" i="4"/>
  <c r="AG353" i="6" l="1"/>
  <c r="AH349" i="6"/>
  <c r="AH350" i="6"/>
  <c r="AH351" i="6"/>
  <c r="AH352" i="6"/>
  <c r="AI354" i="6"/>
  <c r="AI346" i="6"/>
  <c r="AI348" i="6" s="1"/>
  <c r="AJ342" i="6"/>
  <c r="AJ344" i="6" s="1"/>
  <c r="AG354" i="5"/>
  <c r="AG346" i="5"/>
  <c r="AG348" i="5" s="1"/>
  <c r="AH342" i="5"/>
  <c r="AH344" i="5" s="1"/>
  <c r="AF351" i="5"/>
  <c r="AF352" i="5"/>
  <c r="AF349" i="5"/>
  <c r="AF350" i="5"/>
  <c r="AF349" i="4"/>
  <c r="AF350" i="4"/>
  <c r="AF351" i="4"/>
  <c r="AF352" i="4"/>
  <c r="AG354" i="4"/>
  <c r="AG346" i="4"/>
  <c r="AG348" i="4" s="1"/>
  <c r="AH342" i="4"/>
  <c r="AH344" i="4" s="1"/>
  <c r="AE353" i="5"/>
  <c r="AE353" i="4"/>
  <c r="AF353" i="5" l="1"/>
  <c r="AF353" i="4"/>
  <c r="AI349" i="6"/>
  <c r="AI350" i="6"/>
  <c r="AI351" i="6"/>
  <c r="AI352" i="6"/>
  <c r="AJ354" i="6"/>
  <c r="AJ346" i="6"/>
  <c r="AJ348" i="6" s="1"/>
  <c r="AK342" i="6"/>
  <c r="AK344" i="6" s="1"/>
  <c r="AG350" i="5"/>
  <c r="AG352" i="5"/>
  <c r="AG349" i="5"/>
  <c r="AG351" i="5"/>
  <c r="AH354" i="5"/>
  <c r="AH346" i="5"/>
  <c r="AH348" i="5" s="1"/>
  <c r="AI342" i="5"/>
  <c r="AI344" i="5" s="1"/>
  <c r="AG349" i="4"/>
  <c r="AG353" i="4" s="1"/>
  <c r="AG350" i="4"/>
  <c r="AG351" i="4"/>
  <c r="AG352" i="4"/>
  <c r="AH354" i="4"/>
  <c r="AH346" i="4"/>
  <c r="AH348" i="4" s="1"/>
  <c r="AI342" i="4"/>
  <c r="AI344" i="4" s="1"/>
  <c r="AH353" i="6"/>
  <c r="AJ349" i="6" l="1"/>
  <c r="AJ350" i="6"/>
  <c r="AJ351" i="6"/>
  <c r="AJ352" i="6"/>
  <c r="AK354" i="6"/>
  <c r="AK346" i="6"/>
  <c r="AK348" i="6" s="1"/>
  <c r="AL342" i="6"/>
  <c r="AL344" i="6" s="1"/>
  <c r="AH349" i="5"/>
  <c r="AH350" i="5"/>
  <c r="AH351" i="5"/>
  <c r="AH352" i="5"/>
  <c r="AI354" i="5"/>
  <c r="AJ342" i="5"/>
  <c r="AJ344" i="5" s="1"/>
  <c r="AI346" i="5"/>
  <c r="AI348" i="5" s="1"/>
  <c r="AH349" i="4"/>
  <c r="AH350" i="4"/>
  <c r="AH351" i="4"/>
  <c r="AH352" i="4"/>
  <c r="AI354" i="4"/>
  <c r="AI346" i="4"/>
  <c r="AI348" i="4" s="1"/>
  <c r="AJ342" i="4"/>
  <c r="AJ344" i="4" s="1"/>
  <c r="AG353" i="5"/>
  <c r="AI353" i="6"/>
  <c r="AH353" i="4" l="1"/>
  <c r="AK349" i="6"/>
  <c r="AK350" i="6"/>
  <c r="AK351" i="6"/>
  <c r="AK352" i="6"/>
  <c r="AL354" i="6"/>
  <c r="AL346" i="6"/>
  <c r="AL348" i="6" s="1"/>
  <c r="AM342" i="6"/>
  <c r="AM344" i="6" s="1"/>
  <c r="AJ354" i="5"/>
  <c r="AJ346" i="5"/>
  <c r="AJ348" i="5" s="1"/>
  <c r="AK342" i="5"/>
  <c r="AK344" i="5" s="1"/>
  <c r="AI349" i="5"/>
  <c r="AI351" i="5"/>
  <c r="AI352" i="5"/>
  <c r="AI350" i="5"/>
  <c r="AI349" i="4"/>
  <c r="AI353" i="4" s="1"/>
  <c r="AI350" i="4"/>
  <c r="AI351" i="4"/>
  <c r="AI352" i="4"/>
  <c r="AJ354" i="4"/>
  <c r="AJ346" i="4"/>
  <c r="AJ348" i="4" s="1"/>
  <c r="AK342" i="4"/>
  <c r="AK344" i="4" s="1"/>
  <c r="AH353" i="5"/>
  <c r="AJ353" i="6"/>
  <c r="AL349" i="6" l="1"/>
  <c r="AL350" i="6"/>
  <c r="AL351" i="6"/>
  <c r="AL352" i="6"/>
  <c r="AM354" i="6"/>
  <c r="AM346" i="6"/>
  <c r="AM348" i="6" s="1"/>
  <c r="AN342" i="6"/>
  <c r="AN344" i="6" s="1"/>
  <c r="AJ349" i="5"/>
  <c r="AJ350" i="5"/>
  <c r="AJ351" i="5"/>
  <c r="AJ352" i="5"/>
  <c r="AK354" i="5"/>
  <c r="AK346" i="5"/>
  <c r="AK348" i="5" s="1"/>
  <c r="AL342" i="5"/>
  <c r="AL344" i="5" s="1"/>
  <c r="AJ349" i="4"/>
  <c r="AJ350" i="4"/>
  <c r="AJ351" i="4"/>
  <c r="AJ352" i="4"/>
  <c r="AK354" i="4"/>
  <c r="AK346" i="4"/>
  <c r="AK348" i="4" s="1"/>
  <c r="AL342" i="4"/>
  <c r="AL344" i="4" s="1"/>
  <c r="AK353" i="6"/>
  <c r="AI353" i="5"/>
  <c r="AM349" i="6" l="1"/>
  <c r="AM350" i="6"/>
  <c r="AM351" i="6"/>
  <c r="AM352" i="6"/>
  <c r="AN354" i="6"/>
  <c r="AN346" i="6"/>
  <c r="AN348" i="6" s="1"/>
  <c r="AO342" i="6"/>
  <c r="AO344" i="6" s="1"/>
  <c r="AK349" i="5"/>
  <c r="AK350" i="5"/>
  <c r="AK351" i="5"/>
  <c r="AK352" i="5"/>
  <c r="AL354" i="5"/>
  <c r="AL346" i="5"/>
  <c r="AL348" i="5" s="1"/>
  <c r="AM342" i="5"/>
  <c r="AM344" i="5" s="1"/>
  <c r="AK349" i="4"/>
  <c r="AK350" i="4"/>
  <c r="AK351" i="4"/>
  <c r="AK352" i="4"/>
  <c r="AL354" i="4"/>
  <c r="AL346" i="4"/>
  <c r="AL348" i="4" s="1"/>
  <c r="AM342" i="4"/>
  <c r="AM344" i="4" s="1"/>
  <c r="AJ353" i="5"/>
  <c r="AJ353" i="4"/>
  <c r="AL353" i="6"/>
  <c r="AN349" i="6" l="1"/>
  <c r="AN350" i="6"/>
  <c r="AN351" i="6"/>
  <c r="AN352" i="6"/>
  <c r="AO354" i="6"/>
  <c r="AO346" i="6"/>
  <c r="AO348" i="6" s="1"/>
  <c r="AP342" i="6"/>
  <c r="AP344" i="6" s="1"/>
  <c r="AL350" i="5"/>
  <c r="AL351" i="5"/>
  <c r="AL352" i="5"/>
  <c r="AL349" i="5"/>
  <c r="AL353" i="5" s="1"/>
  <c r="AM354" i="5"/>
  <c r="AM346" i="5"/>
  <c r="AM348" i="5" s="1"/>
  <c r="AN342" i="5"/>
  <c r="AN344" i="5" s="1"/>
  <c r="AL349" i="4"/>
  <c r="AL350" i="4"/>
  <c r="AL351" i="4"/>
  <c r="AL352" i="4"/>
  <c r="AM354" i="4"/>
  <c r="AM346" i="4"/>
  <c r="AM348" i="4" s="1"/>
  <c r="AN342" i="4"/>
  <c r="AN344" i="4" s="1"/>
  <c r="AK353" i="5"/>
  <c r="AK353" i="4"/>
  <c r="AM353" i="6"/>
  <c r="AO349" i="6" l="1"/>
  <c r="AO350" i="6"/>
  <c r="AO351" i="6"/>
  <c r="AO352" i="6"/>
  <c r="AP354" i="6"/>
  <c r="AP346" i="6"/>
  <c r="AP348" i="6" s="1"/>
  <c r="AQ342" i="6"/>
  <c r="AQ344" i="6" s="1"/>
  <c r="AM351" i="5"/>
  <c r="AM349" i="5"/>
  <c r="AM350" i="5"/>
  <c r="AM352" i="5"/>
  <c r="AN354" i="5"/>
  <c r="AO342" i="5"/>
  <c r="AO344" i="5" s="1"/>
  <c r="AN346" i="5"/>
  <c r="AN348" i="5" s="1"/>
  <c r="AM349" i="4"/>
  <c r="AM350" i="4"/>
  <c r="AM351" i="4"/>
  <c r="AM352" i="4"/>
  <c r="AN354" i="4"/>
  <c r="AN346" i="4"/>
  <c r="AN348" i="4" s="1"/>
  <c r="AO342" i="4"/>
  <c r="AO344" i="4" s="1"/>
  <c r="AL353" i="4"/>
  <c r="AN353" i="6"/>
  <c r="AP349" i="6" l="1"/>
  <c r="AP350" i="6"/>
  <c r="AP351" i="6"/>
  <c r="AP352" i="6"/>
  <c r="AQ354" i="6"/>
  <c r="AQ346" i="6"/>
  <c r="AQ348" i="6" s="1"/>
  <c r="AR342" i="6"/>
  <c r="AR344" i="6" s="1"/>
  <c r="AO354" i="5"/>
  <c r="AP342" i="5"/>
  <c r="AP344" i="5" s="1"/>
  <c r="AO346" i="5"/>
  <c r="AO348" i="5" s="1"/>
  <c r="AN351" i="5"/>
  <c r="AN352" i="5"/>
  <c r="AN349" i="5"/>
  <c r="AN350" i="5"/>
  <c r="AN349" i="4"/>
  <c r="AN350" i="4"/>
  <c r="AN351" i="4"/>
  <c r="AN352" i="4"/>
  <c r="AO354" i="4"/>
  <c r="AO346" i="4"/>
  <c r="AO348" i="4" s="1"/>
  <c r="AP342" i="4"/>
  <c r="AP344" i="4" s="1"/>
  <c r="AM353" i="5"/>
  <c r="AM353" i="4"/>
  <c r="AO353" i="6"/>
  <c r="AQ349" i="6" l="1"/>
  <c r="AQ350" i="6"/>
  <c r="AQ351" i="6"/>
  <c r="AQ352" i="6"/>
  <c r="AR354" i="6"/>
  <c r="AR346" i="6"/>
  <c r="AR348" i="6" s="1"/>
  <c r="AS342" i="6"/>
  <c r="AS344" i="6" s="1"/>
  <c r="AP354" i="5"/>
  <c r="AP346" i="5"/>
  <c r="AP348" i="5" s="1"/>
  <c r="AQ342" i="5"/>
  <c r="AQ344" i="5" s="1"/>
  <c r="AO351" i="5"/>
  <c r="AO350" i="5"/>
  <c r="AO349" i="5"/>
  <c r="AO352" i="5"/>
  <c r="AO349" i="4"/>
  <c r="AO350" i="4"/>
  <c r="AO351" i="4"/>
  <c r="AO352" i="4"/>
  <c r="AP354" i="4"/>
  <c r="AP346" i="4"/>
  <c r="AP348" i="4" s="1"/>
  <c r="AQ342" i="4"/>
  <c r="AQ344" i="4" s="1"/>
  <c r="AN353" i="5"/>
  <c r="AN353" i="4"/>
  <c r="AP353" i="6"/>
  <c r="AR349" i="6" l="1"/>
  <c r="AR350" i="6"/>
  <c r="AR351" i="6"/>
  <c r="AR352" i="6"/>
  <c r="AS354" i="6"/>
  <c r="AS346" i="6"/>
  <c r="AS348" i="6" s="1"/>
  <c r="AT342" i="6"/>
  <c r="AT344" i="6" s="1"/>
  <c r="AP349" i="5"/>
  <c r="AP350" i="5"/>
  <c r="AP351" i="5"/>
  <c r="AP352" i="5"/>
  <c r="AQ354" i="5"/>
  <c r="AQ346" i="5"/>
  <c r="AQ348" i="5" s="1"/>
  <c r="AR342" i="5"/>
  <c r="AR344" i="5" s="1"/>
  <c r="AP349" i="4"/>
  <c r="AP350" i="4"/>
  <c r="AP351" i="4"/>
  <c r="AP352" i="4"/>
  <c r="AQ354" i="4"/>
  <c r="AQ346" i="4"/>
  <c r="AQ348" i="4" s="1"/>
  <c r="AR342" i="4"/>
  <c r="AR344" i="4" s="1"/>
  <c r="AO353" i="5"/>
  <c r="AO353" i="4"/>
  <c r="AQ353" i="6"/>
  <c r="AP353" i="5" l="1"/>
  <c r="AS349" i="6"/>
  <c r="AS350" i="6"/>
  <c r="AS351" i="6"/>
  <c r="AS352" i="6"/>
  <c r="AT354" i="6"/>
  <c r="AT346" i="6"/>
  <c r="AT348" i="6" s="1"/>
  <c r="AU342" i="6"/>
  <c r="AU344" i="6" s="1"/>
  <c r="AQ352" i="5"/>
  <c r="AQ349" i="5"/>
  <c r="AQ350" i="5"/>
  <c r="AQ351" i="5"/>
  <c r="AR354" i="5"/>
  <c r="AR346" i="5"/>
  <c r="AR348" i="5" s="1"/>
  <c r="AS342" i="5"/>
  <c r="AS344" i="5" s="1"/>
  <c r="AQ349" i="4"/>
  <c r="AQ350" i="4"/>
  <c r="AQ351" i="4"/>
  <c r="AQ352" i="4"/>
  <c r="AR354" i="4"/>
  <c r="AR346" i="4"/>
  <c r="AR348" i="4" s="1"/>
  <c r="AS342" i="4"/>
  <c r="AS344" i="4" s="1"/>
  <c r="AP353" i="4"/>
  <c r="AR353" i="6"/>
  <c r="AT349" i="6" l="1"/>
  <c r="AT350" i="6"/>
  <c r="AT351" i="6"/>
  <c r="AT352" i="6"/>
  <c r="AU354" i="6"/>
  <c r="AU346" i="6"/>
  <c r="AU348" i="6" s="1"/>
  <c r="AV342" i="6"/>
  <c r="AV344" i="6" s="1"/>
  <c r="AR350" i="5"/>
  <c r="AR351" i="5"/>
  <c r="AR352" i="5"/>
  <c r="AR349" i="5"/>
  <c r="AR353" i="5" s="1"/>
  <c r="AS354" i="5"/>
  <c r="AS346" i="5"/>
  <c r="AS348" i="5" s="1"/>
  <c r="AT342" i="5"/>
  <c r="AT344" i="5" s="1"/>
  <c r="AR349" i="4"/>
  <c r="AR350" i="4"/>
  <c r="AR351" i="4"/>
  <c r="AR352" i="4"/>
  <c r="AS354" i="4"/>
  <c r="AS346" i="4"/>
  <c r="AS348" i="4" s="1"/>
  <c r="AT342" i="4"/>
  <c r="AT344" i="4" s="1"/>
  <c r="AS353" i="6"/>
  <c r="AQ353" i="5"/>
  <c r="AQ353" i="4"/>
  <c r="AU349" i="6" l="1"/>
  <c r="AU350" i="6"/>
  <c r="AU351" i="6"/>
  <c r="AU352" i="6"/>
  <c r="AV354" i="6"/>
  <c r="AV346" i="6"/>
  <c r="AV348" i="6" s="1"/>
  <c r="AW342" i="6"/>
  <c r="AW344" i="6" s="1"/>
  <c r="AS352" i="5"/>
  <c r="AS350" i="5"/>
  <c r="AS351" i="5"/>
  <c r="AS349" i="5"/>
  <c r="AT354" i="5"/>
  <c r="AT346" i="5"/>
  <c r="AT348" i="5" s="1"/>
  <c r="AU342" i="5"/>
  <c r="AU344" i="5" s="1"/>
  <c r="AS349" i="4"/>
  <c r="AS350" i="4"/>
  <c r="AS351" i="4"/>
  <c r="AS352" i="4"/>
  <c r="AT354" i="4"/>
  <c r="AT346" i="4"/>
  <c r="AT348" i="4" s="1"/>
  <c r="AU342" i="4"/>
  <c r="AU344" i="4" s="1"/>
  <c r="AT353" i="6"/>
  <c r="AR353" i="4"/>
  <c r="AV349" i="6" l="1"/>
  <c r="AV350" i="6"/>
  <c r="AV351" i="6"/>
  <c r="AV352" i="6"/>
  <c r="AW354" i="6"/>
  <c r="AW346" i="6"/>
  <c r="AW348" i="6" s="1"/>
  <c r="AX342" i="6"/>
  <c r="AX344" i="6" s="1"/>
  <c r="AT349" i="5"/>
  <c r="AT351" i="5"/>
  <c r="AT352" i="5"/>
  <c r="AT350" i="5"/>
  <c r="AU354" i="5"/>
  <c r="AV342" i="5"/>
  <c r="AV344" i="5" s="1"/>
  <c r="AU346" i="5"/>
  <c r="AU348" i="5" s="1"/>
  <c r="AT349" i="4"/>
  <c r="AT350" i="4"/>
  <c r="AT351" i="4"/>
  <c r="AT352" i="4"/>
  <c r="AU354" i="4"/>
  <c r="AU346" i="4"/>
  <c r="AU348" i="4" s="1"/>
  <c r="AV342" i="4"/>
  <c r="AV344" i="4" s="1"/>
  <c r="AS353" i="5"/>
  <c r="AS353" i="4"/>
  <c r="AU353" i="6"/>
  <c r="AV353" i="6" l="1"/>
  <c r="AW349" i="6"/>
  <c r="AW350" i="6"/>
  <c r="AW351" i="6"/>
  <c r="AW352" i="6"/>
  <c r="AX354" i="6"/>
  <c r="AX346" i="6"/>
  <c r="AX348" i="6" s="1"/>
  <c r="AY342" i="6"/>
  <c r="AY344" i="6" s="1"/>
  <c r="AV354" i="5"/>
  <c r="AW342" i="5"/>
  <c r="AW344" i="5" s="1"/>
  <c r="AV346" i="5"/>
  <c r="AV348" i="5" s="1"/>
  <c r="AU349" i="5"/>
  <c r="AU351" i="5"/>
  <c r="AU352" i="5"/>
  <c r="AU350" i="5"/>
  <c r="AU349" i="4"/>
  <c r="AU350" i="4"/>
  <c r="AU351" i="4"/>
  <c r="AU352" i="4"/>
  <c r="AV354" i="4"/>
  <c r="AV346" i="4"/>
  <c r="AV348" i="4" s="1"/>
  <c r="AW342" i="4"/>
  <c r="AW344" i="4" s="1"/>
  <c r="AT353" i="4"/>
  <c r="AT353" i="5"/>
  <c r="AX349" i="6" l="1"/>
  <c r="AX350" i="6"/>
  <c r="AX351" i="6"/>
  <c r="AX352" i="6"/>
  <c r="AY354" i="6"/>
  <c r="AY346" i="6"/>
  <c r="AY348" i="6" s="1"/>
  <c r="AZ342" i="6"/>
  <c r="AZ344" i="6" s="1"/>
  <c r="AW354" i="5"/>
  <c r="AW346" i="5"/>
  <c r="AW348" i="5" s="1"/>
  <c r="AX342" i="5"/>
  <c r="AX344" i="5" s="1"/>
  <c r="AV350" i="5"/>
  <c r="AV352" i="5"/>
  <c r="AV349" i="5"/>
  <c r="AV351" i="5"/>
  <c r="AV349" i="4"/>
  <c r="AV350" i="4"/>
  <c r="AV351" i="4"/>
  <c r="AV352" i="4"/>
  <c r="AW354" i="4"/>
  <c r="AW346" i="4"/>
  <c r="AW348" i="4" s="1"/>
  <c r="AX342" i="4"/>
  <c r="AX344" i="4" s="1"/>
  <c r="AU353" i="5"/>
  <c r="AU353" i="4"/>
  <c r="AW353" i="6"/>
  <c r="AY349" i="6" l="1"/>
  <c r="AY350" i="6"/>
  <c r="AY351" i="6"/>
  <c r="AY352" i="6"/>
  <c r="AZ354" i="6"/>
  <c r="AZ346" i="6"/>
  <c r="AZ348" i="6" s="1"/>
  <c r="BA342" i="6"/>
  <c r="BA344" i="6" s="1"/>
  <c r="AW352" i="5"/>
  <c r="AW349" i="5"/>
  <c r="AW351" i="5"/>
  <c r="AW350" i="5"/>
  <c r="AX354" i="5"/>
  <c r="AX346" i="5"/>
  <c r="AX348" i="5" s="1"/>
  <c r="AY342" i="5"/>
  <c r="AY344" i="5" s="1"/>
  <c r="AW349" i="4"/>
  <c r="AW350" i="4"/>
  <c r="AW351" i="4"/>
  <c r="AW352" i="4"/>
  <c r="AX354" i="4"/>
  <c r="AX346" i="4"/>
  <c r="AX348" i="4" s="1"/>
  <c r="AY342" i="4"/>
  <c r="AY344" i="4" s="1"/>
  <c r="AV353" i="4"/>
  <c r="AV353" i="5"/>
  <c r="AX353" i="6"/>
  <c r="AY353" i="6" l="1"/>
  <c r="AZ349" i="6"/>
  <c r="AZ350" i="6"/>
  <c r="AZ351" i="6"/>
  <c r="AZ352" i="6"/>
  <c r="BA354" i="6"/>
  <c r="BA346" i="6"/>
  <c r="BA348" i="6" s="1"/>
  <c r="BB342" i="6"/>
  <c r="BB344" i="6" s="1"/>
  <c r="AX349" i="5"/>
  <c r="AX350" i="5"/>
  <c r="AX351" i="5"/>
  <c r="AX352" i="5"/>
  <c r="AY354" i="5"/>
  <c r="AY346" i="5"/>
  <c r="AY348" i="5" s="1"/>
  <c r="AZ342" i="5"/>
  <c r="AZ344" i="5" s="1"/>
  <c r="AX349" i="4"/>
  <c r="AX350" i="4"/>
  <c r="AX351" i="4"/>
  <c r="AX352" i="4"/>
  <c r="AY354" i="4"/>
  <c r="AY346" i="4"/>
  <c r="AY348" i="4" s="1"/>
  <c r="AZ342" i="4"/>
  <c r="AZ344" i="4" s="1"/>
  <c r="AW353" i="5"/>
  <c r="AW353" i="4"/>
  <c r="AX353" i="5" l="1"/>
  <c r="BA349" i="6"/>
  <c r="BA350" i="6"/>
  <c r="BA351" i="6"/>
  <c r="BA352" i="6"/>
  <c r="BB354" i="6"/>
  <c r="BB346" i="6"/>
  <c r="BB348" i="6" s="1"/>
  <c r="BC342" i="6"/>
  <c r="BC344" i="6" s="1"/>
  <c r="AY349" i="5"/>
  <c r="AY351" i="5"/>
  <c r="AY352" i="5"/>
  <c r="AY350" i="5"/>
  <c r="AZ354" i="5"/>
  <c r="BA342" i="5"/>
  <c r="BA344" i="5" s="1"/>
  <c r="AZ346" i="5"/>
  <c r="AZ348" i="5" s="1"/>
  <c r="AY349" i="4"/>
  <c r="AY350" i="4"/>
  <c r="AY351" i="4"/>
  <c r="AY352" i="4"/>
  <c r="AZ354" i="4"/>
  <c r="AZ346" i="4"/>
  <c r="AZ348" i="4" s="1"/>
  <c r="BA342" i="4"/>
  <c r="BA344" i="4" s="1"/>
  <c r="AX353" i="4"/>
  <c r="AZ353" i="6"/>
  <c r="AY353" i="5" l="1"/>
  <c r="BB349" i="6"/>
  <c r="BB350" i="6"/>
  <c r="BB351" i="6"/>
  <c r="BB352" i="6"/>
  <c r="BC354" i="6"/>
  <c r="BC346" i="6"/>
  <c r="BC348" i="6" s="1"/>
  <c r="BD342" i="6"/>
  <c r="BD344" i="6" s="1"/>
  <c r="BA354" i="5"/>
  <c r="BB342" i="5"/>
  <c r="BB344" i="5" s="1"/>
  <c r="BA346" i="5"/>
  <c r="BA348" i="5" s="1"/>
  <c r="AZ352" i="5"/>
  <c r="AZ349" i="5"/>
  <c r="AZ350" i="5"/>
  <c r="AZ351" i="5"/>
  <c r="AZ349" i="4"/>
  <c r="AZ350" i="4"/>
  <c r="AZ351" i="4"/>
  <c r="AZ352" i="4"/>
  <c r="BA354" i="4"/>
  <c r="BA346" i="4"/>
  <c r="BA348" i="4" s="1"/>
  <c r="BB342" i="4"/>
  <c r="BB344" i="4" s="1"/>
  <c r="BA353" i="6"/>
  <c r="AY353" i="4"/>
  <c r="BC349" i="6" l="1"/>
  <c r="BC350" i="6"/>
  <c r="BC351" i="6"/>
  <c r="BC352" i="6"/>
  <c r="BD354" i="6"/>
  <c r="BD346" i="6"/>
  <c r="BD348" i="6" s="1"/>
  <c r="BE342" i="6"/>
  <c r="BE344" i="6" s="1"/>
  <c r="BB354" i="5"/>
  <c r="BC342" i="5"/>
  <c r="BC344" i="5" s="1"/>
  <c r="BB346" i="5"/>
  <c r="BB348" i="5" s="1"/>
  <c r="BA349" i="5"/>
  <c r="BA350" i="5"/>
  <c r="BA351" i="5"/>
  <c r="BA352" i="5"/>
  <c r="BA349" i="4"/>
  <c r="BA350" i="4"/>
  <c r="BA351" i="4"/>
  <c r="BA352" i="4"/>
  <c r="BB354" i="4"/>
  <c r="BB346" i="4"/>
  <c r="BB348" i="4" s="1"/>
  <c r="BC342" i="4"/>
  <c r="BC344" i="4" s="1"/>
  <c r="BB353" i="6"/>
  <c r="AZ353" i="5"/>
  <c r="AZ353" i="4"/>
  <c r="BD349" i="6" l="1"/>
  <c r="BD350" i="6"/>
  <c r="BD351" i="6"/>
  <c r="BD352" i="6"/>
  <c r="BE354" i="6"/>
  <c r="BE346" i="6"/>
  <c r="BE348" i="6" s="1"/>
  <c r="BF342" i="6"/>
  <c r="BF344" i="6" s="1"/>
  <c r="BC354" i="5"/>
  <c r="BC346" i="5"/>
  <c r="BC348" i="5" s="1"/>
  <c r="BD342" i="5"/>
  <c r="BD344" i="5" s="1"/>
  <c r="BB352" i="5"/>
  <c r="BB350" i="5"/>
  <c r="BB349" i="5"/>
  <c r="BB351" i="5"/>
  <c r="BB349" i="4"/>
  <c r="BB350" i="4"/>
  <c r="BB351" i="4"/>
  <c r="BB352" i="4"/>
  <c r="BC354" i="4"/>
  <c r="BC346" i="4"/>
  <c r="BC348" i="4" s="1"/>
  <c r="BD342" i="4"/>
  <c r="BD344" i="4" s="1"/>
  <c r="BC353" i="6"/>
  <c r="BA353" i="4"/>
  <c r="BA353" i="5"/>
  <c r="BB353" i="5" l="1"/>
  <c r="BE349" i="6"/>
  <c r="BE350" i="6"/>
  <c r="BE351" i="6"/>
  <c r="BE352" i="6"/>
  <c r="BF354" i="6"/>
  <c r="BF346" i="6"/>
  <c r="BF348" i="6" s="1"/>
  <c r="BG342" i="6"/>
  <c r="BG344" i="6" s="1"/>
  <c r="BC349" i="5"/>
  <c r="BC351" i="5"/>
  <c r="BC350" i="5"/>
  <c r="BC352" i="5"/>
  <c r="BD354" i="5"/>
  <c r="BD346" i="5"/>
  <c r="BD348" i="5" s="1"/>
  <c r="BE342" i="5"/>
  <c r="BE344" i="5" s="1"/>
  <c r="BC349" i="4"/>
  <c r="BC350" i="4"/>
  <c r="BC351" i="4"/>
  <c r="BC352" i="4"/>
  <c r="BD354" i="4"/>
  <c r="BD346" i="4"/>
  <c r="BD348" i="4" s="1"/>
  <c r="BE342" i="4"/>
  <c r="BE344" i="4" s="1"/>
  <c r="BD353" i="6"/>
  <c r="BB353" i="4"/>
  <c r="BF349" i="6" l="1"/>
  <c r="BF350" i="6"/>
  <c r="BF351" i="6"/>
  <c r="BF352" i="6"/>
  <c r="BG354" i="6"/>
  <c r="BG346" i="6"/>
  <c r="BG348" i="6" s="1"/>
  <c r="BH342" i="6"/>
  <c r="BH344" i="6" s="1"/>
  <c r="BD352" i="5"/>
  <c r="BD349" i="5"/>
  <c r="BD350" i="5"/>
  <c r="BD351" i="5"/>
  <c r="BE354" i="5"/>
  <c r="BE346" i="5"/>
  <c r="BE348" i="5" s="1"/>
  <c r="BF342" i="5"/>
  <c r="BF344" i="5" s="1"/>
  <c r="BD349" i="4"/>
  <c r="BD350" i="4"/>
  <c r="BD351" i="4"/>
  <c r="BD352" i="4"/>
  <c r="BE354" i="4"/>
  <c r="BE346" i="4"/>
  <c r="BE348" i="4" s="1"/>
  <c r="BF342" i="4"/>
  <c r="BF344" i="4" s="1"/>
  <c r="BC353" i="4"/>
  <c r="BE353" i="6"/>
  <c r="BC353" i="5"/>
  <c r="BG349" i="6" l="1"/>
  <c r="BG353" i="6" s="1"/>
  <c r="BG350" i="6"/>
  <c r="BG351" i="6"/>
  <c r="BG352" i="6"/>
  <c r="BH354" i="6"/>
  <c r="BH346" i="6"/>
  <c r="BH348" i="6" s="1"/>
  <c r="BI342" i="6"/>
  <c r="BI344" i="6" s="1"/>
  <c r="BE352" i="5"/>
  <c r="BE349" i="5"/>
  <c r="BE350" i="5"/>
  <c r="BE351" i="5"/>
  <c r="BF354" i="5"/>
  <c r="BF346" i="5"/>
  <c r="BF348" i="5" s="1"/>
  <c r="BG342" i="5"/>
  <c r="BG344" i="5" s="1"/>
  <c r="BE349" i="4"/>
  <c r="BE350" i="4"/>
  <c r="BE351" i="4"/>
  <c r="BE352" i="4"/>
  <c r="BF354" i="4"/>
  <c r="BF346" i="4"/>
  <c r="BF348" i="4" s="1"/>
  <c r="BG342" i="4"/>
  <c r="BG344" i="4" s="1"/>
  <c r="BD353" i="4"/>
  <c r="BF353" i="6"/>
  <c r="BD353" i="5"/>
  <c r="BH349" i="6" l="1"/>
  <c r="BH350" i="6"/>
  <c r="BH351" i="6"/>
  <c r="BH352" i="6"/>
  <c r="BI354" i="6"/>
  <c r="BI346" i="6"/>
  <c r="BI348" i="6" s="1"/>
  <c r="BJ342" i="6"/>
  <c r="BJ344" i="6" s="1"/>
  <c r="BF350" i="5"/>
  <c r="BF351" i="5"/>
  <c r="BF349" i="5"/>
  <c r="BF353" i="5" s="1"/>
  <c r="BF352" i="5"/>
  <c r="BG354" i="5"/>
  <c r="BG346" i="5"/>
  <c r="BG348" i="5" s="1"/>
  <c r="BH342" i="5"/>
  <c r="BH344" i="5" s="1"/>
  <c r="BF349" i="4"/>
  <c r="BF350" i="4"/>
  <c r="BF351" i="4"/>
  <c r="BF352" i="4"/>
  <c r="BG354" i="4"/>
  <c r="BG346" i="4"/>
  <c r="BG348" i="4" s="1"/>
  <c r="BH342" i="4"/>
  <c r="BH344" i="4" s="1"/>
  <c r="BE353" i="5"/>
  <c r="BE353" i="4"/>
  <c r="BI349" i="6" l="1"/>
  <c r="BI350" i="6"/>
  <c r="BI351" i="6"/>
  <c r="BI352" i="6"/>
  <c r="J4" i="6"/>
  <c r="BJ354" i="6"/>
  <c r="BJ346" i="6"/>
  <c r="BG349" i="5"/>
  <c r="BG352" i="5"/>
  <c r="BG350" i="5"/>
  <c r="BG351" i="5"/>
  <c r="BH354" i="5"/>
  <c r="BH346" i="5"/>
  <c r="BH348" i="5" s="1"/>
  <c r="BI342" i="5"/>
  <c r="BI344" i="5" s="1"/>
  <c r="BG349" i="4"/>
  <c r="BG350" i="4"/>
  <c r="BG351" i="4"/>
  <c r="BG352" i="4"/>
  <c r="BH354" i="4"/>
  <c r="BH346" i="4"/>
  <c r="BH348" i="4" s="1"/>
  <c r="BI342" i="4"/>
  <c r="BI344" i="4" s="1"/>
  <c r="BH353" i="6"/>
  <c r="BF353" i="4"/>
  <c r="BG353" i="4" l="1"/>
  <c r="J5" i="6"/>
  <c r="D11" i="1" s="1"/>
  <c r="J11" i="6"/>
  <c r="J6" i="6"/>
  <c r="D12" i="1" s="1"/>
  <c r="BJ348" i="6"/>
  <c r="BH352" i="5"/>
  <c r="BH350" i="5"/>
  <c r="BH349" i="5"/>
  <c r="BH351" i="5"/>
  <c r="BI354" i="5"/>
  <c r="BI346" i="5"/>
  <c r="BI348" i="5" s="1"/>
  <c r="BJ342" i="5"/>
  <c r="BJ344" i="5" s="1"/>
  <c r="BH349" i="4"/>
  <c r="BH350" i="4"/>
  <c r="BH351" i="4"/>
  <c r="BH352" i="4"/>
  <c r="BI354" i="4"/>
  <c r="BI346" i="4"/>
  <c r="BI348" i="4" s="1"/>
  <c r="BJ342" i="4"/>
  <c r="BJ344" i="4" s="1"/>
  <c r="BG353" i="5"/>
  <c r="BI353" i="6"/>
  <c r="BH353" i="5" l="1"/>
  <c r="J7" i="6"/>
  <c r="D13" i="1" s="1"/>
  <c r="BJ349" i="6"/>
  <c r="BJ350" i="6"/>
  <c r="BJ351" i="6"/>
  <c r="BJ352" i="6"/>
  <c r="BI350" i="5"/>
  <c r="BI352" i="5"/>
  <c r="BI349" i="5"/>
  <c r="BI351" i="5"/>
  <c r="J4" i="5"/>
  <c r="BJ354" i="5"/>
  <c r="BJ346" i="5"/>
  <c r="BI349" i="4"/>
  <c r="BI350" i="4"/>
  <c r="BI351" i="4"/>
  <c r="BI352" i="4"/>
  <c r="J4" i="4"/>
  <c r="BJ354" i="4"/>
  <c r="BJ346" i="4"/>
  <c r="BH353" i="4"/>
  <c r="BI353" i="5" l="1"/>
  <c r="J11" i="5"/>
  <c r="J5" i="5"/>
  <c r="C11" i="1" s="1"/>
  <c r="J6" i="5"/>
  <c r="C12" i="1" s="1"/>
  <c r="BJ348" i="5"/>
  <c r="J5" i="4"/>
  <c r="B11" i="1" s="1"/>
  <c r="J11" i="4"/>
  <c r="J6" i="4"/>
  <c r="BJ348" i="4"/>
  <c r="BI353" i="4"/>
  <c r="BJ353" i="6"/>
  <c r="J12" i="6" s="1"/>
  <c r="J14" i="6" s="1"/>
  <c r="J16" i="6" s="1"/>
  <c r="J7" i="5" l="1"/>
  <c r="C13" i="1" s="1"/>
  <c r="BJ349" i="5"/>
  <c r="BJ353" i="5" s="1"/>
  <c r="J12" i="5" s="1"/>
  <c r="J14" i="5" s="1"/>
  <c r="J16" i="5" s="1"/>
  <c r="BJ351" i="5"/>
  <c r="BJ350" i="5"/>
  <c r="BJ352" i="5"/>
  <c r="C9" i="7"/>
  <c r="B12" i="1"/>
  <c r="J7" i="4"/>
  <c r="B13" i="1" s="1"/>
  <c r="BJ349" i="4"/>
  <c r="BJ350" i="4"/>
  <c r="BJ351" i="4"/>
  <c r="BJ352" i="4"/>
  <c r="BJ353" i="4" l="1"/>
  <c r="J12" i="4" s="1"/>
  <c r="J14" i="4" s="1"/>
  <c r="J16" i="4" s="1"/>
</calcChain>
</file>

<file path=xl/sharedStrings.xml><?xml version="1.0" encoding="utf-8"?>
<sst xmlns="http://schemas.openxmlformats.org/spreadsheetml/2006/main" count="1495" uniqueCount="379">
  <si>
    <t>Benefit growth test - 100 projects, 60-yr horizon (2026-2085): raw, growth, and growth with no cash penalty</t>
  </si>
  <si>
    <t>Raw = LIN40 benefits as-is. Growth = calendar-year real growth U(1%,3%) (project 1 +3%, project 28 -2%). Envelope 210 $M p.a. = max(pro-rata s2000 124.6, largest single-project annual spend 206.9) rounded up to $10M, so every project fits without pre-banking. All values link to the model sheets.</t>
  </si>
  <si>
    <t>Headline</t>
  </si>
  <si>
    <t>Raw</t>
  </si>
  <si>
    <t>Growth</t>
  </si>
  <si>
    <t>Growth, no cash penalty</t>
  </si>
  <si>
    <t>Schedule shift by growth band (growth vs raw)</t>
  </si>
  <si>
    <t>Total PV benefits ($M)</t>
  </si>
  <si>
    <t>Growth band</t>
  </si>
  <si>
    <t>Projects</t>
  </si>
  <si>
    <t>Avg shift (yrs)</t>
  </si>
  <si>
    <t>Deferred</t>
  </si>
  <si>
    <t>Pinned to 2085</t>
  </si>
  <si>
    <t>Accelerated</t>
  </si>
  <si>
    <t>Project 1 start year (BCR 7, +3%)</t>
  </si>
  <si>
    <t>shrinking</t>
  </si>
  <si>
    <t>project 28 start year (-2%)</t>
  </si>
  <si>
    <t>under 1.5%</t>
  </si>
  <si>
    <t>Last construction year</t>
  </si>
  <si>
    <t>1.5% to 1.8%</t>
  </si>
  <si>
    <t>Max annual spend / envelope</t>
  </si>
  <si>
    <t>1.8% and over</t>
  </si>
  <si>
    <t>Years with spend above envelope</t>
  </si>
  <si>
    <t>All</t>
  </si>
  <si>
    <t>Peak balance carried while building ($M)</t>
  </si>
  <si>
    <t>Average balance carried while building ($M)</t>
  </si>
  <si>
    <t>Full per-project table: 'Comparison'. Gantt: 'Gantt'. Odd cases: 'Fringe cases'.</t>
  </si>
  <si>
    <t>Years holding cash above penalty-free cap</t>
  </si>
  <si>
    <t>Funded years with zero spend</t>
  </si>
  <si>
    <t>Benefit-years truncated at 2085</t>
  </si>
  <si>
    <t>MindOpt status / gap</t>
  </si>
  <si>
    <t>OPTIMAL / 0.000%</t>
  </si>
  <si>
    <t>Annual spend vs funding envelope, closing balance and the penalty-free cash cap (2026-2050)</t>
  </si>
  <si>
    <t>BCR - Spend-weighted project average: raw vs growth vs growth with no cash penalty</t>
  </si>
  <si>
    <t>Each year: sum(project spend x project BCR) / total spend, BCR = PV benefits / PV cost as scheduled (MBCM 2% / 1.5%), as in the optimiser dashboard.</t>
  </si>
  <si>
    <t>BCR of projects starting each year (cost-weighted): raw vs growth vs no cash penalty</t>
  </si>
  <si>
    <t>Each start year: sum(project cost x project BCR) / sum(project cost) over projects starting that year. Blank = no starts. Shows the ranking directly, without spend-smearing.</t>
  </si>
  <si>
    <t>Portfolio PV BCR (cumulative), 2026-2085: raw vs growth vs no cash penalty</t>
  </si>
  <si>
    <t>Each year: PV of all benefits realised to date / PV of all spend to date (MBCM rates), as in the optimiser dashboard. Starts near zero while building; the 2085 value is the portfolio BCR.</t>
  </si>
  <si>
    <t>BCR of projects starting in each 3-year NLTP period (cost-weighted): raw vs growth vs no cash penalty</t>
  </si>
  <si>
    <t>First period starts (edit to align with NLTP boundaries):</t>
  </si>
  <si>
    <t>NLTP period</t>
  </si>
  <si>
    <t>From</t>
  </si>
  <si>
    <t>To</t>
  </si>
  <si>
    <t>Raw BCR</t>
  </si>
  <si>
    <t>Growth BCR</t>
  </si>
  <si>
    <t>No-penalty BCR</t>
  </si>
  <si>
    <t>Raw starts</t>
  </si>
  <si>
    <t>Growth starts</t>
  </si>
  <si>
    <t>No-penalty starts</t>
  </si>
  <si>
    <t>Gantt: build (orange) and benefit years - raw vs growth vs growth with no cash penalty, 2026-2085</t>
  </si>
  <si>
    <t>Sorted by raw start year. Driven by the start years on the profile sheets. Red line = horizon end (2085).</t>
  </si>
  <si>
    <t>Build</t>
  </si>
  <si>
    <t>Benefit (raw)</t>
  </si>
  <si>
    <t>Benefit (growth)</t>
  </si>
  <si>
    <t>Benefit (no cash penalty)</t>
  </si>
  <si>
    <t>Project</t>
  </si>
  <si>
    <t>Profile</t>
  </si>
  <si>
    <t>Start</t>
  </si>
  <si>
    <t>No penalty</t>
  </si>
  <si>
    <t>Project schedule comparison - raw vs growth (production objective), plus growth with no cash penalty</t>
  </si>
  <si>
    <t>Sorted by shift (largest deferral first). All values link to the profile sheets.</t>
  </si>
  <si>
    <t>Role</t>
  </si>
  <si>
    <t>Cost band</t>
  </si>
  <si>
    <t>Base BCR</t>
  </si>
  <si>
    <t>Cost ($M)</t>
  </si>
  <si>
    <t>Growth p.a.</t>
  </si>
  <si>
    <t>Start (raw)</t>
  </si>
  <si>
    <t>Start (growth)</t>
  </si>
  <si>
    <t>Shift (yrs)</t>
  </si>
  <si>
    <t>PV raw ($M)</t>
  </si>
  <si>
    <t>PV growth ($M)</t>
  </si>
  <si>
    <t>Benefits end (growth)</t>
  </si>
  <si>
    <t>Benefit yrs truncated (growth)</t>
  </si>
  <si>
    <t>Read-out</t>
  </si>
  <si>
    <t>Start (growth, no cash penalty)</t>
  </si>
  <si>
    <t>Shift vs raw (no cash penalty)</t>
  </si>
  <si>
    <t>Raw profile - MindOpt production objective (OPTIMAL, gap 0.0000%, 329s)</t>
  </si>
  <si>
    <t>Blue = inputs (start years pre-filled with the MindOpt solution; edit to test a schedule). Black = formulas. $M real. Objective units follow the optimiser's scaling.</t>
  </si>
  <si>
    <t>Schedule &amp; objective checks</t>
  </si>
  <si>
    <t>Holding-cash penalty bands (balance carried into a year that is still building)</t>
  </si>
  <si>
    <t>Funding envelope ($M p.a.)</t>
  </si>
  <si>
    <t>Min closing balance ($M) - &gt;= 0 within $0.5M solver rounding (no debt)</t>
  </si>
  <si>
    <t>Band</t>
  </si>
  <si>
    <t>From ($M)</t>
  </si>
  <si>
    <t>From (% env)</t>
  </si>
  <si>
    <t>Weight / $0.01M-yr</t>
  </si>
  <si>
    <t>Base year (growth &amp; discount t=0)</t>
  </si>
  <si>
    <t>Peak balance carried into a construction year ($M)</t>
  </si>
  <si>
    <t>Band 1</t>
  </si>
  <si>
    <t>Discount rate, years 1-30</t>
  </si>
  <si>
    <t>Band 2</t>
  </si>
  <si>
    <t>Discount switch year (t)</t>
  </si>
  <si>
    <t>Years holding cash above the penalty-free cap</t>
  </si>
  <si>
    <t>Band 3</t>
  </si>
  <si>
    <t>Discount rate, after switch</t>
  </si>
  <si>
    <t>Band 4 (and above)</t>
  </si>
  <si>
    <t>Benefit life (years)</t>
  </si>
  <si>
    <t>Years with spend above the envelope</t>
  </si>
  <si>
    <t>Below band 1: free (backlog weight only). Final construction year: released, never penalised.</t>
  </si>
  <si>
    <t>Backlog weight (per $0.01M held)</t>
  </si>
  <si>
    <t>Funded years with zero spend (idle)</t>
  </si>
  <si>
    <t>PV weight</t>
  </si>
  <si>
    <t>Objective: backlog units</t>
  </si>
  <si>
    <t>Spend scale (units per $M)</t>
  </si>
  <si>
    <t>Objective: holding-cash tier units</t>
  </si>
  <si>
    <t>PV scale</t>
  </si>
  <si>
    <t>Objective: PV units (PV x 1e6 x PV weight x PV scale)</t>
  </si>
  <si>
    <t>Last construction year (surplus released here, not penalised)</t>
  </si>
  <si>
    <t>Objective (Excel) = backlog + tiers - PV</t>
  </si>
  <si>
    <t>Objective (MindOpt)</t>
  </si>
  <si>
    <t>Check: Excel / MindOpt - 1</t>
  </si>
  <si>
    <t>Total PV of benefits ($M)</t>
  </si>
  <si>
    <t>Cost band (1=small)</t>
  </si>
  <si>
    <t>Base BCR (test, no growth)</t>
  </si>
  <si>
    <t>Duration (yrs)</t>
  </si>
  <si>
    <t>Annual benefit ($M, 2026 terms)</t>
  </si>
  <si>
    <t>Real growth p.a.</t>
  </si>
  <si>
    <t>Start year</t>
  </si>
  <si>
    <t>Build end</t>
  </si>
  <si>
    <t>Benefit start</t>
  </si>
  <si>
    <t>Benefit end (uncapped)</t>
  </si>
  <si>
    <t>Benefit yrs in horizon</t>
  </si>
  <si>
    <t>Benefit yrs truncated</t>
  </si>
  <si>
    <t>PV benefits ($M)</t>
  </si>
  <si>
    <t>MindOpt PV ($M)</t>
  </si>
  <si>
    <t>Check: Excel - MindOpt</t>
  </si>
  <si>
    <t>PV cost ($M)</t>
  </si>
  <si>
    <t>PV BCR</t>
  </si>
  <si>
    <t>Spend yr 1</t>
  </si>
  <si>
    <t>Spend yr 2</t>
  </si>
  <si>
    <t>Spend yr 3</t>
  </si>
  <si>
    <t>Spend yr 4</t>
  </si>
  <si>
    <t>Spend yr 5</t>
  </si>
  <si>
    <t>Spend yr 6</t>
  </si>
  <si>
    <t>Spend yr 7</t>
  </si>
  <si>
    <t>Spend yr 8</t>
  </si>
  <si>
    <t>Spend yr 9</t>
  </si>
  <si>
    <t>Spend yr 10</t>
  </si>
  <si>
    <t>Spend yr 11</t>
  </si>
  <si>
    <t>Spend yr 12</t>
  </si>
  <si>
    <t>Spend yr 13</t>
  </si>
  <si>
    <t>Spend yr 14</t>
  </si>
  <si>
    <t>Spend yr 15</t>
  </si>
  <si>
    <t>Spend yr 16</t>
  </si>
  <si>
    <t>project 1</t>
  </si>
  <si>
    <t>no growth (raw)</t>
  </si>
  <si>
    <t>project 4</t>
  </si>
  <si>
    <t>project 7</t>
  </si>
  <si>
    <t>project 8</t>
  </si>
  <si>
    <t>project 9</t>
  </si>
  <si>
    <t>project 12</t>
  </si>
  <si>
    <t>project 16</t>
  </si>
  <si>
    <t>project 19</t>
  </si>
  <si>
    <t>project 20</t>
  </si>
  <si>
    <t>project 22</t>
  </si>
  <si>
    <t>project 23</t>
  </si>
  <si>
    <t>project 24</t>
  </si>
  <si>
    <t>project 26</t>
  </si>
  <si>
    <t>project 27</t>
  </si>
  <si>
    <t>project 28</t>
  </si>
  <si>
    <t>project 29</t>
  </si>
  <si>
    <t>project 32</t>
  </si>
  <si>
    <t>project 33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</si>
  <si>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</si>
  <si>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</si>
  <si>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</si>
  <si>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</si>
  <si>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</si>
  <si>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</si>
  <si>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</si>
  <si>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</si>
  <si>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47</t>
  </si>
  <si>
    <t>project 48</t>
  </si>
  <si>
    <t>project 50</t>
  </si>
  <si>
    <t>project 51</t>
  </si>
  <si>
    <t>project 53</t>
  </si>
  <si>
    <t>project 55</t>
  </si>
  <si>
    <t>project 56</t>
  </si>
  <si>
    <t>project 58</t>
  </si>
  <si>
    <t>project 61</t>
  </si>
  <si>
    <t>project 64</t>
  </si>
  <si>
    <t>project 74</t>
  </si>
  <si>
    <t>project 75</t>
  </si>
  <si>
    <t>project 77</t>
  </si>
  <si>
    <t>project 78</t>
  </si>
  <si>
    <t>project 84</t>
  </si>
  <si>
    <t>project 87</t>
  </si>
  <si>
    <t>project 90</t>
  </si>
  <si>
    <t>project 91</t>
  </si>
  <si>
    <t>project 92</t>
  </si>
  <si>
    <t>project 98</t>
  </si>
  <si>
    <t>project 100</t>
  </si>
  <si>
    <t>project 101</t>
  </si>
  <si>
    <t>project 103</t>
  </si>
  <si>
    <t>project 104</t>
  </si>
  <si>
    <t>project 106</t>
  </si>
  <si>
    <t>project 107</t>
  </si>
  <si>
    <t>project 108</t>
  </si>
  <si>
    <t>project 110</t>
  </si>
  <si>
    <t>project 112</t>
  </si>
  <si>
    <t>project 116</t>
  </si>
  <si>
    <t>project 119</t>
  </si>
  <si>
    <t>project 120</t>
  </si>
  <si>
    <t>project 121</t>
  </si>
  <si>
    <t>project 125</t>
  </si>
  <si>
    <t>project 126</t>
  </si>
  <si>
    <t>project 128</t>
  </si>
  <si>
    <t>project 130</t>
  </si>
  <si>
    <t>project 133</t>
  </si>
  <si>
    <t>project 135</t>
  </si>
  <si>
    <t>project 137</t>
  </si>
  <si>
    <t>project 142</t>
  </si>
  <si>
    <t>project 144</t>
  </si>
  <si>
    <t>project 145</t>
  </si>
  <si>
    <t>project 146</t>
  </si>
  <si>
    <t>project 148</t>
  </si>
  <si>
    <t>project 149</t>
  </si>
  <si>
    <t>project 150</t>
  </si>
  <si>
    <t>project 153</t>
  </si>
  <si>
    <t>project 156</t>
  </si>
  <si>
    <t>project 157</t>
  </si>
  <si>
    <t>project 158</t>
  </si>
  <si>
    <t>project 161</t>
  </si>
  <si>
    <t>project 162</t>
  </si>
  <si>
    <t>project 166</t>
  </si>
  <si>
    <t>project 167</t>
  </si>
  <si>
    <t>project 168</t>
  </si>
  <si>
    <t>project 171</t>
  </si>
  <si>
    <t>project 175</t>
  </si>
  <si>
    <t>project 176</t>
  </si>
  <si>
    <t>project 180</t>
  </si>
  <si>
    <t>project 181</t>
  </si>
  <si>
    <t>project 182</t>
  </si>
  <si>
    <t>project 184</t>
  </si>
  <si>
    <t>project 186</t>
  </si>
  <si>
    <t>project 188</t>
  </si>
  <si>
    <t>project 190</t>
  </si>
  <si>
    <t>project 192</t>
  </si>
  <si>
    <t>project 193</t>
  </si>
  <si>
    <t>project 195</t>
  </si>
  <si>
    <t>project 200</t>
  </si>
  <si>
    <t>project 204</t>
  </si>
  <si>
    <t>project 211</t>
  </si>
  <si>
    <t>project 213</t>
  </si>
  <si>
    <t>project 218</t>
  </si>
  <si>
    <t>Total</t>
  </si>
  <si>
    <t>Year</t>
  </si>
  <si>
    <t>t (years from base)</t>
  </si>
  <si>
    <t>Discount factor</t>
  </si>
  <si>
    <t>Capital spend by project ($M)</t>
  </si>
  <si>
    <t>Total spend</t>
  </si>
  <si>
    <t>Benefits by project ($M real, incl. growth)</t>
  </si>
  <si>
    <t>Total benefits</t>
  </si>
  <si>
    <t>Programme cash and objective terms ($M unless stated)</t>
  </si>
  <si>
    <t>Funding envelope</t>
  </si>
  <si>
    <t>Programme active (1/0)</t>
  </si>
  <si>
    <t>Funding received</t>
  </si>
  <si>
    <t>Capital spend</t>
  </si>
  <si>
    <t>Opening balance</t>
  </si>
  <si>
    <t>Surplus released (final construction year)</t>
  </si>
  <si>
    <t>Closing balance</t>
  </si>
  <si>
    <t>Penalised? (still building next year)</t>
  </si>
  <si>
    <t>Balance carried = backlog ($M)</t>
  </si>
  <si>
    <t>Penalty-free cap ($M)</t>
  </si>
  <si>
    <t>Held above cap</t>
  </si>
  <si>
    <t xml:space="preserve">  band 1 (held in this band)</t>
  </si>
  <si>
    <t xml:space="preserve">  band 2 (held in this band)</t>
  </si>
  <si>
    <t xml:space="preserve">  band 3 (held in this band)</t>
  </si>
  <si>
    <t xml:space="preserve">  band 4 (held above its start)</t>
  </si>
  <si>
    <t>Holding-cash penalty (objective units)</t>
  </si>
  <si>
    <t>Closing balance / envelope</t>
  </si>
  <si>
    <t>Spend-weighted project BCR (as scheduled)</t>
  </si>
  <si>
    <t>BCR of projects starting this year (cost-weighted)</t>
  </si>
  <si>
    <t>Portfolio PV BCR (cumulative)</t>
  </si>
  <si>
    <t>Growth profile - MindOpt production objective (OPTIMAL, gap 0.0000%, 152s)</t>
  </si>
  <si>
    <t>anchor: top BCR 7, +3%</t>
  </si>
  <si>
    <t>random growth</t>
  </si>
  <si>
    <t>shrinker: -2%</t>
  </si>
  <si>
    <t>Growth (no penalty) - MindOpt pure PV objective, no holding-cash penalty (OPTIMAL, gap 0.0000%, 59s)</t>
  </si>
  <si>
    <t>Blue = inputs (start years pre-filled with the MindOpt solution; edit to test a schedule). Black = formulas. $M real. Objective units follow the optimiser's scaling. Penalty weights are zero here: cash can be held at no cost.</t>
  </si>
  <si>
    <t>Odd cases and where the maths doesn't give the answer we want</t>
  </si>
  <si>
    <t>Evidence cells in column C link to the model sheets where possible.</t>
  </si>
  <si>
    <t>No.</t>
  </si>
  <si>
    <t>Finding</t>
  </si>
  <si>
    <t>Evidence</t>
  </si>
  <si>
    <t>Why it happens / implication</t>
  </si>
  <si>
    <t>Hypothesis confirmed: the top-BCR project is pushed back when its benefits grow faster than the discount rate.</t>
  </si>
  <si>
    <t>With calendar growth above the discount rate, a benefit year late in the fixed 40-yr window is worth more in PV than one at the front, so starting later raises PV. At its chosen start project 1's BCR is 17.3 (base 7.0): the optimiser is buying growth, not ignoring value.</t>
  </si>
  <si>
    <t>Growth re-orders the whole queue: the best projects are built last.</t>
  </si>
  <si>
    <t>Mean BCR of projects starting 2040+ vs by 2028: raw 1.1 vs 3.4; growth 3.1 vs 2.4. Fast growers (1.8%+) deferred: 31 of 58; slower growers brought forward: 30 of 41</t>
  </si>
  <si>
    <t>Without growth the optimiser builds the best BCRs first, as intended. With growth the order inverts: projects growing faster than roughly 1.7% real prefer the back of the programme and slower growers are pulled forward to keep the envelope full. Deferred fast growers average BCR 2.7; the slower growers brought forward average 1.4. Largest deferrals: project 1 (BCR 7.0), project 48 (BCR 7.0), project 56 (BCR 5.4).</t>
  </si>
  <si>
    <t>With the cash rules on, deferral stops at the end of the programme, not at the horizon.</t>
  </si>
  <si>
    <t>Deferred projects whose benefits end on 2085: 0; last construction year raw 2044, growth 2044</t>
  </si>
  <si>
    <t>Holding cash to wait is penalised, so the programme cannot idle: its length is set by the envelope (cost / envelope = 18.2 years) and growers simply queue at the back of it. Without the cash rules (see 'Pure PV sensitivity') the solver instead parks money and defers growers toward the 2085 horizon.</t>
  </si>
  <si>
    <t>The choice is bang-bang: a small change in a growth rate can move a project by more than a decade.</t>
  </si>
  <si>
    <t>Project 1 alone: g &lt;= 1.65% -&gt; start 2026; g &gt;= 1.80% -&gt; 2040 (growth sweep on 'PV by start year')</t>
  </si>
  <si>
    <t>PV against start year has two peaks - start ASAP or start as late as the benefit window allows - with the threshold between the two discount rates (2% for 30 yrs, then 1.5%). A growth assumption that is itself uncertain flips the schedule wholesale.</t>
  </si>
  <si>
    <t>The steep holding-cash bands keep the growth schedule deliverable.</t>
  </si>
  <si>
    <t>Balances above $35M cost 1,000 per $0.01M-year, rising tenfold every $12M to 1,000,000 above $71M. Growth raises the average balance, but the growth run spends 5 years in the lowest band and 0 above it, and spend still tracks the envelope (Dashboard charts).</t>
  </si>
  <si>
    <t>Mega-projects made cash holding unavoidable, so the sample is capped at $1bn.</t>
  </si>
  <si>
    <t>Uncapped run: 7 projects = 87% of cost; peak balance $417M, avg $166M, 13 yrs over $200M - proven optimal</t>
  </si>
  <si>
    <t>In the full universe 14 projects over $1bn are 84% of cost. Their lumpy spend profiles cannot be smoothed by the small projects, and funding arrives every year the programme is active, so troughs bank cash and peaks spend it - even at 1,000,000 per $0.01M-year. The real programme has this structure; this test removes it to isolate the benefit-growth effect.</t>
  </si>
  <si>
    <t>The shrinking project cannot move earlier than the first year.</t>
  </si>
  <si>
    <t>With g &lt; 0 every year of delay loses value twice (discount and decline). It already starts in the first year, so growth changes nothing for it here - but it will never be the one deferred.</t>
  </si>
  <si>
    <t>It depends on how 'growth' is defined.</t>
  </si>
  <si>
    <t>Age-based growth: no deferral (project 1 comparator curve, 'PV by start year')</t>
  </si>
  <si>
    <t>If growth is tied to the asset's age (a ramp-up profile), shifting the start shifts the whole profile and discounting always favours starting ASAP. Only calendar-year growth (e.g. demand growth) creates the push-out.</t>
  </si>
  <si>
    <t>PV nearly doubles from the growth assumption alone.</t>
  </si>
  <si>
    <t>Growth rates of 1-3% compound over up to 60 years; they dominate the benefit numbers and therefore the ranking. Any real use needs defensible, project-specific growth rates.</t>
  </si>
  <si>
    <t>Costs are not discounted in the objective.</t>
  </si>
  <si>
    <t>Objective = PV(benefits) with cash penalties; no PV(cost)</t>
  </si>
  <si>
    <t>Deferral has no capital-cost upside here. An NPV (PVB - PVC) objective would add a second, uniform push to defer.</t>
  </si>
  <si>
    <t>Without the cash penalty, the growth schedule would bank cash to wait for growers.</t>
  </si>
  <si>
    <t>Pure PV growth: project 1 2040, peak balance carried $1,691M, avg $630M (production: $45M / $24M)</t>
  </si>
  <si>
    <t>A PV-only objective happily idles the envelope to defer growers. The holding-cash bands are what turn the growth effect into a re-ordering rather than a funding freeze.</t>
  </si>
  <si>
    <t>Solve quality: every production solve is proven optimal and growth barely changes solve time.</t>
  </si>
  <si>
    <t>Raw (production): 0.000% in 329s; Growth (production): 0.000% in 152s; Raw (no cash penalty): 0.004% in 302s; Growth (no cash penalty): 0.000% in 59s</t>
  </si>
  <si>
    <t>Growth only changes objective coefficients - the model has identical rows and columns. Each schedule was also checked with a local audit: no single-project shift of +/-1..10 yrs improves the objective (see Notes).</t>
  </si>
  <si>
    <t>Why projects move: PV of benefits vs start year (each project alone, funding ignored)</t>
  </si>
  <si>
    <t>Computed with the optimiser's PV coefficients. Calendar growth = benefit x (1+g)^(year-2026); age growth = benefit x (1+g)^(years since opening). $M. Best start highlighted.</t>
  </si>
  <si>
    <t>Calendar-year growth (as solved)</t>
  </si>
  <si>
    <t>Comparators</t>
  </si>
  <si>
    <t>project 1 (+3.00%)</t>
  </si>
  <si>
    <t>project 28 (-2.00%)</t>
  </si>
  <si>
    <t>project 106 (+1.31%)</t>
  </si>
  <si>
    <t>project 119 (+1.65%)</t>
  </si>
  <si>
    <t>project 107 (+2.53%)</t>
  </si>
  <si>
    <t>project 1 raw</t>
  </si>
  <si>
    <t>project 1 age-growth</t>
  </si>
  <si>
    <t>Project 1: optimal standalone start vs growth rate (60-yr horizon)</t>
  </si>
  <si>
    <t>Optimal start</t>
  </si>
  <si>
    <t>Deferral (yrs)</t>
  </si>
  <si>
    <t>PV at optimum ($M)</t>
  </si>
  <si>
    <t>Project 1 at +3%: optimal start vs model horizon</t>
  </si>
  <si>
    <t>Horizon (yrs)</t>
  </si>
  <si>
    <t>Horizon end</t>
  </si>
  <si>
    <t>Benefits end</t>
  </si>
  <si>
    <t>Sensitivity: pure MAX PV (no holding-cash penalty) vs the production objective</t>
  </si>
  <si>
    <t>Same model, inputs and envelope. Shows what the growth assumption does once cash holding is free.</t>
  </si>
  <si>
    <t>Metric</t>
  </si>
  <si>
    <t>Raw: production</t>
  </si>
  <si>
    <t>Raw: pure PV</t>
  </si>
  <si>
    <t>Growth: production</t>
  </si>
  <si>
    <t>Growth: pure PV</t>
  </si>
  <si>
    <t>Status</t>
  </si>
  <si>
    <t>OPTIMAL</t>
  </si>
  <si>
    <t>TIME LIMIT</t>
  </si>
  <si>
    <t>Gap</t>
  </si>
  <si>
    <t>Seconds</t>
  </si>
  <si>
    <t>PV total ($M)</t>
  </si>
  <si>
    <t>Project 1 start</t>
  </si>
  <si>
    <t>Holding-cash tier units</t>
  </si>
  <si>
    <t>Improving single-project shifts found</t>
  </si>
  <si>
    <t>Start: Raw: production</t>
  </si>
  <si>
    <t>Start: Raw: pure PV</t>
  </si>
  <si>
    <t>Start: Growth: production</t>
  </si>
  <si>
    <t>Start: Growth: pure PV</t>
  </si>
  <si>
    <t>Method, inputs and assumptions</t>
  </si>
  <si>
    <t>Solver</t>
  </si>
  <si>
    <t>MindOpt 2.3 through the Capital Programme Optimiser's production model: a greedy multi-start warm start, then the production weighted objective. Gap target 0 under a time cap; the achieved gap is reported on each sheet.</t>
  </si>
  <si>
    <t>No cash penalty</t>
  </si>
  <si>
    <t>The 'Growth (no penalty)' sheet is the same model and inputs with the backlog and holding-cash terms removed (objective = maximise PV only), so the optimiser may hold cash at no cost.</t>
  </si>
  <si>
    <t>Constraints</t>
  </si>
  <si>
    <t>Each project starts exactly once and must finish inside the horizon; funding arrives every year while the programme is active; the balance can never go negative (no debt); any surplus is released only in the final construction year.</t>
  </si>
  <si>
    <t>Objective</t>
  </si>
  <si>
    <t>MIN( backlog + piecewise holding-cash penalty - 1e-4 x PV ). Cash carried into a year in which building continues is penalised: free up to $35M, then per $0.01M-year $35-47M: 1,000; $47-59M: 10,000; $59-71M: 100,000; &gt;$71M: 1,000,000. The final construction year's balance is released as a dividend at no cost. PV is valued in dollars, as in the production optimiser. Bands are applied as fractions of the envelope.</t>
  </si>
  <si>
    <t>Horizon</t>
  </si>
  <si>
    <t>2026-2085 (60 years). Benefits after 2085 are not counted (horizon truncation).</t>
  </si>
  <si>
    <t>Discounting</t>
  </si>
  <si>
    <t>MBCM: 2.0% for years 1-30, 1.5% after</t>
  </si>
  <si>
    <t>100 projects: project 1 + 99 drawn at random (fixed seed), stratified evenly across 5 cost bands of the universe so the size mix (many small, few large) mirrors the full programme. Base BCRs are test values: drawn from a lognormal fitted to BCR_mapping.xlsx (median 1.64, log-sd 0.71: clustered around 1-3 with few outliers), clipped to [1, 7] (project 1 at the top). Each benefit stream is rescaled so PV benefits / PV cost, start 2026, no growth, MBCM discounting equals its target.</t>
  </si>
  <si>
    <t>Envelope 210 $M p.a. = max(pro-rata s2000 124.6, largest single-project annual spend 206.9) rounded up to $10M, so every project fits without pre-banking. Pro-rata = s2000 ($2bn) x subset P50 cost 3,829.6 / universe 61,490.1 (the production funding-to-cost ratio). Programme cost / envelope = 18.2 funded years.</t>
  </si>
  <si>
    <t>Benefits / growth</t>
  </si>
  <si>
    <t>'Benefits Linear 40yrs' Total dimension. Growth profile: calendar-year growth, benefit x (1+g)^(year - 2026); rates U(1%,3%) seeded; project 1 +3%; project 28 (highest BCR of the rest) -2%. Real terms.</t>
  </si>
  <si>
    <t>Validation</t>
  </si>
  <si>
    <t>Excel PV reconciles to the MindOpt coefficients per project (profile sheets, column Q); Excel objective reconciles to the MindOpt objective (check cell J16). Independent cash re-trace equals the solver net balance. Local audit (improving single-project shifts of +/-1..10 yrs): Raw (production): 0; Growth (production): 0; Raw (no cash penalty): 0; Growth (no cash penalty): 0.</t>
  </si>
  <si>
    <t>Editing</t>
  </si>
  <si>
    <t>Change any blue start year on a profile sheet: spend, benefits, PV, cash, penalty terms, the Gantt and the Dashboard recalculate. Keep 'Min closing balance' &gt;= 0 for a feasible schedule.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</si>
</sst>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"/>
    <numFmt numFmtId="165" formatCode="0.00%;\(0.00%\);&quot;-&quot;"/>
    <numFmt numFmtId="166" formatCode="0.0"/>
    <numFmt numFmtId="167" formatCode="0.0E+00"/>
    <numFmt numFmtId="168" formatCode="#,##0.00;\(#,##0.00\);&quot;-&quot;"/>
    <numFmt numFmtId="169" formatCode="0.00\x"/>
    <numFmt numFmtId="170" formatCode="#,##0;\(#,##0\);&quot;-&quot;"/>
    <numFmt numFmtId="171" formatCode="0.000%"/>
    <numFmt numFmtId="172" formatCode="#,##0.0;\(#,##0.0\);&quot;-&quot;"/>
    <numFmt numFmtId="173" formatCode="0.000;\(0.000\);&quot;-&quot;"/>
    <numFmt numFmtId="174" formatCode="0.0\x"/>
    <numFmt numFmtId="175" formatCode="0.0000"/>
    <numFmt numFmtId="176" formatCode="\+0;\-0;0"/>
    <numFmt numFmtId="177" formatCode=";;;"/>
    <numFmt numFmtId="178" formatCode="\+0.0;\-0.0;0.0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595959"/>
      <name val="Arial"/>
    </font>
    <font>
      <sz val="11"/>
      <name val="Arial"/>
    </font>
    <font>
      <sz val="11"/>
      <color rgb="FF0000FF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595959"/>
      <name val="Arial"/>
    </font>
    <font>
      <b/>
      <sz val="11"/>
      <color rgb="FF0000FF"/>
      <name val="Arial"/>
    </font>
    <font>
      <sz val="11"/>
      <color rgb="FF008000"/>
      <name val="Arial"/>
    </font>
    <font>
      <b/>
      <sz val="11"/>
      <color rgb="FF000000"/>
      <name val="Arial"/>
    </font>
    <font>
      <b/>
      <sz val="8"/>
      <color rgb="FFFFFFFF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A9D18E"/>
      </patternFill>
    </fill>
    <fill>
      <patternFill patternType="solid">
        <fgColor rgb="FF548235"/>
      </patternFill>
    </fill>
    <fill>
      <patternFill patternType="solid">
        <fgColor rgb="FFB4A7D6"/>
      </patternFill>
    </fill>
    <fill>
      <patternFill patternType="solid">
        <fgColor rgb="FFF8CBAD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medium">
        <color rgb="FFC00000"/>
      </right>
      <top/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/>
    <xf numFmtId="172" fontId="9" fillId="0" borderId="1" xfId="0" applyNumberFormat="1" applyFont="1" applyBorder="1"/>
    <xf numFmtId="1" fontId="9" fillId="0" borderId="1" xfId="0" applyNumberFormat="1" applyFont="1" applyBorder="1"/>
    <xf numFmtId="49" fontId="5" fillId="0" borderId="1" xfId="0" applyNumberFormat="1" applyFont="1" applyBorder="1"/>
    <xf numFmtId="1" fontId="3" fillId="0" borderId="1" xfId="0" applyNumberFormat="1" applyFont="1" applyBorder="1"/>
    <xf numFmtId="178" fontId="3" fillId="0" borderId="1" xfId="0" applyNumberFormat="1" applyFont="1" applyBorder="1"/>
    <xf numFmtId="169" fontId="9" fillId="0" borderId="1" xfId="0" applyNumberFormat="1" applyFont="1" applyBorder="1"/>
    <xf numFmtId="1" fontId="5" fillId="0" borderId="1" xfId="0" applyNumberFormat="1" applyFont="1" applyBorder="1"/>
    <xf numFmtId="178" fontId="5" fillId="0" borderId="1" xfId="0" applyNumberFormat="1" applyFont="1" applyBorder="1"/>
    <xf numFmtId="0" fontId="7" fillId="0" borderId="0" xfId="0" applyFont="1"/>
    <xf numFmtId="3" fontId="3" fillId="0" borderId="1" xfId="0" applyNumberFormat="1" applyFont="1" applyBorder="1"/>
    <xf numFmtId="49" fontId="3" fillId="0" borderId="1" xfId="0" applyNumberFormat="1" applyFont="1" applyBorder="1"/>
    <xf numFmtId="1" fontId="4" fillId="2" borderId="0" xfId="0" applyNumberFormat="1" applyFont="1" applyFill="1"/>
    <xf numFmtId="2" fontId="9" fillId="0" borderId="1" xfId="0" applyNumberFormat="1" applyFont="1" applyBorder="1"/>
    <xf numFmtId="0" fontId="11" fillId="3" borderId="0" xfId="0" applyFont="1" applyFill="1" applyAlignment="1">
      <alignment horizontal="center" textRotation="90"/>
    </xf>
    <xf numFmtId="0" fontId="9" fillId="0" borderId="0" xfId="0" applyFont="1"/>
    <xf numFmtId="177" fontId="12" fillId="0" borderId="2" xfId="0" applyNumberFormat="1" applyFont="1" applyBorder="1"/>
    <xf numFmtId="177" fontId="12" fillId="0" borderId="3" xfId="0" applyNumberFormat="1" applyFont="1" applyBorder="1"/>
    <xf numFmtId="177" fontId="12" fillId="0" borderId="4" xfId="0" applyNumberFormat="1" applyFont="1" applyBorder="1"/>
    <xf numFmtId="177" fontId="12" fillId="0" borderId="5" xfId="0" applyNumberFormat="1" applyFont="1" applyBorder="1"/>
    <xf numFmtId="49" fontId="9" fillId="0" borderId="1" xfId="0" applyNumberFormat="1" applyFont="1" applyBorder="1"/>
    <xf numFmtId="174" fontId="9" fillId="0" borderId="1" xfId="0" applyNumberFormat="1" applyFont="1" applyBorder="1"/>
    <xf numFmtId="165" fontId="9" fillId="0" borderId="1" xfId="0" applyNumberFormat="1" applyFont="1" applyBorder="1"/>
    <xf numFmtId="176" fontId="3" fillId="0" borderId="1" xfId="0" applyNumberFormat="1" applyFont="1" applyBorder="1"/>
    <xf numFmtId="0" fontId="3" fillId="0" borderId="0" xfId="0" applyFont="1"/>
    <xf numFmtId="164" fontId="4" fillId="2" borderId="0" xfId="0" applyNumberFormat="1" applyFont="1" applyFill="1"/>
    <xf numFmtId="168" fontId="5" fillId="0" borderId="0" xfId="0" applyNumberFormat="1" applyFont="1"/>
    <xf numFmtId="165" fontId="3" fillId="0" borderId="0" xfId="0" applyNumberFormat="1" applyFont="1"/>
    <xf numFmtId="3" fontId="4" fillId="2" borderId="0" xfId="0" applyNumberFormat="1" applyFont="1" applyFill="1"/>
    <xf numFmtId="165" fontId="4" fillId="2" borderId="0" xfId="0" applyNumberFormat="1" applyFont="1" applyFill="1"/>
    <xf numFmtId="1" fontId="5" fillId="0" borderId="0" xfId="0" applyNumberFormat="1" applyFont="1"/>
    <xf numFmtId="169" fontId="5" fillId="0" borderId="0" xfId="0" applyNumberFormat="1" applyFont="1"/>
    <xf numFmtId="166" fontId="4" fillId="2" borderId="0" xfId="0" applyNumberFormat="1" applyFont="1" applyFill="1"/>
    <xf numFmtId="167" fontId="4" fillId="2" borderId="0" xfId="0" applyNumberFormat="1" applyFont="1" applyFill="1"/>
    <xf numFmtId="170" fontId="5" fillId="0" borderId="0" xfId="0" applyNumberFormat="1" applyFont="1"/>
    <xf numFmtId="170" fontId="8" fillId="0" borderId="0" xfId="0" applyNumberFormat="1" applyFont="1"/>
    <xf numFmtId="171" fontId="5" fillId="0" borderId="0" xfId="0" applyNumberFormat="1" applyFont="1"/>
    <xf numFmtId="172" fontId="5" fillId="0" borderId="0" xfId="0" applyNumberFormat="1" applyFont="1"/>
    <xf numFmtId="1" fontId="4" fillId="0" borderId="1" xfId="0" applyNumberFormat="1" applyFont="1" applyBorder="1"/>
    <xf numFmtId="169" fontId="4" fillId="0" borderId="1" xfId="0" applyNumberFormat="1" applyFont="1" applyBorder="1"/>
    <xf numFmtId="172" fontId="4" fillId="0" borderId="1" xfId="0" applyNumberFormat="1" applyFont="1" applyBorder="1"/>
    <xf numFmtId="168" fontId="4" fillId="0" borderId="1" xfId="0" applyNumberFormat="1" applyFont="1" applyBorder="1"/>
    <xf numFmtId="165" fontId="4" fillId="0" borderId="1" xfId="0" applyNumberFormat="1" applyFont="1" applyBorder="1"/>
    <xf numFmtId="1" fontId="4" fillId="2" borderId="1" xfId="0" applyNumberFormat="1" applyFont="1" applyFill="1" applyBorder="1"/>
    <xf numFmtId="172" fontId="3" fillId="0" borderId="1" xfId="0" applyNumberFormat="1" applyFont="1" applyBorder="1"/>
    <xf numFmtId="173" fontId="3" fillId="0" borderId="1" xfId="0" applyNumberFormat="1" applyFont="1" applyBorder="1"/>
    <xf numFmtId="174" fontId="3" fillId="0" borderId="1" xfId="0" applyNumberFormat="1" applyFont="1" applyBorder="1"/>
    <xf numFmtId="174" fontId="5" fillId="0" borderId="0" xfId="0" applyNumberFormat="1" applyFont="1"/>
    <xf numFmtId="0" fontId="6" fillId="3" borderId="0" xfId="0" applyFont="1" applyFill="1" applyAlignment="1">
      <alignment horizontal="center"/>
    </xf>
    <xf numFmtId="0" fontId="12" fillId="0" borderId="0" xfId="0" applyFont="1"/>
    <xf numFmtId="175" fontId="12" fillId="0" borderId="0" xfId="0" applyNumberFormat="1" applyFont="1"/>
    <xf numFmtId="168" fontId="12" fillId="0" borderId="0" xfId="0" applyNumberFormat="1" applyFont="1"/>
    <xf numFmtId="1" fontId="12" fillId="0" borderId="0" xfId="0" applyNumberFormat="1" applyFont="1"/>
    <xf numFmtId="170" fontId="12" fillId="0" borderId="0" xfId="0" applyNumberFormat="1" applyFont="1"/>
    <xf numFmtId="2" fontId="12" fillId="0" borderId="0" xfId="0" applyNumberFormat="1" applyFont="1"/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8" fontId="3" fillId="0" borderId="0" xfId="0" applyNumberFormat="1" applyFont="1"/>
    <xf numFmtId="168" fontId="5" fillId="5" borderId="0" xfId="0" applyNumberFormat="1" applyFont="1" applyFill="1"/>
    <xf numFmtId="1" fontId="3" fillId="0" borderId="0" xfId="0" applyNumberFormat="1" applyFont="1"/>
    <xf numFmtId="172" fontId="3" fillId="0" borderId="0" xfId="0" applyNumberFormat="1" applyFont="1"/>
    <xf numFmtId="165" fontId="3" fillId="8" borderId="0" xfId="0" applyNumberFormat="1" applyFont="1" applyFill="1"/>
    <xf numFmtId="1" fontId="3" fillId="8" borderId="0" xfId="0" applyNumberFormat="1" applyFont="1" applyFill="1"/>
    <xf numFmtId="172" fontId="3" fillId="8" borderId="0" xfId="0" applyNumberFormat="1" applyFont="1" applyFill="1"/>
    <xf numFmtId="171" fontId="3" fillId="0" borderId="1" xfId="0" applyNumberFormat="1" applyFont="1" applyBorder="1"/>
    <xf numFmtId="170" fontId="3" fillId="0" borderId="1" xfId="0" applyNumberFormat="1" applyFont="1" applyBorder="1"/>
    <xf numFmtId="0" fontId="3" fillId="0" borderId="0" xfId="0" applyFont="1" applyAlignment="1">
      <alignment vertical="top" wrapText="1"/>
    </xf>
    <xf numFmtId="0" fontId="10" fillId="7" borderId="0" xfId="0" applyFont="1" applyFill="1" applyAlignment="1">
      <alignment horizontal="center"/>
    </xf>
    <xf numFmtId="0" fontId="0" fillId="0" borderId="0" xfId="0"/>
    <xf numFmtId="0" fontId="6" fillId="4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34"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A9D18E"/>
          <bgColor rgb="FFA9D18E"/>
        </patternFill>
      </fill>
    </dxf>
    <dxf>
      <font>
        <color rgb="FFFFFFFF"/>
      </font>
      <fill>
        <patternFill patternType="solid">
          <fgColor rgb="FFC55A11"/>
          <bgColor rgb="FFC55A11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A9D18E"/>
          <bgColor rgb="FFA9D18E"/>
        </patternFill>
      </fill>
    </dxf>
    <dxf>
      <font>
        <color rgb="FFFFFFFF"/>
      </font>
      <fill>
        <patternFill patternType="solid">
          <fgColor rgb="FFC55A11"/>
          <bgColor rgb="FFC55A11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A9D18E"/>
          <bgColor rgb="FFA9D18E"/>
        </patternFill>
      </fill>
    </dxf>
    <dxf>
      <font>
        <color rgb="FFFFFFFF"/>
      </font>
      <fill>
        <patternFill patternType="solid">
          <fgColor rgb="FFC55A11"/>
          <bgColor rgb="FFC55A11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548235"/>
          <bgColor rgb="FF548235"/>
        </patternFill>
      </fill>
    </dxf>
    <dxf>
      <fill>
        <patternFill patternType="solid">
          <fgColor rgb="FFA9D18E"/>
          <bgColor rgb="FFA9D18E"/>
        </patternFill>
      </fill>
    </dxf>
    <dxf>
      <fill>
        <patternFill patternType="solid">
          <fgColor rgb="FFC55A11"/>
          <bgColor rgb="FFC55A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NZ"/>
              <a:t>Raw: capital spend, funding and closing balance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Capital spend</c:v>
          </c:tx>
          <c:spPr>
            <a:ln>
              <a:prstDash val="solid"/>
            </a:ln>
          </c:spPr>
          <c:invertIfNegative val="1"/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'Raw profile'!$C$341:$AA$341</c:f>
              <c:numCache>
                <c:formatCode>#,##0.00;\(#,##0.00\);"-"</c:formatCode>
                <c:ptCount val="25"/>
                <c:pt idx="0">
                  <c:v>162.73449980779091</c:v>
                </c:pt>
                <c:pt idx="1">
                  <c:v>253.67024897810205</c:v>
                </c:pt>
                <c:pt idx="2">
                  <c:v>212.90893987841784</c:v>
                </c:pt>
                <c:pt idx="3">
                  <c:v>210.2445818397118</c:v>
                </c:pt>
                <c:pt idx="4">
                  <c:v>210.44428211664234</c:v>
                </c:pt>
                <c:pt idx="5">
                  <c:v>210.02330612256353</c:v>
                </c:pt>
                <c:pt idx="6">
                  <c:v>205.03903214360358</c:v>
                </c:pt>
                <c:pt idx="7">
                  <c:v>212.73965752779301</c:v>
                </c:pt>
                <c:pt idx="8">
                  <c:v>196.74293259092309</c:v>
                </c:pt>
                <c:pt idx="9">
                  <c:v>217.39132691326333</c:v>
                </c:pt>
                <c:pt idx="10">
                  <c:v>218.06394683074367</c:v>
                </c:pt>
                <c:pt idx="11">
                  <c:v>199.52656976215229</c:v>
                </c:pt>
                <c:pt idx="12">
                  <c:v>220.35351472938009</c:v>
                </c:pt>
                <c:pt idx="13">
                  <c:v>209.85768210641049</c:v>
                </c:pt>
                <c:pt idx="14">
                  <c:v>210.27485385251532</c:v>
                </c:pt>
                <c:pt idx="15">
                  <c:v>209.70249136363523</c:v>
                </c:pt>
                <c:pt idx="16">
                  <c:v>210.27834049887775</c:v>
                </c:pt>
                <c:pt idx="17">
                  <c:v>210.00548486927821</c:v>
                </c:pt>
                <c:pt idx="18">
                  <c:v>49.645243782200289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8-44E9-AFBF-A0492B24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100"/>
      </c:barChart>
      <c:lineChart>
        <c:grouping val="standard"/>
        <c:varyColors val="1"/>
        <c:ser>
          <c:idx val="1"/>
          <c:order val="1"/>
          <c:tx>
            <c:v>Funding received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'Raw profile'!$C$340:$AA$340</c:f>
              <c:numCache>
                <c:formatCode>#,##0.00;\(#,##0.00\);"-"</c:formatCode>
                <c:ptCount val="25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210</c:v>
                </c:pt>
                <c:pt idx="10">
                  <c:v>210</c:v>
                </c:pt>
                <c:pt idx="11">
                  <c:v>210</c:v>
                </c:pt>
                <c:pt idx="12">
                  <c:v>210</c:v>
                </c:pt>
                <c:pt idx="13">
                  <c:v>210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28-44E9-AFBF-A0492B24DF00}"/>
            </c:ext>
          </c:extLst>
        </c:ser>
        <c:ser>
          <c:idx val="2"/>
          <c:order val="2"/>
          <c:tx>
            <c:v>Closing balance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'Raw profile'!$C$344:$AA$344</c:f>
              <c:numCache>
                <c:formatCode>#,##0.00;\(#,##0.00\);"-"</c:formatCode>
                <c:ptCount val="25"/>
                <c:pt idx="0">
                  <c:v>47.265500192209089</c:v>
                </c:pt>
                <c:pt idx="1">
                  <c:v>3.5952512141070088</c:v>
                </c:pt>
                <c:pt idx="2">
                  <c:v>0.6863113356891688</c:v>
                </c:pt>
                <c:pt idx="3">
                  <c:v>0.44172949597736988</c:v>
                </c:pt>
                <c:pt idx="4">
                  <c:v>-2.5526206649715277E-3</c:v>
                </c:pt>
                <c:pt idx="5">
                  <c:v>-2.5858743228496905E-2</c:v>
                </c:pt>
                <c:pt idx="6">
                  <c:v>4.9351091131679254</c:v>
                </c:pt>
                <c:pt idx="7">
                  <c:v>2.1954515853749115</c:v>
                </c:pt>
                <c:pt idx="8">
                  <c:v>15.452518994451822</c:v>
                </c:pt>
                <c:pt idx="9">
                  <c:v>8.0611920811884943</c:v>
                </c:pt>
                <c:pt idx="10">
                  <c:v>-2.7547495551800694E-3</c:v>
                </c:pt>
                <c:pt idx="11">
                  <c:v>10.470675488292528</c:v>
                </c:pt>
                <c:pt idx="12">
                  <c:v>0.11716075891243349</c:v>
                </c:pt>
                <c:pt idx="13">
                  <c:v>0.25947865250194013</c:v>
                </c:pt>
                <c:pt idx="14">
                  <c:v>-1.5375200013380663E-2</c:v>
                </c:pt>
                <c:pt idx="15">
                  <c:v>0.28213343635138699</c:v>
                </c:pt>
                <c:pt idx="16">
                  <c:v>3.7929374736336285E-3</c:v>
                </c:pt>
                <c:pt idx="17">
                  <c:v>-1.6919318045722775E-3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28-44E9-AFBF-A0492B24DF00}"/>
            </c:ext>
          </c:extLst>
        </c:ser>
        <c:ser>
          <c:idx val="3"/>
          <c:order val="3"/>
          <c:tx>
            <c:v>Penalty-free cash cap ($35M)</c:v>
          </c:tx>
          <c:spPr>
            <a:ln>
              <a:prstDash val="dash"/>
            </a:ln>
          </c:spPr>
          <c:marker>
            <c:symbol val="none"/>
          </c:marker>
          <c:val>
            <c:numRef>
              <c:f>'Raw profile'!$C$347:$AA$347</c:f>
              <c:numCache>
                <c:formatCode>#,##0.00;\(#,##0.00\);"-"</c:formatCode>
                <c:ptCount val="25"/>
                <c:pt idx="0">
                  <c:v>35.445</c:v>
                </c:pt>
                <c:pt idx="1">
                  <c:v>35.445</c:v>
                </c:pt>
                <c:pt idx="2">
                  <c:v>35.445</c:v>
                </c:pt>
                <c:pt idx="3">
                  <c:v>35.445</c:v>
                </c:pt>
                <c:pt idx="4">
                  <c:v>35.445</c:v>
                </c:pt>
                <c:pt idx="5">
                  <c:v>35.445</c:v>
                </c:pt>
                <c:pt idx="6">
                  <c:v>35.445</c:v>
                </c:pt>
                <c:pt idx="7">
                  <c:v>35.445</c:v>
                </c:pt>
                <c:pt idx="8">
                  <c:v>35.445</c:v>
                </c:pt>
                <c:pt idx="9">
                  <c:v>35.445</c:v>
                </c:pt>
                <c:pt idx="10">
                  <c:v>35.445</c:v>
                </c:pt>
                <c:pt idx="11">
                  <c:v>35.445</c:v>
                </c:pt>
                <c:pt idx="12">
                  <c:v>35.445</c:v>
                </c:pt>
                <c:pt idx="13">
                  <c:v>35.445</c:v>
                </c:pt>
                <c:pt idx="14">
                  <c:v>35.445</c:v>
                </c:pt>
                <c:pt idx="15">
                  <c:v>35.445</c:v>
                </c:pt>
                <c:pt idx="16">
                  <c:v>35.445</c:v>
                </c:pt>
                <c:pt idx="17">
                  <c:v>35.445</c:v>
                </c:pt>
                <c:pt idx="18">
                  <c:v>35.445</c:v>
                </c:pt>
                <c:pt idx="19">
                  <c:v>35.445</c:v>
                </c:pt>
                <c:pt idx="20">
                  <c:v>35.445</c:v>
                </c:pt>
                <c:pt idx="21">
                  <c:v>35.445</c:v>
                </c:pt>
                <c:pt idx="22">
                  <c:v>35.445</c:v>
                </c:pt>
                <c:pt idx="23">
                  <c:v>35.445</c:v>
                </c:pt>
                <c:pt idx="24">
                  <c:v>35.445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28-44E9-AFBF-A0492B24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NZ"/>
              <a:t>Growth: capital spend, funding and closing balance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Capital spend</c:v>
          </c:tx>
          <c:spPr>
            <a:ln>
              <a:prstDash val="solid"/>
            </a:ln>
          </c:spPr>
          <c:invertIfNegative val="1"/>
          <c:cat>
            <c:numRef>
              <c:f>'Growth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'Growth profile'!$C$341:$AA$341</c:f>
              <c:numCache>
                <c:formatCode>#,##0.00;\(#,##0.00\);"-"</c:formatCode>
                <c:ptCount val="25"/>
                <c:pt idx="0">
                  <c:v>175.04640100880513</c:v>
                </c:pt>
                <c:pt idx="1">
                  <c:v>238.6798007537453</c:v>
                </c:pt>
                <c:pt idx="2">
                  <c:v>215.05953221802514</c:v>
                </c:pt>
                <c:pt idx="3">
                  <c:v>203.32859751460893</c:v>
                </c:pt>
                <c:pt idx="4">
                  <c:v>217.90025562174398</c:v>
                </c:pt>
                <c:pt idx="5">
                  <c:v>181.27902926386506</c:v>
                </c:pt>
                <c:pt idx="6">
                  <c:v>238.61250254446745</c:v>
                </c:pt>
                <c:pt idx="7">
                  <c:v>183.70026897912894</c:v>
                </c:pt>
                <c:pt idx="8">
                  <c:v>202.70751481761113</c:v>
                </c:pt>
                <c:pt idx="9">
                  <c:v>208.27311621483796</c:v>
                </c:pt>
                <c:pt idx="10">
                  <c:v>215.27210899928463</c:v>
                </c:pt>
                <c:pt idx="11">
                  <c:v>204.66623770166944</c:v>
                </c:pt>
                <c:pt idx="12">
                  <c:v>211.03470417285436</c:v>
                </c:pt>
                <c:pt idx="13">
                  <c:v>199.75648579823752</c:v>
                </c:pt>
                <c:pt idx="14">
                  <c:v>215.64297134043679</c:v>
                </c:pt>
                <c:pt idx="15">
                  <c:v>249.05070049942373</c:v>
                </c:pt>
                <c:pt idx="16">
                  <c:v>173.32969044943226</c:v>
                </c:pt>
                <c:pt idx="17">
                  <c:v>201.97774483970028</c:v>
                </c:pt>
                <c:pt idx="18">
                  <c:v>94.329272976126987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C-4A18-973C-14E0906AF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100"/>
      </c:barChart>
      <c:lineChart>
        <c:grouping val="standard"/>
        <c:varyColors val="1"/>
        <c:ser>
          <c:idx val="1"/>
          <c:order val="1"/>
          <c:tx>
            <c:v>Funding received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'Growth profile'!$C$340:$AA$340</c:f>
              <c:numCache>
                <c:formatCode>#,##0.00;\(#,##0.00\);"-"</c:formatCode>
                <c:ptCount val="25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210</c:v>
                </c:pt>
                <c:pt idx="10">
                  <c:v>210</c:v>
                </c:pt>
                <c:pt idx="11">
                  <c:v>210</c:v>
                </c:pt>
                <c:pt idx="12">
                  <c:v>210</c:v>
                </c:pt>
                <c:pt idx="13">
                  <c:v>210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7C-4A18-973C-14E0906AFA14}"/>
            </c:ext>
          </c:extLst>
        </c:ser>
        <c:ser>
          <c:idx val="2"/>
          <c:order val="2"/>
          <c:tx>
            <c:v>Closing balance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'Growth profile'!$C$344:$AA$344</c:f>
              <c:numCache>
                <c:formatCode>#,##0.00;\(#,##0.00\);"-"</c:formatCode>
                <c:ptCount val="25"/>
                <c:pt idx="0">
                  <c:v>34.953598991194866</c:v>
                </c:pt>
                <c:pt idx="1">
                  <c:v>6.2737982374495687</c:v>
                </c:pt>
                <c:pt idx="2">
                  <c:v>1.2142660194244286</c:v>
                </c:pt>
                <c:pt idx="3">
                  <c:v>7.8856685048154986</c:v>
                </c:pt>
                <c:pt idx="4">
                  <c:v>-1.4587116928481692E-2</c:v>
                </c:pt>
                <c:pt idx="5">
                  <c:v>28.706383619206463</c:v>
                </c:pt>
                <c:pt idx="6">
                  <c:v>9.3881074739016412E-2</c:v>
                </c:pt>
                <c:pt idx="7">
                  <c:v>26.393612095610081</c:v>
                </c:pt>
                <c:pt idx="8">
                  <c:v>33.686097277998954</c:v>
                </c:pt>
                <c:pt idx="9">
                  <c:v>35.412981063160998</c:v>
                </c:pt>
                <c:pt idx="10">
                  <c:v>30.140872063876373</c:v>
                </c:pt>
                <c:pt idx="11">
                  <c:v>35.474634362206928</c:v>
                </c:pt>
                <c:pt idx="12">
                  <c:v>34.439930189352566</c:v>
                </c:pt>
                <c:pt idx="13">
                  <c:v>44.683444391115046</c:v>
                </c:pt>
                <c:pt idx="14">
                  <c:v>39.040473050678258</c:v>
                </c:pt>
                <c:pt idx="15">
                  <c:v>-1.0227448745467882E-2</c:v>
                </c:pt>
                <c:pt idx="16">
                  <c:v>36.660082101822269</c:v>
                </c:pt>
                <c:pt idx="17">
                  <c:v>44.68233726212199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7C-4A18-973C-14E0906AFA14}"/>
            </c:ext>
          </c:extLst>
        </c:ser>
        <c:ser>
          <c:idx val="3"/>
          <c:order val="3"/>
          <c:tx>
            <c:v>Penalty-free cash cap ($35M)</c:v>
          </c:tx>
          <c:spPr>
            <a:ln>
              <a:prstDash val="dash"/>
            </a:ln>
          </c:spPr>
          <c:marker>
            <c:symbol val="none"/>
          </c:marker>
          <c:val>
            <c:numRef>
              <c:f>'Growth profile'!$C$347:$AA$347</c:f>
              <c:numCache>
                <c:formatCode>#,##0.00;\(#,##0.00\);"-"</c:formatCode>
                <c:ptCount val="25"/>
                <c:pt idx="0">
                  <c:v>35.445</c:v>
                </c:pt>
                <c:pt idx="1">
                  <c:v>35.445</c:v>
                </c:pt>
                <c:pt idx="2">
                  <c:v>35.445</c:v>
                </c:pt>
                <c:pt idx="3">
                  <c:v>35.445</c:v>
                </c:pt>
                <c:pt idx="4">
                  <c:v>35.445</c:v>
                </c:pt>
                <c:pt idx="5">
                  <c:v>35.445</c:v>
                </c:pt>
                <c:pt idx="6">
                  <c:v>35.445</c:v>
                </c:pt>
                <c:pt idx="7">
                  <c:v>35.445</c:v>
                </c:pt>
                <c:pt idx="8">
                  <c:v>35.445</c:v>
                </c:pt>
                <c:pt idx="9">
                  <c:v>35.445</c:v>
                </c:pt>
                <c:pt idx="10">
                  <c:v>35.445</c:v>
                </c:pt>
                <c:pt idx="11">
                  <c:v>35.445</c:v>
                </c:pt>
                <c:pt idx="12">
                  <c:v>35.445</c:v>
                </c:pt>
                <c:pt idx="13">
                  <c:v>35.445</c:v>
                </c:pt>
                <c:pt idx="14">
                  <c:v>35.445</c:v>
                </c:pt>
                <c:pt idx="15">
                  <c:v>35.445</c:v>
                </c:pt>
                <c:pt idx="16">
                  <c:v>35.445</c:v>
                </c:pt>
                <c:pt idx="17">
                  <c:v>35.445</c:v>
                </c:pt>
                <c:pt idx="18">
                  <c:v>35.445</c:v>
                </c:pt>
                <c:pt idx="19">
                  <c:v>35.445</c:v>
                </c:pt>
                <c:pt idx="20">
                  <c:v>35.445</c:v>
                </c:pt>
                <c:pt idx="21">
                  <c:v>35.445</c:v>
                </c:pt>
                <c:pt idx="22">
                  <c:v>35.445</c:v>
                </c:pt>
                <c:pt idx="23">
                  <c:v>35.445</c:v>
                </c:pt>
                <c:pt idx="24">
                  <c:v>35.445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7C-4A18-973C-14E0906AF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NZ"/>
              <a:t>Growth, no cash penalty: capital spend, funding and closing balance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Capital spend</c:v>
          </c:tx>
          <c:spPr>
            <a:ln>
              <a:prstDash val="solid"/>
            </a:ln>
          </c:spPr>
          <c:invertIfNegative val="1"/>
          <c:cat>
            <c:numRef>
              <c:f>'Growth (no penalty)'!$C$127:$AA$127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'Growth (no penalty)'!$C$341:$AA$341</c:f>
              <c:numCache>
                <c:formatCode>#,##0.00;\(#,##0.00\);"-"</c:formatCode>
                <c:ptCount val="25"/>
                <c:pt idx="0">
                  <c:v>167.99630100880512</c:v>
                </c:pt>
                <c:pt idx="1">
                  <c:v>238.18531251845118</c:v>
                </c:pt>
                <c:pt idx="2">
                  <c:v>223.71115974628347</c:v>
                </c:pt>
                <c:pt idx="3">
                  <c:v>203.40581969309989</c:v>
                </c:pt>
                <c:pt idx="4">
                  <c:v>200.85447329786123</c:v>
                </c:pt>
                <c:pt idx="5">
                  <c:v>225.86672035887673</c:v>
                </c:pt>
                <c:pt idx="6">
                  <c:v>208.67881643029239</c:v>
                </c:pt>
                <c:pt idx="7">
                  <c:v>131.78171788420065</c:v>
                </c:pt>
                <c:pt idx="8">
                  <c:v>42.523701854985987</c:v>
                </c:pt>
                <c:pt idx="9">
                  <c:v>3.38343105523921</c:v>
                </c:pt>
                <c:pt idx="10">
                  <c:v>3.5375706265955666</c:v>
                </c:pt>
                <c:pt idx="11">
                  <c:v>5.0604872787427722</c:v>
                </c:pt>
                <c:pt idx="12">
                  <c:v>11.224296091049132</c:v>
                </c:pt>
                <c:pt idx="13">
                  <c:v>25.055197868193581</c:v>
                </c:pt>
                <c:pt idx="14">
                  <c:v>37.131595588242391</c:v>
                </c:pt>
                <c:pt idx="15">
                  <c:v>46.51447218302679</c:v>
                </c:pt>
                <c:pt idx="16">
                  <c:v>104.03576752546675</c:v>
                </c:pt>
                <c:pt idx="17">
                  <c:v>334.45892099898566</c:v>
                </c:pt>
                <c:pt idx="18">
                  <c:v>764.53361522123862</c:v>
                </c:pt>
                <c:pt idx="19">
                  <c:v>851.70755848436761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E-4BCB-B978-F9907C5C3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100"/>
      </c:barChart>
      <c:lineChart>
        <c:grouping val="standard"/>
        <c:varyColors val="1"/>
        <c:ser>
          <c:idx val="1"/>
          <c:order val="1"/>
          <c:tx>
            <c:v>Funding received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'Growth (no penalty)'!$C$340:$AA$340</c:f>
              <c:numCache>
                <c:formatCode>#,##0.00;\(#,##0.00\);"-"</c:formatCode>
                <c:ptCount val="25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210</c:v>
                </c:pt>
                <c:pt idx="10">
                  <c:v>210</c:v>
                </c:pt>
                <c:pt idx="11">
                  <c:v>210</c:v>
                </c:pt>
                <c:pt idx="12">
                  <c:v>210</c:v>
                </c:pt>
                <c:pt idx="13">
                  <c:v>210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210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E-4BCB-B978-F9907C5C39F3}"/>
            </c:ext>
          </c:extLst>
        </c:ser>
        <c:ser>
          <c:idx val="2"/>
          <c:order val="2"/>
          <c:tx>
            <c:v>Closing balance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'Growth (no penalty)'!$C$344:$AA$344</c:f>
              <c:numCache>
                <c:formatCode>#,##0.00;\(#,##0.00\);"-"</c:formatCode>
                <c:ptCount val="25"/>
                <c:pt idx="0">
                  <c:v>42.003698991194881</c:v>
                </c:pt>
                <c:pt idx="1">
                  <c:v>13.818386472743697</c:v>
                </c:pt>
                <c:pt idx="2">
                  <c:v>0.10722672646022602</c:v>
                </c:pt>
                <c:pt idx="3">
                  <c:v>6.7014070333603399</c:v>
                </c:pt>
                <c:pt idx="4">
                  <c:v>15.846933735499107</c:v>
                </c:pt>
                <c:pt idx="5">
                  <c:v>-1.9786623377626711E-2</c:v>
                </c:pt>
                <c:pt idx="6">
                  <c:v>1.3013969463299873</c:v>
                </c:pt>
                <c:pt idx="7">
                  <c:v>79.519679062129342</c:v>
                </c:pt>
                <c:pt idx="8">
                  <c:v>246.99597720714337</c:v>
                </c:pt>
                <c:pt idx="9">
                  <c:v>453.61254615190416</c:v>
                </c:pt>
                <c:pt idx="10">
                  <c:v>660.07497552530856</c:v>
                </c:pt>
                <c:pt idx="11">
                  <c:v>865.01448824656575</c:v>
                </c:pt>
                <c:pt idx="12">
                  <c:v>1063.7901921555165</c:v>
                </c:pt>
                <c:pt idx="13">
                  <c:v>1248.7349942873229</c:v>
                </c:pt>
                <c:pt idx="14">
                  <c:v>1421.6033986990806</c:v>
                </c:pt>
                <c:pt idx="15">
                  <c:v>1585.0889265160538</c:v>
                </c:pt>
                <c:pt idx="16">
                  <c:v>1691.053158990587</c:v>
                </c:pt>
                <c:pt idx="17">
                  <c:v>1566.5942379916014</c:v>
                </c:pt>
                <c:pt idx="18">
                  <c:v>1012.0606227703628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E-4BCB-B978-F9907C5C39F3}"/>
            </c:ext>
          </c:extLst>
        </c:ser>
        <c:ser>
          <c:idx val="3"/>
          <c:order val="3"/>
          <c:tx>
            <c:v>Penalty-free cash cap ($35M), not applied here</c:v>
          </c:tx>
          <c:spPr>
            <a:ln>
              <a:prstDash val="dash"/>
            </a:ln>
          </c:spPr>
          <c:marker>
            <c:symbol val="none"/>
          </c:marker>
          <c:val>
            <c:numRef>
              <c:f>'Growth (no penalty)'!$C$347:$AA$347</c:f>
              <c:numCache>
                <c:formatCode>#,##0.00;\(#,##0.00\);"-"</c:formatCode>
                <c:ptCount val="25"/>
                <c:pt idx="0">
                  <c:v>35.445</c:v>
                </c:pt>
                <c:pt idx="1">
                  <c:v>35.445</c:v>
                </c:pt>
                <c:pt idx="2">
                  <c:v>35.445</c:v>
                </c:pt>
                <c:pt idx="3">
                  <c:v>35.445</c:v>
                </c:pt>
                <c:pt idx="4">
                  <c:v>35.445</c:v>
                </c:pt>
                <c:pt idx="5">
                  <c:v>35.445</c:v>
                </c:pt>
                <c:pt idx="6">
                  <c:v>35.445</c:v>
                </c:pt>
                <c:pt idx="7">
                  <c:v>35.445</c:v>
                </c:pt>
                <c:pt idx="8">
                  <c:v>35.445</c:v>
                </c:pt>
                <c:pt idx="9">
                  <c:v>35.445</c:v>
                </c:pt>
                <c:pt idx="10">
                  <c:v>35.445</c:v>
                </c:pt>
                <c:pt idx="11">
                  <c:v>35.445</c:v>
                </c:pt>
                <c:pt idx="12">
                  <c:v>35.445</c:v>
                </c:pt>
                <c:pt idx="13">
                  <c:v>35.445</c:v>
                </c:pt>
                <c:pt idx="14">
                  <c:v>35.445</c:v>
                </c:pt>
                <c:pt idx="15">
                  <c:v>35.445</c:v>
                </c:pt>
                <c:pt idx="16">
                  <c:v>35.445</c:v>
                </c:pt>
                <c:pt idx="17">
                  <c:v>35.445</c:v>
                </c:pt>
                <c:pt idx="18">
                  <c:v>35.445</c:v>
                </c:pt>
                <c:pt idx="19">
                  <c:v>35.445</c:v>
                </c:pt>
                <c:pt idx="20">
                  <c:v>35.445</c:v>
                </c:pt>
                <c:pt idx="21">
                  <c:v>35.445</c:v>
                </c:pt>
                <c:pt idx="22">
                  <c:v>35.445</c:v>
                </c:pt>
                <c:pt idx="23">
                  <c:v>35.445</c:v>
                </c:pt>
                <c:pt idx="24">
                  <c:v>35.445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E-4BCB-B978-F9907C5C3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NZ"/>
              <a:t>BCR - Spend-weighted project average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Raw (no growth)</c:v>
          </c:tx>
          <c:spPr>
            <a:ln w="3556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'Raw profile'!$C$355:$AA$355</c:f>
              <c:numCache>
                <c:formatCode>0.00</c:formatCode>
                <c:ptCount val="25"/>
                <c:pt idx="0">
                  <c:v>2.8684086688121191</c:v>
                </c:pt>
                <c:pt idx="1">
                  <c:v>3.0056914650511972</c:v>
                </c:pt>
                <c:pt idx="2">
                  <c:v>3.2264246040209179</c:v>
                </c:pt>
                <c:pt idx="3">
                  <c:v>3.2302235898211586</c:v>
                </c:pt>
                <c:pt idx="4">
                  <c:v>3.0482706293394091</c:v>
                </c:pt>
                <c:pt idx="5">
                  <c:v>2.7728598207044355</c:v>
                </c:pt>
                <c:pt idx="6">
                  <c:v>2.373254951381885</c:v>
                </c:pt>
                <c:pt idx="7">
                  <c:v>2.4088237540762019</c:v>
                </c:pt>
                <c:pt idx="8">
                  <c:v>2.3051868497055596</c:v>
                </c:pt>
                <c:pt idx="9">
                  <c:v>2.086074300697041</c:v>
                </c:pt>
                <c:pt idx="10">
                  <c:v>2.0742287390943606</c:v>
                </c:pt>
                <c:pt idx="11">
                  <c:v>1.7761914342735847</c:v>
                </c:pt>
                <c:pt idx="12">
                  <c:v>1.7625951995864733</c:v>
                </c:pt>
                <c:pt idx="13">
                  <c:v>1.7191230660555581</c:v>
                </c:pt>
                <c:pt idx="14">
                  <c:v>1.5873734816616096</c:v>
                </c:pt>
                <c:pt idx="15">
                  <c:v>1.4355974328138508</c:v>
                </c:pt>
                <c:pt idx="16">
                  <c:v>1.2360891539231735</c:v>
                </c:pt>
                <c:pt idx="17">
                  <c:v>1.1479354648193991</c:v>
                </c:pt>
                <c:pt idx="18">
                  <c:v>1.4775700783531114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C3-4B29-B78C-E97237F82F48}"/>
            </c:ext>
          </c:extLst>
        </c:ser>
        <c:ser>
          <c:idx val="1"/>
          <c:order val="1"/>
          <c:tx>
            <c:v>Growth</c:v>
          </c:tx>
          <c:spPr>
            <a:ln w="27940"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'Growth profile'!$C$355:$AA$355</c:f>
              <c:numCache>
                <c:formatCode>0.00</c:formatCode>
                <c:ptCount val="25"/>
                <c:pt idx="0">
                  <c:v>2.9410926768176355</c:v>
                </c:pt>
                <c:pt idx="1">
                  <c:v>3.199797919200241</c:v>
                </c:pt>
                <c:pt idx="2">
                  <c:v>3.6804384959449528</c:v>
                </c:pt>
                <c:pt idx="3">
                  <c:v>3.755421636931024</c:v>
                </c:pt>
                <c:pt idx="4">
                  <c:v>3.9414874477918533</c:v>
                </c:pt>
                <c:pt idx="5">
                  <c:v>4.0106180844798223</c:v>
                </c:pt>
                <c:pt idx="6">
                  <c:v>3.1798865514818866</c:v>
                </c:pt>
                <c:pt idx="7">
                  <c:v>2.7055220623544249</c:v>
                </c:pt>
                <c:pt idx="8">
                  <c:v>3.1543978341605636</c:v>
                </c:pt>
                <c:pt idx="9">
                  <c:v>3.0488982570073371</c:v>
                </c:pt>
                <c:pt idx="10">
                  <c:v>4.0562737712577501</c:v>
                </c:pt>
                <c:pt idx="11">
                  <c:v>3.8819626651527392</c:v>
                </c:pt>
                <c:pt idx="12">
                  <c:v>3.8212671623348906</c:v>
                </c:pt>
                <c:pt idx="13">
                  <c:v>4.1110117131962971</c:v>
                </c:pt>
                <c:pt idx="14">
                  <c:v>5.3540343587006767</c:v>
                </c:pt>
                <c:pt idx="15">
                  <c:v>5.8064050932741518</c:v>
                </c:pt>
                <c:pt idx="16">
                  <c:v>8.1994609602598612</c:v>
                </c:pt>
                <c:pt idx="17">
                  <c:v>8.2960566035426915</c:v>
                </c:pt>
                <c:pt idx="18">
                  <c:v>6.6700982173301773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C3-4B29-B78C-E97237F82F48}"/>
            </c:ext>
          </c:extLst>
        </c:ser>
        <c:ser>
          <c:idx val="2"/>
          <c:order val="2"/>
          <c:tx>
            <c:v>Growth, no cash penalty</c:v>
          </c:tx>
          <c:spPr>
            <a:ln w="27940">
              <a:solidFill>
                <a:srgbClr val="7030A0"/>
              </a:solidFill>
              <a:prstDash val="sysDot"/>
            </a:ln>
          </c:spPr>
          <c:marker>
            <c:symbol val="none"/>
          </c:marker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'Growth (no penalty)'!$C$355:$AA$355</c:f>
              <c:numCache>
                <c:formatCode>0.00</c:formatCode>
                <c:ptCount val="25"/>
                <c:pt idx="0">
                  <c:v>2.9961056647280917</c:v>
                </c:pt>
                <c:pt idx="1">
                  <c:v>3.2025483618417141</c:v>
                </c:pt>
                <c:pt idx="2">
                  <c:v>3.6326529422676344</c:v>
                </c:pt>
                <c:pt idx="3">
                  <c:v>3.4579359481760417</c:v>
                </c:pt>
                <c:pt idx="4">
                  <c:v>3.7323753224842098</c:v>
                </c:pt>
                <c:pt idx="5">
                  <c:v>3.5344457200372115</c:v>
                </c:pt>
                <c:pt idx="6">
                  <c:v>3.2599808321505357</c:v>
                </c:pt>
                <c:pt idx="7">
                  <c:v>3.8871055019304084</c:v>
                </c:pt>
                <c:pt idx="8">
                  <c:v>3.7784220830896</c:v>
                </c:pt>
                <c:pt idx="9">
                  <c:v>3.2032235409776484</c:v>
                </c:pt>
                <c:pt idx="10">
                  <c:v>3.1851854307738257</c:v>
                </c:pt>
                <c:pt idx="11">
                  <c:v>4.5248458786699777</c:v>
                </c:pt>
                <c:pt idx="12">
                  <c:v>4.193805032074911</c:v>
                </c:pt>
                <c:pt idx="13">
                  <c:v>5.0719883745758052</c:v>
                </c:pt>
                <c:pt idx="14">
                  <c:v>4.9362796519681513</c:v>
                </c:pt>
                <c:pt idx="15">
                  <c:v>5.5395129791715734</c:v>
                </c:pt>
                <c:pt idx="16">
                  <c:v>6.4247212126595361</c:v>
                </c:pt>
                <c:pt idx="17">
                  <c:v>5.9590759458852052</c:v>
                </c:pt>
                <c:pt idx="18">
                  <c:v>5.7092329201799039</c:v>
                </c:pt>
                <c:pt idx="19">
                  <c:v>5.3488087977511078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C3-4B29-B78C-E97237F82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NZ"/>
              <a:t>BCR of projects starting each year (cost-weighted)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Raw (no growth)</c:v>
          </c:tx>
          <c: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'Raw profile'!$C$356:$AA$356</c:f>
              <c:numCache>
                <c:formatCode>0.00</c:formatCode>
                <c:ptCount val="25"/>
                <c:pt idx="0">
                  <c:v>3.1473864230256758</c:v>
                </c:pt>
                <c:pt idx="1">
                  <c:v>2.894974615534057</c:v>
                </c:pt>
                <c:pt idx="2">
                  <c:v>2.0882137394855094</c:v>
                </c:pt>
                <c:pt idx="3">
                  <c:v>2.2468110687485092</c:v>
                </c:pt>
                <c:pt idx="4">
                  <c:v>2.1121606835388667</c:v>
                </c:pt>
                <c:pt idx="5">
                  <c:v>2.5110242532930993</c:v>
                </c:pt>
                <c:pt idx="6">
                  <c:v>2.2881023475603368</c:v>
                </c:pt>
                <c:pt idx="7">
                  <c:v>1.5939238237656896</c:v>
                </c:pt>
                <c:pt idx="8">
                  <c:v>#N/A</c:v>
                </c:pt>
                <c:pt idx="9">
                  <c:v>1.5558485244776366</c:v>
                </c:pt>
                <c:pt idx="10">
                  <c:v>1.9008732839991958</c:v>
                </c:pt>
                <c:pt idx="11">
                  <c:v>1.7165308735779115</c:v>
                </c:pt>
                <c:pt idx="12">
                  <c:v>1.3435383276473813</c:v>
                </c:pt>
                <c:pt idx="13">
                  <c:v>1.102129200885642</c:v>
                </c:pt>
                <c:pt idx="14">
                  <c:v>1.111950346587204</c:v>
                </c:pt>
                <c:pt idx="15">
                  <c:v>1.0756181290290341</c:v>
                </c:pt>
                <c:pt idx="16">
                  <c:v>1.032814012062377</c:v>
                </c:pt>
                <c:pt idx="17">
                  <c:v>1.0346292079819459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FC-49AF-9F1E-8D704CDB1CF9}"/>
            </c:ext>
          </c:extLst>
        </c:ser>
        <c:ser>
          <c:idx val="1"/>
          <c:order val="1"/>
          <c:tx>
            <c:v>Growth</c:v>
          </c:tx>
          <c:spPr>
            <a:solidFill>
              <a:srgbClr val="D62728"/>
            </a:solidFill>
            <a:ln>
              <a:solidFill>
                <a:srgbClr val="D62728"/>
              </a:solidFill>
              <a:prstDash val="solid"/>
            </a:ln>
          </c:spPr>
          <c:invertIfNegative val="1"/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'Growth profile'!$C$356:$AA$356</c:f>
              <c:numCache>
                <c:formatCode>0.00</c:formatCode>
                <c:ptCount val="25"/>
                <c:pt idx="0">
                  <c:v>3.4958990052629573</c:v>
                </c:pt>
                <c:pt idx="1">
                  <c:v>#N/A</c:v>
                </c:pt>
                <c:pt idx="2">
                  <c:v>#N/A</c:v>
                </c:pt>
                <c:pt idx="3">
                  <c:v>3.7274835980171508</c:v>
                </c:pt>
                <c:pt idx="4">
                  <c:v>1.5249490386069275</c:v>
                </c:pt>
                <c:pt idx="5">
                  <c:v>2.0305707776899338</c:v>
                </c:pt>
                <c:pt idx="6">
                  <c:v>3.5893589499547867</c:v>
                </c:pt>
                <c:pt idx="7">
                  <c:v>4.2124552666597497</c:v>
                </c:pt>
                <c:pt idx="8">
                  <c:v>3.3963097762243315</c:v>
                </c:pt>
                <c:pt idx="9">
                  <c:v>4.3421650808809416</c:v>
                </c:pt>
                <c:pt idx="10">
                  <c:v>4.3273992461064044</c:v>
                </c:pt>
                <c:pt idx="11">
                  <c:v>4.9696789842326927</c:v>
                </c:pt>
                <c:pt idx="12">
                  <c:v>3.8055801183971329</c:v>
                </c:pt>
                <c:pt idx="13">
                  <c:v>22.037607917451126</c:v>
                </c:pt>
                <c:pt idx="14">
                  <c:v>7.3428433636300685</c:v>
                </c:pt>
                <c:pt idx="15">
                  <c:v>8.1367532469879578</c:v>
                </c:pt>
                <c:pt idx="16">
                  <c:v>6.9166686037130365</c:v>
                </c:pt>
                <c:pt idx="17">
                  <c:v>12.04109634501393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D62728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DFC-49AF-9F1E-8D704CDB1CF9}"/>
            </c:ext>
          </c:extLst>
        </c:ser>
        <c:ser>
          <c:idx val="2"/>
          <c:order val="2"/>
          <c:tx>
            <c:v>Growth, no cash penalty</c:v>
          </c:tx>
          <c:spPr>
            <a:solidFill>
              <a:srgbClr val="7030A0"/>
            </a:solidFill>
            <a:ln>
              <a:solidFill>
                <a:srgbClr val="7030A0"/>
              </a:solidFill>
              <a:prstDash val="solid"/>
            </a:ln>
          </c:spPr>
          <c:invertIfNegative val="1"/>
          <c:cat>
            <c:numRef>
              <c:f>'Raw profile'!$C$127:$AA$127</c:f>
              <c:numCache>
                <c:formatCode>General</c:formatCode>
                <c:ptCount val="2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</c:numCache>
            </c:numRef>
          </c:cat>
          <c:val>
            <c:numRef>
              <c:f>'Growth (no penalty)'!$C$356:$AA$356</c:f>
              <c:numCache>
                <c:formatCode>0.00</c:formatCode>
                <c:ptCount val="25"/>
                <c:pt idx="0">
                  <c:v>3.5082317971461596</c:v>
                </c:pt>
                <c:pt idx="1">
                  <c:v>1.2816446901562384</c:v>
                </c:pt>
                <c:pt idx="2">
                  <c:v>2.1608059950027272</c:v>
                </c:pt>
                <c:pt idx="3">
                  <c:v>1.434424026868184</c:v>
                </c:pt>
                <c:pt idx="4">
                  <c:v>4.9242882740901353</c:v>
                </c:pt>
                <c:pt idx="5">
                  <c:v>1.5677358587741452</c:v>
                </c:pt>
                <c:pt idx="6">
                  <c:v>1.3321839656310692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5.677783489464443</c:v>
                </c:pt>
                <c:pt idx="12">
                  <c:v>4.5426903755747086</c:v>
                </c:pt>
                <c:pt idx="13">
                  <c:v>3.4823051053827787</c:v>
                </c:pt>
                <c:pt idx="14">
                  <c:v>9.9766920235962662</c:v>
                </c:pt>
                <c:pt idx="15">
                  <c:v>4.3549044843963465</c:v>
                </c:pt>
                <c:pt idx="16">
                  <c:v>7.8413385740058201</c:v>
                </c:pt>
                <c:pt idx="17">
                  <c:v>5.1229486351783233</c:v>
                </c:pt>
                <c:pt idx="18">
                  <c:v>7.8189491100289175</c:v>
                </c:pt>
                <c:pt idx="19">
                  <c:v>3.7315425175302197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7030A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DFC-49AF-9F1E-8D704CDB1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Portfolio PV BCR (cumulative)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Raw (no growth)</c:v>
          </c:tx>
          <c:spPr>
            <a:ln w="3556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'Raw profile'!$C$127:$BJ$127</c:f>
              <c:numCache>
                <c:formatCode>General</c:formatCode>
                <c:ptCount val="6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  <c:pt idx="46">
                  <c:v>2072</c:v>
                </c:pt>
                <c:pt idx="47">
                  <c:v>2073</c:v>
                </c:pt>
                <c:pt idx="48">
                  <c:v>2074</c:v>
                </c:pt>
                <c:pt idx="49">
                  <c:v>2075</c:v>
                </c:pt>
                <c:pt idx="50">
                  <c:v>2076</c:v>
                </c:pt>
                <c:pt idx="51">
                  <c:v>2077</c:v>
                </c:pt>
                <c:pt idx="52">
                  <c:v>2078</c:v>
                </c:pt>
                <c:pt idx="53">
                  <c:v>2079</c:v>
                </c:pt>
                <c:pt idx="54">
                  <c:v>2080</c:v>
                </c:pt>
                <c:pt idx="55">
                  <c:v>2081</c:v>
                </c:pt>
                <c:pt idx="56">
                  <c:v>2082</c:v>
                </c:pt>
                <c:pt idx="57">
                  <c:v>2083</c:v>
                </c:pt>
                <c:pt idx="58">
                  <c:v>2084</c:v>
                </c:pt>
                <c:pt idx="59">
                  <c:v>2085</c:v>
                </c:pt>
              </c:numCache>
            </c:numRef>
          </c:cat>
          <c:val>
            <c:numRef>
              <c:f>'Raw profile'!$C$357:$BJ$357</c:f>
              <c:numCache>
                <c:formatCode>0.00</c:formatCode>
                <c:ptCount val="60"/>
                <c:pt idx="0">
                  <c:v>0</c:v>
                </c:pt>
                <c:pt idx="1">
                  <c:v>9.7022161991850537E-4</c:v>
                </c:pt>
                <c:pt idx="2">
                  <c:v>3.0287839188774403E-2</c:v>
                </c:pt>
                <c:pt idx="3">
                  <c:v>4.7062742692487912E-2</c:v>
                </c:pt>
                <c:pt idx="4">
                  <c:v>7.0355600805496105E-2</c:v>
                </c:pt>
                <c:pt idx="5">
                  <c:v>9.9441736532277517E-2</c:v>
                </c:pt>
                <c:pt idx="6">
                  <c:v>0.14647966845339375</c:v>
                </c:pt>
                <c:pt idx="7">
                  <c:v>0.18396935146320731</c:v>
                </c:pt>
                <c:pt idx="8">
                  <c:v>0.21472985191053881</c:v>
                </c:pt>
                <c:pt idx="9">
                  <c:v>0.27180617911677607</c:v>
                </c:pt>
                <c:pt idx="10">
                  <c:v>0.31805421276052565</c:v>
                </c:pt>
                <c:pt idx="11">
                  <c:v>0.37171410750136447</c:v>
                </c:pt>
                <c:pt idx="12">
                  <c:v>0.41506282166034303</c:v>
                </c:pt>
                <c:pt idx="13">
                  <c:v>0.45493372984249986</c:v>
                </c:pt>
                <c:pt idx="14">
                  <c:v>0.49348249060124721</c:v>
                </c:pt>
                <c:pt idx="15">
                  <c:v>0.53215960748217461</c:v>
                </c:pt>
                <c:pt idx="16">
                  <c:v>0.56675650163352109</c:v>
                </c:pt>
                <c:pt idx="17">
                  <c:v>0.6006806571627773</c:v>
                </c:pt>
                <c:pt idx="18">
                  <c:v>0.65514100948853782</c:v>
                </c:pt>
                <c:pt idx="19">
                  <c:v>0.72258180495843449</c:v>
                </c:pt>
                <c:pt idx="20">
                  <c:v>0.78870023188970562</c:v>
                </c:pt>
                <c:pt idx="21">
                  <c:v>0.85352221907722636</c:v>
                </c:pt>
                <c:pt idx="22">
                  <c:v>0.91707318690812911</c:v>
                </c:pt>
                <c:pt idx="23">
                  <c:v>0.97937805733058281</c:v>
                </c:pt>
                <c:pt idx="24">
                  <c:v>1.040461263627106</c:v>
                </c:pt>
                <c:pt idx="25">
                  <c:v>1.1003467599962464</c:v>
                </c:pt>
                <c:pt idx="26">
                  <c:v>1.159058030946384</c:v>
                </c:pt>
                <c:pt idx="27">
                  <c:v>1.2166181005053425</c:v>
                </c:pt>
                <c:pt idx="28">
                  <c:v>1.2730495412494194</c:v>
                </c:pt>
                <c:pt idx="29">
                  <c:v>1.3283744831553772</c:v>
                </c:pt>
                <c:pt idx="30">
                  <c:v>1.3826146222788653</c:v>
                </c:pt>
                <c:pt idx="31">
                  <c:v>1.4360531829916614</c:v>
                </c:pt>
                <c:pt idx="32">
                  <c:v>1.4887020112801304</c:v>
                </c:pt>
                <c:pt idx="33">
                  <c:v>1.5405727780667997</c:v>
                </c:pt>
                <c:pt idx="34">
                  <c:v>1.5916769817975081</c:v>
                </c:pt>
                <c:pt idx="35">
                  <c:v>1.6420259509903243</c:v>
                </c:pt>
                <c:pt idx="36">
                  <c:v>1.6916308467467933</c:v>
                </c:pt>
                <c:pt idx="37">
                  <c:v>1.7405026652260731</c:v>
                </c:pt>
                <c:pt idx="38">
                  <c:v>1.7886522400825067</c:v>
                </c:pt>
                <c:pt idx="39">
                  <c:v>1.8360902448671701</c:v>
                </c:pt>
                <c:pt idx="40">
                  <c:v>1.8828271953939322</c:v>
                </c:pt>
                <c:pt idx="41">
                  <c:v>1.9288146342616521</c:v>
                </c:pt>
                <c:pt idx="42">
                  <c:v>1.9714765485088459</c:v>
                </c:pt>
                <c:pt idx="43">
                  <c:v>2.0132466551702985</c:v>
                </c:pt>
                <c:pt idx="44">
                  <c:v>2.0524001628234383</c:v>
                </c:pt>
                <c:pt idx="45">
                  <c:v>2.0885331854564728</c:v>
                </c:pt>
                <c:pt idx="46">
                  <c:v>2.1187330344023434</c:v>
                </c:pt>
                <c:pt idx="47">
                  <c:v>2.1478173646834144</c:v>
                </c:pt>
                <c:pt idx="48">
                  <c:v>2.1764607168588386</c:v>
                </c:pt>
                <c:pt idx="49">
                  <c:v>2.1945913175819691</c:v>
                </c:pt>
                <c:pt idx="50">
                  <c:v>2.2124539783929351</c:v>
                </c:pt>
                <c:pt idx="51">
                  <c:v>2.2255015119545529</c:v>
                </c:pt>
                <c:pt idx="52">
                  <c:v>2.2381701662731972</c:v>
                </c:pt>
                <c:pt idx="53">
                  <c:v>2.2500105599080586</c:v>
                </c:pt>
                <c:pt idx="54">
                  <c:v>2.2599124057396955</c:v>
                </c:pt>
                <c:pt idx="55">
                  <c:v>2.2674153133744506</c:v>
                </c:pt>
                <c:pt idx="56">
                  <c:v>2.2745256159389768</c:v>
                </c:pt>
                <c:pt idx="57">
                  <c:v>2.2799065287769009</c:v>
                </c:pt>
                <c:pt idx="58">
                  <c:v>2.2840088130637706</c:v>
                </c:pt>
                <c:pt idx="59">
                  <c:v>2.2840088130637706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C-4A82-8D22-D27F6ED0006F}"/>
            </c:ext>
          </c:extLst>
        </c:ser>
        <c:ser>
          <c:idx val="1"/>
          <c:order val="1"/>
          <c:tx>
            <c:v>Growth</c:v>
          </c:tx>
          <c:spPr>
            <a:ln w="27940"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numRef>
              <c:f>'Raw profile'!$C$127:$BJ$127</c:f>
              <c:numCache>
                <c:formatCode>General</c:formatCode>
                <c:ptCount val="6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  <c:pt idx="46">
                  <c:v>2072</c:v>
                </c:pt>
                <c:pt idx="47">
                  <c:v>2073</c:v>
                </c:pt>
                <c:pt idx="48">
                  <c:v>2074</c:v>
                </c:pt>
                <c:pt idx="49">
                  <c:v>2075</c:v>
                </c:pt>
                <c:pt idx="50">
                  <c:v>2076</c:v>
                </c:pt>
                <c:pt idx="51">
                  <c:v>2077</c:v>
                </c:pt>
                <c:pt idx="52">
                  <c:v>2078</c:v>
                </c:pt>
                <c:pt idx="53">
                  <c:v>2079</c:v>
                </c:pt>
                <c:pt idx="54">
                  <c:v>2080</c:v>
                </c:pt>
                <c:pt idx="55">
                  <c:v>2081</c:v>
                </c:pt>
                <c:pt idx="56">
                  <c:v>2082</c:v>
                </c:pt>
                <c:pt idx="57">
                  <c:v>2083</c:v>
                </c:pt>
                <c:pt idx="58">
                  <c:v>2084</c:v>
                </c:pt>
                <c:pt idx="59">
                  <c:v>2085</c:v>
                </c:pt>
              </c:numCache>
            </c:numRef>
          </c:cat>
          <c:val>
            <c:numRef>
              <c:f>'Growth profile'!$C$357:$BJ$357</c:f>
              <c:numCache>
                <c:formatCode>0.00</c:formatCode>
                <c:ptCount val="60"/>
                <c:pt idx="0">
                  <c:v>0</c:v>
                </c:pt>
                <c:pt idx="1">
                  <c:v>1.5036037424543363E-3</c:v>
                </c:pt>
                <c:pt idx="2">
                  <c:v>1.2644841391383157E-2</c:v>
                </c:pt>
                <c:pt idx="3">
                  <c:v>2.8973602651615249E-2</c:v>
                </c:pt>
                <c:pt idx="4">
                  <c:v>4.5933601078094403E-2</c:v>
                </c:pt>
                <c:pt idx="5">
                  <c:v>7.61092594955151E-2</c:v>
                </c:pt>
                <c:pt idx="6">
                  <c:v>0.11119191534203302</c:v>
                </c:pt>
                <c:pt idx="7">
                  <c:v>0.14155493494879307</c:v>
                </c:pt>
                <c:pt idx="8">
                  <c:v>0.1686430094753297</c:v>
                </c:pt>
                <c:pt idx="9">
                  <c:v>0.22183848893497116</c:v>
                </c:pt>
                <c:pt idx="10">
                  <c:v>0.27001119253381545</c:v>
                </c:pt>
                <c:pt idx="11">
                  <c:v>0.31207477767364977</c:v>
                </c:pt>
                <c:pt idx="12">
                  <c:v>0.35862669795452229</c:v>
                </c:pt>
                <c:pt idx="13">
                  <c:v>0.40154438698265671</c:v>
                </c:pt>
                <c:pt idx="14">
                  <c:v>0.45028987931696923</c:v>
                </c:pt>
                <c:pt idx="15">
                  <c:v>0.48962781962813579</c:v>
                </c:pt>
                <c:pt idx="16">
                  <c:v>0.54601837059788427</c:v>
                </c:pt>
                <c:pt idx="17">
                  <c:v>0.59443383223216795</c:v>
                </c:pt>
                <c:pt idx="18">
                  <c:v>0.65874365323209394</c:v>
                </c:pt>
                <c:pt idx="19">
                  <c:v>0.75672143090322685</c:v>
                </c:pt>
                <c:pt idx="20">
                  <c:v>0.85471755544442174</c:v>
                </c:pt>
                <c:pt idx="21">
                  <c:v>0.95273610690283772</c:v>
                </c:pt>
                <c:pt idx="22">
                  <c:v>1.0507811619761238</c:v>
                </c:pt>
                <c:pt idx="23">
                  <c:v>1.1488567943058767</c:v>
                </c:pt>
                <c:pt idx="24">
                  <c:v>1.24696707476965</c:v>
                </c:pt>
                <c:pt idx="25">
                  <c:v>1.3451160717715795</c:v>
                </c:pt>
                <c:pt idx="26">
                  <c:v>1.4433078515316857</c:v>
                </c:pt>
                <c:pt idx="27">
                  <c:v>1.5415464783739143</c:v>
                </c:pt>
                <c:pt idx="28">
                  <c:v>1.6398360150129727</c:v>
                </c:pt>
                <c:pt idx="29">
                  <c:v>1.7381805228400191</c:v>
                </c:pt>
                <c:pt idx="30">
                  <c:v>1.836584062207262</c:v>
                </c:pt>
                <c:pt idx="31">
                  <c:v>1.9355357500046446</c:v>
                </c:pt>
                <c:pt idx="32">
                  <c:v>2.0350426980093981</c:v>
                </c:pt>
                <c:pt idx="33">
                  <c:v>2.1351120947630187</c:v>
                </c:pt>
                <c:pt idx="34">
                  <c:v>2.2357512065388874</c:v>
                </c:pt>
                <c:pt idx="35">
                  <c:v>2.3369673783214031</c:v>
                </c:pt>
                <c:pt idx="36">
                  <c:v>2.4387680347968166</c:v>
                </c:pt>
                <c:pt idx="37">
                  <c:v>2.5411606813559113</c:v>
                </c:pt>
                <c:pt idx="38">
                  <c:v>2.6441529051087178</c:v>
                </c:pt>
                <c:pt idx="39">
                  <c:v>2.747752375911424</c:v>
                </c:pt>
                <c:pt idx="40">
                  <c:v>2.8519668474056554</c:v>
                </c:pt>
                <c:pt idx="41">
                  <c:v>2.9566359329353498</c:v>
                </c:pt>
                <c:pt idx="42">
                  <c:v>3.0603206661521383</c:v>
                </c:pt>
                <c:pt idx="43">
                  <c:v>3.1625278469009444</c:v>
                </c:pt>
                <c:pt idx="44">
                  <c:v>3.2635818082498056</c:v>
                </c:pt>
                <c:pt idx="45">
                  <c:v>3.3607319950980132</c:v>
                </c:pt>
                <c:pt idx="46">
                  <c:v>3.4535034110621514</c:v>
                </c:pt>
                <c:pt idx="47">
                  <c:v>3.5468485244666592</c:v>
                </c:pt>
                <c:pt idx="48">
                  <c:v>3.6391230638539227</c:v>
                </c:pt>
                <c:pt idx="49">
                  <c:v>3.7160420938282255</c:v>
                </c:pt>
                <c:pt idx="50">
                  <c:v>3.7903155460277067</c:v>
                </c:pt>
                <c:pt idx="51">
                  <c:v>3.8651672508787138</c:v>
                </c:pt>
                <c:pt idx="52">
                  <c:v>3.9313837088943369</c:v>
                </c:pt>
                <c:pt idx="53">
                  <c:v>3.9972619209328388</c:v>
                </c:pt>
                <c:pt idx="54">
                  <c:v>4.0489620761422103</c:v>
                </c:pt>
                <c:pt idx="55">
                  <c:v>4.101186834953956</c:v>
                </c:pt>
                <c:pt idx="56">
                  <c:v>4.138662593631337</c:v>
                </c:pt>
                <c:pt idx="57">
                  <c:v>4.1764431594177118</c:v>
                </c:pt>
                <c:pt idx="58">
                  <c:v>4.2072698661814325</c:v>
                </c:pt>
                <c:pt idx="59">
                  <c:v>4.2072698661814325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C-4A82-8D22-D27F6ED0006F}"/>
            </c:ext>
          </c:extLst>
        </c:ser>
        <c:ser>
          <c:idx val="2"/>
          <c:order val="2"/>
          <c:tx>
            <c:v>Growth, no cash penalty</c:v>
          </c:tx>
          <c:spPr>
            <a:ln w="27940">
              <a:solidFill>
                <a:srgbClr val="7030A0"/>
              </a:solidFill>
              <a:prstDash val="sysDot"/>
            </a:ln>
          </c:spPr>
          <c:marker>
            <c:symbol val="none"/>
          </c:marker>
          <c:cat>
            <c:numRef>
              <c:f>'Raw profile'!$C$127:$BJ$127</c:f>
              <c:numCache>
                <c:formatCode>General</c:formatCode>
                <c:ptCount val="6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  <c:pt idx="46">
                  <c:v>2072</c:v>
                </c:pt>
                <c:pt idx="47">
                  <c:v>2073</c:v>
                </c:pt>
                <c:pt idx="48">
                  <c:v>2074</c:v>
                </c:pt>
                <c:pt idx="49">
                  <c:v>2075</c:v>
                </c:pt>
                <c:pt idx="50">
                  <c:v>2076</c:v>
                </c:pt>
                <c:pt idx="51">
                  <c:v>2077</c:v>
                </c:pt>
                <c:pt idx="52">
                  <c:v>2078</c:v>
                </c:pt>
                <c:pt idx="53">
                  <c:v>2079</c:v>
                </c:pt>
                <c:pt idx="54">
                  <c:v>2080</c:v>
                </c:pt>
                <c:pt idx="55">
                  <c:v>2081</c:v>
                </c:pt>
                <c:pt idx="56">
                  <c:v>2082</c:v>
                </c:pt>
                <c:pt idx="57">
                  <c:v>2083</c:v>
                </c:pt>
                <c:pt idx="58">
                  <c:v>2084</c:v>
                </c:pt>
                <c:pt idx="59">
                  <c:v>2085</c:v>
                </c:pt>
              </c:numCache>
            </c:numRef>
          </c:cat>
          <c:val>
            <c:numRef>
              <c:f>'Growth (no penalty)'!$C$357:$BJ$357</c:f>
              <c:numCache>
                <c:formatCode>0.00</c:formatCode>
                <c:ptCount val="60"/>
                <c:pt idx="0">
                  <c:v>0</c:v>
                </c:pt>
                <c:pt idx="1">
                  <c:v>8.1219424891152542E-4</c:v>
                </c:pt>
                <c:pt idx="2">
                  <c:v>1.1692898576160432E-2</c:v>
                </c:pt>
                <c:pt idx="3">
                  <c:v>2.7793013921759681E-2</c:v>
                </c:pt>
                <c:pt idx="4">
                  <c:v>4.5503420893102907E-2</c:v>
                </c:pt>
                <c:pt idx="5">
                  <c:v>7.4184456905298388E-2</c:v>
                </c:pt>
                <c:pt idx="6">
                  <c:v>0.11131837539291431</c:v>
                </c:pt>
                <c:pt idx="7">
                  <c:v>0.14764822505187825</c:v>
                </c:pt>
                <c:pt idx="8">
                  <c:v>0.19565273527505295</c:v>
                </c:pt>
                <c:pt idx="9">
                  <c:v>0.27612239710541558</c:v>
                </c:pt>
                <c:pt idx="10">
                  <c:v>0.35567769982811032</c:v>
                </c:pt>
                <c:pt idx="11">
                  <c:v>0.43408851501692941</c:v>
                </c:pt>
                <c:pt idx="12">
                  <c:v>0.50992335491313145</c:v>
                </c:pt>
                <c:pt idx="13">
                  <c:v>0.58041110804815166</c:v>
                </c:pt>
                <c:pt idx="14">
                  <c:v>0.64506488838082954</c:v>
                </c:pt>
                <c:pt idx="15">
                  <c:v>0.70416245842442426</c:v>
                </c:pt>
                <c:pt idx="16">
                  <c:v>0.74237487378947253</c:v>
                </c:pt>
                <c:pt idx="17">
                  <c:v>0.71188692396626996</c:v>
                </c:pt>
                <c:pt idx="18">
                  <c:v>0.60563293206018298</c:v>
                </c:pt>
                <c:pt idx="19">
                  <c:v>0.52812367200786503</c:v>
                </c:pt>
                <c:pt idx="20">
                  <c:v>0.63151536324159141</c:v>
                </c:pt>
                <c:pt idx="21">
                  <c:v>0.73493071619573269</c:v>
                </c:pt>
                <c:pt idx="22">
                  <c:v>0.83837403202675376</c:v>
                </c:pt>
                <c:pt idx="23">
                  <c:v>0.94184960866680356</c:v>
                </c:pt>
                <c:pt idx="24">
                  <c:v>1.0453617411318028</c:v>
                </c:pt>
                <c:pt idx="25">
                  <c:v>1.1489147218280709</c:v>
                </c:pt>
                <c:pt idx="26">
                  <c:v>1.2525128408575559</c:v>
                </c:pt>
                <c:pt idx="27">
                  <c:v>1.356160386321736</c:v>
                </c:pt>
                <c:pt idx="28">
                  <c:v>1.4598616446242478</c:v>
                </c:pt>
                <c:pt idx="29">
                  <c:v>1.5636209007723052</c:v>
                </c:pt>
                <c:pt idx="30">
                  <c:v>1.6674424386769688</c:v>
                </c:pt>
                <c:pt idx="31">
                  <c:v>1.7718423055053996</c:v>
                </c:pt>
                <c:pt idx="32">
                  <c:v>1.8768280046020311</c:v>
                </c:pt>
                <c:pt idx="33">
                  <c:v>1.9824071203021252</c:v>
                </c:pt>
                <c:pt idx="34">
                  <c:v>2.0885873189526643</c:v>
                </c:pt>
                <c:pt idx="35">
                  <c:v>2.1953763499454007</c:v>
                </c:pt>
                <c:pt idx="36">
                  <c:v>2.3027820467622377</c:v>
                </c:pt>
                <c:pt idx="37">
                  <c:v>2.4108123280331228</c:v>
                </c:pt>
                <c:pt idx="38">
                  <c:v>2.5194751986066293</c:v>
                </c:pt>
                <c:pt idx="39">
                  <c:v>2.6287787506334048</c:v>
                </c:pt>
                <c:pt idx="40">
                  <c:v>2.7387311646626764</c:v>
                </c:pt>
                <c:pt idx="41">
                  <c:v>2.8492516557094278</c:v>
                </c:pt>
                <c:pt idx="42">
                  <c:v>2.958733775603775</c:v>
                </c:pt>
                <c:pt idx="43">
                  <c:v>3.0666753181602555</c:v>
                </c:pt>
                <c:pt idx="44">
                  <c:v>3.1733499960309453</c:v>
                </c:pt>
                <c:pt idx="45">
                  <c:v>3.2756357851715738</c:v>
                </c:pt>
                <c:pt idx="46">
                  <c:v>3.3733921258905815</c:v>
                </c:pt>
                <c:pt idx="47">
                  <c:v>3.4711103032999171</c:v>
                </c:pt>
                <c:pt idx="48">
                  <c:v>3.5659821672041456</c:v>
                </c:pt>
                <c:pt idx="49">
                  <c:v>3.6491184849324281</c:v>
                </c:pt>
                <c:pt idx="50">
                  <c:v>3.7330703460835792</c:v>
                </c:pt>
                <c:pt idx="51">
                  <c:v>3.8178076244749466</c:v>
                </c:pt>
                <c:pt idx="52">
                  <c:v>3.9033782950695208</c:v>
                </c:pt>
                <c:pt idx="53">
                  <c:v>3.9897914741199645</c:v>
                </c:pt>
                <c:pt idx="54">
                  <c:v>4.0770563845074594</c:v>
                </c:pt>
                <c:pt idx="55">
                  <c:v>4.1651823570462323</c:v>
                </c:pt>
                <c:pt idx="56">
                  <c:v>4.2539894847467847</c:v>
                </c:pt>
                <c:pt idx="57">
                  <c:v>4.3436771876635554</c:v>
                </c:pt>
                <c:pt idx="58">
                  <c:v>4.4342551269618395</c:v>
                </c:pt>
                <c:pt idx="59">
                  <c:v>4.5257330771288338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7C-4A82-8D22-D27F6ED0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BCR of projects starting in each NLTP period (cost-weighted)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Raw (no growth)</c:v>
          </c:tx>
          <c:spPr>
            <a:ln w="35560">
              <a:solidFill>
                <a:srgbClr val="1F3864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c:spPr>
          </c:marker>
          <c:cat>
            <c:strRef>
              <c:f>Dashboard!$M$147:$M$155</c:f>
              <c:strCache>
                <c:ptCount val="9"/>
                <c:pt idx="0">
                  <c:v>2026-28</c:v>
                </c:pt>
                <c:pt idx="1">
                  <c:v>2029-31</c:v>
                </c:pt>
                <c:pt idx="2">
                  <c:v>2032-34</c:v>
                </c:pt>
                <c:pt idx="3">
                  <c:v>2035-37</c:v>
                </c:pt>
                <c:pt idx="4">
                  <c:v>2038-40</c:v>
                </c:pt>
                <c:pt idx="5">
                  <c:v>2041-43</c:v>
                </c:pt>
                <c:pt idx="6">
                  <c:v>2044-46</c:v>
                </c:pt>
                <c:pt idx="7">
                  <c:v>2047-49</c:v>
                </c:pt>
                <c:pt idx="8">
                  <c:v>2050-52</c:v>
                </c:pt>
              </c:strCache>
            </c:strRef>
          </c:cat>
          <c:val>
            <c:numRef>
              <c:f>Dashboard!$P$147:$P$155</c:f>
              <c:numCache>
                <c:formatCode>0.00</c:formatCode>
                <c:ptCount val="9"/>
                <c:pt idx="0">
                  <c:v>2.8559603706934062</c:v>
                </c:pt>
                <c:pt idx="1">
                  <c:v>2.2316234810330493</c:v>
                </c:pt>
                <c:pt idx="2">
                  <c:v>1.9658065419483131</c:v>
                </c:pt>
                <c:pt idx="3">
                  <c:v>1.7312536318653431</c:v>
                </c:pt>
                <c:pt idx="4">
                  <c:v>1.116678293432624</c:v>
                </c:pt>
                <c:pt idx="5">
                  <c:v>1.0613251277839602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24-48A5-B5F6-4D0AD0FBC82F}"/>
            </c:ext>
          </c:extLst>
        </c:ser>
        <c:ser>
          <c:idx val="1"/>
          <c:order val="1"/>
          <c:tx>
            <c:v>Growth</c:v>
          </c:tx>
          <c:spPr>
            <a:ln w="27940">
              <a:solidFill>
                <a:srgbClr val="D62728"/>
              </a:solidFill>
              <a:prstDash val="dash"/>
            </a:ln>
          </c:spPr>
          <c:marker>
            <c:symbol val="circle"/>
            <c:size val="7"/>
            <c: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c:spPr>
          </c:marker>
          <c:cat>
            <c:strRef>
              <c:f>Dashboard!$M$147:$M$155</c:f>
              <c:strCache>
                <c:ptCount val="9"/>
                <c:pt idx="0">
                  <c:v>2026-28</c:v>
                </c:pt>
                <c:pt idx="1">
                  <c:v>2029-31</c:v>
                </c:pt>
                <c:pt idx="2">
                  <c:v>2032-34</c:v>
                </c:pt>
                <c:pt idx="3">
                  <c:v>2035-37</c:v>
                </c:pt>
                <c:pt idx="4">
                  <c:v>2038-40</c:v>
                </c:pt>
                <c:pt idx="5">
                  <c:v>2041-43</c:v>
                </c:pt>
                <c:pt idx="6">
                  <c:v>2044-46</c:v>
                </c:pt>
                <c:pt idx="7">
                  <c:v>2047-49</c:v>
                </c:pt>
                <c:pt idx="8">
                  <c:v>2050-52</c:v>
                </c:pt>
              </c:strCache>
            </c:strRef>
          </c:cat>
          <c:val>
            <c:numRef>
              <c:f>Dashboard!$Q$147:$Q$155</c:f>
              <c:numCache>
                <c:formatCode>0.00</c:formatCode>
                <c:ptCount val="9"/>
                <c:pt idx="0">
                  <c:v>3.4958990052629573</c:v>
                </c:pt>
                <c:pt idx="1">
                  <c:v>3.5248422292749217</c:v>
                </c:pt>
                <c:pt idx="2">
                  <c:v>3.9081502164020994</c:v>
                </c:pt>
                <c:pt idx="3">
                  <c:v>4.4315604335182783</c:v>
                </c:pt>
                <c:pt idx="4">
                  <c:v>9.3049066989438067</c:v>
                </c:pt>
                <c:pt idx="5">
                  <c:v>7.4623628689893442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24-48A5-B5F6-4D0AD0FBC82F}"/>
            </c:ext>
          </c:extLst>
        </c:ser>
        <c:ser>
          <c:idx val="2"/>
          <c:order val="2"/>
          <c:tx>
            <c:v>Growth, no cash penalty</c:v>
          </c:tx>
          <c:spPr>
            <a:ln w="27940">
              <a:solidFill>
                <a:srgbClr val="7030A0"/>
              </a:solidFill>
              <a:prstDash val="sysDot"/>
            </a:ln>
          </c:spPr>
          <c:marker>
            <c:symbol val="circle"/>
            <c:size val="7"/>
            <c: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c:spPr>
          </c:marker>
          <c:cat>
            <c:strRef>
              <c:f>Dashboard!$M$147:$M$155</c:f>
              <c:strCache>
                <c:ptCount val="9"/>
                <c:pt idx="0">
                  <c:v>2026-28</c:v>
                </c:pt>
                <c:pt idx="1">
                  <c:v>2029-31</c:v>
                </c:pt>
                <c:pt idx="2">
                  <c:v>2032-34</c:v>
                </c:pt>
                <c:pt idx="3">
                  <c:v>2035-37</c:v>
                </c:pt>
                <c:pt idx="4">
                  <c:v>2038-40</c:v>
                </c:pt>
                <c:pt idx="5">
                  <c:v>2041-43</c:v>
                </c:pt>
                <c:pt idx="6">
                  <c:v>2044-46</c:v>
                </c:pt>
                <c:pt idx="7">
                  <c:v>2047-49</c:v>
                </c:pt>
                <c:pt idx="8">
                  <c:v>2050-52</c:v>
                </c:pt>
              </c:strCache>
            </c:strRef>
          </c:cat>
          <c:val>
            <c:numRef>
              <c:f>Dashboard!$R$147:$R$155</c:f>
              <c:numCache>
                <c:formatCode>0.00</c:formatCode>
                <c:ptCount val="9"/>
                <c:pt idx="0">
                  <c:v>3.2877012711033764</c:v>
                </c:pt>
                <c:pt idx="1">
                  <c:v>4.6945876350755658</c:v>
                </c:pt>
                <c:pt idx="2">
                  <c:v>1.3321839656310692</c:v>
                </c:pt>
                <c:pt idx="3">
                  <c:v>5.677783489464443</c:v>
                </c:pt>
                <c:pt idx="4">
                  <c:v>5.5486848987959743</c:v>
                </c:pt>
                <c:pt idx="5">
                  <c:v>5.440289146623229</c:v>
                </c:pt>
                <c:pt idx="6">
                  <c:v>6.5805518561513203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24-48A5-B5F6-4D0AD0FBC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Project 1 (BCR 7): PV of benefits by start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'PV by start year'!$B$4</c:f>
              <c:strCache>
                <c:ptCount val="1"/>
                <c:pt idx="0">
                  <c:v>project 1 (+3.00%)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'PV by start year'!$A$5:$A$64</c:f>
              <c:numCache>
                <c:formatCode>General</c:formatCode>
                <c:ptCount val="6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  <c:pt idx="46">
                  <c:v>2072</c:v>
                </c:pt>
                <c:pt idx="47">
                  <c:v>2073</c:v>
                </c:pt>
                <c:pt idx="48">
                  <c:v>2074</c:v>
                </c:pt>
                <c:pt idx="49">
                  <c:v>2075</c:v>
                </c:pt>
                <c:pt idx="50">
                  <c:v>2076</c:v>
                </c:pt>
                <c:pt idx="51">
                  <c:v>2077</c:v>
                </c:pt>
                <c:pt idx="52">
                  <c:v>2078</c:v>
                </c:pt>
                <c:pt idx="53">
                  <c:v>2079</c:v>
                </c:pt>
                <c:pt idx="54">
                  <c:v>2080</c:v>
                </c:pt>
                <c:pt idx="55">
                  <c:v>2081</c:v>
                </c:pt>
                <c:pt idx="56">
                  <c:v>2082</c:v>
                </c:pt>
                <c:pt idx="57">
                  <c:v>2083</c:v>
                </c:pt>
                <c:pt idx="58">
                  <c:v>2084</c:v>
                </c:pt>
                <c:pt idx="59">
                  <c:v>2085</c:v>
                </c:pt>
              </c:numCache>
            </c:numRef>
          </c:cat>
          <c:val>
            <c:numRef>
              <c:f>'PV by start year'!$B$5:$B$64</c:f>
              <c:numCache>
                <c:formatCode>#,##0.00;\(#,##0.00\);"-"</c:formatCode>
                <c:ptCount val="60"/>
                <c:pt idx="0">
                  <c:v>503.81566811326923</c:v>
                </c:pt>
                <c:pt idx="1">
                  <c:v>509.89970710516059</c:v>
                </c:pt>
                <c:pt idx="2">
                  <c:v>516.12425147022691</c:v>
                </c:pt>
                <c:pt idx="3">
                  <c:v>522.49187365693592</c:v>
                </c:pt>
                <c:pt idx="4">
                  <c:v>529.0051889931209</c:v>
                </c:pt>
                <c:pt idx="5">
                  <c:v>535.66685636734189</c:v>
                </c:pt>
                <c:pt idx="6">
                  <c:v>542.47957892078296</c:v>
                </c:pt>
                <c:pt idx="7">
                  <c:v>549.44610474984574</c:v>
                </c:pt>
                <c:pt idx="8">
                  <c:v>556.56922761960504</c:v>
                </c:pt>
                <c:pt idx="9">
                  <c:v>563.85178768828655</c:v>
                </c:pt>
                <c:pt idx="10">
                  <c:v>571.29667224293974</c:v>
                </c:pt>
                <c:pt idx="11">
                  <c:v>578.90681644647157</c:v>
                </c:pt>
                <c:pt idx="12">
                  <c:v>586.68520409621669</c:v>
                </c:pt>
                <c:pt idx="13">
                  <c:v>594.6348683942191</c:v>
                </c:pt>
                <c:pt idx="14">
                  <c:v>602.75889272939992</c:v>
                </c:pt>
                <c:pt idx="15">
                  <c:v>591.09960106972528</c:v>
                </c:pt>
                <c:pt idx="16">
                  <c:v>579.32600262907351</c:v>
                </c:pt>
                <c:pt idx="17">
                  <c:v>567.43697675272892</c:v>
                </c:pt>
                <c:pt idx="18">
                  <c:v>555.43139179916523</c:v>
                </c:pt>
                <c:pt idx="19">
                  <c:v>543.30810503233147</c:v>
                </c:pt>
                <c:pt idx="20">
                  <c:v>531.06596251288158</c:v>
                </c:pt>
                <c:pt idx="21">
                  <c:v>518.70379898833903</c:v>
                </c:pt>
                <c:pt idx="22">
                  <c:v>506.22043778218341</c:v>
                </c:pt>
                <c:pt idx="23">
                  <c:v>493.61469068184971</c:v>
                </c:pt>
                <c:pt idx="24">
                  <c:v>480.88535782563042</c:v>
                </c:pt>
                <c:pt idx="25">
                  <c:v>468.03122758846791</c:v>
                </c:pt>
                <c:pt idx="26">
                  <c:v>454.98713483548511</c:v>
                </c:pt>
                <c:pt idx="27">
                  <c:v>441.75027223886229</c:v>
                </c:pt>
                <c:pt idx="28">
                  <c:v>428.317790983176</c:v>
                </c:pt>
                <c:pt idx="29">
                  <c:v>414.6868001522825</c:v>
                </c:pt>
                <c:pt idx="30">
                  <c:v>400.85436610713941</c:v>
                </c:pt>
                <c:pt idx="31">
                  <c:v>386.81751185443261</c:v>
                </c:pt>
                <c:pt idx="32">
                  <c:v>372.57321640587293</c:v>
                </c:pt>
                <c:pt idx="33">
                  <c:v>358.1184141280242</c:v>
                </c:pt>
                <c:pt idx="34">
                  <c:v>343.44999408252261</c:v>
                </c:pt>
                <c:pt idx="35">
                  <c:v>328.56479935654562</c:v>
                </c:pt>
                <c:pt idx="36">
                  <c:v>313.45962638338659</c:v>
                </c:pt>
                <c:pt idx="37">
                  <c:v>298.13122425298889</c:v>
                </c:pt>
                <c:pt idx="38">
                  <c:v>282.57629401228968</c:v>
                </c:pt>
                <c:pt idx="39">
                  <c:v>266.79148795522548</c:v>
                </c:pt>
                <c:pt idx="40">
                  <c:v>250.773408902244</c:v>
                </c:pt>
                <c:pt idx="41">
                  <c:v>234.51860946916929</c:v>
                </c:pt>
                <c:pt idx="42">
                  <c:v>218.0235913252609</c:v>
                </c:pt>
                <c:pt idx="43">
                  <c:v>201.28480444030961</c:v>
                </c:pt>
                <c:pt idx="44">
                  <c:v>184.29864632060529</c:v>
                </c:pt>
                <c:pt idx="45">
                  <c:v>167.06146123361469</c:v>
                </c:pt>
                <c:pt idx="46">
                  <c:v>149.56953942120049</c:v>
                </c:pt>
                <c:pt idx="47">
                  <c:v>131.8191163012138</c:v>
                </c:pt>
                <c:pt idx="48">
                  <c:v>113.80637165728631</c:v>
                </c:pt>
                <c:pt idx="49">
                  <c:v>95.527428816650627</c:v>
                </c:pt>
                <c:pt idx="50">
                  <c:v>76.978353815808461</c:v>
                </c:pt>
                <c:pt idx="51">
                  <c:v>58.155154553870112</c:v>
                </c:pt>
                <c:pt idx="52">
                  <c:v>39.05377993338093</c:v>
                </c:pt>
                <c:pt idx="53">
                  <c:v>19.67011898845103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5-4CB7-9E7B-F44F88FCB153}"/>
            </c:ext>
          </c:extLst>
        </c:ser>
        <c:ser>
          <c:idx val="1"/>
          <c:order val="1"/>
          <c:tx>
            <c:strRef>
              <c:f>'PV by start year'!$H$4</c:f>
              <c:strCache>
                <c:ptCount val="1"/>
                <c:pt idx="0">
                  <c:v>project 1 raw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'PV by start year'!$A$5:$A$64</c:f>
              <c:numCache>
                <c:formatCode>General</c:formatCode>
                <c:ptCount val="6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  <c:pt idx="46">
                  <c:v>2072</c:v>
                </c:pt>
                <c:pt idx="47">
                  <c:v>2073</c:v>
                </c:pt>
                <c:pt idx="48">
                  <c:v>2074</c:v>
                </c:pt>
                <c:pt idx="49">
                  <c:v>2075</c:v>
                </c:pt>
                <c:pt idx="50">
                  <c:v>2076</c:v>
                </c:pt>
                <c:pt idx="51">
                  <c:v>2077</c:v>
                </c:pt>
                <c:pt idx="52">
                  <c:v>2078</c:v>
                </c:pt>
                <c:pt idx="53">
                  <c:v>2079</c:v>
                </c:pt>
                <c:pt idx="54">
                  <c:v>2080</c:v>
                </c:pt>
                <c:pt idx="55">
                  <c:v>2081</c:v>
                </c:pt>
                <c:pt idx="56">
                  <c:v>2082</c:v>
                </c:pt>
                <c:pt idx="57">
                  <c:v>2083</c:v>
                </c:pt>
                <c:pt idx="58">
                  <c:v>2084</c:v>
                </c:pt>
                <c:pt idx="59">
                  <c:v>2085</c:v>
                </c:pt>
              </c:numCache>
            </c:numRef>
          </c:cat>
          <c:val>
            <c:numRef>
              <c:f>'PV by start year'!$H$5:$H$64</c:f>
              <c:numCache>
                <c:formatCode>#,##0.00;\(#,##0.00\);"-"</c:formatCode>
                <c:ptCount val="60"/>
                <c:pt idx="0">
                  <c:v>240.28604485285399</c:v>
                </c:pt>
                <c:pt idx="1">
                  <c:v>235.94139387345521</c:v>
                </c:pt>
                <c:pt idx="2">
                  <c:v>231.702086677235</c:v>
                </c:pt>
                <c:pt idx="3">
                  <c:v>227.56575984935</c:v>
                </c:pt>
                <c:pt idx="4">
                  <c:v>223.5301007181553</c:v>
                </c:pt>
                <c:pt idx="5">
                  <c:v>219.5928462951899</c:v>
                </c:pt>
                <c:pt idx="6">
                  <c:v>215.7517822369073</c:v>
                </c:pt>
                <c:pt idx="7">
                  <c:v>212.00474182771231</c:v>
                </c:pt>
                <c:pt idx="8">
                  <c:v>208.34960498387059</c:v>
                </c:pt>
                <c:pt idx="9">
                  <c:v>204.7842972778696</c:v>
                </c:pt>
                <c:pt idx="10">
                  <c:v>201.30678898281471</c:v>
                </c:pt>
                <c:pt idx="11">
                  <c:v>197.91509413645539</c:v>
                </c:pt>
                <c:pt idx="12">
                  <c:v>194.60726962444329</c:v>
                </c:pt>
                <c:pt idx="13">
                  <c:v>191.3814142824308</c:v>
                </c:pt>
                <c:pt idx="14">
                  <c:v>188.2356680166304</c:v>
                </c:pt>
                <c:pt idx="15">
                  <c:v>181.7802009136816</c:v>
                </c:pt>
                <c:pt idx="16">
                  <c:v>175.45131159706509</c:v>
                </c:pt>
                <c:pt idx="17">
                  <c:v>169.24651814940191</c:v>
                </c:pt>
                <c:pt idx="18">
                  <c:v>163.1633873183595</c:v>
                </c:pt>
                <c:pt idx="19">
                  <c:v>157.19953356243559</c:v>
                </c:pt>
                <c:pt idx="20">
                  <c:v>151.35261811545141</c:v>
                </c:pt>
                <c:pt idx="21">
                  <c:v>145.62034806938851</c:v>
                </c:pt>
                <c:pt idx="22">
                  <c:v>140.0004754752091</c:v>
                </c:pt>
                <c:pt idx="23">
                  <c:v>134.49079646130781</c:v>
                </c:pt>
                <c:pt idx="24">
                  <c:v>129.08915036924759</c:v>
                </c:pt>
                <c:pt idx="25">
                  <c:v>123.79341890644361</c:v>
                </c:pt>
                <c:pt idx="26">
                  <c:v>118.5759494849618</c:v>
                </c:pt>
                <c:pt idx="27">
                  <c:v>113.4355855229107</c:v>
                </c:pt>
                <c:pt idx="28">
                  <c:v>108.3711875307422</c:v>
                </c:pt>
                <c:pt idx="29">
                  <c:v>103.381632858655</c:v>
                </c:pt>
                <c:pt idx="30">
                  <c:v>98.465815447731615</c:v>
                </c:pt>
                <c:pt idx="31">
                  <c:v>93.622645584752917</c:v>
                </c:pt>
                <c:pt idx="32">
                  <c:v>88.851049660635994</c:v>
                </c:pt>
                <c:pt idx="33">
                  <c:v>84.149969932441948</c:v>
                </c:pt>
                <c:pt idx="34">
                  <c:v>79.51836428890104</c:v>
                </c:pt>
                <c:pt idx="35">
                  <c:v>74.955206019402596</c:v>
                </c:pt>
                <c:pt idx="36">
                  <c:v>70.459483586399202</c:v>
                </c:pt>
                <c:pt idx="37">
                  <c:v>66.03020040117417</c:v>
                </c:pt>
                <c:pt idx="38">
                  <c:v>61.666374602922922</c:v>
                </c:pt>
                <c:pt idx="39">
                  <c:v>57.367038841099031</c:v>
                </c:pt>
                <c:pt idx="40">
                  <c:v>53.131240060976978</c:v>
                </c:pt>
                <c:pt idx="41">
                  <c:v>48.958039292383823</c:v>
                </c:pt>
                <c:pt idx="42">
                  <c:v>44.846511441553119</c:v>
                </c:pt>
                <c:pt idx="43">
                  <c:v>40.795745086054893</c:v>
                </c:pt>
                <c:pt idx="44">
                  <c:v>36.80484227275614</c:v>
                </c:pt>
                <c:pt idx="45">
                  <c:v>32.872918318767233</c:v>
                </c:pt>
                <c:pt idx="46">
                  <c:v>28.99910161532987</c:v>
                </c:pt>
                <c:pt idx="47">
                  <c:v>25.18253343460341</c:v>
                </c:pt>
                <c:pt idx="48">
                  <c:v>21.422367739306409</c:v>
                </c:pt>
                <c:pt idx="49">
                  <c:v>17.717770995171431</c:v>
                </c:pt>
                <c:pt idx="50">
                  <c:v>14.06792198617145</c:v>
                </c:pt>
                <c:pt idx="51">
                  <c:v>10.472011632476891</c:v>
                </c:pt>
                <c:pt idx="52">
                  <c:v>6.9292428111029318</c:v>
                </c:pt>
                <c:pt idx="53">
                  <c:v>3.4388301792074101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5-4CB7-9E7B-F44F88FCB153}"/>
            </c:ext>
          </c:extLst>
        </c:ser>
        <c:ser>
          <c:idx val="2"/>
          <c:order val="2"/>
          <c:tx>
            <c:strRef>
              <c:f>'PV by start year'!$I$4</c:f>
              <c:strCache>
                <c:ptCount val="1"/>
                <c:pt idx="0">
                  <c:v>project 1 age-growth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'PV by start year'!$A$5:$A$64</c:f>
              <c:numCache>
                <c:formatCode>General</c:formatCode>
                <c:ptCount val="6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  <c:pt idx="40">
                  <c:v>2066</c:v>
                </c:pt>
                <c:pt idx="41">
                  <c:v>2067</c:v>
                </c:pt>
                <c:pt idx="42">
                  <c:v>2068</c:v>
                </c:pt>
                <c:pt idx="43">
                  <c:v>2069</c:v>
                </c:pt>
                <c:pt idx="44">
                  <c:v>2070</c:v>
                </c:pt>
                <c:pt idx="45">
                  <c:v>2071</c:v>
                </c:pt>
                <c:pt idx="46">
                  <c:v>2072</c:v>
                </c:pt>
                <c:pt idx="47">
                  <c:v>2073</c:v>
                </c:pt>
                <c:pt idx="48">
                  <c:v>2074</c:v>
                </c:pt>
                <c:pt idx="49">
                  <c:v>2075</c:v>
                </c:pt>
                <c:pt idx="50">
                  <c:v>2076</c:v>
                </c:pt>
                <c:pt idx="51">
                  <c:v>2077</c:v>
                </c:pt>
                <c:pt idx="52">
                  <c:v>2078</c:v>
                </c:pt>
                <c:pt idx="53">
                  <c:v>2079</c:v>
                </c:pt>
                <c:pt idx="54">
                  <c:v>2080</c:v>
                </c:pt>
                <c:pt idx="55">
                  <c:v>2081</c:v>
                </c:pt>
                <c:pt idx="56">
                  <c:v>2082</c:v>
                </c:pt>
                <c:pt idx="57">
                  <c:v>2083</c:v>
                </c:pt>
                <c:pt idx="58">
                  <c:v>2084</c:v>
                </c:pt>
                <c:pt idx="59">
                  <c:v>2085</c:v>
                </c:pt>
              </c:numCache>
            </c:numRef>
          </c:cat>
          <c:val>
            <c:numRef>
              <c:f>'PV by start year'!$I$5:$I$64</c:f>
              <c:numCache>
                <c:formatCode>#,##0.00;\(#,##0.00\);"-"</c:formatCode>
                <c:ptCount val="60"/>
                <c:pt idx="0">
                  <c:v>421.93769031541979</c:v>
                </c:pt>
                <c:pt idx="1">
                  <c:v>414.59512348366809</c:v>
                </c:pt>
                <c:pt idx="2">
                  <c:v>407.43325016396477</c:v>
                </c:pt>
                <c:pt idx="3">
                  <c:v>400.44651448424781</c:v>
                </c:pt>
                <c:pt idx="4">
                  <c:v>393.62954207857308</c:v>
                </c:pt>
                <c:pt idx="5">
                  <c:v>386.97713420854069</c:v>
                </c:pt>
                <c:pt idx="6">
                  <c:v>380.48426207059299</c:v>
                </c:pt>
                <c:pt idx="7">
                  <c:v>374.14606128343939</c:v>
                </c:pt>
                <c:pt idx="8">
                  <c:v>367.95782655003671</c:v>
                </c:pt>
                <c:pt idx="9">
                  <c:v>361.91500648872398</c:v>
                </c:pt>
                <c:pt idx="10">
                  <c:v>356.01319862826932</c:v>
                </c:pt>
                <c:pt idx="11">
                  <c:v>350.24814456175511</c:v>
                </c:pt>
                <c:pt idx="12">
                  <c:v>344.61572525437572</c:v>
                </c:pt>
                <c:pt idx="13">
                  <c:v>339.11195650037092</c:v>
                </c:pt>
                <c:pt idx="14">
                  <c:v>333.73298452447051</c:v>
                </c:pt>
                <c:pt idx="15">
                  <c:v>317.74516254516658</c:v>
                </c:pt>
                <c:pt idx="16">
                  <c:v>302.34589633839818</c:v>
                </c:pt>
                <c:pt idx="17">
                  <c:v>287.51563387449988</c:v>
                </c:pt>
                <c:pt idx="18">
                  <c:v>273.23543984801711</c:v>
                </c:pt>
                <c:pt idx="19">
                  <c:v>259.4869767884399</c:v>
                </c:pt>
                <c:pt idx="20">
                  <c:v>246.25248673927749</c:v>
                </c:pt>
                <c:pt idx="21">
                  <c:v>233.51477348855769</c:v>
                </c:pt>
                <c:pt idx="22">
                  <c:v>221.25718533434801</c:v>
                </c:pt>
                <c:pt idx="23">
                  <c:v>209.4635983693656</c:v>
                </c:pt>
                <c:pt idx="24">
                  <c:v>198.1184002692286</c:v>
                </c:pt>
                <c:pt idx="25">
                  <c:v>187.20647456934429</c:v>
                </c:pt>
                <c:pt idx="26">
                  <c:v>176.68835451248779</c:v>
                </c:pt>
                <c:pt idx="27">
                  <c:v>166.5514471363463</c:v>
                </c:pt>
                <c:pt idx="28">
                  <c:v>156.78354285842499</c:v>
                </c:pt>
                <c:pt idx="29">
                  <c:v>147.37280406440561</c:v>
                </c:pt>
                <c:pt idx="30">
                  <c:v>138.30775403250709</c:v>
                </c:pt>
                <c:pt idx="31">
                  <c:v>129.5772661840081</c:v>
                </c:pt>
                <c:pt idx="32">
                  <c:v>121.1705536503798</c:v>
                </c:pt>
                <c:pt idx="33">
                  <c:v>113.07715914775321</c:v>
                </c:pt>
                <c:pt idx="34">
                  <c:v>105.28694514972059</c:v>
                </c:pt>
                <c:pt idx="35">
                  <c:v>97.790084349730265</c:v>
                </c:pt>
                <c:pt idx="36">
                  <c:v>90.577050404589187</c:v>
                </c:pt>
                <c:pt idx="37">
                  <c:v>83.638608950838986</c:v>
                </c:pt>
                <c:pt idx="38">
                  <c:v>76.965808886007537</c:v>
                </c:pt>
                <c:pt idx="39">
                  <c:v>70.549973906974387</c:v>
                </c:pt>
                <c:pt idx="40">
                  <c:v>64.382694297914895</c:v>
                </c:pt>
                <c:pt idx="41">
                  <c:v>58.455818960506527</c:v>
                </c:pt>
                <c:pt idx="42">
                  <c:v>52.761447679296928</c:v>
                </c:pt>
                <c:pt idx="43">
                  <c:v>47.291923615338533</c:v>
                </c:pt>
                <c:pt idx="44">
                  <c:v>42.03982602139785</c:v>
                </c:pt>
                <c:pt idx="45">
                  <c:v>36.99796317224169</c:v>
                </c:pt>
                <c:pt idx="46">
                  <c:v>32.159365503693529</c:v>
                </c:pt>
                <c:pt idx="47">
                  <c:v>27.517278954336959</c:v>
                </c:pt>
                <c:pt idx="48">
                  <c:v>23.06515850392228</c:v>
                </c:pt>
                <c:pt idx="49">
                  <c:v>18.79666190270612</c:v>
                </c:pt>
                <c:pt idx="50">
                  <c:v>14.70564358612247</c:v>
                </c:pt>
                <c:pt idx="51">
                  <c:v>10.786148769347481</c:v>
                </c:pt>
                <c:pt idx="52">
                  <c:v>7.0324077164791534</c:v>
                </c:pt>
                <c:pt idx="53">
                  <c:v>3.4388301792074101</c:v>
                </c:pt>
                <c:pt idx="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E5-4CB7-9E7B-F44F88FC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108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108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58</xdr:row>
      <xdr:rowOff>0</xdr:rowOff>
    </xdr:from>
    <xdr:ext cx="108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1080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101</xdr:row>
      <xdr:rowOff>0</xdr:rowOff>
    </xdr:from>
    <xdr:ext cx="10800000" cy="36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123</xdr:row>
      <xdr:rowOff>0</xdr:rowOff>
    </xdr:from>
    <xdr:ext cx="10800000" cy="36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145</xdr:row>
      <xdr:rowOff>0</xdr:rowOff>
    </xdr:from>
    <xdr:ext cx="10800000" cy="36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"/>
  <sheetViews>
    <sheetView tabSelected="1" zoomScale="85" workbookViewId="0"/>
  </sheetViews>
  <sheetFormatPr defaultRowHeight="14.4" x14ac:dyDescent="0.3"/>
  <cols>
    <col min="1" max="1" width="42" customWidth="1"/>
    <col min="2" max="4" width="17" customWidth="1"/>
    <col min="5" max="5" width="3" customWidth="1"/>
    <col min="6" max="11" width="14" customWidth="1"/>
    <col min="13" max="13" width="12" customWidth="1"/>
    <col min="14" max="15" width="7" customWidth="1"/>
    <col min="16" max="16" width="10" customWidth="1"/>
    <col min="17" max="17" width="11" customWidth="1"/>
    <col min="18" max="18" width="12" customWidth="1"/>
    <col min="19" max="19" width="10" customWidth="1"/>
    <col min="20" max="20" width="11" customWidth="1"/>
    <col min="21" max="21" width="12" customWidth="1"/>
  </cols>
  <sheetData>
    <row r="1" spans="1:11" ht="17.399999999999999" x14ac:dyDescent="0.3">
      <c r="A1" s="1" t="s">
        <v>0</v>
      </c>
    </row>
    <row r="2" spans="1:11" x14ac:dyDescent="0.3">
      <c r="A2" s="2" t="s">
        <v>1</v>
      </c>
    </row>
    <row r="4" spans="1:11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F4" s="4" t="s">
        <v>6</v>
      </c>
    </row>
    <row r="5" spans="1:11" ht="27.6" x14ac:dyDescent="0.3">
      <c r="A5" s="4" t="s">
        <v>7</v>
      </c>
      <c r="B5" s="5">
        <f>'Raw profile'!J17</f>
        <v>7410.1203117174709</v>
      </c>
      <c r="C5" s="5">
        <f>'Growth profile'!J17</f>
        <v>13627.302927003886</v>
      </c>
      <c r="D5" s="5">
        <f>'Growth (no penalty)'!J17</f>
        <v>13893.82223870393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spans="1:11" x14ac:dyDescent="0.3">
      <c r="A6" s="4" t="s">
        <v>14</v>
      </c>
      <c r="B6" s="6">
        <f>'Raw profile'!I24</f>
        <v>2026</v>
      </c>
      <c r="C6" s="6">
        <f>'Growth profile'!I24</f>
        <v>2039</v>
      </c>
      <c r="D6" s="6">
        <f>'Growth (no penalty)'!I24</f>
        <v>2040</v>
      </c>
      <c r="F6" s="7" t="s">
        <v>15</v>
      </c>
      <c r="G6" s="8">
        <f>COUNTIF(Comparison!$N$5:$N$104,F6)</f>
        <v>1</v>
      </c>
      <c r="H6" s="9">
        <f>IFERROR(AVERAGEIF(Comparison!$N$5:$N$104,F6,Comparison!$I$5:$I$104),0)</f>
        <v>0</v>
      </c>
      <c r="I6" s="8">
        <f>COUNTIFS(Comparison!$N$5:$N$104,F6,Comparison!$I$5:$I$104,"&gt;0")</f>
        <v>0</v>
      </c>
      <c r="J6" s="8">
        <f>COUNTIFS(Comparison!$N$5:$N$104,F6,Comparison!$L$5:$L$104,2085,Comparison!$I$5:$I$104,"&gt;0")</f>
        <v>0</v>
      </c>
      <c r="K6" s="8">
        <f>COUNTIFS(Comparison!$N$5:$N$104,F6,Comparison!$I$5:$I$104,"&lt;0")</f>
        <v>0</v>
      </c>
    </row>
    <row r="7" spans="1:11" x14ac:dyDescent="0.3">
      <c r="A7" s="4" t="s">
        <v>16</v>
      </c>
      <c r="B7" s="8">
        <f>INDEX('Raw profile'!I24:I123,MATCH("project 28",'Raw profile'!A24:A123,0))</f>
        <v>2026</v>
      </c>
      <c r="C7" s="8">
        <f>INDEX('Growth profile'!I24:I123,MATCH("project 28",'Growth profile'!A24:A123,0))</f>
        <v>2026</v>
      </c>
      <c r="D7" s="8">
        <f>INDEX('Growth (no penalty)'!I24:I123,MATCH("project 28",'Growth (no penalty)'!A24:A123,0))</f>
        <v>2026</v>
      </c>
      <c r="F7" s="7" t="s">
        <v>17</v>
      </c>
      <c r="G7" s="8">
        <f>COUNTIF(Comparison!$N$5:$N$104,F7)</f>
        <v>28</v>
      </c>
      <c r="H7" s="9">
        <f>IFERROR(AVERAGEIF(Comparison!$N$5:$N$104,F7,Comparison!$I$5:$I$104),0)</f>
        <v>-7.8214285714285712</v>
      </c>
      <c r="I7" s="8">
        <f>COUNTIFS(Comparison!$N$5:$N$104,F7,Comparison!$I$5:$I$104,"&gt;0")</f>
        <v>1</v>
      </c>
      <c r="J7" s="8">
        <f>COUNTIFS(Comparison!$N$5:$N$104,F7,Comparison!$L$5:$L$104,2085,Comparison!$I$5:$I$104,"&gt;0")</f>
        <v>0</v>
      </c>
      <c r="K7" s="8">
        <f>COUNTIFS(Comparison!$N$5:$N$104,F7,Comparison!$I$5:$I$104,"&lt;0")</f>
        <v>21</v>
      </c>
    </row>
    <row r="8" spans="1:11" x14ac:dyDescent="0.3">
      <c r="A8" s="4" t="s">
        <v>18</v>
      </c>
      <c r="B8" s="6">
        <f>'Raw profile'!B14</f>
        <v>2044</v>
      </c>
      <c r="C8" s="6">
        <f>'Growth profile'!B14</f>
        <v>2044</v>
      </c>
      <c r="D8" s="6">
        <f>'Growth (no penalty)'!B14</f>
        <v>2045</v>
      </c>
      <c r="F8" s="7" t="s">
        <v>19</v>
      </c>
      <c r="G8" s="8">
        <f>COUNTIF(Comparison!$N$5:$N$104,F8)</f>
        <v>13</v>
      </c>
      <c r="H8" s="9">
        <f>IFERROR(AVERAGEIF(Comparison!$N$5:$N$104,F8,Comparison!$I$5:$I$104),0)</f>
        <v>-6.5384615384615383</v>
      </c>
      <c r="I8" s="8">
        <f>COUNTIFS(Comparison!$N$5:$N$104,F8,Comparison!$I$5:$I$104,"&gt;0")</f>
        <v>0</v>
      </c>
      <c r="J8" s="8">
        <f>COUNTIFS(Comparison!$N$5:$N$104,F8,Comparison!$L$5:$L$104,2085,Comparison!$I$5:$I$104,"&gt;0")</f>
        <v>0</v>
      </c>
      <c r="K8" s="8">
        <f>COUNTIFS(Comparison!$N$5:$N$104,F8,Comparison!$I$5:$I$104,"&lt;0")</f>
        <v>9</v>
      </c>
    </row>
    <row r="9" spans="1:11" x14ac:dyDescent="0.3">
      <c r="A9" s="4" t="s">
        <v>20</v>
      </c>
      <c r="B9" s="10">
        <f>'Raw profile'!J8</f>
        <v>1.2079535665623906</v>
      </c>
      <c r="C9" s="10">
        <f>'Growth profile'!J8</f>
        <v>1.1859557166639225</v>
      </c>
      <c r="D9" s="10">
        <f>'Growth (no penalty)'!J8</f>
        <v>4.0557502784969888</v>
      </c>
      <c r="F9" s="7" t="s">
        <v>21</v>
      </c>
      <c r="G9" s="8">
        <f>COUNTIF(Comparison!$N$5:$N$104,F9)</f>
        <v>58</v>
      </c>
      <c r="H9" s="9">
        <f>IFERROR(AVERAGEIF(Comparison!$N$5:$N$104,F9,Comparison!$I$5:$I$104),0)</f>
        <v>2.8103448275862069</v>
      </c>
      <c r="I9" s="8">
        <f>COUNTIFS(Comparison!$N$5:$N$104,F9,Comparison!$I$5:$I$104,"&gt;0")</f>
        <v>31</v>
      </c>
      <c r="J9" s="8">
        <f>COUNTIFS(Comparison!$N$5:$N$104,F9,Comparison!$L$5:$L$104,2085,Comparison!$I$5:$I$104,"&gt;0")</f>
        <v>0</v>
      </c>
      <c r="K9" s="8">
        <f>COUNTIFS(Comparison!$N$5:$N$104,F9,Comparison!$I$5:$I$104,"&lt;0")</f>
        <v>25</v>
      </c>
    </row>
    <row r="10" spans="1:11" x14ac:dyDescent="0.3">
      <c r="A10" s="4" t="s">
        <v>22</v>
      </c>
      <c r="B10" s="6">
        <f>'Raw profile'!J9</f>
        <v>12</v>
      </c>
      <c r="C10" s="6">
        <f>'Growth profile'!J9</f>
        <v>8</v>
      </c>
      <c r="D10" s="6">
        <f>'Growth (no penalty)'!J9</f>
        <v>6</v>
      </c>
      <c r="F10" s="4" t="s">
        <v>23</v>
      </c>
      <c r="G10" s="11">
        <f>SUM(G6:G9)</f>
        <v>100</v>
      </c>
      <c r="H10" s="12">
        <f>IFERROR(AVERAGE(Comparison!$I$5:$I$104),0)</f>
        <v>-1.41</v>
      </c>
      <c r="I10" s="11">
        <f>SUM(I6:I9)</f>
        <v>32</v>
      </c>
      <c r="J10" s="11">
        <f>SUM(J6:J9)</f>
        <v>0</v>
      </c>
      <c r="K10" s="11">
        <f>SUM(K6:K9)</f>
        <v>55</v>
      </c>
    </row>
    <row r="11" spans="1:11" x14ac:dyDescent="0.3">
      <c r="A11" s="4" t="s">
        <v>24</v>
      </c>
      <c r="B11" s="5">
        <f>'Raw profile'!J5</f>
        <v>47.265500192209089</v>
      </c>
      <c r="C11" s="5">
        <f>'Growth profile'!J5</f>
        <v>44.683444391115046</v>
      </c>
      <c r="D11" s="5">
        <f>'Growth (no penalty)'!J5</f>
        <v>1691.053158990587</v>
      </c>
    </row>
    <row r="12" spans="1:11" x14ac:dyDescent="0.3">
      <c r="A12" s="4" t="s">
        <v>25</v>
      </c>
      <c r="B12" s="5">
        <f>'Raw profile'!J6</f>
        <v>5.2065595578017287</v>
      </c>
      <c r="C12" s="5">
        <f>'Growth profile'!J6</f>
        <v>24.428735874394413</v>
      </c>
      <c r="D12" s="5">
        <f>'Growth (no penalty)'!J6</f>
        <v>630.20539267819936</v>
      </c>
      <c r="F12" s="13" t="s">
        <v>26</v>
      </c>
    </row>
    <row r="13" spans="1:11" x14ac:dyDescent="0.3">
      <c r="A13" s="4" t="s">
        <v>27</v>
      </c>
      <c r="B13" s="6">
        <f>'Raw profile'!J7</f>
        <v>1</v>
      </c>
      <c r="C13" s="6">
        <f>'Growth profile'!J7</f>
        <v>5</v>
      </c>
      <c r="D13" s="6">
        <f>'Growth (no penalty)'!J7</f>
        <v>13</v>
      </c>
    </row>
    <row r="14" spans="1:11" x14ac:dyDescent="0.3">
      <c r="A14" s="4" t="s">
        <v>28</v>
      </c>
      <c r="B14" s="6">
        <f>'Raw profile'!J10</f>
        <v>0</v>
      </c>
      <c r="C14" s="6">
        <f>'Growth profile'!J10</f>
        <v>0</v>
      </c>
      <c r="D14" s="6">
        <f>'Growth (no penalty)'!J10</f>
        <v>0</v>
      </c>
    </row>
    <row r="15" spans="1:11" x14ac:dyDescent="0.3">
      <c r="A15" s="4" t="s">
        <v>29</v>
      </c>
      <c r="B15" s="14">
        <f>SUM('Raw profile'!N24:N123)</f>
        <v>0</v>
      </c>
      <c r="C15" s="14">
        <f>SUM('Growth profile'!N24:N123)</f>
        <v>0</v>
      </c>
      <c r="D15" s="14">
        <f>SUM('Growth (no penalty)'!N24:N123)</f>
        <v>0</v>
      </c>
    </row>
    <row r="16" spans="1:11" x14ac:dyDescent="0.3">
      <c r="A16" s="4" t="s">
        <v>30</v>
      </c>
      <c r="B16" s="15" t="s">
        <v>31</v>
      </c>
      <c r="C16" s="15" t="s">
        <v>31</v>
      </c>
      <c r="D16" s="15" t="s">
        <v>31</v>
      </c>
    </row>
    <row r="18" spans="1:1" x14ac:dyDescent="0.3">
      <c r="A18" s="4" t="s">
        <v>32</v>
      </c>
    </row>
    <row r="79" spans="1:5" x14ac:dyDescent="0.3">
      <c r="A79" s="4" t="s">
        <v>33</v>
      </c>
      <c r="E79" s="13" t="s">
        <v>34</v>
      </c>
    </row>
    <row r="101" spans="1:5" x14ac:dyDescent="0.3">
      <c r="A101" s="4" t="s">
        <v>35</v>
      </c>
      <c r="E101" s="13" t="s">
        <v>36</v>
      </c>
    </row>
    <row r="123" spans="1:5" x14ac:dyDescent="0.3">
      <c r="A123" s="4" t="s">
        <v>37</v>
      </c>
      <c r="E123" s="13" t="s">
        <v>38</v>
      </c>
    </row>
    <row r="145" spans="1:21" x14ac:dyDescent="0.3">
      <c r="A145" s="4" t="s">
        <v>39</v>
      </c>
      <c r="M145" s="13" t="s">
        <v>40</v>
      </c>
      <c r="U145" s="16">
        <v>2026</v>
      </c>
    </row>
    <row r="146" spans="1:21" ht="30" customHeight="1" x14ac:dyDescent="0.3">
      <c r="M146" s="3" t="s">
        <v>41</v>
      </c>
      <c r="N146" s="3" t="s">
        <v>42</v>
      </c>
      <c r="O146" s="3" t="s">
        <v>43</v>
      </c>
      <c r="P146" s="3" t="s">
        <v>44</v>
      </c>
      <c r="Q146" s="3" t="s">
        <v>45</v>
      </c>
      <c r="R146" s="3" t="s">
        <v>46</v>
      </c>
      <c r="S146" s="3" t="s">
        <v>47</v>
      </c>
      <c r="T146" s="3" t="s">
        <v>48</v>
      </c>
      <c r="U146" s="3" t="s">
        <v>49</v>
      </c>
    </row>
    <row r="147" spans="1:21" x14ac:dyDescent="0.3">
      <c r="M147" s="15" t="str">
        <f t="shared" ref="M147:M155" si="0">N147&amp;"-"&amp;RIGHT(O147,2)</f>
        <v>2026-28</v>
      </c>
      <c r="N147" s="8">
        <f>$U$145+0</f>
        <v>2026</v>
      </c>
      <c r="O147" s="8">
        <f t="shared" ref="O147:O155" si="1">N147+2</f>
        <v>2028</v>
      </c>
      <c r="P147" s="17">
        <f>IFERROR(SUMPRODUCT(('Raw profile'!$I$24:$I$123&gt;=$N147)*('Raw profile'!$I$24:$I$123&lt;=$O147)*'Raw profile'!$E$24:$E$123*'Raw profile'!$S$24:$S$123)/SUMPRODUCT(('Raw profile'!$I$24:$I$123&gt;=$N147)*('Raw profile'!$I$24:$I$123&lt;=$O147)*'Raw profile'!$E$24:$E$123),NA())</f>
        <v>2.8559603706934062</v>
      </c>
      <c r="Q147" s="17">
        <f>IFERROR(SUMPRODUCT(('Growth profile'!$I$24:$I$123&gt;=$N147)*('Growth profile'!$I$24:$I$123&lt;=$O147)*'Growth profile'!$E$24:$E$123*'Growth profile'!$S$24:$S$123)/SUMPRODUCT(('Growth profile'!$I$24:$I$123&gt;=$N147)*('Growth profile'!$I$24:$I$123&lt;=$O147)*'Growth profile'!$E$24:$E$123),NA())</f>
        <v>3.4958990052629573</v>
      </c>
      <c r="R147" s="17">
        <f>IFERROR(SUMPRODUCT(('Growth (no penalty)'!$I$24:$I$123&gt;=$N147)*('Growth (no penalty)'!$I$24:$I$123&lt;=$O147)*'Growth (no penalty)'!$E$24:$E$123*'Growth (no penalty)'!$S$24:$S$123)/SUMPRODUCT(('Growth (no penalty)'!$I$24:$I$123&gt;=$N147)*('Growth (no penalty)'!$I$24:$I$123&lt;=$O147)*'Growth (no penalty)'!$E$24:$E$123),NA())</f>
        <v>3.2877012711033764</v>
      </c>
      <c r="S147" s="6">
        <f>SUMPRODUCT(('Raw profile'!$I$24:$I$123&gt;=$N147)*('Raw profile'!$I$24:$I$123&lt;=$O147))</f>
        <v>31</v>
      </c>
      <c r="T147" s="6">
        <f>SUMPRODUCT(('Growth profile'!$I$24:$I$123&gt;=$N147)*('Growth profile'!$I$24:$I$123&lt;=$O147))</f>
        <v>32</v>
      </c>
      <c r="U147" s="6">
        <f>SUMPRODUCT(('Growth (no penalty)'!$I$24:$I$123&gt;=$N147)*('Growth (no penalty)'!$I$24:$I$123&lt;=$O147))</f>
        <v>35</v>
      </c>
    </row>
    <row r="148" spans="1:21" x14ac:dyDescent="0.3">
      <c r="M148" s="15" t="str">
        <f t="shared" si="0"/>
        <v>2029-31</v>
      </c>
      <c r="N148" s="8">
        <f>$U$145+3</f>
        <v>2029</v>
      </c>
      <c r="O148" s="8">
        <f t="shared" si="1"/>
        <v>2031</v>
      </c>
      <c r="P148" s="17">
        <f>IFERROR(SUMPRODUCT(('Raw profile'!$I$24:$I$123&gt;=$N148)*('Raw profile'!$I$24:$I$123&lt;=$O148)*'Raw profile'!$E$24:$E$123*'Raw profile'!$S$24:$S$123)/SUMPRODUCT(('Raw profile'!$I$24:$I$123&gt;=$N148)*('Raw profile'!$I$24:$I$123&lt;=$O148)*'Raw profile'!$E$24:$E$123),NA())</f>
        <v>2.2316234810330493</v>
      </c>
      <c r="Q148" s="17">
        <f>IFERROR(SUMPRODUCT(('Growth profile'!$I$24:$I$123&gt;=$N148)*('Growth profile'!$I$24:$I$123&lt;=$O148)*'Growth profile'!$E$24:$E$123*'Growth profile'!$S$24:$S$123)/SUMPRODUCT(('Growth profile'!$I$24:$I$123&gt;=$N148)*('Growth profile'!$I$24:$I$123&lt;=$O148)*'Growth profile'!$E$24:$E$123),NA())</f>
        <v>3.5248422292749217</v>
      </c>
      <c r="R148" s="17">
        <f>IFERROR(SUMPRODUCT(('Growth (no penalty)'!$I$24:$I$123&gt;=$N148)*('Growth (no penalty)'!$I$24:$I$123&lt;=$O148)*'Growth (no penalty)'!$E$24:$E$123*'Growth (no penalty)'!$S$24:$S$123)/SUMPRODUCT(('Growth (no penalty)'!$I$24:$I$123&gt;=$N148)*('Growth (no penalty)'!$I$24:$I$123&lt;=$O148)*'Growth (no penalty)'!$E$24:$E$123),NA())</f>
        <v>4.6945876350755658</v>
      </c>
      <c r="S148" s="6">
        <f>SUMPRODUCT(('Raw profile'!$I$24:$I$123&gt;=$N148)*('Raw profile'!$I$24:$I$123&lt;=$O148))</f>
        <v>11</v>
      </c>
      <c r="T148" s="6">
        <f>SUMPRODUCT(('Growth profile'!$I$24:$I$123&gt;=$N148)*('Growth profile'!$I$24:$I$123&lt;=$O148))</f>
        <v>10</v>
      </c>
      <c r="U148" s="6">
        <f>SUMPRODUCT(('Growth (no penalty)'!$I$24:$I$123&gt;=$N148)*('Growth (no penalty)'!$I$24:$I$123&lt;=$O148))</f>
        <v>5</v>
      </c>
    </row>
    <row r="149" spans="1:21" x14ac:dyDescent="0.3">
      <c r="M149" s="15" t="str">
        <f t="shared" si="0"/>
        <v>2032-34</v>
      </c>
      <c r="N149" s="8">
        <f>$U$145+6</f>
        <v>2032</v>
      </c>
      <c r="O149" s="8">
        <f t="shared" si="1"/>
        <v>2034</v>
      </c>
      <c r="P149" s="17">
        <f>IFERROR(SUMPRODUCT(('Raw profile'!$I$24:$I$123&gt;=$N149)*('Raw profile'!$I$24:$I$123&lt;=$O149)*'Raw profile'!$E$24:$E$123*'Raw profile'!$S$24:$S$123)/SUMPRODUCT(('Raw profile'!$I$24:$I$123&gt;=$N149)*('Raw profile'!$I$24:$I$123&lt;=$O149)*'Raw profile'!$E$24:$E$123),NA())</f>
        <v>1.9658065419483131</v>
      </c>
      <c r="Q149" s="17">
        <f>IFERROR(SUMPRODUCT(('Growth profile'!$I$24:$I$123&gt;=$N149)*('Growth profile'!$I$24:$I$123&lt;=$O149)*'Growth profile'!$E$24:$E$123*'Growth profile'!$S$24:$S$123)/SUMPRODUCT(('Growth profile'!$I$24:$I$123&gt;=$N149)*('Growth profile'!$I$24:$I$123&lt;=$O149)*'Growth profile'!$E$24:$E$123),NA())</f>
        <v>3.9081502164020994</v>
      </c>
      <c r="R149" s="17">
        <f>IFERROR(SUMPRODUCT(('Growth (no penalty)'!$I$24:$I$123&gt;=$N149)*('Growth (no penalty)'!$I$24:$I$123&lt;=$O149)*'Growth (no penalty)'!$E$24:$E$123*'Growth (no penalty)'!$S$24:$S$123)/SUMPRODUCT(('Growth (no penalty)'!$I$24:$I$123&gt;=$N149)*('Growth (no penalty)'!$I$24:$I$123&lt;=$O149)*'Growth (no penalty)'!$E$24:$E$123),NA())</f>
        <v>1.3321839656310692</v>
      </c>
      <c r="S149" s="6">
        <f>SUMPRODUCT(('Raw profile'!$I$24:$I$123&gt;=$N149)*('Raw profile'!$I$24:$I$123&lt;=$O149))</f>
        <v>6</v>
      </c>
      <c r="T149" s="6">
        <f>SUMPRODUCT(('Growth profile'!$I$24:$I$123&gt;=$N149)*('Growth profile'!$I$24:$I$123&lt;=$O149))</f>
        <v>23</v>
      </c>
      <c r="U149" s="6">
        <f>SUMPRODUCT(('Growth (no penalty)'!$I$24:$I$123&gt;=$N149)*('Growth (no penalty)'!$I$24:$I$123&lt;=$O149))</f>
        <v>1</v>
      </c>
    </row>
    <row r="150" spans="1:21" x14ac:dyDescent="0.3">
      <c r="M150" s="15" t="str">
        <f t="shared" si="0"/>
        <v>2035-37</v>
      </c>
      <c r="N150" s="8">
        <f>$U$145+9</f>
        <v>2035</v>
      </c>
      <c r="O150" s="8">
        <f t="shared" si="1"/>
        <v>2037</v>
      </c>
      <c r="P150" s="17">
        <f>IFERROR(SUMPRODUCT(('Raw profile'!$I$24:$I$123&gt;=$N150)*('Raw profile'!$I$24:$I$123&lt;=$O150)*'Raw profile'!$E$24:$E$123*'Raw profile'!$S$24:$S$123)/SUMPRODUCT(('Raw profile'!$I$24:$I$123&gt;=$N150)*('Raw profile'!$I$24:$I$123&lt;=$O150)*'Raw profile'!$E$24:$E$123),NA())</f>
        <v>1.7312536318653431</v>
      </c>
      <c r="Q150" s="17">
        <f>IFERROR(SUMPRODUCT(('Growth profile'!$I$24:$I$123&gt;=$N150)*('Growth profile'!$I$24:$I$123&lt;=$O150)*'Growth profile'!$E$24:$E$123*'Growth profile'!$S$24:$S$123)/SUMPRODUCT(('Growth profile'!$I$24:$I$123&gt;=$N150)*('Growth profile'!$I$24:$I$123&lt;=$O150)*'Growth profile'!$E$24:$E$123),NA())</f>
        <v>4.4315604335182783</v>
      </c>
      <c r="R150" s="17">
        <f>IFERROR(SUMPRODUCT(('Growth (no penalty)'!$I$24:$I$123&gt;=$N150)*('Growth (no penalty)'!$I$24:$I$123&lt;=$O150)*'Growth (no penalty)'!$E$24:$E$123*'Growth (no penalty)'!$S$24:$S$123)/SUMPRODUCT(('Growth (no penalty)'!$I$24:$I$123&gt;=$N150)*('Growth (no penalty)'!$I$24:$I$123&lt;=$O150)*'Growth (no penalty)'!$E$24:$E$123),NA())</f>
        <v>5.677783489464443</v>
      </c>
      <c r="S150" s="6">
        <f>SUMPRODUCT(('Raw profile'!$I$24:$I$123&gt;=$N150)*('Raw profile'!$I$24:$I$123&lt;=$O150))</f>
        <v>19</v>
      </c>
      <c r="T150" s="6">
        <f>SUMPRODUCT(('Growth profile'!$I$24:$I$123&gt;=$N150)*('Growth profile'!$I$24:$I$123&lt;=$O150))</f>
        <v>16</v>
      </c>
      <c r="U150" s="6">
        <f>SUMPRODUCT(('Growth (no penalty)'!$I$24:$I$123&gt;=$N150)*('Growth (no penalty)'!$I$24:$I$123&lt;=$O150))</f>
        <v>1</v>
      </c>
    </row>
    <row r="151" spans="1:21" x14ac:dyDescent="0.3">
      <c r="M151" s="15" t="str">
        <f t="shared" si="0"/>
        <v>2038-40</v>
      </c>
      <c r="N151" s="8">
        <f>$U$145+12</f>
        <v>2038</v>
      </c>
      <c r="O151" s="8">
        <f t="shared" si="1"/>
        <v>2040</v>
      </c>
      <c r="P151" s="17">
        <f>IFERROR(SUMPRODUCT(('Raw profile'!$I$24:$I$123&gt;=$N151)*('Raw profile'!$I$24:$I$123&lt;=$O151)*'Raw profile'!$E$24:$E$123*'Raw profile'!$S$24:$S$123)/SUMPRODUCT(('Raw profile'!$I$24:$I$123&gt;=$N151)*('Raw profile'!$I$24:$I$123&lt;=$O151)*'Raw profile'!$E$24:$E$123),NA())</f>
        <v>1.116678293432624</v>
      </c>
      <c r="Q151" s="17">
        <f>IFERROR(SUMPRODUCT(('Growth profile'!$I$24:$I$123&gt;=$N151)*('Growth profile'!$I$24:$I$123&lt;=$O151)*'Growth profile'!$E$24:$E$123*'Growth profile'!$S$24:$S$123)/SUMPRODUCT(('Growth profile'!$I$24:$I$123&gt;=$N151)*('Growth profile'!$I$24:$I$123&lt;=$O151)*'Growth profile'!$E$24:$E$123),NA())</f>
        <v>9.3049066989438067</v>
      </c>
      <c r="R151" s="17">
        <f>IFERROR(SUMPRODUCT(('Growth (no penalty)'!$I$24:$I$123&gt;=$N151)*('Growth (no penalty)'!$I$24:$I$123&lt;=$O151)*'Growth (no penalty)'!$E$24:$E$123*'Growth (no penalty)'!$S$24:$S$123)/SUMPRODUCT(('Growth (no penalty)'!$I$24:$I$123&gt;=$N151)*('Growth (no penalty)'!$I$24:$I$123&lt;=$O151)*'Growth (no penalty)'!$E$24:$E$123),NA())</f>
        <v>5.5486848987959743</v>
      </c>
      <c r="S151" s="6">
        <f>SUMPRODUCT(('Raw profile'!$I$24:$I$123&gt;=$N151)*('Raw profile'!$I$24:$I$123&lt;=$O151))</f>
        <v>13</v>
      </c>
      <c r="T151" s="6">
        <f>SUMPRODUCT(('Growth profile'!$I$24:$I$123&gt;=$N151)*('Growth profile'!$I$24:$I$123&lt;=$O151))</f>
        <v>9</v>
      </c>
      <c r="U151" s="6">
        <f>SUMPRODUCT(('Growth (no penalty)'!$I$24:$I$123&gt;=$N151)*('Growth (no penalty)'!$I$24:$I$123&lt;=$O151))</f>
        <v>6</v>
      </c>
    </row>
    <row r="152" spans="1:21" x14ac:dyDescent="0.3">
      <c r="M152" s="15" t="str">
        <f t="shared" si="0"/>
        <v>2041-43</v>
      </c>
      <c r="N152" s="8">
        <f>$U$145+15</f>
        <v>2041</v>
      </c>
      <c r="O152" s="8">
        <f t="shared" si="1"/>
        <v>2043</v>
      </c>
      <c r="P152" s="17">
        <f>IFERROR(SUMPRODUCT(('Raw profile'!$I$24:$I$123&gt;=$N152)*('Raw profile'!$I$24:$I$123&lt;=$O152)*'Raw profile'!$E$24:$E$123*'Raw profile'!$S$24:$S$123)/SUMPRODUCT(('Raw profile'!$I$24:$I$123&gt;=$N152)*('Raw profile'!$I$24:$I$123&lt;=$O152)*'Raw profile'!$E$24:$E$123),NA())</f>
        <v>1.0613251277839602</v>
      </c>
      <c r="Q152" s="17">
        <f>IFERROR(SUMPRODUCT(('Growth profile'!$I$24:$I$123&gt;=$N152)*('Growth profile'!$I$24:$I$123&lt;=$O152)*'Growth profile'!$E$24:$E$123*'Growth profile'!$S$24:$S$123)/SUMPRODUCT(('Growth profile'!$I$24:$I$123&gt;=$N152)*('Growth profile'!$I$24:$I$123&lt;=$O152)*'Growth profile'!$E$24:$E$123),NA())</f>
        <v>7.4623628689893442</v>
      </c>
      <c r="R152" s="17">
        <f>IFERROR(SUMPRODUCT(('Growth (no penalty)'!$I$24:$I$123&gt;=$N152)*('Growth (no penalty)'!$I$24:$I$123&lt;=$O152)*'Growth (no penalty)'!$E$24:$E$123*'Growth (no penalty)'!$S$24:$S$123)/SUMPRODUCT(('Growth (no penalty)'!$I$24:$I$123&gt;=$N152)*('Growth (no penalty)'!$I$24:$I$123&lt;=$O152)*'Growth (no penalty)'!$E$24:$E$123),NA())</f>
        <v>5.440289146623229</v>
      </c>
      <c r="S152" s="6">
        <f>SUMPRODUCT(('Raw profile'!$I$24:$I$123&gt;=$N152)*('Raw profile'!$I$24:$I$123&lt;=$O152))</f>
        <v>20</v>
      </c>
      <c r="T152" s="6">
        <f>SUMPRODUCT(('Growth profile'!$I$24:$I$123&gt;=$N152)*('Growth profile'!$I$24:$I$123&lt;=$O152))</f>
        <v>10</v>
      </c>
      <c r="U152" s="6">
        <f>SUMPRODUCT(('Growth (no penalty)'!$I$24:$I$123&gt;=$N152)*('Growth (no penalty)'!$I$24:$I$123&lt;=$O152))</f>
        <v>20</v>
      </c>
    </row>
    <row r="153" spans="1:21" x14ac:dyDescent="0.3">
      <c r="M153" s="15" t="str">
        <f t="shared" si="0"/>
        <v>2044-46</v>
      </c>
      <c r="N153" s="8">
        <f>$U$145+18</f>
        <v>2044</v>
      </c>
      <c r="O153" s="8">
        <f t="shared" si="1"/>
        <v>2046</v>
      </c>
      <c r="P153" s="17" t="e">
        <f>IFERROR(SUMPRODUCT(('Raw profile'!$I$24:$I$123&gt;=$N153)*('Raw profile'!$I$24:$I$123&lt;=$O153)*'Raw profile'!$E$24:$E$123*'Raw profile'!$S$24:$S$123)/SUMPRODUCT(('Raw profile'!$I$24:$I$123&gt;=$N153)*('Raw profile'!$I$24:$I$123&lt;=$O153)*'Raw profile'!$E$24:$E$123),NA())</f>
        <v>#N/A</v>
      </c>
      <c r="Q153" s="17" t="e">
        <f>IFERROR(SUMPRODUCT(('Growth profile'!$I$24:$I$123&gt;=$N153)*('Growth profile'!$I$24:$I$123&lt;=$O153)*'Growth profile'!$E$24:$E$123*'Growth profile'!$S$24:$S$123)/SUMPRODUCT(('Growth profile'!$I$24:$I$123&gt;=$N153)*('Growth profile'!$I$24:$I$123&lt;=$O153)*'Growth profile'!$E$24:$E$123),NA())</f>
        <v>#N/A</v>
      </c>
      <c r="R153" s="17">
        <f>IFERROR(SUMPRODUCT(('Growth (no penalty)'!$I$24:$I$123&gt;=$N153)*('Growth (no penalty)'!$I$24:$I$123&lt;=$O153)*'Growth (no penalty)'!$E$24:$E$123*'Growth (no penalty)'!$S$24:$S$123)/SUMPRODUCT(('Growth (no penalty)'!$I$24:$I$123&gt;=$N153)*('Growth (no penalty)'!$I$24:$I$123&lt;=$O153)*'Growth (no penalty)'!$E$24:$E$123),NA())</f>
        <v>6.5805518561513203</v>
      </c>
      <c r="S153" s="6">
        <f>SUMPRODUCT(('Raw profile'!$I$24:$I$123&gt;=$N153)*('Raw profile'!$I$24:$I$123&lt;=$O153))</f>
        <v>0</v>
      </c>
      <c r="T153" s="6">
        <f>SUMPRODUCT(('Growth profile'!$I$24:$I$123&gt;=$N153)*('Growth profile'!$I$24:$I$123&lt;=$O153))</f>
        <v>0</v>
      </c>
      <c r="U153" s="6">
        <f>SUMPRODUCT(('Growth (no penalty)'!$I$24:$I$123&gt;=$N153)*('Growth (no penalty)'!$I$24:$I$123&lt;=$O153))</f>
        <v>32</v>
      </c>
    </row>
    <row r="154" spans="1:21" x14ac:dyDescent="0.3">
      <c r="M154" s="15" t="str">
        <f t="shared" si="0"/>
        <v>2047-49</v>
      </c>
      <c r="N154" s="8">
        <f>$U$145+21</f>
        <v>2047</v>
      </c>
      <c r="O154" s="8">
        <f t="shared" si="1"/>
        <v>2049</v>
      </c>
      <c r="P154" s="17" t="e">
        <f>IFERROR(SUMPRODUCT(('Raw profile'!$I$24:$I$123&gt;=$N154)*('Raw profile'!$I$24:$I$123&lt;=$O154)*'Raw profile'!$E$24:$E$123*'Raw profile'!$S$24:$S$123)/SUMPRODUCT(('Raw profile'!$I$24:$I$123&gt;=$N154)*('Raw profile'!$I$24:$I$123&lt;=$O154)*'Raw profile'!$E$24:$E$123),NA())</f>
        <v>#N/A</v>
      </c>
      <c r="Q154" s="17" t="e">
        <f>IFERROR(SUMPRODUCT(('Growth profile'!$I$24:$I$123&gt;=$N154)*('Growth profile'!$I$24:$I$123&lt;=$O154)*'Growth profile'!$E$24:$E$123*'Growth profile'!$S$24:$S$123)/SUMPRODUCT(('Growth profile'!$I$24:$I$123&gt;=$N154)*('Growth profile'!$I$24:$I$123&lt;=$O154)*'Growth profile'!$E$24:$E$123),NA())</f>
        <v>#N/A</v>
      </c>
      <c r="R154" s="17" t="e">
        <f>IFERROR(SUMPRODUCT(('Growth (no penalty)'!$I$24:$I$123&gt;=$N154)*('Growth (no penalty)'!$I$24:$I$123&lt;=$O154)*'Growth (no penalty)'!$E$24:$E$123*'Growth (no penalty)'!$S$24:$S$123)/SUMPRODUCT(('Growth (no penalty)'!$I$24:$I$123&gt;=$N154)*('Growth (no penalty)'!$I$24:$I$123&lt;=$O154)*'Growth (no penalty)'!$E$24:$E$123),NA())</f>
        <v>#N/A</v>
      </c>
      <c r="S154" s="6">
        <f>SUMPRODUCT(('Raw profile'!$I$24:$I$123&gt;=$N154)*('Raw profile'!$I$24:$I$123&lt;=$O154))</f>
        <v>0</v>
      </c>
      <c r="T154" s="6">
        <f>SUMPRODUCT(('Growth profile'!$I$24:$I$123&gt;=$N154)*('Growth profile'!$I$24:$I$123&lt;=$O154))</f>
        <v>0</v>
      </c>
      <c r="U154" s="6">
        <f>SUMPRODUCT(('Growth (no penalty)'!$I$24:$I$123&gt;=$N154)*('Growth (no penalty)'!$I$24:$I$123&lt;=$O154))</f>
        <v>0</v>
      </c>
    </row>
    <row r="155" spans="1:21" x14ac:dyDescent="0.3">
      <c r="M155" s="15" t="str">
        <f t="shared" si="0"/>
        <v>2050-52</v>
      </c>
      <c r="N155" s="8">
        <f>$U$145+24</f>
        <v>2050</v>
      </c>
      <c r="O155" s="8">
        <f t="shared" si="1"/>
        <v>2052</v>
      </c>
      <c r="P155" s="17" t="e">
        <f>IFERROR(SUMPRODUCT(('Raw profile'!$I$24:$I$123&gt;=$N155)*('Raw profile'!$I$24:$I$123&lt;=$O155)*'Raw profile'!$E$24:$E$123*'Raw profile'!$S$24:$S$123)/SUMPRODUCT(('Raw profile'!$I$24:$I$123&gt;=$N155)*('Raw profile'!$I$24:$I$123&lt;=$O155)*'Raw profile'!$E$24:$E$123),NA())</f>
        <v>#N/A</v>
      </c>
      <c r="Q155" s="17" t="e">
        <f>IFERROR(SUMPRODUCT(('Growth profile'!$I$24:$I$123&gt;=$N155)*('Growth profile'!$I$24:$I$123&lt;=$O155)*'Growth profile'!$E$24:$E$123*'Growth profile'!$S$24:$S$123)/SUMPRODUCT(('Growth profile'!$I$24:$I$123&gt;=$N155)*('Growth profile'!$I$24:$I$123&lt;=$O155)*'Growth profile'!$E$24:$E$123),NA())</f>
        <v>#N/A</v>
      </c>
      <c r="R155" s="17" t="e">
        <f>IFERROR(SUMPRODUCT(('Growth (no penalty)'!$I$24:$I$123&gt;=$N155)*('Growth (no penalty)'!$I$24:$I$123&lt;=$O155)*'Growth (no penalty)'!$E$24:$E$123*'Growth (no penalty)'!$S$24:$S$123)/SUMPRODUCT(('Growth (no penalty)'!$I$24:$I$123&gt;=$N155)*('Growth (no penalty)'!$I$24:$I$123&lt;=$O155)*'Growth (no penalty)'!$E$24:$E$123),NA())</f>
        <v>#N/A</v>
      </c>
      <c r="S155" s="6">
        <f>SUMPRODUCT(('Raw profile'!$I$24:$I$123&gt;=$N155)*('Raw profile'!$I$24:$I$123&lt;=$O155))</f>
        <v>0</v>
      </c>
      <c r="T155" s="6">
        <f>SUMPRODUCT(('Growth profile'!$I$24:$I$123&gt;=$N155)*('Growth profile'!$I$24:$I$123&lt;=$O155))</f>
        <v>0</v>
      </c>
      <c r="U155" s="6">
        <f>SUMPRODUCT(('Growth (no penalty)'!$I$24:$I$123&gt;=$N155)*('Growth (no penalty)'!$I$24:$I$123&lt;=$O155))</f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305"/>
  <sheetViews>
    <sheetView zoomScale="8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3" customWidth="1"/>
    <col min="2" max="2" width="11" customWidth="1"/>
    <col min="3" max="3" width="7" customWidth="1"/>
    <col min="4" max="63" width="3.21875" customWidth="1"/>
  </cols>
  <sheetData>
    <row r="1" spans="1:63" ht="17.399999999999999" x14ac:dyDescent="0.3">
      <c r="A1" s="1" t="s">
        <v>50</v>
      </c>
    </row>
    <row r="2" spans="1:63" x14ac:dyDescent="0.3">
      <c r="A2" s="2" t="s">
        <v>51</v>
      </c>
    </row>
    <row r="3" spans="1:63" x14ac:dyDescent="0.3">
      <c r="E3" s="74" t="s">
        <v>52</v>
      </c>
      <c r="F3" s="73"/>
      <c r="G3" s="73"/>
      <c r="H3" s="73"/>
      <c r="I3" s="73"/>
      <c r="J3" s="73"/>
      <c r="K3" s="73"/>
      <c r="M3" s="75" t="s">
        <v>53</v>
      </c>
      <c r="N3" s="73"/>
      <c r="O3" s="73"/>
      <c r="P3" s="73"/>
      <c r="Q3" s="73"/>
      <c r="R3" s="73"/>
      <c r="S3" s="73"/>
      <c r="U3" s="76" t="s">
        <v>54</v>
      </c>
      <c r="V3" s="73"/>
      <c r="W3" s="73"/>
      <c r="X3" s="73"/>
      <c r="Y3" s="73"/>
      <c r="Z3" s="73"/>
      <c r="AA3" s="73"/>
      <c r="AC3" s="72" t="s">
        <v>55</v>
      </c>
      <c r="AD3" s="73"/>
      <c r="AE3" s="73"/>
      <c r="AF3" s="73"/>
      <c r="AG3" s="73"/>
      <c r="AH3" s="73"/>
      <c r="AI3" s="73"/>
    </row>
    <row r="5" spans="1:63" ht="34.049999999999997" customHeight="1" x14ac:dyDescent="0.3">
      <c r="A5" s="3" t="s">
        <v>56</v>
      </c>
      <c r="B5" s="3" t="s">
        <v>57</v>
      </c>
      <c r="C5" s="3" t="s">
        <v>58</v>
      </c>
      <c r="D5" s="18">
        <v>2026</v>
      </c>
      <c r="E5" s="18">
        <v>2027</v>
      </c>
      <c r="F5" s="18">
        <v>2028</v>
      </c>
      <c r="G5" s="18">
        <v>2029</v>
      </c>
      <c r="H5" s="18">
        <v>2030</v>
      </c>
      <c r="I5" s="18">
        <v>2031</v>
      </c>
      <c r="J5" s="18">
        <v>2032</v>
      </c>
      <c r="K5" s="18">
        <v>2033</v>
      </c>
      <c r="L5" s="18">
        <v>2034</v>
      </c>
      <c r="M5" s="18">
        <v>2035</v>
      </c>
      <c r="N5" s="18">
        <v>2036</v>
      </c>
      <c r="O5" s="18">
        <v>2037</v>
      </c>
      <c r="P5" s="18">
        <v>2038</v>
      </c>
      <c r="Q5" s="18">
        <v>2039</v>
      </c>
      <c r="R5" s="18">
        <v>2040</v>
      </c>
      <c r="S5" s="18">
        <v>2041</v>
      </c>
      <c r="T5" s="18">
        <v>2042</v>
      </c>
      <c r="U5" s="18">
        <v>2043</v>
      </c>
      <c r="V5" s="18">
        <v>2044</v>
      </c>
      <c r="W5" s="18">
        <v>2045</v>
      </c>
      <c r="X5" s="18">
        <v>2046</v>
      </c>
      <c r="Y5" s="18">
        <v>2047</v>
      </c>
      <c r="Z5" s="18">
        <v>2048</v>
      </c>
      <c r="AA5" s="18">
        <v>2049</v>
      </c>
      <c r="AB5" s="18">
        <v>2050</v>
      </c>
      <c r="AC5" s="18">
        <v>2051</v>
      </c>
      <c r="AD5" s="18">
        <v>2052</v>
      </c>
      <c r="AE5" s="18">
        <v>2053</v>
      </c>
      <c r="AF5" s="18">
        <v>2054</v>
      </c>
      <c r="AG5" s="18">
        <v>2055</v>
      </c>
      <c r="AH5" s="18">
        <v>2056</v>
      </c>
      <c r="AI5" s="18">
        <v>2057</v>
      </c>
      <c r="AJ5" s="18">
        <v>2058</v>
      </c>
      <c r="AK5" s="18">
        <v>2059</v>
      </c>
      <c r="AL5" s="18">
        <v>2060</v>
      </c>
      <c r="AM5" s="18">
        <v>2061</v>
      </c>
      <c r="AN5" s="18">
        <v>2062</v>
      </c>
      <c r="AO5" s="18">
        <v>2063</v>
      </c>
      <c r="AP5" s="18">
        <v>2064</v>
      </c>
      <c r="AQ5" s="18">
        <v>2065</v>
      </c>
      <c r="AR5" s="18">
        <v>2066</v>
      </c>
      <c r="AS5" s="18">
        <v>2067</v>
      </c>
      <c r="AT5" s="18">
        <v>2068</v>
      </c>
      <c r="AU5" s="18">
        <v>2069</v>
      </c>
      <c r="AV5" s="18">
        <v>2070</v>
      </c>
      <c r="AW5" s="18">
        <v>2071</v>
      </c>
      <c r="AX5" s="18">
        <v>2072</v>
      </c>
      <c r="AY5" s="18">
        <v>2073</v>
      </c>
      <c r="AZ5" s="18">
        <v>2074</v>
      </c>
      <c r="BA5" s="18">
        <v>2075</v>
      </c>
      <c r="BB5" s="18">
        <v>2076</v>
      </c>
      <c r="BC5" s="18">
        <v>2077</v>
      </c>
      <c r="BD5" s="18">
        <v>2078</v>
      </c>
      <c r="BE5" s="18">
        <v>2079</v>
      </c>
      <c r="BF5" s="18">
        <v>2080</v>
      </c>
      <c r="BG5" s="18">
        <v>2081</v>
      </c>
      <c r="BH5" s="18">
        <v>2082</v>
      </c>
      <c r="BI5" s="18">
        <v>2083</v>
      </c>
      <c r="BJ5" s="18">
        <v>2084</v>
      </c>
      <c r="BK5" s="18">
        <v>2085</v>
      </c>
    </row>
    <row r="6" spans="1:63" x14ac:dyDescent="0.3">
      <c r="A6" s="4" t="str">
        <f>'Growth profile'!A25</f>
        <v>project 4</v>
      </c>
      <c r="B6" s="13" t="s">
        <v>3</v>
      </c>
      <c r="C6" s="19">
        <f>'Raw profile'!I25</f>
        <v>2026</v>
      </c>
      <c r="D6" s="20">
        <f>IF('Raw profile'!C133&gt;0,1,IF('Raw profile'!C236&gt;0,2,0))</f>
        <v>1</v>
      </c>
      <c r="E6" s="20">
        <f>IF('Raw profile'!D133&gt;0,1,IF('Raw profile'!D236&gt;0,2,0))</f>
        <v>1</v>
      </c>
      <c r="F6" s="20">
        <f>IF('Raw profile'!E133&gt;0,1,IF('Raw profile'!E236&gt;0,2,0))</f>
        <v>2</v>
      </c>
      <c r="G6" s="20">
        <f>IF('Raw profile'!F133&gt;0,1,IF('Raw profile'!F236&gt;0,2,0))</f>
        <v>2</v>
      </c>
      <c r="H6" s="20">
        <f>IF('Raw profile'!G133&gt;0,1,IF('Raw profile'!G236&gt;0,2,0))</f>
        <v>2</v>
      </c>
      <c r="I6" s="20">
        <f>IF('Raw profile'!H133&gt;0,1,IF('Raw profile'!H236&gt;0,2,0))</f>
        <v>2</v>
      </c>
      <c r="J6" s="20">
        <f>IF('Raw profile'!I133&gt;0,1,IF('Raw profile'!I236&gt;0,2,0))</f>
        <v>2</v>
      </c>
      <c r="K6" s="20">
        <f>IF('Raw profile'!J133&gt;0,1,IF('Raw profile'!J236&gt;0,2,0))</f>
        <v>2</v>
      </c>
      <c r="L6" s="20">
        <f>IF('Raw profile'!K133&gt;0,1,IF('Raw profile'!K236&gt;0,2,0))</f>
        <v>2</v>
      </c>
      <c r="M6" s="20">
        <f>IF('Raw profile'!L133&gt;0,1,IF('Raw profile'!L236&gt;0,2,0))</f>
        <v>2</v>
      </c>
      <c r="N6" s="20">
        <f>IF('Raw profile'!M133&gt;0,1,IF('Raw profile'!M236&gt;0,2,0))</f>
        <v>2</v>
      </c>
      <c r="O6" s="20">
        <f>IF('Raw profile'!N133&gt;0,1,IF('Raw profile'!N236&gt;0,2,0))</f>
        <v>2</v>
      </c>
      <c r="P6" s="20">
        <f>IF('Raw profile'!O133&gt;0,1,IF('Raw profile'!O236&gt;0,2,0))</f>
        <v>2</v>
      </c>
      <c r="Q6" s="20">
        <f>IF('Raw profile'!P133&gt;0,1,IF('Raw profile'!P236&gt;0,2,0))</f>
        <v>2</v>
      </c>
      <c r="R6" s="20">
        <f>IF('Raw profile'!Q133&gt;0,1,IF('Raw profile'!Q236&gt;0,2,0))</f>
        <v>2</v>
      </c>
      <c r="S6" s="20">
        <f>IF('Raw profile'!R133&gt;0,1,IF('Raw profile'!R236&gt;0,2,0))</f>
        <v>2</v>
      </c>
      <c r="T6" s="20">
        <f>IF('Raw profile'!S133&gt;0,1,IF('Raw profile'!S236&gt;0,2,0))</f>
        <v>2</v>
      </c>
      <c r="U6" s="20">
        <f>IF('Raw profile'!T133&gt;0,1,IF('Raw profile'!T236&gt;0,2,0))</f>
        <v>2</v>
      </c>
      <c r="V6" s="20">
        <f>IF('Raw profile'!U133&gt;0,1,IF('Raw profile'!U236&gt;0,2,0))</f>
        <v>2</v>
      </c>
      <c r="W6" s="20">
        <f>IF('Raw profile'!V133&gt;0,1,IF('Raw profile'!V236&gt;0,2,0))</f>
        <v>2</v>
      </c>
      <c r="X6" s="20">
        <f>IF('Raw profile'!W133&gt;0,1,IF('Raw profile'!W236&gt;0,2,0))</f>
        <v>2</v>
      </c>
      <c r="Y6" s="20">
        <f>IF('Raw profile'!X133&gt;0,1,IF('Raw profile'!X236&gt;0,2,0))</f>
        <v>2</v>
      </c>
      <c r="Z6" s="20">
        <f>IF('Raw profile'!Y133&gt;0,1,IF('Raw profile'!Y236&gt;0,2,0))</f>
        <v>2</v>
      </c>
      <c r="AA6" s="20">
        <f>IF('Raw profile'!Z133&gt;0,1,IF('Raw profile'!Z236&gt;0,2,0))</f>
        <v>2</v>
      </c>
      <c r="AB6" s="20">
        <f>IF('Raw profile'!AA133&gt;0,1,IF('Raw profile'!AA236&gt;0,2,0))</f>
        <v>2</v>
      </c>
      <c r="AC6" s="20">
        <f>IF('Raw profile'!AB133&gt;0,1,IF('Raw profile'!AB236&gt;0,2,0))</f>
        <v>2</v>
      </c>
      <c r="AD6" s="20">
        <f>IF('Raw profile'!AC133&gt;0,1,IF('Raw profile'!AC236&gt;0,2,0))</f>
        <v>2</v>
      </c>
      <c r="AE6" s="20">
        <f>IF('Raw profile'!AD133&gt;0,1,IF('Raw profile'!AD236&gt;0,2,0))</f>
        <v>2</v>
      </c>
      <c r="AF6" s="20">
        <f>IF('Raw profile'!AE133&gt;0,1,IF('Raw profile'!AE236&gt;0,2,0))</f>
        <v>2</v>
      </c>
      <c r="AG6" s="20">
        <f>IF('Raw profile'!AF133&gt;0,1,IF('Raw profile'!AF236&gt;0,2,0))</f>
        <v>2</v>
      </c>
      <c r="AH6" s="20">
        <f>IF('Raw profile'!AG133&gt;0,1,IF('Raw profile'!AG236&gt;0,2,0))</f>
        <v>2</v>
      </c>
      <c r="AI6" s="20">
        <f>IF('Raw profile'!AH133&gt;0,1,IF('Raw profile'!AH236&gt;0,2,0))</f>
        <v>2</v>
      </c>
      <c r="AJ6" s="20">
        <f>IF('Raw profile'!AI133&gt;0,1,IF('Raw profile'!AI236&gt;0,2,0))</f>
        <v>2</v>
      </c>
      <c r="AK6" s="20">
        <f>IF('Raw profile'!AJ133&gt;0,1,IF('Raw profile'!AJ236&gt;0,2,0))</f>
        <v>2</v>
      </c>
      <c r="AL6" s="20">
        <f>IF('Raw profile'!AK133&gt;0,1,IF('Raw profile'!AK236&gt;0,2,0))</f>
        <v>2</v>
      </c>
      <c r="AM6" s="20">
        <f>IF('Raw profile'!AL133&gt;0,1,IF('Raw profile'!AL236&gt;0,2,0))</f>
        <v>2</v>
      </c>
      <c r="AN6" s="20">
        <f>IF('Raw profile'!AM133&gt;0,1,IF('Raw profile'!AM236&gt;0,2,0))</f>
        <v>2</v>
      </c>
      <c r="AO6" s="20">
        <f>IF('Raw profile'!AN133&gt;0,1,IF('Raw profile'!AN236&gt;0,2,0))</f>
        <v>2</v>
      </c>
      <c r="AP6" s="20">
        <f>IF('Raw profile'!AO133&gt;0,1,IF('Raw profile'!AO236&gt;0,2,0))</f>
        <v>2</v>
      </c>
      <c r="AQ6" s="20">
        <f>IF('Raw profile'!AP133&gt;0,1,IF('Raw profile'!AP236&gt;0,2,0))</f>
        <v>2</v>
      </c>
      <c r="AR6" s="20">
        <f>IF('Raw profile'!AQ133&gt;0,1,IF('Raw profile'!AQ236&gt;0,2,0))</f>
        <v>2</v>
      </c>
      <c r="AS6" s="20">
        <f>IF('Raw profile'!AR133&gt;0,1,IF('Raw profile'!AR236&gt;0,2,0))</f>
        <v>2</v>
      </c>
      <c r="AT6" s="20">
        <f>IF('Raw profile'!AS133&gt;0,1,IF('Raw profile'!AS236&gt;0,2,0))</f>
        <v>0</v>
      </c>
      <c r="AU6" s="20">
        <f>IF('Raw profile'!AT133&gt;0,1,IF('Raw profile'!AT236&gt;0,2,0))</f>
        <v>0</v>
      </c>
      <c r="AV6" s="20">
        <f>IF('Raw profile'!AU133&gt;0,1,IF('Raw profile'!AU236&gt;0,2,0))</f>
        <v>0</v>
      </c>
      <c r="AW6" s="20">
        <f>IF('Raw profile'!AV133&gt;0,1,IF('Raw profile'!AV236&gt;0,2,0))</f>
        <v>0</v>
      </c>
      <c r="AX6" s="20">
        <f>IF('Raw profile'!AW133&gt;0,1,IF('Raw profile'!AW236&gt;0,2,0))</f>
        <v>0</v>
      </c>
      <c r="AY6" s="20">
        <f>IF('Raw profile'!AX133&gt;0,1,IF('Raw profile'!AX236&gt;0,2,0))</f>
        <v>0</v>
      </c>
      <c r="AZ6" s="20">
        <f>IF('Raw profile'!AY133&gt;0,1,IF('Raw profile'!AY236&gt;0,2,0))</f>
        <v>0</v>
      </c>
      <c r="BA6" s="20">
        <f>IF('Raw profile'!AZ133&gt;0,1,IF('Raw profile'!AZ236&gt;0,2,0))</f>
        <v>0</v>
      </c>
      <c r="BB6" s="20">
        <f>IF('Raw profile'!BA133&gt;0,1,IF('Raw profile'!BA236&gt;0,2,0))</f>
        <v>0</v>
      </c>
      <c r="BC6" s="20">
        <f>IF('Raw profile'!BB133&gt;0,1,IF('Raw profile'!BB236&gt;0,2,0))</f>
        <v>0</v>
      </c>
      <c r="BD6" s="20">
        <f>IF('Raw profile'!BC133&gt;0,1,IF('Raw profile'!BC236&gt;0,2,0))</f>
        <v>0</v>
      </c>
      <c r="BE6" s="20">
        <f>IF('Raw profile'!BD133&gt;0,1,IF('Raw profile'!BD236&gt;0,2,0))</f>
        <v>0</v>
      </c>
      <c r="BF6" s="20">
        <f>IF('Raw profile'!BE133&gt;0,1,IF('Raw profile'!BE236&gt;0,2,0))</f>
        <v>0</v>
      </c>
      <c r="BG6" s="20">
        <f>IF('Raw profile'!BF133&gt;0,1,IF('Raw profile'!BF236&gt;0,2,0))</f>
        <v>0</v>
      </c>
      <c r="BH6" s="20">
        <f>IF('Raw profile'!BG133&gt;0,1,IF('Raw profile'!BG236&gt;0,2,0))</f>
        <v>0</v>
      </c>
      <c r="BI6" s="20">
        <f>IF('Raw profile'!BH133&gt;0,1,IF('Raw profile'!BH236&gt;0,2,0))</f>
        <v>0</v>
      </c>
      <c r="BJ6" s="20">
        <f>IF('Raw profile'!BI133&gt;0,1,IF('Raw profile'!BI236&gt;0,2,0))</f>
        <v>0</v>
      </c>
      <c r="BK6" s="21">
        <f>IF('Raw profile'!BJ133&gt;0,1,IF('Raw profile'!BJ236&gt;0,2,0))</f>
        <v>0</v>
      </c>
    </row>
    <row r="7" spans="1:63" x14ac:dyDescent="0.3">
      <c r="B7" s="13" t="s">
        <v>4</v>
      </c>
      <c r="C7" s="19">
        <f>'Growth profile'!I25</f>
        <v>2026</v>
      </c>
      <c r="D7" s="20">
        <f>IF('Growth profile'!C133&gt;0,1,IF('Growth profile'!C236&gt;0,3,0))</f>
        <v>1</v>
      </c>
      <c r="E7" s="20">
        <f>IF('Growth profile'!D133&gt;0,1,IF('Growth profile'!D236&gt;0,3,0))</f>
        <v>1</v>
      </c>
      <c r="F7" s="20">
        <f>IF('Growth profile'!E133&gt;0,1,IF('Growth profile'!E236&gt;0,3,0))</f>
        <v>3</v>
      </c>
      <c r="G7" s="20">
        <f>IF('Growth profile'!F133&gt;0,1,IF('Growth profile'!F236&gt;0,3,0))</f>
        <v>3</v>
      </c>
      <c r="H7" s="20">
        <f>IF('Growth profile'!G133&gt;0,1,IF('Growth profile'!G236&gt;0,3,0))</f>
        <v>3</v>
      </c>
      <c r="I7" s="20">
        <f>IF('Growth profile'!H133&gt;0,1,IF('Growth profile'!H236&gt;0,3,0))</f>
        <v>3</v>
      </c>
      <c r="J7" s="20">
        <f>IF('Growth profile'!I133&gt;0,1,IF('Growth profile'!I236&gt;0,3,0))</f>
        <v>3</v>
      </c>
      <c r="K7" s="20">
        <f>IF('Growth profile'!J133&gt;0,1,IF('Growth profile'!J236&gt;0,3,0))</f>
        <v>3</v>
      </c>
      <c r="L7" s="20">
        <f>IF('Growth profile'!K133&gt;0,1,IF('Growth profile'!K236&gt;0,3,0))</f>
        <v>3</v>
      </c>
      <c r="M7" s="20">
        <f>IF('Growth profile'!L133&gt;0,1,IF('Growth profile'!L236&gt;0,3,0))</f>
        <v>3</v>
      </c>
      <c r="N7" s="20">
        <f>IF('Growth profile'!M133&gt;0,1,IF('Growth profile'!M236&gt;0,3,0))</f>
        <v>3</v>
      </c>
      <c r="O7" s="20">
        <f>IF('Growth profile'!N133&gt;0,1,IF('Growth profile'!N236&gt;0,3,0))</f>
        <v>3</v>
      </c>
      <c r="P7" s="20">
        <f>IF('Growth profile'!O133&gt;0,1,IF('Growth profile'!O236&gt;0,3,0))</f>
        <v>3</v>
      </c>
      <c r="Q7" s="20">
        <f>IF('Growth profile'!P133&gt;0,1,IF('Growth profile'!P236&gt;0,3,0))</f>
        <v>3</v>
      </c>
      <c r="R7" s="20">
        <f>IF('Growth profile'!Q133&gt;0,1,IF('Growth profile'!Q236&gt;0,3,0))</f>
        <v>3</v>
      </c>
      <c r="S7" s="20">
        <f>IF('Growth profile'!R133&gt;0,1,IF('Growth profile'!R236&gt;0,3,0))</f>
        <v>3</v>
      </c>
      <c r="T7" s="20">
        <f>IF('Growth profile'!S133&gt;0,1,IF('Growth profile'!S236&gt;0,3,0))</f>
        <v>3</v>
      </c>
      <c r="U7" s="20">
        <f>IF('Growth profile'!T133&gt;0,1,IF('Growth profile'!T236&gt;0,3,0))</f>
        <v>3</v>
      </c>
      <c r="V7" s="20">
        <f>IF('Growth profile'!U133&gt;0,1,IF('Growth profile'!U236&gt;0,3,0))</f>
        <v>3</v>
      </c>
      <c r="W7" s="20">
        <f>IF('Growth profile'!V133&gt;0,1,IF('Growth profile'!V236&gt;0,3,0))</f>
        <v>3</v>
      </c>
      <c r="X7" s="20">
        <f>IF('Growth profile'!W133&gt;0,1,IF('Growth profile'!W236&gt;0,3,0))</f>
        <v>3</v>
      </c>
      <c r="Y7" s="20">
        <f>IF('Growth profile'!X133&gt;0,1,IF('Growth profile'!X236&gt;0,3,0))</f>
        <v>3</v>
      </c>
      <c r="Z7" s="20">
        <f>IF('Growth profile'!Y133&gt;0,1,IF('Growth profile'!Y236&gt;0,3,0))</f>
        <v>3</v>
      </c>
      <c r="AA7" s="20">
        <f>IF('Growth profile'!Z133&gt;0,1,IF('Growth profile'!Z236&gt;0,3,0))</f>
        <v>3</v>
      </c>
      <c r="AB7" s="20">
        <f>IF('Growth profile'!AA133&gt;0,1,IF('Growth profile'!AA236&gt;0,3,0))</f>
        <v>3</v>
      </c>
      <c r="AC7" s="20">
        <f>IF('Growth profile'!AB133&gt;0,1,IF('Growth profile'!AB236&gt;0,3,0))</f>
        <v>3</v>
      </c>
      <c r="AD7" s="20">
        <f>IF('Growth profile'!AC133&gt;0,1,IF('Growth profile'!AC236&gt;0,3,0))</f>
        <v>3</v>
      </c>
      <c r="AE7" s="20">
        <f>IF('Growth profile'!AD133&gt;0,1,IF('Growth profile'!AD236&gt;0,3,0))</f>
        <v>3</v>
      </c>
      <c r="AF7" s="20">
        <f>IF('Growth profile'!AE133&gt;0,1,IF('Growth profile'!AE236&gt;0,3,0))</f>
        <v>3</v>
      </c>
      <c r="AG7" s="20">
        <f>IF('Growth profile'!AF133&gt;0,1,IF('Growth profile'!AF236&gt;0,3,0))</f>
        <v>3</v>
      </c>
      <c r="AH7" s="20">
        <f>IF('Growth profile'!AG133&gt;0,1,IF('Growth profile'!AG236&gt;0,3,0))</f>
        <v>3</v>
      </c>
      <c r="AI7" s="20">
        <f>IF('Growth profile'!AH133&gt;0,1,IF('Growth profile'!AH236&gt;0,3,0))</f>
        <v>3</v>
      </c>
      <c r="AJ7" s="20">
        <f>IF('Growth profile'!AI133&gt;0,1,IF('Growth profile'!AI236&gt;0,3,0))</f>
        <v>3</v>
      </c>
      <c r="AK7" s="20">
        <f>IF('Growth profile'!AJ133&gt;0,1,IF('Growth profile'!AJ236&gt;0,3,0))</f>
        <v>3</v>
      </c>
      <c r="AL7" s="20">
        <f>IF('Growth profile'!AK133&gt;0,1,IF('Growth profile'!AK236&gt;0,3,0))</f>
        <v>3</v>
      </c>
      <c r="AM7" s="20">
        <f>IF('Growth profile'!AL133&gt;0,1,IF('Growth profile'!AL236&gt;0,3,0))</f>
        <v>3</v>
      </c>
      <c r="AN7" s="20">
        <f>IF('Growth profile'!AM133&gt;0,1,IF('Growth profile'!AM236&gt;0,3,0))</f>
        <v>3</v>
      </c>
      <c r="AO7" s="20">
        <f>IF('Growth profile'!AN133&gt;0,1,IF('Growth profile'!AN236&gt;0,3,0))</f>
        <v>3</v>
      </c>
      <c r="AP7" s="20">
        <f>IF('Growth profile'!AO133&gt;0,1,IF('Growth profile'!AO236&gt;0,3,0))</f>
        <v>3</v>
      </c>
      <c r="AQ7" s="20">
        <f>IF('Growth profile'!AP133&gt;0,1,IF('Growth profile'!AP236&gt;0,3,0))</f>
        <v>3</v>
      </c>
      <c r="AR7" s="20">
        <f>IF('Growth profile'!AQ133&gt;0,1,IF('Growth profile'!AQ236&gt;0,3,0))</f>
        <v>3</v>
      </c>
      <c r="AS7" s="20">
        <f>IF('Growth profile'!AR133&gt;0,1,IF('Growth profile'!AR236&gt;0,3,0))</f>
        <v>3</v>
      </c>
      <c r="AT7" s="20">
        <f>IF('Growth profile'!AS133&gt;0,1,IF('Growth profile'!AS236&gt;0,3,0))</f>
        <v>0</v>
      </c>
      <c r="AU7" s="20">
        <f>IF('Growth profile'!AT133&gt;0,1,IF('Growth profile'!AT236&gt;0,3,0))</f>
        <v>0</v>
      </c>
      <c r="AV7" s="20">
        <f>IF('Growth profile'!AU133&gt;0,1,IF('Growth profile'!AU236&gt;0,3,0))</f>
        <v>0</v>
      </c>
      <c r="AW7" s="20">
        <f>IF('Growth profile'!AV133&gt;0,1,IF('Growth profile'!AV236&gt;0,3,0))</f>
        <v>0</v>
      </c>
      <c r="AX7" s="20">
        <f>IF('Growth profile'!AW133&gt;0,1,IF('Growth profile'!AW236&gt;0,3,0))</f>
        <v>0</v>
      </c>
      <c r="AY7" s="20">
        <f>IF('Growth profile'!AX133&gt;0,1,IF('Growth profile'!AX236&gt;0,3,0))</f>
        <v>0</v>
      </c>
      <c r="AZ7" s="20">
        <f>IF('Growth profile'!AY133&gt;0,1,IF('Growth profile'!AY236&gt;0,3,0))</f>
        <v>0</v>
      </c>
      <c r="BA7" s="20">
        <f>IF('Growth profile'!AZ133&gt;0,1,IF('Growth profile'!AZ236&gt;0,3,0))</f>
        <v>0</v>
      </c>
      <c r="BB7" s="20">
        <f>IF('Growth profile'!BA133&gt;0,1,IF('Growth profile'!BA236&gt;0,3,0))</f>
        <v>0</v>
      </c>
      <c r="BC7" s="20">
        <f>IF('Growth profile'!BB133&gt;0,1,IF('Growth profile'!BB236&gt;0,3,0))</f>
        <v>0</v>
      </c>
      <c r="BD7" s="20">
        <f>IF('Growth profile'!BC133&gt;0,1,IF('Growth profile'!BC236&gt;0,3,0))</f>
        <v>0</v>
      </c>
      <c r="BE7" s="20">
        <f>IF('Growth profile'!BD133&gt;0,1,IF('Growth profile'!BD236&gt;0,3,0))</f>
        <v>0</v>
      </c>
      <c r="BF7" s="20">
        <f>IF('Growth profile'!BE133&gt;0,1,IF('Growth profile'!BE236&gt;0,3,0))</f>
        <v>0</v>
      </c>
      <c r="BG7" s="20">
        <f>IF('Growth profile'!BF133&gt;0,1,IF('Growth profile'!BF236&gt;0,3,0))</f>
        <v>0</v>
      </c>
      <c r="BH7" s="20">
        <f>IF('Growth profile'!BG133&gt;0,1,IF('Growth profile'!BG236&gt;0,3,0))</f>
        <v>0</v>
      </c>
      <c r="BI7" s="20">
        <f>IF('Growth profile'!BH133&gt;0,1,IF('Growth profile'!BH236&gt;0,3,0))</f>
        <v>0</v>
      </c>
      <c r="BJ7" s="20">
        <f>IF('Growth profile'!BI133&gt;0,1,IF('Growth profile'!BI236&gt;0,3,0))</f>
        <v>0</v>
      </c>
      <c r="BK7" s="21">
        <f>IF('Growth profile'!BJ133&gt;0,1,IF('Growth profile'!BJ236&gt;0,3,0))</f>
        <v>0</v>
      </c>
    </row>
    <row r="8" spans="1:63" x14ac:dyDescent="0.3">
      <c r="B8" s="13" t="s">
        <v>59</v>
      </c>
      <c r="C8" s="19">
        <f>'Growth (no penalty)'!I25</f>
        <v>2026</v>
      </c>
      <c r="D8" s="22">
        <f>IF('Growth (no penalty)'!C133&gt;0,1,IF('Growth (no penalty)'!C236&gt;0,4,0))</f>
        <v>1</v>
      </c>
      <c r="E8" s="22">
        <f>IF('Growth (no penalty)'!D133&gt;0,1,IF('Growth (no penalty)'!D236&gt;0,4,0))</f>
        <v>1</v>
      </c>
      <c r="F8" s="22">
        <f>IF('Growth (no penalty)'!E133&gt;0,1,IF('Growth (no penalty)'!E236&gt;0,4,0))</f>
        <v>4</v>
      </c>
      <c r="G8" s="22">
        <f>IF('Growth (no penalty)'!F133&gt;0,1,IF('Growth (no penalty)'!F236&gt;0,4,0))</f>
        <v>4</v>
      </c>
      <c r="H8" s="22">
        <f>IF('Growth (no penalty)'!G133&gt;0,1,IF('Growth (no penalty)'!G236&gt;0,4,0))</f>
        <v>4</v>
      </c>
      <c r="I8" s="22">
        <f>IF('Growth (no penalty)'!H133&gt;0,1,IF('Growth (no penalty)'!H236&gt;0,4,0))</f>
        <v>4</v>
      </c>
      <c r="J8" s="22">
        <f>IF('Growth (no penalty)'!I133&gt;0,1,IF('Growth (no penalty)'!I236&gt;0,4,0))</f>
        <v>4</v>
      </c>
      <c r="K8" s="22">
        <f>IF('Growth (no penalty)'!J133&gt;0,1,IF('Growth (no penalty)'!J236&gt;0,4,0))</f>
        <v>4</v>
      </c>
      <c r="L8" s="22">
        <f>IF('Growth (no penalty)'!K133&gt;0,1,IF('Growth (no penalty)'!K236&gt;0,4,0))</f>
        <v>4</v>
      </c>
      <c r="M8" s="22">
        <f>IF('Growth (no penalty)'!L133&gt;0,1,IF('Growth (no penalty)'!L236&gt;0,4,0))</f>
        <v>4</v>
      </c>
      <c r="N8" s="22">
        <f>IF('Growth (no penalty)'!M133&gt;0,1,IF('Growth (no penalty)'!M236&gt;0,4,0))</f>
        <v>4</v>
      </c>
      <c r="O8" s="22">
        <f>IF('Growth (no penalty)'!N133&gt;0,1,IF('Growth (no penalty)'!N236&gt;0,4,0))</f>
        <v>4</v>
      </c>
      <c r="P8" s="22">
        <f>IF('Growth (no penalty)'!O133&gt;0,1,IF('Growth (no penalty)'!O236&gt;0,4,0))</f>
        <v>4</v>
      </c>
      <c r="Q8" s="22">
        <f>IF('Growth (no penalty)'!P133&gt;0,1,IF('Growth (no penalty)'!P236&gt;0,4,0))</f>
        <v>4</v>
      </c>
      <c r="R8" s="22">
        <f>IF('Growth (no penalty)'!Q133&gt;0,1,IF('Growth (no penalty)'!Q236&gt;0,4,0))</f>
        <v>4</v>
      </c>
      <c r="S8" s="22">
        <f>IF('Growth (no penalty)'!R133&gt;0,1,IF('Growth (no penalty)'!R236&gt;0,4,0))</f>
        <v>4</v>
      </c>
      <c r="T8" s="22">
        <f>IF('Growth (no penalty)'!S133&gt;0,1,IF('Growth (no penalty)'!S236&gt;0,4,0))</f>
        <v>4</v>
      </c>
      <c r="U8" s="22">
        <f>IF('Growth (no penalty)'!T133&gt;0,1,IF('Growth (no penalty)'!T236&gt;0,4,0))</f>
        <v>4</v>
      </c>
      <c r="V8" s="22">
        <f>IF('Growth (no penalty)'!U133&gt;0,1,IF('Growth (no penalty)'!U236&gt;0,4,0))</f>
        <v>4</v>
      </c>
      <c r="W8" s="22">
        <f>IF('Growth (no penalty)'!V133&gt;0,1,IF('Growth (no penalty)'!V236&gt;0,4,0))</f>
        <v>4</v>
      </c>
      <c r="X8" s="22">
        <f>IF('Growth (no penalty)'!W133&gt;0,1,IF('Growth (no penalty)'!W236&gt;0,4,0))</f>
        <v>4</v>
      </c>
      <c r="Y8" s="22">
        <f>IF('Growth (no penalty)'!X133&gt;0,1,IF('Growth (no penalty)'!X236&gt;0,4,0))</f>
        <v>4</v>
      </c>
      <c r="Z8" s="22">
        <f>IF('Growth (no penalty)'!Y133&gt;0,1,IF('Growth (no penalty)'!Y236&gt;0,4,0))</f>
        <v>4</v>
      </c>
      <c r="AA8" s="22">
        <f>IF('Growth (no penalty)'!Z133&gt;0,1,IF('Growth (no penalty)'!Z236&gt;0,4,0))</f>
        <v>4</v>
      </c>
      <c r="AB8" s="22">
        <f>IF('Growth (no penalty)'!AA133&gt;0,1,IF('Growth (no penalty)'!AA236&gt;0,4,0))</f>
        <v>4</v>
      </c>
      <c r="AC8" s="22">
        <f>IF('Growth (no penalty)'!AB133&gt;0,1,IF('Growth (no penalty)'!AB236&gt;0,4,0))</f>
        <v>4</v>
      </c>
      <c r="AD8" s="22">
        <f>IF('Growth (no penalty)'!AC133&gt;0,1,IF('Growth (no penalty)'!AC236&gt;0,4,0))</f>
        <v>4</v>
      </c>
      <c r="AE8" s="22">
        <f>IF('Growth (no penalty)'!AD133&gt;0,1,IF('Growth (no penalty)'!AD236&gt;0,4,0))</f>
        <v>4</v>
      </c>
      <c r="AF8" s="22">
        <f>IF('Growth (no penalty)'!AE133&gt;0,1,IF('Growth (no penalty)'!AE236&gt;0,4,0))</f>
        <v>4</v>
      </c>
      <c r="AG8" s="22">
        <f>IF('Growth (no penalty)'!AF133&gt;0,1,IF('Growth (no penalty)'!AF236&gt;0,4,0))</f>
        <v>4</v>
      </c>
      <c r="AH8" s="22">
        <f>IF('Growth (no penalty)'!AG133&gt;0,1,IF('Growth (no penalty)'!AG236&gt;0,4,0))</f>
        <v>4</v>
      </c>
      <c r="AI8" s="22">
        <f>IF('Growth (no penalty)'!AH133&gt;0,1,IF('Growth (no penalty)'!AH236&gt;0,4,0))</f>
        <v>4</v>
      </c>
      <c r="AJ8" s="22">
        <f>IF('Growth (no penalty)'!AI133&gt;0,1,IF('Growth (no penalty)'!AI236&gt;0,4,0))</f>
        <v>4</v>
      </c>
      <c r="AK8" s="22">
        <f>IF('Growth (no penalty)'!AJ133&gt;0,1,IF('Growth (no penalty)'!AJ236&gt;0,4,0))</f>
        <v>4</v>
      </c>
      <c r="AL8" s="22">
        <f>IF('Growth (no penalty)'!AK133&gt;0,1,IF('Growth (no penalty)'!AK236&gt;0,4,0))</f>
        <v>4</v>
      </c>
      <c r="AM8" s="22">
        <f>IF('Growth (no penalty)'!AL133&gt;0,1,IF('Growth (no penalty)'!AL236&gt;0,4,0))</f>
        <v>4</v>
      </c>
      <c r="AN8" s="22">
        <f>IF('Growth (no penalty)'!AM133&gt;0,1,IF('Growth (no penalty)'!AM236&gt;0,4,0))</f>
        <v>4</v>
      </c>
      <c r="AO8" s="22">
        <f>IF('Growth (no penalty)'!AN133&gt;0,1,IF('Growth (no penalty)'!AN236&gt;0,4,0))</f>
        <v>4</v>
      </c>
      <c r="AP8" s="22">
        <f>IF('Growth (no penalty)'!AO133&gt;0,1,IF('Growth (no penalty)'!AO236&gt;0,4,0))</f>
        <v>4</v>
      </c>
      <c r="AQ8" s="22">
        <f>IF('Growth (no penalty)'!AP133&gt;0,1,IF('Growth (no penalty)'!AP236&gt;0,4,0))</f>
        <v>4</v>
      </c>
      <c r="AR8" s="22">
        <f>IF('Growth (no penalty)'!AQ133&gt;0,1,IF('Growth (no penalty)'!AQ236&gt;0,4,0))</f>
        <v>4</v>
      </c>
      <c r="AS8" s="22">
        <f>IF('Growth (no penalty)'!AR133&gt;0,1,IF('Growth (no penalty)'!AR236&gt;0,4,0))</f>
        <v>4</v>
      </c>
      <c r="AT8" s="22">
        <f>IF('Growth (no penalty)'!AS133&gt;0,1,IF('Growth (no penalty)'!AS236&gt;0,4,0))</f>
        <v>0</v>
      </c>
      <c r="AU8" s="22">
        <f>IF('Growth (no penalty)'!AT133&gt;0,1,IF('Growth (no penalty)'!AT236&gt;0,4,0))</f>
        <v>0</v>
      </c>
      <c r="AV8" s="22">
        <f>IF('Growth (no penalty)'!AU133&gt;0,1,IF('Growth (no penalty)'!AU236&gt;0,4,0))</f>
        <v>0</v>
      </c>
      <c r="AW8" s="22">
        <f>IF('Growth (no penalty)'!AV133&gt;0,1,IF('Growth (no penalty)'!AV236&gt;0,4,0))</f>
        <v>0</v>
      </c>
      <c r="AX8" s="22">
        <f>IF('Growth (no penalty)'!AW133&gt;0,1,IF('Growth (no penalty)'!AW236&gt;0,4,0))</f>
        <v>0</v>
      </c>
      <c r="AY8" s="22">
        <f>IF('Growth (no penalty)'!AX133&gt;0,1,IF('Growth (no penalty)'!AX236&gt;0,4,0))</f>
        <v>0</v>
      </c>
      <c r="AZ8" s="22">
        <f>IF('Growth (no penalty)'!AY133&gt;0,1,IF('Growth (no penalty)'!AY236&gt;0,4,0))</f>
        <v>0</v>
      </c>
      <c r="BA8" s="22">
        <f>IF('Growth (no penalty)'!AZ133&gt;0,1,IF('Growth (no penalty)'!AZ236&gt;0,4,0))</f>
        <v>0</v>
      </c>
      <c r="BB8" s="22">
        <f>IF('Growth (no penalty)'!BA133&gt;0,1,IF('Growth (no penalty)'!BA236&gt;0,4,0))</f>
        <v>0</v>
      </c>
      <c r="BC8" s="22">
        <f>IF('Growth (no penalty)'!BB133&gt;0,1,IF('Growth (no penalty)'!BB236&gt;0,4,0))</f>
        <v>0</v>
      </c>
      <c r="BD8" s="22">
        <f>IF('Growth (no penalty)'!BC133&gt;0,1,IF('Growth (no penalty)'!BC236&gt;0,4,0))</f>
        <v>0</v>
      </c>
      <c r="BE8" s="22">
        <f>IF('Growth (no penalty)'!BD133&gt;0,1,IF('Growth (no penalty)'!BD236&gt;0,4,0))</f>
        <v>0</v>
      </c>
      <c r="BF8" s="22">
        <f>IF('Growth (no penalty)'!BE133&gt;0,1,IF('Growth (no penalty)'!BE236&gt;0,4,0))</f>
        <v>0</v>
      </c>
      <c r="BG8" s="22">
        <f>IF('Growth (no penalty)'!BF133&gt;0,1,IF('Growth (no penalty)'!BF236&gt;0,4,0))</f>
        <v>0</v>
      </c>
      <c r="BH8" s="22">
        <f>IF('Growth (no penalty)'!BG133&gt;0,1,IF('Growth (no penalty)'!BG236&gt;0,4,0))</f>
        <v>0</v>
      </c>
      <c r="BI8" s="22">
        <f>IF('Growth (no penalty)'!BH133&gt;0,1,IF('Growth (no penalty)'!BH236&gt;0,4,0))</f>
        <v>0</v>
      </c>
      <c r="BJ8" s="22">
        <f>IF('Growth (no penalty)'!BI133&gt;0,1,IF('Growth (no penalty)'!BI236&gt;0,4,0))</f>
        <v>0</v>
      </c>
      <c r="BK8" s="23">
        <f>IF('Growth (no penalty)'!BJ133&gt;0,1,IF('Growth (no penalty)'!BJ236&gt;0,4,0))</f>
        <v>0</v>
      </c>
    </row>
    <row r="9" spans="1:63" x14ac:dyDescent="0.3">
      <c r="A9" s="4" t="str">
        <f>'Growth profile'!A33</f>
        <v>project 22</v>
      </c>
      <c r="B9" s="13" t="s">
        <v>3</v>
      </c>
      <c r="C9" s="19">
        <f>'Raw profile'!I33</f>
        <v>2026</v>
      </c>
      <c r="D9" s="20">
        <f>IF('Raw profile'!C141&gt;0,1,IF('Raw profile'!C244&gt;0,2,0))</f>
        <v>1</v>
      </c>
      <c r="E9" s="20">
        <f>IF('Raw profile'!D141&gt;0,1,IF('Raw profile'!D244&gt;0,2,0))</f>
        <v>1</v>
      </c>
      <c r="F9" s="20">
        <f>IF('Raw profile'!E141&gt;0,1,IF('Raw profile'!E244&gt;0,2,0))</f>
        <v>2</v>
      </c>
      <c r="G9" s="20">
        <f>IF('Raw profile'!F141&gt;0,1,IF('Raw profile'!F244&gt;0,2,0))</f>
        <v>2</v>
      </c>
      <c r="H9" s="20">
        <f>IF('Raw profile'!G141&gt;0,1,IF('Raw profile'!G244&gt;0,2,0))</f>
        <v>2</v>
      </c>
      <c r="I9" s="20">
        <f>IF('Raw profile'!H141&gt;0,1,IF('Raw profile'!H244&gt;0,2,0))</f>
        <v>2</v>
      </c>
      <c r="J9" s="20">
        <f>IF('Raw profile'!I141&gt;0,1,IF('Raw profile'!I244&gt;0,2,0))</f>
        <v>2</v>
      </c>
      <c r="K9" s="20">
        <f>IF('Raw profile'!J141&gt;0,1,IF('Raw profile'!J244&gt;0,2,0))</f>
        <v>2</v>
      </c>
      <c r="L9" s="20">
        <f>IF('Raw profile'!K141&gt;0,1,IF('Raw profile'!K244&gt;0,2,0))</f>
        <v>2</v>
      </c>
      <c r="M9" s="20">
        <f>IF('Raw profile'!L141&gt;0,1,IF('Raw profile'!L244&gt;0,2,0))</f>
        <v>2</v>
      </c>
      <c r="N9" s="20">
        <f>IF('Raw profile'!M141&gt;0,1,IF('Raw profile'!M244&gt;0,2,0))</f>
        <v>2</v>
      </c>
      <c r="O9" s="20">
        <f>IF('Raw profile'!N141&gt;0,1,IF('Raw profile'!N244&gt;0,2,0))</f>
        <v>2</v>
      </c>
      <c r="P9" s="20">
        <f>IF('Raw profile'!O141&gt;0,1,IF('Raw profile'!O244&gt;0,2,0))</f>
        <v>2</v>
      </c>
      <c r="Q9" s="20">
        <f>IF('Raw profile'!P141&gt;0,1,IF('Raw profile'!P244&gt;0,2,0))</f>
        <v>2</v>
      </c>
      <c r="R9" s="20">
        <f>IF('Raw profile'!Q141&gt;0,1,IF('Raw profile'!Q244&gt;0,2,0))</f>
        <v>2</v>
      </c>
      <c r="S9" s="20">
        <f>IF('Raw profile'!R141&gt;0,1,IF('Raw profile'!R244&gt;0,2,0))</f>
        <v>2</v>
      </c>
      <c r="T9" s="20">
        <f>IF('Raw profile'!S141&gt;0,1,IF('Raw profile'!S244&gt;0,2,0))</f>
        <v>2</v>
      </c>
      <c r="U9" s="20">
        <f>IF('Raw profile'!T141&gt;0,1,IF('Raw profile'!T244&gt;0,2,0))</f>
        <v>2</v>
      </c>
      <c r="V9" s="20">
        <f>IF('Raw profile'!U141&gt;0,1,IF('Raw profile'!U244&gt;0,2,0))</f>
        <v>2</v>
      </c>
      <c r="W9" s="20">
        <f>IF('Raw profile'!V141&gt;0,1,IF('Raw profile'!V244&gt;0,2,0))</f>
        <v>2</v>
      </c>
      <c r="X9" s="20">
        <f>IF('Raw profile'!W141&gt;0,1,IF('Raw profile'!W244&gt;0,2,0))</f>
        <v>2</v>
      </c>
      <c r="Y9" s="20">
        <f>IF('Raw profile'!X141&gt;0,1,IF('Raw profile'!X244&gt;0,2,0))</f>
        <v>2</v>
      </c>
      <c r="Z9" s="20">
        <f>IF('Raw profile'!Y141&gt;0,1,IF('Raw profile'!Y244&gt;0,2,0))</f>
        <v>2</v>
      </c>
      <c r="AA9" s="20">
        <f>IF('Raw profile'!Z141&gt;0,1,IF('Raw profile'!Z244&gt;0,2,0))</f>
        <v>2</v>
      </c>
      <c r="AB9" s="20">
        <f>IF('Raw profile'!AA141&gt;0,1,IF('Raw profile'!AA244&gt;0,2,0))</f>
        <v>2</v>
      </c>
      <c r="AC9" s="20">
        <f>IF('Raw profile'!AB141&gt;0,1,IF('Raw profile'!AB244&gt;0,2,0))</f>
        <v>2</v>
      </c>
      <c r="AD9" s="20">
        <f>IF('Raw profile'!AC141&gt;0,1,IF('Raw profile'!AC244&gt;0,2,0))</f>
        <v>2</v>
      </c>
      <c r="AE9" s="20">
        <f>IF('Raw profile'!AD141&gt;0,1,IF('Raw profile'!AD244&gt;0,2,0))</f>
        <v>2</v>
      </c>
      <c r="AF9" s="20">
        <f>IF('Raw profile'!AE141&gt;0,1,IF('Raw profile'!AE244&gt;0,2,0))</f>
        <v>2</v>
      </c>
      <c r="AG9" s="20">
        <f>IF('Raw profile'!AF141&gt;0,1,IF('Raw profile'!AF244&gt;0,2,0))</f>
        <v>2</v>
      </c>
      <c r="AH9" s="20">
        <f>IF('Raw profile'!AG141&gt;0,1,IF('Raw profile'!AG244&gt;0,2,0))</f>
        <v>2</v>
      </c>
      <c r="AI9" s="20">
        <f>IF('Raw profile'!AH141&gt;0,1,IF('Raw profile'!AH244&gt;0,2,0))</f>
        <v>2</v>
      </c>
      <c r="AJ9" s="20">
        <f>IF('Raw profile'!AI141&gt;0,1,IF('Raw profile'!AI244&gt;0,2,0))</f>
        <v>2</v>
      </c>
      <c r="AK9" s="20">
        <f>IF('Raw profile'!AJ141&gt;0,1,IF('Raw profile'!AJ244&gt;0,2,0))</f>
        <v>2</v>
      </c>
      <c r="AL9" s="20">
        <f>IF('Raw profile'!AK141&gt;0,1,IF('Raw profile'!AK244&gt;0,2,0))</f>
        <v>2</v>
      </c>
      <c r="AM9" s="20">
        <f>IF('Raw profile'!AL141&gt;0,1,IF('Raw profile'!AL244&gt;0,2,0))</f>
        <v>2</v>
      </c>
      <c r="AN9" s="20">
        <f>IF('Raw profile'!AM141&gt;0,1,IF('Raw profile'!AM244&gt;0,2,0))</f>
        <v>2</v>
      </c>
      <c r="AO9" s="20">
        <f>IF('Raw profile'!AN141&gt;0,1,IF('Raw profile'!AN244&gt;0,2,0))</f>
        <v>2</v>
      </c>
      <c r="AP9" s="20">
        <f>IF('Raw profile'!AO141&gt;0,1,IF('Raw profile'!AO244&gt;0,2,0))</f>
        <v>2</v>
      </c>
      <c r="AQ9" s="20">
        <f>IF('Raw profile'!AP141&gt;0,1,IF('Raw profile'!AP244&gt;0,2,0))</f>
        <v>2</v>
      </c>
      <c r="AR9" s="20">
        <f>IF('Raw profile'!AQ141&gt;0,1,IF('Raw profile'!AQ244&gt;0,2,0))</f>
        <v>2</v>
      </c>
      <c r="AS9" s="20">
        <f>IF('Raw profile'!AR141&gt;0,1,IF('Raw profile'!AR244&gt;0,2,0))</f>
        <v>2</v>
      </c>
      <c r="AT9" s="20">
        <f>IF('Raw profile'!AS141&gt;0,1,IF('Raw profile'!AS244&gt;0,2,0))</f>
        <v>0</v>
      </c>
      <c r="AU9" s="20">
        <f>IF('Raw profile'!AT141&gt;0,1,IF('Raw profile'!AT244&gt;0,2,0))</f>
        <v>0</v>
      </c>
      <c r="AV9" s="20">
        <f>IF('Raw profile'!AU141&gt;0,1,IF('Raw profile'!AU244&gt;0,2,0))</f>
        <v>0</v>
      </c>
      <c r="AW9" s="20">
        <f>IF('Raw profile'!AV141&gt;0,1,IF('Raw profile'!AV244&gt;0,2,0))</f>
        <v>0</v>
      </c>
      <c r="AX9" s="20">
        <f>IF('Raw profile'!AW141&gt;0,1,IF('Raw profile'!AW244&gt;0,2,0))</f>
        <v>0</v>
      </c>
      <c r="AY9" s="20">
        <f>IF('Raw profile'!AX141&gt;0,1,IF('Raw profile'!AX244&gt;0,2,0))</f>
        <v>0</v>
      </c>
      <c r="AZ9" s="20">
        <f>IF('Raw profile'!AY141&gt;0,1,IF('Raw profile'!AY244&gt;0,2,0))</f>
        <v>0</v>
      </c>
      <c r="BA9" s="20">
        <f>IF('Raw profile'!AZ141&gt;0,1,IF('Raw profile'!AZ244&gt;0,2,0))</f>
        <v>0</v>
      </c>
      <c r="BB9" s="20">
        <f>IF('Raw profile'!BA141&gt;0,1,IF('Raw profile'!BA244&gt;0,2,0))</f>
        <v>0</v>
      </c>
      <c r="BC9" s="20">
        <f>IF('Raw profile'!BB141&gt;0,1,IF('Raw profile'!BB244&gt;0,2,0))</f>
        <v>0</v>
      </c>
      <c r="BD9" s="20">
        <f>IF('Raw profile'!BC141&gt;0,1,IF('Raw profile'!BC244&gt;0,2,0))</f>
        <v>0</v>
      </c>
      <c r="BE9" s="20">
        <f>IF('Raw profile'!BD141&gt;0,1,IF('Raw profile'!BD244&gt;0,2,0))</f>
        <v>0</v>
      </c>
      <c r="BF9" s="20">
        <f>IF('Raw profile'!BE141&gt;0,1,IF('Raw profile'!BE244&gt;0,2,0))</f>
        <v>0</v>
      </c>
      <c r="BG9" s="20">
        <f>IF('Raw profile'!BF141&gt;0,1,IF('Raw profile'!BF244&gt;0,2,0))</f>
        <v>0</v>
      </c>
      <c r="BH9" s="20">
        <f>IF('Raw profile'!BG141&gt;0,1,IF('Raw profile'!BG244&gt;0,2,0))</f>
        <v>0</v>
      </c>
      <c r="BI9" s="20">
        <f>IF('Raw profile'!BH141&gt;0,1,IF('Raw profile'!BH244&gt;0,2,0))</f>
        <v>0</v>
      </c>
      <c r="BJ9" s="20">
        <f>IF('Raw profile'!BI141&gt;0,1,IF('Raw profile'!BI244&gt;0,2,0))</f>
        <v>0</v>
      </c>
      <c r="BK9" s="21">
        <f>IF('Raw profile'!BJ141&gt;0,1,IF('Raw profile'!BJ244&gt;0,2,0))</f>
        <v>0</v>
      </c>
    </row>
    <row r="10" spans="1:63" x14ac:dyDescent="0.3">
      <c r="B10" s="13" t="s">
        <v>4</v>
      </c>
      <c r="C10" s="19">
        <f>'Growth profile'!I33</f>
        <v>2026</v>
      </c>
      <c r="D10" s="20">
        <f>IF('Growth profile'!C141&gt;0,1,IF('Growth profile'!C244&gt;0,3,0))</f>
        <v>1</v>
      </c>
      <c r="E10" s="20">
        <f>IF('Growth profile'!D141&gt;0,1,IF('Growth profile'!D244&gt;0,3,0))</f>
        <v>1</v>
      </c>
      <c r="F10" s="20">
        <f>IF('Growth profile'!E141&gt;0,1,IF('Growth profile'!E244&gt;0,3,0))</f>
        <v>3</v>
      </c>
      <c r="G10" s="20">
        <f>IF('Growth profile'!F141&gt;0,1,IF('Growth profile'!F244&gt;0,3,0))</f>
        <v>3</v>
      </c>
      <c r="H10" s="20">
        <f>IF('Growth profile'!G141&gt;0,1,IF('Growth profile'!G244&gt;0,3,0))</f>
        <v>3</v>
      </c>
      <c r="I10" s="20">
        <f>IF('Growth profile'!H141&gt;0,1,IF('Growth profile'!H244&gt;0,3,0))</f>
        <v>3</v>
      </c>
      <c r="J10" s="20">
        <f>IF('Growth profile'!I141&gt;0,1,IF('Growth profile'!I244&gt;0,3,0))</f>
        <v>3</v>
      </c>
      <c r="K10" s="20">
        <f>IF('Growth profile'!J141&gt;0,1,IF('Growth profile'!J244&gt;0,3,0))</f>
        <v>3</v>
      </c>
      <c r="L10" s="20">
        <f>IF('Growth profile'!K141&gt;0,1,IF('Growth profile'!K244&gt;0,3,0))</f>
        <v>3</v>
      </c>
      <c r="M10" s="20">
        <f>IF('Growth profile'!L141&gt;0,1,IF('Growth profile'!L244&gt;0,3,0))</f>
        <v>3</v>
      </c>
      <c r="N10" s="20">
        <f>IF('Growth profile'!M141&gt;0,1,IF('Growth profile'!M244&gt;0,3,0))</f>
        <v>3</v>
      </c>
      <c r="O10" s="20">
        <f>IF('Growth profile'!N141&gt;0,1,IF('Growth profile'!N244&gt;0,3,0))</f>
        <v>3</v>
      </c>
      <c r="P10" s="20">
        <f>IF('Growth profile'!O141&gt;0,1,IF('Growth profile'!O244&gt;0,3,0))</f>
        <v>3</v>
      </c>
      <c r="Q10" s="20">
        <f>IF('Growth profile'!P141&gt;0,1,IF('Growth profile'!P244&gt;0,3,0))</f>
        <v>3</v>
      </c>
      <c r="R10" s="20">
        <f>IF('Growth profile'!Q141&gt;0,1,IF('Growth profile'!Q244&gt;0,3,0))</f>
        <v>3</v>
      </c>
      <c r="S10" s="20">
        <f>IF('Growth profile'!R141&gt;0,1,IF('Growth profile'!R244&gt;0,3,0))</f>
        <v>3</v>
      </c>
      <c r="T10" s="20">
        <f>IF('Growth profile'!S141&gt;0,1,IF('Growth profile'!S244&gt;0,3,0))</f>
        <v>3</v>
      </c>
      <c r="U10" s="20">
        <f>IF('Growth profile'!T141&gt;0,1,IF('Growth profile'!T244&gt;0,3,0))</f>
        <v>3</v>
      </c>
      <c r="V10" s="20">
        <f>IF('Growth profile'!U141&gt;0,1,IF('Growth profile'!U244&gt;0,3,0))</f>
        <v>3</v>
      </c>
      <c r="W10" s="20">
        <f>IF('Growth profile'!V141&gt;0,1,IF('Growth profile'!V244&gt;0,3,0))</f>
        <v>3</v>
      </c>
      <c r="X10" s="20">
        <f>IF('Growth profile'!W141&gt;0,1,IF('Growth profile'!W244&gt;0,3,0))</f>
        <v>3</v>
      </c>
      <c r="Y10" s="20">
        <f>IF('Growth profile'!X141&gt;0,1,IF('Growth profile'!X244&gt;0,3,0))</f>
        <v>3</v>
      </c>
      <c r="Z10" s="20">
        <f>IF('Growth profile'!Y141&gt;0,1,IF('Growth profile'!Y244&gt;0,3,0))</f>
        <v>3</v>
      </c>
      <c r="AA10" s="20">
        <f>IF('Growth profile'!Z141&gt;0,1,IF('Growth profile'!Z244&gt;0,3,0))</f>
        <v>3</v>
      </c>
      <c r="AB10" s="20">
        <f>IF('Growth profile'!AA141&gt;0,1,IF('Growth profile'!AA244&gt;0,3,0))</f>
        <v>3</v>
      </c>
      <c r="AC10" s="20">
        <f>IF('Growth profile'!AB141&gt;0,1,IF('Growth profile'!AB244&gt;0,3,0))</f>
        <v>3</v>
      </c>
      <c r="AD10" s="20">
        <f>IF('Growth profile'!AC141&gt;0,1,IF('Growth profile'!AC244&gt;0,3,0))</f>
        <v>3</v>
      </c>
      <c r="AE10" s="20">
        <f>IF('Growth profile'!AD141&gt;0,1,IF('Growth profile'!AD244&gt;0,3,0))</f>
        <v>3</v>
      </c>
      <c r="AF10" s="20">
        <f>IF('Growth profile'!AE141&gt;0,1,IF('Growth profile'!AE244&gt;0,3,0))</f>
        <v>3</v>
      </c>
      <c r="AG10" s="20">
        <f>IF('Growth profile'!AF141&gt;0,1,IF('Growth profile'!AF244&gt;0,3,0))</f>
        <v>3</v>
      </c>
      <c r="AH10" s="20">
        <f>IF('Growth profile'!AG141&gt;0,1,IF('Growth profile'!AG244&gt;0,3,0))</f>
        <v>3</v>
      </c>
      <c r="AI10" s="20">
        <f>IF('Growth profile'!AH141&gt;0,1,IF('Growth profile'!AH244&gt;0,3,0))</f>
        <v>3</v>
      </c>
      <c r="AJ10" s="20">
        <f>IF('Growth profile'!AI141&gt;0,1,IF('Growth profile'!AI244&gt;0,3,0))</f>
        <v>3</v>
      </c>
      <c r="AK10" s="20">
        <f>IF('Growth profile'!AJ141&gt;0,1,IF('Growth profile'!AJ244&gt;0,3,0))</f>
        <v>3</v>
      </c>
      <c r="AL10" s="20">
        <f>IF('Growth profile'!AK141&gt;0,1,IF('Growth profile'!AK244&gt;0,3,0))</f>
        <v>3</v>
      </c>
      <c r="AM10" s="20">
        <f>IF('Growth profile'!AL141&gt;0,1,IF('Growth profile'!AL244&gt;0,3,0))</f>
        <v>3</v>
      </c>
      <c r="AN10" s="20">
        <f>IF('Growth profile'!AM141&gt;0,1,IF('Growth profile'!AM244&gt;0,3,0))</f>
        <v>3</v>
      </c>
      <c r="AO10" s="20">
        <f>IF('Growth profile'!AN141&gt;0,1,IF('Growth profile'!AN244&gt;0,3,0))</f>
        <v>3</v>
      </c>
      <c r="AP10" s="20">
        <f>IF('Growth profile'!AO141&gt;0,1,IF('Growth profile'!AO244&gt;0,3,0))</f>
        <v>3</v>
      </c>
      <c r="AQ10" s="20">
        <f>IF('Growth profile'!AP141&gt;0,1,IF('Growth profile'!AP244&gt;0,3,0))</f>
        <v>3</v>
      </c>
      <c r="AR10" s="20">
        <f>IF('Growth profile'!AQ141&gt;0,1,IF('Growth profile'!AQ244&gt;0,3,0))</f>
        <v>3</v>
      </c>
      <c r="AS10" s="20">
        <f>IF('Growth profile'!AR141&gt;0,1,IF('Growth profile'!AR244&gt;0,3,0))</f>
        <v>3</v>
      </c>
      <c r="AT10" s="20">
        <f>IF('Growth profile'!AS141&gt;0,1,IF('Growth profile'!AS244&gt;0,3,0))</f>
        <v>0</v>
      </c>
      <c r="AU10" s="20">
        <f>IF('Growth profile'!AT141&gt;0,1,IF('Growth profile'!AT244&gt;0,3,0))</f>
        <v>0</v>
      </c>
      <c r="AV10" s="20">
        <f>IF('Growth profile'!AU141&gt;0,1,IF('Growth profile'!AU244&gt;0,3,0))</f>
        <v>0</v>
      </c>
      <c r="AW10" s="20">
        <f>IF('Growth profile'!AV141&gt;0,1,IF('Growth profile'!AV244&gt;0,3,0))</f>
        <v>0</v>
      </c>
      <c r="AX10" s="20">
        <f>IF('Growth profile'!AW141&gt;0,1,IF('Growth profile'!AW244&gt;0,3,0))</f>
        <v>0</v>
      </c>
      <c r="AY10" s="20">
        <f>IF('Growth profile'!AX141&gt;0,1,IF('Growth profile'!AX244&gt;0,3,0))</f>
        <v>0</v>
      </c>
      <c r="AZ10" s="20">
        <f>IF('Growth profile'!AY141&gt;0,1,IF('Growth profile'!AY244&gt;0,3,0))</f>
        <v>0</v>
      </c>
      <c r="BA10" s="20">
        <f>IF('Growth profile'!AZ141&gt;0,1,IF('Growth profile'!AZ244&gt;0,3,0))</f>
        <v>0</v>
      </c>
      <c r="BB10" s="20">
        <f>IF('Growth profile'!BA141&gt;0,1,IF('Growth profile'!BA244&gt;0,3,0))</f>
        <v>0</v>
      </c>
      <c r="BC10" s="20">
        <f>IF('Growth profile'!BB141&gt;0,1,IF('Growth profile'!BB244&gt;0,3,0))</f>
        <v>0</v>
      </c>
      <c r="BD10" s="20">
        <f>IF('Growth profile'!BC141&gt;0,1,IF('Growth profile'!BC244&gt;0,3,0))</f>
        <v>0</v>
      </c>
      <c r="BE10" s="20">
        <f>IF('Growth profile'!BD141&gt;0,1,IF('Growth profile'!BD244&gt;0,3,0))</f>
        <v>0</v>
      </c>
      <c r="BF10" s="20">
        <f>IF('Growth profile'!BE141&gt;0,1,IF('Growth profile'!BE244&gt;0,3,0))</f>
        <v>0</v>
      </c>
      <c r="BG10" s="20">
        <f>IF('Growth profile'!BF141&gt;0,1,IF('Growth profile'!BF244&gt;0,3,0))</f>
        <v>0</v>
      </c>
      <c r="BH10" s="20">
        <f>IF('Growth profile'!BG141&gt;0,1,IF('Growth profile'!BG244&gt;0,3,0))</f>
        <v>0</v>
      </c>
      <c r="BI10" s="20">
        <f>IF('Growth profile'!BH141&gt;0,1,IF('Growth profile'!BH244&gt;0,3,0))</f>
        <v>0</v>
      </c>
      <c r="BJ10" s="20">
        <f>IF('Growth profile'!BI141&gt;0,1,IF('Growth profile'!BI244&gt;0,3,0))</f>
        <v>0</v>
      </c>
      <c r="BK10" s="21">
        <f>IF('Growth profile'!BJ141&gt;0,1,IF('Growth profile'!BJ244&gt;0,3,0))</f>
        <v>0</v>
      </c>
    </row>
    <row r="11" spans="1:63" x14ac:dyDescent="0.3">
      <c r="B11" s="13" t="s">
        <v>59</v>
      </c>
      <c r="C11" s="19">
        <f>'Growth (no penalty)'!I33</f>
        <v>2026</v>
      </c>
      <c r="D11" s="22">
        <f>IF('Growth (no penalty)'!C141&gt;0,1,IF('Growth (no penalty)'!C244&gt;0,4,0))</f>
        <v>1</v>
      </c>
      <c r="E11" s="22">
        <f>IF('Growth (no penalty)'!D141&gt;0,1,IF('Growth (no penalty)'!D244&gt;0,4,0))</f>
        <v>1</v>
      </c>
      <c r="F11" s="22">
        <f>IF('Growth (no penalty)'!E141&gt;0,1,IF('Growth (no penalty)'!E244&gt;0,4,0))</f>
        <v>4</v>
      </c>
      <c r="G11" s="22">
        <f>IF('Growth (no penalty)'!F141&gt;0,1,IF('Growth (no penalty)'!F244&gt;0,4,0))</f>
        <v>4</v>
      </c>
      <c r="H11" s="22">
        <f>IF('Growth (no penalty)'!G141&gt;0,1,IF('Growth (no penalty)'!G244&gt;0,4,0))</f>
        <v>4</v>
      </c>
      <c r="I11" s="22">
        <f>IF('Growth (no penalty)'!H141&gt;0,1,IF('Growth (no penalty)'!H244&gt;0,4,0))</f>
        <v>4</v>
      </c>
      <c r="J11" s="22">
        <f>IF('Growth (no penalty)'!I141&gt;0,1,IF('Growth (no penalty)'!I244&gt;0,4,0))</f>
        <v>4</v>
      </c>
      <c r="K11" s="22">
        <f>IF('Growth (no penalty)'!J141&gt;0,1,IF('Growth (no penalty)'!J244&gt;0,4,0))</f>
        <v>4</v>
      </c>
      <c r="L11" s="22">
        <f>IF('Growth (no penalty)'!K141&gt;0,1,IF('Growth (no penalty)'!K244&gt;0,4,0))</f>
        <v>4</v>
      </c>
      <c r="M11" s="22">
        <f>IF('Growth (no penalty)'!L141&gt;0,1,IF('Growth (no penalty)'!L244&gt;0,4,0))</f>
        <v>4</v>
      </c>
      <c r="N11" s="22">
        <f>IF('Growth (no penalty)'!M141&gt;0,1,IF('Growth (no penalty)'!M244&gt;0,4,0))</f>
        <v>4</v>
      </c>
      <c r="O11" s="22">
        <f>IF('Growth (no penalty)'!N141&gt;0,1,IF('Growth (no penalty)'!N244&gt;0,4,0))</f>
        <v>4</v>
      </c>
      <c r="P11" s="22">
        <f>IF('Growth (no penalty)'!O141&gt;0,1,IF('Growth (no penalty)'!O244&gt;0,4,0))</f>
        <v>4</v>
      </c>
      <c r="Q11" s="22">
        <f>IF('Growth (no penalty)'!P141&gt;0,1,IF('Growth (no penalty)'!P244&gt;0,4,0))</f>
        <v>4</v>
      </c>
      <c r="R11" s="22">
        <f>IF('Growth (no penalty)'!Q141&gt;0,1,IF('Growth (no penalty)'!Q244&gt;0,4,0))</f>
        <v>4</v>
      </c>
      <c r="S11" s="22">
        <f>IF('Growth (no penalty)'!R141&gt;0,1,IF('Growth (no penalty)'!R244&gt;0,4,0))</f>
        <v>4</v>
      </c>
      <c r="T11" s="22">
        <f>IF('Growth (no penalty)'!S141&gt;0,1,IF('Growth (no penalty)'!S244&gt;0,4,0))</f>
        <v>4</v>
      </c>
      <c r="U11" s="22">
        <f>IF('Growth (no penalty)'!T141&gt;0,1,IF('Growth (no penalty)'!T244&gt;0,4,0))</f>
        <v>4</v>
      </c>
      <c r="V11" s="22">
        <f>IF('Growth (no penalty)'!U141&gt;0,1,IF('Growth (no penalty)'!U244&gt;0,4,0))</f>
        <v>4</v>
      </c>
      <c r="W11" s="22">
        <f>IF('Growth (no penalty)'!V141&gt;0,1,IF('Growth (no penalty)'!V244&gt;0,4,0))</f>
        <v>4</v>
      </c>
      <c r="X11" s="22">
        <f>IF('Growth (no penalty)'!W141&gt;0,1,IF('Growth (no penalty)'!W244&gt;0,4,0))</f>
        <v>4</v>
      </c>
      <c r="Y11" s="22">
        <f>IF('Growth (no penalty)'!X141&gt;0,1,IF('Growth (no penalty)'!X244&gt;0,4,0))</f>
        <v>4</v>
      </c>
      <c r="Z11" s="22">
        <f>IF('Growth (no penalty)'!Y141&gt;0,1,IF('Growth (no penalty)'!Y244&gt;0,4,0))</f>
        <v>4</v>
      </c>
      <c r="AA11" s="22">
        <f>IF('Growth (no penalty)'!Z141&gt;0,1,IF('Growth (no penalty)'!Z244&gt;0,4,0))</f>
        <v>4</v>
      </c>
      <c r="AB11" s="22">
        <f>IF('Growth (no penalty)'!AA141&gt;0,1,IF('Growth (no penalty)'!AA244&gt;0,4,0))</f>
        <v>4</v>
      </c>
      <c r="AC11" s="22">
        <f>IF('Growth (no penalty)'!AB141&gt;0,1,IF('Growth (no penalty)'!AB244&gt;0,4,0))</f>
        <v>4</v>
      </c>
      <c r="AD11" s="22">
        <f>IF('Growth (no penalty)'!AC141&gt;0,1,IF('Growth (no penalty)'!AC244&gt;0,4,0))</f>
        <v>4</v>
      </c>
      <c r="AE11" s="22">
        <f>IF('Growth (no penalty)'!AD141&gt;0,1,IF('Growth (no penalty)'!AD244&gt;0,4,0))</f>
        <v>4</v>
      </c>
      <c r="AF11" s="22">
        <f>IF('Growth (no penalty)'!AE141&gt;0,1,IF('Growth (no penalty)'!AE244&gt;0,4,0))</f>
        <v>4</v>
      </c>
      <c r="AG11" s="22">
        <f>IF('Growth (no penalty)'!AF141&gt;0,1,IF('Growth (no penalty)'!AF244&gt;0,4,0))</f>
        <v>4</v>
      </c>
      <c r="AH11" s="22">
        <f>IF('Growth (no penalty)'!AG141&gt;0,1,IF('Growth (no penalty)'!AG244&gt;0,4,0))</f>
        <v>4</v>
      </c>
      <c r="AI11" s="22">
        <f>IF('Growth (no penalty)'!AH141&gt;0,1,IF('Growth (no penalty)'!AH244&gt;0,4,0))</f>
        <v>4</v>
      </c>
      <c r="AJ11" s="22">
        <f>IF('Growth (no penalty)'!AI141&gt;0,1,IF('Growth (no penalty)'!AI244&gt;0,4,0))</f>
        <v>4</v>
      </c>
      <c r="AK11" s="22">
        <f>IF('Growth (no penalty)'!AJ141&gt;0,1,IF('Growth (no penalty)'!AJ244&gt;0,4,0))</f>
        <v>4</v>
      </c>
      <c r="AL11" s="22">
        <f>IF('Growth (no penalty)'!AK141&gt;0,1,IF('Growth (no penalty)'!AK244&gt;0,4,0))</f>
        <v>4</v>
      </c>
      <c r="AM11" s="22">
        <f>IF('Growth (no penalty)'!AL141&gt;0,1,IF('Growth (no penalty)'!AL244&gt;0,4,0))</f>
        <v>4</v>
      </c>
      <c r="AN11" s="22">
        <f>IF('Growth (no penalty)'!AM141&gt;0,1,IF('Growth (no penalty)'!AM244&gt;0,4,0))</f>
        <v>4</v>
      </c>
      <c r="AO11" s="22">
        <f>IF('Growth (no penalty)'!AN141&gt;0,1,IF('Growth (no penalty)'!AN244&gt;0,4,0))</f>
        <v>4</v>
      </c>
      <c r="AP11" s="22">
        <f>IF('Growth (no penalty)'!AO141&gt;0,1,IF('Growth (no penalty)'!AO244&gt;0,4,0))</f>
        <v>4</v>
      </c>
      <c r="AQ11" s="22">
        <f>IF('Growth (no penalty)'!AP141&gt;0,1,IF('Growth (no penalty)'!AP244&gt;0,4,0))</f>
        <v>4</v>
      </c>
      <c r="AR11" s="22">
        <f>IF('Growth (no penalty)'!AQ141&gt;0,1,IF('Growth (no penalty)'!AQ244&gt;0,4,0))</f>
        <v>4</v>
      </c>
      <c r="AS11" s="22">
        <f>IF('Growth (no penalty)'!AR141&gt;0,1,IF('Growth (no penalty)'!AR244&gt;0,4,0))</f>
        <v>4</v>
      </c>
      <c r="AT11" s="22">
        <f>IF('Growth (no penalty)'!AS141&gt;0,1,IF('Growth (no penalty)'!AS244&gt;0,4,0))</f>
        <v>0</v>
      </c>
      <c r="AU11" s="22">
        <f>IF('Growth (no penalty)'!AT141&gt;0,1,IF('Growth (no penalty)'!AT244&gt;0,4,0))</f>
        <v>0</v>
      </c>
      <c r="AV11" s="22">
        <f>IF('Growth (no penalty)'!AU141&gt;0,1,IF('Growth (no penalty)'!AU244&gt;0,4,0))</f>
        <v>0</v>
      </c>
      <c r="AW11" s="22">
        <f>IF('Growth (no penalty)'!AV141&gt;0,1,IF('Growth (no penalty)'!AV244&gt;0,4,0))</f>
        <v>0</v>
      </c>
      <c r="AX11" s="22">
        <f>IF('Growth (no penalty)'!AW141&gt;0,1,IF('Growth (no penalty)'!AW244&gt;0,4,0))</f>
        <v>0</v>
      </c>
      <c r="AY11" s="22">
        <f>IF('Growth (no penalty)'!AX141&gt;0,1,IF('Growth (no penalty)'!AX244&gt;0,4,0))</f>
        <v>0</v>
      </c>
      <c r="AZ11" s="22">
        <f>IF('Growth (no penalty)'!AY141&gt;0,1,IF('Growth (no penalty)'!AY244&gt;0,4,0))</f>
        <v>0</v>
      </c>
      <c r="BA11" s="22">
        <f>IF('Growth (no penalty)'!AZ141&gt;0,1,IF('Growth (no penalty)'!AZ244&gt;0,4,0))</f>
        <v>0</v>
      </c>
      <c r="BB11" s="22">
        <f>IF('Growth (no penalty)'!BA141&gt;0,1,IF('Growth (no penalty)'!BA244&gt;0,4,0))</f>
        <v>0</v>
      </c>
      <c r="BC11" s="22">
        <f>IF('Growth (no penalty)'!BB141&gt;0,1,IF('Growth (no penalty)'!BB244&gt;0,4,0))</f>
        <v>0</v>
      </c>
      <c r="BD11" s="22">
        <f>IF('Growth (no penalty)'!BC141&gt;0,1,IF('Growth (no penalty)'!BC244&gt;0,4,0))</f>
        <v>0</v>
      </c>
      <c r="BE11" s="22">
        <f>IF('Growth (no penalty)'!BD141&gt;0,1,IF('Growth (no penalty)'!BD244&gt;0,4,0))</f>
        <v>0</v>
      </c>
      <c r="BF11" s="22">
        <f>IF('Growth (no penalty)'!BE141&gt;0,1,IF('Growth (no penalty)'!BE244&gt;0,4,0))</f>
        <v>0</v>
      </c>
      <c r="BG11" s="22">
        <f>IF('Growth (no penalty)'!BF141&gt;0,1,IF('Growth (no penalty)'!BF244&gt;0,4,0))</f>
        <v>0</v>
      </c>
      <c r="BH11" s="22">
        <f>IF('Growth (no penalty)'!BG141&gt;0,1,IF('Growth (no penalty)'!BG244&gt;0,4,0))</f>
        <v>0</v>
      </c>
      <c r="BI11" s="22">
        <f>IF('Growth (no penalty)'!BH141&gt;0,1,IF('Growth (no penalty)'!BH244&gt;0,4,0))</f>
        <v>0</v>
      </c>
      <c r="BJ11" s="22">
        <f>IF('Growth (no penalty)'!BI141&gt;0,1,IF('Growth (no penalty)'!BI244&gt;0,4,0))</f>
        <v>0</v>
      </c>
      <c r="BK11" s="23">
        <f>IF('Growth (no penalty)'!BJ141&gt;0,1,IF('Growth (no penalty)'!BJ244&gt;0,4,0))</f>
        <v>0</v>
      </c>
    </row>
    <row r="12" spans="1:63" x14ac:dyDescent="0.3">
      <c r="A12" s="4" t="str">
        <f>'Growth profile'!A36</f>
        <v>project 26</v>
      </c>
      <c r="B12" s="13" t="s">
        <v>3</v>
      </c>
      <c r="C12" s="19">
        <f>'Raw profile'!I36</f>
        <v>2026</v>
      </c>
      <c r="D12" s="20">
        <f>IF('Raw profile'!C144&gt;0,1,IF('Raw profile'!C247&gt;0,2,0))</f>
        <v>1</v>
      </c>
      <c r="E12" s="20">
        <f>IF('Raw profile'!D144&gt;0,1,IF('Raw profile'!D247&gt;0,2,0))</f>
        <v>2</v>
      </c>
      <c r="F12" s="20">
        <f>IF('Raw profile'!E144&gt;0,1,IF('Raw profile'!E247&gt;0,2,0))</f>
        <v>2</v>
      </c>
      <c r="G12" s="20">
        <f>IF('Raw profile'!F144&gt;0,1,IF('Raw profile'!F247&gt;0,2,0))</f>
        <v>2</v>
      </c>
      <c r="H12" s="20">
        <f>IF('Raw profile'!G144&gt;0,1,IF('Raw profile'!G247&gt;0,2,0))</f>
        <v>2</v>
      </c>
      <c r="I12" s="20">
        <f>IF('Raw profile'!H144&gt;0,1,IF('Raw profile'!H247&gt;0,2,0))</f>
        <v>2</v>
      </c>
      <c r="J12" s="20">
        <f>IF('Raw profile'!I144&gt;0,1,IF('Raw profile'!I247&gt;0,2,0))</f>
        <v>2</v>
      </c>
      <c r="K12" s="20">
        <f>IF('Raw profile'!J144&gt;0,1,IF('Raw profile'!J247&gt;0,2,0))</f>
        <v>2</v>
      </c>
      <c r="L12" s="20">
        <f>IF('Raw profile'!K144&gt;0,1,IF('Raw profile'!K247&gt;0,2,0))</f>
        <v>2</v>
      </c>
      <c r="M12" s="20">
        <f>IF('Raw profile'!L144&gt;0,1,IF('Raw profile'!L247&gt;0,2,0))</f>
        <v>2</v>
      </c>
      <c r="N12" s="20">
        <f>IF('Raw profile'!M144&gt;0,1,IF('Raw profile'!M247&gt;0,2,0))</f>
        <v>2</v>
      </c>
      <c r="O12" s="20">
        <f>IF('Raw profile'!N144&gt;0,1,IF('Raw profile'!N247&gt;0,2,0))</f>
        <v>2</v>
      </c>
      <c r="P12" s="20">
        <f>IF('Raw profile'!O144&gt;0,1,IF('Raw profile'!O247&gt;0,2,0))</f>
        <v>2</v>
      </c>
      <c r="Q12" s="20">
        <f>IF('Raw profile'!P144&gt;0,1,IF('Raw profile'!P247&gt;0,2,0))</f>
        <v>2</v>
      </c>
      <c r="R12" s="20">
        <f>IF('Raw profile'!Q144&gt;0,1,IF('Raw profile'!Q247&gt;0,2,0))</f>
        <v>2</v>
      </c>
      <c r="S12" s="20">
        <f>IF('Raw profile'!R144&gt;0,1,IF('Raw profile'!R247&gt;0,2,0))</f>
        <v>2</v>
      </c>
      <c r="T12" s="20">
        <f>IF('Raw profile'!S144&gt;0,1,IF('Raw profile'!S247&gt;0,2,0))</f>
        <v>2</v>
      </c>
      <c r="U12" s="20">
        <f>IF('Raw profile'!T144&gt;0,1,IF('Raw profile'!T247&gt;0,2,0))</f>
        <v>2</v>
      </c>
      <c r="V12" s="20">
        <f>IF('Raw profile'!U144&gt;0,1,IF('Raw profile'!U247&gt;0,2,0))</f>
        <v>2</v>
      </c>
      <c r="W12" s="20">
        <f>IF('Raw profile'!V144&gt;0,1,IF('Raw profile'!V247&gt;0,2,0))</f>
        <v>2</v>
      </c>
      <c r="X12" s="20">
        <f>IF('Raw profile'!W144&gt;0,1,IF('Raw profile'!W247&gt;0,2,0))</f>
        <v>2</v>
      </c>
      <c r="Y12" s="20">
        <f>IF('Raw profile'!X144&gt;0,1,IF('Raw profile'!X247&gt;0,2,0))</f>
        <v>2</v>
      </c>
      <c r="Z12" s="20">
        <f>IF('Raw profile'!Y144&gt;0,1,IF('Raw profile'!Y247&gt;0,2,0))</f>
        <v>2</v>
      </c>
      <c r="AA12" s="20">
        <f>IF('Raw profile'!Z144&gt;0,1,IF('Raw profile'!Z247&gt;0,2,0))</f>
        <v>2</v>
      </c>
      <c r="AB12" s="20">
        <f>IF('Raw profile'!AA144&gt;0,1,IF('Raw profile'!AA247&gt;0,2,0))</f>
        <v>2</v>
      </c>
      <c r="AC12" s="20">
        <f>IF('Raw profile'!AB144&gt;0,1,IF('Raw profile'!AB247&gt;0,2,0))</f>
        <v>2</v>
      </c>
      <c r="AD12" s="20">
        <f>IF('Raw profile'!AC144&gt;0,1,IF('Raw profile'!AC247&gt;0,2,0))</f>
        <v>2</v>
      </c>
      <c r="AE12" s="20">
        <f>IF('Raw profile'!AD144&gt;0,1,IF('Raw profile'!AD247&gt;0,2,0))</f>
        <v>2</v>
      </c>
      <c r="AF12" s="20">
        <f>IF('Raw profile'!AE144&gt;0,1,IF('Raw profile'!AE247&gt;0,2,0))</f>
        <v>2</v>
      </c>
      <c r="AG12" s="20">
        <f>IF('Raw profile'!AF144&gt;0,1,IF('Raw profile'!AF247&gt;0,2,0))</f>
        <v>2</v>
      </c>
      <c r="AH12" s="20">
        <f>IF('Raw profile'!AG144&gt;0,1,IF('Raw profile'!AG247&gt;0,2,0))</f>
        <v>2</v>
      </c>
      <c r="AI12" s="20">
        <f>IF('Raw profile'!AH144&gt;0,1,IF('Raw profile'!AH247&gt;0,2,0))</f>
        <v>2</v>
      </c>
      <c r="AJ12" s="20">
        <f>IF('Raw profile'!AI144&gt;0,1,IF('Raw profile'!AI247&gt;0,2,0))</f>
        <v>2</v>
      </c>
      <c r="AK12" s="20">
        <f>IF('Raw profile'!AJ144&gt;0,1,IF('Raw profile'!AJ247&gt;0,2,0))</f>
        <v>2</v>
      </c>
      <c r="AL12" s="20">
        <f>IF('Raw profile'!AK144&gt;0,1,IF('Raw profile'!AK247&gt;0,2,0))</f>
        <v>2</v>
      </c>
      <c r="AM12" s="20">
        <f>IF('Raw profile'!AL144&gt;0,1,IF('Raw profile'!AL247&gt;0,2,0))</f>
        <v>2</v>
      </c>
      <c r="AN12" s="20">
        <f>IF('Raw profile'!AM144&gt;0,1,IF('Raw profile'!AM247&gt;0,2,0))</f>
        <v>2</v>
      </c>
      <c r="AO12" s="20">
        <f>IF('Raw profile'!AN144&gt;0,1,IF('Raw profile'!AN247&gt;0,2,0))</f>
        <v>2</v>
      </c>
      <c r="AP12" s="20">
        <f>IF('Raw profile'!AO144&gt;0,1,IF('Raw profile'!AO247&gt;0,2,0))</f>
        <v>2</v>
      </c>
      <c r="AQ12" s="20">
        <f>IF('Raw profile'!AP144&gt;0,1,IF('Raw profile'!AP247&gt;0,2,0))</f>
        <v>2</v>
      </c>
      <c r="AR12" s="20">
        <f>IF('Raw profile'!AQ144&gt;0,1,IF('Raw profile'!AQ247&gt;0,2,0))</f>
        <v>2</v>
      </c>
      <c r="AS12" s="20">
        <f>IF('Raw profile'!AR144&gt;0,1,IF('Raw profile'!AR247&gt;0,2,0))</f>
        <v>0</v>
      </c>
      <c r="AT12" s="20">
        <f>IF('Raw profile'!AS144&gt;0,1,IF('Raw profile'!AS247&gt;0,2,0))</f>
        <v>0</v>
      </c>
      <c r="AU12" s="20">
        <f>IF('Raw profile'!AT144&gt;0,1,IF('Raw profile'!AT247&gt;0,2,0))</f>
        <v>0</v>
      </c>
      <c r="AV12" s="20">
        <f>IF('Raw profile'!AU144&gt;0,1,IF('Raw profile'!AU247&gt;0,2,0))</f>
        <v>0</v>
      </c>
      <c r="AW12" s="20">
        <f>IF('Raw profile'!AV144&gt;0,1,IF('Raw profile'!AV247&gt;0,2,0))</f>
        <v>0</v>
      </c>
      <c r="AX12" s="20">
        <f>IF('Raw profile'!AW144&gt;0,1,IF('Raw profile'!AW247&gt;0,2,0))</f>
        <v>0</v>
      </c>
      <c r="AY12" s="20">
        <f>IF('Raw profile'!AX144&gt;0,1,IF('Raw profile'!AX247&gt;0,2,0))</f>
        <v>0</v>
      </c>
      <c r="AZ12" s="20">
        <f>IF('Raw profile'!AY144&gt;0,1,IF('Raw profile'!AY247&gt;0,2,0))</f>
        <v>0</v>
      </c>
      <c r="BA12" s="20">
        <f>IF('Raw profile'!AZ144&gt;0,1,IF('Raw profile'!AZ247&gt;0,2,0))</f>
        <v>0</v>
      </c>
      <c r="BB12" s="20">
        <f>IF('Raw profile'!BA144&gt;0,1,IF('Raw profile'!BA247&gt;0,2,0))</f>
        <v>0</v>
      </c>
      <c r="BC12" s="20">
        <f>IF('Raw profile'!BB144&gt;0,1,IF('Raw profile'!BB247&gt;0,2,0))</f>
        <v>0</v>
      </c>
      <c r="BD12" s="20">
        <f>IF('Raw profile'!BC144&gt;0,1,IF('Raw profile'!BC247&gt;0,2,0))</f>
        <v>0</v>
      </c>
      <c r="BE12" s="20">
        <f>IF('Raw profile'!BD144&gt;0,1,IF('Raw profile'!BD247&gt;0,2,0))</f>
        <v>0</v>
      </c>
      <c r="BF12" s="20">
        <f>IF('Raw profile'!BE144&gt;0,1,IF('Raw profile'!BE247&gt;0,2,0))</f>
        <v>0</v>
      </c>
      <c r="BG12" s="20">
        <f>IF('Raw profile'!BF144&gt;0,1,IF('Raw profile'!BF247&gt;0,2,0))</f>
        <v>0</v>
      </c>
      <c r="BH12" s="20">
        <f>IF('Raw profile'!BG144&gt;0,1,IF('Raw profile'!BG247&gt;0,2,0))</f>
        <v>0</v>
      </c>
      <c r="BI12" s="20">
        <f>IF('Raw profile'!BH144&gt;0,1,IF('Raw profile'!BH247&gt;0,2,0))</f>
        <v>0</v>
      </c>
      <c r="BJ12" s="20">
        <f>IF('Raw profile'!BI144&gt;0,1,IF('Raw profile'!BI247&gt;0,2,0))</f>
        <v>0</v>
      </c>
      <c r="BK12" s="21">
        <f>IF('Raw profile'!BJ144&gt;0,1,IF('Raw profile'!BJ247&gt;0,2,0))</f>
        <v>0</v>
      </c>
    </row>
    <row r="13" spans="1:63" x14ac:dyDescent="0.3">
      <c r="B13" s="13" t="s">
        <v>4</v>
      </c>
      <c r="C13" s="19">
        <f>'Growth profile'!I36</f>
        <v>2026</v>
      </c>
      <c r="D13" s="20">
        <f>IF('Growth profile'!C144&gt;0,1,IF('Growth profile'!C247&gt;0,3,0))</f>
        <v>1</v>
      </c>
      <c r="E13" s="20">
        <f>IF('Growth profile'!D144&gt;0,1,IF('Growth profile'!D247&gt;0,3,0))</f>
        <v>3</v>
      </c>
      <c r="F13" s="20">
        <f>IF('Growth profile'!E144&gt;0,1,IF('Growth profile'!E247&gt;0,3,0))</f>
        <v>3</v>
      </c>
      <c r="G13" s="20">
        <f>IF('Growth profile'!F144&gt;0,1,IF('Growth profile'!F247&gt;0,3,0))</f>
        <v>3</v>
      </c>
      <c r="H13" s="20">
        <f>IF('Growth profile'!G144&gt;0,1,IF('Growth profile'!G247&gt;0,3,0))</f>
        <v>3</v>
      </c>
      <c r="I13" s="20">
        <f>IF('Growth profile'!H144&gt;0,1,IF('Growth profile'!H247&gt;0,3,0))</f>
        <v>3</v>
      </c>
      <c r="J13" s="20">
        <f>IF('Growth profile'!I144&gt;0,1,IF('Growth profile'!I247&gt;0,3,0))</f>
        <v>3</v>
      </c>
      <c r="K13" s="20">
        <f>IF('Growth profile'!J144&gt;0,1,IF('Growth profile'!J247&gt;0,3,0))</f>
        <v>3</v>
      </c>
      <c r="L13" s="20">
        <f>IF('Growth profile'!K144&gt;0,1,IF('Growth profile'!K247&gt;0,3,0))</f>
        <v>3</v>
      </c>
      <c r="M13" s="20">
        <f>IF('Growth profile'!L144&gt;0,1,IF('Growth profile'!L247&gt;0,3,0))</f>
        <v>3</v>
      </c>
      <c r="N13" s="20">
        <f>IF('Growth profile'!M144&gt;0,1,IF('Growth profile'!M247&gt;0,3,0))</f>
        <v>3</v>
      </c>
      <c r="O13" s="20">
        <f>IF('Growth profile'!N144&gt;0,1,IF('Growth profile'!N247&gt;0,3,0))</f>
        <v>3</v>
      </c>
      <c r="P13" s="20">
        <f>IF('Growth profile'!O144&gt;0,1,IF('Growth profile'!O247&gt;0,3,0))</f>
        <v>3</v>
      </c>
      <c r="Q13" s="20">
        <f>IF('Growth profile'!P144&gt;0,1,IF('Growth profile'!P247&gt;0,3,0))</f>
        <v>3</v>
      </c>
      <c r="R13" s="20">
        <f>IF('Growth profile'!Q144&gt;0,1,IF('Growth profile'!Q247&gt;0,3,0))</f>
        <v>3</v>
      </c>
      <c r="S13" s="20">
        <f>IF('Growth profile'!R144&gt;0,1,IF('Growth profile'!R247&gt;0,3,0))</f>
        <v>3</v>
      </c>
      <c r="T13" s="20">
        <f>IF('Growth profile'!S144&gt;0,1,IF('Growth profile'!S247&gt;0,3,0))</f>
        <v>3</v>
      </c>
      <c r="U13" s="20">
        <f>IF('Growth profile'!T144&gt;0,1,IF('Growth profile'!T247&gt;0,3,0))</f>
        <v>3</v>
      </c>
      <c r="V13" s="20">
        <f>IF('Growth profile'!U144&gt;0,1,IF('Growth profile'!U247&gt;0,3,0))</f>
        <v>3</v>
      </c>
      <c r="W13" s="20">
        <f>IF('Growth profile'!V144&gt;0,1,IF('Growth profile'!V247&gt;0,3,0))</f>
        <v>3</v>
      </c>
      <c r="X13" s="20">
        <f>IF('Growth profile'!W144&gt;0,1,IF('Growth profile'!W247&gt;0,3,0))</f>
        <v>3</v>
      </c>
      <c r="Y13" s="20">
        <f>IF('Growth profile'!X144&gt;0,1,IF('Growth profile'!X247&gt;0,3,0))</f>
        <v>3</v>
      </c>
      <c r="Z13" s="20">
        <f>IF('Growth profile'!Y144&gt;0,1,IF('Growth profile'!Y247&gt;0,3,0))</f>
        <v>3</v>
      </c>
      <c r="AA13" s="20">
        <f>IF('Growth profile'!Z144&gt;0,1,IF('Growth profile'!Z247&gt;0,3,0))</f>
        <v>3</v>
      </c>
      <c r="AB13" s="20">
        <f>IF('Growth profile'!AA144&gt;0,1,IF('Growth profile'!AA247&gt;0,3,0))</f>
        <v>3</v>
      </c>
      <c r="AC13" s="20">
        <f>IF('Growth profile'!AB144&gt;0,1,IF('Growth profile'!AB247&gt;0,3,0))</f>
        <v>3</v>
      </c>
      <c r="AD13" s="20">
        <f>IF('Growth profile'!AC144&gt;0,1,IF('Growth profile'!AC247&gt;0,3,0))</f>
        <v>3</v>
      </c>
      <c r="AE13" s="20">
        <f>IF('Growth profile'!AD144&gt;0,1,IF('Growth profile'!AD247&gt;0,3,0))</f>
        <v>3</v>
      </c>
      <c r="AF13" s="20">
        <f>IF('Growth profile'!AE144&gt;0,1,IF('Growth profile'!AE247&gt;0,3,0))</f>
        <v>3</v>
      </c>
      <c r="AG13" s="20">
        <f>IF('Growth profile'!AF144&gt;0,1,IF('Growth profile'!AF247&gt;0,3,0))</f>
        <v>3</v>
      </c>
      <c r="AH13" s="20">
        <f>IF('Growth profile'!AG144&gt;0,1,IF('Growth profile'!AG247&gt;0,3,0))</f>
        <v>3</v>
      </c>
      <c r="AI13" s="20">
        <f>IF('Growth profile'!AH144&gt;0,1,IF('Growth profile'!AH247&gt;0,3,0))</f>
        <v>3</v>
      </c>
      <c r="AJ13" s="20">
        <f>IF('Growth profile'!AI144&gt;0,1,IF('Growth profile'!AI247&gt;0,3,0))</f>
        <v>3</v>
      </c>
      <c r="AK13" s="20">
        <f>IF('Growth profile'!AJ144&gt;0,1,IF('Growth profile'!AJ247&gt;0,3,0))</f>
        <v>3</v>
      </c>
      <c r="AL13" s="20">
        <f>IF('Growth profile'!AK144&gt;0,1,IF('Growth profile'!AK247&gt;0,3,0))</f>
        <v>3</v>
      </c>
      <c r="AM13" s="20">
        <f>IF('Growth profile'!AL144&gt;0,1,IF('Growth profile'!AL247&gt;0,3,0))</f>
        <v>3</v>
      </c>
      <c r="AN13" s="20">
        <f>IF('Growth profile'!AM144&gt;0,1,IF('Growth profile'!AM247&gt;0,3,0))</f>
        <v>3</v>
      </c>
      <c r="AO13" s="20">
        <f>IF('Growth profile'!AN144&gt;0,1,IF('Growth profile'!AN247&gt;0,3,0))</f>
        <v>3</v>
      </c>
      <c r="AP13" s="20">
        <f>IF('Growth profile'!AO144&gt;0,1,IF('Growth profile'!AO247&gt;0,3,0))</f>
        <v>3</v>
      </c>
      <c r="AQ13" s="20">
        <f>IF('Growth profile'!AP144&gt;0,1,IF('Growth profile'!AP247&gt;0,3,0))</f>
        <v>3</v>
      </c>
      <c r="AR13" s="20">
        <f>IF('Growth profile'!AQ144&gt;0,1,IF('Growth profile'!AQ247&gt;0,3,0))</f>
        <v>3</v>
      </c>
      <c r="AS13" s="20">
        <f>IF('Growth profile'!AR144&gt;0,1,IF('Growth profile'!AR247&gt;0,3,0))</f>
        <v>0</v>
      </c>
      <c r="AT13" s="20">
        <f>IF('Growth profile'!AS144&gt;0,1,IF('Growth profile'!AS247&gt;0,3,0))</f>
        <v>0</v>
      </c>
      <c r="AU13" s="20">
        <f>IF('Growth profile'!AT144&gt;0,1,IF('Growth profile'!AT247&gt;0,3,0))</f>
        <v>0</v>
      </c>
      <c r="AV13" s="20">
        <f>IF('Growth profile'!AU144&gt;0,1,IF('Growth profile'!AU247&gt;0,3,0))</f>
        <v>0</v>
      </c>
      <c r="AW13" s="20">
        <f>IF('Growth profile'!AV144&gt;0,1,IF('Growth profile'!AV247&gt;0,3,0))</f>
        <v>0</v>
      </c>
      <c r="AX13" s="20">
        <f>IF('Growth profile'!AW144&gt;0,1,IF('Growth profile'!AW247&gt;0,3,0))</f>
        <v>0</v>
      </c>
      <c r="AY13" s="20">
        <f>IF('Growth profile'!AX144&gt;0,1,IF('Growth profile'!AX247&gt;0,3,0))</f>
        <v>0</v>
      </c>
      <c r="AZ13" s="20">
        <f>IF('Growth profile'!AY144&gt;0,1,IF('Growth profile'!AY247&gt;0,3,0))</f>
        <v>0</v>
      </c>
      <c r="BA13" s="20">
        <f>IF('Growth profile'!AZ144&gt;0,1,IF('Growth profile'!AZ247&gt;0,3,0))</f>
        <v>0</v>
      </c>
      <c r="BB13" s="20">
        <f>IF('Growth profile'!BA144&gt;0,1,IF('Growth profile'!BA247&gt;0,3,0))</f>
        <v>0</v>
      </c>
      <c r="BC13" s="20">
        <f>IF('Growth profile'!BB144&gt;0,1,IF('Growth profile'!BB247&gt;0,3,0))</f>
        <v>0</v>
      </c>
      <c r="BD13" s="20">
        <f>IF('Growth profile'!BC144&gt;0,1,IF('Growth profile'!BC247&gt;0,3,0))</f>
        <v>0</v>
      </c>
      <c r="BE13" s="20">
        <f>IF('Growth profile'!BD144&gt;0,1,IF('Growth profile'!BD247&gt;0,3,0))</f>
        <v>0</v>
      </c>
      <c r="BF13" s="20">
        <f>IF('Growth profile'!BE144&gt;0,1,IF('Growth profile'!BE247&gt;0,3,0))</f>
        <v>0</v>
      </c>
      <c r="BG13" s="20">
        <f>IF('Growth profile'!BF144&gt;0,1,IF('Growth profile'!BF247&gt;0,3,0))</f>
        <v>0</v>
      </c>
      <c r="BH13" s="20">
        <f>IF('Growth profile'!BG144&gt;0,1,IF('Growth profile'!BG247&gt;0,3,0))</f>
        <v>0</v>
      </c>
      <c r="BI13" s="20">
        <f>IF('Growth profile'!BH144&gt;0,1,IF('Growth profile'!BH247&gt;0,3,0))</f>
        <v>0</v>
      </c>
      <c r="BJ13" s="20">
        <f>IF('Growth profile'!BI144&gt;0,1,IF('Growth profile'!BI247&gt;0,3,0))</f>
        <v>0</v>
      </c>
      <c r="BK13" s="21">
        <f>IF('Growth profile'!BJ144&gt;0,1,IF('Growth profile'!BJ247&gt;0,3,0))</f>
        <v>0</v>
      </c>
    </row>
    <row r="14" spans="1:63" x14ac:dyDescent="0.3">
      <c r="B14" s="13" t="s">
        <v>59</v>
      </c>
      <c r="C14" s="19">
        <f>'Growth (no penalty)'!I36</f>
        <v>2026</v>
      </c>
      <c r="D14" s="22">
        <f>IF('Growth (no penalty)'!C144&gt;0,1,IF('Growth (no penalty)'!C247&gt;0,4,0))</f>
        <v>1</v>
      </c>
      <c r="E14" s="22">
        <f>IF('Growth (no penalty)'!D144&gt;0,1,IF('Growth (no penalty)'!D247&gt;0,4,0))</f>
        <v>4</v>
      </c>
      <c r="F14" s="22">
        <f>IF('Growth (no penalty)'!E144&gt;0,1,IF('Growth (no penalty)'!E247&gt;0,4,0))</f>
        <v>4</v>
      </c>
      <c r="G14" s="22">
        <f>IF('Growth (no penalty)'!F144&gt;0,1,IF('Growth (no penalty)'!F247&gt;0,4,0))</f>
        <v>4</v>
      </c>
      <c r="H14" s="22">
        <f>IF('Growth (no penalty)'!G144&gt;0,1,IF('Growth (no penalty)'!G247&gt;0,4,0))</f>
        <v>4</v>
      </c>
      <c r="I14" s="22">
        <f>IF('Growth (no penalty)'!H144&gt;0,1,IF('Growth (no penalty)'!H247&gt;0,4,0))</f>
        <v>4</v>
      </c>
      <c r="J14" s="22">
        <f>IF('Growth (no penalty)'!I144&gt;0,1,IF('Growth (no penalty)'!I247&gt;0,4,0))</f>
        <v>4</v>
      </c>
      <c r="K14" s="22">
        <f>IF('Growth (no penalty)'!J144&gt;0,1,IF('Growth (no penalty)'!J247&gt;0,4,0))</f>
        <v>4</v>
      </c>
      <c r="L14" s="22">
        <f>IF('Growth (no penalty)'!K144&gt;0,1,IF('Growth (no penalty)'!K247&gt;0,4,0))</f>
        <v>4</v>
      </c>
      <c r="M14" s="22">
        <f>IF('Growth (no penalty)'!L144&gt;0,1,IF('Growth (no penalty)'!L247&gt;0,4,0))</f>
        <v>4</v>
      </c>
      <c r="N14" s="22">
        <f>IF('Growth (no penalty)'!M144&gt;0,1,IF('Growth (no penalty)'!M247&gt;0,4,0))</f>
        <v>4</v>
      </c>
      <c r="O14" s="22">
        <f>IF('Growth (no penalty)'!N144&gt;0,1,IF('Growth (no penalty)'!N247&gt;0,4,0))</f>
        <v>4</v>
      </c>
      <c r="P14" s="22">
        <f>IF('Growth (no penalty)'!O144&gt;0,1,IF('Growth (no penalty)'!O247&gt;0,4,0))</f>
        <v>4</v>
      </c>
      <c r="Q14" s="22">
        <f>IF('Growth (no penalty)'!P144&gt;0,1,IF('Growth (no penalty)'!P247&gt;0,4,0))</f>
        <v>4</v>
      </c>
      <c r="R14" s="22">
        <f>IF('Growth (no penalty)'!Q144&gt;0,1,IF('Growth (no penalty)'!Q247&gt;0,4,0))</f>
        <v>4</v>
      </c>
      <c r="S14" s="22">
        <f>IF('Growth (no penalty)'!R144&gt;0,1,IF('Growth (no penalty)'!R247&gt;0,4,0))</f>
        <v>4</v>
      </c>
      <c r="T14" s="22">
        <f>IF('Growth (no penalty)'!S144&gt;0,1,IF('Growth (no penalty)'!S247&gt;0,4,0))</f>
        <v>4</v>
      </c>
      <c r="U14" s="22">
        <f>IF('Growth (no penalty)'!T144&gt;0,1,IF('Growth (no penalty)'!T247&gt;0,4,0))</f>
        <v>4</v>
      </c>
      <c r="V14" s="22">
        <f>IF('Growth (no penalty)'!U144&gt;0,1,IF('Growth (no penalty)'!U247&gt;0,4,0))</f>
        <v>4</v>
      </c>
      <c r="W14" s="22">
        <f>IF('Growth (no penalty)'!V144&gt;0,1,IF('Growth (no penalty)'!V247&gt;0,4,0))</f>
        <v>4</v>
      </c>
      <c r="X14" s="22">
        <f>IF('Growth (no penalty)'!W144&gt;0,1,IF('Growth (no penalty)'!W247&gt;0,4,0))</f>
        <v>4</v>
      </c>
      <c r="Y14" s="22">
        <f>IF('Growth (no penalty)'!X144&gt;0,1,IF('Growth (no penalty)'!X247&gt;0,4,0))</f>
        <v>4</v>
      </c>
      <c r="Z14" s="22">
        <f>IF('Growth (no penalty)'!Y144&gt;0,1,IF('Growth (no penalty)'!Y247&gt;0,4,0))</f>
        <v>4</v>
      </c>
      <c r="AA14" s="22">
        <f>IF('Growth (no penalty)'!Z144&gt;0,1,IF('Growth (no penalty)'!Z247&gt;0,4,0))</f>
        <v>4</v>
      </c>
      <c r="AB14" s="22">
        <f>IF('Growth (no penalty)'!AA144&gt;0,1,IF('Growth (no penalty)'!AA247&gt;0,4,0))</f>
        <v>4</v>
      </c>
      <c r="AC14" s="22">
        <f>IF('Growth (no penalty)'!AB144&gt;0,1,IF('Growth (no penalty)'!AB247&gt;0,4,0))</f>
        <v>4</v>
      </c>
      <c r="AD14" s="22">
        <f>IF('Growth (no penalty)'!AC144&gt;0,1,IF('Growth (no penalty)'!AC247&gt;0,4,0))</f>
        <v>4</v>
      </c>
      <c r="AE14" s="22">
        <f>IF('Growth (no penalty)'!AD144&gt;0,1,IF('Growth (no penalty)'!AD247&gt;0,4,0))</f>
        <v>4</v>
      </c>
      <c r="AF14" s="22">
        <f>IF('Growth (no penalty)'!AE144&gt;0,1,IF('Growth (no penalty)'!AE247&gt;0,4,0))</f>
        <v>4</v>
      </c>
      <c r="AG14" s="22">
        <f>IF('Growth (no penalty)'!AF144&gt;0,1,IF('Growth (no penalty)'!AF247&gt;0,4,0))</f>
        <v>4</v>
      </c>
      <c r="AH14" s="22">
        <f>IF('Growth (no penalty)'!AG144&gt;0,1,IF('Growth (no penalty)'!AG247&gt;0,4,0))</f>
        <v>4</v>
      </c>
      <c r="AI14" s="22">
        <f>IF('Growth (no penalty)'!AH144&gt;0,1,IF('Growth (no penalty)'!AH247&gt;0,4,0))</f>
        <v>4</v>
      </c>
      <c r="AJ14" s="22">
        <f>IF('Growth (no penalty)'!AI144&gt;0,1,IF('Growth (no penalty)'!AI247&gt;0,4,0))</f>
        <v>4</v>
      </c>
      <c r="AK14" s="22">
        <f>IF('Growth (no penalty)'!AJ144&gt;0,1,IF('Growth (no penalty)'!AJ247&gt;0,4,0))</f>
        <v>4</v>
      </c>
      <c r="AL14" s="22">
        <f>IF('Growth (no penalty)'!AK144&gt;0,1,IF('Growth (no penalty)'!AK247&gt;0,4,0))</f>
        <v>4</v>
      </c>
      <c r="AM14" s="22">
        <f>IF('Growth (no penalty)'!AL144&gt;0,1,IF('Growth (no penalty)'!AL247&gt;0,4,0))</f>
        <v>4</v>
      </c>
      <c r="AN14" s="22">
        <f>IF('Growth (no penalty)'!AM144&gt;0,1,IF('Growth (no penalty)'!AM247&gt;0,4,0))</f>
        <v>4</v>
      </c>
      <c r="AO14" s="22">
        <f>IF('Growth (no penalty)'!AN144&gt;0,1,IF('Growth (no penalty)'!AN247&gt;0,4,0))</f>
        <v>4</v>
      </c>
      <c r="AP14" s="22">
        <f>IF('Growth (no penalty)'!AO144&gt;0,1,IF('Growth (no penalty)'!AO247&gt;0,4,0))</f>
        <v>4</v>
      </c>
      <c r="AQ14" s="22">
        <f>IF('Growth (no penalty)'!AP144&gt;0,1,IF('Growth (no penalty)'!AP247&gt;0,4,0))</f>
        <v>4</v>
      </c>
      <c r="AR14" s="22">
        <f>IF('Growth (no penalty)'!AQ144&gt;0,1,IF('Growth (no penalty)'!AQ247&gt;0,4,0))</f>
        <v>4</v>
      </c>
      <c r="AS14" s="22">
        <f>IF('Growth (no penalty)'!AR144&gt;0,1,IF('Growth (no penalty)'!AR247&gt;0,4,0))</f>
        <v>0</v>
      </c>
      <c r="AT14" s="22">
        <f>IF('Growth (no penalty)'!AS144&gt;0,1,IF('Growth (no penalty)'!AS247&gt;0,4,0))</f>
        <v>0</v>
      </c>
      <c r="AU14" s="22">
        <f>IF('Growth (no penalty)'!AT144&gt;0,1,IF('Growth (no penalty)'!AT247&gt;0,4,0))</f>
        <v>0</v>
      </c>
      <c r="AV14" s="22">
        <f>IF('Growth (no penalty)'!AU144&gt;0,1,IF('Growth (no penalty)'!AU247&gt;0,4,0))</f>
        <v>0</v>
      </c>
      <c r="AW14" s="22">
        <f>IF('Growth (no penalty)'!AV144&gt;0,1,IF('Growth (no penalty)'!AV247&gt;0,4,0))</f>
        <v>0</v>
      </c>
      <c r="AX14" s="22">
        <f>IF('Growth (no penalty)'!AW144&gt;0,1,IF('Growth (no penalty)'!AW247&gt;0,4,0))</f>
        <v>0</v>
      </c>
      <c r="AY14" s="22">
        <f>IF('Growth (no penalty)'!AX144&gt;0,1,IF('Growth (no penalty)'!AX247&gt;0,4,0))</f>
        <v>0</v>
      </c>
      <c r="AZ14" s="22">
        <f>IF('Growth (no penalty)'!AY144&gt;0,1,IF('Growth (no penalty)'!AY247&gt;0,4,0))</f>
        <v>0</v>
      </c>
      <c r="BA14" s="22">
        <f>IF('Growth (no penalty)'!AZ144&gt;0,1,IF('Growth (no penalty)'!AZ247&gt;0,4,0))</f>
        <v>0</v>
      </c>
      <c r="BB14" s="22">
        <f>IF('Growth (no penalty)'!BA144&gt;0,1,IF('Growth (no penalty)'!BA247&gt;0,4,0))</f>
        <v>0</v>
      </c>
      <c r="BC14" s="22">
        <f>IF('Growth (no penalty)'!BB144&gt;0,1,IF('Growth (no penalty)'!BB247&gt;0,4,0))</f>
        <v>0</v>
      </c>
      <c r="BD14" s="22">
        <f>IF('Growth (no penalty)'!BC144&gt;0,1,IF('Growth (no penalty)'!BC247&gt;0,4,0))</f>
        <v>0</v>
      </c>
      <c r="BE14" s="22">
        <f>IF('Growth (no penalty)'!BD144&gt;0,1,IF('Growth (no penalty)'!BD247&gt;0,4,0))</f>
        <v>0</v>
      </c>
      <c r="BF14" s="22">
        <f>IF('Growth (no penalty)'!BE144&gt;0,1,IF('Growth (no penalty)'!BE247&gt;0,4,0))</f>
        <v>0</v>
      </c>
      <c r="BG14" s="22">
        <f>IF('Growth (no penalty)'!BF144&gt;0,1,IF('Growth (no penalty)'!BF247&gt;0,4,0))</f>
        <v>0</v>
      </c>
      <c r="BH14" s="22">
        <f>IF('Growth (no penalty)'!BG144&gt;0,1,IF('Growth (no penalty)'!BG247&gt;0,4,0))</f>
        <v>0</v>
      </c>
      <c r="BI14" s="22">
        <f>IF('Growth (no penalty)'!BH144&gt;0,1,IF('Growth (no penalty)'!BH247&gt;0,4,0))</f>
        <v>0</v>
      </c>
      <c r="BJ14" s="22">
        <f>IF('Growth (no penalty)'!BI144&gt;0,1,IF('Growth (no penalty)'!BI247&gt;0,4,0))</f>
        <v>0</v>
      </c>
      <c r="BK14" s="23">
        <f>IF('Growth (no penalty)'!BJ144&gt;0,1,IF('Growth (no penalty)'!BJ247&gt;0,4,0))</f>
        <v>0</v>
      </c>
    </row>
    <row r="15" spans="1:63" x14ac:dyDescent="0.3">
      <c r="A15" s="4" t="str">
        <f>'Growth profile'!A38</f>
        <v>project 28</v>
      </c>
      <c r="B15" s="13" t="s">
        <v>3</v>
      </c>
      <c r="C15" s="19">
        <f>'Raw profile'!I38</f>
        <v>2026</v>
      </c>
      <c r="D15" s="20">
        <f>IF('Raw profile'!C146&gt;0,1,IF('Raw profile'!C249&gt;0,2,0))</f>
        <v>1</v>
      </c>
      <c r="E15" s="20">
        <f>IF('Raw profile'!D146&gt;0,1,IF('Raw profile'!D249&gt;0,2,0))</f>
        <v>1</v>
      </c>
      <c r="F15" s="20">
        <f>IF('Raw profile'!E146&gt;0,1,IF('Raw profile'!E249&gt;0,2,0))</f>
        <v>2</v>
      </c>
      <c r="G15" s="20">
        <f>IF('Raw profile'!F146&gt;0,1,IF('Raw profile'!F249&gt;0,2,0))</f>
        <v>2</v>
      </c>
      <c r="H15" s="20">
        <f>IF('Raw profile'!G146&gt;0,1,IF('Raw profile'!G249&gt;0,2,0))</f>
        <v>2</v>
      </c>
      <c r="I15" s="20">
        <f>IF('Raw profile'!H146&gt;0,1,IF('Raw profile'!H249&gt;0,2,0))</f>
        <v>2</v>
      </c>
      <c r="J15" s="20">
        <f>IF('Raw profile'!I146&gt;0,1,IF('Raw profile'!I249&gt;0,2,0))</f>
        <v>2</v>
      </c>
      <c r="K15" s="20">
        <f>IF('Raw profile'!J146&gt;0,1,IF('Raw profile'!J249&gt;0,2,0))</f>
        <v>2</v>
      </c>
      <c r="L15" s="20">
        <f>IF('Raw profile'!K146&gt;0,1,IF('Raw profile'!K249&gt;0,2,0))</f>
        <v>2</v>
      </c>
      <c r="M15" s="20">
        <f>IF('Raw profile'!L146&gt;0,1,IF('Raw profile'!L249&gt;0,2,0))</f>
        <v>2</v>
      </c>
      <c r="N15" s="20">
        <f>IF('Raw profile'!M146&gt;0,1,IF('Raw profile'!M249&gt;0,2,0))</f>
        <v>2</v>
      </c>
      <c r="O15" s="20">
        <f>IF('Raw profile'!N146&gt;0,1,IF('Raw profile'!N249&gt;0,2,0))</f>
        <v>2</v>
      </c>
      <c r="P15" s="20">
        <f>IF('Raw profile'!O146&gt;0,1,IF('Raw profile'!O249&gt;0,2,0))</f>
        <v>2</v>
      </c>
      <c r="Q15" s="20">
        <f>IF('Raw profile'!P146&gt;0,1,IF('Raw profile'!P249&gt;0,2,0))</f>
        <v>2</v>
      </c>
      <c r="R15" s="20">
        <f>IF('Raw profile'!Q146&gt;0,1,IF('Raw profile'!Q249&gt;0,2,0))</f>
        <v>2</v>
      </c>
      <c r="S15" s="20">
        <f>IF('Raw profile'!R146&gt;0,1,IF('Raw profile'!R249&gt;0,2,0))</f>
        <v>2</v>
      </c>
      <c r="T15" s="20">
        <f>IF('Raw profile'!S146&gt;0,1,IF('Raw profile'!S249&gt;0,2,0))</f>
        <v>2</v>
      </c>
      <c r="U15" s="20">
        <f>IF('Raw profile'!T146&gt;0,1,IF('Raw profile'!T249&gt;0,2,0))</f>
        <v>2</v>
      </c>
      <c r="V15" s="20">
        <f>IF('Raw profile'!U146&gt;0,1,IF('Raw profile'!U249&gt;0,2,0))</f>
        <v>2</v>
      </c>
      <c r="W15" s="20">
        <f>IF('Raw profile'!V146&gt;0,1,IF('Raw profile'!V249&gt;0,2,0))</f>
        <v>2</v>
      </c>
      <c r="X15" s="20">
        <f>IF('Raw profile'!W146&gt;0,1,IF('Raw profile'!W249&gt;0,2,0))</f>
        <v>2</v>
      </c>
      <c r="Y15" s="20">
        <f>IF('Raw profile'!X146&gt;0,1,IF('Raw profile'!X249&gt;0,2,0))</f>
        <v>2</v>
      </c>
      <c r="Z15" s="20">
        <f>IF('Raw profile'!Y146&gt;0,1,IF('Raw profile'!Y249&gt;0,2,0))</f>
        <v>2</v>
      </c>
      <c r="AA15" s="20">
        <f>IF('Raw profile'!Z146&gt;0,1,IF('Raw profile'!Z249&gt;0,2,0))</f>
        <v>2</v>
      </c>
      <c r="AB15" s="20">
        <f>IF('Raw profile'!AA146&gt;0,1,IF('Raw profile'!AA249&gt;0,2,0))</f>
        <v>2</v>
      </c>
      <c r="AC15" s="20">
        <f>IF('Raw profile'!AB146&gt;0,1,IF('Raw profile'!AB249&gt;0,2,0))</f>
        <v>2</v>
      </c>
      <c r="AD15" s="20">
        <f>IF('Raw profile'!AC146&gt;0,1,IF('Raw profile'!AC249&gt;0,2,0))</f>
        <v>2</v>
      </c>
      <c r="AE15" s="20">
        <f>IF('Raw profile'!AD146&gt;0,1,IF('Raw profile'!AD249&gt;0,2,0))</f>
        <v>2</v>
      </c>
      <c r="AF15" s="20">
        <f>IF('Raw profile'!AE146&gt;0,1,IF('Raw profile'!AE249&gt;0,2,0))</f>
        <v>2</v>
      </c>
      <c r="AG15" s="20">
        <f>IF('Raw profile'!AF146&gt;0,1,IF('Raw profile'!AF249&gt;0,2,0))</f>
        <v>2</v>
      </c>
      <c r="AH15" s="20">
        <f>IF('Raw profile'!AG146&gt;0,1,IF('Raw profile'!AG249&gt;0,2,0))</f>
        <v>2</v>
      </c>
      <c r="AI15" s="20">
        <f>IF('Raw profile'!AH146&gt;0,1,IF('Raw profile'!AH249&gt;0,2,0))</f>
        <v>2</v>
      </c>
      <c r="AJ15" s="20">
        <f>IF('Raw profile'!AI146&gt;0,1,IF('Raw profile'!AI249&gt;0,2,0))</f>
        <v>2</v>
      </c>
      <c r="AK15" s="20">
        <f>IF('Raw profile'!AJ146&gt;0,1,IF('Raw profile'!AJ249&gt;0,2,0))</f>
        <v>2</v>
      </c>
      <c r="AL15" s="20">
        <f>IF('Raw profile'!AK146&gt;0,1,IF('Raw profile'!AK249&gt;0,2,0))</f>
        <v>2</v>
      </c>
      <c r="AM15" s="20">
        <f>IF('Raw profile'!AL146&gt;0,1,IF('Raw profile'!AL249&gt;0,2,0))</f>
        <v>2</v>
      </c>
      <c r="AN15" s="20">
        <f>IF('Raw profile'!AM146&gt;0,1,IF('Raw profile'!AM249&gt;0,2,0))</f>
        <v>2</v>
      </c>
      <c r="AO15" s="20">
        <f>IF('Raw profile'!AN146&gt;0,1,IF('Raw profile'!AN249&gt;0,2,0))</f>
        <v>2</v>
      </c>
      <c r="AP15" s="20">
        <f>IF('Raw profile'!AO146&gt;0,1,IF('Raw profile'!AO249&gt;0,2,0))</f>
        <v>2</v>
      </c>
      <c r="AQ15" s="20">
        <f>IF('Raw profile'!AP146&gt;0,1,IF('Raw profile'!AP249&gt;0,2,0))</f>
        <v>2</v>
      </c>
      <c r="AR15" s="20">
        <f>IF('Raw profile'!AQ146&gt;0,1,IF('Raw profile'!AQ249&gt;0,2,0))</f>
        <v>2</v>
      </c>
      <c r="AS15" s="20">
        <f>IF('Raw profile'!AR146&gt;0,1,IF('Raw profile'!AR249&gt;0,2,0))</f>
        <v>2</v>
      </c>
      <c r="AT15" s="20">
        <f>IF('Raw profile'!AS146&gt;0,1,IF('Raw profile'!AS249&gt;0,2,0))</f>
        <v>0</v>
      </c>
      <c r="AU15" s="20">
        <f>IF('Raw profile'!AT146&gt;0,1,IF('Raw profile'!AT249&gt;0,2,0))</f>
        <v>0</v>
      </c>
      <c r="AV15" s="20">
        <f>IF('Raw profile'!AU146&gt;0,1,IF('Raw profile'!AU249&gt;0,2,0))</f>
        <v>0</v>
      </c>
      <c r="AW15" s="20">
        <f>IF('Raw profile'!AV146&gt;0,1,IF('Raw profile'!AV249&gt;0,2,0))</f>
        <v>0</v>
      </c>
      <c r="AX15" s="20">
        <f>IF('Raw profile'!AW146&gt;0,1,IF('Raw profile'!AW249&gt;0,2,0))</f>
        <v>0</v>
      </c>
      <c r="AY15" s="20">
        <f>IF('Raw profile'!AX146&gt;0,1,IF('Raw profile'!AX249&gt;0,2,0))</f>
        <v>0</v>
      </c>
      <c r="AZ15" s="20">
        <f>IF('Raw profile'!AY146&gt;0,1,IF('Raw profile'!AY249&gt;0,2,0))</f>
        <v>0</v>
      </c>
      <c r="BA15" s="20">
        <f>IF('Raw profile'!AZ146&gt;0,1,IF('Raw profile'!AZ249&gt;0,2,0))</f>
        <v>0</v>
      </c>
      <c r="BB15" s="20">
        <f>IF('Raw profile'!BA146&gt;0,1,IF('Raw profile'!BA249&gt;0,2,0))</f>
        <v>0</v>
      </c>
      <c r="BC15" s="20">
        <f>IF('Raw profile'!BB146&gt;0,1,IF('Raw profile'!BB249&gt;0,2,0))</f>
        <v>0</v>
      </c>
      <c r="BD15" s="20">
        <f>IF('Raw profile'!BC146&gt;0,1,IF('Raw profile'!BC249&gt;0,2,0))</f>
        <v>0</v>
      </c>
      <c r="BE15" s="20">
        <f>IF('Raw profile'!BD146&gt;0,1,IF('Raw profile'!BD249&gt;0,2,0))</f>
        <v>0</v>
      </c>
      <c r="BF15" s="20">
        <f>IF('Raw profile'!BE146&gt;0,1,IF('Raw profile'!BE249&gt;0,2,0))</f>
        <v>0</v>
      </c>
      <c r="BG15" s="20">
        <f>IF('Raw profile'!BF146&gt;0,1,IF('Raw profile'!BF249&gt;0,2,0))</f>
        <v>0</v>
      </c>
      <c r="BH15" s="20">
        <f>IF('Raw profile'!BG146&gt;0,1,IF('Raw profile'!BG249&gt;0,2,0))</f>
        <v>0</v>
      </c>
      <c r="BI15" s="20">
        <f>IF('Raw profile'!BH146&gt;0,1,IF('Raw profile'!BH249&gt;0,2,0))</f>
        <v>0</v>
      </c>
      <c r="BJ15" s="20">
        <f>IF('Raw profile'!BI146&gt;0,1,IF('Raw profile'!BI249&gt;0,2,0))</f>
        <v>0</v>
      </c>
      <c r="BK15" s="21">
        <f>IF('Raw profile'!BJ146&gt;0,1,IF('Raw profile'!BJ249&gt;0,2,0))</f>
        <v>0</v>
      </c>
    </row>
    <row r="16" spans="1:63" x14ac:dyDescent="0.3">
      <c r="B16" s="13" t="s">
        <v>4</v>
      </c>
      <c r="C16" s="19">
        <f>'Growth profile'!I38</f>
        <v>2026</v>
      </c>
      <c r="D16" s="20">
        <f>IF('Growth profile'!C146&gt;0,1,IF('Growth profile'!C249&gt;0,3,0))</f>
        <v>1</v>
      </c>
      <c r="E16" s="20">
        <f>IF('Growth profile'!D146&gt;0,1,IF('Growth profile'!D249&gt;0,3,0))</f>
        <v>1</v>
      </c>
      <c r="F16" s="20">
        <f>IF('Growth profile'!E146&gt;0,1,IF('Growth profile'!E249&gt;0,3,0))</f>
        <v>3</v>
      </c>
      <c r="G16" s="20">
        <f>IF('Growth profile'!F146&gt;0,1,IF('Growth profile'!F249&gt;0,3,0))</f>
        <v>3</v>
      </c>
      <c r="H16" s="20">
        <f>IF('Growth profile'!G146&gt;0,1,IF('Growth profile'!G249&gt;0,3,0))</f>
        <v>3</v>
      </c>
      <c r="I16" s="20">
        <f>IF('Growth profile'!H146&gt;0,1,IF('Growth profile'!H249&gt;0,3,0))</f>
        <v>3</v>
      </c>
      <c r="J16" s="20">
        <f>IF('Growth profile'!I146&gt;0,1,IF('Growth profile'!I249&gt;0,3,0))</f>
        <v>3</v>
      </c>
      <c r="K16" s="20">
        <f>IF('Growth profile'!J146&gt;0,1,IF('Growth profile'!J249&gt;0,3,0))</f>
        <v>3</v>
      </c>
      <c r="L16" s="20">
        <f>IF('Growth profile'!K146&gt;0,1,IF('Growth profile'!K249&gt;0,3,0))</f>
        <v>3</v>
      </c>
      <c r="M16" s="20">
        <f>IF('Growth profile'!L146&gt;0,1,IF('Growth profile'!L249&gt;0,3,0))</f>
        <v>3</v>
      </c>
      <c r="N16" s="20">
        <f>IF('Growth profile'!M146&gt;0,1,IF('Growth profile'!M249&gt;0,3,0))</f>
        <v>3</v>
      </c>
      <c r="O16" s="20">
        <f>IF('Growth profile'!N146&gt;0,1,IF('Growth profile'!N249&gt;0,3,0))</f>
        <v>3</v>
      </c>
      <c r="P16" s="20">
        <f>IF('Growth profile'!O146&gt;0,1,IF('Growth profile'!O249&gt;0,3,0))</f>
        <v>3</v>
      </c>
      <c r="Q16" s="20">
        <f>IF('Growth profile'!P146&gt;0,1,IF('Growth profile'!P249&gt;0,3,0))</f>
        <v>3</v>
      </c>
      <c r="R16" s="20">
        <f>IF('Growth profile'!Q146&gt;0,1,IF('Growth profile'!Q249&gt;0,3,0))</f>
        <v>3</v>
      </c>
      <c r="S16" s="20">
        <f>IF('Growth profile'!R146&gt;0,1,IF('Growth profile'!R249&gt;0,3,0))</f>
        <v>3</v>
      </c>
      <c r="T16" s="20">
        <f>IF('Growth profile'!S146&gt;0,1,IF('Growth profile'!S249&gt;0,3,0))</f>
        <v>3</v>
      </c>
      <c r="U16" s="20">
        <f>IF('Growth profile'!T146&gt;0,1,IF('Growth profile'!T249&gt;0,3,0))</f>
        <v>3</v>
      </c>
      <c r="V16" s="20">
        <f>IF('Growth profile'!U146&gt;0,1,IF('Growth profile'!U249&gt;0,3,0))</f>
        <v>3</v>
      </c>
      <c r="W16" s="20">
        <f>IF('Growth profile'!V146&gt;0,1,IF('Growth profile'!V249&gt;0,3,0))</f>
        <v>3</v>
      </c>
      <c r="X16" s="20">
        <f>IF('Growth profile'!W146&gt;0,1,IF('Growth profile'!W249&gt;0,3,0))</f>
        <v>3</v>
      </c>
      <c r="Y16" s="20">
        <f>IF('Growth profile'!X146&gt;0,1,IF('Growth profile'!X249&gt;0,3,0))</f>
        <v>3</v>
      </c>
      <c r="Z16" s="20">
        <f>IF('Growth profile'!Y146&gt;0,1,IF('Growth profile'!Y249&gt;0,3,0))</f>
        <v>3</v>
      </c>
      <c r="AA16" s="20">
        <f>IF('Growth profile'!Z146&gt;0,1,IF('Growth profile'!Z249&gt;0,3,0))</f>
        <v>3</v>
      </c>
      <c r="AB16" s="20">
        <f>IF('Growth profile'!AA146&gt;0,1,IF('Growth profile'!AA249&gt;0,3,0))</f>
        <v>3</v>
      </c>
      <c r="AC16" s="20">
        <f>IF('Growth profile'!AB146&gt;0,1,IF('Growth profile'!AB249&gt;0,3,0))</f>
        <v>3</v>
      </c>
      <c r="AD16" s="20">
        <f>IF('Growth profile'!AC146&gt;0,1,IF('Growth profile'!AC249&gt;0,3,0))</f>
        <v>3</v>
      </c>
      <c r="AE16" s="20">
        <f>IF('Growth profile'!AD146&gt;0,1,IF('Growth profile'!AD249&gt;0,3,0))</f>
        <v>3</v>
      </c>
      <c r="AF16" s="20">
        <f>IF('Growth profile'!AE146&gt;0,1,IF('Growth profile'!AE249&gt;0,3,0))</f>
        <v>3</v>
      </c>
      <c r="AG16" s="20">
        <f>IF('Growth profile'!AF146&gt;0,1,IF('Growth profile'!AF249&gt;0,3,0))</f>
        <v>3</v>
      </c>
      <c r="AH16" s="20">
        <f>IF('Growth profile'!AG146&gt;0,1,IF('Growth profile'!AG249&gt;0,3,0))</f>
        <v>3</v>
      </c>
      <c r="AI16" s="20">
        <f>IF('Growth profile'!AH146&gt;0,1,IF('Growth profile'!AH249&gt;0,3,0))</f>
        <v>3</v>
      </c>
      <c r="AJ16" s="20">
        <f>IF('Growth profile'!AI146&gt;0,1,IF('Growth profile'!AI249&gt;0,3,0))</f>
        <v>3</v>
      </c>
      <c r="AK16" s="20">
        <f>IF('Growth profile'!AJ146&gt;0,1,IF('Growth profile'!AJ249&gt;0,3,0))</f>
        <v>3</v>
      </c>
      <c r="AL16" s="20">
        <f>IF('Growth profile'!AK146&gt;0,1,IF('Growth profile'!AK249&gt;0,3,0))</f>
        <v>3</v>
      </c>
      <c r="AM16" s="20">
        <f>IF('Growth profile'!AL146&gt;0,1,IF('Growth profile'!AL249&gt;0,3,0))</f>
        <v>3</v>
      </c>
      <c r="AN16" s="20">
        <f>IF('Growth profile'!AM146&gt;0,1,IF('Growth profile'!AM249&gt;0,3,0))</f>
        <v>3</v>
      </c>
      <c r="AO16" s="20">
        <f>IF('Growth profile'!AN146&gt;0,1,IF('Growth profile'!AN249&gt;0,3,0))</f>
        <v>3</v>
      </c>
      <c r="AP16" s="20">
        <f>IF('Growth profile'!AO146&gt;0,1,IF('Growth profile'!AO249&gt;0,3,0))</f>
        <v>3</v>
      </c>
      <c r="AQ16" s="20">
        <f>IF('Growth profile'!AP146&gt;0,1,IF('Growth profile'!AP249&gt;0,3,0))</f>
        <v>3</v>
      </c>
      <c r="AR16" s="20">
        <f>IF('Growth profile'!AQ146&gt;0,1,IF('Growth profile'!AQ249&gt;0,3,0))</f>
        <v>3</v>
      </c>
      <c r="AS16" s="20">
        <f>IF('Growth profile'!AR146&gt;0,1,IF('Growth profile'!AR249&gt;0,3,0))</f>
        <v>3</v>
      </c>
      <c r="AT16" s="20">
        <f>IF('Growth profile'!AS146&gt;0,1,IF('Growth profile'!AS249&gt;0,3,0))</f>
        <v>0</v>
      </c>
      <c r="AU16" s="20">
        <f>IF('Growth profile'!AT146&gt;0,1,IF('Growth profile'!AT249&gt;0,3,0))</f>
        <v>0</v>
      </c>
      <c r="AV16" s="20">
        <f>IF('Growth profile'!AU146&gt;0,1,IF('Growth profile'!AU249&gt;0,3,0))</f>
        <v>0</v>
      </c>
      <c r="AW16" s="20">
        <f>IF('Growth profile'!AV146&gt;0,1,IF('Growth profile'!AV249&gt;0,3,0))</f>
        <v>0</v>
      </c>
      <c r="AX16" s="20">
        <f>IF('Growth profile'!AW146&gt;0,1,IF('Growth profile'!AW249&gt;0,3,0))</f>
        <v>0</v>
      </c>
      <c r="AY16" s="20">
        <f>IF('Growth profile'!AX146&gt;0,1,IF('Growth profile'!AX249&gt;0,3,0))</f>
        <v>0</v>
      </c>
      <c r="AZ16" s="20">
        <f>IF('Growth profile'!AY146&gt;0,1,IF('Growth profile'!AY249&gt;0,3,0))</f>
        <v>0</v>
      </c>
      <c r="BA16" s="20">
        <f>IF('Growth profile'!AZ146&gt;0,1,IF('Growth profile'!AZ249&gt;0,3,0))</f>
        <v>0</v>
      </c>
      <c r="BB16" s="20">
        <f>IF('Growth profile'!BA146&gt;0,1,IF('Growth profile'!BA249&gt;0,3,0))</f>
        <v>0</v>
      </c>
      <c r="BC16" s="20">
        <f>IF('Growth profile'!BB146&gt;0,1,IF('Growth profile'!BB249&gt;0,3,0))</f>
        <v>0</v>
      </c>
      <c r="BD16" s="20">
        <f>IF('Growth profile'!BC146&gt;0,1,IF('Growth profile'!BC249&gt;0,3,0))</f>
        <v>0</v>
      </c>
      <c r="BE16" s="20">
        <f>IF('Growth profile'!BD146&gt;0,1,IF('Growth profile'!BD249&gt;0,3,0))</f>
        <v>0</v>
      </c>
      <c r="BF16" s="20">
        <f>IF('Growth profile'!BE146&gt;0,1,IF('Growth profile'!BE249&gt;0,3,0))</f>
        <v>0</v>
      </c>
      <c r="BG16" s="20">
        <f>IF('Growth profile'!BF146&gt;0,1,IF('Growth profile'!BF249&gt;0,3,0))</f>
        <v>0</v>
      </c>
      <c r="BH16" s="20">
        <f>IF('Growth profile'!BG146&gt;0,1,IF('Growth profile'!BG249&gt;0,3,0))</f>
        <v>0</v>
      </c>
      <c r="BI16" s="20">
        <f>IF('Growth profile'!BH146&gt;0,1,IF('Growth profile'!BH249&gt;0,3,0))</f>
        <v>0</v>
      </c>
      <c r="BJ16" s="20">
        <f>IF('Growth profile'!BI146&gt;0,1,IF('Growth profile'!BI249&gt;0,3,0))</f>
        <v>0</v>
      </c>
      <c r="BK16" s="21">
        <f>IF('Growth profile'!BJ146&gt;0,1,IF('Growth profile'!BJ249&gt;0,3,0))</f>
        <v>0</v>
      </c>
    </row>
    <row r="17" spans="1:63" x14ac:dyDescent="0.3">
      <c r="B17" s="13" t="s">
        <v>59</v>
      </c>
      <c r="C17" s="19">
        <f>'Growth (no penalty)'!I38</f>
        <v>2026</v>
      </c>
      <c r="D17" s="22">
        <f>IF('Growth (no penalty)'!C146&gt;0,1,IF('Growth (no penalty)'!C249&gt;0,4,0))</f>
        <v>1</v>
      </c>
      <c r="E17" s="22">
        <f>IF('Growth (no penalty)'!D146&gt;0,1,IF('Growth (no penalty)'!D249&gt;0,4,0))</f>
        <v>1</v>
      </c>
      <c r="F17" s="22">
        <f>IF('Growth (no penalty)'!E146&gt;0,1,IF('Growth (no penalty)'!E249&gt;0,4,0))</f>
        <v>4</v>
      </c>
      <c r="G17" s="22">
        <f>IF('Growth (no penalty)'!F146&gt;0,1,IF('Growth (no penalty)'!F249&gt;0,4,0))</f>
        <v>4</v>
      </c>
      <c r="H17" s="22">
        <f>IF('Growth (no penalty)'!G146&gt;0,1,IF('Growth (no penalty)'!G249&gt;0,4,0))</f>
        <v>4</v>
      </c>
      <c r="I17" s="22">
        <f>IF('Growth (no penalty)'!H146&gt;0,1,IF('Growth (no penalty)'!H249&gt;0,4,0))</f>
        <v>4</v>
      </c>
      <c r="J17" s="22">
        <f>IF('Growth (no penalty)'!I146&gt;0,1,IF('Growth (no penalty)'!I249&gt;0,4,0))</f>
        <v>4</v>
      </c>
      <c r="K17" s="22">
        <f>IF('Growth (no penalty)'!J146&gt;0,1,IF('Growth (no penalty)'!J249&gt;0,4,0))</f>
        <v>4</v>
      </c>
      <c r="L17" s="22">
        <f>IF('Growth (no penalty)'!K146&gt;0,1,IF('Growth (no penalty)'!K249&gt;0,4,0))</f>
        <v>4</v>
      </c>
      <c r="M17" s="22">
        <f>IF('Growth (no penalty)'!L146&gt;0,1,IF('Growth (no penalty)'!L249&gt;0,4,0))</f>
        <v>4</v>
      </c>
      <c r="N17" s="22">
        <f>IF('Growth (no penalty)'!M146&gt;0,1,IF('Growth (no penalty)'!M249&gt;0,4,0))</f>
        <v>4</v>
      </c>
      <c r="O17" s="22">
        <f>IF('Growth (no penalty)'!N146&gt;0,1,IF('Growth (no penalty)'!N249&gt;0,4,0))</f>
        <v>4</v>
      </c>
      <c r="P17" s="22">
        <f>IF('Growth (no penalty)'!O146&gt;0,1,IF('Growth (no penalty)'!O249&gt;0,4,0))</f>
        <v>4</v>
      </c>
      <c r="Q17" s="22">
        <f>IF('Growth (no penalty)'!P146&gt;0,1,IF('Growth (no penalty)'!P249&gt;0,4,0))</f>
        <v>4</v>
      </c>
      <c r="R17" s="22">
        <f>IF('Growth (no penalty)'!Q146&gt;0,1,IF('Growth (no penalty)'!Q249&gt;0,4,0))</f>
        <v>4</v>
      </c>
      <c r="S17" s="22">
        <f>IF('Growth (no penalty)'!R146&gt;0,1,IF('Growth (no penalty)'!R249&gt;0,4,0))</f>
        <v>4</v>
      </c>
      <c r="T17" s="22">
        <f>IF('Growth (no penalty)'!S146&gt;0,1,IF('Growth (no penalty)'!S249&gt;0,4,0))</f>
        <v>4</v>
      </c>
      <c r="U17" s="22">
        <f>IF('Growth (no penalty)'!T146&gt;0,1,IF('Growth (no penalty)'!T249&gt;0,4,0))</f>
        <v>4</v>
      </c>
      <c r="V17" s="22">
        <f>IF('Growth (no penalty)'!U146&gt;0,1,IF('Growth (no penalty)'!U249&gt;0,4,0))</f>
        <v>4</v>
      </c>
      <c r="W17" s="22">
        <f>IF('Growth (no penalty)'!V146&gt;0,1,IF('Growth (no penalty)'!V249&gt;0,4,0))</f>
        <v>4</v>
      </c>
      <c r="X17" s="22">
        <f>IF('Growth (no penalty)'!W146&gt;0,1,IF('Growth (no penalty)'!W249&gt;0,4,0))</f>
        <v>4</v>
      </c>
      <c r="Y17" s="22">
        <f>IF('Growth (no penalty)'!X146&gt;0,1,IF('Growth (no penalty)'!X249&gt;0,4,0))</f>
        <v>4</v>
      </c>
      <c r="Z17" s="22">
        <f>IF('Growth (no penalty)'!Y146&gt;0,1,IF('Growth (no penalty)'!Y249&gt;0,4,0))</f>
        <v>4</v>
      </c>
      <c r="AA17" s="22">
        <f>IF('Growth (no penalty)'!Z146&gt;0,1,IF('Growth (no penalty)'!Z249&gt;0,4,0))</f>
        <v>4</v>
      </c>
      <c r="AB17" s="22">
        <f>IF('Growth (no penalty)'!AA146&gt;0,1,IF('Growth (no penalty)'!AA249&gt;0,4,0))</f>
        <v>4</v>
      </c>
      <c r="AC17" s="22">
        <f>IF('Growth (no penalty)'!AB146&gt;0,1,IF('Growth (no penalty)'!AB249&gt;0,4,0))</f>
        <v>4</v>
      </c>
      <c r="AD17" s="22">
        <f>IF('Growth (no penalty)'!AC146&gt;0,1,IF('Growth (no penalty)'!AC249&gt;0,4,0))</f>
        <v>4</v>
      </c>
      <c r="AE17" s="22">
        <f>IF('Growth (no penalty)'!AD146&gt;0,1,IF('Growth (no penalty)'!AD249&gt;0,4,0))</f>
        <v>4</v>
      </c>
      <c r="AF17" s="22">
        <f>IF('Growth (no penalty)'!AE146&gt;0,1,IF('Growth (no penalty)'!AE249&gt;0,4,0))</f>
        <v>4</v>
      </c>
      <c r="AG17" s="22">
        <f>IF('Growth (no penalty)'!AF146&gt;0,1,IF('Growth (no penalty)'!AF249&gt;0,4,0))</f>
        <v>4</v>
      </c>
      <c r="AH17" s="22">
        <f>IF('Growth (no penalty)'!AG146&gt;0,1,IF('Growth (no penalty)'!AG249&gt;0,4,0))</f>
        <v>4</v>
      </c>
      <c r="AI17" s="22">
        <f>IF('Growth (no penalty)'!AH146&gt;0,1,IF('Growth (no penalty)'!AH249&gt;0,4,0))</f>
        <v>4</v>
      </c>
      <c r="AJ17" s="22">
        <f>IF('Growth (no penalty)'!AI146&gt;0,1,IF('Growth (no penalty)'!AI249&gt;0,4,0))</f>
        <v>4</v>
      </c>
      <c r="AK17" s="22">
        <f>IF('Growth (no penalty)'!AJ146&gt;0,1,IF('Growth (no penalty)'!AJ249&gt;0,4,0))</f>
        <v>4</v>
      </c>
      <c r="AL17" s="22">
        <f>IF('Growth (no penalty)'!AK146&gt;0,1,IF('Growth (no penalty)'!AK249&gt;0,4,0))</f>
        <v>4</v>
      </c>
      <c r="AM17" s="22">
        <f>IF('Growth (no penalty)'!AL146&gt;0,1,IF('Growth (no penalty)'!AL249&gt;0,4,0))</f>
        <v>4</v>
      </c>
      <c r="AN17" s="22">
        <f>IF('Growth (no penalty)'!AM146&gt;0,1,IF('Growth (no penalty)'!AM249&gt;0,4,0))</f>
        <v>4</v>
      </c>
      <c r="AO17" s="22">
        <f>IF('Growth (no penalty)'!AN146&gt;0,1,IF('Growth (no penalty)'!AN249&gt;0,4,0))</f>
        <v>4</v>
      </c>
      <c r="AP17" s="22">
        <f>IF('Growth (no penalty)'!AO146&gt;0,1,IF('Growth (no penalty)'!AO249&gt;0,4,0))</f>
        <v>4</v>
      </c>
      <c r="AQ17" s="22">
        <f>IF('Growth (no penalty)'!AP146&gt;0,1,IF('Growth (no penalty)'!AP249&gt;0,4,0))</f>
        <v>4</v>
      </c>
      <c r="AR17" s="22">
        <f>IF('Growth (no penalty)'!AQ146&gt;0,1,IF('Growth (no penalty)'!AQ249&gt;0,4,0))</f>
        <v>4</v>
      </c>
      <c r="AS17" s="22">
        <f>IF('Growth (no penalty)'!AR146&gt;0,1,IF('Growth (no penalty)'!AR249&gt;0,4,0))</f>
        <v>4</v>
      </c>
      <c r="AT17" s="22">
        <f>IF('Growth (no penalty)'!AS146&gt;0,1,IF('Growth (no penalty)'!AS249&gt;0,4,0))</f>
        <v>0</v>
      </c>
      <c r="AU17" s="22">
        <f>IF('Growth (no penalty)'!AT146&gt;0,1,IF('Growth (no penalty)'!AT249&gt;0,4,0))</f>
        <v>0</v>
      </c>
      <c r="AV17" s="22">
        <f>IF('Growth (no penalty)'!AU146&gt;0,1,IF('Growth (no penalty)'!AU249&gt;0,4,0))</f>
        <v>0</v>
      </c>
      <c r="AW17" s="22">
        <f>IF('Growth (no penalty)'!AV146&gt;0,1,IF('Growth (no penalty)'!AV249&gt;0,4,0))</f>
        <v>0</v>
      </c>
      <c r="AX17" s="22">
        <f>IF('Growth (no penalty)'!AW146&gt;0,1,IF('Growth (no penalty)'!AW249&gt;0,4,0))</f>
        <v>0</v>
      </c>
      <c r="AY17" s="22">
        <f>IF('Growth (no penalty)'!AX146&gt;0,1,IF('Growth (no penalty)'!AX249&gt;0,4,0))</f>
        <v>0</v>
      </c>
      <c r="AZ17" s="22">
        <f>IF('Growth (no penalty)'!AY146&gt;0,1,IF('Growth (no penalty)'!AY249&gt;0,4,0))</f>
        <v>0</v>
      </c>
      <c r="BA17" s="22">
        <f>IF('Growth (no penalty)'!AZ146&gt;0,1,IF('Growth (no penalty)'!AZ249&gt;0,4,0))</f>
        <v>0</v>
      </c>
      <c r="BB17" s="22">
        <f>IF('Growth (no penalty)'!BA146&gt;0,1,IF('Growth (no penalty)'!BA249&gt;0,4,0))</f>
        <v>0</v>
      </c>
      <c r="BC17" s="22">
        <f>IF('Growth (no penalty)'!BB146&gt;0,1,IF('Growth (no penalty)'!BB249&gt;0,4,0))</f>
        <v>0</v>
      </c>
      <c r="BD17" s="22">
        <f>IF('Growth (no penalty)'!BC146&gt;0,1,IF('Growth (no penalty)'!BC249&gt;0,4,0))</f>
        <v>0</v>
      </c>
      <c r="BE17" s="22">
        <f>IF('Growth (no penalty)'!BD146&gt;0,1,IF('Growth (no penalty)'!BD249&gt;0,4,0))</f>
        <v>0</v>
      </c>
      <c r="BF17" s="22">
        <f>IF('Growth (no penalty)'!BE146&gt;0,1,IF('Growth (no penalty)'!BE249&gt;0,4,0))</f>
        <v>0</v>
      </c>
      <c r="BG17" s="22">
        <f>IF('Growth (no penalty)'!BF146&gt;0,1,IF('Growth (no penalty)'!BF249&gt;0,4,0))</f>
        <v>0</v>
      </c>
      <c r="BH17" s="22">
        <f>IF('Growth (no penalty)'!BG146&gt;0,1,IF('Growth (no penalty)'!BG249&gt;0,4,0))</f>
        <v>0</v>
      </c>
      <c r="BI17" s="22">
        <f>IF('Growth (no penalty)'!BH146&gt;0,1,IF('Growth (no penalty)'!BH249&gt;0,4,0))</f>
        <v>0</v>
      </c>
      <c r="BJ17" s="22">
        <f>IF('Growth (no penalty)'!BI146&gt;0,1,IF('Growth (no penalty)'!BI249&gt;0,4,0))</f>
        <v>0</v>
      </c>
      <c r="BK17" s="23">
        <f>IF('Growth (no penalty)'!BJ146&gt;0,1,IF('Growth (no penalty)'!BJ249&gt;0,4,0))</f>
        <v>0</v>
      </c>
    </row>
    <row r="18" spans="1:63" x14ac:dyDescent="0.3">
      <c r="A18" s="4" t="str">
        <f>'Growth profile'!A40</f>
        <v>project 32</v>
      </c>
      <c r="B18" s="13" t="s">
        <v>3</v>
      </c>
      <c r="C18" s="19">
        <f>'Raw profile'!I40</f>
        <v>2026</v>
      </c>
      <c r="D18" s="20">
        <f>IF('Raw profile'!C148&gt;0,1,IF('Raw profile'!C251&gt;0,2,0))</f>
        <v>1</v>
      </c>
      <c r="E18" s="20">
        <f>IF('Raw profile'!D148&gt;0,1,IF('Raw profile'!D251&gt;0,2,0))</f>
        <v>1</v>
      </c>
      <c r="F18" s="20">
        <f>IF('Raw profile'!E148&gt;0,1,IF('Raw profile'!E251&gt;0,2,0))</f>
        <v>1</v>
      </c>
      <c r="G18" s="20">
        <f>IF('Raw profile'!F148&gt;0,1,IF('Raw profile'!F251&gt;0,2,0))</f>
        <v>2</v>
      </c>
      <c r="H18" s="20">
        <f>IF('Raw profile'!G148&gt;0,1,IF('Raw profile'!G251&gt;0,2,0))</f>
        <v>2</v>
      </c>
      <c r="I18" s="20">
        <f>IF('Raw profile'!H148&gt;0,1,IF('Raw profile'!H251&gt;0,2,0))</f>
        <v>2</v>
      </c>
      <c r="J18" s="20">
        <f>IF('Raw profile'!I148&gt;0,1,IF('Raw profile'!I251&gt;0,2,0))</f>
        <v>2</v>
      </c>
      <c r="K18" s="20">
        <f>IF('Raw profile'!J148&gt;0,1,IF('Raw profile'!J251&gt;0,2,0))</f>
        <v>2</v>
      </c>
      <c r="L18" s="20">
        <f>IF('Raw profile'!K148&gt;0,1,IF('Raw profile'!K251&gt;0,2,0))</f>
        <v>2</v>
      </c>
      <c r="M18" s="20">
        <f>IF('Raw profile'!L148&gt;0,1,IF('Raw profile'!L251&gt;0,2,0))</f>
        <v>2</v>
      </c>
      <c r="N18" s="20">
        <f>IF('Raw profile'!M148&gt;0,1,IF('Raw profile'!M251&gt;0,2,0))</f>
        <v>2</v>
      </c>
      <c r="O18" s="20">
        <f>IF('Raw profile'!N148&gt;0,1,IF('Raw profile'!N251&gt;0,2,0))</f>
        <v>2</v>
      </c>
      <c r="P18" s="20">
        <f>IF('Raw profile'!O148&gt;0,1,IF('Raw profile'!O251&gt;0,2,0))</f>
        <v>2</v>
      </c>
      <c r="Q18" s="20">
        <f>IF('Raw profile'!P148&gt;0,1,IF('Raw profile'!P251&gt;0,2,0))</f>
        <v>2</v>
      </c>
      <c r="R18" s="20">
        <f>IF('Raw profile'!Q148&gt;0,1,IF('Raw profile'!Q251&gt;0,2,0))</f>
        <v>2</v>
      </c>
      <c r="S18" s="20">
        <f>IF('Raw profile'!R148&gt;0,1,IF('Raw profile'!R251&gt;0,2,0))</f>
        <v>2</v>
      </c>
      <c r="T18" s="20">
        <f>IF('Raw profile'!S148&gt;0,1,IF('Raw profile'!S251&gt;0,2,0))</f>
        <v>2</v>
      </c>
      <c r="U18" s="20">
        <f>IF('Raw profile'!T148&gt;0,1,IF('Raw profile'!T251&gt;0,2,0))</f>
        <v>2</v>
      </c>
      <c r="V18" s="20">
        <f>IF('Raw profile'!U148&gt;0,1,IF('Raw profile'!U251&gt;0,2,0))</f>
        <v>2</v>
      </c>
      <c r="W18" s="20">
        <f>IF('Raw profile'!V148&gt;0,1,IF('Raw profile'!V251&gt;0,2,0))</f>
        <v>2</v>
      </c>
      <c r="X18" s="20">
        <f>IF('Raw profile'!W148&gt;0,1,IF('Raw profile'!W251&gt;0,2,0))</f>
        <v>2</v>
      </c>
      <c r="Y18" s="20">
        <f>IF('Raw profile'!X148&gt;0,1,IF('Raw profile'!X251&gt;0,2,0))</f>
        <v>2</v>
      </c>
      <c r="Z18" s="20">
        <f>IF('Raw profile'!Y148&gt;0,1,IF('Raw profile'!Y251&gt;0,2,0))</f>
        <v>2</v>
      </c>
      <c r="AA18" s="20">
        <f>IF('Raw profile'!Z148&gt;0,1,IF('Raw profile'!Z251&gt;0,2,0))</f>
        <v>2</v>
      </c>
      <c r="AB18" s="20">
        <f>IF('Raw profile'!AA148&gt;0,1,IF('Raw profile'!AA251&gt;0,2,0))</f>
        <v>2</v>
      </c>
      <c r="AC18" s="20">
        <f>IF('Raw profile'!AB148&gt;0,1,IF('Raw profile'!AB251&gt;0,2,0))</f>
        <v>2</v>
      </c>
      <c r="AD18" s="20">
        <f>IF('Raw profile'!AC148&gt;0,1,IF('Raw profile'!AC251&gt;0,2,0))</f>
        <v>2</v>
      </c>
      <c r="AE18" s="20">
        <f>IF('Raw profile'!AD148&gt;0,1,IF('Raw profile'!AD251&gt;0,2,0))</f>
        <v>2</v>
      </c>
      <c r="AF18" s="20">
        <f>IF('Raw profile'!AE148&gt;0,1,IF('Raw profile'!AE251&gt;0,2,0))</f>
        <v>2</v>
      </c>
      <c r="AG18" s="20">
        <f>IF('Raw profile'!AF148&gt;0,1,IF('Raw profile'!AF251&gt;0,2,0))</f>
        <v>2</v>
      </c>
      <c r="AH18" s="20">
        <f>IF('Raw profile'!AG148&gt;0,1,IF('Raw profile'!AG251&gt;0,2,0))</f>
        <v>2</v>
      </c>
      <c r="AI18" s="20">
        <f>IF('Raw profile'!AH148&gt;0,1,IF('Raw profile'!AH251&gt;0,2,0))</f>
        <v>2</v>
      </c>
      <c r="AJ18" s="20">
        <f>IF('Raw profile'!AI148&gt;0,1,IF('Raw profile'!AI251&gt;0,2,0))</f>
        <v>2</v>
      </c>
      <c r="AK18" s="20">
        <f>IF('Raw profile'!AJ148&gt;0,1,IF('Raw profile'!AJ251&gt;0,2,0))</f>
        <v>2</v>
      </c>
      <c r="AL18" s="20">
        <f>IF('Raw profile'!AK148&gt;0,1,IF('Raw profile'!AK251&gt;0,2,0))</f>
        <v>2</v>
      </c>
      <c r="AM18" s="20">
        <f>IF('Raw profile'!AL148&gt;0,1,IF('Raw profile'!AL251&gt;0,2,0))</f>
        <v>2</v>
      </c>
      <c r="AN18" s="20">
        <f>IF('Raw profile'!AM148&gt;0,1,IF('Raw profile'!AM251&gt;0,2,0))</f>
        <v>2</v>
      </c>
      <c r="AO18" s="20">
        <f>IF('Raw profile'!AN148&gt;0,1,IF('Raw profile'!AN251&gt;0,2,0))</f>
        <v>2</v>
      </c>
      <c r="AP18" s="20">
        <f>IF('Raw profile'!AO148&gt;0,1,IF('Raw profile'!AO251&gt;0,2,0))</f>
        <v>2</v>
      </c>
      <c r="AQ18" s="20">
        <f>IF('Raw profile'!AP148&gt;0,1,IF('Raw profile'!AP251&gt;0,2,0))</f>
        <v>2</v>
      </c>
      <c r="AR18" s="20">
        <f>IF('Raw profile'!AQ148&gt;0,1,IF('Raw profile'!AQ251&gt;0,2,0))</f>
        <v>2</v>
      </c>
      <c r="AS18" s="20">
        <f>IF('Raw profile'!AR148&gt;0,1,IF('Raw profile'!AR251&gt;0,2,0))</f>
        <v>2</v>
      </c>
      <c r="AT18" s="20">
        <f>IF('Raw profile'!AS148&gt;0,1,IF('Raw profile'!AS251&gt;0,2,0))</f>
        <v>2</v>
      </c>
      <c r="AU18" s="20">
        <f>IF('Raw profile'!AT148&gt;0,1,IF('Raw profile'!AT251&gt;0,2,0))</f>
        <v>0</v>
      </c>
      <c r="AV18" s="20">
        <f>IF('Raw profile'!AU148&gt;0,1,IF('Raw profile'!AU251&gt;0,2,0))</f>
        <v>0</v>
      </c>
      <c r="AW18" s="20">
        <f>IF('Raw profile'!AV148&gt;0,1,IF('Raw profile'!AV251&gt;0,2,0))</f>
        <v>0</v>
      </c>
      <c r="AX18" s="20">
        <f>IF('Raw profile'!AW148&gt;0,1,IF('Raw profile'!AW251&gt;0,2,0))</f>
        <v>0</v>
      </c>
      <c r="AY18" s="20">
        <f>IF('Raw profile'!AX148&gt;0,1,IF('Raw profile'!AX251&gt;0,2,0))</f>
        <v>0</v>
      </c>
      <c r="AZ18" s="20">
        <f>IF('Raw profile'!AY148&gt;0,1,IF('Raw profile'!AY251&gt;0,2,0))</f>
        <v>0</v>
      </c>
      <c r="BA18" s="20">
        <f>IF('Raw profile'!AZ148&gt;0,1,IF('Raw profile'!AZ251&gt;0,2,0))</f>
        <v>0</v>
      </c>
      <c r="BB18" s="20">
        <f>IF('Raw profile'!BA148&gt;0,1,IF('Raw profile'!BA251&gt;0,2,0))</f>
        <v>0</v>
      </c>
      <c r="BC18" s="20">
        <f>IF('Raw profile'!BB148&gt;0,1,IF('Raw profile'!BB251&gt;0,2,0))</f>
        <v>0</v>
      </c>
      <c r="BD18" s="20">
        <f>IF('Raw profile'!BC148&gt;0,1,IF('Raw profile'!BC251&gt;0,2,0))</f>
        <v>0</v>
      </c>
      <c r="BE18" s="20">
        <f>IF('Raw profile'!BD148&gt;0,1,IF('Raw profile'!BD251&gt;0,2,0))</f>
        <v>0</v>
      </c>
      <c r="BF18" s="20">
        <f>IF('Raw profile'!BE148&gt;0,1,IF('Raw profile'!BE251&gt;0,2,0))</f>
        <v>0</v>
      </c>
      <c r="BG18" s="20">
        <f>IF('Raw profile'!BF148&gt;0,1,IF('Raw profile'!BF251&gt;0,2,0))</f>
        <v>0</v>
      </c>
      <c r="BH18" s="20">
        <f>IF('Raw profile'!BG148&gt;0,1,IF('Raw profile'!BG251&gt;0,2,0))</f>
        <v>0</v>
      </c>
      <c r="BI18" s="20">
        <f>IF('Raw profile'!BH148&gt;0,1,IF('Raw profile'!BH251&gt;0,2,0))</f>
        <v>0</v>
      </c>
      <c r="BJ18" s="20">
        <f>IF('Raw profile'!BI148&gt;0,1,IF('Raw profile'!BI251&gt;0,2,0))</f>
        <v>0</v>
      </c>
      <c r="BK18" s="21">
        <f>IF('Raw profile'!BJ148&gt;0,1,IF('Raw profile'!BJ251&gt;0,2,0))</f>
        <v>0</v>
      </c>
    </row>
    <row r="19" spans="1:63" x14ac:dyDescent="0.3">
      <c r="B19" s="13" t="s">
        <v>4</v>
      </c>
      <c r="C19" s="19">
        <f>'Growth profile'!I40</f>
        <v>2026</v>
      </c>
      <c r="D19" s="20">
        <f>IF('Growth profile'!C148&gt;0,1,IF('Growth profile'!C251&gt;0,3,0))</f>
        <v>1</v>
      </c>
      <c r="E19" s="20">
        <f>IF('Growth profile'!D148&gt;0,1,IF('Growth profile'!D251&gt;0,3,0))</f>
        <v>1</v>
      </c>
      <c r="F19" s="20">
        <f>IF('Growth profile'!E148&gt;0,1,IF('Growth profile'!E251&gt;0,3,0))</f>
        <v>1</v>
      </c>
      <c r="G19" s="20">
        <f>IF('Growth profile'!F148&gt;0,1,IF('Growth profile'!F251&gt;0,3,0))</f>
        <v>3</v>
      </c>
      <c r="H19" s="20">
        <f>IF('Growth profile'!G148&gt;0,1,IF('Growth profile'!G251&gt;0,3,0))</f>
        <v>3</v>
      </c>
      <c r="I19" s="20">
        <f>IF('Growth profile'!H148&gt;0,1,IF('Growth profile'!H251&gt;0,3,0))</f>
        <v>3</v>
      </c>
      <c r="J19" s="20">
        <f>IF('Growth profile'!I148&gt;0,1,IF('Growth profile'!I251&gt;0,3,0))</f>
        <v>3</v>
      </c>
      <c r="K19" s="20">
        <f>IF('Growth profile'!J148&gt;0,1,IF('Growth profile'!J251&gt;0,3,0))</f>
        <v>3</v>
      </c>
      <c r="L19" s="20">
        <f>IF('Growth profile'!K148&gt;0,1,IF('Growth profile'!K251&gt;0,3,0))</f>
        <v>3</v>
      </c>
      <c r="M19" s="20">
        <f>IF('Growth profile'!L148&gt;0,1,IF('Growth profile'!L251&gt;0,3,0))</f>
        <v>3</v>
      </c>
      <c r="N19" s="20">
        <f>IF('Growth profile'!M148&gt;0,1,IF('Growth profile'!M251&gt;0,3,0))</f>
        <v>3</v>
      </c>
      <c r="O19" s="20">
        <f>IF('Growth profile'!N148&gt;0,1,IF('Growth profile'!N251&gt;0,3,0))</f>
        <v>3</v>
      </c>
      <c r="P19" s="20">
        <f>IF('Growth profile'!O148&gt;0,1,IF('Growth profile'!O251&gt;0,3,0))</f>
        <v>3</v>
      </c>
      <c r="Q19" s="20">
        <f>IF('Growth profile'!P148&gt;0,1,IF('Growth profile'!P251&gt;0,3,0))</f>
        <v>3</v>
      </c>
      <c r="R19" s="20">
        <f>IF('Growth profile'!Q148&gt;0,1,IF('Growth profile'!Q251&gt;0,3,0))</f>
        <v>3</v>
      </c>
      <c r="S19" s="20">
        <f>IF('Growth profile'!R148&gt;0,1,IF('Growth profile'!R251&gt;0,3,0))</f>
        <v>3</v>
      </c>
      <c r="T19" s="20">
        <f>IF('Growth profile'!S148&gt;0,1,IF('Growth profile'!S251&gt;0,3,0))</f>
        <v>3</v>
      </c>
      <c r="U19" s="20">
        <f>IF('Growth profile'!T148&gt;0,1,IF('Growth profile'!T251&gt;0,3,0))</f>
        <v>3</v>
      </c>
      <c r="V19" s="20">
        <f>IF('Growth profile'!U148&gt;0,1,IF('Growth profile'!U251&gt;0,3,0))</f>
        <v>3</v>
      </c>
      <c r="W19" s="20">
        <f>IF('Growth profile'!V148&gt;0,1,IF('Growth profile'!V251&gt;0,3,0))</f>
        <v>3</v>
      </c>
      <c r="X19" s="20">
        <f>IF('Growth profile'!W148&gt;0,1,IF('Growth profile'!W251&gt;0,3,0))</f>
        <v>3</v>
      </c>
      <c r="Y19" s="20">
        <f>IF('Growth profile'!X148&gt;0,1,IF('Growth profile'!X251&gt;0,3,0))</f>
        <v>3</v>
      </c>
      <c r="Z19" s="20">
        <f>IF('Growth profile'!Y148&gt;0,1,IF('Growth profile'!Y251&gt;0,3,0))</f>
        <v>3</v>
      </c>
      <c r="AA19" s="20">
        <f>IF('Growth profile'!Z148&gt;0,1,IF('Growth profile'!Z251&gt;0,3,0))</f>
        <v>3</v>
      </c>
      <c r="AB19" s="20">
        <f>IF('Growth profile'!AA148&gt;0,1,IF('Growth profile'!AA251&gt;0,3,0))</f>
        <v>3</v>
      </c>
      <c r="AC19" s="20">
        <f>IF('Growth profile'!AB148&gt;0,1,IF('Growth profile'!AB251&gt;0,3,0))</f>
        <v>3</v>
      </c>
      <c r="AD19" s="20">
        <f>IF('Growth profile'!AC148&gt;0,1,IF('Growth profile'!AC251&gt;0,3,0))</f>
        <v>3</v>
      </c>
      <c r="AE19" s="20">
        <f>IF('Growth profile'!AD148&gt;0,1,IF('Growth profile'!AD251&gt;0,3,0))</f>
        <v>3</v>
      </c>
      <c r="AF19" s="20">
        <f>IF('Growth profile'!AE148&gt;0,1,IF('Growth profile'!AE251&gt;0,3,0))</f>
        <v>3</v>
      </c>
      <c r="AG19" s="20">
        <f>IF('Growth profile'!AF148&gt;0,1,IF('Growth profile'!AF251&gt;0,3,0))</f>
        <v>3</v>
      </c>
      <c r="AH19" s="20">
        <f>IF('Growth profile'!AG148&gt;0,1,IF('Growth profile'!AG251&gt;0,3,0))</f>
        <v>3</v>
      </c>
      <c r="AI19" s="20">
        <f>IF('Growth profile'!AH148&gt;0,1,IF('Growth profile'!AH251&gt;0,3,0))</f>
        <v>3</v>
      </c>
      <c r="AJ19" s="20">
        <f>IF('Growth profile'!AI148&gt;0,1,IF('Growth profile'!AI251&gt;0,3,0))</f>
        <v>3</v>
      </c>
      <c r="AK19" s="20">
        <f>IF('Growth profile'!AJ148&gt;0,1,IF('Growth profile'!AJ251&gt;0,3,0))</f>
        <v>3</v>
      </c>
      <c r="AL19" s="20">
        <f>IF('Growth profile'!AK148&gt;0,1,IF('Growth profile'!AK251&gt;0,3,0))</f>
        <v>3</v>
      </c>
      <c r="AM19" s="20">
        <f>IF('Growth profile'!AL148&gt;0,1,IF('Growth profile'!AL251&gt;0,3,0))</f>
        <v>3</v>
      </c>
      <c r="AN19" s="20">
        <f>IF('Growth profile'!AM148&gt;0,1,IF('Growth profile'!AM251&gt;0,3,0))</f>
        <v>3</v>
      </c>
      <c r="AO19" s="20">
        <f>IF('Growth profile'!AN148&gt;0,1,IF('Growth profile'!AN251&gt;0,3,0))</f>
        <v>3</v>
      </c>
      <c r="AP19" s="20">
        <f>IF('Growth profile'!AO148&gt;0,1,IF('Growth profile'!AO251&gt;0,3,0))</f>
        <v>3</v>
      </c>
      <c r="AQ19" s="20">
        <f>IF('Growth profile'!AP148&gt;0,1,IF('Growth profile'!AP251&gt;0,3,0))</f>
        <v>3</v>
      </c>
      <c r="AR19" s="20">
        <f>IF('Growth profile'!AQ148&gt;0,1,IF('Growth profile'!AQ251&gt;0,3,0))</f>
        <v>3</v>
      </c>
      <c r="AS19" s="20">
        <f>IF('Growth profile'!AR148&gt;0,1,IF('Growth profile'!AR251&gt;0,3,0))</f>
        <v>3</v>
      </c>
      <c r="AT19" s="20">
        <f>IF('Growth profile'!AS148&gt;0,1,IF('Growth profile'!AS251&gt;0,3,0))</f>
        <v>3</v>
      </c>
      <c r="AU19" s="20">
        <f>IF('Growth profile'!AT148&gt;0,1,IF('Growth profile'!AT251&gt;0,3,0))</f>
        <v>0</v>
      </c>
      <c r="AV19" s="20">
        <f>IF('Growth profile'!AU148&gt;0,1,IF('Growth profile'!AU251&gt;0,3,0))</f>
        <v>0</v>
      </c>
      <c r="AW19" s="20">
        <f>IF('Growth profile'!AV148&gt;0,1,IF('Growth profile'!AV251&gt;0,3,0))</f>
        <v>0</v>
      </c>
      <c r="AX19" s="20">
        <f>IF('Growth profile'!AW148&gt;0,1,IF('Growth profile'!AW251&gt;0,3,0))</f>
        <v>0</v>
      </c>
      <c r="AY19" s="20">
        <f>IF('Growth profile'!AX148&gt;0,1,IF('Growth profile'!AX251&gt;0,3,0))</f>
        <v>0</v>
      </c>
      <c r="AZ19" s="20">
        <f>IF('Growth profile'!AY148&gt;0,1,IF('Growth profile'!AY251&gt;0,3,0))</f>
        <v>0</v>
      </c>
      <c r="BA19" s="20">
        <f>IF('Growth profile'!AZ148&gt;0,1,IF('Growth profile'!AZ251&gt;0,3,0))</f>
        <v>0</v>
      </c>
      <c r="BB19" s="20">
        <f>IF('Growth profile'!BA148&gt;0,1,IF('Growth profile'!BA251&gt;0,3,0))</f>
        <v>0</v>
      </c>
      <c r="BC19" s="20">
        <f>IF('Growth profile'!BB148&gt;0,1,IF('Growth profile'!BB251&gt;0,3,0))</f>
        <v>0</v>
      </c>
      <c r="BD19" s="20">
        <f>IF('Growth profile'!BC148&gt;0,1,IF('Growth profile'!BC251&gt;0,3,0))</f>
        <v>0</v>
      </c>
      <c r="BE19" s="20">
        <f>IF('Growth profile'!BD148&gt;0,1,IF('Growth profile'!BD251&gt;0,3,0))</f>
        <v>0</v>
      </c>
      <c r="BF19" s="20">
        <f>IF('Growth profile'!BE148&gt;0,1,IF('Growth profile'!BE251&gt;0,3,0))</f>
        <v>0</v>
      </c>
      <c r="BG19" s="20">
        <f>IF('Growth profile'!BF148&gt;0,1,IF('Growth profile'!BF251&gt;0,3,0))</f>
        <v>0</v>
      </c>
      <c r="BH19" s="20">
        <f>IF('Growth profile'!BG148&gt;0,1,IF('Growth profile'!BG251&gt;0,3,0))</f>
        <v>0</v>
      </c>
      <c r="BI19" s="20">
        <f>IF('Growth profile'!BH148&gt;0,1,IF('Growth profile'!BH251&gt;0,3,0))</f>
        <v>0</v>
      </c>
      <c r="BJ19" s="20">
        <f>IF('Growth profile'!BI148&gt;0,1,IF('Growth profile'!BI251&gt;0,3,0))</f>
        <v>0</v>
      </c>
      <c r="BK19" s="21">
        <f>IF('Growth profile'!BJ148&gt;0,1,IF('Growth profile'!BJ251&gt;0,3,0))</f>
        <v>0</v>
      </c>
    </row>
    <row r="20" spans="1:63" x14ac:dyDescent="0.3">
      <c r="B20" s="13" t="s">
        <v>59</v>
      </c>
      <c r="C20" s="19">
        <f>'Growth (no penalty)'!I40</f>
        <v>2026</v>
      </c>
      <c r="D20" s="22">
        <f>IF('Growth (no penalty)'!C148&gt;0,1,IF('Growth (no penalty)'!C251&gt;0,4,0))</f>
        <v>1</v>
      </c>
      <c r="E20" s="22">
        <f>IF('Growth (no penalty)'!D148&gt;0,1,IF('Growth (no penalty)'!D251&gt;0,4,0))</f>
        <v>1</v>
      </c>
      <c r="F20" s="22">
        <f>IF('Growth (no penalty)'!E148&gt;0,1,IF('Growth (no penalty)'!E251&gt;0,4,0))</f>
        <v>1</v>
      </c>
      <c r="G20" s="22">
        <f>IF('Growth (no penalty)'!F148&gt;0,1,IF('Growth (no penalty)'!F251&gt;0,4,0))</f>
        <v>4</v>
      </c>
      <c r="H20" s="22">
        <f>IF('Growth (no penalty)'!G148&gt;0,1,IF('Growth (no penalty)'!G251&gt;0,4,0))</f>
        <v>4</v>
      </c>
      <c r="I20" s="22">
        <f>IF('Growth (no penalty)'!H148&gt;0,1,IF('Growth (no penalty)'!H251&gt;0,4,0))</f>
        <v>4</v>
      </c>
      <c r="J20" s="22">
        <f>IF('Growth (no penalty)'!I148&gt;0,1,IF('Growth (no penalty)'!I251&gt;0,4,0))</f>
        <v>4</v>
      </c>
      <c r="K20" s="22">
        <f>IF('Growth (no penalty)'!J148&gt;0,1,IF('Growth (no penalty)'!J251&gt;0,4,0))</f>
        <v>4</v>
      </c>
      <c r="L20" s="22">
        <f>IF('Growth (no penalty)'!K148&gt;0,1,IF('Growth (no penalty)'!K251&gt;0,4,0))</f>
        <v>4</v>
      </c>
      <c r="M20" s="22">
        <f>IF('Growth (no penalty)'!L148&gt;0,1,IF('Growth (no penalty)'!L251&gt;0,4,0))</f>
        <v>4</v>
      </c>
      <c r="N20" s="22">
        <f>IF('Growth (no penalty)'!M148&gt;0,1,IF('Growth (no penalty)'!M251&gt;0,4,0))</f>
        <v>4</v>
      </c>
      <c r="O20" s="22">
        <f>IF('Growth (no penalty)'!N148&gt;0,1,IF('Growth (no penalty)'!N251&gt;0,4,0))</f>
        <v>4</v>
      </c>
      <c r="P20" s="22">
        <f>IF('Growth (no penalty)'!O148&gt;0,1,IF('Growth (no penalty)'!O251&gt;0,4,0))</f>
        <v>4</v>
      </c>
      <c r="Q20" s="22">
        <f>IF('Growth (no penalty)'!P148&gt;0,1,IF('Growth (no penalty)'!P251&gt;0,4,0))</f>
        <v>4</v>
      </c>
      <c r="R20" s="22">
        <f>IF('Growth (no penalty)'!Q148&gt;0,1,IF('Growth (no penalty)'!Q251&gt;0,4,0))</f>
        <v>4</v>
      </c>
      <c r="S20" s="22">
        <f>IF('Growth (no penalty)'!R148&gt;0,1,IF('Growth (no penalty)'!R251&gt;0,4,0))</f>
        <v>4</v>
      </c>
      <c r="T20" s="22">
        <f>IF('Growth (no penalty)'!S148&gt;0,1,IF('Growth (no penalty)'!S251&gt;0,4,0))</f>
        <v>4</v>
      </c>
      <c r="U20" s="22">
        <f>IF('Growth (no penalty)'!T148&gt;0,1,IF('Growth (no penalty)'!T251&gt;0,4,0))</f>
        <v>4</v>
      </c>
      <c r="V20" s="22">
        <f>IF('Growth (no penalty)'!U148&gt;0,1,IF('Growth (no penalty)'!U251&gt;0,4,0))</f>
        <v>4</v>
      </c>
      <c r="W20" s="22">
        <f>IF('Growth (no penalty)'!V148&gt;0,1,IF('Growth (no penalty)'!V251&gt;0,4,0))</f>
        <v>4</v>
      </c>
      <c r="X20" s="22">
        <f>IF('Growth (no penalty)'!W148&gt;0,1,IF('Growth (no penalty)'!W251&gt;0,4,0))</f>
        <v>4</v>
      </c>
      <c r="Y20" s="22">
        <f>IF('Growth (no penalty)'!X148&gt;0,1,IF('Growth (no penalty)'!X251&gt;0,4,0))</f>
        <v>4</v>
      </c>
      <c r="Z20" s="22">
        <f>IF('Growth (no penalty)'!Y148&gt;0,1,IF('Growth (no penalty)'!Y251&gt;0,4,0))</f>
        <v>4</v>
      </c>
      <c r="AA20" s="22">
        <f>IF('Growth (no penalty)'!Z148&gt;0,1,IF('Growth (no penalty)'!Z251&gt;0,4,0))</f>
        <v>4</v>
      </c>
      <c r="AB20" s="22">
        <f>IF('Growth (no penalty)'!AA148&gt;0,1,IF('Growth (no penalty)'!AA251&gt;0,4,0))</f>
        <v>4</v>
      </c>
      <c r="AC20" s="22">
        <f>IF('Growth (no penalty)'!AB148&gt;0,1,IF('Growth (no penalty)'!AB251&gt;0,4,0))</f>
        <v>4</v>
      </c>
      <c r="AD20" s="22">
        <f>IF('Growth (no penalty)'!AC148&gt;0,1,IF('Growth (no penalty)'!AC251&gt;0,4,0))</f>
        <v>4</v>
      </c>
      <c r="AE20" s="22">
        <f>IF('Growth (no penalty)'!AD148&gt;0,1,IF('Growth (no penalty)'!AD251&gt;0,4,0))</f>
        <v>4</v>
      </c>
      <c r="AF20" s="22">
        <f>IF('Growth (no penalty)'!AE148&gt;0,1,IF('Growth (no penalty)'!AE251&gt;0,4,0))</f>
        <v>4</v>
      </c>
      <c r="AG20" s="22">
        <f>IF('Growth (no penalty)'!AF148&gt;0,1,IF('Growth (no penalty)'!AF251&gt;0,4,0))</f>
        <v>4</v>
      </c>
      <c r="AH20" s="22">
        <f>IF('Growth (no penalty)'!AG148&gt;0,1,IF('Growth (no penalty)'!AG251&gt;0,4,0))</f>
        <v>4</v>
      </c>
      <c r="AI20" s="22">
        <f>IF('Growth (no penalty)'!AH148&gt;0,1,IF('Growth (no penalty)'!AH251&gt;0,4,0))</f>
        <v>4</v>
      </c>
      <c r="AJ20" s="22">
        <f>IF('Growth (no penalty)'!AI148&gt;0,1,IF('Growth (no penalty)'!AI251&gt;0,4,0))</f>
        <v>4</v>
      </c>
      <c r="AK20" s="22">
        <f>IF('Growth (no penalty)'!AJ148&gt;0,1,IF('Growth (no penalty)'!AJ251&gt;0,4,0))</f>
        <v>4</v>
      </c>
      <c r="AL20" s="22">
        <f>IF('Growth (no penalty)'!AK148&gt;0,1,IF('Growth (no penalty)'!AK251&gt;0,4,0))</f>
        <v>4</v>
      </c>
      <c r="AM20" s="22">
        <f>IF('Growth (no penalty)'!AL148&gt;0,1,IF('Growth (no penalty)'!AL251&gt;0,4,0))</f>
        <v>4</v>
      </c>
      <c r="AN20" s="22">
        <f>IF('Growth (no penalty)'!AM148&gt;0,1,IF('Growth (no penalty)'!AM251&gt;0,4,0))</f>
        <v>4</v>
      </c>
      <c r="AO20" s="22">
        <f>IF('Growth (no penalty)'!AN148&gt;0,1,IF('Growth (no penalty)'!AN251&gt;0,4,0))</f>
        <v>4</v>
      </c>
      <c r="AP20" s="22">
        <f>IF('Growth (no penalty)'!AO148&gt;0,1,IF('Growth (no penalty)'!AO251&gt;0,4,0))</f>
        <v>4</v>
      </c>
      <c r="AQ20" s="22">
        <f>IF('Growth (no penalty)'!AP148&gt;0,1,IF('Growth (no penalty)'!AP251&gt;0,4,0))</f>
        <v>4</v>
      </c>
      <c r="AR20" s="22">
        <f>IF('Growth (no penalty)'!AQ148&gt;0,1,IF('Growth (no penalty)'!AQ251&gt;0,4,0))</f>
        <v>4</v>
      </c>
      <c r="AS20" s="22">
        <f>IF('Growth (no penalty)'!AR148&gt;0,1,IF('Growth (no penalty)'!AR251&gt;0,4,0))</f>
        <v>4</v>
      </c>
      <c r="AT20" s="22">
        <f>IF('Growth (no penalty)'!AS148&gt;0,1,IF('Growth (no penalty)'!AS251&gt;0,4,0))</f>
        <v>4</v>
      </c>
      <c r="AU20" s="22">
        <f>IF('Growth (no penalty)'!AT148&gt;0,1,IF('Growth (no penalty)'!AT251&gt;0,4,0))</f>
        <v>0</v>
      </c>
      <c r="AV20" s="22">
        <f>IF('Growth (no penalty)'!AU148&gt;0,1,IF('Growth (no penalty)'!AU251&gt;0,4,0))</f>
        <v>0</v>
      </c>
      <c r="AW20" s="22">
        <f>IF('Growth (no penalty)'!AV148&gt;0,1,IF('Growth (no penalty)'!AV251&gt;0,4,0))</f>
        <v>0</v>
      </c>
      <c r="AX20" s="22">
        <f>IF('Growth (no penalty)'!AW148&gt;0,1,IF('Growth (no penalty)'!AW251&gt;0,4,0))</f>
        <v>0</v>
      </c>
      <c r="AY20" s="22">
        <f>IF('Growth (no penalty)'!AX148&gt;0,1,IF('Growth (no penalty)'!AX251&gt;0,4,0))</f>
        <v>0</v>
      </c>
      <c r="AZ20" s="22">
        <f>IF('Growth (no penalty)'!AY148&gt;0,1,IF('Growth (no penalty)'!AY251&gt;0,4,0))</f>
        <v>0</v>
      </c>
      <c r="BA20" s="22">
        <f>IF('Growth (no penalty)'!AZ148&gt;0,1,IF('Growth (no penalty)'!AZ251&gt;0,4,0))</f>
        <v>0</v>
      </c>
      <c r="BB20" s="22">
        <f>IF('Growth (no penalty)'!BA148&gt;0,1,IF('Growth (no penalty)'!BA251&gt;0,4,0))</f>
        <v>0</v>
      </c>
      <c r="BC20" s="22">
        <f>IF('Growth (no penalty)'!BB148&gt;0,1,IF('Growth (no penalty)'!BB251&gt;0,4,0))</f>
        <v>0</v>
      </c>
      <c r="BD20" s="22">
        <f>IF('Growth (no penalty)'!BC148&gt;0,1,IF('Growth (no penalty)'!BC251&gt;0,4,0))</f>
        <v>0</v>
      </c>
      <c r="BE20" s="22">
        <f>IF('Growth (no penalty)'!BD148&gt;0,1,IF('Growth (no penalty)'!BD251&gt;0,4,0))</f>
        <v>0</v>
      </c>
      <c r="BF20" s="22">
        <f>IF('Growth (no penalty)'!BE148&gt;0,1,IF('Growth (no penalty)'!BE251&gt;0,4,0))</f>
        <v>0</v>
      </c>
      <c r="BG20" s="22">
        <f>IF('Growth (no penalty)'!BF148&gt;0,1,IF('Growth (no penalty)'!BF251&gt;0,4,0))</f>
        <v>0</v>
      </c>
      <c r="BH20" s="22">
        <f>IF('Growth (no penalty)'!BG148&gt;0,1,IF('Growth (no penalty)'!BG251&gt;0,4,0))</f>
        <v>0</v>
      </c>
      <c r="BI20" s="22">
        <f>IF('Growth (no penalty)'!BH148&gt;0,1,IF('Growth (no penalty)'!BH251&gt;0,4,0))</f>
        <v>0</v>
      </c>
      <c r="BJ20" s="22">
        <f>IF('Growth (no penalty)'!BI148&gt;0,1,IF('Growth (no penalty)'!BI251&gt;0,4,0))</f>
        <v>0</v>
      </c>
      <c r="BK20" s="23">
        <f>IF('Growth (no penalty)'!BJ148&gt;0,1,IF('Growth (no penalty)'!BJ251&gt;0,4,0))</f>
        <v>0</v>
      </c>
    </row>
    <row r="21" spans="1:63" x14ac:dyDescent="0.3">
      <c r="A21" s="4" t="str">
        <f>'Growth profile'!A59</f>
        <v>project 64</v>
      </c>
      <c r="B21" s="13" t="s">
        <v>3</v>
      </c>
      <c r="C21" s="19">
        <f>'Raw profile'!I59</f>
        <v>2026</v>
      </c>
      <c r="D21" s="20">
        <f>IF('Raw profile'!C167&gt;0,1,IF('Raw profile'!C270&gt;0,2,0))</f>
        <v>1</v>
      </c>
      <c r="E21" s="20">
        <f>IF('Raw profile'!D167&gt;0,1,IF('Raw profile'!D270&gt;0,2,0))</f>
        <v>1</v>
      </c>
      <c r="F21" s="20">
        <f>IF('Raw profile'!E167&gt;0,1,IF('Raw profile'!E270&gt;0,2,0))</f>
        <v>2</v>
      </c>
      <c r="G21" s="20">
        <f>IF('Raw profile'!F167&gt;0,1,IF('Raw profile'!F270&gt;0,2,0))</f>
        <v>2</v>
      </c>
      <c r="H21" s="20">
        <f>IF('Raw profile'!G167&gt;0,1,IF('Raw profile'!G270&gt;0,2,0))</f>
        <v>2</v>
      </c>
      <c r="I21" s="20">
        <f>IF('Raw profile'!H167&gt;0,1,IF('Raw profile'!H270&gt;0,2,0))</f>
        <v>2</v>
      </c>
      <c r="J21" s="20">
        <f>IF('Raw profile'!I167&gt;0,1,IF('Raw profile'!I270&gt;0,2,0))</f>
        <v>2</v>
      </c>
      <c r="K21" s="20">
        <f>IF('Raw profile'!J167&gt;0,1,IF('Raw profile'!J270&gt;0,2,0))</f>
        <v>2</v>
      </c>
      <c r="L21" s="20">
        <f>IF('Raw profile'!K167&gt;0,1,IF('Raw profile'!K270&gt;0,2,0))</f>
        <v>2</v>
      </c>
      <c r="M21" s="20">
        <f>IF('Raw profile'!L167&gt;0,1,IF('Raw profile'!L270&gt;0,2,0))</f>
        <v>2</v>
      </c>
      <c r="N21" s="20">
        <f>IF('Raw profile'!M167&gt;0,1,IF('Raw profile'!M270&gt;0,2,0))</f>
        <v>2</v>
      </c>
      <c r="O21" s="20">
        <f>IF('Raw profile'!N167&gt;0,1,IF('Raw profile'!N270&gt;0,2,0))</f>
        <v>2</v>
      </c>
      <c r="P21" s="20">
        <f>IF('Raw profile'!O167&gt;0,1,IF('Raw profile'!O270&gt;0,2,0))</f>
        <v>2</v>
      </c>
      <c r="Q21" s="20">
        <f>IF('Raw profile'!P167&gt;0,1,IF('Raw profile'!P270&gt;0,2,0))</f>
        <v>2</v>
      </c>
      <c r="R21" s="20">
        <f>IF('Raw profile'!Q167&gt;0,1,IF('Raw profile'!Q270&gt;0,2,0))</f>
        <v>2</v>
      </c>
      <c r="S21" s="20">
        <f>IF('Raw profile'!R167&gt;0,1,IF('Raw profile'!R270&gt;0,2,0))</f>
        <v>2</v>
      </c>
      <c r="T21" s="20">
        <f>IF('Raw profile'!S167&gt;0,1,IF('Raw profile'!S270&gt;0,2,0))</f>
        <v>2</v>
      </c>
      <c r="U21" s="20">
        <f>IF('Raw profile'!T167&gt;0,1,IF('Raw profile'!T270&gt;0,2,0))</f>
        <v>2</v>
      </c>
      <c r="V21" s="20">
        <f>IF('Raw profile'!U167&gt;0,1,IF('Raw profile'!U270&gt;0,2,0))</f>
        <v>2</v>
      </c>
      <c r="W21" s="20">
        <f>IF('Raw profile'!V167&gt;0,1,IF('Raw profile'!V270&gt;0,2,0))</f>
        <v>2</v>
      </c>
      <c r="X21" s="20">
        <f>IF('Raw profile'!W167&gt;0,1,IF('Raw profile'!W270&gt;0,2,0))</f>
        <v>2</v>
      </c>
      <c r="Y21" s="20">
        <f>IF('Raw profile'!X167&gt;0,1,IF('Raw profile'!X270&gt;0,2,0))</f>
        <v>2</v>
      </c>
      <c r="Z21" s="20">
        <f>IF('Raw profile'!Y167&gt;0,1,IF('Raw profile'!Y270&gt;0,2,0))</f>
        <v>2</v>
      </c>
      <c r="AA21" s="20">
        <f>IF('Raw profile'!Z167&gt;0,1,IF('Raw profile'!Z270&gt;0,2,0))</f>
        <v>2</v>
      </c>
      <c r="AB21" s="20">
        <f>IF('Raw profile'!AA167&gt;0,1,IF('Raw profile'!AA270&gt;0,2,0))</f>
        <v>2</v>
      </c>
      <c r="AC21" s="20">
        <f>IF('Raw profile'!AB167&gt;0,1,IF('Raw profile'!AB270&gt;0,2,0))</f>
        <v>2</v>
      </c>
      <c r="AD21" s="20">
        <f>IF('Raw profile'!AC167&gt;0,1,IF('Raw profile'!AC270&gt;0,2,0))</f>
        <v>2</v>
      </c>
      <c r="AE21" s="20">
        <f>IF('Raw profile'!AD167&gt;0,1,IF('Raw profile'!AD270&gt;0,2,0))</f>
        <v>2</v>
      </c>
      <c r="AF21" s="20">
        <f>IF('Raw profile'!AE167&gt;0,1,IF('Raw profile'!AE270&gt;0,2,0))</f>
        <v>2</v>
      </c>
      <c r="AG21" s="20">
        <f>IF('Raw profile'!AF167&gt;0,1,IF('Raw profile'!AF270&gt;0,2,0))</f>
        <v>2</v>
      </c>
      <c r="AH21" s="20">
        <f>IF('Raw profile'!AG167&gt;0,1,IF('Raw profile'!AG270&gt;0,2,0))</f>
        <v>2</v>
      </c>
      <c r="AI21" s="20">
        <f>IF('Raw profile'!AH167&gt;0,1,IF('Raw profile'!AH270&gt;0,2,0))</f>
        <v>2</v>
      </c>
      <c r="AJ21" s="20">
        <f>IF('Raw profile'!AI167&gt;0,1,IF('Raw profile'!AI270&gt;0,2,0))</f>
        <v>2</v>
      </c>
      <c r="AK21" s="20">
        <f>IF('Raw profile'!AJ167&gt;0,1,IF('Raw profile'!AJ270&gt;0,2,0))</f>
        <v>2</v>
      </c>
      <c r="AL21" s="20">
        <f>IF('Raw profile'!AK167&gt;0,1,IF('Raw profile'!AK270&gt;0,2,0))</f>
        <v>2</v>
      </c>
      <c r="AM21" s="20">
        <f>IF('Raw profile'!AL167&gt;0,1,IF('Raw profile'!AL270&gt;0,2,0))</f>
        <v>2</v>
      </c>
      <c r="AN21" s="20">
        <f>IF('Raw profile'!AM167&gt;0,1,IF('Raw profile'!AM270&gt;0,2,0))</f>
        <v>2</v>
      </c>
      <c r="AO21" s="20">
        <f>IF('Raw profile'!AN167&gt;0,1,IF('Raw profile'!AN270&gt;0,2,0))</f>
        <v>2</v>
      </c>
      <c r="AP21" s="20">
        <f>IF('Raw profile'!AO167&gt;0,1,IF('Raw profile'!AO270&gt;0,2,0))</f>
        <v>2</v>
      </c>
      <c r="AQ21" s="20">
        <f>IF('Raw profile'!AP167&gt;0,1,IF('Raw profile'!AP270&gt;0,2,0))</f>
        <v>2</v>
      </c>
      <c r="AR21" s="20">
        <f>IF('Raw profile'!AQ167&gt;0,1,IF('Raw profile'!AQ270&gt;0,2,0))</f>
        <v>2</v>
      </c>
      <c r="AS21" s="20">
        <f>IF('Raw profile'!AR167&gt;0,1,IF('Raw profile'!AR270&gt;0,2,0))</f>
        <v>2</v>
      </c>
      <c r="AT21" s="20">
        <f>IF('Raw profile'!AS167&gt;0,1,IF('Raw profile'!AS270&gt;0,2,0))</f>
        <v>0</v>
      </c>
      <c r="AU21" s="20">
        <f>IF('Raw profile'!AT167&gt;0,1,IF('Raw profile'!AT270&gt;0,2,0))</f>
        <v>0</v>
      </c>
      <c r="AV21" s="20">
        <f>IF('Raw profile'!AU167&gt;0,1,IF('Raw profile'!AU270&gt;0,2,0))</f>
        <v>0</v>
      </c>
      <c r="AW21" s="20">
        <f>IF('Raw profile'!AV167&gt;0,1,IF('Raw profile'!AV270&gt;0,2,0))</f>
        <v>0</v>
      </c>
      <c r="AX21" s="20">
        <f>IF('Raw profile'!AW167&gt;0,1,IF('Raw profile'!AW270&gt;0,2,0))</f>
        <v>0</v>
      </c>
      <c r="AY21" s="20">
        <f>IF('Raw profile'!AX167&gt;0,1,IF('Raw profile'!AX270&gt;0,2,0))</f>
        <v>0</v>
      </c>
      <c r="AZ21" s="20">
        <f>IF('Raw profile'!AY167&gt;0,1,IF('Raw profile'!AY270&gt;0,2,0))</f>
        <v>0</v>
      </c>
      <c r="BA21" s="20">
        <f>IF('Raw profile'!AZ167&gt;0,1,IF('Raw profile'!AZ270&gt;0,2,0))</f>
        <v>0</v>
      </c>
      <c r="BB21" s="20">
        <f>IF('Raw profile'!BA167&gt;0,1,IF('Raw profile'!BA270&gt;0,2,0))</f>
        <v>0</v>
      </c>
      <c r="BC21" s="20">
        <f>IF('Raw profile'!BB167&gt;0,1,IF('Raw profile'!BB270&gt;0,2,0))</f>
        <v>0</v>
      </c>
      <c r="BD21" s="20">
        <f>IF('Raw profile'!BC167&gt;0,1,IF('Raw profile'!BC270&gt;0,2,0))</f>
        <v>0</v>
      </c>
      <c r="BE21" s="20">
        <f>IF('Raw profile'!BD167&gt;0,1,IF('Raw profile'!BD270&gt;0,2,0))</f>
        <v>0</v>
      </c>
      <c r="BF21" s="20">
        <f>IF('Raw profile'!BE167&gt;0,1,IF('Raw profile'!BE270&gt;0,2,0))</f>
        <v>0</v>
      </c>
      <c r="BG21" s="20">
        <f>IF('Raw profile'!BF167&gt;0,1,IF('Raw profile'!BF270&gt;0,2,0))</f>
        <v>0</v>
      </c>
      <c r="BH21" s="20">
        <f>IF('Raw profile'!BG167&gt;0,1,IF('Raw profile'!BG270&gt;0,2,0))</f>
        <v>0</v>
      </c>
      <c r="BI21" s="20">
        <f>IF('Raw profile'!BH167&gt;0,1,IF('Raw profile'!BH270&gt;0,2,0))</f>
        <v>0</v>
      </c>
      <c r="BJ21" s="20">
        <f>IF('Raw profile'!BI167&gt;0,1,IF('Raw profile'!BI270&gt;0,2,0))</f>
        <v>0</v>
      </c>
      <c r="BK21" s="21">
        <f>IF('Raw profile'!BJ167&gt;0,1,IF('Raw profile'!BJ270&gt;0,2,0))</f>
        <v>0</v>
      </c>
    </row>
    <row r="22" spans="1:63" x14ac:dyDescent="0.3">
      <c r="B22" s="13" t="s">
        <v>4</v>
      </c>
      <c r="C22" s="19">
        <f>'Growth profile'!I59</f>
        <v>2026</v>
      </c>
      <c r="D22" s="20">
        <f>IF('Growth profile'!C167&gt;0,1,IF('Growth profile'!C270&gt;0,3,0))</f>
        <v>1</v>
      </c>
      <c r="E22" s="20">
        <f>IF('Growth profile'!D167&gt;0,1,IF('Growth profile'!D270&gt;0,3,0))</f>
        <v>1</v>
      </c>
      <c r="F22" s="20">
        <f>IF('Growth profile'!E167&gt;0,1,IF('Growth profile'!E270&gt;0,3,0))</f>
        <v>3</v>
      </c>
      <c r="G22" s="20">
        <f>IF('Growth profile'!F167&gt;0,1,IF('Growth profile'!F270&gt;0,3,0))</f>
        <v>3</v>
      </c>
      <c r="H22" s="20">
        <f>IF('Growth profile'!G167&gt;0,1,IF('Growth profile'!G270&gt;0,3,0))</f>
        <v>3</v>
      </c>
      <c r="I22" s="20">
        <f>IF('Growth profile'!H167&gt;0,1,IF('Growth profile'!H270&gt;0,3,0))</f>
        <v>3</v>
      </c>
      <c r="J22" s="20">
        <f>IF('Growth profile'!I167&gt;0,1,IF('Growth profile'!I270&gt;0,3,0))</f>
        <v>3</v>
      </c>
      <c r="K22" s="20">
        <f>IF('Growth profile'!J167&gt;0,1,IF('Growth profile'!J270&gt;0,3,0))</f>
        <v>3</v>
      </c>
      <c r="L22" s="20">
        <f>IF('Growth profile'!K167&gt;0,1,IF('Growth profile'!K270&gt;0,3,0))</f>
        <v>3</v>
      </c>
      <c r="M22" s="20">
        <f>IF('Growth profile'!L167&gt;0,1,IF('Growth profile'!L270&gt;0,3,0))</f>
        <v>3</v>
      </c>
      <c r="N22" s="20">
        <f>IF('Growth profile'!M167&gt;0,1,IF('Growth profile'!M270&gt;0,3,0))</f>
        <v>3</v>
      </c>
      <c r="O22" s="20">
        <f>IF('Growth profile'!N167&gt;0,1,IF('Growth profile'!N270&gt;0,3,0))</f>
        <v>3</v>
      </c>
      <c r="P22" s="20">
        <f>IF('Growth profile'!O167&gt;0,1,IF('Growth profile'!O270&gt;0,3,0))</f>
        <v>3</v>
      </c>
      <c r="Q22" s="20">
        <f>IF('Growth profile'!P167&gt;0,1,IF('Growth profile'!P270&gt;0,3,0))</f>
        <v>3</v>
      </c>
      <c r="R22" s="20">
        <f>IF('Growth profile'!Q167&gt;0,1,IF('Growth profile'!Q270&gt;0,3,0))</f>
        <v>3</v>
      </c>
      <c r="S22" s="20">
        <f>IF('Growth profile'!R167&gt;0,1,IF('Growth profile'!R270&gt;0,3,0))</f>
        <v>3</v>
      </c>
      <c r="T22" s="20">
        <f>IF('Growth profile'!S167&gt;0,1,IF('Growth profile'!S270&gt;0,3,0))</f>
        <v>3</v>
      </c>
      <c r="U22" s="20">
        <f>IF('Growth profile'!T167&gt;0,1,IF('Growth profile'!T270&gt;0,3,0))</f>
        <v>3</v>
      </c>
      <c r="V22" s="20">
        <f>IF('Growth profile'!U167&gt;0,1,IF('Growth profile'!U270&gt;0,3,0))</f>
        <v>3</v>
      </c>
      <c r="W22" s="20">
        <f>IF('Growth profile'!V167&gt;0,1,IF('Growth profile'!V270&gt;0,3,0))</f>
        <v>3</v>
      </c>
      <c r="X22" s="20">
        <f>IF('Growth profile'!W167&gt;0,1,IF('Growth profile'!W270&gt;0,3,0))</f>
        <v>3</v>
      </c>
      <c r="Y22" s="20">
        <f>IF('Growth profile'!X167&gt;0,1,IF('Growth profile'!X270&gt;0,3,0))</f>
        <v>3</v>
      </c>
      <c r="Z22" s="20">
        <f>IF('Growth profile'!Y167&gt;0,1,IF('Growth profile'!Y270&gt;0,3,0))</f>
        <v>3</v>
      </c>
      <c r="AA22" s="20">
        <f>IF('Growth profile'!Z167&gt;0,1,IF('Growth profile'!Z270&gt;0,3,0))</f>
        <v>3</v>
      </c>
      <c r="AB22" s="20">
        <f>IF('Growth profile'!AA167&gt;0,1,IF('Growth profile'!AA270&gt;0,3,0))</f>
        <v>3</v>
      </c>
      <c r="AC22" s="20">
        <f>IF('Growth profile'!AB167&gt;0,1,IF('Growth profile'!AB270&gt;0,3,0))</f>
        <v>3</v>
      </c>
      <c r="AD22" s="20">
        <f>IF('Growth profile'!AC167&gt;0,1,IF('Growth profile'!AC270&gt;0,3,0))</f>
        <v>3</v>
      </c>
      <c r="AE22" s="20">
        <f>IF('Growth profile'!AD167&gt;0,1,IF('Growth profile'!AD270&gt;0,3,0))</f>
        <v>3</v>
      </c>
      <c r="AF22" s="20">
        <f>IF('Growth profile'!AE167&gt;0,1,IF('Growth profile'!AE270&gt;0,3,0))</f>
        <v>3</v>
      </c>
      <c r="AG22" s="20">
        <f>IF('Growth profile'!AF167&gt;0,1,IF('Growth profile'!AF270&gt;0,3,0))</f>
        <v>3</v>
      </c>
      <c r="AH22" s="20">
        <f>IF('Growth profile'!AG167&gt;0,1,IF('Growth profile'!AG270&gt;0,3,0))</f>
        <v>3</v>
      </c>
      <c r="AI22" s="20">
        <f>IF('Growth profile'!AH167&gt;0,1,IF('Growth profile'!AH270&gt;0,3,0))</f>
        <v>3</v>
      </c>
      <c r="AJ22" s="20">
        <f>IF('Growth profile'!AI167&gt;0,1,IF('Growth profile'!AI270&gt;0,3,0))</f>
        <v>3</v>
      </c>
      <c r="AK22" s="20">
        <f>IF('Growth profile'!AJ167&gt;0,1,IF('Growth profile'!AJ270&gt;0,3,0))</f>
        <v>3</v>
      </c>
      <c r="AL22" s="20">
        <f>IF('Growth profile'!AK167&gt;0,1,IF('Growth profile'!AK270&gt;0,3,0))</f>
        <v>3</v>
      </c>
      <c r="AM22" s="20">
        <f>IF('Growth profile'!AL167&gt;0,1,IF('Growth profile'!AL270&gt;0,3,0))</f>
        <v>3</v>
      </c>
      <c r="AN22" s="20">
        <f>IF('Growth profile'!AM167&gt;0,1,IF('Growth profile'!AM270&gt;0,3,0))</f>
        <v>3</v>
      </c>
      <c r="AO22" s="20">
        <f>IF('Growth profile'!AN167&gt;0,1,IF('Growth profile'!AN270&gt;0,3,0))</f>
        <v>3</v>
      </c>
      <c r="AP22" s="20">
        <f>IF('Growth profile'!AO167&gt;0,1,IF('Growth profile'!AO270&gt;0,3,0))</f>
        <v>3</v>
      </c>
      <c r="AQ22" s="20">
        <f>IF('Growth profile'!AP167&gt;0,1,IF('Growth profile'!AP270&gt;0,3,0))</f>
        <v>3</v>
      </c>
      <c r="AR22" s="20">
        <f>IF('Growth profile'!AQ167&gt;0,1,IF('Growth profile'!AQ270&gt;0,3,0))</f>
        <v>3</v>
      </c>
      <c r="AS22" s="20">
        <f>IF('Growth profile'!AR167&gt;0,1,IF('Growth profile'!AR270&gt;0,3,0))</f>
        <v>3</v>
      </c>
      <c r="AT22" s="20">
        <f>IF('Growth profile'!AS167&gt;0,1,IF('Growth profile'!AS270&gt;0,3,0))</f>
        <v>0</v>
      </c>
      <c r="AU22" s="20">
        <f>IF('Growth profile'!AT167&gt;0,1,IF('Growth profile'!AT270&gt;0,3,0))</f>
        <v>0</v>
      </c>
      <c r="AV22" s="20">
        <f>IF('Growth profile'!AU167&gt;0,1,IF('Growth profile'!AU270&gt;0,3,0))</f>
        <v>0</v>
      </c>
      <c r="AW22" s="20">
        <f>IF('Growth profile'!AV167&gt;0,1,IF('Growth profile'!AV270&gt;0,3,0))</f>
        <v>0</v>
      </c>
      <c r="AX22" s="20">
        <f>IF('Growth profile'!AW167&gt;0,1,IF('Growth profile'!AW270&gt;0,3,0))</f>
        <v>0</v>
      </c>
      <c r="AY22" s="20">
        <f>IF('Growth profile'!AX167&gt;0,1,IF('Growth profile'!AX270&gt;0,3,0))</f>
        <v>0</v>
      </c>
      <c r="AZ22" s="20">
        <f>IF('Growth profile'!AY167&gt;0,1,IF('Growth profile'!AY270&gt;0,3,0))</f>
        <v>0</v>
      </c>
      <c r="BA22" s="20">
        <f>IF('Growth profile'!AZ167&gt;0,1,IF('Growth profile'!AZ270&gt;0,3,0))</f>
        <v>0</v>
      </c>
      <c r="BB22" s="20">
        <f>IF('Growth profile'!BA167&gt;0,1,IF('Growth profile'!BA270&gt;0,3,0))</f>
        <v>0</v>
      </c>
      <c r="BC22" s="20">
        <f>IF('Growth profile'!BB167&gt;0,1,IF('Growth profile'!BB270&gt;0,3,0))</f>
        <v>0</v>
      </c>
      <c r="BD22" s="20">
        <f>IF('Growth profile'!BC167&gt;0,1,IF('Growth profile'!BC270&gt;0,3,0))</f>
        <v>0</v>
      </c>
      <c r="BE22" s="20">
        <f>IF('Growth profile'!BD167&gt;0,1,IF('Growth profile'!BD270&gt;0,3,0))</f>
        <v>0</v>
      </c>
      <c r="BF22" s="20">
        <f>IF('Growth profile'!BE167&gt;0,1,IF('Growth profile'!BE270&gt;0,3,0))</f>
        <v>0</v>
      </c>
      <c r="BG22" s="20">
        <f>IF('Growth profile'!BF167&gt;0,1,IF('Growth profile'!BF270&gt;0,3,0))</f>
        <v>0</v>
      </c>
      <c r="BH22" s="20">
        <f>IF('Growth profile'!BG167&gt;0,1,IF('Growth profile'!BG270&gt;0,3,0))</f>
        <v>0</v>
      </c>
      <c r="BI22" s="20">
        <f>IF('Growth profile'!BH167&gt;0,1,IF('Growth profile'!BH270&gt;0,3,0))</f>
        <v>0</v>
      </c>
      <c r="BJ22" s="20">
        <f>IF('Growth profile'!BI167&gt;0,1,IF('Growth profile'!BI270&gt;0,3,0))</f>
        <v>0</v>
      </c>
      <c r="BK22" s="21">
        <f>IF('Growth profile'!BJ167&gt;0,1,IF('Growth profile'!BJ270&gt;0,3,0))</f>
        <v>0</v>
      </c>
    </row>
    <row r="23" spans="1:63" x14ac:dyDescent="0.3">
      <c r="B23" s="13" t="s">
        <v>59</v>
      </c>
      <c r="C23" s="19">
        <f>'Growth (no penalty)'!I59</f>
        <v>2026</v>
      </c>
      <c r="D23" s="22">
        <f>IF('Growth (no penalty)'!C167&gt;0,1,IF('Growth (no penalty)'!C270&gt;0,4,0))</f>
        <v>1</v>
      </c>
      <c r="E23" s="22">
        <f>IF('Growth (no penalty)'!D167&gt;0,1,IF('Growth (no penalty)'!D270&gt;0,4,0))</f>
        <v>1</v>
      </c>
      <c r="F23" s="22">
        <f>IF('Growth (no penalty)'!E167&gt;0,1,IF('Growth (no penalty)'!E270&gt;0,4,0))</f>
        <v>4</v>
      </c>
      <c r="G23" s="22">
        <f>IF('Growth (no penalty)'!F167&gt;0,1,IF('Growth (no penalty)'!F270&gt;0,4,0))</f>
        <v>4</v>
      </c>
      <c r="H23" s="22">
        <f>IF('Growth (no penalty)'!G167&gt;0,1,IF('Growth (no penalty)'!G270&gt;0,4,0))</f>
        <v>4</v>
      </c>
      <c r="I23" s="22">
        <f>IF('Growth (no penalty)'!H167&gt;0,1,IF('Growth (no penalty)'!H270&gt;0,4,0))</f>
        <v>4</v>
      </c>
      <c r="J23" s="22">
        <f>IF('Growth (no penalty)'!I167&gt;0,1,IF('Growth (no penalty)'!I270&gt;0,4,0))</f>
        <v>4</v>
      </c>
      <c r="K23" s="22">
        <f>IF('Growth (no penalty)'!J167&gt;0,1,IF('Growth (no penalty)'!J270&gt;0,4,0))</f>
        <v>4</v>
      </c>
      <c r="L23" s="22">
        <f>IF('Growth (no penalty)'!K167&gt;0,1,IF('Growth (no penalty)'!K270&gt;0,4,0))</f>
        <v>4</v>
      </c>
      <c r="M23" s="22">
        <f>IF('Growth (no penalty)'!L167&gt;0,1,IF('Growth (no penalty)'!L270&gt;0,4,0))</f>
        <v>4</v>
      </c>
      <c r="N23" s="22">
        <f>IF('Growth (no penalty)'!M167&gt;0,1,IF('Growth (no penalty)'!M270&gt;0,4,0))</f>
        <v>4</v>
      </c>
      <c r="O23" s="22">
        <f>IF('Growth (no penalty)'!N167&gt;0,1,IF('Growth (no penalty)'!N270&gt;0,4,0))</f>
        <v>4</v>
      </c>
      <c r="P23" s="22">
        <f>IF('Growth (no penalty)'!O167&gt;0,1,IF('Growth (no penalty)'!O270&gt;0,4,0))</f>
        <v>4</v>
      </c>
      <c r="Q23" s="22">
        <f>IF('Growth (no penalty)'!P167&gt;0,1,IF('Growth (no penalty)'!P270&gt;0,4,0))</f>
        <v>4</v>
      </c>
      <c r="R23" s="22">
        <f>IF('Growth (no penalty)'!Q167&gt;0,1,IF('Growth (no penalty)'!Q270&gt;0,4,0))</f>
        <v>4</v>
      </c>
      <c r="S23" s="22">
        <f>IF('Growth (no penalty)'!R167&gt;0,1,IF('Growth (no penalty)'!R270&gt;0,4,0))</f>
        <v>4</v>
      </c>
      <c r="T23" s="22">
        <f>IF('Growth (no penalty)'!S167&gt;0,1,IF('Growth (no penalty)'!S270&gt;0,4,0))</f>
        <v>4</v>
      </c>
      <c r="U23" s="22">
        <f>IF('Growth (no penalty)'!T167&gt;0,1,IF('Growth (no penalty)'!T270&gt;0,4,0))</f>
        <v>4</v>
      </c>
      <c r="V23" s="22">
        <f>IF('Growth (no penalty)'!U167&gt;0,1,IF('Growth (no penalty)'!U270&gt;0,4,0))</f>
        <v>4</v>
      </c>
      <c r="W23" s="22">
        <f>IF('Growth (no penalty)'!V167&gt;0,1,IF('Growth (no penalty)'!V270&gt;0,4,0))</f>
        <v>4</v>
      </c>
      <c r="X23" s="22">
        <f>IF('Growth (no penalty)'!W167&gt;0,1,IF('Growth (no penalty)'!W270&gt;0,4,0))</f>
        <v>4</v>
      </c>
      <c r="Y23" s="22">
        <f>IF('Growth (no penalty)'!X167&gt;0,1,IF('Growth (no penalty)'!X270&gt;0,4,0))</f>
        <v>4</v>
      </c>
      <c r="Z23" s="22">
        <f>IF('Growth (no penalty)'!Y167&gt;0,1,IF('Growth (no penalty)'!Y270&gt;0,4,0))</f>
        <v>4</v>
      </c>
      <c r="AA23" s="22">
        <f>IF('Growth (no penalty)'!Z167&gt;0,1,IF('Growth (no penalty)'!Z270&gt;0,4,0))</f>
        <v>4</v>
      </c>
      <c r="AB23" s="22">
        <f>IF('Growth (no penalty)'!AA167&gt;0,1,IF('Growth (no penalty)'!AA270&gt;0,4,0))</f>
        <v>4</v>
      </c>
      <c r="AC23" s="22">
        <f>IF('Growth (no penalty)'!AB167&gt;0,1,IF('Growth (no penalty)'!AB270&gt;0,4,0))</f>
        <v>4</v>
      </c>
      <c r="AD23" s="22">
        <f>IF('Growth (no penalty)'!AC167&gt;0,1,IF('Growth (no penalty)'!AC270&gt;0,4,0))</f>
        <v>4</v>
      </c>
      <c r="AE23" s="22">
        <f>IF('Growth (no penalty)'!AD167&gt;0,1,IF('Growth (no penalty)'!AD270&gt;0,4,0))</f>
        <v>4</v>
      </c>
      <c r="AF23" s="22">
        <f>IF('Growth (no penalty)'!AE167&gt;0,1,IF('Growth (no penalty)'!AE270&gt;0,4,0))</f>
        <v>4</v>
      </c>
      <c r="AG23" s="22">
        <f>IF('Growth (no penalty)'!AF167&gt;0,1,IF('Growth (no penalty)'!AF270&gt;0,4,0))</f>
        <v>4</v>
      </c>
      <c r="AH23" s="22">
        <f>IF('Growth (no penalty)'!AG167&gt;0,1,IF('Growth (no penalty)'!AG270&gt;0,4,0))</f>
        <v>4</v>
      </c>
      <c r="AI23" s="22">
        <f>IF('Growth (no penalty)'!AH167&gt;0,1,IF('Growth (no penalty)'!AH270&gt;0,4,0))</f>
        <v>4</v>
      </c>
      <c r="AJ23" s="22">
        <f>IF('Growth (no penalty)'!AI167&gt;0,1,IF('Growth (no penalty)'!AI270&gt;0,4,0))</f>
        <v>4</v>
      </c>
      <c r="AK23" s="22">
        <f>IF('Growth (no penalty)'!AJ167&gt;0,1,IF('Growth (no penalty)'!AJ270&gt;0,4,0))</f>
        <v>4</v>
      </c>
      <c r="AL23" s="22">
        <f>IF('Growth (no penalty)'!AK167&gt;0,1,IF('Growth (no penalty)'!AK270&gt;0,4,0))</f>
        <v>4</v>
      </c>
      <c r="AM23" s="22">
        <f>IF('Growth (no penalty)'!AL167&gt;0,1,IF('Growth (no penalty)'!AL270&gt;0,4,0))</f>
        <v>4</v>
      </c>
      <c r="AN23" s="22">
        <f>IF('Growth (no penalty)'!AM167&gt;0,1,IF('Growth (no penalty)'!AM270&gt;0,4,0))</f>
        <v>4</v>
      </c>
      <c r="AO23" s="22">
        <f>IF('Growth (no penalty)'!AN167&gt;0,1,IF('Growth (no penalty)'!AN270&gt;0,4,0))</f>
        <v>4</v>
      </c>
      <c r="AP23" s="22">
        <f>IF('Growth (no penalty)'!AO167&gt;0,1,IF('Growth (no penalty)'!AO270&gt;0,4,0))</f>
        <v>4</v>
      </c>
      <c r="AQ23" s="22">
        <f>IF('Growth (no penalty)'!AP167&gt;0,1,IF('Growth (no penalty)'!AP270&gt;0,4,0))</f>
        <v>4</v>
      </c>
      <c r="AR23" s="22">
        <f>IF('Growth (no penalty)'!AQ167&gt;0,1,IF('Growth (no penalty)'!AQ270&gt;0,4,0))</f>
        <v>4</v>
      </c>
      <c r="AS23" s="22">
        <f>IF('Growth (no penalty)'!AR167&gt;0,1,IF('Growth (no penalty)'!AR270&gt;0,4,0))</f>
        <v>4</v>
      </c>
      <c r="AT23" s="22">
        <f>IF('Growth (no penalty)'!AS167&gt;0,1,IF('Growth (no penalty)'!AS270&gt;0,4,0))</f>
        <v>0</v>
      </c>
      <c r="AU23" s="22">
        <f>IF('Growth (no penalty)'!AT167&gt;0,1,IF('Growth (no penalty)'!AT270&gt;0,4,0))</f>
        <v>0</v>
      </c>
      <c r="AV23" s="22">
        <f>IF('Growth (no penalty)'!AU167&gt;0,1,IF('Growth (no penalty)'!AU270&gt;0,4,0))</f>
        <v>0</v>
      </c>
      <c r="AW23" s="22">
        <f>IF('Growth (no penalty)'!AV167&gt;0,1,IF('Growth (no penalty)'!AV270&gt;0,4,0))</f>
        <v>0</v>
      </c>
      <c r="AX23" s="22">
        <f>IF('Growth (no penalty)'!AW167&gt;0,1,IF('Growth (no penalty)'!AW270&gt;0,4,0))</f>
        <v>0</v>
      </c>
      <c r="AY23" s="22">
        <f>IF('Growth (no penalty)'!AX167&gt;0,1,IF('Growth (no penalty)'!AX270&gt;0,4,0))</f>
        <v>0</v>
      </c>
      <c r="AZ23" s="22">
        <f>IF('Growth (no penalty)'!AY167&gt;0,1,IF('Growth (no penalty)'!AY270&gt;0,4,0))</f>
        <v>0</v>
      </c>
      <c r="BA23" s="22">
        <f>IF('Growth (no penalty)'!AZ167&gt;0,1,IF('Growth (no penalty)'!AZ270&gt;0,4,0))</f>
        <v>0</v>
      </c>
      <c r="BB23" s="22">
        <f>IF('Growth (no penalty)'!BA167&gt;0,1,IF('Growth (no penalty)'!BA270&gt;0,4,0))</f>
        <v>0</v>
      </c>
      <c r="BC23" s="22">
        <f>IF('Growth (no penalty)'!BB167&gt;0,1,IF('Growth (no penalty)'!BB270&gt;0,4,0))</f>
        <v>0</v>
      </c>
      <c r="BD23" s="22">
        <f>IF('Growth (no penalty)'!BC167&gt;0,1,IF('Growth (no penalty)'!BC270&gt;0,4,0))</f>
        <v>0</v>
      </c>
      <c r="BE23" s="22">
        <f>IF('Growth (no penalty)'!BD167&gt;0,1,IF('Growth (no penalty)'!BD270&gt;0,4,0))</f>
        <v>0</v>
      </c>
      <c r="BF23" s="22">
        <f>IF('Growth (no penalty)'!BE167&gt;0,1,IF('Growth (no penalty)'!BE270&gt;0,4,0))</f>
        <v>0</v>
      </c>
      <c r="BG23" s="22">
        <f>IF('Growth (no penalty)'!BF167&gt;0,1,IF('Growth (no penalty)'!BF270&gt;0,4,0))</f>
        <v>0</v>
      </c>
      <c r="BH23" s="22">
        <f>IF('Growth (no penalty)'!BG167&gt;0,1,IF('Growth (no penalty)'!BG270&gt;0,4,0))</f>
        <v>0</v>
      </c>
      <c r="BI23" s="22">
        <f>IF('Growth (no penalty)'!BH167&gt;0,1,IF('Growth (no penalty)'!BH270&gt;0,4,0))</f>
        <v>0</v>
      </c>
      <c r="BJ23" s="22">
        <f>IF('Growth (no penalty)'!BI167&gt;0,1,IF('Growth (no penalty)'!BI270&gt;0,4,0))</f>
        <v>0</v>
      </c>
      <c r="BK23" s="23">
        <f>IF('Growth (no penalty)'!BJ167&gt;0,1,IF('Growth (no penalty)'!BJ270&gt;0,4,0))</f>
        <v>0</v>
      </c>
    </row>
    <row r="24" spans="1:63" x14ac:dyDescent="0.3">
      <c r="A24" s="4" t="str">
        <f>'Growth profile'!A74</f>
        <v>project 106</v>
      </c>
      <c r="B24" s="13" t="s">
        <v>3</v>
      </c>
      <c r="C24" s="19">
        <f>'Raw profile'!I74</f>
        <v>2026</v>
      </c>
      <c r="D24" s="20">
        <f>IF('Raw profile'!C182&gt;0,1,IF('Raw profile'!C285&gt;0,2,0))</f>
        <v>1</v>
      </c>
      <c r="E24" s="20">
        <f>IF('Raw profile'!D182&gt;0,1,IF('Raw profile'!D285&gt;0,2,0))</f>
        <v>1</v>
      </c>
      <c r="F24" s="20">
        <f>IF('Raw profile'!E182&gt;0,1,IF('Raw profile'!E285&gt;0,2,0))</f>
        <v>1</v>
      </c>
      <c r="G24" s="20">
        <f>IF('Raw profile'!F182&gt;0,1,IF('Raw profile'!F285&gt;0,2,0))</f>
        <v>1</v>
      </c>
      <c r="H24" s="20">
        <f>IF('Raw profile'!G182&gt;0,1,IF('Raw profile'!G285&gt;0,2,0))</f>
        <v>1</v>
      </c>
      <c r="I24" s="20">
        <f>IF('Raw profile'!H182&gt;0,1,IF('Raw profile'!H285&gt;0,2,0))</f>
        <v>1</v>
      </c>
      <c r="J24" s="20">
        <f>IF('Raw profile'!I182&gt;0,1,IF('Raw profile'!I285&gt;0,2,0))</f>
        <v>1</v>
      </c>
      <c r="K24" s="20">
        <f>IF('Raw profile'!J182&gt;0,1,IF('Raw profile'!J285&gt;0,2,0))</f>
        <v>1</v>
      </c>
      <c r="L24" s="20">
        <f>IF('Raw profile'!K182&gt;0,1,IF('Raw profile'!K285&gt;0,2,0))</f>
        <v>1</v>
      </c>
      <c r="M24" s="20">
        <f>IF('Raw profile'!L182&gt;0,1,IF('Raw profile'!L285&gt;0,2,0))</f>
        <v>2</v>
      </c>
      <c r="N24" s="20">
        <f>IF('Raw profile'!M182&gt;0,1,IF('Raw profile'!M285&gt;0,2,0))</f>
        <v>2</v>
      </c>
      <c r="O24" s="20">
        <f>IF('Raw profile'!N182&gt;0,1,IF('Raw profile'!N285&gt;0,2,0))</f>
        <v>2</v>
      </c>
      <c r="P24" s="20">
        <f>IF('Raw profile'!O182&gt;0,1,IF('Raw profile'!O285&gt;0,2,0))</f>
        <v>2</v>
      </c>
      <c r="Q24" s="20">
        <f>IF('Raw profile'!P182&gt;0,1,IF('Raw profile'!P285&gt;0,2,0))</f>
        <v>2</v>
      </c>
      <c r="R24" s="20">
        <f>IF('Raw profile'!Q182&gt;0,1,IF('Raw profile'!Q285&gt;0,2,0))</f>
        <v>2</v>
      </c>
      <c r="S24" s="20">
        <f>IF('Raw profile'!R182&gt;0,1,IF('Raw profile'!R285&gt;0,2,0))</f>
        <v>2</v>
      </c>
      <c r="T24" s="20">
        <f>IF('Raw profile'!S182&gt;0,1,IF('Raw profile'!S285&gt;0,2,0))</f>
        <v>2</v>
      </c>
      <c r="U24" s="20">
        <f>IF('Raw profile'!T182&gt;0,1,IF('Raw profile'!T285&gt;0,2,0))</f>
        <v>2</v>
      </c>
      <c r="V24" s="20">
        <f>IF('Raw profile'!U182&gt;0,1,IF('Raw profile'!U285&gt;0,2,0))</f>
        <v>2</v>
      </c>
      <c r="W24" s="20">
        <f>IF('Raw profile'!V182&gt;0,1,IF('Raw profile'!V285&gt;0,2,0))</f>
        <v>2</v>
      </c>
      <c r="X24" s="20">
        <f>IF('Raw profile'!W182&gt;0,1,IF('Raw profile'!W285&gt;0,2,0))</f>
        <v>2</v>
      </c>
      <c r="Y24" s="20">
        <f>IF('Raw profile'!X182&gt;0,1,IF('Raw profile'!X285&gt;0,2,0))</f>
        <v>2</v>
      </c>
      <c r="Z24" s="20">
        <f>IF('Raw profile'!Y182&gt;0,1,IF('Raw profile'!Y285&gt;0,2,0))</f>
        <v>2</v>
      </c>
      <c r="AA24" s="20">
        <f>IF('Raw profile'!Z182&gt;0,1,IF('Raw profile'!Z285&gt;0,2,0))</f>
        <v>2</v>
      </c>
      <c r="AB24" s="20">
        <f>IF('Raw profile'!AA182&gt;0,1,IF('Raw profile'!AA285&gt;0,2,0))</f>
        <v>2</v>
      </c>
      <c r="AC24" s="20">
        <f>IF('Raw profile'!AB182&gt;0,1,IF('Raw profile'!AB285&gt;0,2,0))</f>
        <v>2</v>
      </c>
      <c r="AD24" s="20">
        <f>IF('Raw profile'!AC182&gt;0,1,IF('Raw profile'!AC285&gt;0,2,0))</f>
        <v>2</v>
      </c>
      <c r="AE24" s="20">
        <f>IF('Raw profile'!AD182&gt;0,1,IF('Raw profile'!AD285&gt;0,2,0))</f>
        <v>2</v>
      </c>
      <c r="AF24" s="20">
        <f>IF('Raw profile'!AE182&gt;0,1,IF('Raw profile'!AE285&gt;0,2,0))</f>
        <v>2</v>
      </c>
      <c r="AG24" s="20">
        <f>IF('Raw profile'!AF182&gt;0,1,IF('Raw profile'!AF285&gt;0,2,0))</f>
        <v>2</v>
      </c>
      <c r="AH24" s="20">
        <f>IF('Raw profile'!AG182&gt;0,1,IF('Raw profile'!AG285&gt;0,2,0))</f>
        <v>2</v>
      </c>
      <c r="AI24" s="20">
        <f>IF('Raw profile'!AH182&gt;0,1,IF('Raw profile'!AH285&gt;0,2,0))</f>
        <v>2</v>
      </c>
      <c r="AJ24" s="20">
        <f>IF('Raw profile'!AI182&gt;0,1,IF('Raw profile'!AI285&gt;0,2,0))</f>
        <v>2</v>
      </c>
      <c r="AK24" s="20">
        <f>IF('Raw profile'!AJ182&gt;0,1,IF('Raw profile'!AJ285&gt;0,2,0))</f>
        <v>2</v>
      </c>
      <c r="AL24" s="20">
        <f>IF('Raw profile'!AK182&gt;0,1,IF('Raw profile'!AK285&gt;0,2,0))</f>
        <v>2</v>
      </c>
      <c r="AM24" s="20">
        <f>IF('Raw profile'!AL182&gt;0,1,IF('Raw profile'!AL285&gt;0,2,0))</f>
        <v>2</v>
      </c>
      <c r="AN24" s="20">
        <f>IF('Raw profile'!AM182&gt;0,1,IF('Raw profile'!AM285&gt;0,2,0))</f>
        <v>2</v>
      </c>
      <c r="AO24" s="20">
        <f>IF('Raw profile'!AN182&gt;0,1,IF('Raw profile'!AN285&gt;0,2,0))</f>
        <v>2</v>
      </c>
      <c r="AP24" s="20">
        <f>IF('Raw profile'!AO182&gt;0,1,IF('Raw profile'!AO285&gt;0,2,0))</f>
        <v>2</v>
      </c>
      <c r="AQ24" s="20">
        <f>IF('Raw profile'!AP182&gt;0,1,IF('Raw profile'!AP285&gt;0,2,0))</f>
        <v>2</v>
      </c>
      <c r="AR24" s="20">
        <f>IF('Raw profile'!AQ182&gt;0,1,IF('Raw profile'!AQ285&gt;0,2,0))</f>
        <v>2</v>
      </c>
      <c r="AS24" s="20">
        <f>IF('Raw profile'!AR182&gt;0,1,IF('Raw profile'!AR285&gt;0,2,0))</f>
        <v>2</v>
      </c>
      <c r="AT24" s="20">
        <f>IF('Raw profile'!AS182&gt;0,1,IF('Raw profile'!AS285&gt;0,2,0))</f>
        <v>2</v>
      </c>
      <c r="AU24" s="20">
        <f>IF('Raw profile'!AT182&gt;0,1,IF('Raw profile'!AT285&gt;0,2,0))</f>
        <v>2</v>
      </c>
      <c r="AV24" s="20">
        <f>IF('Raw profile'!AU182&gt;0,1,IF('Raw profile'!AU285&gt;0,2,0))</f>
        <v>2</v>
      </c>
      <c r="AW24" s="20">
        <f>IF('Raw profile'!AV182&gt;0,1,IF('Raw profile'!AV285&gt;0,2,0))</f>
        <v>2</v>
      </c>
      <c r="AX24" s="20">
        <f>IF('Raw profile'!AW182&gt;0,1,IF('Raw profile'!AW285&gt;0,2,0))</f>
        <v>2</v>
      </c>
      <c r="AY24" s="20">
        <f>IF('Raw profile'!AX182&gt;0,1,IF('Raw profile'!AX285&gt;0,2,0))</f>
        <v>2</v>
      </c>
      <c r="AZ24" s="20">
        <f>IF('Raw profile'!AY182&gt;0,1,IF('Raw profile'!AY285&gt;0,2,0))</f>
        <v>2</v>
      </c>
      <c r="BA24" s="20">
        <f>IF('Raw profile'!AZ182&gt;0,1,IF('Raw profile'!AZ285&gt;0,2,0))</f>
        <v>0</v>
      </c>
      <c r="BB24" s="20">
        <f>IF('Raw profile'!BA182&gt;0,1,IF('Raw profile'!BA285&gt;0,2,0))</f>
        <v>0</v>
      </c>
      <c r="BC24" s="20">
        <f>IF('Raw profile'!BB182&gt;0,1,IF('Raw profile'!BB285&gt;0,2,0))</f>
        <v>0</v>
      </c>
      <c r="BD24" s="20">
        <f>IF('Raw profile'!BC182&gt;0,1,IF('Raw profile'!BC285&gt;0,2,0))</f>
        <v>0</v>
      </c>
      <c r="BE24" s="20">
        <f>IF('Raw profile'!BD182&gt;0,1,IF('Raw profile'!BD285&gt;0,2,0))</f>
        <v>0</v>
      </c>
      <c r="BF24" s="20">
        <f>IF('Raw profile'!BE182&gt;0,1,IF('Raw profile'!BE285&gt;0,2,0))</f>
        <v>0</v>
      </c>
      <c r="BG24" s="20">
        <f>IF('Raw profile'!BF182&gt;0,1,IF('Raw profile'!BF285&gt;0,2,0))</f>
        <v>0</v>
      </c>
      <c r="BH24" s="20">
        <f>IF('Raw profile'!BG182&gt;0,1,IF('Raw profile'!BG285&gt;0,2,0))</f>
        <v>0</v>
      </c>
      <c r="BI24" s="20">
        <f>IF('Raw profile'!BH182&gt;0,1,IF('Raw profile'!BH285&gt;0,2,0))</f>
        <v>0</v>
      </c>
      <c r="BJ24" s="20">
        <f>IF('Raw profile'!BI182&gt;0,1,IF('Raw profile'!BI285&gt;0,2,0))</f>
        <v>0</v>
      </c>
      <c r="BK24" s="21">
        <f>IF('Raw profile'!BJ182&gt;0,1,IF('Raw profile'!BJ285&gt;0,2,0))</f>
        <v>0</v>
      </c>
    </row>
    <row r="25" spans="1:63" x14ac:dyDescent="0.3">
      <c r="B25" s="13" t="s">
        <v>4</v>
      </c>
      <c r="C25" s="19">
        <f>'Growth profile'!I74</f>
        <v>2026</v>
      </c>
      <c r="D25" s="20">
        <f>IF('Growth profile'!C182&gt;0,1,IF('Growth profile'!C285&gt;0,3,0))</f>
        <v>1</v>
      </c>
      <c r="E25" s="20">
        <f>IF('Growth profile'!D182&gt;0,1,IF('Growth profile'!D285&gt;0,3,0))</f>
        <v>1</v>
      </c>
      <c r="F25" s="20">
        <f>IF('Growth profile'!E182&gt;0,1,IF('Growth profile'!E285&gt;0,3,0))</f>
        <v>1</v>
      </c>
      <c r="G25" s="20">
        <f>IF('Growth profile'!F182&gt;0,1,IF('Growth profile'!F285&gt;0,3,0))</f>
        <v>1</v>
      </c>
      <c r="H25" s="20">
        <f>IF('Growth profile'!G182&gt;0,1,IF('Growth profile'!G285&gt;0,3,0))</f>
        <v>1</v>
      </c>
      <c r="I25" s="20">
        <f>IF('Growth profile'!H182&gt;0,1,IF('Growth profile'!H285&gt;0,3,0))</f>
        <v>1</v>
      </c>
      <c r="J25" s="20">
        <f>IF('Growth profile'!I182&gt;0,1,IF('Growth profile'!I285&gt;0,3,0))</f>
        <v>1</v>
      </c>
      <c r="K25" s="20">
        <f>IF('Growth profile'!J182&gt;0,1,IF('Growth profile'!J285&gt;0,3,0))</f>
        <v>1</v>
      </c>
      <c r="L25" s="20">
        <f>IF('Growth profile'!K182&gt;0,1,IF('Growth profile'!K285&gt;0,3,0))</f>
        <v>1</v>
      </c>
      <c r="M25" s="20">
        <f>IF('Growth profile'!L182&gt;0,1,IF('Growth profile'!L285&gt;0,3,0))</f>
        <v>3</v>
      </c>
      <c r="N25" s="20">
        <f>IF('Growth profile'!M182&gt;0,1,IF('Growth profile'!M285&gt;0,3,0))</f>
        <v>3</v>
      </c>
      <c r="O25" s="20">
        <f>IF('Growth profile'!N182&gt;0,1,IF('Growth profile'!N285&gt;0,3,0))</f>
        <v>3</v>
      </c>
      <c r="P25" s="20">
        <f>IF('Growth profile'!O182&gt;0,1,IF('Growth profile'!O285&gt;0,3,0))</f>
        <v>3</v>
      </c>
      <c r="Q25" s="20">
        <f>IF('Growth profile'!P182&gt;0,1,IF('Growth profile'!P285&gt;0,3,0))</f>
        <v>3</v>
      </c>
      <c r="R25" s="20">
        <f>IF('Growth profile'!Q182&gt;0,1,IF('Growth profile'!Q285&gt;0,3,0))</f>
        <v>3</v>
      </c>
      <c r="S25" s="20">
        <f>IF('Growth profile'!R182&gt;0,1,IF('Growth profile'!R285&gt;0,3,0))</f>
        <v>3</v>
      </c>
      <c r="T25" s="20">
        <f>IF('Growth profile'!S182&gt;0,1,IF('Growth profile'!S285&gt;0,3,0))</f>
        <v>3</v>
      </c>
      <c r="U25" s="20">
        <f>IF('Growth profile'!T182&gt;0,1,IF('Growth profile'!T285&gt;0,3,0))</f>
        <v>3</v>
      </c>
      <c r="V25" s="20">
        <f>IF('Growth profile'!U182&gt;0,1,IF('Growth profile'!U285&gt;0,3,0))</f>
        <v>3</v>
      </c>
      <c r="W25" s="20">
        <f>IF('Growth profile'!V182&gt;0,1,IF('Growth profile'!V285&gt;0,3,0))</f>
        <v>3</v>
      </c>
      <c r="X25" s="20">
        <f>IF('Growth profile'!W182&gt;0,1,IF('Growth profile'!W285&gt;0,3,0))</f>
        <v>3</v>
      </c>
      <c r="Y25" s="20">
        <f>IF('Growth profile'!X182&gt;0,1,IF('Growth profile'!X285&gt;0,3,0))</f>
        <v>3</v>
      </c>
      <c r="Z25" s="20">
        <f>IF('Growth profile'!Y182&gt;0,1,IF('Growth profile'!Y285&gt;0,3,0))</f>
        <v>3</v>
      </c>
      <c r="AA25" s="20">
        <f>IF('Growth profile'!Z182&gt;0,1,IF('Growth profile'!Z285&gt;0,3,0))</f>
        <v>3</v>
      </c>
      <c r="AB25" s="20">
        <f>IF('Growth profile'!AA182&gt;0,1,IF('Growth profile'!AA285&gt;0,3,0))</f>
        <v>3</v>
      </c>
      <c r="AC25" s="20">
        <f>IF('Growth profile'!AB182&gt;0,1,IF('Growth profile'!AB285&gt;0,3,0))</f>
        <v>3</v>
      </c>
      <c r="AD25" s="20">
        <f>IF('Growth profile'!AC182&gt;0,1,IF('Growth profile'!AC285&gt;0,3,0))</f>
        <v>3</v>
      </c>
      <c r="AE25" s="20">
        <f>IF('Growth profile'!AD182&gt;0,1,IF('Growth profile'!AD285&gt;0,3,0))</f>
        <v>3</v>
      </c>
      <c r="AF25" s="20">
        <f>IF('Growth profile'!AE182&gt;0,1,IF('Growth profile'!AE285&gt;0,3,0))</f>
        <v>3</v>
      </c>
      <c r="AG25" s="20">
        <f>IF('Growth profile'!AF182&gt;0,1,IF('Growth profile'!AF285&gt;0,3,0))</f>
        <v>3</v>
      </c>
      <c r="AH25" s="20">
        <f>IF('Growth profile'!AG182&gt;0,1,IF('Growth profile'!AG285&gt;0,3,0))</f>
        <v>3</v>
      </c>
      <c r="AI25" s="20">
        <f>IF('Growth profile'!AH182&gt;0,1,IF('Growth profile'!AH285&gt;0,3,0))</f>
        <v>3</v>
      </c>
      <c r="AJ25" s="20">
        <f>IF('Growth profile'!AI182&gt;0,1,IF('Growth profile'!AI285&gt;0,3,0))</f>
        <v>3</v>
      </c>
      <c r="AK25" s="20">
        <f>IF('Growth profile'!AJ182&gt;0,1,IF('Growth profile'!AJ285&gt;0,3,0))</f>
        <v>3</v>
      </c>
      <c r="AL25" s="20">
        <f>IF('Growth profile'!AK182&gt;0,1,IF('Growth profile'!AK285&gt;0,3,0))</f>
        <v>3</v>
      </c>
      <c r="AM25" s="20">
        <f>IF('Growth profile'!AL182&gt;0,1,IF('Growth profile'!AL285&gt;0,3,0))</f>
        <v>3</v>
      </c>
      <c r="AN25" s="20">
        <f>IF('Growth profile'!AM182&gt;0,1,IF('Growth profile'!AM285&gt;0,3,0))</f>
        <v>3</v>
      </c>
      <c r="AO25" s="20">
        <f>IF('Growth profile'!AN182&gt;0,1,IF('Growth profile'!AN285&gt;0,3,0))</f>
        <v>3</v>
      </c>
      <c r="AP25" s="20">
        <f>IF('Growth profile'!AO182&gt;0,1,IF('Growth profile'!AO285&gt;0,3,0))</f>
        <v>3</v>
      </c>
      <c r="AQ25" s="20">
        <f>IF('Growth profile'!AP182&gt;0,1,IF('Growth profile'!AP285&gt;0,3,0))</f>
        <v>3</v>
      </c>
      <c r="AR25" s="20">
        <f>IF('Growth profile'!AQ182&gt;0,1,IF('Growth profile'!AQ285&gt;0,3,0))</f>
        <v>3</v>
      </c>
      <c r="AS25" s="20">
        <f>IF('Growth profile'!AR182&gt;0,1,IF('Growth profile'!AR285&gt;0,3,0))</f>
        <v>3</v>
      </c>
      <c r="AT25" s="20">
        <f>IF('Growth profile'!AS182&gt;0,1,IF('Growth profile'!AS285&gt;0,3,0))</f>
        <v>3</v>
      </c>
      <c r="AU25" s="20">
        <f>IF('Growth profile'!AT182&gt;0,1,IF('Growth profile'!AT285&gt;0,3,0))</f>
        <v>3</v>
      </c>
      <c r="AV25" s="20">
        <f>IF('Growth profile'!AU182&gt;0,1,IF('Growth profile'!AU285&gt;0,3,0))</f>
        <v>3</v>
      </c>
      <c r="AW25" s="20">
        <f>IF('Growth profile'!AV182&gt;0,1,IF('Growth profile'!AV285&gt;0,3,0))</f>
        <v>3</v>
      </c>
      <c r="AX25" s="20">
        <f>IF('Growth profile'!AW182&gt;0,1,IF('Growth profile'!AW285&gt;0,3,0))</f>
        <v>3</v>
      </c>
      <c r="AY25" s="20">
        <f>IF('Growth profile'!AX182&gt;0,1,IF('Growth profile'!AX285&gt;0,3,0))</f>
        <v>3</v>
      </c>
      <c r="AZ25" s="20">
        <f>IF('Growth profile'!AY182&gt;0,1,IF('Growth profile'!AY285&gt;0,3,0))</f>
        <v>3</v>
      </c>
      <c r="BA25" s="20">
        <f>IF('Growth profile'!AZ182&gt;0,1,IF('Growth profile'!AZ285&gt;0,3,0))</f>
        <v>0</v>
      </c>
      <c r="BB25" s="20">
        <f>IF('Growth profile'!BA182&gt;0,1,IF('Growth profile'!BA285&gt;0,3,0))</f>
        <v>0</v>
      </c>
      <c r="BC25" s="20">
        <f>IF('Growth profile'!BB182&gt;0,1,IF('Growth profile'!BB285&gt;0,3,0))</f>
        <v>0</v>
      </c>
      <c r="BD25" s="20">
        <f>IF('Growth profile'!BC182&gt;0,1,IF('Growth profile'!BC285&gt;0,3,0))</f>
        <v>0</v>
      </c>
      <c r="BE25" s="20">
        <f>IF('Growth profile'!BD182&gt;0,1,IF('Growth profile'!BD285&gt;0,3,0))</f>
        <v>0</v>
      </c>
      <c r="BF25" s="20">
        <f>IF('Growth profile'!BE182&gt;0,1,IF('Growth profile'!BE285&gt;0,3,0))</f>
        <v>0</v>
      </c>
      <c r="BG25" s="20">
        <f>IF('Growth profile'!BF182&gt;0,1,IF('Growth profile'!BF285&gt;0,3,0))</f>
        <v>0</v>
      </c>
      <c r="BH25" s="20">
        <f>IF('Growth profile'!BG182&gt;0,1,IF('Growth profile'!BG285&gt;0,3,0))</f>
        <v>0</v>
      </c>
      <c r="BI25" s="20">
        <f>IF('Growth profile'!BH182&gt;0,1,IF('Growth profile'!BH285&gt;0,3,0))</f>
        <v>0</v>
      </c>
      <c r="BJ25" s="20">
        <f>IF('Growth profile'!BI182&gt;0,1,IF('Growth profile'!BI285&gt;0,3,0))</f>
        <v>0</v>
      </c>
      <c r="BK25" s="21">
        <f>IF('Growth profile'!BJ182&gt;0,1,IF('Growth profile'!BJ285&gt;0,3,0))</f>
        <v>0</v>
      </c>
    </row>
    <row r="26" spans="1:63" x14ac:dyDescent="0.3">
      <c r="B26" s="13" t="s">
        <v>59</v>
      </c>
      <c r="C26" s="19">
        <f>'Growth (no penalty)'!I74</f>
        <v>2026</v>
      </c>
      <c r="D26" s="22">
        <f>IF('Growth (no penalty)'!C182&gt;0,1,IF('Growth (no penalty)'!C285&gt;0,4,0))</f>
        <v>1</v>
      </c>
      <c r="E26" s="22">
        <f>IF('Growth (no penalty)'!D182&gt;0,1,IF('Growth (no penalty)'!D285&gt;0,4,0))</f>
        <v>1</v>
      </c>
      <c r="F26" s="22">
        <f>IF('Growth (no penalty)'!E182&gt;0,1,IF('Growth (no penalty)'!E285&gt;0,4,0))</f>
        <v>1</v>
      </c>
      <c r="G26" s="22">
        <f>IF('Growth (no penalty)'!F182&gt;0,1,IF('Growth (no penalty)'!F285&gt;0,4,0))</f>
        <v>1</v>
      </c>
      <c r="H26" s="22">
        <f>IF('Growth (no penalty)'!G182&gt;0,1,IF('Growth (no penalty)'!G285&gt;0,4,0))</f>
        <v>1</v>
      </c>
      <c r="I26" s="22">
        <f>IF('Growth (no penalty)'!H182&gt;0,1,IF('Growth (no penalty)'!H285&gt;0,4,0))</f>
        <v>1</v>
      </c>
      <c r="J26" s="22">
        <f>IF('Growth (no penalty)'!I182&gt;0,1,IF('Growth (no penalty)'!I285&gt;0,4,0))</f>
        <v>1</v>
      </c>
      <c r="K26" s="22">
        <f>IF('Growth (no penalty)'!J182&gt;0,1,IF('Growth (no penalty)'!J285&gt;0,4,0))</f>
        <v>1</v>
      </c>
      <c r="L26" s="22">
        <f>IF('Growth (no penalty)'!K182&gt;0,1,IF('Growth (no penalty)'!K285&gt;0,4,0))</f>
        <v>1</v>
      </c>
      <c r="M26" s="22">
        <f>IF('Growth (no penalty)'!L182&gt;0,1,IF('Growth (no penalty)'!L285&gt;0,4,0))</f>
        <v>4</v>
      </c>
      <c r="N26" s="22">
        <f>IF('Growth (no penalty)'!M182&gt;0,1,IF('Growth (no penalty)'!M285&gt;0,4,0))</f>
        <v>4</v>
      </c>
      <c r="O26" s="22">
        <f>IF('Growth (no penalty)'!N182&gt;0,1,IF('Growth (no penalty)'!N285&gt;0,4,0))</f>
        <v>4</v>
      </c>
      <c r="P26" s="22">
        <f>IF('Growth (no penalty)'!O182&gt;0,1,IF('Growth (no penalty)'!O285&gt;0,4,0))</f>
        <v>4</v>
      </c>
      <c r="Q26" s="22">
        <f>IF('Growth (no penalty)'!P182&gt;0,1,IF('Growth (no penalty)'!P285&gt;0,4,0))</f>
        <v>4</v>
      </c>
      <c r="R26" s="22">
        <f>IF('Growth (no penalty)'!Q182&gt;0,1,IF('Growth (no penalty)'!Q285&gt;0,4,0))</f>
        <v>4</v>
      </c>
      <c r="S26" s="22">
        <f>IF('Growth (no penalty)'!R182&gt;0,1,IF('Growth (no penalty)'!R285&gt;0,4,0))</f>
        <v>4</v>
      </c>
      <c r="T26" s="22">
        <f>IF('Growth (no penalty)'!S182&gt;0,1,IF('Growth (no penalty)'!S285&gt;0,4,0))</f>
        <v>4</v>
      </c>
      <c r="U26" s="22">
        <f>IF('Growth (no penalty)'!T182&gt;0,1,IF('Growth (no penalty)'!T285&gt;0,4,0))</f>
        <v>4</v>
      </c>
      <c r="V26" s="22">
        <f>IF('Growth (no penalty)'!U182&gt;0,1,IF('Growth (no penalty)'!U285&gt;0,4,0))</f>
        <v>4</v>
      </c>
      <c r="W26" s="22">
        <f>IF('Growth (no penalty)'!V182&gt;0,1,IF('Growth (no penalty)'!V285&gt;0,4,0))</f>
        <v>4</v>
      </c>
      <c r="X26" s="22">
        <f>IF('Growth (no penalty)'!W182&gt;0,1,IF('Growth (no penalty)'!W285&gt;0,4,0))</f>
        <v>4</v>
      </c>
      <c r="Y26" s="22">
        <f>IF('Growth (no penalty)'!X182&gt;0,1,IF('Growth (no penalty)'!X285&gt;0,4,0))</f>
        <v>4</v>
      </c>
      <c r="Z26" s="22">
        <f>IF('Growth (no penalty)'!Y182&gt;0,1,IF('Growth (no penalty)'!Y285&gt;0,4,0))</f>
        <v>4</v>
      </c>
      <c r="AA26" s="22">
        <f>IF('Growth (no penalty)'!Z182&gt;0,1,IF('Growth (no penalty)'!Z285&gt;0,4,0))</f>
        <v>4</v>
      </c>
      <c r="AB26" s="22">
        <f>IF('Growth (no penalty)'!AA182&gt;0,1,IF('Growth (no penalty)'!AA285&gt;0,4,0))</f>
        <v>4</v>
      </c>
      <c r="AC26" s="22">
        <f>IF('Growth (no penalty)'!AB182&gt;0,1,IF('Growth (no penalty)'!AB285&gt;0,4,0))</f>
        <v>4</v>
      </c>
      <c r="AD26" s="22">
        <f>IF('Growth (no penalty)'!AC182&gt;0,1,IF('Growth (no penalty)'!AC285&gt;0,4,0))</f>
        <v>4</v>
      </c>
      <c r="AE26" s="22">
        <f>IF('Growth (no penalty)'!AD182&gt;0,1,IF('Growth (no penalty)'!AD285&gt;0,4,0))</f>
        <v>4</v>
      </c>
      <c r="AF26" s="22">
        <f>IF('Growth (no penalty)'!AE182&gt;0,1,IF('Growth (no penalty)'!AE285&gt;0,4,0))</f>
        <v>4</v>
      </c>
      <c r="AG26" s="22">
        <f>IF('Growth (no penalty)'!AF182&gt;0,1,IF('Growth (no penalty)'!AF285&gt;0,4,0))</f>
        <v>4</v>
      </c>
      <c r="AH26" s="22">
        <f>IF('Growth (no penalty)'!AG182&gt;0,1,IF('Growth (no penalty)'!AG285&gt;0,4,0))</f>
        <v>4</v>
      </c>
      <c r="AI26" s="22">
        <f>IF('Growth (no penalty)'!AH182&gt;0,1,IF('Growth (no penalty)'!AH285&gt;0,4,0))</f>
        <v>4</v>
      </c>
      <c r="AJ26" s="22">
        <f>IF('Growth (no penalty)'!AI182&gt;0,1,IF('Growth (no penalty)'!AI285&gt;0,4,0))</f>
        <v>4</v>
      </c>
      <c r="AK26" s="22">
        <f>IF('Growth (no penalty)'!AJ182&gt;0,1,IF('Growth (no penalty)'!AJ285&gt;0,4,0))</f>
        <v>4</v>
      </c>
      <c r="AL26" s="22">
        <f>IF('Growth (no penalty)'!AK182&gt;0,1,IF('Growth (no penalty)'!AK285&gt;0,4,0))</f>
        <v>4</v>
      </c>
      <c r="AM26" s="22">
        <f>IF('Growth (no penalty)'!AL182&gt;0,1,IF('Growth (no penalty)'!AL285&gt;0,4,0))</f>
        <v>4</v>
      </c>
      <c r="AN26" s="22">
        <f>IF('Growth (no penalty)'!AM182&gt;0,1,IF('Growth (no penalty)'!AM285&gt;0,4,0))</f>
        <v>4</v>
      </c>
      <c r="AO26" s="22">
        <f>IF('Growth (no penalty)'!AN182&gt;0,1,IF('Growth (no penalty)'!AN285&gt;0,4,0))</f>
        <v>4</v>
      </c>
      <c r="AP26" s="22">
        <f>IF('Growth (no penalty)'!AO182&gt;0,1,IF('Growth (no penalty)'!AO285&gt;0,4,0))</f>
        <v>4</v>
      </c>
      <c r="AQ26" s="22">
        <f>IF('Growth (no penalty)'!AP182&gt;0,1,IF('Growth (no penalty)'!AP285&gt;0,4,0))</f>
        <v>4</v>
      </c>
      <c r="AR26" s="22">
        <f>IF('Growth (no penalty)'!AQ182&gt;0,1,IF('Growth (no penalty)'!AQ285&gt;0,4,0))</f>
        <v>4</v>
      </c>
      <c r="AS26" s="22">
        <f>IF('Growth (no penalty)'!AR182&gt;0,1,IF('Growth (no penalty)'!AR285&gt;0,4,0))</f>
        <v>4</v>
      </c>
      <c r="AT26" s="22">
        <f>IF('Growth (no penalty)'!AS182&gt;0,1,IF('Growth (no penalty)'!AS285&gt;0,4,0))</f>
        <v>4</v>
      </c>
      <c r="AU26" s="22">
        <f>IF('Growth (no penalty)'!AT182&gt;0,1,IF('Growth (no penalty)'!AT285&gt;0,4,0))</f>
        <v>4</v>
      </c>
      <c r="AV26" s="22">
        <f>IF('Growth (no penalty)'!AU182&gt;0,1,IF('Growth (no penalty)'!AU285&gt;0,4,0))</f>
        <v>4</v>
      </c>
      <c r="AW26" s="22">
        <f>IF('Growth (no penalty)'!AV182&gt;0,1,IF('Growth (no penalty)'!AV285&gt;0,4,0))</f>
        <v>4</v>
      </c>
      <c r="AX26" s="22">
        <f>IF('Growth (no penalty)'!AW182&gt;0,1,IF('Growth (no penalty)'!AW285&gt;0,4,0))</f>
        <v>4</v>
      </c>
      <c r="AY26" s="22">
        <f>IF('Growth (no penalty)'!AX182&gt;0,1,IF('Growth (no penalty)'!AX285&gt;0,4,0))</f>
        <v>4</v>
      </c>
      <c r="AZ26" s="22">
        <f>IF('Growth (no penalty)'!AY182&gt;0,1,IF('Growth (no penalty)'!AY285&gt;0,4,0))</f>
        <v>4</v>
      </c>
      <c r="BA26" s="22">
        <f>IF('Growth (no penalty)'!AZ182&gt;0,1,IF('Growth (no penalty)'!AZ285&gt;0,4,0))</f>
        <v>0</v>
      </c>
      <c r="BB26" s="22">
        <f>IF('Growth (no penalty)'!BA182&gt;0,1,IF('Growth (no penalty)'!BA285&gt;0,4,0))</f>
        <v>0</v>
      </c>
      <c r="BC26" s="22">
        <f>IF('Growth (no penalty)'!BB182&gt;0,1,IF('Growth (no penalty)'!BB285&gt;0,4,0))</f>
        <v>0</v>
      </c>
      <c r="BD26" s="22">
        <f>IF('Growth (no penalty)'!BC182&gt;0,1,IF('Growth (no penalty)'!BC285&gt;0,4,0))</f>
        <v>0</v>
      </c>
      <c r="BE26" s="22">
        <f>IF('Growth (no penalty)'!BD182&gt;0,1,IF('Growth (no penalty)'!BD285&gt;0,4,0))</f>
        <v>0</v>
      </c>
      <c r="BF26" s="22">
        <f>IF('Growth (no penalty)'!BE182&gt;0,1,IF('Growth (no penalty)'!BE285&gt;0,4,0))</f>
        <v>0</v>
      </c>
      <c r="BG26" s="22">
        <f>IF('Growth (no penalty)'!BF182&gt;0,1,IF('Growth (no penalty)'!BF285&gt;0,4,0))</f>
        <v>0</v>
      </c>
      <c r="BH26" s="22">
        <f>IF('Growth (no penalty)'!BG182&gt;0,1,IF('Growth (no penalty)'!BG285&gt;0,4,0))</f>
        <v>0</v>
      </c>
      <c r="BI26" s="22">
        <f>IF('Growth (no penalty)'!BH182&gt;0,1,IF('Growth (no penalty)'!BH285&gt;0,4,0))</f>
        <v>0</v>
      </c>
      <c r="BJ26" s="22">
        <f>IF('Growth (no penalty)'!BI182&gt;0,1,IF('Growth (no penalty)'!BI285&gt;0,4,0))</f>
        <v>0</v>
      </c>
      <c r="BK26" s="23">
        <f>IF('Growth (no penalty)'!BJ182&gt;0,1,IF('Growth (no penalty)'!BJ285&gt;0,4,0))</f>
        <v>0</v>
      </c>
    </row>
    <row r="27" spans="1:63" x14ac:dyDescent="0.3">
      <c r="A27" s="4" t="str">
        <f>'Growth profile'!A79</f>
        <v>project 116</v>
      </c>
      <c r="B27" s="13" t="s">
        <v>3</v>
      </c>
      <c r="C27" s="19">
        <f>'Raw profile'!I79</f>
        <v>2026</v>
      </c>
      <c r="D27" s="20">
        <f>IF('Raw profile'!C187&gt;0,1,IF('Raw profile'!C290&gt;0,2,0))</f>
        <v>1</v>
      </c>
      <c r="E27" s="20">
        <f>IF('Raw profile'!D187&gt;0,1,IF('Raw profile'!D290&gt;0,2,0))</f>
        <v>1</v>
      </c>
      <c r="F27" s="20">
        <f>IF('Raw profile'!E187&gt;0,1,IF('Raw profile'!E290&gt;0,2,0))</f>
        <v>1</v>
      </c>
      <c r="G27" s="20">
        <f>IF('Raw profile'!F187&gt;0,1,IF('Raw profile'!F290&gt;0,2,0))</f>
        <v>1</v>
      </c>
      <c r="H27" s="20">
        <f>IF('Raw profile'!G187&gt;0,1,IF('Raw profile'!G290&gt;0,2,0))</f>
        <v>1</v>
      </c>
      <c r="I27" s="20">
        <f>IF('Raw profile'!H187&gt;0,1,IF('Raw profile'!H290&gt;0,2,0))</f>
        <v>2</v>
      </c>
      <c r="J27" s="20">
        <f>IF('Raw profile'!I187&gt;0,1,IF('Raw profile'!I290&gt;0,2,0))</f>
        <v>2</v>
      </c>
      <c r="K27" s="20">
        <f>IF('Raw profile'!J187&gt;0,1,IF('Raw profile'!J290&gt;0,2,0))</f>
        <v>2</v>
      </c>
      <c r="L27" s="20">
        <f>IF('Raw profile'!K187&gt;0,1,IF('Raw profile'!K290&gt;0,2,0))</f>
        <v>2</v>
      </c>
      <c r="M27" s="20">
        <f>IF('Raw profile'!L187&gt;0,1,IF('Raw profile'!L290&gt;0,2,0))</f>
        <v>2</v>
      </c>
      <c r="N27" s="20">
        <f>IF('Raw profile'!M187&gt;0,1,IF('Raw profile'!M290&gt;0,2,0))</f>
        <v>2</v>
      </c>
      <c r="O27" s="20">
        <f>IF('Raw profile'!N187&gt;0,1,IF('Raw profile'!N290&gt;0,2,0))</f>
        <v>2</v>
      </c>
      <c r="P27" s="20">
        <f>IF('Raw profile'!O187&gt;0,1,IF('Raw profile'!O290&gt;0,2,0))</f>
        <v>2</v>
      </c>
      <c r="Q27" s="20">
        <f>IF('Raw profile'!P187&gt;0,1,IF('Raw profile'!P290&gt;0,2,0))</f>
        <v>2</v>
      </c>
      <c r="R27" s="20">
        <f>IF('Raw profile'!Q187&gt;0,1,IF('Raw profile'!Q290&gt;0,2,0))</f>
        <v>2</v>
      </c>
      <c r="S27" s="20">
        <f>IF('Raw profile'!R187&gt;0,1,IF('Raw profile'!R290&gt;0,2,0))</f>
        <v>2</v>
      </c>
      <c r="T27" s="20">
        <f>IF('Raw profile'!S187&gt;0,1,IF('Raw profile'!S290&gt;0,2,0))</f>
        <v>2</v>
      </c>
      <c r="U27" s="20">
        <f>IF('Raw profile'!T187&gt;0,1,IF('Raw profile'!T290&gt;0,2,0))</f>
        <v>2</v>
      </c>
      <c r="V27" s="20">
        <f>IF('Raw profile'!U187&gt;0,1,IF('Raw profile'!U290&gt;0,2,0))</f>
        <v>2</v>
      </c>
      <c r="W27" s="20">
        <f>IF('Raw profile'!V187&gt;0,1,IF('Raw profile'!V290&gt;0,2,0))</f>
        <v>2</v>
      </c>
      <c r="X27" s="20">
        <f>IF('Raw profile'!W187&gt;0,1,IF('Raw profile'!W290&gt;0,2,0))</f>
        <v>2</v>
      </c>
      <c r="Y27" s="20">
        <f>IF('Raw profile'!X187&gt;0,1,IF('Raw profile'!X290&gt;0,2,0))</f>
        <v>2</v>
      </c>
      <c r="Z27" s="20">
        <f>IF('Raw profile'!Y187&gt;0,1,IF('Raw profile'!Y290&gt;0,2,0))</f>
        <v>2</v>
      </c>
      <c r="AA27" s="20">
        <f>IF('Raw profile'!Z187&gt;0,1,IF('Raw profile'!Z290&gt;0,2,0))</f>
        <v>2</v>
      </c>
      <c r="AB27" s="20">
        <f>IF('Raw profile'!AA187&gt;0,1,IF('Raw profile'!AA290&gt;0,2,0))</f>
        <v>2</v>
      </c>
      <c r="AC27" s="20">
        <f>IF('Raw profile'!AB187&gt;0,1,IF('Raw profile'!AB290&gt;0,2,0))</f>
        <v>2</v>
      </c>
      <c r="AD27" s="20">
        <f>IF('Raw profile'!AC187&gt;0,1,IF('Raw profile'!AC290&gt;0,2,0))</f>
        <v>2</v>
      </c>
      <c r="AE27" s="20">
        <f>IF('Raw profile'!AD187&gt;0,1,IF('Raw profile'!AD290&gt;0,2,0))</f>
        <v>2</v>
      </c>
      <c r="AF27" s="20">
        <f>IF('Raw profile'!AE187&gt;0,1,IF('Raw profile'!AE290&gt;0,2,0))</f>
        <v>2</v>
      </c>
      <c r="AG27" s="20">
        <f>IF('Raw profile'!AF187&gt;0,1,IF('Raw profile'!AF290&gt;0,2,0))</f>
        <v>2</v>
      </c>
      <c r="AH27" s="20">
        <f>IF('Raw profile'!AG187&gt;0,1,IF('Raw profile'!AG290&gt;0,2,0))</f>
        <v>2</v>
      </c>
      <c r="AI27" s="20">
        <f>IF('Raw profile'!AH187&gt;0,1,IF('Raw profile'!AH290&gt;0,2,0))</f>
        <v>2</v>
      </c>
      <c r="AJ27" s="20">
        <f>IF('Raw profile'!AI187&gt;0,1,IF('Raw profile'!AI290&gt;0,2,0))</f>
        <v>2</v>
      </c>
      <c r="AK27" s="20">
        <f>IF('Raw profile'!AJ187&gt;0,1,IF('Raw profile'!AJ290&gt;0,2,0))</f>
        <v>2</v>
      </c>
      <c r="AL27" s="20">
        <f>IF('Raw profile'!AK187&gt;0,1,IF('Raw profile'!AK290&gt;0,2,0))</f>
        <v>2</v>
      </c>
      <c r="AM27" s="20">
        <f>IF('Raw profile'!AL187&gt;0,1,IF('Raw profile'!AL290&gt;0,2,0))</f>
        <v>2</v>
      </c>
      <c r="AN27" s="20">
        <f>IF('Raw profile'!AM187&gt;0,1,IF('Raw profile'!AM290&gt;0,2,0))</f>
        <v>2</v>
      </c>
      <c r="AO27" s="20">
        <f>IF('Raw profile'!AN187&gt;0,1,IF('Raw profile'!AN290&gt;0,2,0))</f>
        <v>2</v>
      </c>
      <c r="AP27" s="20">
        <f>IF('Raw profile'!AO187&gt;0,1,IF('Raw profile'!AO290&gt;0,2,0))</f>
        <v>2</v>
      </c>
      <c r="AQ27" s="20">
        <f>IF('Raw profile'!AP187&gt;0,1,IF('Raw profile'!AP290&gt;0,2,0))</f>
        <v>2</v>
      </c>
      <c r="AR27" s="20">
        <f>IF('Raw profile'!AQ187&gt;0,1,IF('Raw profile'!AQ290&gt;0,2,0))</f>
        <v>2</v>
      </c>
      <c r="AS27" s="20">
        <f>IF('Raw profile'!AR187&gt;0,1,IF('Raw profile'!AR290&gt;0,2,0))</f>
        <v>2</v>
      </c>
      <c r="AT27" s="20">
        <f>IF('Raw profile'!AS187&gt;0,1,IF('Raw profile'!AS290&gt;0,2,0))</f>
        <v>2</v>
      </c>
      <c r="AU27" s="20">
        <f>IF('Raw profile'!AT187&gt;0,1,IF('Raw profile'!AT290&gt;0,2,0))</f>
        <v>2</v>
      </c>
      <c r="AV27" s="20">
        <f>IF('Raw profile'!AU187&gt;0,1,IF('Raw profile'!AU290&gt;0,2,0))</f>
        <v>2</v>
      </c>
      <c r="AW27" s="20">
        <f>IF('Raw profile'!AV187&gt;0,1,IF('Raw profile'!AV290&gt;0,2,0))</f>
        <v>0</v>
      </c>
      <c r="AX27" s="20">
        <f>IF('Raw profile'!AW187&gt;0,1,IF('Raw profile'!AW290&gt;0,2,0))</f>
        <v>0</v>
      </c>
      <c r="AY27" s="20">
        <f>IF('Raw profile'!AX187&gt;0,1,IF('Raw profile'!AX290&gt;0,2,0))</f>
        <v>0</v>
      </c>
      <c r="AZ27" s="20">
        <f>IF('Raw profile'!AY187&gt;0,1,IF('Raw profile'!AY290&gt;0,2,0))</f>
        <v>0</v>
      </c>
      <c r="BA27" s="20">
        <f>IF('Raw profile'!AZ187&gt;0,1,IF('Raw profile'!AZ290&gt;0,2,0))</f>
        <v>0</v>
      </c>
      <c r="BB27" s="20">
        <f>IF('Raw profile'!BA187&gt;0,1,IF('Raw profile'!BA290&gt;0,2,0))</f>
        <v>0</v>
      </c>
      <c r="BC27" s="20">
        <f>IF('Raw profile'!BB187&gt;0,1,IF('Raw profile'!BB290&gt;0,2,0))</f>
        <v>0</v>
      </c>
      <c r="BD27" s="20">
        <f>IF('Raw profile'!BC187&gt;0,1,IF('Raw profile'!BC290&gt;0,2,0))</f>
        <v>0</v>
      </c>
      <c r="BE27" s="20">
        <f>IF('Raw profile'!BD187&gt;0,1,IF('Raw profile'!BD290&gt;0,2,0))</f>
        <v>0</v>
      </c>
      <c r="BF27" s="20">
        <f>IF('Raw profile'!BE187&gt;0,1,IF('Raw profile'!BE290&gt;0,2,0))</f>
        <v>0</v>
      </c>
      <c r="BG27" s="20">
        <f>IF('Raw profile'!BF187&gt;0,1,IF('Raw profile'!BF290&gt;0,2,0))</f>
        <v>0</v>
      </c>
      <c r="BH27" s="20">
        <f>IF('Raw profile'!BG187&gt;0,1,IF('Raw profile'!BG290&gt;0,2,0))</f>
        <v>0</v>
      </c>
      <c r="BI27" s="20">
        <f>IF('Raw profile'!BH187&gt;0,1,IF('Raw profile'!BH290&gt;0,2,0))</f>
        <v>0</v>
      </c>
      <c r="BJ27" s="20">
        <f>IF('Raw profile'!BI187&gt;0,1,IF('Raw profile'!BI290&gt;0,2,0))</f>
        <v>0</v>
      </c>
      <c r="BK27" s="21">
        <f>IF('Raw profile'!BJ187&gt;0,1,IF('Raw profile'!BJ290&gt;0,2,0))</f>
        <v>0</v>
      </c>
    </row>
    <row r="28" spans="1:63" x14ac:dyDescent="0.3">
      <c r="B28" s="13" t="s">
        <v>4</v>
      </c>
      <c r="C28" s="19">
        <f>'Growth profile'!I79</f>
        <v>2026</v>
      </c>
      <c r="D28" s="20">
        <f>IF('Growth profile'!C187&gt;0,1,IF('Growth profile'!C290&gt;0,3,0))</f>
        <v>1</v>
      </c>
      <c r="E28" s="20">
        <f>IF('Growth profile'!D187&gt;0,1,IF('Growth profile'!D290&gt;0,3,0))</f>
        <v>1</v>
      </c>
      <c r="F28" s="20">
        <f>IF('Growth profile'!E187&gt;0,1,IF('Growth profile'!E290&gt;0,3,0))</f>
        <v>1</v>
      </c>
      <c r="G28" s="20">
        <f>IF('Growth profile'!F187&gt;0,1,IF('Growth profile'!F290&gt;0,3,0))</f>
        <v>1</v>
      </c>
      <c r="H28" s="20">
        <f>IF('Growth profile'!G187&gt;0,1,IF('Growth profile'!G290&gt;0,3,0))</f>
        <v>1</v>
      </c>
      <c r="I28" s="20">
        <f>IF('Growth profile'!H187&gt;0,1,IF('Growth profile'!H290&gt;0,3,0))</f>
        <v>3</v>
      </c>
      <c r="J28" s="20">
        <f>IF('Growth profile'!I187&gt;0,1,IF('Growth profile'!I290&gt;0,3,0))</f>
        <v>3</v>
      </c>
      <c r="K28" s="20">
        <f>IF('Growth profile'!J187&gt;0,1,IF('Growth profile'!J290&gt;0,3,0))</f>
        <v>3</v>
      </c>
      <c r="L28" s="20">
        <f>IF('Growth profile'!K187&gt;0,1,IF('Growth profile'!K290&gt;0,3,0))</f>
        <v>3</v>
      </c>
      <c r="M28" s="20">
        <f>IF('Growth profile'!L187&gt;0,1,IF('Growth profile'!L290&gt;0,3,0))</f>
        <v>3</v>
      </c>
      <c r="N28" s="20">
        <f>IF('Growth profile'!M187&gt;0,1,IF('Growth profile'!M290&gt;0,3,0))</f>
        <v>3</v>
      </c>
      <c r="O28" s="20">
        <f>IF('Growth profile'!N187&gt;0,1,IF('Growth profile'!N290&gt;0,3,0))</f>
        <v>3</v>
      </c>
      <c r="P28" s="20">
        <f>IF('Growth profile'!O187&gt;0,1,IF('Growth profile'!O290&gt;0,3,0))</f>
        <v>3</v>
      </c>
      <c r="Q28" s="20">
        <f>IF('Growth profile'!P187&gt;0,1,IF('Growth profile'!P290&gt;0,3,0))</f>
        <v>3</v>
      </c>
      <c r="R28" s="20">
        <f>IF('Growth profile'!Q187&gt;0,1,IF('Growth profile'!Q290&gt;0,3,0))</f>
        <v>3</v>
      </c>
      <c r="S28" s="20">
        <f>IF('Growth profile'!R187&gt;0,1,IF('Growth profile'!R290&gt;0,3,0))</f>
        <v>3</v>
      </c>
      <c r="T28" s="20">
        <f>IF('Growth profile'!S187&gt;0,1,IF('Growth profile'!S290&gt;0,3,0))</f>
        <v>3</v>
      </c>
      <c r="U28" s="20">
        <f>IF('Growth profile'!T187&gt;0,1,IF('Growth profile'!T290&gt;0,3,0))</f>
        <v>3</v>
      </c>
      <c r="V28" s="20">
        <f>IF('Growth profile'!U187&gt;0,1,IF('Growth profile'!U290&gt;0,3,0))</f>
        <v>3</v>
      </c>
      <c r="W28" s="20">
        <f>IF('Growth profile'!V187&gt;0,1,IF('Growth profile'!V290&gt;0,3,0))</f>
        <v>3</v>
      </c>
      <c r="X28" s="20">
        <f>IF('Growth profile'!W187&gt;0,1,IF('Growth profile'!W290&gt;0,3,0))</f>
        <v>3</v>
      </c>
      <c r="Y28" s="20">
        <f>IF('Growth profile'!X187&gt;0,1,IF('Growth profile'!X290&gt;0,3,0))</f>
        <v>3</v>
      </c>
      <c r="Z28" s="20">
        <f>IF('Growth profile'!Y187&gt;0,1,IF('Growth profile'!Y290&gt;0,3,0))</f>
        <v>3</v>
      </c>
      <c r="AA28" s="20">
        <f>IF('Growth profile'!Z187&gt;0,1,IF('Growth profile'!Z290&gt;0,3,0))</f>
        <v>3</v>
      </c>
      <c r="AB28" s="20">
        <f>IF('Growth profile'!AA187&gt;0,1,IF('Growth profile'!AA290&gt;0,3,0))</f>
        <v>3</v>
      </c>
      <c r="AC28" s="20">
        <f>IF('Growth profile'!AB187&gt;0,1,IF('Growth profile'!AB290&gt;0,3,0))</f>
        <v>3</v>
      </c>
      <c r="AD28" s="20">
        <f>IF('Growth profile'!AC187&gt;0,1,IF('Growth profile'!AC290&gt;0,3,0))</f>
        <v>3</v>
      </c>
      <c r="AE28" s="20">
        <f>IF('Growth profile'!AD187&gt;0,1,IF('Growth profile'!AD290&gt;0,3,0))</f>
        <v>3</v>
      </c>
      <c r="AF28" s="20">
        <f>IF('Growth profile'!AE187&gt;0,1,IF('Growth profile'!AE290&gt;0,3,0))</f>
        <v>3</v>
      </c>
      <c r="AG28" s="20">
        <f>IF('Growth profile'!AF187&gt;0,1,IF('Growth profile'!AF290&gt;0,3,0))</f>
        <v>3</v>
      </c>
      <c r="AH28" s="20">
        <f>IF('Growth profile'!AG187&gt;0,1,IF('Growth profile'!AG290&gt;0,3,0))</f>
        <v>3</v>
      </c>
      <c r="AI28" s="20">
        <f>IF('Growth profile'!AH187&gt;0,1,IF('Growth profile'!AH290&gt;0,3,0))</f>
        <v>3</v>
      </c>
      <c r="AJ28" s="20">
        <f>IF('Growth profile'!AI187&gt;0,1,IF('Growth profile'!AI290&gt;0,3,0))</f>
        <v>3</v>
      </c>
      <c r="AK28" s="20">
        <f>IF('Growth profile'!AJ187&gt;0,1,IF('Growth profile'!AJ290&gt;0,3,0))</f>
        <v>3</v>
      </c>
      <c r="AL28" s="20">
        <f>IF('Growth profile'!AK187&gt;0,1,IF('Growth profile'!AK290&gt;0,3,0))</f>
        <v>3</v>
      </c>
      <c r="AM28" s="20">
        <f>IF('Growth profile'!AL187&gt;0,1,IF('Growth profile'!AL290&gt;0,3,0))</f>
        <v>3</v>
      </c>
      <c r="AN28" s="20">
        <f>IF('Growth profile'!AM187&gt;0,1,IF('Growth profile'!AM290&gt;0,3,0))</f>
        <v>3</v>
      </c>
      <c r="AO28" s="20">
        <f>IF('Growth profile'!AN187&gt;0,1,IF('Growth profile'!AN290&gt;0,3,0))</f>
        <v>3</v>
      </c>
      <c r="AP28" s="20">
        <f>IF('Growth profile'!AO187&gt;0,1,IF('Growth profile'!AO290&gt;0,3,0))</f>
        <v>3</v>
      </c>
      <c r="AQ28" s="20">
        <f>IF('Growth profile'!AP187&gt;0,1,IF('Growth profile'!AP290&gt;0,3,0))</f>
        <v>3</v>
      </c>
      <c r="AR28" s="20">
        <f>IF('Growth profile'!AQ187&gt;0,1,IF('Growth profile'!AQ290&gt;0,3,0))</f>
        <v>3</v>
      </c>
      <c r="AS28" s="20">
        <f>IF('Growth profile'!AR187&gt;0,1,IF('Growth profile'!AR290&gt;0,3,0))</f>
        <v>3</v>
      </c>
      <c r="AT28" s="20">
        <f>IF('Growth profile'!AS187&gt;0,1,IF('Growth profile'!AS290&gt;0,3,0))</f>
        <v>3</v>
      </c>
      <c r="AU28" s="20">
        <f>IF('Growth profile'!AT187&gt;0,1,IF('Growth profile'!AT290&gt;0,3,0))</f>
        <v>3</v>
      </c>
      <c r="AV28" s="20">
        <f>IF('Growth profile'!AU187&gt;0,1,IF('Growth profile'!AU290&gt;0,3,0))</f>
        <v>3</v>
      </c>
      <c r="AW28" s="20">
        <f>IF('Growth profile'!AV187&gt;0,1,IF('Growth profile'!AV290&gt;0,3,0))</f>
        <v>0</v>
      </c>
      <c r="AX28" s="20">
        <f>IF('Growth profile'!AW187&gt;0,1,IF('Growth profile'!AW290&gt;0,3,0))</f>
        <v>0</v>
      </c>
      <c r="AY28" s="20">
        <f>IF('Growth profile'!AX187&gt;0,1,IF('Growth profile'!AX290&gt;0,3,0))</f>
        <v>0</v>
      </c>
      <c r="AZ28" s="20">
        <f>IF('Growth profile'!AY187&gt;0,1,IF('Growth profile'!AY290&gt;0,3,0))</f>
        <v>0</v>
      </c>
      <c r="BA28" s="20">
        <f>IF('Growth profile'!AZ187&gt;0,1,IF('Growth profile'!AZ290&gt;0,3,0))</f>
        <v>0</v>
      </c>
      <c r="BB28" s="20">
        <f>IF('Growth profile'!BA187&gt;0,1,IF('Growth profile'!BA290&gt;0,3,0))</f>
        <v>0</v>
      </c>
      <c r="BC28" s="20">
        <f>IF('Growth profile'!BB187&gt;0,1,IF('Growth profile'!BB290&gt;0,3,0))</f>
        <v>0</v>
      </c>
      <c r="BD28" s="20">
        <f>IF('Growth profile'!BC187&gt;0,1,IF('Growth profile'!BC290&gt;0,3,0))</f>
        <v>0</v>
      </c>
      <c r="BE28" s="20">
        <f>IF('Growth profile'!BD187&gt;0,1,IF('Growth profile'!BD290&gt;0,3,0))</f>
        <v>0</v>
      </c>
      <c r="BF28" s="20">
        <f>IF('Growth profile'!BE187&gt;0,1,IF('Growth profile'!BE290&gt;0,3,0))</f>
        <v>0</v>
      </c>
      <c r="BG28" s="20">
        <f>IF('Growth profile'!BF187&gt;0,1,IF('Growth profile'!BF290&gt;0,3,0))</f>
        <v>0</v>
      </c>
      <c r="BH28" s="20">
        <f>IF('Growth profile'!BG187&gt;0,1,IF('Growth profile'!BG290&gt;0,3,0))</f>
        <v>0</v>
      </c>
      <c r="BI28" s="20">
        <f>IF('Growth profile'!BH187&gt;0,1,IF('Growth profile'!BH290&gt;0,3,0))</f>
        <v>0</v>
      </c>
      <c r="BJ28" s="20">
        <f>IF('Growth profile'!BI187&gt;0,1,IF('Growth profile'!BI290&gt;0,3,0))</f>
        <v>0</v>
      </c>
      <c r="BK28" s="21">
        <f>IF('Growth profile'!BJ187&gt;0,1,IF('Growth profile'!BJ290&gt;0,3,0))</f>
        <v>0</v>
      </c>
    </row>
    <row r="29" spans="1:63" x14ac:dyDescent="0.3">
      <c r="B29" s="13" t="s">
        <v>59</v>
      </c>
      <c r="C29" s="19">
        <f>'Growth (no penalty)'!I79</f>
        <v>2026</v>
      </c>
      <c r="D29" s="22">
        <f>IF('Growth (no penalty)'!C187&gt;0,1,IF('Growth (no penalty)'!C290&gt;0,4,0))</f>
        <v>1</v>
      </c>
      <c r="E29" s="22">
        <f>IF('Growth (no penalty)'!D187&gt;0,1,IF('Growth (no penalty)'!D290&gt;0,4,0))</f>
        <v>1</v>
      </c>
      <c r="F29" s="22">
        <f>IF('Growth (no penalty)'!E187&gt;0,1,IF('Growth (no penalty)'!E290&gt;0,4,0))</f>
        <v>1</v>
      </c>
      <c r="G29" s="22">
        <f>IF('Growth (no penalty)'!F187&gt;0,1,IF('Growth (no penalty)'!F290&gt;0,4,0))</f>
        <v>1</v>
      </c>
      <c r="H29" s="22">
        <f>IF('Growth (no penalty)'!G187&gt;0,1,IF('Growth (no penalty)'!G290&gt;0,4,0))</f>
        <v>1</v>
      </c>
      <c r="I29" s="22">
        <f>IF('Growth (no penalty)'!H187&gt;0,1,IF('Growth (no penalty)'!H290&gt;0,4,0))</f>
        <v>4</v>
      </c>
      <c r="J29" s="22">
        <f>IF('Growth (no penalty)'!I187&gt;0,1,IF('Growth (no penalty)'!I290&gt;0,4,0))</f>
        <v>4</v>
      </c>
      <c r="K29" s="22">
        <f>IF('Growth (no penalty)'!J187&gt;0,1,IF('Growth (no penalty)'!J290&gt;0,4,0))</f>
        <v>4</v>
      </c>
      <c r="L29" s="22">
        <f>IF('Growth (no penalty)'!K187&gt;0,1,IF('Growth (no penalty)'!K290&gt;0,4,0))</f>
        <v>4</v>
      </c>
      <c r="M29" s="22">
        <f>IF('Growth (no penalty)'!L187&gt;0,1,IF('Growth (no penalty)'!L290&gt;0,4,0))</f>
        <v>4</v>
      </c>
      <c r="N29" s="22">
        <f>IF('Growth (no penalty)'!M187&gt;0,1,IF('Growth (no penalty)'!M290&gt;0,4,0))</f>
        <v>4</v>
      </c>
      <c r="O29" s="22">
        <f>IF('Growth (no penalty)'!N187&gt;0,1,IF('Growth (no penalty)'!N290&gt;0,4,0))</f>
        <v>4</v>
      </c>
      <c r="P29" s="22">
        <f>IF('Growth (no penalty)'!O187&gt;0,1,IF('Growth (no penalty)'!O290&gt;0,4,0))</f>
        <v>4</v>
      </c>
      <c r="Q29" s="22">
        <f>IF('Growth (no penalty)'!P187&gt;0,1,IF('Growth (no penalty)'!P290&gt;0,4,0))</f>
        <v>4</v>
      </c>
      <c r="R29" s="22">
        <f>IF('Growth (no penalty)'!Q187&gt;0,1,IF('Growth (no penalty)'!Q290&gt;0,4,0))</f>
        <v>4</v>
      </c>
      <c r="S29" s="22">
        <f>IF('Growth (no penalty)'!R187&gt;0,1,IF('Growth (no penalty)'!R290&gt;0,4,0))</f>
        <v>4</v>
      </c>
      <c r="T29" s="22">
        <f>IF('Growth (no penalty)'!S187&gt;0,1,IF('Growth (no penalty)'!S290&gt;0,4,0))</f>
        <v>4</v>
      </c>
      <c r="U29" s="22">
        <f>IF('Growth (no penalty)'!T187&gt;0,1,IF('Growth (no penalty)'!T290&gt;0,4,0))</f>
        <v>4</v>
      </c>
      <c r="V29" s="22">
        <f>IF('Growth (no penalty)'!U187&gt;0,1,IF('Growth (no penalty)'!U290&gt;0,4,0))</f>
        <v>4</v>
      </c>
      <c r="W29" s="22">
        <f>IF('Growth (no penalty)'!V187&gt;0,1,IF('Growth (no penalty)'!V290&gt;0,4,0))</f>
        <v>4</v>
      </c>
      <c r="X29" s="22">
        <f>IF('Growth (no penalty)'!W187&gt;0,1,IF('Growth (no penalty)'!W290&gt;0,4,0))</f>
        <v>4</v>
      </c>
      <c r="Y29" s="22">
        <f>IF('Growth (no penalty)'!X187&gt;0,1,IF('Growth (no penalty)'!X290&gt;0,4,0))</f>
        <v>4</v>
      </c>
      <c r="Z29" s="22">
        <f>IF('Growth (no penalty)'!Y187&gt;0,1,IF('Growth (no penalty)'!Y290&gt;0,4,0))</f>
        <v>4</v>
      </c>
      <c r="AA29" s="22">
        <f>IF('Growth (no penalty)'!Z187&gt;0,1,IF('Growth (no penalty)'!Z290&gt;0,4,0))</f>
        <v>4</v>
      </c>
      <c r="AB29" s="22">
        <f>IF('Growth (no penalty)'!AA187&gt;0,1,IF('Growth (no penalty)'!AA290&gt;0,4,0))</f>
        <v>4</v>
      </c>
      <c r="AC29" s="22">
        <f>IF('Growth (no penalty)'!AB187&gt;0,1,IF('Growth (no penalty)'!AB290&gt;0,4,0))</f>
        <v>4</v>
      </c>
      <c r="AD29" s="22">
        <f>IF('Growth (no penalty)'!AC187&gt;0,1,IF('Growth (no penalty)'!AC290&gt;0,4,0))</f>
        <v>4</v>
      </c>
      <c r="AE29" s="22">
        <f>IF('Growth (no penalty)'!AD187&gt;0,1,IF('Growth (no penalty)'!AD290&gt;0,4,0))</f>
        <v>4</v>
      </c>
      <c r="AF29" s="22">
        <f>IF('Growth (no penalty)'!AE187&gt;0,1,IF('Growth (no penalty)'!AE290&gt;0,4,0))</f>
        <v>4</v>
      </c>
      <c r="AG29" s="22">
        <f>IF('Growth (no penalty)'!AF187&gt;0,1,IF('Growth (no penalty)'!AF290&gt;0,4,0))</f>
        <v>4</v>
      </c>
      <c r="AH29" s="22">
        <f>IF('Growth (no penalty)'!AG187&gt;0,1,IF('Growth (no penalty)'!AG290&gt;0,4,0))</f>
        <v>4</v>
      </c>
      <c r="AI29" s="22">
        <f>IF('Growth (no penalty)'!AH187&gt;0,1,IF('Growth (no penalty)'!AH290&gt;0,4,0))</f>
        <v>4</v>
      </c>
      <c r="AJ29" s="22">
        <f>IF('Growth (no penalty)'!AI187&gt;0,1,IF('Growth (no penalty)'!AI290&gt;0,4,0))</f>
        <v>4</v>
      </c>
      <c r="AK29" s="22">
        <f>IF('Growth (no penalty)'!AJ187&gt;0,1,IF('Growth (no penalty)'!AJ290&gt;0,4,0))</f>
        <v>4</v>
      </c>
      <c r="AL29" s="22">
        <f>IF('Growth (no penalty)'!AK187&gt;0,1,IF('Growth (no penalty)'!AK290&gt;0,4,0))</f>
        <v>4</v>
      </c>
      <c r="AM29" s="22">
        <f>IF('Growth (no penalty)'!AL187&gt;0,1,IF('Growth (no penalty)'!AL290&gt;0,4,0))</f>
        <v>4</v>
      </c>
      <c r="AN29" s="22">
        <f>IF('Growth (no penalty)'!AM187&gt;0,1,IF('Growth (no penalty)'!AM290&gt;0,4,0))</f>
        <v>4</v>
      </c>
      <c r="AO29" s="22">
        <f>IF('Growth (no penalty)'!AN187&gt;0,1,IF('Growth (no penalty)'!AN290&gt;0,4,0))</f>
        <v>4</v>
      </c>
      <c r="AP29" s="22">
        <f>IF('Growth (no penalty)'!AO187&gt;0,1,IF('Growth (no penalty)'!AO290&gt;0,4,0))</f>
        <v>4</v>
      </c>
      <c r="AQ29" s="22">
        <f>IF('Growth (no penalty)'!AP187&gt;0,1,IF('Growth (no penalty)'!AP290&gt;0,4,0))</f>
        <v>4</v>
      </c>
      <c r="AR29" s="22">
        <f>IF('Growth (no penalty)'!AQ187&gt;0,1,IF('Growth (no penalty)'!AQ290&gt;0,4,0))</f>
        <v>4</v>
      </c>
      <c r="AS29" s="22">
        <f>IF('Growth (no penalty)'!AR187&gt;0,1,IF('Growth (no penalty)'!AR290&gt;0,4,0))</f>
        <v>4</v>
      </c>
      <c r="AT29" s="22">
        <f>IF('Growth (no penalty)'!AS187&gt;0,1,IF('Growth (no penalty)'!AS290&gt;0,4,0))</f>
        <v>4</v>
      </c>
      <c r="AU29" s="22">
        <f>IF('Growth (no penalty)'!AT187&gt;0,1,IF('Growth (no penalty)'!AT290&gt;0,4,0))</f>
        <v>4</v>
      </c>
      <c r="AV29" s="22">
        <f>IF('Growth (no penalty)'!AU187&gt;0,1,IF('Growth (no penalty)'!AU290&gt;0,4,0))</f>
        <v>4</v>
      </c>
      <c r="AW29" s="22">
        <f>IF('Growth (no penalty)'!AV187&gt;0,1,IF('Growth (no penalty)'!AV290&gt;0,4,0))</f>
        <v>0</v>
      </c>
      <c r="AX29" s="22">
        <f>IF('Growth (no penalty)'!AW187&gt;0,1,IF('Growth (no penalty)'!AW290&gt;0,4,0))</f>
        <v>0</v>
      </c>
      <c r="AY29" s="22">
        <f>IF('Growth (no penalty)'!AX187&gt;0,1,IF('Growth (no penalty)'!AX290&gt;0,4,0))</f>
        <v>0</v>
      </c>
      <c r="AZ29" s="22">
        <f>IF('Growth (no penalty)'!AY187&gt;0,1,IF('Growth (no penalty)'!AY290&gt;0,4,0))</f>
        <v>0</v>
      </c>
      <c r="BA29" s="22">
        <f>IF('Growth (no penalty)'!AZ187&gt;0,1,IF('Growth (no penalty)'!AZ290&gt;0,4,0))</f>
        <v>0</v>
      </c>
      <c r="BB29" s="22">
        <f>IF('Growth (no penalty)'!BA187&gt;0,1,IF('Growth (no penalty)'!BA290&gt;0,4,0))</f>
        <v>0</v>
      </c>
      <c r="BC29" s="22">
        <f>IF('Growth (no penalty)'!BB187&gt;0,1,IF('Growth (no penalty)'!BB290&gt;0,4,0))</f>
        <v>0</v>
      </c>
      <c r="BD29" s="22">
        <f>IF('Growth (no penalty)'!BC187&gt;0,1,IF('Growth (no penalty)'!BC290&gt;0,4,0))</f>
        <v>0</v>
      </c>
      <c r="BE29" s="22">
        <f>IF('Growth (no penalty)'!BD187&gt;0,1,IF('Growth (no penalty)'!BD290&gt;0,4,0))</f>
        <v>0</v>
      </c>
      <c r="BF29" s="22">
        <f>IF('Growth (no penalty)'!BE187&gt;0,1,IF('Growth (no penalty)'!BE290&gt;0,4,0))</f>
        <v>0</v>
      </c>
      <c r="BG29" s="22">
        <f>IF('Growth (no penalty)'!BF187&gt;0,1,IF('Growth (no penalty)'!BF290&gt;0,4,0))</f>
        <v>0</v>
      </c>
      <c r="BH29" s="22">
        <f>IF('Growth (no penalty)'!BG187&gt;0,1,IF('Growth (no penalty)'!BG290&gt;0,4,0))</f>
        <v>0</v>
      </c>
      <c r="BI29" s="22">
        <f>IF('Growth (no penalty)'!BH187&gt;0,1,IF('Growth (no penalty)'!BH290&gt;0,4,0))</f>
        <v>0</v>
      </c>
      <c r="BJ29" s="22">
        <f>IF('Growth (no penalty)'!BI187&gt;0,1,IF('Growth (no penalty)'!BI290&gt;0,4,0))</f>
        <v>0</v>
      </c>
      <c r="BK29" s="23">
        <f>IF('Growth (no penalty)'!BJ187&gt;0,1,IF('Growth (no penalty)'!BJ290&gt;0,4,0))</f>
        <v>0</v>
      </c>
    </row>
    <row r="30" spans="1:63" x14ac:dyDescent="0.3">
      <c r="A30" s="4" t="str">
        <f>'Growth profile'!A81</f>
        <v>project 120</v>
      </c>
      <c r="B30" s="13" t="s">
        <v>3</v>
      </c>
      <c r="C30" s="19">
        <f>'Raw profile'!I81</f>
        <v>2026</v>
      </c>
      <c r="D30" s="20">
        <f>IF('Raw profile'!C189&gt;0,1,IF('Raw profile'!C292&gt;0,2,0))</f>
        <v>1</v>
      </c>
      <c r="E30" s="20">
        <f>IF('Raw profile'!D189&gt;0,1,IF('Raw profile'!D292&gt;0,2,0))</f>
        <v>1</v>
      </c>
      <c r="F30" s="20">
        <f>IF('Raw profile'!E189&gt;0,1,IF('Raw profile'!E292&gt;0,2,0))</f>
        <v>1</v>
      </c>
      <c r="G30" s="20">
        <f>IF('Raw profile'!F189&gt;0,1,IF('Raw profile'!F292&gt;0,2,0))</f>
        <v>1</v>
      </c>
      <c r="H30" s="20">
        <f>IF('Raw profile'!G189&gt;0,1,IF('Raw profile'!G292&gt;0,2,0))</f>
        <v>1</v>
      </c>
      <c r="I30" s="20">
        <f>IF('Raw profile'!H189&gt;0,1,IF('Raw profile'!H292&gt;0,2,0))</f>
        <v>1</v>
      </c>
      <c r="J30" s="20">
        <f>IF('Raw profile'!I189&gt;0,1,IF('Raw profile'!I292&gt;0,2,0))</f>
        <v>2</v>
      </c>
      <c r="K30" s="20">
        <f>IF('Raw profile'!J189&gt;0,1,IF('Raw profile'!J292&gt;0,2,0))</f>
        <v>2</v>
      </c>
      <c r="L30" s="20">
        <f>IF('Raw profile'!K189&gt;0,1,IF('Raw profile'!K292&gt;0,2,0))</f>
        <v>2</v>
      </c>
      <c r="M30" s="20">
        <f>IF('Raw profile'!L189&gt;0,1,IF('Raw profile'!L292&gt;0,2,0))</f>
        <v>2</v>
      </c>
      <c r="N30" s="20">
        <f>IF('Raw profile'!M189&gt;0,1,IF('Raw profile'!M292&gt;0,2,0))</f>
        <v>2</v>
      </c>
      <c r="O30" s="20">
        <f>IF('Raw profile'!N189&gt;0,1,IF('Raw profile'!N292&gt;0,2,0))</f>
        <v>2</v>
      </c>
      <c r="P30" s="20">
        <f>IF('Raw profile'!O189&gt;0,1,IF('Raw profile'!O292&gt;0,2,0))</f>
        <v>2</v>
      </c>
      <c r="Q30" s="20">
        <f>IF('Raw profile'!P189&gt;0,1,IF('Raw profile'!P292&gt;0,2,0))</f>
        <v>2</v>
      </c>
      <c r="R30" s="20">
        <f>IF('Raw profile'!Q189&gt;0,1,IF('Raw profile'!Q292&gt;0,2,0))</f>
        <v>2</v>
      </c>
      <c r="S30" s="20">
        <f>IF('Raw profile'!R189&gt;0,1,IF('Raw profile'!R292&gt;0,2,0))</f>
        <v>2</v>
      </c>
      <c r="T30" s="20">
        <f>IF('Raw profile'!S189&gt;0,1,IF('Raw profile'!S292&gt;0,2,0))</f>
        <v>2</v>
      </c>
      <c r="U30" s="20">
        <f>IF('Raw profile'!T189&gt;0,1,IF('Raw profile'!T292&gt;0,2,0))</f>
        <v>2</v>
      </c>
      <c r="V30" s="20">
        <f>IF('Raw profile'!U189&gt;0,1,IF('Raw profile'!U292&gt;0,2,0))</f>
        <v>2</v>
      </c>
      <c r="W30" s="20">
        <f>IF('Raw profile'!V189&gt;0,1,IF('Raw profile'!V292&gt;0,2,0))</f>
        <v>2</v>
      </c>
      <c r="X30" s="20">
        <f>IF('Raw profile'!W189&gt;0,1,IF('Raw profile'!W292&gt;0,2,0))</f>
        <v>2</v>
      </c>
      <c r="Y30" s="20">
        <f>IF('Raw profile'!X189&gt;0,1,IF('Raw profile'!X292&gt;0,2,0))</f>
        <v>2</v>
      </c>
      <c r="Z30" s="20">
        <f>IF('Raw profile'!Y189&gt;0,1,IF('Raw profile'!Y292&gt;0,2,0))</f>
        <v>2</v>
      </c>
      <c r="AA30" s="20">
        <f>IF('Raw profile'!Z189&gt;0,1,IF('Raw profile'!Z292&gt;0,2,0))</f>
        <v>2</v>
      </c>
      <c r="AB30" s="20">
        <f>IF('Raw profile'!AA189&gt;0,1,IF('Raw profile'!AA292&gt;0,2,0))</f>
        <v>2</v>
      </c>
      <c r="AC30" s="20">
        <f>IF('Raw profile'!AB189&gt;0,1,IF('Raw profile'!AB292&gt;0,2,0))</f>
        <v>2</v>
      </c>
      <c r="AD30" s="20">
        <f>IF('Raw profile'!AC189&gt;0,1,IF('Raw profile'!AC292&gt;0,2,0))</f>
        <v>2</v>
      </c>
      <c r="AE30" s="20">
        <f>IF('Raw profile'!AD189&gt;0,1,IF('Raw profile'!AD292&gt;0,2,0))</f>
        <v>2</v>
      </c>
      <c r="AF30" s="20">
        <f>IF('Raw profile'!AE189&gt;0,1,IF('Raw profile'!AE292&gt;0,2,0))</f>
        <v>2</v>
      </c>
      <c r="AG30" s="20">
        <f>IF('Raw profile'!AF189&gt;0,1,IF('Raw profile'!AF292&gt;0,2,0))</f>
        <v>2</v>
      </c>
      <c r="AH30" s="20">
        <f>IF('Raw profile'!AG189&gt;0,1,IF('Raw profile'!AG292&gt;0,2,0))</f>
        <v>2</v>
      </c>
      <c r="AI30" s="20">
        <f>IF('Raw profile'!AH189&gt;0,1,IF('Raw profile'!AH292&gt;0,2,0))</f>
        <v>2</v>
      </c>
      <c r="AJ30" s="20">
        <f>IF('Raw profile'!AI189&gt;0,1,IF('Raw profile'!AI292&gt;0,2,0))</f>
        <v>2</v>
      </c>
      <c r="AK30" s="20">
        <f>IF('Raw profile'!AJ189&gt;0,1,IF('Raw profile'!AJ292&gt;0,2,0))</f>
        <v>2</v>
      </c>
      <c r="AL30" s="20">
        <f>IF('Raw profile'!AK189&gt;0,1,IF('Raw profile'!AK292&gt;0,2,0))</f>
        <v>2</v>
      </c>
      <c r="AM30" s="20">
        <f>IF('Raw profile'!AL189&gt;0,1,IF('Raw profile'!AL292&gt;0,2,0))</f>
        <v>2</v>
      </c>
      <c r="AN30" s="20">
        <f>IF('Raw profile'!AM189&gt;0,1,IF('Raw profile'!AM292&gt;0,2,0))</f>
        <v>2</v>
      </c>
      <c r="AO30" s="20">
        <f>IF('Raw profile'!AN189&gt;0,1,IF('Raw profile'!AN292&gt;0,2,0))</f>
        <v>2</v>
      </c>
      <c r="AP30" s="20">
        <f>IF('Raw profile'!AO189&gt;0,1,IF('Raw profile'!AO292&gt;0,2,0))</f>
        <v>2</v>
      </c>
      <c r="AQ30" s="20">
        <f>IF('Raw profile'!AP189&gt;0,1,IF('Raw profile'!AP292&gt;0,2,0))</f>
        <v>2</v>
      </c>
      <c r="AR30" s="20">
        <f>IF('Raw profile'!AQ189&gt;0,1,IF('Raw profile'!AQ292&gt;0,2,0))</f>
        <v>2</v>
      </c>
      <c r="AS30" s="20">
        <f>IF('Raw profile'!AR189&gt;0,1,IF('Raw profile'!AR292&gt;0,2,0))</f>
        <v>2</v>
      </c>
      <c r="AT30" s="20">
        <f>IF('Raw profile'!AS189&gt;0,1,IF('Raw profile'!AS292&gt;0,2,0))</f>
        <v>2</v>
      </c>
      <c r="AU30" s="20">
        <f>IF('Raw profile'!AT189&gt;0,1,IF('Raw profile'!AT292&gt;0,2,0))</f>
        <v>2</v>
      </c>
      <c r="AV30" s="20">
        <f>IF('Raw profile'!AU189&gt;0,1,IF('Raw profile'!AU292&gt;0,2,0))</f>
        <v>2</v>
      </c>
      <c r="AW30" s="20">
        <f>IF('Raw profile'!AV189&gt;0,1,IF('Raw profile'!AV292&gt;0,2,0))</f>
        <v>2</v>
      </c>
      <c r="AX30" s="20">
        <f>IF('Raw profile'!AW189&gt;0,1,IF('Raw profile'!AW292&gt;0,2,0))</f>
        <v>0</v>
      </c>
      <c r="AY30" s="20">
        <f>IF('Raw profile'!AX189&gt;0,1,IF('Raw profile'!AX292&gt;0,2,0))</f>
        <v>0</v>
      </c>
      <c r="AZ30" s="20">
        <f>IF('Raw profile'!AY189&gt;0,1,IF('Raw profile'!AY292&gt;0,2,0))</f>
        <v>0</v>
      </c>
      <c r="BA30" s="20">
        <f>IF('Raw profile'!AZ189&gt;0,1,IF('Raw profile'!AZ292&gt;0,2,0))</f>
        <v>0</v>
      </c>
      <c r="BB30" s="20">
        <f>IF('Raw profile'!BA189&gt;0,1,IF('Raw profile'!BA292&gt;0,2,0))</f>
        <v>0</v>
      </c>
      <c r="BC30" s="20">
        <f>IF('Raw profile'!BB189&gt;0,1,IF('Raw profile'!BB292&gt;0,2,0))</f>
        <v>0</v>
      </c>
      <c r="BD30" s="20">
        <f>IF('Raw profile'!BC189&gt;0,1,IF('Raw profile'!BC292&gt;0,2,0))</f>
        <v>0</v>
      </c>
      <c r="BE30" s="20">
        <f>IF('Raw profile'!BD189&gt;0,1,IF('Raw profile'!BD292&gt;0,2,0))</f>
        <v>0</v>
      </c>
      <c r="BF30" s="20">
        <f>IF('Raw profile'!BE189&gt;0,1,IF('Raw profile'!BE292&gt;0,2,0))</f>
        <v>0</v>
      </c>
      <c r="BG30" s="20">
        <f>IF('Raw profile'!BF189&gt;0,1,IF('Raw profile'!BF292&gt;0,2,0))</f>
        <v>0</v>
      </c>
      <c r="BH30" s="20">
        <f>IF('Raw profile'!BG189&gt;0,1,IF('Raw profile'!BG292&gt;0,2,0))</f>
        <v>0</v>
      </c>
      <c r="BI30" s="20">
        <f>IF('Raw profile'!BH189&gt;0,1,IF('Raw profile'!BH292&gt;0,2,0))</f>
        <v>0</v>
      </c>
      <c r="BJ30" s="20">
        <f>IF('Raw profile'!BI189&gt;0,1,IF('Raw profile'!BI292&gt;0,2,0))</f>
        <v>0</v>
      </c>
      <c r="BK30" s="21">
        <f>IF('Raw profile'!BJ189&gt;0,1,IF('Raw profile'!BJ292&gt;0,2,0))</f>
        <v>0</v>
      </c>
    </row>
    <row r="31" spans="1:63" x14ac:dyDescent="0.3">
      <c r="B31" s="13" t="s">
        <v>4</v>
      </c>
      <c r="C31" s="19">
        <f>'Growth profile'!I81</f>
        <v>2026</v>
      </c>
      <c r="D31" s="20">
        <f>IF('Growth profile'!C189&gt;0,1,IF('Growth profile'!C292&gt;0,3,0))</f>
        <v>1</v>
      </c>
      <c r="E31" s="20">
        <f>IF('Growth profile'!D189&gt;0,1,IF('Growth profile'!D292&gt;0,3,0))</f>
        <v>1</v>
      </c>
      <c r="F31" s="20">
        <f>IF('Growth profile'!E189&gt;0,1,IF('Growth profile'!E292&gt;0,3,0))</f>
        <v>1</v>
      </c>
      <c r="G31" s="20">
        <f>IF('Growth profile'!F189&gt;0,1,IF('Growth profile'!F292&gt;0,3,0))</f>
        <v>1</v>
      </c>
      <c r="H31" s="20">
        <f>IF('Growth profile'!G189&gt;0,1,IF('Growth profile'!G292&gt;0,3,0))</f>
        <v>1</v>
      </c>
      <c r="I31" s="20">
        <f>IF('Growth profile'!H189&gt;0,1,IF('Growth profile'!H292&gt;0,3,0))</f>
        <v>1</v>
      </c>
      <c r="J31" s="20">
        <f>IF('Growth profile'!I189&gt;0,1,IF('Growth profile'!I292&gt;0,3,0))</f>
        <v>3</v>
      </c>
      <c r="K31" s="20">
        <f>IF('Growth profile'!J189&gt;0,1,IF('Growth profile'!J292&gt;0,3,0))</f>
        <v>3</v>
      </c>
      <c r="L31" s="20">
        <f>IF('Growth profile'!K189&gt;0,1,IF('Growth profile'!K292&gt;0,3,0))</f>
        <v>3</v>
      </c>
      <c r="M31" s="20">
        <f>IF('Growth profile'!L189&gt;0,1,IF('Growth profile'!L292&gt;0,3,0))</f>
        <v>3</v>
      </c>
      <c r="N31" s="20">
        <f>IF('Growth profile'!M189&gt;0,1,IF('Growth profile'!M292&gt;0,3,0))</f>
        <v>3</v>
      </c>
      <c r="O31" s="20">
        <f>IF('Growth profile'!N189&gt;0,1,IF('Growth profile'!N292&gt;0,3,0))</f>
        <v>3</v>
      </c>
      <c r="P31" s="20">
        <f>IF('Growth profile'!O189&gt;0,1,IF('Growth profile'!O292&gt;0,3,0))</f>
        <v>3</v>
      </c>
      <c r="Q31" s="20">
        <f>IF('Growth profile'!P189&gt;0,1,IF('Growth profile'!P292&gt;0,3,0))</f>
        <v>3</v>
      </c>
      <c r="R31" s="20">
        <f>IF('Growth profile'!Q189&gt;0,1,IF('Growth profile'!Q292&gt;0,3,0))</f>
        <v>3</v>
      </c>
      <c r="S31" s="20">
        <f>IF('Growth profile'!R189&gt;0,1,IF('Growth profile'!R292&gt;0,3,0))</f>
        <v>3</v>
      </c>
      <c r="T31" s="20">
        <f>IF('Growth profile'!S189&gt;0,1,IF('Growth profile'!S292&gt;0,3,0))</f>
        <v>3</v>
      </c>
      <c r="U31" s="20">
        <f>IF('Growth profile'!T189&gt;0,1,IF('Growth profile'!T292&gt;0,3,0))</f>
        <v>3</v>
      </c>
      <c r="V31" s="20">
        <f>IF('Growth profile'!U189&gt;0,1,IF('Growth profile'!U292&gt;0,3,0))</f>
        <v>3</v>
      </c>
      <c r="W31" s="20">
        <f>IF('Growth profile'!V189&gt;0,1,IF('Growth profile'!V292&gt;0,3,0))</f>
        <v>3</v>
      </c>
      <c r="X31" s="20">
        <f>IF('Growth profile'!W189&gt;0,1,IF('Growth profile'!W292&gt;0,3,0))</f>
        <v>3</v>
      </c>
      <c r="Y31" s="20">
        <f>IF('Growth profile'!X189&gt;0,1,IF('Growth profile'!X292&gt;0,3,0))</f>
        <v>3</v>
      </c>
      <c r="Z31" s="20">
        <f>IF('Growth profile'!Y189&gt;0,1,IF('Growth profile'!Y292&gt;0,3,0))</f>
        <v>3</v>
      </c>
      <c r="AA31" s="20">
        <f>IF('Growth profile'!Z189&gt;0,1,IF('Growth profile'!Z292&gt;0,3,0))</f>
        <v>3</v>
      </c>
      <c r="AB31" s="20">
        <f>IF('Growth profile'!AA189&gt;0,1,IF('Growth profile'!AA292&gt;0,3,0))</f>
        <v>3</v>
      </c>
      <c r="AC31" s="20">
        <f>IF('Growth profile'!AB189&gt;0,1,IF('Growth profile'!AB292&gt;0,3,0))</f>
        <v>3</v>
      </c>
      <c r="AD31" s="20">
        <f>IF('Growth profile'!AC189&gt;0,1,IF('Growth profile'!AC292&gt;0,3,0))</f>
        <v>3</v>
      </c>
      <c r="AE31" s="20">
        <f>IF('Growth profile'!AD189&gt;0,1,IF('Growth profile'!AD292&gt;0,3,0))</f>
        <v>3</v>
      </c>
      <c r="AF31" s="20">
        <f>IF('Growth profile'!AE189&gt;0,1,IF('Growth profile'!AE292&gt;0,3,0))</f>
        <v>3</v>
      </c>
      <c r="AG31" s="20">
        <f>IF('Growth profile'!AF189&gt;0,1,IF('Growth profile'!AF292&gt;0,3,0))</f>
        <v>3</v>
      </c>
      <c r="AH31" s="20">
        <f>IF('Growth profile'!AG189&gt;0,1,IF('Growth profile'!AG292&gt;0,3,0))</f>
        <v>3</v>
      </c>
      <c r="AI31" s="20">
        <f>IF('Growth profile'!AH189&gt;0,1,IF('Growth profile'!AH292&gt;0,3,0))</f>
        <v>3</v>
      </c>
      <c r="AJ31" s="20">
        <f>IF('Growth profile'!AI189&gt;0,1,IF('Growth profile'!AI292&gt;0,3,0))</f>
        <v>3</v>
      </c>
      <c r="AK31" s="20">
        <f>IF('Growth profile'!AJ189&gt;0,1,IF('Growth profile'!AJ292&gt;0,3,0))</f>
        <v>3</v>
      </c>
      <c r="AL31" s="20">
        <f>IF('Growth profile'!AK189&gt;0,1,IF('Growth profile'!AK292&gt;0,3,0))</f>
        <v>3</v>
      </c>
      <c r="AM31" s="20">
        <f>IF('Growth profile'!AL189&gt;0,1,IF('Growth profile'!AL292&gt;0,3,0))</f>
        <v>3</v>
      </c>
      <c r="AN31" s="20">
        <f>IF('Growth profile'!AM189&gt;0,1,IF('Growth profile'!AM292&gt;0,3,0))</f>
        <v>3</v>
      </c>
      <c r="AO31" s="20">
        <f>IF('Growth profile'!AN189&gt;0,1,IF('Growth profile'!AN292&gt;0,3,0))</f>
        <v>3</v>
      </c>
      <c r="AP31" s="20">
        <f>IF('Growth profile'!AO189&gt;0,1,IF('Growth profile'!AO292&gt;0,3,0))</f>
        <v>3</v>
      </c>
      <c r="AQ31" s="20">
        <f>IF('Growth profile'!AP189&gt;0,1,IF('Growth profile'!AP292&gt;0,3,0))</f>
        <v>3</v>
      </c>
      <c r="AR31" s="20">
        <f>IF('Growth profile'!AQ189&gt;0,1,IF('Growth profile'!AQ292&gt;0,3,0))</f>
        <v>3</v>
      </c>
      <c r="AS31" s="20">
        <f>IF('Growth profile'!AR189&gt;0,1,IF('Growth profile'!AR292&gt;0,3,0))</f>
        <v>3</v>
      </c>
      <c r="AT31" s="20">
        <f>IF('Growth profile'!AS189&gt;0,1,IF('Growth profile'!AS292&gt;0,3,0))</f>
        <v>3</v>
      </c>
      <c r="AU31" s="20">
        <f>IF('Growth profile'!AT189&gt;0,1,IF('Growth profile'!AT292&gt;0,3,0))</f>
        <v>3</v>
      </c>
      <c r="AV31" s="20">
        <f>IF('Growth profile'!AU189&gt;0,1,IF('Growth profile'!AU292&gt;0,3,0))</f>
        <v>3</v>
      </c>
      <c r="AW31" s="20">
        <f>IF('Growth profile'!AV189&gt;0,1,IF('Growth profile'!AV292&gt;0,3,0))</f>
        <v>3</v>
      </c>
      <c r="AX31" s="20">
        <f>IF('Growth profile'!AW189&gt;0,1,IF('Growth profile'!AW292&gt;0,3,0))</f>
        <v>0</v>
      </c>
      <c r="AY31" s="20">
        <f>IF('Growth profile'!AX189&gt;0,1,IF('Growth profile'!AX292&gt;0,3,0))</f>
        <v>0</v>
      </c>
      <c r="AZ31" s="20">
        <f>IF('Growth profile'!AY189&gt;0,1,IF('Growth profile'!AY292&gt;0,3,0))</f>
        <v>0</v>
      </c>
      <c r="BA31" s="20">
        <f>IF('Growth profile'!AZ189&gt;0,1,IF('Growth profile'!AZ292&gt;0,3,0))</f>
        <v>0</v>
      </c>
      <c r="BB31" s="20">
        <f>IF('Growth profile'!BA189&gt;0,1,IF('Growth profile'!BA292&gt;0,3,0))</f>
        <v>0</v>
      </c>
      <c r="BC31" s="20">
        <f>IF('Growth profile'!BB189&gt;0,1,IF('Growth profile'!BB292&gt;0,3,0))</f>
        <v>0</v>
      </c>
      <c r="BD31" s="20">
        <f>IF('Growth profile'!BC189&gt;0,1,IF('Growth profile'!BC292&gt;0,3,0))</f>
        <v>0</v>
      </c>
      <c r="BE31" s="20">
        <f>IF('Growth profile'!BD189&gt;0,1,IF('Growth profile'!BD292&gt;0,3,0))</f>
        <v>0</v>
      </c>
      <c r="BF31" s="20">
        <f>IF('Growth profile'!BE189&gt;0,1,IF('Growth profile'!BE292&gt;0,3,0))</f>
        <v>0</v>
      </c>
      <c r="BG31" s="20">
        <f>IF('Growth profile'!BF189&gt;0,1,IF('Growth profile'!BF292&gt;0,3,0))</f>
        <v>0</v>
      </c>
      <c r="BH31" s="20">
        <f>IF('Growth profile'!BG189&gt;0,1,IF('Growth profile'!BG292&gt;0,3,0))</f>
        <v>0</v>
      </c>
      <c r="BI31" s="20">
        <f>IF('Growth profile'!BH189&gt;0,1,IF('Growth profile'!BH292&gt;0,3,0))</f>
        <v>0</v>
      </c>
      <c r="BJ31" s="20">
        <f>IF('Growth profile'!BI189&gt;0,1,IF('Growth profile'!BI292&gt;0,3,0))</f>
        <v>0</v>
      </c>
      <c r="BK31" s="21">
        <f>IF('Growth profile'!BJ189&gt;0,1,IF('Growth profile'!BJ292&gt;0,3,0))</f>
        <v>0</v>
      </c>
    </row>
    <row r="32" spans="1:63" x14ac:dyDescent="0.3">
      <c r="B32" s="13" t="s">
        <v>59</v>
      </c>
      <c r="C32" s="19">
        <f>'Growth (no penalty)'!I81</f>
        <v>2026</v>
      </c>
      <c r="D32" s="22">
        <f>IF('Growth (no penalty)'!C189&gt;0,1,IF('Growth (no penalty)'!C292&gt;0,4,0))</f>
        <v>1</v>
      </c>
      <c r="E32" s="22">
        <f>IF('Growth (no penalty)'!D189&gt;0,1,IF('Growth (no penalty)'!D292&gt;0,4,0))</f>
        <v>1</v>
      </c>
      <c r="F32" s="22">
        <f>IF('Growth (no penalty)'!E189&gt;0,1,IF('Growth (no penalty)'!E292&gt;0,4,0))</f>
        <v>1</v>
      </c>
      <c r="G32" s="22">
        <f>IF('Growth (no penalty)'!F189&gt;0,1,IF('Growth (no penalty)'!F292&gt;0,4,0))</f>
        <v>1</v>
      </c>
      <c r="H32" s="22">
        <f>IF('Growth (no penalty)'!G189&gt;0,1,IF('Growth (no penalty)'!G292&gt;0,4,0))</f>
        <v>1</v>
      </c>
      <c r="I32" s="22">
        <f>IF('Growth (no penalty)'!H189&gt;0,1,IF('Growth (no penalty)'!H292&gt;0,4,0))</f>
        <v>1</v>
      </c>
      <c r="J32" s="22">
        <f>IF('Growth (no penalty)'!I189&gt;0,1,IF('Growth (no penalty)'!I292&gt;0,4,0))</f>
        <v>4</v>
      </c>
      <c r="K32" s="22">
        <f>IF('Growth (no penalty)'!J189&gt;0,1,IF('Growth (no penalty)'!J292&gt;0,4,0))</f>
        <v>4</v>
      </c>
      <c r="L32" s="22">
        <f>IF('Growth (no penalty)'!K189&gt;0,1,IF('Growth (no penalty)'!K292&gt;0,4,0))</f>
        <v>4</v>
      </c>
      <c r="M32" s="22">
        <f>IF('Growth (no penalty)'!L189&gt;0,1,IF('Growth (no penalty)'!L292&gt;0,4,0))</f>
        <v>4</v>
      </c>
      <c r="N32" s="22">
        <f>IF('Growth (no penalty)'!M189&gt;0,1,IF('Growth (no penalty)'!M292&gt;0,4,0))</f>
        <v>4</v>
      </c>
      <c r="O32" s="22">
        <f>IF('Growth (no penalty)'!N189&gt;0,1,IF('Growth (no penalty)'!N292&gt;0,4,0))</f>
        <v>4</v>
      </c>
      <c r="P32" s="22">
        <f>IF('Growth (no penalty)'!O189&gt;0,1,IF('Growth (no penalty)'!O292&gt;0,4,0))</f>
        <v>4</v>
      </c>
      <c r="Q32" s="22">
        <f>IF('Growth (no penalty)'!P189&gt;0,1,IF('Growth (no penalty)'!P292&gt;0,4,0))</f>
        <v>4</v>
      </c>
      <c r="R32" s="22">
        <f>IF('Growth (no penalty)'!Q189&gt;0,1,IF('Growth (no penalty)'!Q292&gt;0,4,0))</f>
        <v>4</v>
      </c>
      <c r="S32" s="22">
        <f>IF('Growth (no penalty)'!R189&gt;0,1,IF('Growth (no penalty)'!R292&gt;0,4,0))</f>
        <v>4</v>
      </c>
      <c r="T32" s="22">
        <f>IF('Growth (no penalty)'!S189&gt;0,1,IF('Growth (no penalty)'!S292&gt;0,4,0))</f>
        <v>4</v>
      </c>
      <c r="U32" s="22">
        <f>IF('Growth (no penalty)'!T189&gt;0,1,IF('Growth (no penalty)'!T292&gt;0,4,0))</f>
        <v>4</v>
      </c>
      <c r="V32" s="22">
        <f>IF('Growth (no penalty)'!U189&gt;0,1,IF('Growth (no penalty)'!U292&gt;0,4,0))</f>
        <v>4</v>
      </c>
      <c r="W32" s="22">
        <f>IF('Growth (no penalty)'!V189&gt;0,1,IF('Growth (no penalty)'!V292&gt;0,4,0))</f>
        <v>4</v>
      </c>
      <c r="X32" s="22">
        <f>IF('Growth (no penalty)'!W189&gt;0,1,IF('Growth (no penalty)'!W292&gt;0,4,0))</f>
        <v>4</v>
      </c>
      <c r="Y32" s="22">
        <f>IF('Growth (no penalty)'!X189&gt;0,1,IF('Growth (no penalty)'!X292&gt;0,4,0))</f>
        <v>4</v>
      </c>
      <c r="Z32" s="22">
        <f>IF('Growth (no penalty)'!Y189&gt;0,1,IF('Growth (no penalty)'!Y292&gt;0,4,0))</f>
        <v>4</v>
      </c>
      <c r="AA32" s="22">
        <f>IF('Growth (no penalty)'!Z189&gt;0,1,IF('Growth (no penalty)'!Z292&gt;0,4,0))</f>
        <v>4</v>
      </c>
      <c r="AB32" s="22">
        <f>IF('Growth (no penalty)'!AA189&gt;0,1,IF('Growth (no penalty)'!AA292&gt;0,4,0))</f>
        <v>4</v>
      </c>
      <c r="AC32" s="22">
        <f>IF('Growth (no penalty)'!AB189&gt;0,1,IF('Growth (no penalty)'!AB292&gt;0,4,0))</f>
        <v>4</v>
      </c>
      <c r="AD32" s="22">
        <f>IF('Growth (no penalty)'!AC189&gt;0,1,IF('Growth (no penalty)'!AC292&gt;0,4,0))</f>
        <v>4</v>
      </c>
      <c r="AE32" s="22">
        <f>IF('Growth (no penalty)'!AD189&gt;0,1,IF('Growth (no penalty)'!AD292&gt;0,4,0))</f>
        <v>4</v>
      </c>
      <c r="AF32" s="22">
        <f>IF('Growth (no penalty)'!AE189&gt;0,1,IF('Growth (no penalty)'!AE292&gt;0,4,0))</f>
        <v>4</v>
      </c>
      <c r="AG32" s="22">
        <f>IF('Growth (no penalty)'!AF189&gt;0,1,IF('Growth (no penalty)'!AF292&gt;0,4,0))</f>
        <v>4</v>
      </c>
      <c r="AH32" s="22">
        <f>IF('Growth (no penalty)'!AG189&gt;0,1,IF('Growth (no penalty)'!AG292&gt;0,4,0))</f>
        <v>4</v>
      </c>
      <c r="AI32" s="22">
        <f>IF('Growth (no penalty)'!AH189&gt;0,1,IF('Growth (no penalty)'!AH292&gt;0,4,0))</f>
        <v>4</v>
      </c>
      <c r="AJ32" s="22">
        <f>IF('Growth (no penalty)'!AI189&gt;0,1,IF('Growth (no penalty)'!AI292&gt;0,4,0))</f>
        <v>4</v>
      </c>
      <c r="AK32" s="22">
        <f>IF('Growth (no penalty)'!AJ189&gt;0,1,IF('Growth (no penalty)'!AJ292&gt;0,4,0))</f>
        <v>4</v>
      </c>
      <c r="AL32" s="22">
        <f>IF('Growth (no penalty)'!AK189&gt;0,1,IF('Growth (no penalty)'!AK292&gt;0,4,0))</f>
        <v>4</v>
      </c>
      <c r="AM32" s="22">
        <f>IF('Growth (no penalty)'!AL189&gt;0,1,IF('Growth (no penalty)'!AL292&gt;0,4,0))</f>
        <v>4</v>
      </c>
      <c r="AN32" s="22">
        <f>IF('Growth (no penalty)'!AM189&gt;0,1,IF('Growth (no penalty)'!AM292&gt;0,4,0))</f>
        <v>4</v>
      </c>
      <c r="AO32" s="22">
        <f>IF('Growth (no penalty)'!AN189&gt;0,1,IF('Growth (no penalty)'!AN292&gt;0,4,0))</f>
        <v>4</v>
      </c>
      <c r="AP32" s="22">
        <f>IF('Growth (no penalty)'!AO189&gt;0,1,IF('Growth (no penalty)'!AO292&gt;0,4,0))</f>
        <v>4</v>
      </c>
      <c r="AQ32" s="22">
        <f>IF('Growth (no penalty)'!AP189&gt;0,1,IF('Growth (no penalty)'!AP292&gt;0,4,0))</f>
        <v>4</v>
      </c>
      <c r="AR32" s="22">
        <f>IF('Growth (no penalty)'!AQ189&gt;0,1,IF('Growth (no penalty)'!AQ292&gt;0,4,0))</f>
        <v>4</v>
      </c>
      <c r="AS32" s="22">
        <f>IF('Growth (no penalty)'!AR189&gt;0,1,IF('Growth (no penalty)'!AR292&gt;0,4,0))</f>
        <v>4</v>
      </c>
      <c r="AT32" s="22">
        <f>IF('Growth (no penalty)'!AS189&gt;0,1,IF('Growth (no penalty)'!AS292&gt;0,4,0))</f>
        <v>4</v>
      </c>
      <c r="AU32" s="22">
        <f>IF('Growth (no penalty)'!AT189&gt;0,1,IF('Growth (no penalty)'!AT292&gt;0,4,0))</f>
        <v>4</v>
      </c>
      <c r="AV32" s="22">
        <f>IF('Growth (no penalty)'!AU189&gt;0,1,IF('Growth (no penalty)'!AU292&gt;0,4,0))</f>
        <v>4</v>
      </c>
      <c r="AW32" s="22">
        <f>IF('Growth (no penalty)'!AV189&gt;0,1,IF('Growth (no penalty)'!AV292&gt;0,4,0))</f>
        <v>4</v>
      </c>
      <c r="AX32" s="22">
        <f>IF('Growth (no penalty)'!AW189&gt;0,1,IF('Growth (no penalty)'!AW292&gt;0,4,0))</f>
        <v>0</v>
      </c>
      <c r="AY32" s="22">
        <f>IF('Growth (no penalty)'!AX189&gt;0,1,IF('Growth (no penalty)'!AX292&gt;0,4,0))</f>
        <v>0</v>
      </c>
      <c r="AZ32" s="22">
        <f>IF('Growth (no penalty)'!AY189&gt;0,1,IF('Growth (no penalty)'!AY292&gt;0,4,0))</f>
        <v>0</v>
      </c>
      <c r="BA32" s="22">
        <f>IF('Growth (no penalty)'!AZ189&gt;0,1,IF('Growth (no penalty)'!AZ292&gt;0,4,0))</f>
        <v>0</v>
      </c>
      <c r="BB32" s="22">
        <f>IF('Growth (no penalty)'!BA189&gt;0,1,IF('Growth (no penalty)'!BA292&gt;0,4,0))</f>
        <v>0</v>
      </c>
      <c r="BC32" s="22">
        <f>IF('Growth (no penalty)'!BB189&gt;0,1,IF('Growth (no penalty)'!BB292&gt;0,4,0))</f>
        <v>0</v>
      </c>
      <c r="BD32" s="22">
        <f>IF('Growth (no penalty)'!BC189&gt;0,1,IF('Growth (no penalty)'!BC292&gt;0,4,0))</f>
        <v>0</v>
      </c>
      <c r="BE32" s="22">
        <f>IF('Growth (no penalty)'!BD189&gt;0,1,IF('Growth (no penalty)'!BD292&gt;0,4,0))</f>
        <v>0</v>
      </c>
      <c r="BF32" s="22">
        <f>IF('Growth (no penalty)'!BE189&gt;0,1,IF('Growth (no penalty)'!BE292&gt;0,4,0))</f>
        <v>0</v>
      </c>
      <c r="BG32" s="22">
        <f>IF('Growth (no penalty)'!BF189&gt;0,1,IF('Growth (no penalty)'!BF292&gt;0,4,0))</f>
        <v>0</v>
      </c>
      <c r="BH32" s="22">
        <f>IF('Growth (no penalty)'!BG189&gt;0,1,IF('Growth (no penalty)'!BG292&gt;0,4,0))</f>
        <v>0</v>
      </c>
      <c r="BI32" s="22">
        <f>IF('Growth (no penalty)'!BH189&gt;0,1,IF('Growth (no penalty)'!BH292&gt;0,4,0))</f>
        <v>0</v>
      </c>
      <c r="BJ32" s="22">
        <f>IF('Growth (no penalty)'!BI189&gt;0,1,IF('Growth (no penalty)'!BI292&gt;0,4,0))</f>
        <v>0</v>
      </c>
      <c r="BK32" s="23">
        <f>IF('Growth (no penalty)'!BJ189&gt;0,1,IF('Growth (no penalty)'!BJ292&gt;0,4,0))</f>
        <v>0</v>
      </c>
    </row>
    <row r="33" spans="1:63" x14ac:dyDescent="0.3">
      <c r="A33" s="4" t="str">
        <f>'Growth profile'!A97</f>
        <v>project 153</v>
      </c>
      <c r="B33" s="13" t="s">
        <v>3</v>
      </c>
      <c r="C33" s="19">
        <f>'Raw profile'!I97</f>
        <v>2026</v>
      </c>
      <c r="D33" s="20">
        <f>IF('Raw profile'!C205&gt;0,1,IF('Raw profile'!C308&gt;0,2,0))</f>
        <v>1</v>
      </c>
      <c r="E33" s="20">
        <f>IF('Raw profile'!D205&gt;0,1,IF('Raw profile'!D308&gt;0,2,0))</f>
        <v>1</v>
      </c>
      <c r="F33" s="20">
        <f>IF('Raw profile'!E205&gt;0,1,IF('Raw profile'!E308&gt;0,2,0))</f>
        <v>2</v>
      </c>
      <c r="G33" s="20">
        <f>IF('Raw profile'!F205&gt;0,1,IF('Raw profile'!F308&gt;0,2,0))</f>
        <v>2</v>
      </c>
      <c r="H33" s="20">
        <f>IF('Raw profile'!G205&gt;0,1,IF('Raw profile'!G308&gt;0,2,0))</f>
        <v>2</v>
      </c>
      <c r="I33" s="20">
        <f>IF('Raw profile'!H205&gt;0,1,IF('Raw profile'!H308&gt;0,2,0))</f>
        <v>2</v>
      </c>
      <c r="J33" s="20">
        <f>IF('Raw profile'!I205&gt;0,1,IF('Raw profile'!I308&gt;0,2,0))</f>
        <v>2</v>
      </c>
      <c r="K33" s="20">
        <f>IF('Raw profile'!J205&gt;0,1,IF('Raw profile'!J308&gt;0,2,0))</f>
        <v>2</v>
      </c>
      <c r="L33" s="20">
        <f>IF('Raw profile'!K205&gt;0,1,IF('Raw profile'!K308&gt;0,2,0))</f>
        <v>2</v>
      </c>
      <c r="M33" s="20">
        <f>IF('Raw profile'!L205&gt;0,1,IF('Raw profile'!L308&gt;0,2,0))</f>
        <v>2</v>
      </c>
      <c r="N33" s="20">
        <f>IF('Raw profile'!M205&gt;0,1,IF('Raw profile'!M308&gt;0,2,0))</f>
        <v>2</v>
      </c>
      <c r="O33" s="20">
        <f>IF('Raw profile'!N205&gt;0,1,IF('Raw profile'!N308&gt;0,2,0))</f>
        <v>2</v>
      </c>
      <c r="P33" s="20">
        <f>IF('Raw profile'!O205&gt;0,1,IF('Raw profile'!O308&gt;0,2,0))</f>
        <v>2</v>
      </c>
      <c r="Q33" s="20">
        <f>IF('Raw profile'!P205&gt;0,1,IF('Raw profile'!P308&gt;0,2,0))</f>
        <v>2</v>
      </c>
      <c r="R33" s="20">
        <f>IF('Raw profile'!Q205&gt;0,1,IF('Raw profile'!Q308&gt;0,2,0))</f>
        <v>2</v>
      </c>
      <c r="S33" s="20">
        <f>IF('Raw profile'!R205&gt;0,1,IF('Raw profile'!R308&gt;0,2,0))</f>
        <v>2</v>
      </c>
      <c r="T33" s="20">
        <f>IF('Raw profile'!S205&gt;0,1,IF('Raw profile'!S308&gt;0,2,0))</f>
        <v>2</v>
      </c>
      <c r="U33" s="20">
        <f>IF('Raw profile'!T205&gt;0,1,IF('Raw profile'!T308&gt;0,2,0))</f>
        <v>2</v>
      </c>
      <c r="V33" s="20">
        <f>IF('Raw profile'!U205&gt;0,1,IF('Raw profile'!U308&gt;0,2,0))</f>
        <v>2</v>
      </c>
      <c r="W33" s="20">
        <f>IF('Raw profile'!V205&gt;0,1,IF('Raw profile'!V308&gt;0,2,0))</f>
        <v>2</v>
      </c>
      <c r="X33" s="20">
        <f>IF('Raw profile'!W205&gt;0,1,IF('Raw profile'!W308&gt;0,2,0))</f>
        <v>2</v>
      </c>
      <c r="Y33" s="20">
        <f>IF('Raw profile'!X205&gt;0,1,IF('Raw profile'!X308&gt;0,2,0))</f>
        <v>2</v>
      </c>
      <c r="Z33" s="20">
        <f>IF('Raw profile'!Y205&gt;0,1,IF('Raw profile'!Y308&gt;0,2,0))</f>
        <v>2</v>
      </c>
      <c r="AA33" s="20">
        <f>IF('Raw profile'!Z205&gt;0,1,IF('Raw profile'!Z308&gt;0,2,0))</f>
        <v>2</v>
      </c>
      <c r="AB33" s="20">
        <f>IF('Raw profile'!AA205&gt;0,1,IF('Raw profile'!AA308&gt;0,2,0))</f>
        <v>2</v>
      </c>
      <c r="AC33" s="20">
        <f>IF('Raw profile'!AB205&gt;0,1,IF('Raw profile'!AB308&gt;0,2,0))</f>
        <v>2</v>
      </c>
      <c r="AD33" s="20">
        <f>IF('Raw profile'!AC205&gt;0,1,IF('Raw profile'!AC308&gt;0,2,0))</f>
        <v>2</v>
      </c>
      <c r="AE33" s="20">
        <f>IF('Raw profile'!AD205&gt;0,1,IF('Raw profile'!AD308&gt;0,2,0))</f>
        <v>2</v>
      </c>
      <c r="AF33" s="20">
        <f>IF('Raw profile'!AE205&gt;0,1,IF('Raw profile'!AE308&gt;0,2,0))</f>
        <v>2</v>
      </c>
      <c r="AG33" s="20">
        <f>IF('Raw profile'!AF205&gt;0,1,IF('Raw profile'!AF308&gt;0,2,0))</f>
        <v>2</v>
      </c>
      <c r="AH33" s="20">
        <f>IF('Raw profile'!AG205&gt;0,1,IF('Raw profile'!AG308&gt;0,2,0))</f>
        <v>2</v>
      </c>
      <c r="AI33" s="20">
        <f>IF('Raw profile'!AH205&gt;0,1,IF('Raw profile'!AH308&gt;0,2,0))</f>
        <v>2</v>
      </c>
      <c r="AJ33" s="20">
        <f>IF('Raw profile'!AI205&gt;0,1,IF('Raw profile'!AI308&gt;0,2,0))</f>
        <v>2</v>
      </c>
      <c r="AK33" s="20">
        <f>IF('Raw profile'!AJ205&gt;0,1,IF('Raw profile'!AJ308&gt;0,2,0))</f>
        <v>2</v>
      </c>
      <c r="AL33" s="20">
        <f>IF('Raw profile'!AK205&gt;0,1,IF('Raw profile'!AK308&gt;0,2,0))</f>
        <v>2</v>
      </c>
      <c r="AM33" s="20">
        <f>IF('Raw profile'!AL205&gt;0,1,IF('Raw profile'!AL308&gt;0,2,0))</f>
        <v>2</v>
      </c>
      <c r="AN33" s="20">
        <f>IF('Raw profile'!AM205&gt;0,1,IF('Raw profile'!AM308&gt;0,2,0))</f>
        <v>2</v>
      </c>
      <c r="AO33" s="20">
        <f>IF('Raw profile'!AN205&gt;0,1,IF('Raw profile'!AN308&gt;0,2,0))</f>
        <v>2</v>
      </c>
      <c r="AP33" s="20">
        <f>IF('Raw profile'!AO205&gt;0,1,IF('Raw profile'!AO308&gt;0,2,0))</f>
        <v>2</v>
      </c>
      <c r="AQ33" s="20">
        <f>IF('Raw profile'!AP205&gt;0,1,IF('Raw profile'!AP308&gt;0,2,0))</f>
        <v>2</v>
      </c>
      <c r="AR33" s="20">
        <f>IF('Raw profile'!AQ205&gt;0,1,IF('Raw profile'!AQ308&gt;0,2,0))</f>
        <v>2</v>
      </c>
      <c r="AS33" s="20">
        <f>IF('Raw profile'!AR205&gt;0,1,IF('Raw profile'!AR308&gt;0,2,0))</f>
        <v>2</v>
      </c>
      <c r="AT33" s="20">
        <f>IF('Raw profile'!AS205&gt;0,1,IF('Raw profile'!AS308&gt;0,2,0))</f>
        <v>0</v>
      </c>
      <c r="AU33" s="20">
        <f>IF('Raw profile'!AT205&gt;0,1,IF('Raw profile'!AT308&gt;0,2,0))</f>
        <v>0</v>
      </c>
      <c r="AV33" s="20">
        <f>IF('Raw profile'!AU205&gt;0,1,IF('Raw profile'!AU308&gt;0,2,0))</f>
        <v>0</v>
      </c>
      <c r="AW33" s="20">
        <f>IF('Raw profile'!AV205&gt;0,1,IF('Raw profile'!AV308&gt;0,2,0))</f>
        <v>0</v>
      </c>
      <c r="AX33" s="20">
        <f>IF('Raw profile'!AW205&gt;0,1,IF('Raw profile'!AW308&gt;0,2,0))</f>
        <v>0</v>
      </c>
      <c r="AY33" s="20">
        <f>IF('Raw profile'!AX205&gt;0,1,IF('Raw profile'!AX308&gt;0,2,0))</f>
        <v>0</v>
      </c>
      <c r="AZ33" s="20">
        <f>IF('Raw profile'!AY205&gt;0,1,IF('Raw profile'!AY308&gt;0,2,0))</f>
        <v>0</v>
      </c>
      <c r="BA33" s="20">
        <f>IF('Raw profile'!AZ205&gt;0,1,IF('Raw profile'!AZ308&gt;0,2,0))</f>
        <v>0</v>
      </c>
      <c r="BB33" s="20">
        <f>IF('Raw profile'!BA205&gt;0,1,IF('Raw profile'!BA308&gt;0,2,0))</f>
        <v>0</v>
      </c>
      <c r="BC33" s="20">
        <f>IF('Raw profile'!BB205&gt;0,1,IF('Raw profile'!BB308&gt;0,2,0))</f>
        <v>0</v>
      </c>
      <c r="BD33" s="20">
        <f>IF('Raw profile'!BC205&gt;0,1,IF('Raw profile'!BC308&gt;0,2,0))</f>
        <v>0</v>
      </c>
      <c r="BE33" s="20">
        <f>IF('Raw profile'!BD205&gt;0,1,IF('Raw profile'!BD308&gt;0,2,0))</f>
        <v>0</v>
      </c>
      <c r="BF33" s="20">
        <f>IF('Raw profile'!BE205&gt;0,1,IF('Raw profile'!BE308&gt;0,2,0))</f>
        <v>0</v>
      </c>
      <c r="BG33" s="20">
        <f>IF('Raw profile'!BF205&gt;0,1,IF('Raw profile'!BF308&gt;0,2,0))</f>
        <v>0</v>
      </c>
      <c r="BH33" s="20">
        <f>IF('Raw profile'!BG205&gt;0,1,IF('Raw profile'!BG308&gt;0,2,0))</f>
        <v>0</v>
      </c>
      <c r="BI33" s="20">
        <f>IF('Raw profile'!BH205&gt;0,1,IF('Raw profile'!BH308&gt;0,2,0))</f>
        <v>0</v>
      </c>
      <c r="BJ33" s="20">
        <f>IF('Raw profile'!BI205&gt;0,1,IF('Raw profile'!BI308&gt;0,2,0))</f>
        <v>0</v>
      </c>
      <c r="BK33" s="21">
        <f>IF('Raw profile'!BJ205&gt;0,1,IF('Raw profile'!BJ308&gt;0,2,0))</f>
        <v>0</v>
      </c>
    </row>
    <row r="34" spans="1:63" x14ac:dyDescent="0.3">
      <c r="B34" s="13" t="s">
        <v>4</v>
      </c>
      <c r="C34" s="19">
        <f>'Growth profile'!I97</f>
        <v>2026</v>
      </c>
      <c r="D34" s="20">
        <f>IF('Growth profile'!C205&gt;0,1,IF('Growth profile'!C308&gt;0,3,0))</f>
        <v>1</v>
      </c>
      <c r="E34" s="20">
        <f>IF('Growth profile'!D205&gt;0,1,IF('Growth profile'!D308&gt;0,3,0))</f>
        <v>1</v>
      </c>
      <c r="F34" s="20">
        <f>IF('Growth profile'!E205&gt;0,1,IF('Growth profile'!E308&gt;0,3,0))</f>
        <v>3</v>
      </c>
      <c r="G34" s="20">
        <f>IF('Growth profile'!F205&gt;0,1,IF('Growth profile'!F308&gt;0,3,0))</f>
        <v>3</v>
      </c>
      <c r="H34" s="20">
        <f>IF('Growth profile'!G205&gt;0,1,IF('Growth profile'!G308&gt;0,3,0))</f>
        <v>3</v>
      </c>
      <c r="I34" s="20">
        <f>IF('Growth profile'!H205&gt;0,1,IF('Growth profile'!H308&gt;0,3,0))</f>
        <v>3</v>
      </c>
      <c r="J34" s="20">
        <f>IF('Growth profile'!I205&gt;0,1,IF('Growth profile'!I308&gt;0,3,0))</f>
        <v>3</v>
      </c>
      <c r="K34" s="20">
        <f>IF('Growth profile'!J205&gt;0,1,IF('Growth profile'!J308&gt;0,3,0))</f>
        <v>3</v>
      </c>
      <c r="L34" s="20">
        <f>IF('Growth profile'!K205&gt;0,1,IF('Growth profile'!K308&gt;0,3,0))</f>
        <v>3</v>
      </c>
      <c r="M34" s="20">
        <f>IF('Growth profile'!L205&gt;0,1,IF('Growth profile'!L308&gt;0,3,0))</f>
        <v>3</v>
      </c>
      <c r="N34" s="20">
        <f>IF('Growth profile'!M205&gt;0,1,IF('Growth profile'!M308&gt;0,3,0))</f>
        <v>3</v>
      </c>
      <c r="O34" s="20">
        <f>IF('Growth profile'!N205&gt;0,1,IF('Growth profile'!N308&gt;0,3,0))</f>
        <v>3</v>
      </c>
      <c r="P34" s="20">
        <f>IF('Growth profile'!O205&gt;0,1,IF('Growth profile'!O308&gt;0,3,0))</f>
        <v>3</v>
      </c>
      <c r="Q34" s="20">
        <f>IF('Growth profile'!P205&gt;0,1,IF('Growth profile'!P308&gt;0,3,0))</f>
        <v>3</v>
      </c>
      <c r="R34" s="20">
        <f>IF('Growth profile'!Q205&gt;0,1,IF('Growth profile'!Q308&gt;0,3,0))</f>
        <v>3</v>
      </c>
      <c r="S34" s="20">
        <f>IF('Growth profile'!R205&gt;0,1,IF('Growth profile'!R308&gt;0,3,0))</f>
        <v>3</v>
      </c>
      <c r="T34" s="20">
        <f>IF('Growth profile'!S205&gt;0,1,IF('Growth profile'!S308&gt;0,3,0))</f>
        <v>3</v>
      </c>
      <c r="U34" s="20">
        <f>IF('Growth profile'!T205&gt;0,1,IF('Growth profile'!T308&gt;0,3,0))</f>
        <v>3</v>
      </c>
      <c r="V34" s="20">
        <f>IF('Growth profile'!U205&gt;0,1,IF('Growth profile'!U308&gt;0,3,0))</f>
        <v>3</v>
      </c>
      <c r="W34" s="20">
        <f>IF('Growth profile'!V205&gt;0,1,IF('Growth profile'!V308&gt;0,3,0))</f>
        <v>3</v>
      </c>
      <c r="X34" s="20">
        <f>IF('Growth profile'!W205&gt;0,1,IF('Growth profile'!W308&gt;0,3,0))</f>
        <v>3</v>
      </c>
      <c r="Y34" s="20">
        <f>IF('Growth profile'!X205&gt;0,1,IF('Growth profile'!X308&gt;0,3,0))</f>
        <v>3</v>
      </c>
      <c r="Z34" s="20">
        <f>IF('Growth profile'!Y205&gt;0,1,IF('Growth profile'!Y308&gt;0,3,0))</f>
        <v>3</v>
      </c>
      <c r="AA34" s="20">
        <f>IF('Growth profile'!Z205&gt;0,1,IF('Growth profile'!Z308&gt;0,3,0))</f>
        <v>3</v>
      </c>
      <c r="AB34" s="20">
        <f>IF('Growth profile'!AA205&gt;0,1,IF('Growth profile'!AA308&gt;0,3,0))</f>
        <v>3</v>
      </c>
      <c r="AC34" s="20">
        <f>IF('Growth profile'!AB205&gt;0,1,IF('Growth profile'!AB308&gt;0,3,0))</f>
        <v>3</v>
      </c>
      <c r="AD34" s="20">
        <f>IF('Growth profile'!AC205&gt;0,1,IF('Growth profile'!AC308&gt;0,3,0))</f>
        <v>3</v>
      </c>
      <c r="AE34" s="20">
        <f>IF('Growth profile'!AD205&gt;0,1,IF('Growth profile'!AD308&gt;0,3,0))</f>
        <v>3</v>
      </c>
      <c r="AF34" s="20">
        <f>IF('Growth profile'!AE205&gt;0,1,IF('Growth profile'!AE308&gt;0,3,0))</f>
        <v>3</v>
      </c>
      <c r="AG34" s="20">
        <f>IF('Growth profile'!AF205&gt;0,1,IF('Growth profile'!AF308&gt;0,3,0))</f>
        <v>3</v>
      </c>
      <c r="AH34" s="20">
        <f>IF('Growth profile'!AG205&gt;0,1,IF('Growth profile'!AG308&gt;0,3,0))</f>
        <v>3</v>
      </c>
      <c r="AI34" s="20">
        <f>IF('Growth profile'!AH205&gt;0,1,IF('Growth profile'!AH308&gt;0,3,0))</f>
        <v>3</v>
      </c>
      <c r="AJ34" s="20">
        <f>IF('Growth profile'!AI205&gt;0,1,IF('Growth profile'!AI308&gt;0,3,0))</f>
        <v>3</v>
      </c>
      <c r="AK34" s="20">
        <f>IF('Growth profile'!AJ205&gt;0,1,IF('Growth profile'!AJ308&gt;0,3,0))</f>
        <v>3</v>
      </c>
      <c r="AL34" s="20">
        <f>IF('Growth profile'!AK205&gt;0,1,IF('Growth profile'!AK308&gt;0,3,0))</f>
        <v>3</v>
      </c>
      <c r="AM34" s="20">
        <f>IF('Growth profile'!AL205&gt;0,1,IF('Growth profile'!AL308&gt;0,3,0))</f>
        <v>3</v>
      </c>
      <c r="AN34" s="20">
        <f>IF('Growth profile'!AM205&gt;0,1,IF('Growth profile'!AM308&gt;0,3,0))</f>
        <v>3</v>
      </c>
      <c r="AO34" s="20">
        <f>IF('Growth profile'!AN205&gt;0,1,IF('Growth profile'!AN308&gt;0,3,0))</f>
        <v>3</v>
      </c>
      <c r="AP34" s="20">
        <f>IF('Growth profile'!AO205&gt;0,1,IF('Growth profile'!AO308&gt;0,3,0))</f>
        <v>3</v>
      </c>
      <c r="AQ34" s="20">
        <f>IF('Growth profile'!AP205&gt;0,1,IF('Growth profile'!AP308&gt;0,3,0))</f>
        <v>3</v>
      </c>
      <c r="AR34" s="20">
        <f>IF('Growth profile'!AQ205&gt;0,1,IF('Growth profile'!AQ308&gt;0,3,0))</f>
        <v>3</v>
      </c>
      <c r="AS34" s="20">
        <f>IF('Growth profile'!AR205&gt;0,1,IF('Growth profile'!AR308&gt;0,3,0))</f>
        <v>3</v>
      </c>
      <c r="AT34" s="20">
        <f>IF('Growth profile'!AS205&gt;0,1,IF('Growth profile'!AS308&gt;0,3,0))</f>
        <v>0</v>
      </c>
      <c r="AU34" s="20">
        <f>IF('Growth profile'!AT205&gt;0,1,IF('Growth profile'!AT308&gt;0,3,0))</f>
        <v>0</v>
      </c>
      <c r="AV34" s="20">
        <f>IF('Growth profile'!AU205&gt;0,1,IF('Growth profile'!AU308&gt;0,3,0))</f>
        <v>0</v>
      </c>
      <c r="AW34" s="20">
        <f>IF('Growth profile'!AV205&gt;0,1,IF('Growth profile'!AV308&gt;0,3,0))</f>
        <v>0</v>
      </c>
      <c r="AX34" s="20">
        <f>IF('Growth profile'!AW205&gt;0,1,IF('Growth profile'!AW308&gt;0,3,0))</f>
        <v>0</v>
      </c>
      <c r="AY34" s="20">
        <f>IF('Growth profile'!AX205&gt;0,1,IF('Growth profile'!AX308&gt;0,3,0))</f>
        <v>0</v>
      </c>
      <c r="AZ34" s="20">
        <f>IF('Growth profile'!AY205&gt;0,1,IF('Growth profile'!AY308&gt;0,3,0))</f>
        <v>0</v>
      </c>
      <c r="BA34" s="20">
        <f>IF('Growth profile'!AZ205&gt;0,1,IF('Growth profile'!AZ308&gt;0,3,0))</f>
        <v>0</v>
      </c>
      <c r="BB34" s="20">
        <f>IF('Growth profile'!BA205&gt;0,1,IF('Growth profile'!BA308&gt;0,3,0))</f>
        <v>0</v>
      </c>
      <c r="BC34" s="20">
        <f>IF('Growth profile'!BB205&gt;0,1,IF('Growth profile'!BB308&gt;0,3,0))</f>
        <v>0</v>
      </c>
      <c r="BD34" s="20">
        <f>IF('Growth profile'!BC205&gt;0,1,IF('Growth profile'!BC308&gt;0,3,0))</f>
        <v>0</v>
      </c>
      <c r="BE34" s="20">
        <f>IF('Growth profile'!BD205&gt;0,1,IF('Growth profile'!BD308&gt;0,3,0))</f>
        <v>0</v>
      </c>
      <c r="BF34" s="20">
        <f>IF('Growth profile'!BE205&gt;0,1,IF('Growth profile'!BE308&gt;0,3,0))</f>
        <v>0</v>
      </c>
      <c r="BG34" s="20">
        <f>IF('Growth profile'!BF205&gt;0,1,IF('Growth profile'!BF308&gt;0,3,0))</f>
        <v>0</v>
      </c>
      <c r="BH34" s="20">
        <f>IF('Growth profile'!BG205&gt;0,1,IF('Growth profile'!BG308&gt;0,3,0))</f>
        <v>0</v>
      </c>
      <c r="BI34" s="20">
        <f>IF('Growth profile'!BH205&gt;0,1,IF('Growth profile'!BH308&gt;0,3,0))</f>
        <v>0</v>
      </c>
      <c r="BJ34" s="20">
        <f>IF('Growth profile'!BI205&gt;0,1,IF('Growth profile'!BI308&gt;0,3,0))</f>
        <v>0</v>
      </c>
      <c r="BK34" s="21">
        <f>IF('Growth profile'!BJ205&gt;0,1,IF('Growth profile'!BJ308&gt;0,3,0))</f>
        <v>0</v>
      </c>
    </row>
    <row r="35" spans="1:63" x14ac:dyDescent="0.3">
      <c r="B35" s="13" t="s">
        <v>59</v>
      </c>
      <c r="C35" s="19">
        <f>'Growth (no penalty)'!I97</f>
        <v>2026</v>
      </c>
      <c r="D35" s="22">
        <f>IF('Growth (no penalty)'!C205&gt;0,1,IF('Growth (no penalty)'!C308&gt;0,4,0))</f>
        <v>1</v>
      </c>
      <c r="E35" s="22">
        <f>IF('Growth (no penalty)'!D205&gt;0,1,IF('Growth (no penalty)'!D308&gt;0,4,0))</f>
        <v>1</v>
      </c>
      <c r="F35" s="22">
        <f>IF('Growth (no penalty)'!E205&gt;0,1,IF('Growth (no penalty)'!E308&gt;0,4,0))</f>
        <v>4</v>
      </c>
      <c r="G35" s="22">
        <f>IF('Growth (no penalty)'!F205&gt;0,1,IF('Growth (no penalty)'!F308&gt;0,4,0))</f>
        <v>4</v>
      </c>
      <c r="H35" s="22">
        <f>IF('Growth (no penalty)'!G205&gt;0,1,IF('Growth (no penalty)'!G308&gt;0,4,0))</f>
        <v>4</v>
      </c>
      <c r="I35" s="22">
        <f>IF('Growth (no penalty)'!H205&gt;0,1,IF('Growth (no penalty)'!H308&gt;0,4,0))</f>
        <v>4</v>
      </c>
      <c r="J35" s="22">
        <f>IF('Growth (no penalty)'!I205&gt;0,1,IF('Growth (no penalty)'!I308&gt;0,4,0))</f>
        <v>4</v>
      </c>
      <c r="K35" s="22">
        <f>IF('Growth (no penalty)'!J205&gt;0,1,IF('Growth (no penalty)'!J308&gt;0,4,0))</f>
        <v>4</v>
      </c>
      <c r="L35" s="22">
        <f>IF('Growth (no penalty)'!K205&gt;0,1,IF('Growth (no penalty)'!K308&gt;0,4,0))</f>
        <v>4</v>
      </c>
      <c r="M35" s="22">
        <f>IF('Growth (no penalty)'!L205&gt;0,1,IF('Growth (no penalty)'!L308&gt;0,4,0))</f>
        <v>4</v>
      </c>
      <c r="N35" s="22">
        <f>IF('Growth (no penalty)'!M205&gt;0,1,IF('Growth (no penalty)'!M308&gt;0,4,0))</f>
        <v>4</v>
      </c>
      <c r="O35" s="22">
        <f>IF('Growth (no penalty)'!N205&gt;0,1,IF('Growth (no penalty)'!N308&gt;0,4,0))</f>
        <v>4</v>
      </c>
      <c r="P35" s="22">
        <f>IF('Growth (no penalty)'!O205&gt;0,1,IF('Growth (no penalty)'!O308&gt;0,4,0))</f>
        <v>4</v>
      </c>
      <c r="Q35" s="22">
        <f>IF('Growth (no penalty)'!P205&gt;0,1,IF('Growth (no penalty)'!P308&gt;0,4,0))</f>
        <v>4</v>
      </c>
      <c r="R35" s="22">
        <f>IF('Growth (no penalty)'!Q205&gt;0,1,IF('Growth (no penalty)'!Q308&gt;0,4,0))</f>
        <v>4</v>
      </c>
      <c r="S35" s="22">
        <f>IF('Growth (no penalty)'!R205&gt;0,1,IF('Growth (no penalty)'!R308&gt;0,4,0))</f>
        <v>4</v>
      </c>
      <c r="T35" s="22">
        <f>IF('Growth (no penalty)'!S205&gt;0,1,IF('Growth (no penalty)'!S308&gt;0,4,0))</f>
        <v>4</v>
      </c>
      <c r="U35" s="22">
        <f>IF('Growth (no penalty)'!T205&gt;0,1,IF('Growth (no penalty)'!T308&gt;0,4,0))</f>
        <v>4</v>
      </c>
      <c r="V35" s="22">
        <f>IF('Growth (no penalty)'!U205&gt;0,1,IF('Growth (no penalty)'!U308&gt;0,4,0))</f>
        <v>4</v>
      </c>
      <c r="W35" s="22">
        <f>IF('Growth (no penalty)'!V205&gt;0,1,IF('Growth (no penalty)'!V308&gt;0,4,0))</f>
        <v>4</v>
      </c>
      <c r="X35" s="22">
        <f>IF('Growth (no penalty)'!W205&gt;0,1,IF('Growth (no penalty)'!W308&gt;0,4,0))</f>
        <v>4</v>
      </c>
      <c r="Y35" s="22">
        <f>IF('Growth (no penalty)'!X205&gt;0,1,IF('Growth (no penalty)'!X308&gt;0,4,0))</f>
        <v>4</v>
      </c>
      <c r="Z35" s="22">
        <f>IF('Growth (no penalty)'!Y205&gt;0,1,IF('Growth (no penalty)'!Y308&gt;0,4,0))</f>
        <v>4</v>
      </c>
      <c r="AA35" s="22">
        <f>IF('Growth (no penalty)'!Z205&gt;0,1,IF('Growth (no penalty)'!Z308&gt;0,4,0))</f>
        <v>4</v>
      </c>
      <c r="AB35" s="22">
        <f>IF('Growth (no penalty)'!AA205&gt;0,1,IF('Growth (no penalty)'!AA308&gt;0,4,0))</f>
        <v>4</v>
      </c>
      <c r="AC35" s="22">
        <f>IF('Growth (no penalty)'!AB205&gt;0,1,IF('Growth (no penalty)'!AB308&gt;0,4,0))</f>
        <v>4</v>
      </c>
      <c r="AD35" s="22">
        <f>IF('Growth (no penalty)'!AC205&gt;0,1,IF('Growth (no penalty)'!AC308&gt;0,4,0))</f>
        <v>4</v>
      </c>
      <c r="AE35" s="22">
        <f>IF('Growth (no penalty)'!AD205&gt;0,1,IF('Growth (no penalty)'!AD308&gt;0,4,0))</f>
        <v>4</v>
      </c>
      <c r="AF35" s="22">
        <f>IF('Growth (no penalty)'!AE205&gt;0,1,IF('Growth (no penalty)'!AE308&gt;0,4,0))</f>
        <v>4</v>
      </c>
      <c r="AG35" s="22">
        <f>IF('Growth (no penalty)'!AF205&gt;0,1,IF('Growth (no penalty)'!AF308&gt;0,4,0))</f>
        <v>4</v>
      </c>
      <c r="AH35" s="22">
        <f>IF('Growth (no penalty)'!AG205&gt;0,1,IF('Growth (no penalty)'!AG308&gt;0,4,0))</f>
        <v>4</v>
      </c>
      <c r="AI35" s="22">
        <f>IF('Growth (no penalty)'!AH205&gt;0,1,IF('Growth (no penalty)'!AH308&gt;0,4,0))</f>
        <v>4</v>
      </c>
      <c r="AJ35" s="22">
        <f>IF('Growth (no penalty)'!AI205&gt;0,1,IF('Growth (no penalty)'!AI308&gt;0,4,0))</f>
        <v>4</v>
      </c>
      <c r="AK35" s="22">
        <f>IF('Growth (no penalty)'!AJ205&gt;0,1,IF('Growth (no penalty)'!AJ308&gt;0,4,0))</f>
        <v>4</v>
      </c>
      <c r="AL35" s="22">
        <f>IF('Growth (no penalty)'!AK205&gt;0,1,IF('Growth (no penalty)'!AK308&gt;0,4,0))</f>
        <v>4</v>
      </c>
      <c r="AM35" s="22">
        <f>IF('Growth (no penalty)'!AL205&gt;0,1,IF('Growth (no penalty)'!AL308&gt;0,4,0))</f>
        <v>4</v>
      </c>
      <c r="AN35" s="22">
        <f>IF('Growth (no penalty)'!AM205&gt;0,1,IF('Growth (no penalty)'!AM308&gt;0,4,0))</f>
        <v>4</v>
      </c>
      <c r="AO35" s="22">
        <f>IF('Growth (no penalty)'!AN205&gt;0,1,IF('Growth (no penalty)'!AN308&gt;0,4,0))</f>
        <v>4</v>
      </c>
      <c r="AP35" s="22">
        <f>IF('Growth (no penalty)'!AO205&gt;0,1,IF('Growth (no penalty)'!AO308&gt;0,4,0))</f>
        <v>4</v>
      </c>
      <c r="AQ35" s="22">
        <f>IF('Growth (no penalty)'!AP205&gt;0,1,IF('Growth (no penalty)'!AP308&gt;0,4,0))</f>
        <v>4</v>
      </c>
      <c r="AR35" s="22">
        <f>IF('Growth (no penalty)'!AQ205&gt;0,1,IF('Growth (no penalty)'!AQ308&gt;0,4,0))</f>
        <v>4</v>
      </c>
      <c r="AS35" s="22">
        <f>IF('Growth (no penalty)'!AR205&gt;0,1,IF('Growth (no penalty)'!AR308&gt;0,4,0))</f>
        <v>4</v>
      </c>
      <c r="AT35" s="22">
        <f>IF('Growth (no penalty)'!AS205&gt;0,1,IF('Growth (no penalty)'!AS308&gt;0,4,0))</f>
        <v>0</v>
      </c>
      <c r="AU35" s="22">
        <f>IF('Growth (no penalty)'!AT205&gt;0,1,IF('Growth (no penalty)'!AT308&gt;0,4,0))</f>
        <v>0</v>
      </c>
      <c r="AV35" s="22">
        <f>IF('Growth (no penalty)'!AU205&gt;0,1,IF('Growth (no penalty)'!AU308&gt;0,4,0))</f>
        <v>0</v>
      </c>
      <c r="AW35" s="22">
        <f>IF('Growth (no penalty)'!AV205&gt;0,1,IF('Growth (no penalty)'!AV308&gt;0,4,0))</f>
        <v>0</v>
      </c>
      <c r="AX35" s="22">
        <f>IF('Growth (no penalty)'!AW205&gt;0,1,IF('Growth (no penalty)'!AW308&gt;0,4,0))</f>
        <v>0</v>
      </c>
      <c r="AY35" s="22">
        <f>IF('Growth (no penalty)'!AX205&gt;0,1,IF('Growth (no penalty)'!AX308&gt;0,4,0))</f>
        <v>0</v>
      </c>
      <c r="AZ35" s="22">
        <f>IF('Growth (no penalty)'!AY205&gt;0,1,IF('Growth (no penalty)'!AY308&gt;0,4,0))</f>
        <v>0</v>
      </c>
      <c r="BA35" s="22">
        <f>IF('Growth (no penalty)'!AZ205&gt;0,1,IF('Growth (no penalty)'!AZ308&gt;0,4,0))</f>
        <v>0</v>
      </c>
      <c r="BB35" s="22">
        <f>IF('Growth (no penalty)'!BA205&gt;0,1,IF('Growth (no penalty)'!BA308&gt;0,4,0))</f>
        <v>0</v>
      </c>
      <c r="BC35" s="22">
        <f>IF('Growth (no penalty)'!BB205&gt;0,1,IF('Growth (no penalty)'!BB308&gt;0,4,0))</f>
        <v>0</v>
      </c>
      <c r="BD35" s="22">
        <f>IF('Growth (no penalty)'!BC205&gt;0,1,IF('Growth (no penalty)'!BC308&gt;0,4,0))</f>
        <v>0</v>
      </c>
      <c r="BE35" s="22">
        <f>IF('Growth (no penalty)'!BD205&gt;0,1,IF('Growth (no penalty)'!BD308&gt;0,4,0))</f>
        <v>0</v>
      </c>
      <c r="BF35" s="22">
        <f>IF('Growth (no penalty)'!BE205&gt;0,1,IF('Growth (no penalty)'!BE308&gt;0,4,0))</f>
        <v>0</v>
      </c>
      <c r="BG35" s="22">
        <f>IF('Growth (no penalty)'!BF205&gt;0,1,IF('Growth (no penalty)'!BF308&gt;0,4,0))</f>
        <v>0</v>
      </c>
      <c r="BH35" s="22">
        <f>IF('Growth (no penalty)'!BG205&gt;0,1,IF('Growth (no penalty)'!BG308&gt;0,4,0))</f>
        <v>0</v>
      </c>
      <c r="BI35" s="22">
        <f>IF('Growth (no penalty)'!BH205&gt;0,1,IF('Growth (no penalty)'!BH308&gt;0,4,0))</f>
        <v>0</v>
      </c>
      <c r="BJ35" s="22">
        <f>IF('Growth (no penalty)'!BI205&gt;0,1,IF('Growth (no penalty)'!BI308&gt;0,4,0))</f>
        <v>0</v>
      </c>
      <c r="BK35" s="23">
        <f>IF('Growth (no penalty)'!BJ205&gt;0,1,IF('Growth (no penalty)'!BJ308&gt;0,4,0))</f>
        <v>0</v>
      </c>
    </row>
    <row r="36" spans="1:63" x14ac:dyDescent="0.3">
      <c r="A36" s="4" t="str">
        <f>'Growth profile'!A121</f>
        <v>project 211</v>
      </c>
      <c r="B36" s="13" t="s">
        <v>3</v>
      </c>
      <c r="C36" s="19">
        <f>'Raw profile'!I121</f>
        <v>2026</v>
      </c>
      <c r="D36" s="20">
        <f>IF('Raw profile'!C229&gt;0,1,IF('Raw profile'!C332&gt;0,2,0))</f>
        <v>1</v>
      </c>
      <c r="E36" s="20">
        <f>IF('Raw profile'!D229&gt;0,1,IF('Raw profile'!D332&gt;0,2,0))</f>
        <v>2</v>
      </c>
      <c r="F36" s="20">
        <f>IF('Raw profile'!E229&gt;0,1,IF('Raw profile'!E332&gt;0,2,0))</f>
        <v>2</v>
      </c>
      <c r="G36" s="20">
        <f>IF('Raw profile'!F229&gt;0,1,IF('Raw profile'!F332&gt;0,2,0))</f>
        <v>2</v>
      </c>
      <c r="H36" s="20">
        <f>IF('Raw profile'!G229&gt;0,1,IF('Raw profile'!G332&gt;0,2,0))</f>
        <v>2</v>
      </c>
      <c r="I36" s="20">
        <f>IF('Raw profile'!H229&gt;0,1,IF('Raw profile'!H332&gt;0,2,0))</f>
        <v>2</v>
      </c>
      <c r="J36" s="20">
        <f>IF('Raw profile'!I229&gt;0,1,IF('Raw profile'!I332&gt;0,2,0))</f>
        <v>2</v>
      </c>
      <c r="K36" s="20">
        <f>IF('Raw profile'!J229&gt;0,1,IF('Raw profile'!J332&gt;0,2,0))</f>
        <v>2</v>
      </c>
      <c r="L36" s="20">
        <f>IF('Raw profile'!K229&gt;0,1,IF('Raw profile'!K332&gt;0,2,0))</f>
        <v>2</v>
      </c>
      <c r="M36" s="20">
        <f>IF('Raw profile'!L229&gt;0,1,IF('Raw profile'!L332&gt;0,2,0))</f>
        <v>2</v>
      </c>
      <c r="N36" s="20">
        <f>IF('Raw profile'!M229&gt;0,1,IF('Raw profile'!M332&gt;0,2,0))</f>
        <v>2</v>
      </c>
      <c r="O36" s="20">
        <f>IF('Raw profile'!N229&gt;0,1,IF('Raw profile'!N332&gt;0,2,0))</f>
        <v>2</v>
      </c>
      <c r="P36" s="20">
        <f>IF('Raw profile'!O229&gt;0,1,IF('Raw profile'!O332&gt;0,2,0))</f>
        <v>2</v>
      </c>
      <c r="Q36" s="20">
        <f>IF('Raw profile'!P229&gt;0,1,IF('Raw profile'!P332&gt;0,2,0))</f>
        <v>2</v>
      </c>
      <c r="R36" s="20">
        <f>IF('Raw profile'!Q229&gt;0,1,IF('Raw profile'!Q332&gt;0,2,0))</f>
        <v>2</v>
      </c>
      <c r="S36" s="20">
        <f>IF('Raw profile'!R229&gt;0,1,IF('Raw profile'!R332&gt;0,2,0))</f>
        <v>2</v>
      </c>
      <c r="T36" s="20">
        <f>IF('Raw profile'!S229&gt;0,1,IF('Raw profile'!S332&gt;0,2,0))</f>
        <v>2</v>
      </c>
      <c r="U36" s="20">
        <f>IF('Raw profile'!T229&gt;0,1,IF('Raw profile'!T332&gt;0,2,0))</f>
        <v>2</v>
      </c>
      <c r="V36" s="20">
        <f>IF('Raw profile'!U229&gt;0,1,IF('Raw profile'!U332&gt;0,2,0))</f>
        <v>2</v>
      </c>
      <c r="W36" s="20">
        <f>IF('Raw profile'!V229&gt;0,1,IF('Raw profile'!V332&gt;0,2,0))</f>
        <v>2</v>
      </c>
      <c r="X36" s="20">
        <f>IF('Raw profile'!W229&gt;0,1,IF('Raw profile'!W332&gt;0,2,0))</f>
        <v>2</v>
      </c>
      <c r="Y36" s="20">
        <f>IF('Raw profile'!X229&gt;0,1,IF('Raw profile'!X332&gt;0,2,0))</f>
        <v>2</v>
      </c>
      <c r="Z36" s="20">
        <f>IF('Raw profile'!Y229&gt;0,1,IF('Raw profile'!Y332&gt;0,2,0))</f>
        <v>2</v>
      </c>
      <c r="AA36" s="20">
        <f>IF('Raw profile'!Z229&gt;0,1,IF('Raw profile'!Z332&gt;0,2,0))</f>
        <v>2</v>
      </c>
      <c r="AB36" s="20">
        <f>IF('Raw profile'!AA229&gt;0,1,IF('Raw profile'!AA332&gt;0,2,0))</f>
        <v>2</v>
      </c>
      <c r="AC36" s="20">
        <f>IF('Raw profile'!AB229&gt;0,1,IF('Raw profile'!AB332&gt;0,2,0))</f>
        <v>2</v>
      </c>
      <c r="AD36" s="20">
        <f>IF('Raw profile'!AC229&gt;0,1,IF('Raw profile'!AC332&gt;0,2,0))</f>
        <v>2</v>
      </c>
      <c r="AE36" s="20">
        <f>IF('Raw profile'!AD229&gt;0,1,IF('Raw profile'!AD332&gt;0,2,0))</f>
        <v>2</v>
      </c>
      <c r="AF36" s="20">
        <f>IF('Raw profile'!AE229&gt;0,1,IF('Raw profile'!AE332&gt;0,2,0))</f>
        <v>2</v>
      </c>
      <c r="AG36" s="20">
        <f>IF('Raw profile'!AF229&gt;0,1,IF('Raw profile'!AF332&gt;0,2,0))</f>
        <v>2</v>
      </c>
      <c r="AH36" s="20">
        <f>IF('Raw profile'!AG229&gt;0,1,IF('Raw profile'!AG332&gt;0,2,0))</f>
        <v>2</v>
      </c>
      <c r="AI36" s="20">
        <f>IF('Raw profile'!AH229&gt;0,1,IF('Raw profile'!AH332&gt;0,2,0))</f>
        <v>2</v>
      </c>
      <c r="AJ36" s="20">
        <f>IF('Raw profile'!AI229&gt;0,1,IF('Raw profile'!AI332&gt;0,2,0))</f>
        <v>2</v>
      </c>
      <c r="AK36" s="20">
        <f>IF('Raw profile'!AJ229&gt;0,1,IF('Raw profile'!AJ332&gt;0,2,0))</f>
        <v>2</v>
      </c>
      <c r="AL36" s="20">
        <f>IF('Raw profile'!AK229&gt;0,1,IF('Raw profile'!AK332&gt;0,2,0))</f>
        <v>2</v>
      </c>
      <c r="AM36" s="20">
        <f>IF('Raw profile'!AL229&gt;0,1,IF('Raw profile'!AL332&gt;0,2,0))</f>
        <v>2</v>
      </c>
      <c r="AN36" s="20">
        <f>IF('Raw profile'!AM229&gt;0,1,IF('Raw profile'!AM332&gt;0,2,0))</f>
        <v>2</v>
      </c>
      <c r="AO36" s="20">
        <f>IF('Raw profile'!AN229&gt;0,1,IF('Raw profile'!AN332&gt;0,2,0))</f>
        <v>2</v>
      </c>
      <c r="AP36" s="20">
        <f>IF('Raw profile'!AO229&gt;0,1,IF('Raw profile'!AO332&gt;0,2,0))</f>
        <v>2</v>
      </c>
      <c r="AQ36" s="20">
        <f>IF('Raw profile'!AP229&gt;0,1,IF('Raw profile'!AP332&gt;0,2,0))</f>
        <v>2</v>
      </c>
      <c r="AR36" s="20">
        <f>IF('Raw profile'!AQ229&gt;0,1,IF('Raw profile'!AQ332&gt;0,2,0))</f>
        <v>2</v>
      </c>
      <c r="AS36" s="20">
        <f>IF('Raw profile'!AR229&gt;0,1,IF('Raw profile'!AR332&gt;0,2,0))</f>
        <v>0</v>
      </c>
      <c r="AT36" s="20">
        <f>IF('Raw profile'!AS229&gt;0,1,IF('Raw profile'!AS332&gt;0,2,0))</f>
        <v>0</v>
      </c>
      <c r="AU36" s="20">
        <f>IF('Raw profile'!AT229&gt;0,1,IF('Raw profile'!AT332&gt;0,2,0))</f>
        <v>0</v>
      </c>
      <c r="AV36" s="20">
        <f>IF('Raw profile'!AU229&gt;0,1,IF('Raw profile'!AU332&gt;0,2,0))</f>
        <v>0</v>
      </c>
      <c r="AW36" s="20">
        <f>IF('Raw profile'!AV229&gt;0,1,IF('Raw profile'!AV332&gt;0,2,0))</f>
        <v>0</v>
      </c>
      <c r="AX36" s="20">
        <f>IF('Raw profile'!AW229&gt;0,1,IF('Raw profile'!AW332&gt;0,2,0))</f>
        <v>0</v>
      </c>
      <c r="AY36" s="20">
        <f>IF('Raw profile'!AX229&gt;0,1,IF('Raw profile'!AX332&gt;0,2,0))</f>
        <v>0</v>
      </c>
      <c r="AZ36" s="20">
        <f>IF('Raw profile'!AY229&gt;0,1,IF('Raw profile'!AY332&gt;0,2,0))</f>
        <v>0</v>
      </c>
      <c r="BA36" s="20">
        <f>IF('Raw profile'!AZ229&gt;0,1,IF('Raw profile'!AZ332&gt;0,2,0))</f>
        <v>0</v>
      </c>
      <c r="BB36" s="20">
        <f>IF('Raw profile'!BA229&gt;0,1,IF('Raw profile'!BA332&gt;0,2,0))</f>
        <v>0</v>
      </c>
      <c r="BC36" s="20">
        <f>IF('Raw profile'!BB229&gt;0,1,IF('Raw profile'!BB332&gt;0,2,0))</f>
        <v>0</v>
      </c>
      <c r="BD36" s="20">
        <f>IF('Raw profile'!BC229&gt;0,1,IF('Raw profile'!BC332&gt;0,2,0))</f>
        <v>0</v>
      </c>
      <c r="BE36" s="20">
        <f>IF('Raw profile'!BD229&gt;0,1,IF('Raw profile'!BD332&gt;0,2,0))</f>
        <v>0</v>
      </c>
      <c r="BF36" s="20">
        <f>IF('Raw profile'!BE229&gt;0,1,IF('Raw profile'!BE332&gt;0,2,0))</f>
        <v>0</v>
      </c>
      <c r="BG36" s="20">
        <f>IF('Raw profile'!BF229&gt;0,1,IF('Raw profile'!BF332&gt;0,2,0))</f>
        <v>0</v>
      </c>
      <c r="BH36" s="20">
        <f>IF('Raw profile'!BG229&gt;0,1,IF('Raw profile'!BG332&gt;0,2,0))</f>
        <v>0</v>
      </c>
      <c r="BI36" s="20">
        <f>IF('Raw profile'!BH229&gt;0,1,IF('Raw profile'!BH332&gt;0,2,0))</f>
        <v>0</v>
      </c>
      <c r="BJ36" s="20">
        <f>IF('Raw profile'!BI229&gt;0,1,IF('Raw profile'!BI332&gt;0,2,0))</f>
        <v>0</v>
      </c>
      <c r="BK36" s="21">
        <f>IF('Raw profile'!BJ229&gt;0,1,IF('Raw profile'!BJ332&gt;0,2,0))</f>
        <v>0</v>
      </c>
    </row>
    <row r="37" spans="1:63" x14ac:dyDescent="0.3">
      <c r="B37" s="13" t="s">
        <v>4</v>
      </c>
      <c r="C37" s="19">
        <f>'Growth profile'!I121</f>
        <v>2026</v>
      </c>
      <c r="D37" s="20">
        <f>IF('Growth profile'!C229&gt;0,1,IF('Growth profile'!C332&gt;0,3,0))</f>
        <v>1</v>
      </c>
      <c r="E37" s="20">
        <f>IF('Growth profile'!D229&gt;0,1,IF('Growth profile'!D332&gt;0,3,0))</f>
        <v>3</v>
      </c>
      <c r="F37" s="20">
        <f>IF('Growth profile'!E229&gt;0,1,IF('Growth profile'!E332&gt;0,3,0))</f>
        <v>3</v>
      </c>
      <c r="G37" s="20">
        <f>IF('Growth profile'!F229&gt;0,1,IF('Growth profile'!F332&gt;0,3,0))</f>
        <v>3</v>
      </c>
      <c r="H37" s="20">
        <f>IF('Growth profile'!G229&gt;0,1,IF('Growth profile'!G332&gt;0,3,0))</f>
        <v>3</v>
      </c>
      <c r="I37" s="20">
        <f>IF('Growth profile'!H229&gt;0,1,IF('Growth profile'!H332&gt;0,3,0))</f>
        <v>3</v>
      </c>
      <c r="J37" s="20">
        <f>IF('Growth profile'!I229&gt;0,1,IF('Growth profile'!I332&gt;0,3,0))</f>
        <v>3</v>
      </c>
      <c r="K37" s="20">
        <f>IF('Growth profile'!J229&gt;0,1,IF('Growth profile'!J332&gt;0,3,0))</f>
        <v>3</v>
      </c>
      <c r="L37" s="20">
        <f>IF('Growth profile'!K229&gt;0,1,IF('Growth profile'!K332&gt;0,3,0))</f>
        <v>3</v>
      </c>
      <c r="M37" s="20">
        <f>IF('Growth profile'!L229&gt;0,1,IF('Growth profile'!L332&gt;0,3,0))</f>
        <v>3</v>
      </c>
      <c r="N37" s="20">
        <f>IF('Growth profile'!M229&gt;0,1,IF('Growth profile'!M332&gt;0,3,0))</f>
        <v>3</v>
      </c>
      <c r="O37" s="20">
        <f>IF('Growth profile'!N229&gt;0,1,IF('Growth profile'!N332&gt;0,3,0))</f>
        <v>3</v>
      </c>
      <c r="P37" s="20">
        <f>IF('Growth profile'!O229&gt;0,1,IF('Growth profile'!O332&gt;0,3,0))</f>
        <v>3</v>
      </c>
      <c r="Q37" s="20">
        <f>IF('Growth profile'!P229&gt;0,1,IF('Growth profile'!P332&gt;0,3,0))</f>
        <v>3</v>
      </c>
      <c r="R37" s="20">
        <f>IF('Growth profile'!Q229&gt;0,1,IF('Growth profile'!Q332&gt;0,3,0))</f>
        <v>3</v>
      </c>
      <c r="S37" s="20">
        <f>IF('Growth profile'!R229&gt;0,1,IF('Growth profile'!R332&gt;0,3,0))</f>
        <v>3</v>
      </c>
      <c r="T37" s="20">
        <f>IF('Growth profile'!S229&gt;0,1,IF('Growth profile'!S332&gt;0,3,0))</f>
        <v>3</v>
      </c>
      <c r="U37" s="20">
        <f>IF('Growth profile'!T229&gt;0,1,IF('Growth profile'!T332&gt;0,3,0))</f>
        <v>3</v>
      </c>
      <c r="V37" s="20">
        <f>IF('Growth profile'!U229&gt;0,1,IF('Growth profile'!U332&gt;0,3,0))</f>
        <v>3</v>
      </c>
      <c r="W37" s="20">
        <f>IF('Growth profile'!V229&gt;0,1,IF('Growth profile'!V332&gt;0,3,0))</f>
        <v>3</v>
      </c>
      <c r="X37" s="20">
        <f>IF('Growth profile'!W229&gt;0,1,IF('Growth profile'!W332&gt;0,3,0))</f>
        <v>3</v>
      </c>
      <c r="Y37" s="20">
        <f>IF('Growth profile'!X229&gt;0,1,IF('Growth profile'!X332&gt;0,3,0))</f>
        <v>3</v>
      </c>
      <c r="Z37" s="20">
        <f>IF('Growth profile'!Y229&gt;0,1,IF('Growth profile'!Y332&gt;0,3,0))</f>
        <v>3</v>
      </c>
      <c r="AA37" s="20">
        <f>IF('Growth profile'!Z229&gt;0,1,IF('Growth profile'!Z332&gt;0,3,0))</f>
        <v>3</v>
      </c>
      <c r="AB37" s="20">
        <f>IF('Growth profile'!AA229&gt;0,1,IF('Growth profile'!AA332&gt;0,3,0))</f>
        <v>3</v>
      </c>
      <c r="AC37" s="20">
        <f>IF('Growth profile'!AB229&gt;0,1,IF('Growth profile'!AB332&gt;0,3,0))</f>
        <v>3</v>
      </c>
      <c r="AD37" s="20">
        <f>IF('Growth profile'!AC229&gt;0,1,IF('Growth profile'!AC332&gt;0,3,0))</f>
        <v>3</v>
      </c>
      <c r="AE37" s="20">
        <f>IF('Growth profile'!AD229&gt;0,1,IF('Growth profile'!AD332&gt;0,3,0))</f>
        <v>3</v>
      </c>
      <c r="AF37" s="20">
        <f>IF('Growth profile'!AE229&gt;0,1,IF('Growth profile'!AE332&gt;0,3,0))</f>
        <v>3</v>
      </c>
      <c r="AG37" s="20">
        <f>IF('Growth profile'!AF229&gt;0,1,IF('Growth profile'!AF332&gt;0,3,0))</f>
        <v>3</v>
      </c>
      <c r="AH37" s="20">
        <f>IF('Growth profile'!AG229&gt;0,1,IF('Growth profile'!AG332&gt;0,3,0))</f>
        <v>3</v>
      </c>
      <c r="AI37" s="20">
        <f>IF('Growth profile'!AH229&gt;0,1,IF('Growth profile'!AH332&gt;0,3,0))</f>
        <v>3</v>
      </c>
      <c r="AJ37" s="20">
        <f>IF('Growth profile'!AI229&gt;0,1,IF('Growth profile'!AI332&gt;0,3,0))</f>
        <v>3</v>
      </c>
      <c r="AK37" s="20">
        <f>IF('Growth profile'!AJ229&gt;0,1,IF('Growth profile'!AJ332&gt;0,3,0))</f>
        <v>3</v>
      </c>
      <c r="AL37" s="20">
        <f>IF('Growth profile'!AK229&gt;0,1,IF('Growth profile'!AK332&gt;0,3,0))</f>
        <v>3</v>
      </c>
      <c r="AM37" s="20">
        <f>IF('Growth profile'!AL229&gt;0,1,IF('Growth profile'!AL332&gt;0,3,0))</f>
        <v>3</v>
      </c>
      <c r="AN37" s="20">
        <f>IF('Growth profile'!AM229&gt;0,1,IF('Growth profile'!AM332&gt;0,3,0))</f>
        <v>3</v>
      </c>
      <c r="AO37" s="20">
        <f>IF('Growth profile'!AN229&gt;0,1,IF('Growth profile'!AN332&gt;0,3,0))</f>
        <v>3</v>
      </c>
      <c r="AP37" s="20">
        <f>IF('Growth profile'!AO229&gt;0,1,IF('Growth profile'!AO332&gt;0,3,0))</f>
        <v>3</v>
      </c>
      <c r="AQ37" s="20">
        <f>IF('Growth profile'!AP229&gt;0,1,IF('Growth profile'!AP332&gt;0,3,0))</f>
        <v>3</v>
      </c>
      <c r="AR37" s="20">
        <f>IF('Growth profile'!AQ229&gt;0,1,IF('Growth profile'!AQ332&gt;0,3,0))</f>
        <v>3</v>
      </c>
      <c r="AS37" s="20">
        <f>IF('Growth profile'!AR229&gt;0,1,IF('Growth profile'!AR332&gt;0,3,0))</f>
        <v>0</v>
      </c>
      <c r="AT37" s="20">
        <f>IF('Growth profile'!AS229&gt;0,1,IF('Growth profile'!AS332&gt;0,3,0))</f>
        <v>0</v>
      </c>
      <c r="AU37" s="20">
        <f>IF('Growth profile'!AT229&gt;0,1,IF('Growth profile'!AT332&gt;0,3,0))</f>
        <v>0</v>
      </c>
      <c r="AV37" s="20">
        <f>IF('Growth profile'!AU229&gt;0,1,IF('Growth profile'!AU332&gt;0,3,0))</f>
        <v>0</v>
      </c>
      <c r="AW37" s="20">
        <f>IF('Growth profile'!AV229&gt;0,1,IF('Growth profile'!AV332&gt;0,3,0))</f>
        <v>0</v>
      </c>
      <c r="AX37" s="20">
        <f>IF('Growth profile'!AW229&gt;0,1,IF('Growth profile'!AW332&gt;0,3,0))</f>
        <v>0</v>
      </c>
      <c r="AY37" s="20">
        <f>IF('Growth profile'!AX229&gt;0,1,IF('Growth profile'!AX332&gt;0,3,0))</f>
        <v>0</v>
      </c>
      <c r="AZ37" s="20">
        <f>IF('Growth profile'!AY229&gt;0,1,IF('Growth profile'!AY332&gt;0,3,0))</f>
        <v>0</v>
      </c>
      <c r="BA37" s="20">
        <f>IF('Growth profile'!AZ229&gt;0,1,IF('Growth profile'!AZ332&gt;0,3,0))</f>
        <v>0</v>
      </c>
      <c r="BB37" s="20">
        <f>IF('Growth profile'!BA229&gt;0,1,IF('Growth profile'!BA332&gt;0,3,0))</f>
        <v>0</v>
      </c>
      <c r="BC37" s="20">
        <f>IF('Growth profile'!BB229&gt;0,1,IF('Growth profile'!BB332&gt;0,3,0))</f>
        <v>0</v>
      </c>
      <c r="BD37" s="20">
        <f>IF('Growth profile'!BC229&gt;0,1,IF('Growth profile'!BC332&gt;0,3,0))</f>
        <v>0</v>
      </c>
      <c r="BE37" s="20">
        <f>IF('Growth profile'!BD229&gt;0,1,IF('Growth profile'!BD332&gt;0,3,0))</f>
        <v>0</v>
      </c>
      <c r="BF37" s="20">
        <f>IF('Growth profile'!BE229&gt;0,1,IF('Growth profile'!BE332&gt;0,3,0))</f>
        <v>0</v>
      </c>
      <c r="BG37" s="20">
        <f>IF('Growth profile'!BF229&gt;0,1,IF('Growth profile'!BF332&gt;0,3,0))</f>
        <v>0</v>
      </c>
      <c r="BH37" s="20">
        <f>IF('Growth profile'!BG229&gt;0,1,IF('Growth profile'!BG332&gt;0,3,0))</f>
        <v>0</v>
      </c>
      <c r="BI37" s="20">
        <f>IF('Growth profile'!BH229&gt;0,1,IF('Growth profile'!BH332&gt;0,3,0))</f>
        <v>0</v>
      </c>
      <c r="BJ37" s="20">
        <f>IF('Growth profile'!BI229&gt;0,1,IF('Growth profile'!BI332&gt;0,3,0))</f>
        <v>0</v>
      </c>
      <c r="BK37" s="21">
        <f>IF('Growth profile'!BJ229&gt;0,1,IF('Growth profile'!BJ332&gt;0,3,0))</f>
        <v>0</v>
      </c>
    </row>
    <row r="38" spans="1:63" x14ac:dyDescent="0.3">
      <c r="B38" s="13" t="s">
        <v>59</v>
      </c>
      <c r="C38" s="19">
        <f>'Growth (no penalty)'!I121</f>
        <v>2026</v>
      </c>
      <c r="D38" s="22">
        <f>IF('Growth (no penalty)'!C229&gt;0,1,IF('Growth (no penalty)'!C332&gt;0,4,0))</f>
        <v>1</v>
      </c>
      <c r="E38" s="22">
        <f>IF('Growth (no penalty)'!D229&gt;0,1,IF('Growth (no penalty)'!D332&gt;0,4,0))</f>
        <v>4</v>
      </c>
      <c r="F38" s="22">
        <f>IF('Growth (no penalty)'!E229&gt;0,1,IF('Growth (no penalty)'!E332&gt;0,4,0))</f>
        <v>4</v>
      </c>
      <c r="G38" s="22">
        <f>IF('Growth (no penalty)'!F229&gt;0,1,IF('Growth (no penalty)'!F332&gt;0,4,0))</f>
        <v>4</v>
      </c>
      <c r="H38" s="22">
        <f>IF('Growth (no penalty)'!G229&gt;0,1,IF('Growth (no penalty)'!G332&gt;0,4,0))</f>
        <v>4</v>
      </c>
      <c r="I38" s="22">
        <f>IF('Growth (no penalty)'!H229&gt;0,1,IF('Growth (no penalty)'!H332&gt;0,4,0))</f>
        <v>4</v>
      </c>
      <c r="J38" s="22">
        <f>IF('Growth (no penalty)'!I229&gt;0,1,IF('Growth (no penalty)'!I332&gt;0,4,0))</f>
        <v>4</v>
      </c>
      <c r="K38" s="22">
        <f>IF('Growth (no penalty)'!J229&gt;0,1,IF('Growth (no penalty)'!J332&gt;0,4,0))</f>
        <v>4</v>
      </c>
      <c r="L38" s="22">
        <f>IF('Growth (no penalty)'!K229&gt;0,1,IF('Growth (no penalty)'!K332&gt;0,4,0))</f>
        <v>4</v>
      </c>
      <c r="M38" s="22">
        <f>IF('Growth (no penalty)'!L229&gt;0,1,IF('Growth (no penalty)'!L332&gt;0,4,0))</f>
        <v>4</v>
      </c>
      <c r="N38" s="22">
        <f>IF('Growth (no penalty)'!M229&gt;0,1,IF('Growth (no penalty)'!M332&gt;0,4,0))</f>
        <v>4</v>
      </c>
      <c r="O38" s="22">
        <f>IF('Growth (no penalty)'!N229&gt;0,1,IF('Growth (no penalty)'!N332&gt;0,4,0))</f>
        <v>4</v>
      </c>
      <c r="P38" s="22">
        <f>IF('Growth (no penalty)'!O229&gt;0,1,IF('Growth (no penalty)'!O332&gt;0,4,0))</f>
        <v>4</v>
      </c>
      <c r="Q38" s="22">
        <f>IF('Growth (no penalty)'!P229&gt;0,1,IF('Growth (no penalty)'!P332&gt;0,4,0))</f>
        <v>4</v>
      </c>
      <c r="R38" s="22">
        <f>IF('Growth (no penalty)'!Q229&gt;0,1,IF('Growth (no penalty)'!Q332&gt;0,4,0))</f>
        <v>4</v>
      </c>
      <c r="S38" s="22">
        <f>IF('Growth (no penalty)'!R229&gt;0,1,IF('Growth (no penalty)'!R332&gt;0,4,0))</f>
        <v>4</v>
      </c>
      <c r="T38" s="22">
        <f>IF('Growth (no penalty)'!S229&gt;0,1,IF('Growth (no penalty)'!S332&gt;0,4,0))</f>
        <v>4</v>
      </c>
      <c r="U38" s="22">
        <f>IF('Growth (no penalty)'!T229&gt;0,1,IF('Growth (no penalty)'!T332&gt;0,4,0))</f>
        <v>4</v>
      </c>
      <c r="V38" s="22">
        <f>IF('Growth (no penalty)'!U229&gt;0,1,IF('Growth (no penalty)'!U332&gt;0,4,0))</f>
        <v>4</v>
      </c>
      <c r="W38" s="22">
        <f>IF('Growth (no penalty)'!V229&gt;0,1,IF('Growth (no penalty)'!V332&gt;0,4,0))</f>
        <v>4</v>
      </c>
      <c r="X38" s="22">
        <f>IF('Growth (no penalty)'!W229&gt;0,1,IF('Growth (no penalty)'!W332&gt;0,4,0))</f>
        <v>4</v>
      </c>
      <c r="Y38" s="22">
        <f>IF('Growth (no penalty)'!X229&gt;0,1,IF('Growth (no penalty)'!X332&gt;0,4,0))</f>
        <v>4</v>
      </c>
      <c r="Z38" s="22">
        <f>IF('Growth (no penalty)'!Y229&gt;0,1,IF('Growth (no penalty)'!Y332&gt;0,4,0))</f>
        <v>4</v>
      </c>
      <c r="AA38" s="22">
        <f>IF('Growth (no penalty)'!Z229&gt;0,1,IF('Growth (no penalty)'!Z332&gt;0,4,0))</f>
        <v>4</v>
      </c>
      <c r="AB38" s="22">
        <f>IF('Growth (no penalty)'!AA229&gt;0,1,IF('Growth (no penalty)'!AA332&gt;0,4,0))</f>
        <v>4</v>
      </c>
      <c r="AC38" s="22">
        <f>IF('Growth (no penalty)'!AB229&gt;0,1,IF('Growth (no penalty)'!AB332&gt;0,4,0))</f>
        <v>4</v>
      </c>
      <c r="AD38" s="22">
        <f>IF('Growth (no penalty)'!AC229&gt;0,1,IF('Growth (no penalty)'!AC332&gt;0,4,0))</f>
        <v>4</v>
      </c>
      <c r="AE38" s="22">
        <f>IF('Growth (no penalty)'!AD229&gt;0,1,IF('Growth (no penalty)'!AD332&gt;0,4,0))</f>
        <v>4</v>
      </c>
      <c r="AF38" s="22">
        <f>IF('Growth (no penalty)'!AE229&gt;0,1,IF('Growth (no penalty)'!AE332&gt;0,4,0))</f>
        <v>4</v>
      </c>
      <c r="AG38" s="22">
        <f>IF('Growth (no penalty)'!AF229&gt;0,1,IF('Growth (no penalty)'!AF332&gt;0,4,0))</f>
        <v>4</v>
      </c>
      <c r="AH38" s="22">
        <f>IF('Growth (no penalty)'!AG229&gt;0,1,IF('Growth (no penalty)'!AG332&gt;0,4,0))</f>
        <v>4</v>
      </c>
      <c r="AI38" s="22">
        <f>IF('Growth (no penalty)'!AH229&gt;0,1,IF('Growth (no penalty)'!AH332&gt;0,4,0))</f>
        <v>4</v>
      </c>
      <c r="AJ38" s="22">
        <f>IF('Growth (no penalty)'!AI229&gt;0,1,IF('Growth (no penalty)'!AI332&gt;0,4,0))</f>
        <v>4</v>
      </c>
      <c r="AK38" s="22">
        <f>IF('Growth (no penalty)'!AJ229&gt;0,1,IF('Growth (no penalty)'!AJ332&gt;0,4,0))</f>
        <v>4</v>
      </c>
      <c r="AL38" s="22">
        <f>IF('Growth (no penalty)'!AK229&gt;0,1,IF('Growth (no penalty)'!AK332&gt;0,4,0))</f>
        <v>4</v>
      </c>
      <c r="AM38" s="22">
        <f>IF('Growth (no penalty)'!AL229&gt;0,1,IF('Growth (no penalty)'!AL332&gt;0,4,0))</f>
        <v>4</v>
      </c>
      <c r="AN38" s="22">
        <f>IF('Growth (no penalty)'!AM229&gt;0,1,IF('Growth (no penalty)'!AM332&gt;0,4,0))</f>
        <v>4</v>
      </c>
      <c r="AO38" s="22">
        <f>IF('Growth (no penalty)'!AN229&gt;0,1,IF('Growth (no penalty)'!AN332&gt;0,4,0))</f>
        <v>4</v>
      </c>
      <c r="AP38" s="22">
        <f>IF('Growth (no penalty)'!AO229&gt;0,1,IF('Growth (no penalty)'!AO332&gt;0,4,0))</f>
        <v>4</v>
      </c>
      <c r="AQ38" s="22">
        <f>IF('Growth (no penalty)'!AP229&gt;0,1,IF('Growth (no penalty)'!AP332&gt;0,4,0))</f>
        <v>4</v>
      </c>
      <c r="AR38" s="22">
        <f>IF('Growth (no penalty)'!AQ229&gt;0,1,IF('Growth (no penalty)'!AQ332&gt;0,4,0))</f>
        <v>4</v>
      </c>
      <c r="AS38" s="22">
        <f>IF('Growth (no penalty)'!AR229&gt;0,1,IF('Growth (no penalty)'!AR332&gt;0,4,0))</f>
        <v>0</v>
      </c>
      <c r="AT38" s="22">
        <f>IF('Growth (no penalty)'!AS229&gt;0,1,IF('Growth (no penalty)'!AS332&gt;0,4,0))</f>
        <v>0</v>
      </c>
      <c r="AU38" s="22">
        <f>IF('Growth (no penalty)'!AT229&gt;0,1,IF('Growth (no penalty)'!AT332&gt;0,4,0))</f>
        <v>0</v>
      </c>
      <c r="AV38" s="22">
        <f>IF('Growth (no penalty)'!AU229&gt;0,1,IF('Growth (no penalty)'!AU332&gt;0,4,0))</f>
        <v>0</v>
      </c>
      <c r="AW38" s="22">
        <f>IF('Growth (no penalty)'!AV229&gt;0,1,IF('Growth (no penalty)'!AV332&gt;0,4,0))</f>
        <v>0</v>
      </c>
      <c r="AX38" s="22">
        <f>IF('Growth (no penalty)'!AW229&gt;0,1,IF('Growth (no penalty)'!AW332&gt;0,4,0))</f>
        <v>0</v>
      </c>
      <c r="AY38" s="22">
        <f>IF('Growth (no penalty)'!AX229&gt;0,1,IF('Growth (no penalty)'!AX332&gt;0,4,0))</f>
        <v>0</v>
      </c>
      <c r="AZ38" s="22">
        <f>IF('Growth (no penalty)'!AY229&gt;0,1,IF('Growth (no penalty)'!AY332&gt;0,4,0))</f>
        <v>0</v>
      </c>
      <c r="BA38" s="22">
        <f>IF('Growth (no penalty)'!AZ229&gt;0,1,IF('Growth (no penalty)'!AZ332&gt;0,4,0))</f>
        <v>0</v>
      </c>
      <c r="BB38" s="22">
        <f>IF('Growth (no penalty)'!BA229&gt;0,1,IF('Growth (no penalty)'!BA332&gt;0,4,0))</f>
        <v>0</v>
      </c>
      <c r="BC38" s="22">
        <f>IF('Growth (no penalty)'!BB229&gt;0,1,IF('Growth (no penalty)'!BB332&gt;0,4,0))</f>
        <v>0</v>
      </c>
      <c r="BD38" s="22">
        <f>IF('Growth (no penalty)'!BC229&gt;0,1,IF('Growth (no penalty)'!BC332&gt;0,4,0))</f>
        <v>0</v>
      </c>
      <c r="BE38" s="22">
        <f>IF('Growth (no penalty)'!BD229&gt;0,1,IF('Growth (no penalty)'!BD332&gt;0,4,0))</f>
        <v>0</v>
      </c>
      <c r="BF38" s="22">
        <f>IF('Growth (no penalty)'!BE229&gt;0,1,IF('Growth (no penalty)'!BE332&gt;0,4,0))</f>
        <v>0</v>
      </c>
      <c r="BG38" s="22">
        <f>IF('Growth (no penalty)'!BF229&gt;0,1,IF('Growth (no penalty)'!BF332&gt;0,4,0))</f>
        <v>0</v>
      </c>
      <c r="BH38" s="22">
        <f>IF('Growth (no penalty)'!BG229&gt;0,1,IF('Growth (no penalty)'!BG332&gt;0,4,0))</f>
        <v>0</v>
      </c>
      <c r="BI38" s="22">
        <f>IF('Growth (no penalty)'!BH229&gt;0,1,IF('Growth (no penalty)'!BH332&gt;0,4,0))</f>
        <v>0</v>
      </c>
      <c r="BJ38" s="22">
        <f>IF('Growth (no penalty)'!BI229&gt;0,1,IF('Growth (no penalty)'!BI332&gt;0,4,0))</f>
        <v>0</v>
      </c>
      <c r="BK38" s="23">
        <f>IF('Growth (no penalty)'!BJ229&gt;0,1,IF('Growth (no penalty)'!BJ332&gt;0,4,0))</f>
        <v>0</v>
      </c>
    </row>
    <row r="39" spans="1:63" x14ac:dyDescent="0.3">
      <c r="A39" s="4" t="str">
        <f>'Growth profile'!A49</f>
        <v>project 44</v>
      </c>
      <c r="B39" s="13" t="s">
        <v>3</v>
      </c>
      <c r="C39" s="19">
        <f>'Raw profile'!I49</f>
        <v>2026</v>
      </c>
      <c r="D39" s="20">
        <f>IF('Raw profile'!C157&gt;0,1,IF('Raw profile'!C260&gt;0,2,0))</f>
        <v>1</v>
      </c>
      <c r="E39" s="20">
        <f>IF('Raw profile'!D157&gt;0,1,IF('Raw profile'!D260&gt;0,2,0))</f>
        <v>2</v>
      </c>
      <c r="F39" s="20">
        <f>IF('Raw profile'!E157&gt;0,1,IF('Raw profile'!E260&gt;0,2,0))</f>
        <v>2</v>
      </c>
      <c r="G39" s="20">
        <f>IF('Raw profile'!F157&gt;0,1,IF('Raw profile'!F260&gt;0,2,0))</f>
        <v>2</v>
      </c>
      <c r="H39" s="20">
        <f>IF('Raw profile'!G157&gt;0,1,IF('Raw profile'!G260&gt;0,2,0))</f>
        <v>2</v>
      </c>
      <c r="I39" s="20">
        <f>IF('Raw profile'!H157&gt;0,1,IF('Raw profile'!H260&gt;0,2,0))</f>
        <v>2</v>
      </c>
      <c r="J39" s="20">
        <f>IF('Raw profile'!I157&gt;0,1,IF('Raw profile'!I260&gt;0,2,0))</f>
        <v>2</v>
      </c>
      <c r="K39" s="20">
        <f>IF('Raw profile'!J157&gt;0,1,IF('Raw profile'!J260&gt;0,2,0))</f>
        <v>2</v>
      </c>
      <c r="L39" s="20">
        <f>IF('Raw profile'!K157&gt;0,1,IF('Raw profile'!K260&gt;0,2,0))</f>
        <v>2</v>
      </c>
      <c r="M39" s="20">
        <f>IF('Raw profile'!L157&gt;0,1,IF('Raw profile'!L260&gt;0,2,0))</f>
        <v>2</v>
      </c>
      <c r="N39" s="20">
        <f>IF('Raw profile'!M157&gt;0,1,IF('Raw profile'!M260&gt;0,2,0))</f>
        <v>2</v>
      </c>
      <c r="O39" s="20">
        <f>IF('Raw profile'!N157&gt;0,1,IF('Raw profile'!N260&gt;0,2,0))</f>
        <v>2</v>
      </c>
      <c r="P39" s="20">
        <f>IF('Raw profile'!O157&gt;0,1,IF('Raw profile'!O260&gt;0,2,0))</f>
        <v>2</v>
      </c>
      <c r="Q39" s="20">
        <f>IF('Raw profile'!P157&gt;0,1,IF('Raw profile'!P260&gt;0,2,0))</f>
        <v>2</v>
      </c>
      <c r="R39" s="20">
        <f>IF('Raw profile'!Q157&gt;0,1,IF('Raw profile'!Q260&gt;0,2,0))</f>
        <v>2</v>
      </c>
      <c r="S39" s="20">
        <f>IF('Raw profile'!R157&gt;0,1,IF('Raw profile'!R260&gt;0,2,0))</f>
        <v>2</v>
      </c>
      <c r="T39" s="20">
        <f>IF('Raw profile'!S157&gt;0,1,IF('Raw profile'!S260&gt;0,2,0))</f>
        <v>2</v>
      </c>
      <c r="U39" s="20">
        <f>IF('Raw profile'!T157&gt;0,1,IF('Raw profile'!T260&gt;0,2,0))</f>
        <v>2</v>
      </c>
      <c r="V39" s="20">
        <f>IF('Raw profile'!U157&gt;0,1,IF('Raw profile'!U260&gt;0,2,0))</f>
        <v>2</v>
      </c>
      <c r="W39" s="20">
        <f>IF('Raw profile'!V157&gt;0,1,IF('Raw profile'!V260&gt;0,2,0))</f>
        <v>2</v>
      </c>
      <c r="X39" s="20">
        <f>IF('Raw profile'!W157&gt;0,1,IF('Raw profile'!W260&gt;0,2,0))</f>
        <v>2</v>
      </c>
      <c r="Y39" s="20">
        <f>IF('Raw profile'!X157&gt;0,1,IF('Raw profile'!X260&gt;0,2,0))</f>
        <v>2</v>
      </c>
      <c r="Z39" s="20">
        <f>IF('Raw profile'!Y157&gt;0,1,IF('Raw profile'!Y260&gt;0,2,0))</f>
        <v>2</v>
      </c>
      <c r="AA39" s="20">
        <f>IF('Raw profile'!Z157&gt;0,1,IF('Raw profile'!Z260&gt;0,2,0))</f>
        <v>2</v>
      </c>
      <c r="AB39" s="20">
        <f>IF('Raw profile'!AA157&gt;0,1,IF('Raw profile'!AA260&gt;0,2,0))</f>
        <v>2</v>
      </c>
      <c r="AC39" s="20">
        <f>IF('Raw profile'!AB157&gt;0,1,IF('Raw profile'!AB260&gt;0,2,0))</f>
        <v>2</v>
      </c>
      <c r="AD39" s="20">
        <f>IF('Raw profile'!AC157&gt;0,1,IF('Raw profile'!AC260&gt;0,2,0))</f>
        <v>2</v>
      </c>
      <c r="AE39" s="20">
        <f>IF('Raw profile'!AD157&gt;0,1,IF('Raw profile'!AD260&gt;0,2,0))</f>
        <v>2</v>
      </c>
      <c r="AF39" s="20">
        <f>IF('Raw profile'!AE157&gt;0,1,IF('Raw profile'!AE260&gt;0,2,0))</f>
        <v>2</v>
      </c>
      <c r="AG39" s="20">
        <f>IF('Raw profile'!AF157&gt;0,1,IF('Raw profile'!AF260&gt;0,2,0))</f>
        <v>2</v>
      </c>
      <c r="AH39" s="20">
        <f>IF('Raw profile'!AG157&gt;0,1,IF('Raw profile'!AG260&gt;0,2,0))</f>
        <v>2</v>
      </c>
      <c r="AI39" s="20">
        <f>IF('Raw profile'!AH157&gt;0,1,IF('Raw profile'!AH260&gt;0,2,0))</f>
        <v>2</v>
      </c>
      <c r="AJ39" s="20">
        <f>IF('Raw profile'!AI157&gt;0,1,IF('Raw profile'!AI260&gt;0,2,0))</f>
        <v>2</v>
      </c>
      <c r="AK39" s="20">
        <f>IF('Raw profile'!AJ157&gt;0,1,IF('Raw profile'!AJ260&gt;0,2,0))</f>
        <v>2</v>
      </c>
      <c r="AL39" s="20">
        <f>IF('Raw profile'!AK157&gt;0,1,IF('Raw profile'!AK260&gt;0,2,0))</f>
        <v>2</v>
      </c>
      <c r="AM39" s="20">
        <f>IF('Raw profile'!AL157&gt;0,1,IF('Raw profile'!AL260&gt;0,2,0))</f>
        <v>2</v>
      </c>
      <c r="AN39" s="20">
        <f>IF('Raw profile'!AM157&gt;0,1,IF('Raw profile'!AM260&gt;0,2,0))</f>
        <v>2</v>
      </c>
      <c r="AO39" s="20">
        <f>IF('Raw profile'!AN157&gt;0,1,IF('Raw profile'!AN260&gt;0,2,0))</f>
        <v>2</v>
      </c>
      <c r="AP39" s="20">
        <f>IF('Raw profile'!AO157&gt;0,1,IF('Raw profile'!AO260&gt;0,2,0))</f>
        <v>2</v>
      </c>
      <c r="AQ39" s="20">
        <f>IF('Raw profile'!AP157&gt;0,1,IF('Raw profile'!AP260&gt;0,2,0))</f>
        <v>2</v>
      </c>
      <c r="AR39" s="20">
        <f>IF('Raw profile'!AQ157&gt;0,1,IF('Raw profile'!AQ260&gt;0,2,0))</f>
        <v>2</v>
      </c>
      <c r="AS39" s="20">
        <f>IF('Raw profile'!AR157&gt;0,1,IF('Raw profile'!AR260&gt;0,2,0))</f>
        <v>0</v>
      </c>
      <c r="AT39" s="20">
        <f>IF('Raw profile'!AS157&gt;0,1,IF('Raw profile'!AS260&gt;0,2,0))</f>
        <v>0</v>
      </c>
      <c r="AU39" s="20">
        <f>IF('Raw profile'!AT157&gt;0,1,IF('Raw profile'!AT260&gt;0,2,0))</f>
        <v>0</v>
      </c>
      <c r="AV39" s="20">
        <f>IF('Raw profile'!AU157&gt;0,1,IF('Raw profile'!AU260&gt;0,2,0))</f>
        <v>0</v>
      </c>
      <c r="AW39" s="20">
        <f>IF('Raw profile'!AV157&gt;0,1,IF('Raw profile'!AV260&gt;0,2,0))</f>
        <v>0</v>
      </c>
      <c r="AX39" s="20">
        <f>IF('Raw profile'!AW157&gt;0,1,IF('Raw profile'!AW260&gt;0,2,0))</f>
        <v>0</v>
      </c>
      <c r="AY39" s="20">
        <f>IF('Raw profile'!AX157&gt;0,1,IF('Raw profile'!AX260&gt;0,2,0))</f>
        <v>0</v>
      </c>
      <c r="AZ39" s="20">
        <f>IF('Raw profile'!AY157&gt;0,1,IF('Raw profile'!AY260&gt;0,2,0))</f>
        <v>0</v>
      </c>
      <c r="BA39" s="20">
        <f>IF('Raw profile'!AZ157&gt;0,1,IF('Raw profile'!AZ260&gt;0,2,0))</f>
        <v>0</v>
      </c>
      <c r="BB39" s="20">
        <f>IF('Raw profile'!BA157&gt;0,1,IF('Raw profile'!BA260&gt;0,2,0))</f>
        <v>0</v>
      </c>
      <c r="BC39" s="20">
        <f>IF('Raw profile'!BB157&gt;0,1,IF('Raw profile'!BB260&gt;0,2,0))</f>
        <v>0</v>
      </c>
      <c r="BD39" s="20">
        <f>IF('Raw profile'!BC157&gt;0,1,IF('Raw profile'!BC260&gt;0,2,0))</f>
        <v>0</v>
      </c>
      <c r="BE39" s="20">
        <f>IF('Raw profile'!BD157&gt;0,1,IF('Raw profile'!BD260&gt;0,2,0))</f>
        <v>0</v>
      </c>
      <c r="BF39" s="20">
        <f>IF('Raw profile'!BE157&gt;0,1,IF('Raw profile'!BE260&gt;0,2,0))</f>
        <v>0</v>
      </c>
      <c r="BG39" s="20">
        <f>IF('Raw profile'!BF157&gt;0,1,IF('Raw profile'!BF260&gt;0,2,0))</f>
        <v>0</v>
      </c>
      <c r="BH39" s="20">
        <f>IF('Raw profile'!BG157&gt;0,1,IF('Raw profile'!BG260&gt;0,2,0))</f>
        <v>0</v>
      </c>
      <c r="BI39" s="20">
        <f>IF('Raw profile'!BH157&gt;0,1,IF('Raw profile'!BH260&gt;0,2,0))</f>
        <v>0</v>
      </c>
      <c r="BJ39" s="20">
        <f>IF('Raw profile'!BI157&gt;0,1,IF('Raw profile'!BI260&gt;0,2,0))</f>
        <v>0</v>
      </c>
      <c r="BK39" s="21">
        <f>IF('Raw profile'!BJ157&gt;0,1,IF('Raw profile'!BJ260&gt;0,2,0))</f>
        <v>0</v>
      </c>
    </row>
    <row r="40" spans="1:63" x14ac:dyDescent="0.3">
      <c r="B40" s="13" t="s">
        <v>4</v>
      </c>
      <c r="C40" s="19">
        <f>'Growth profile'!I49</f>
        <v>2031</v>
      </c>
      <c r="D40" s="20">
        <f>IF('Growth profile'!C157&gt;0,1,IF('Growth profile'!C260&gt;0,3,0))</f>
        <v>0</v>
      </c>
      <c r="E40" s="20">
        <f>IF('Growth profile'!D157&gt;0,1,IF('Growth profile'!D260&gt;0,3,0))</f>
        <v>0</v>
      </c>
      <c r="F40" s="20">
        <f>IF('Growth profile'!E157&gt;0,1,IF('Growth profile'!E260&gt;0,3,0))</f>
        <v>0</v>
      </c>
      <c r="G40" s="20">
        <f>IF('Growth profile'!F157&gt;0,1,IF('Growth profile'!F260&gt;0,3,0))</f>
        <v>0</v>
      </c>
      <c r="H40" s="20">
        <f>IF('Growth profile'!G157&gt;0,1,IF('Growth profile'!G260&gt;0,3,0))</f>
        <v>0</v>
      </c>
      <c r="I40" s="20">
        <f>IF('Growth profile'!H157&gt;0,1,IF('Growth profile'!H260&gt;0,3,0))</f>
        <v>1</v>
      </c>
      <c r="J40" s="20">
        <f>IF('Growth profile'!I157&gt;0,1,IF('Growth profile'!I260&gt;0,3,0))</f>
        <v>3</v>
      </c>
      <c r="K40" s="20">
        <f>IF('Growth profile'!J157&gt;0,1,IF('Growth profile'!J260&gt;0,3,0))</f>
        <v>3</v>
      </c>
      <c r="L40" s="20">
        <f>IF('Growth profile'!K157&gt;0,1,IF('Growth profile'!K260&gt;0,3,0))</f>
        <v>3</v>
      </c>
      <c r="M40" s="20">
        <f>IF('Growth profile'!L157&gt;0,1,IF('Growth profile'!L260&gt;0,3,0))</f>
        <v>3</v>
      </c>
      <c r="N40" s="20">
        <f>IF('Growth profile'!M157&gt;0,1,IF('Growth profile'!M260&gt;0,3,0))</f>
        <v>3</v>
      </c>
      <c r="O40" s="20">
        <f>IF('Growth profile'!N157&gt;0,1,IF('Growth profile'!N260&gt;0,3,0))</f>
        <v>3</v>
      </c>
      <c r="P40" s="20">
        <f>IF('Growth profile'!O157&gt;0,1,IF('Growth profile'!O260&gt;0,3,0))</f>
        <v>3</v>
      </c>
      <c r="Q40" s="20">
        <f>IF('Growth profile'!P157&gt;0,1,IF('Growth profile'!P260&gt;0,3,0))</f>
        <v>3</v>
      </c>
      <c r="R40" s="20">
        <f>IF('Growth profile'!Q157&gt;0,1,IF('Growth profile'!Q260&gt;0,3,0))</f>
        <v>3</v>
      </c>
      <c r="S40" s="20">
        <f>IF('Growth profile'!R157&gt;0,1,IF('Growth profile'!R260&gt;0,3,0))</f>
        <v>3</v>
      </c>
      <c r="T40" s="20">
        <f>IF('Growth profile'!S157&gt;0,1,IF('Growth profile'!S260&gt;0,3,0))</f>
        <v>3</v>
      </c>
      <c r="U40" s="20">
        <f>IF('Growth profile'!T157&gt;0,1,IF('Growth profile'!T260&gt;0,3,0))</f>
        <v>3</v>
      </c>
      <c r="V40" s="20">
        <f>IF('Growth profile'!U157&gt;0,1,IF('Growth profile'!U260&gt;0,3,0))</f>
        <v>3</v>
      </c>
      <c r="W40" s="20">
        <f>IF('Growth profile'!V157&gt;0,1,IF('Growth profile'!V260&gt;0,3,0))</f>
        <v>3</v>
      </c>
      <c r="X40" s="20">
        <f>IF('Growth profile'!W157&gt;0,1,IF('Growth profile'!W260&gt;0,3,0))</f>
        <v>3</v>
      </c>
      <c r="Y40" s="20">
        <f>IF('Growth profile'!X157&gt;0,1,IF('Growth profile'!X260&gt;0,3,0))</f>
        <v>3</v>
      </c>
      <c r="Z40" s="20">
        <f>IF('Growth profile'!Y157&gt;0,1,IF('Growth profile'!Y260&gt;0,3,0))</f>
        <v>3</v>
      </c>
      <c r="AA40" s="20">
        <f>IF('Growth profile'!Z157&gt;0,1,IF('Growth profile'!Z260&gt;0,3,0))</f>
        <v>3</v>
      </c>
      <c r="AB40" s="20">
        <f>IF('Growth profile'!AA157&gt;0,1,IF('Growth profile'!AA260&gt;0,3,0))</f>
        <v>3</v>
      </c>
      <c r="AC40" s="20">
        <f>IF('Growth profile'!AB157&gt;0,1,IF('Growth profile'!AB260&gt;0,3,0))</f>
        <v>3</v>
      </c>
      <c r="AD40" s="20">
        <f>IF('Growth profile'!AC157&gt;0,1,IF('Growth profile'!AC260&gt;0,3,0))</f>
        <v>3</v>
      </c>
      <c r="AE40" s="20">
        <f>IF('Growth profile'!AD157&gt;0,1,IF('Growth profile'!AD260&gt;0,3,0))</f>
        <v>3</v>
      </c>
      <c r="AF40" s="20">
        <f>IF('Growth profile'!AE157&gt;0,1,IF('Growth profile'!AE260&gt;0,3,0))</f>
        <v>3</v>
      </c>
      <c r="AG40" s="20">
        <f>IF('Growth profile'!AF157&gt;0,1,IF('Growth profile'!AF260&gt;0,3,0))</f>
        <v>3</v>
      </c>
      <c r="AH40" s="20">
        <f>IF('Growth profile'!AG157&gt;0,1,IF('Growth profile'!AG260&gt;0,3,0))</f>
        <v>3</v>
      </c>
      <c r="AI40" s="20">
        <f>IF('Growth profile'!AH157&gt;0,1,IF('Growth profile'!AH260&gt;0,3,0))</f>
        <v>3</v>
      </c>
      <c r="AJ40" s="20">
        <f>IF('Growth profile'!AI157&gt;0,1,IF('Growth profile'!AI260&gt;0,3,0))</f>
        <v>3</v>
      </c>
      <c r="AK40" s="20">
        <f>IF('Growth profile'!AJ157&gt;0,1,IF('Growth profile'!AJ260&gt;0,3,0))</f>
        <v>3</v>
      </c>
      <c r="AL40" s="20">
        <f>IF('Growth profile'!AK157&gt;0,1,IF('Growth profile'!AK260&gt;0,3,0))</f>
        <v>3</v>
      </c>
      <c r="AM40" s="20">
        <f>IF('Growth profile'!AL157&gt;0,1,IF('Growth profile'!AL260&gt;0,3,0))</f>
        <v>3</v>
      </c>
      <c r="AN40" s="20">
        <f>IF('Growth profile'!AM157&gt;0,1,IF('Growth profile'!AM260&gt;0,3,0))</f>
        <v>3</v>
      </c>
      <c r="AO40" s="20">
        <f>IF('Growth profile'!AN157&gt;0,1,IF('Growth profile'!AN260&gt;0,3,0))</f>
        <v>3</v>
      </c>
      <c r="AP40" s="20">
        <f>IF('Growth profile'!AO157&gt;0,1,IF('Growth profile'!AO260&gt;0,3,0))</f>
        <v>3</v>
      </c>
      <c r="AQ40" s="20">
        <f>IF('Growth profile'!AP157&gt;0,1,IF('Growth profile'!AP260&gt;0,3,0))</f>
        <v>3</v>
      </c>
      <c r="AR40" s="20">
        <f>IF('Growth profile'!AQ157&gt;0,1,IF('Growth profile'!AQ260&gt;0,3,0))</f>
        <v>3</v>
      </c>
      <c r="AS40" s="20">
        <f>IF('Growth profile'!AR157&gt;0,1,IF('Growth profile'!AR260&gt;0,3,0))</f>
        <v>3</v>
      </c>
      <c r="AT40" s="20">
        <f>IF('Growth profile'!AS157&gt;0,1,IF('Growth profile'!AS260&gt;0,3,0))</f>
        <v>3</v>
      </c>
      <c r="AU40" s="20">
        <f>IF('Growth profile'!AT157&gt;0,1,IF('Growth profile'!AT260&gt;0,3,0))</f>
        <v>3</v>
      </c>
      <c r="AV40" s="20">
        <f>IF('Growth profile'!AU157&gt;0,1,IF('Growth profile'!AU260&gt;0,3,0))</f>
        <v>3</v>
      </c>
      <c r="AW40" s="20">
        <f>IF('Growth profile'!AV157&gt;0,1,IF('Growth profile'!AV260&gt;0,3,0))</f>
        <v>3</v>
      </c>
      <c r="AX40" s="20">
        <f>IF('Growth profile'!AW157&gt;0,1,IF('Growth profile'!AW260&gt;0,3,0))</f>
        <v>0</v>
      </c>
      <c r="AY40" s="20">
        <f>IF('Growth profile'!AX157&gt;0,1,IF('Growth profile'!AX260&gt;0,3,0))</f>
        <v>0</v>
      </c>
      <c r="AZ40" s="20">
        <f>IF('Growth profile'!AY157&gt;0,1,IF('Growth profile'!AY260&gt;0,3,0))</f>
        <v>0</v>
      </c>
      <c r="BA40" s="20">
        <f>IF('Growth profile'!AZ157&gt;0,1,IF('Growth profile'!AZ260&gt;0,3,0))</f>
        <v>0</v>
      </c>
      <c r="BB40" s="20">
        <f>IF('Growth profile'!BA157&gt;0,1,IF('Growth profile'!BA260&gt;0,3,0))</f>
        <v>0</v>
      </c>
      <c r="BC40" s="20">
        <f>IF('Growth profile'!BB157&gt;0,1,IF('Growth profile'!BB260&gt;0,3,0))</f>
        <v>0</v>
      </c>
      <c r="BD40" s="20">
        <f>IF('Growth profile'!BC157&gt;0,1,IF('Growth profile'!BC260&gt;0,3,0))</f>
        <v>0</v>
      </c>
      <c r="BE40" s="20">
        <f>IF('Growth profile'!BD157&gt;0,1,IF('Growth profile'!BD260&gt;0,3,0))</f>
        <v>0</v>
      </c>
      <c r="BF40" s="20">
        <f>IF('Growth profile'!BE157&gt;0,1,IF('Growth profile'!BE260&gt;0,3,0))</f>
        <v>0</v>
      </c>
      <c r="BG40" s="20">
        <f>IF('Growth profile'!BF157&gt;0,1,IF('Growth profile'!BF260&gt;0,3,0))</f>
        <v>0</v>
      </c>
      <c r="BH40" s="20">
        <f>IF('Growth profile'!BG157&gt;0,1,IF('Growth profile'!BG260&gt;0,3,0))</f>
        <v>0</v>
      </c>
      <c r="BI40" s="20">
        <f>IF('Growth profile'!BH157&gt;0,1,IF('Growth profile'!BH260&gt;0,3,0))</f>
        <v>0</v>
      </c>
      <c r="BJ40" s="20">
        <f>IF('Growth profile'!BI157&gt;0,1,IF('Growth profile'!BI260&gt;0,3,0))</f>
        <v>0</v>
      </c>
      <c r="BK40" s="21">
        <f>IF('Growth profile'!BJ157&gt;0,1,IF('Growth profile'!BJ260&gt;0,3,0))</f>
        <v>0</v>
      </c>
    </row>
    <row r="41" spans="1:63" x14ac:dyDescent="0.3">
      <c r="B41" s="13" t="s">
        <v>59</v>
      </c>
      <c r="C41" s="19">
        <f>'Growth (no penalty)'!I49</f>
        <v>2032</v>
      </c>
      <c r="D41" s="22">
        <f>IF('Growth (no penalty)'!C157&gt;0,1,IF('Growth (no penalty)'!C260&gt;0,4,0))</f>
        <v>0</v>
      </c>
      <c r="E41" s="22">
        <f>IF('Growth (no penalty)'!D157&gt;0,1,IF('Growth (no penalty)'!D260&gt;0,4,0))</f>
        <v>0</v>
      </c>
      <c r="F41" s="22">
        <f>IF('Growth (no penalty)'!E157&gt;0,1,IF('Growth (no penalty)'!E260&gt;0,4,0))</f>
        <v>0</v>
      </c>
      <c r="G41" s="22">
        <f>IF('Growth (no penalty)'!F157&gt;0,1,IF('Growth (no penalty)'!F260&gt;0,4,0))</f>
        <v>0</v>
      </c>
      <c r="H41" s="22">
        <f>IF('Growth (no penalty)'!G157&gt;0,1,IF('Growth (no penalty)'!G260&gt;0,4,0))</f>
        <v>0</v>
      </c>
      <c r="I41" s="22">
        <f>IF('Growth (no penalty)'!H157&gt;0,1,IF('Growth (no penalty)'!H260&gt;0,4,0))</f>
        <v>0</v>
      </c>
      <c r="J41" s="22">
        <f>IF('Growth (no penalty)'!I157&gt;0,1,IF('Growth (no penalty)'!I260&gt;0,4,0))</f>
        <v>1</v>
      </c>
      <c r="K41" s="22">
        <f>IF('Growth (no penalty)'!J157&gt;0,1,IF('Growth (no penalty)'!J260&gt;0,4,0))</f>
        <v>4</v>
      </c>
      <c r="L41" s="22">
        <f>IF('Growth (no penalty)'!K157&gt;0,1,IF('Growth (no penalty)'!K260&gt;0,4,0))</f>
        <v>4</v>
      </c>
      <c r="M41" s="22">
        <f>IF('Growth (no penalty)'!L157&gt;0,1,IF('Growth (no penalty)'!L260&gt;0,4,0))</f>
        <v>4</v>
      </c>
      <c r="N41" s="22">
        <f>IF('Growth (no penalty)'!M157&gt;0,1,IF('Growth (no penalty)'!M260&gt;0,4,0))</f>
        <v>4</v>
      </c>
      <c r="O41" s="22">
        <f>IF('Growth (no penalty)'!N157&gt;0,1,IF('Growth (no penalty)'!N260&gt;0,4,0))</f>
        <v>4</v>
      </c>
      <c r="P41" s="22">
        <f>IF('Growth (no penalty)'!O157&gt;0,1,IF('Growth (no penalty)'!O260&gt;0,4,0))</f>
        <v>4</v>
      </c>
      <c r="Q41" s="22">
        <f>IF('Growth (no penalty)'!P157&gt;0,1,IF('Growth (no penalty)'!P260&gt;0,4,0))</f>
        <v>4</v>
      </c>
      <c r="R41" s="22">
        <f>IF('Growth (no penalty)'!Q157&gt;0,1,IF('Growth (no penalty)'!Q260&gt;0,4,0))</f>
        <v>4</v>
      </c>
      <c r="S41" s="22">
        <f>IF('Growth (no penalty)'!R157&gt;0,1,IF('Growth (no penalty)'!R260&gt;0,4,0))</f>
        <v>4</v>
      </c>
      <c r="T41" s="22">
        <f>IF('Growth (no penalty)'!S157&gt;0,1,IF('Growth (no penalty)'!S260&gt;0,4,0))</f>
        <v>4</v>
      </c>
      <c r="U41" s="22">
        <f>IF('Growth (no penalty)'!T157&gt;0,1,IF('Growth (no penalty)'!T260&gt;0,4,0))</f>
        <v>4</v>
      </c>
      <c r="V41" s="22">
        <f>IF('Growth (no penalty)'!U157&gt;0,1,IF('Growth (no penalty)'!U260&gt;0,4,0))</f>
        <v>4</v>
      </c>
      <c r="W41" s="22">
        <f>IF('Growth (no penalty)'!V157&gt;0,1,IF('Growth (no penalty)'!V260&gt;0,4,0))</f>
        <v>4</v>
      </c>
      <c r="X41" s="22">
        <f>IF('Growth (no penalty)'!W157&gt;0,1,IF('Growth (no penalty)'!W260&gt;0,4,0))</f>
        <v>4</v>
      </c>
      <c r="Y41" s="22">
        <f>IF('Growth (no penalty)'!X157&gt;0,1,IF('Growth (no penalty)'!X260&gt;0,4,0))</f>
        <v>4</v>
      </c>
      <c r="Z41" s="22">
        <f>IF('Growth (no penalty)'!Y157&gt;0,1,IF('Growth (no penalty)'!Y260&gt;0,4,0))</f>
        <v>4</v>
      </c>
      <c r="AA41" s="22">
        <f>IF('Growth (no penalty)'!Z157&gt;0,1,IF('Growth (no penalty)'!Z260&gt;0,4,0))</f>
        <v>4</v>
      </c>
      <c r="AB41" s="22">
        <f>IF('Growth (no penalty)'!AA157&gt;0,1,IF('Growth (no penalty)'!AA260&gt;0,4,0))</f>
        <v>4</v>
      </c>
      <c r="AC41" s="22">
        <f>IF('Growth (no penalty)'!AB157&gt;0,1,IF('Growth (no penalty)'!AB260&gt;0,4,0))</f>
        <v>4</v>
      </c>
      <c r="AD41" s="22">
        <f>IF('Growth (no penalty)'!AC157&gt;0,1,IF('Growth (no penalty)'!AC260&gt;0,4,0))</f>
        <v>4</v>
      </c>
      <c r="AE41" s="22">
        <f>IF('Growth (no penalty)'!AD157&gt;0,1,IF('Growth (no penalty)'!AD260&gt;0,4,0))</f>
        <v>4</v>
      </c>
      <c r="AF41" s="22">
        <f>IF('Growth (no penalty)'!AE157&gt;0,1,IF('Growth (no penalty)'!AE260&gt;0,4,0))</f>
        <v>4</v>
      </c>
      <c r="AG41" s="22">
        <f>IF('Growth (no penalty)'!AF157&gt;0,1,IF('Growth (no penalty)'!AF260&gt;0,4,0))</f>
        <v>4</v>
      </c>
      <c r="AH41" s="22">
        <f>IF('Growth (no penalty)'!AG157&gt;0,1,IF('Growth (no penalty)'!AG260&gt;0,4,0))</f>
        <v>4</v>
      </c>
      <c r="AI41" s="22">
        <f>IF('Growth (no penalty)'!AH157&gt;0,1,IF('Growth (no penalty)'!AH260&gt;0,4,0))</f>
        <v>4</v>
      </c>
      <c r="AJ41" s="22">
        <f>IF('Growth (no penalty)'!AI157&gt;0,1,IF('Growth (no penalty)'!AI260&gt;0,4,0))</f>
        <v>4</v>
      </c>
      <c r="AK41" s="22">
        <f>IF('Growth (no penalty)'!AJ157&gt;0,1,IF('Growth (no penalty)'!AJ260&gt;0,4,0))</f>
        <v>4</v>
      </c>
      <c r="AL41" s="22">
        <f>IF('Growth (no penalty)'!AK157&gt;0,1,IF('Growth (no penalty)'!AK260&gt;0,4,0))</f>
        <v>4</v>
      </c>
      <c r="AM41" s="22">
        <f>IF('Growth (no penalty)'!AL157&gt;0,1,IF('Growth (no penalty)'!AL260&gt;0,4,0))</f>
        <v>4</v>
      </c>
      <c r="AN41" s="22">
        <f>IF('Growth (no penalty)'!AM157&gt;0,1,IF('Growth (no penalty)'!AM260&gt;0,4,0))</f>
        <v>4</v>
      </c>
      <c r="AO41" s="22">
        <f>IF('Growth (no penalty)'!AN157&gt;0,1,IF('Growth (no penalty)'!AN260&gt;0,4,0))</f>
        <v>4</v>
      </c>
      <c r="AP41" s="22">
        <f>IF('Growth (no penalty)'!AO157&gt;0,1,IF('Growth (no penalty)'!AO260&gt;0,4,0))</f>
        <v>4</v>
      </c>
      <c r="AQ41" s="22">
        <f>IF('Growth (no penalty)'!AP157&gt;0,1,IF('Growth (no penalty)'!AP260&gt;0,4,0))</f>
        <v>4</v>
      </c>
      <c r="AR41" s="22">
        <f>IF('Growth (no penalty)'!AQ157&gt;0,1,IF('Growth (no penalty)'!AQ260&gt;0,4,0))</f>
        <v>4</v>
      </c>
      <c r="AS41" s="22">
        <f>IF('Growth (no penalty)'!AR157&gt;0,1,IF('Growth (no penalty)'!AR260&gt;0,4,0))</f>
        <v>4</v>
      </c>
      <c r="AT41" s="22">
        <f>IF('Growth (no penalty)'!AS157&gt;0,1,IF('Growth (no penalty)'!AS260&gt;0,4,0))</f>
        <v>4</v>
      </c>
      <c r="AU41" s="22">
        <f>IF('Growth (no penalty)'!AT157&gt;0,1,IF('Growth (no penalty)'!AT260&gt;0,4,0))</f>
        <v>4</v>
      </c>
      <c r="AV41" s="22">
        <f>IF('Growth (no penalty)'!AU157&gt;0,1,IF('Growth (no penalty)'!AU260&gt;0,4,0))</f>
        <v>4</v>
      </c>
      <c r="AW41" s="22">
        <f>IF('Growth (no penalty)'!AV157&gt;0,1,IF('Growth (no penalty)'!AV260&gt;0,4,0))</f>
        <v>4</v>
      </c>
      <c r="AX41" s="22">
        <f>IF('Growth (no penalty)'!AW157&gt;0,1,IF('Growth (no penalty)'!AW260&gt;0,4,0))</f>
        <v>4</v>
      </c>
      <c r="AY41" s="22">
        <f>IF('Growth (no penalty)'!AX157&gt;0,1,IF('Growth (no penalty)'!AX260&gt;0,4,0))</f>
        <v>0</v>
      </c>
      <c r="AZ41" s="22">
        <f>IF('Growth (no penalty)'!AY157&gt;0,1,IF('Growth (no penalty)'!AY260&gt;0,4,0))</f>
        <v>0</v>
      </c>
      <c r="BA41" s="22">
        <f>IF('Growth (no penalty)'!AZ157&gt;0,1,IF('Growth (no penalty)'!AZ260&gt;0,4,0))</f>
        <v>0</v>
      </c>
      <c r="BB41" s="22">
        <f>IF('Growth (no penalty)'!BA157&gt;0,1,IF('Growth (no penalty)'!BA260&gt;0,4,0))</f>
        <v>0</v>
      </c>
      <c r="BC41" s="22">
        <f>IF('Growth (no penalty)'!BB157&gt;0,1,IF('Growth (no penalty)'!BB260&gt;0,4,0))</f>
        <v>0</v>
      </c>
      <c r="BD41" s="22">
        <f>IF('Growth (no penalty)'!BC157&gt;0,1,IF('Growth (no penalty)'!BC260&gt;0,4,0))</f>
        <v>0</v>
      </c>
      <c r="BE41" s="22">
        <f>IF('Growth (no penalty)'!BD157&gt;0,1,IF('Growth (no penalty)'!BD260&gt;0,4,0))</f>
        <v>0</v>
      </c>
      <c r="BF41" s="22">
        <f>IF('Growth (no penalty)'!BE157&gt;0,1,IF('Growth (no penalty)'!BE260&gt;0,4,0))</f>
        <v>0</v>
      </c>
      <c r="BG41" s="22">
        <f>IF('Growth (no penalty)'!BF157&gt;0,1,IF('Growth (no penalty)'!BF260&gt;0,4,0))</f>
        <v>0</v>
      </c>
      <c r="BH41" s="22">
        <f>IF('Growth (no penalty)'!BG157&gt;0,1,IF('Growth (no penalty)'!BG260&gt;0,4,0))</f>
        <v>0</v>
      </c>
      <c r="BI41" s="22">
        <f>IF('Growth (no penalty)'!BH157&gt;0,1,IF('Growth (no penalty)'!BH260&gt;0,4,0))</f>
        <v>0</v>
      </c>
      <c r="BJ41" s="22">
        <f>IF('Growth (no penalty)'!BI157&gt;0,1,IF('Growth (no penalty)'!BI260&gt;0,4,0))</f>
        <v>0</v>
      </c>
      <c r="BK41" s="23">
        <f>IF('Growth (no penalty)'!BJ157&gt;0,1,IF('Growth (no penalty)'!BJ260&gt;0,4,0))</f>
        <v>0</v>
      </c>
    </row>
    <row r="42" spans="1:63" x14ac:dyDescent="0.3">
      <c r="A42" s="4" t="str">
        <f>'Growth profile'!A96</f>
        <v>project 150</v>
      </c>
      <c r="B42" s="13" t="s">
        <v>3</v>
      </c>
      <c r="C42" s="19">
        <f>'Raw profile'!I96</f>
        <v>2026</v>
      </c>
      <c r="D42" s="20">
        <f>IF('Raw profile'!C204&gt;0,1,IF('Raw profile'!C307&gt;0,2,0))</f>
        <v>1</v>
      </c>
      <c r="E42" s="20">
        <f>IF('Raw profile'!D204&gt;0,1,IF('Raw profile'!D307&gt;0,2,0))</f>
        <v>1</v>
      </c>
      <c r="F42" s="20">
        <f>IF('Raw profile'!E204&gt;0,1,IF('Raw profile'!E307&gt;0,2,0))</f>
        <v>2</v>
      </c>
      <c r="G42" s="20">
        <f>IF('Raw profile'!F204&gt;0,1,IF('Raw profile'!F307&gt;0,2,0))</f>
        <v>2</v>
      </c>
      <c r="H42" s="20">
        <f>IF('Raw profile'!G204&gt;0,1,IF('Raw profile'!G307&gt;0,2,0))</f>
        <v>2</v>
      </c>
      <c r="I42" s="20">
        <f>IF('Raw profile'!H204&gt;0,1,IF('Raw profile'!H307&gt;0,2,0))</f>
        <v>2</v>
      </c>
      <c r="J42" s="20">
        <f>IF('Raw profile'!I204&gt;0,1,IF('Raw profile'!I307&gt;0,2,0))</f>
        <v>2</v>
      </c>
      <c r="K42" s="20">
        <f>IF('Raw profile'!J204&gt;0,1,IF('Raw profile'!J307&gt;0,2,0))</f>
        <v>2</v>
      </c>
      <c r="L42" s="20">
        <f>IF('Raw profile'!K204&gt;0,1,IF('Raw profile'!K307&gt;0,2,0))</f>
        <v>2</v>
      </c>
      <c r="M42" s="20">
        <f>IF('Raw profile'!L204&gt;0,1,IF('Raw profile'!L307&gt;0,2,0))</f>
        <v>2</v>
      </c>
      <c r="N42" s="20">
        <f>IF('Raw profile'!M204&gt;0,1,IF('Raw profile'!M307&gt;0,2,0))</f>
        <v>2</v>
      </c>
      <c r="O42" s="20">
        <f>IF('Raw profile'!N204&gt;0,1,IF('Raw profile'!N307&gt;0,2,0))</f>
        <v>2</v>
      </c>
      <c r="P42" s="20">
        <f>IF('Raw profile'!O204&gt;0,1,IF('Raw profile'!O307&gt;0,2,0))</f>
        <v>2</v>
      </c>
      <c r="Q42" s="20">
        <f>IF('Raw profile'!P204&gt;0,1,IF('Raw profile'!P307&gt;0,2,0))</f>
        <v>2</v>
      </c>
      <c r="R42" s="20">
        <f>IF('Raw profile'!Q204&gt;0,1,IF('Raw profile'!Q307&gt;0,2,0))</f>
        <v>2</v>
      </c>
      <c r="S42" s="20">
        <f>IF('Raw profile'!R204&gt;0,1,IF('Raw profile'!R307&gt;0,2,0))</f>
        <v>2</v>
      </c>
      <c r="T42" s="20">
        <f>IF('Raw profile'!S204&gt;0,1,IF('Raw profile'!S307&gt;0,2,0))</f>
        <v>2</v>
      </c>
      <c r="U42" s="20">
        <f>IF('Raw profile'!T204&gt;0,1,IF('Raw profile'!T307&gt;0,2,0))</f>
        <v>2</v>
      </c>
      <c r="V42" s="20">
        <f>IF('Raw profile'!U204&gt;0,1,IF('Raw profile'!U307&gt;0,2,0))</f>
        <v>2</v>
      </c>
      <c r="W42" s="20">
        <f>IF('Raw profile'!V204&gt;0,1,IF('Raw profile'!V307&gt;0,2,0))</f>
        <v>2</v>
      </c>
      <c r="X42" s="20">
        <f>IF('Raw profile'!W204&gt;0,1,IF('Raw profile'!W307&gt;0,2,0))</f>
        <v>2</v>
      </c>
      <c r="Y42" s="20">
        <f>IF('Raw profile'!X204&gt;0,1,IF('Raw profile'!X307&gt;0,2,0))</f>
        <v>2</v>
      </c>
      <c r="Z42" s="20">
        <f>IF('Raw profile'!Y204&gt;0,1,IF('Raw profile'!Y307&gt;0,2,0))</f>
        <v>2</v>
      </c>
      <c r="AA42" s="20">
        <f>IF('Raw profile'!Z204&gt;0,1,IF('Raw profile'!Z307&gt;0,2,0))</f>
        <v>2</v>
      </c>
      <c r="AB42" s="20">
        <f>IF('Raw profile'!AA204&gt;0,1,IF('Raw profile'!AA307&gt;0,2,0))</f>
        <v>2</v>
      </c>
      <c r="AC42" s="20">
        <f>IF('Raw profile'!AB204&gt;0,1,IF('Raw profile'!AB307&gt;0,2,0))</f>
        <v>2</v>
      </c>
      <c r="AD42" s="20">
        <f>IF('Raw profile'!AC204&gt;0,1,IF('Raw profile'!AC307&gt;0,2,0))</f>
        <v>2</v>
      </c>
      <c r="AE42" s="20">
        <f>IF('Raw profile'!AD204&gt;0,1,IF('Raw profile'!AD307&gt;0,2,0))</f>
        <v>2</v>
      </c>
      <c r="AF42" s="20">
        <f>IF('Raw profile'!AE204&gt;0,1,IF('Raw profile'!AE307&gt;0,2,0))</f>
        <v>2</v>
      </c>
      <c r="AG42" s="20">
        <f>IF('Raw profile'!AF204&gt;0,1,IF('Raw profile'!AF307&gt;0,2,0))</f>
        <v>2</v>
      </c>
      <c r="AH42" s="20">
        <f>IF('Raw profile'!AG204&gt;0,1,IF('Raw profile'!AG307&gt;0,2,0))</f>
        <v>2</v>
      </c>
      <c r="AI42" s="20">
        <f>IF('Raw profile'!AH204&gt;0,1,IF('Raw profile'!AH307&gt;0,2,0))</f>
        <v>2</v>
      </c>
      <c r="AJ42" s="20">
        <f>IF('Raw profile'!AI204&gt;0,1,IF('Raw profile'!AI307&gt;0,2,0))</f>
        <v>2</v>
      </c>
      <c r="AK42" s="20">
        <f>IF('Raw profile'!AJ204&gt;0,1,IF('Raw profile'!AJ307&gt;0,2,0))</f>
        <v>2</v>
      </c>
      <c r="AL42" s="20">
        <f>IF('Raw profile'!AK204&gt;0,1,IF('Raw profile'!AK307&gt;0,2,0))</f>
        <v>2</v>
      </c>
      <c r="AM42" s="20">
        <f>IF('Raw profile'!AL204&gt;0,1,IF('Raw profile'!AL307&gt;0,2,0))</f>
        <v>2</v>
      </c>
      <c r="AN42" s="20">
        <f>IF('Raw profile'!AM204&gt;0,1,IF('Raw profile'!AM307&gt;0,2,0))</f>
        <v>2</v>
      </c>
      <c r="AO42" s="20">
        <f>IF('Raw profile'!AN204&gt;0,1,IF('Raw profile'!AN307&gt;0,2,0))</f>
        <v>2</v>
      </c>
      <c r="AP42" s="20">
        <f>IF('Raw profile'!AO204&gt;0,1,IF('Raw profile'!AO307&gt;0,2,0))</f>
        <v>2</v>
      </c>
      <c r="AQ42" s="20">
        <f>IF('Raw profile'!AP204&gt;0,1,IF('Raw profile'!AP307&gt;0,2,0))</f>
        <v>2</v>
      </c>
      <c r="AR42" s="20">
        <f>IF('Raw profile'!AQ204&gt;0,1,IF('Raw profile'!AQ307&gt;0,2,0))</f>
        <v>2</v>
      </c>
      <c r="AS42" s="20">
        <f>IF('Raw profile'!AR204&gt;0,1,IF('Raw profile'!AR307&gt;0,2,0))</f>
        <v>2</v>
      </c>
      <c r="AT42" s="20">
        <f>IF('Raw profile'!AS204&gt;0,1,IF('Raw profile'!AS307&gt;0,2,0))</f>
        <v>0</v>
      </c>
      <c r="AU42" s="20">
        <f>IF('Raw profile'!AT204&gt;0,1,IF('Raw profile'!AT307&gt;0,2,0))</f>
        <v>0</v>
      </c>
      <c r="AV42" s="20">
        <f>IF('Raw profile'!AU204&gt;0,1,IF('Raw profile'!AU307&gt;0,2,0))</f>
        <v>0</v>
      </c>
      <c r="AW42" s="20">
        <f>IF('Raw profile'!AV204&gt;0,1,IF('Raw profile'!AV307&gt;0,2,0))</f>
        <v>0</v>
      </c>
      <c r="AX42" s="20">
        <f>IF('Raw profile'!AW204&gt;0,1,IF('Raw profile'!AW307&gt;0,2,0))</f>
        <v>0</v>
      </c>
      <c r="AY42" s="20">
        <f>IF('Raw profile'!AX204&gt;0,1,IF('Raw profile'!AX307&gt;0,2,0))</f>
        <v>0</v>
      </c>
      <c r="AZ42" s="20">
        <f>IF('Raw profile'!AY204&gt;0,1,IF('Raw profile'!AY307&gt;0,2,0))</f>
        <v>0</v>
      </c>
      <c r="BA42" s="20">
        <f>IF('Raw profile'!AZ204&gt;0,1,IF('Raw profile'!AZ307&gt;0,2,0))</f>
        <v>0</v>
      </c>
      <c r="BB42" s="20">
        <f>IF('Raw profile'!BA204&gt;0,1,IF('Raw profile'!BA307&gt;0,2,0))</f>
        <v>0</v>
      </c>
      <c r="BC42" s="20">
        <f>IF('Raw profile'!BB204&gt;0,1,IF('Raw profile'!BB307&gt;0,2,0))</f>
        <v>0</v>
      </c>
      <c r="BD42" s="20">
        <f>IF('Raw profile'!BC204&gt;0,1,IF('Raw profile'!BC307&gt;0,2,0))</f>
        <v>0</v>
      </c>
      <c r="BE42" s="20">
        <f>IF('Raw profile'!BD204&gt;0,1,IF('Raw profile'!BD307&gt;0,2,0))</f>
        <v>0</v>
      </c>
      <c r="BF42" s="20">
        <f>IF('Raw profile'!BE204&gt;0,1,IF('Raw profile'!BE307&gt;0,2,0))</f>
        <v>0</v>
      </c>
      <c r="BG42" s="20">
        <f>IF('Raw profile'!BF204&gt;0,1,IF('Raw profile'!BF307&gt;0,2,0))</f>
        <v>0</v>
      </c>
      <c r="BH42" s="20">
        <f>IF('Raw profile'!BG204&gt;0,1,IF('Raw profile'!BG307&gt;0,2,0))</f>
        <v>0</v>
      </c>
      <c r="BI42" s="20">
        <f>IF('Raw profile'!BH204&gt;0,1,IF('Raw profile'!BH307&gt;0,2,0))</f>
        <v>0</v>
      </c>
      <c r="BJ42" s="20">
        <f>IF('Raw profile'!BI204&gt;0,1,IF('Raw profile'!BI307&gt;0,2,0))</f>
        <v>0</v>
      </c>
      <c r="BK42" s="21">
        <f>IF('Raw profile'!BJ204&gt;0,1,IF('Raw profile'!BJ307&gt;0,2,0))</f>
        <v>0</v>
      </c>
    </row>
    <row r="43" spans="1:63" x14ac:dyDescent="0.3">
      <c r="B43" s="13" t="s">
        <v>4</v>
      </c>
      <c r="C43" s="19">
        <f>'Growth profile'!I96</f>
        <v>2034</v>
      </c>
      <c r="D43" s="20">
        <f>IF('Growth profile'!C204&gt;0,1,IF('Growth profile'!C307&gt;0,3,0))</f>
        <v>0</v>
      </c>
      <c r="E43" s="20">
        <f>IF('Growth profile'!D204&gt;0,1,IF('Growth profile'!D307&gt;0,3,0))</f>
        <v>0</v>
      </c>
      <c r="F43" s="20">
        <f>IF('Growth profile'!E204&gt;0,1,IF('Growth profile'!E307&gt;0,3,0))</f>
        <v>0</v>
      </c>
      <c r="G43" s="20">
        <f>IF('Growth profile'!F204&gt;0,1,IF('Growth profile'!F307&gt;0,3,0))</f>
        <v>0</v>
      </c>
      <c r="H43" s="20">
        <f>IF('Growth profile'!G204&gt;0,1,IF('Growth profile'!G307&gt;0,3,0))</f>
        <v>0</v>
      </c>
      <c r="I43" s="20">
        <f>IF('Growth profile'!H204&gt;0,1,IF('Growth profile'!H307&gt;0,3,0))</f>
        <v>0</v>
      </c>
      <c r="J43" s="20">
        <f>IF('Growth profile'!I204&gt;0,1,IF('Growth profile'!I307&gt;0,3,0))</f>
        <v>0</v>
      </c>
      <c r="K43" s="20">
        <f>IF('Growth profile'!J204&gt;0,1,IF('Growth profile'!J307&gt;0,3,0))</f>
        <v>0</v>
      </c>
      <c r="L43" s="20">
        <f>IF('Growth profile'!K204&gt;0,1,IF('Growth profile'!K307&gt;0,3,0))</f>
        <v>1</v>
      </c>
      <c r="M43" s="20">
        <f>IF('Growth profile'!L204&gt;0,1,IF('Growth profile'!L307&gt;0,3,0))</f>
        <v>1</v>
      </c>
      <c r="N43" s="20">
        <f>IF('Growth profile'!M204&gt;0,1,IF('Growth profile'!M307&gt;0,3,0))</f>
        <v>3</v>
      </c>
      <c r="O43" s="20">
        <f>IF('Growth profile'!N204&gt;0,1,IF('Growth profile'!N307&gt;0,3,0))</f>
        <v>3</v>
      </c>
      <c r="P43" s="20">
        <f>IF('Growth profile'!O204&gt;0,1,IF('Growth profile'!O307&gt;0,3,0))</f>
        <v>3</v>
      </c>
      <c r="Q43" s="20">
        <f>IF('Growth profile'!P204&gt;0,1,IF('Growth profile'!P307&gt;0,3,0))</f>
        <v>3</v>
      </c>
      <c r="R43" s="20">
        <f>IF('Growth profile'!Q204&gt;0,1,IF('Growth profile'!Q307&gt;0,3,0))</f>
        <v>3</v>
      </c>
      <c r="S43" s="20">
        <f>IF('Growth profile'!R204&gt;0,1,IF('Growth profile'!R307&gt;0,3,0))</f>
        <v>3</v>
      </c>
      <c r="T43" s="20">
        <f>IF('Growth profile'!S204&gt;0,1,IF('Growth profile'!S307&gt;0,3,0))</f>
        <v>3</v>
      </c>
      <c r="U43" s="20">
        <f>IF('Growth profile'!T204&gt;0,1,IF('Growth profile'!T307&gt;0,3,0))</f>
        <v>3</v>
      </c>
      <c r="V43" s="20">
        <f>IF('Growth profile'!U204&gt;0,1,IF('Growth profile'!U307&gt;0,3,0))</f>
        <v>3</v>
      </c>
      <c r="W43" s="20">
        <f>IF('Growth profile'!V204&gt;0,1,IF('Growth profile'!V307&gt;0,3,0))</f>
        <v>3</v>
      </c>
      <c r="X43" s="20">
        <f>IF('Growth profile'!W204&gt;0,1,IF('Growth profile'!W307&gt;0,3,0))</f>
        <v>3</v>
      </c>
      <c r="Y43" s="20">
        <f>IF('Growth profile'!X204&gt;0,1,IF('Growth profile'!X307&gt;0,3,0))</f>
        <v>3</v>
      </c>
      <c r="Z43" s="20">
        <f>IF('Growth profile'!Y204&gt;0,1,IF('Growth profile'!Y307&gt;0,3,0))</f>
        <v>3</v>
      </c>
      <c r="AA43" s="20">
        <f>IF('Growth profile'!Z204&gt;0,1,IF('Growth profile'!Z307&gt;0,3,0))</f>
        <v>3</v>
      </c>
      <c r="AB43" s="20">
        <f>IF('Growth profile'!AA204&gt;0,1,IF('Growth profile'!AA307&gt;0,3,0))</f>
        <v>3</v>
      </c>
      <c r="AC43" s="20">
        <f>IF('Growth profile'!AB204&gt;0,1,IF('Growth profile'!AB307&gt;0,3,0))</f>
        <v>3</v>
      </c>
      <c r="AD43" s="20">
        <f>IF('Growth profile'!AC204&gt;0,1,IF('Growth profile'!AC307&gt;0,3,0))</f>
        <v>3</v>
      </c>
      <c r="AE43" s="20">
        <f>IF('Growth profile'!AD204&gt;0,1,IF('Growth profile'!AD307&gt;0,3,0))</f>
        <v>3</v>
      </c>
      <c r="AF43" s="20">
        <f>IF('Growth profile'!AE204&gt;0,1,IF('Growth profile'!AE307&gt;0,3,0))</f>
        <v>3</v>
      </c>
      <c r="AG43" s="20">
        <f>IF('Growth profile'!AF204&gt;0,1,IF('Growth profile'!AF307&gt;0,3,0))</f>
        <v>3</v>
      </c>
      <c r="AH43" s="20">
        <f>IF('Growth profile'!AG204&gt;0,1,IF('Growth profile'!AG307&gt;0,3,0))</f>
        <v>3</v>
      </c>
      <c r="AI43" s="20">
        <f>IF('Growth profile'!AH204&gt;0,1,IF('Growth profile'!AH307&gt;0,3,0))</f>
        <v>3</v>
      </c>
      <c r="AJ43" s="20">
        <f>IF('Growth profile'!AI204&gt;0,1,IF('Growth profile'!AI307&gt;0,3,0))</f>
        <v>3</v>
      </c>
      <c r="AK43" s="20">
        <f>IF('Growth profile'!AJ204&gt;0,1,IF('Growth profile'!AJ307&gt;0,3,0))</f>
        <v>3</v>
      </c>
      <c r="AL43" s="20">
        <f>IF('Growth profile'!AK204&gt;0,1,IF('Growth profile'!AK307&gt;0,3,0))</f>
        <v>3</v>
      </c>
      <c r="AM43" s="20">
        <f>IF('Growth profile'!AL204&gt;0,1,IF('Growth profile'!AL307&gt;0,3,0))</f>
        <v>3</v>
      </c>
      <c r="AN43" s="20">
        <f>IF('Growth profile'!AM204&gt;0,1,IF('Growth profile'!AM307&gt;0,3,0))</f>
        <v>3</v>
      </c>
      <c r="AO43" s="20">
        <f>IF('Growth profile'!AN204&gt;0,1,IF('Growth profile'!AN307&gt;0,3,0))</f>
        <v>3</v>
      </c>
      <c r="AP43" s="20">
        <f>IF('Growth profile'!AO204&gt;0,1,IF('Growth profile'!AO307&gt;0,3,0))</f>
        <v>3</v>
      </c>
      <c r="AQ43" s="20">
        <f>IF('Growth profile'!AP204&gt;0,1,IF('Growth profile'!AP307&gt;0,3,0))</f>
        <v>3</v>
      </c>
      <c r="AR43" s="20">
        <f>IF('Growth profile'!AQ204&gt;0,1,IF('Growth profile'!AQ307&gt;0,3,0))</f>
        <v>3</v>
      </c>
      <c r="AS43" s="20">
        <f>IF('Growth profile'!AR204&gt;0,1,IF('Growth profile'!AR307&gt;0,3,0))</f>
        <v>3</v>
      </c>
      <c r="AT43" s="20">
        <f>IF('Growth profile'!AS204&gt;0,1,IF('Growth profile'!AS307&gt;0,3,0))</f>
        <v>3</v>
      </c>
      <c r="AU43" s="20">
        <f>IF('Growth profile'!AT204&gt;0,1,IF('Growth profile'!AT307&gt;0,3,0))</f>
        <v>3</v>
      </c>
      <c r="AV43" s="20">
        <f>IF('Growth profile'!AU204&gt;0,1,IF('Growth profile'!AU307&gt;0,3,0))</f>
        <v>3</v>
      </c>
      <c r="AW43" s="20">
        <f>IF('Growth profile'!AV204&gt;0,1,IF('Growth profile'!AV307&gt;0,3,0))</f>
        <v>3</v>
      </c>
      <c r="AX43" s="20">
        <f>IF('Growth profile'!AW204&gt;0,1,IF('Growth profile'!AW307&gt;0,3,0))</f>
        <v>3</v>
      </c>
      <c r="AY43" s="20">
        <f>IF('Growth profile'!AX204&gt;0,1,IF('Growth profile'!AX307&gt;0,3,0))</f>
        <v>3</v>
      </c>
      <c r="AZ43" s="20">
        <f>IF('Growth profile'!AY204&gt;0,1,IF('Growth profile'!AY307&gt;0,3,0))</f>
        <v>3</v>
      </c>
      <c r="BA43" s="20">
        <f>IF('Growth profile'!AZ204&gt;0,1,IF('Growth profile'!AZ307&gt;0,3,0))</f>
        <v>3</v>
      </c>
      <c r="BB43" s="20">
        <f>IF('Growth profile'!BA204&gt;0,1,IF('Growth profile'!BA307&gt;0,3,0))</f>
        <v>0</v>
      </c>
      <c r="BC43" s="20">
        <f>IF('Growth profile'!BB204&gt;0,1,IF('Growth profile'!BB307&gt;0,3,0))</f>
        <v>0</v>
      </c>
      <c r="BD43" s="20">
        <f>IF('Growth profile'!BC204&gt;0,1,IF('Growth profile'!BC307&gt;0,3,0))</f>
        <v>0</v>
      </c>
      <c r="BE43" s="20">
        <f>IF('Growth profile'!BD204&gt;0,1,IF('Growth profile'!BD307&gt;0,3,0))</f>
        <v>0</v>
      </c>
      <c r="BF43" s="20">
        <f>IF('Growth profile'!BE204&gt;0,1,IF('Growth profile'!BE307&gt;0,3,0))</f>
        <v>0</v>
      </c>
      <c r="BG43" s="20">
        <f>IF('Growth profile'!BF204&gt;0,1,IF('Growth profile'!BF307&gt;0,3,0))</f>
        <v>0</v>
      </c>
      <c r="BH43" s="20">
        <f>IF('Growth profile'!BG204&gt;0,1,IF('Growth profile'!BG307&gt;0,3,0))</f>
        <v>0</v>
      </c>
      <c r="BI43" s="20">
        <f>IF('Growth profile'!BH204&gt;0,1,IF('Growth profile'!BH307&gt;0,3,0))</f>
        <v>0</v>
      </c>
      <c r="BJ43" s="20">
        <f>IF('Growth profile'!BI204&gt;0,1,IF('Growth profile'!BI307&gt;0,3,0))</f>
        <v>0</v>
      </c>
      <c r="BK43" s="21">
        <f>IF('Growth profile'!BJ204&gt;0,1,IF('Growth profile'!BJ307&gt;0,3,0))</f>
        <v>0</v>
      </c>
    </row>
    <row r="44" spans="1:63" x14ac:dyDescent="0.3">
      <c r="B44" s="13" t="s">
        <v>59</v>
      </c>
      <c r="C44" s="19">
        <f>'Growth (no penalty)'!I96</f>
        <v>2044</v>
      </c>
      <c r="D44" s="22">
        <f>IF('Growth (no penalty)'!C204&gt;0,1,IF('Growth (no penalty)'!C307&gt;0,4,0))</f>
        <v>0</v>
      </c>
      <c r="E44" s="22">
        <f>IF('Growth (no penalty)'!D204&gt;0,1,IF('Growth (no penalty)'!D307&gt;0,4,0))</f>
        <v>0</v>
      </c>
      <c r="F44" s="22">
        <f>IF('Growth (no penalty)'!E204&gt;0,1,IF('Growth (no penalty)'!E307&gt;0,4,0))</f>
        <v>0</v>
      </c>
      <c r="G44" s="22">
        <f>IF('Growth (no penalty)'!F204&gt;0,1,IF('Growth (no penalty)'!F307&gt;0,4,0))</f>
        <v>0</v>
      </c>
      <c r="H44" s="22">
        <f>IF('Growth (no penalty)'!G204&gt;0,1,IF('Growth (no penalty)'!G307&gt;0,4,0))</f>
        <v>0</v>
      </c>
      <c r="I44" s="22">
        <f>IF('Growth (no penalty)'!H204&gt;0,1,IF('Growth (no penalty)'!H307&gt;0,4,0))</f>
        <v>0</v>
      </c>
      <c r="J44" s="22">
        <f>IF('Growth (no penalty)'!I204&gt;0,1,IF('Growth (no penalty)'!I307&gt;0,4,0))</f>
        <v>0</v>
      </c>
      <c r="K44" s="22">
        <f>IF('Growth (no penalty)'!J204&gt;0,1,IF('Growth (no penalty)'!J307&gt;0,4,0))</f>
        <v>0</v>
      </c>
      <c r="L44" s="22">
        <f>IF('Growth (no penalty)'!K204&gt;0,1,IF('Growth (no penalty)'!K307&gt;0,4,0))</f>
        <v>0</v>
      </c>
      <c r="M44" s="22">
        <f>IF('Growth (no penalty)'!L204&gt;0,1,IF('Growth (no penalty)'!L307&gt;0,4,0))</f>
        <v>0</v>
      </c>
      <c r="N44" s="22">
        <f>IF('Growth (no penalty)'!M204&gt;0,1,IF('Growth (no penalty)'!M307&gt;0,4,0))</f>
        <v>0</v>
      </c>
      <c r="O44" s="22">
        <f>IF('Growth (no penalty)'!N204&gt;0,1,IF('Growth (no penalty)'!N307&gt;0,4,0))</f>
        <v>0</v>
      </c>
      <c r="P44" s="22">
        <f>IF('Growth (no penalty)'!O204&gt;0,1,IF('Growth (no penalty)'!O307&gt;0,4,0))</f>
        <v>0</v>
      </c>
      <c r="Q44" s="22">
        <f>IF('Growth (no penalty)'!P204&gt;0,1,IF('Growth (no penalty)'!P307&gt;0,4,0))</f>
        <v>0</v>
      </c>
      <c r="R44" s="22">
        <f>IF('Growth (no penalty)'!Q204&gt;0,1,IF('Growth (no penalty)'!Q307&gt;0,4,0))</f>
        <v>0</v>
      </c>
      <c r="S44" s="22">
        <f>IF('Growth (no penalty)'!R204&gt;0,1,IF('Growth (no penalty)'!R307&gt;0,4,0))</f>
        <v>0</v>
      </c>
      <c r="T44" s="22">
        <f>IF('Growth (no penalty)'!S204&gt;0,1,IF('Growth (no penalty)'!S307&gt;0,4,0))</f>
        <v>0</v>
      </c>
      <c r="U44" s="22">
        <f>IF('Growth (no penalty)'!T204&gt;0,1,IF('Growth (no penalty)'!T307&gt;0,4,0))</f>
        <v>0</v>
      </c>
      <c r="V44" s="22">
        <f>IF('Growth (no penalty)'!U204&gt;0,1,IF('Growth (no penalty)'!U307&gt;0,4,0))</f>
        <v>1</v>
      </c>
      <c r="W44" s="22">
        <f>IF('Growth (no penalty)'!V204&gt;0,1,IF('Growth (no penalty)'!V307&gt;0,4,0))</f>
        <v>1</v>
      </c>
      <c r="X44" s="22">
        <f>IF('Growth (no penalty)'!W204&gt;0,1,IF('Growth (no penalty)'!W307&gt;0,4,0))</f>
        <v>4</v>
      </c>
      <c r="Y44" s="22">
        <f>IF('Growth (no penalty)'!X204&gt;0,1,IF('Growth (no penalty)'!X307&gt;0,4,0))</f>
        <v>4</v>
      </c>
      <c r="Z44" s="22">
        <f>IF('Growth (no penalty)'!Y204&gt;0,1,IF('Growth (no penalty)'!Y307&gt;0,4,0))</f>
        <v>4</v>
      </c>
      <c r="AA44" s="22">
        <f>IF('Growth (no penalty)'!Z204&gt;0,1,IF('Growth (no penalty)'!Z307&gt;0,4,0))</f>
        <v>4</v>
      </c>
      <c r="AB44" s="22">
        <f>IF('Growth (no penalty)'!AA204&gt;0,1,IF('Growth (no penalty)'!AA307&gt;0,4,0))</f>
        <v>4</v>
      </c>
      <c r="AC44" s="22">
        <f>IF('Growth (no penalty)'!AB204&gt;0,1,IF('Growth (no penalty)'!AB307&gt;0,4,0))</f>
        <v>4</v>
      </c>
      <c r="AD44" s="22">
        <f>IF('Growth (no penalty)'!AC204&gt;0,1,IF('Growth (no penalty)'!AC307&gt;0,4,0))</f>
        <v>4</v>
      </c>
      <c r="AE44" s="22">
        <f>IF('Growth (no penalty)'!AD204&gt;0,1,IF('Growth (no penalty)'!AD307&gt;0,4,0))</f>
        <v>4</v>
      </c>
      <c r="AF44" s="22">
        <f>IF('Growth (no penalty)'!AE204&gt;0,1,IF('Growth (no penalty)'!AE307&gt;0,4,0))</f>
        <v>4</v>
      </c>
      <c r="AG44" s="22">
        <f>IF('Growth (no penalty)'!AF204&gt;0,1,IF('Growth (no penalty)'!AF307&gt;0,4,0))</f>
        <v>4</v>
      </c>
      <c r="AH44" s="22">
        <f>IF('Growth (no penalty)'!AG204&gt;0,1,IF('Growth (no penalty)'!AG307&gt;0,4,0))</f>
        <v>4</v>
      </c>
      <c r="AI44" s="22">
        <f>IF('Growth (no penalty)'!AH204&gt;0,1,IF('Growth (no penalty)'!AH307&gt;0,4,0))</f>
        <v>4</v>
      </c>
      <c r="AJ44" s="22">
        <f>IF('Growth (no penalty)'!AI204&gt;0,1,IF('Growth (no penalty)'!AI307&gt;0,4,0))</f>
        <v>4</v>
      </c>
      <c r="AK44" s="22">
        <f>IF('Growth (no penalty)'!AJ204&gt;0,1,IF('Growth (no penalty)'!AJ307&gt;0,4,0))</f>
        <v>4</v>
      </c>
      <c r="AL44" s="22">
        <f>IF('Growth (no penalty)'!AK204&gt;0,1,IF('Growth (no penalty)'!AK307&gt;0,4,0))</f>
        <v>4</v>
      </c>
      <c r="AM44" s="22">
        <f>IF('Growth (no penalty)'!AL204&gt;0,1,IF('Growth (no penalty)'!AL307&gt;0,4,0))</f>
        <v>4</v>
      </c>
      <c r="AN44" s="22">
        <f>IF('Growth (no penalty)'!AM204&gt;0,1,IF('Growth (no penalty)'!AM307&gt;0,4,0))</f>
        <v>4</v>
      </c>
      <c r="AO44" s="22">
        <f>IF('Growth (no penalty)'!AN204&gt;0,1,IF('Growth (no penalty)'!AN307&gt;0,4,0))</f>
        <v>4</v>
      </c>
      <c r="AP44" s="22">
        <f>IF('Growth (no penalty)'!AO204&gt;0,1,IF('Growth (no penalty)'!AO307&gt;0,4,0))</f>
        <v>4</v>
      </c>
      <c r="AQ44" s="22">
        <f>IF('Growth (no penalty)'!AP204&gt;0,1,IF('Growth (no penalty)'!AP307&gt;0,4,0))</f>
        <v>4</v>
      </c>
      <c r="AR44" s="22">
        <f>IF('Growth (no penalty)'!AQ204&gt;0,1,IF('Growth (no penalty)'!AQ307&gt;0,4,0))</f>
        <v>4</v>
      </c>
      <c r="AS44" s="22">
        <f>IF('Growth (no penalty)'!AR204&gt;0,1,IF('Growth (no penalty)'!AR307&gt;0,4,0))</f>
        <v>4</v>
      </c>
      <c r="AT44" s="22">
        <f>IF('Growth (no penalty)'!AS204&gt;0,1,IF('Growth (no penalty)'!AS307&gt;0,4,0))</f>
        <v>4</v>
      </c>
      <c r="AU44" s="22">
        <f>IF('Growth (no penalty)'!AT204&gt;0,1,IF('Growth (no penalty)'!AT307&gt;0,4,0))</f>
        <v>4</v>
      </c>
      <c r="AV44" s="22">
        <f>IF('Growth (no penalty)'!AU204&gt;0,1,IF('Growth (no penalty)'!AU307&gt;0,4,0))</f>
        <v>4</v>
      </c>
      <c r="AW44" s="22">
        <f>IF('Growth (no penalty)'!AV204&gt;0,1,IF('Growth (no penalty)'!AV307&gt;0,4,0))</f>
        <v>4</v>
      </c>
      <c r="AX44" s="22">
        <f>IF('Growth (no penalty)'!AW204&gt;0,1,IF('Growth (no penalty)'!AW307&gt;0,4,0))</f>
        <v>4</v>
      </c>
      <c r="AY44" s="22">
        <f>IF('Growth (no penalty)'!AX204&gt;0,1,IF('Growth (no penalty)'!AX307&gt;0,4,0))</f>
        <v>4</v>
      </c>
      <c r="AZ44" s="22">
        <f>IF('Growth (no penalty)'!AY204&gt;0,1,IF('Growth (no penalty)'!AY307&gt;0,4,0))</f>
        <v>4</v>
      </c>
      <c r="BA44" s="22">
        <f>IF('Growth (no penalty)'!AZ204&gt;0,1,IF('Growth (no penalty)'!AZ307&gt;0,4,0))</f>
        <v>4</v>
      </c>
      <c r="BB44" s="22">
        <f>IF('Growth (no penalty)'!BA204&gt;0,1,IF('Growth (no penalty)'!BA307&gt;0,4,0))</f>
        <v>4</v>
      </c>
      <c r="BC44" s="22">
        <f>IF('Growth (no penalty)'!BB204&gt;0,1,IF('Growth (no penalty)'!BB307&gt;0,4,0))</f>
        <v>4</v>
      </c>
      <c r="BD44" s="22">
        <f>IF('Growth (no penalty)'!BC204&gt;0,1,IF('Growth (no penalty)'!BC307&gt;0,4,0))</f>
        <v>4</v>
      </c>
      <c r="BE44" s="22">
        <f>IF('Growth (no penalty)'!BD204&gt;0,1,IF('Growth (no penalty)'!BD307&gt;0,4,0))</f>
        <v>4</v>
      </c>
      <c r="BF44" s="22">
        <f>IF('Growth (no penalty)'!BE204&gt;0,1,IF('Growth (no penalty)'!BE307&gt;0,4,0))</f>
        <v>4</v>
      </c>
      <c r="BG44" s="22">
        <f>IF('Growth (no penalty)'!BF204&gt;0,1,IF('Growth (no penalty)'!BF307&gt;0,4,0))</f>
        <v>4</v>
      </c>
      <c r="BH44" s="22">
        <f>IF('Growth (no penalty)'!BG204&gt;0,1,IF('Growth (no penalty)'!BG307&gt;0,4,0))</f>
        <v>4</v>
      </c>
      <c r="BI44" s="22">
        <f>IF('Growth (no penalty)'!BH204&gt;0,1,IF('Growth (no penalty)'!BH307&gt;0,4,0))</f>
        <v>4</v>
      </c>
      <c r="BJ44" s="22">
        <f>IF('Growth (no penalty)'!BI204&gt;0,1,IF('Growth (no penalty)'!BI307&gt;0,4,0))</f>
        <v>4</v>
      </c>
      <c r="BK44" s="23">
        <f>IF('Growth (no penalty)'!BJ204&gt;0,1,IF('Growth (no penalty)'!BJ307&gt;0,4,0))</f>
        <v>4</v>
      </c>
    </row>
    <row r="45" spans="1:63" x14ac:dyDescent="0.3">
      <c r="A45" s="4" t="str">
        <f>'Growth profile'!A32</f>
        <v>project 20</v>
      </c>
      <c r="B45" s="13" t="s">
        <v>3</v>
      </c>
      <c r="C45" s="19">
        <f>'Raw profile'!I32</f>
        <v>2026</v>
      </c>
      <c r="D45" s="20">
        <f>IF('Raw profile'!C140&gt;0,1,IF('Raw profile'!C243&gt;0,2,0))</f>
        <v>1</v>
      </c>
      <c r="E45" s="20">
        <f>IF('Raw profile'!D140&gt;0,1,IF('Raw profile'!D243&gt;0,2,0))</f>
        <v>1</v>
      </c>
      <c r="F45" s="20">
        <f>IF('Raw profile'!E140&gt;0,1,IF('Raw profile'!E243&gt;0,2,0))</f>
        <v>2</v>
      </c>
      <c r="G45" s="20">
        <f>IF('Raw profile'!F140&gt;0,1,IF('Raw profile'!F243&gt;0,2,0))</f>
        <v>2</v>
      </c>
      <c r="H45" s="20">
        <f>IF('Raw profile'!G140&gt;0,1,IF('Raw profile'!G243&gt;0,2,0))</f>
        <v>2</v>
      </c>
      <c r="I45" s="20">
        <f>IF('Raw profile'!H140&gt;0,1,IF('Raw profile'!H243&gt;0,2,0))</f>
        <v>2</v>
      </c>
      <c r="J45" s="20">
        <f>IF('Raw profile'!I140&gt;0,1,IF('Raw profile'!I243&gt;0,2,0))</f>
        <v>2</v>
      </c>
      <c r="K45" s="20">
        <f>IF('Raw profile'!J140&gt;0,1,IF('Raw profile'!J243&gt;0,2,0))</f>
        <v>2</v>
      </c>
      <c r="L45" s="20">
        <f>IF('Raw profile'!K140&gt;0,1,IF('Raw profile'!K243&gt;0,2,0))</f>
        <v>2</v>
      </c>
      <c r="M45" s="20">
        <f>IF('Raw profile'!L140&gt;0,1,IF('Raw profile'!L243&gt;0,2,0))</f>
        <v>2</v>
      </c>
      <c r="N45" s="20">
        <f>IF('Raw profile'!M140&gt;0,1,IF('Raw profile'!M243&gt;0,2,0))</f>
        <v>2</v>
      </c>
      <c r="O45" s="20">
        <f>IF('Raw profile'!N140&gt;0,1,IF('Raw profile'!N243&gt;0,2,0))</f>
        <v>2</v>
      </c>
      <c r="P45" s="20">
        <f>IF('Raw profile'!O140&gt;0,1,IF('Raw profile'!O243&gt;0,2,0))</f>
        <v>2</v>
      </c>
      <c r="Q45" s="20">
        <f>IF('Raw profile'!P140&gt;0,1,IF('Raw profile'!P243&gt;0,2,0))</f>
        <v>2</v>
      </c>
      <c r="R45" s="20">
        <f>IF('Raw profile'!Q140&gt;0,1,IF('Raw profile'!Q243&gt;0,2,0))</f>
        <v>2</v>
      </c>
      <c r="S45" s="20">
        <f>IF('Raw profile'!R140&gt;0,1,IF('Raw profile'!R243&gt;0,2,0))</f>
        <v>2</v>
      </c>
      <c r="T45" s="20">
        <f>IF('Raw profile'!S140&gt;0,1,IF('Raw profile'!S243&gt;0,2,0))</f>
        <v>2</v>
      </c>
      <c r="U45" s="20">
        <f>IF('Raw profile'!T140&gt;0,1,IF('Raw profile'!T243&gt;0,2,0))</f>
        <v>2</v>
      </c>
      <c r="V45" s="20">
        <f>IF('Raw profile'!U140&gt;0,1,IF('Raw profile'!U243&gt;0,2,0))</f>
        <v>2</v>
      </c>
      <c r="W45" s="20">
        <f>IF('Raw profile'!V140&gt;0,1,IF('Raw profile'!V243&gt;0,2,0))</f>
        <v>2</v>
      </c>
      <c r="X45" s="20">
        <f>IF('Raw profile'!W140&gt;0,1,IF('Raw profile'!W243&gt;0,2,0))</f>
        <v>2</v>
      </c>
      <c r="Y45" s="20">
        <f>IF('Raw profile'!X140&gt;0,1,IF('Raw profile'!X243&gt;0,2,0))</f>
        <v>2</v>
      </c>
      <c r="Z45" s="20">
        <f>IF('Raw profile'!Y140&gt;0,1,IF('Raw profile'!Y243&gt;0,2,0))</f>
        <v>2</v>
      </c>
      <c r="AA45" s="20">
        <f>IF('Raw profile'!Z140&gt;0,1,IF('Raw profile'!Z243&gt;0,2,0))</f>
        <v>2</v>
      </c>
      <c r="AB45" s="20">
        <f>IF('Raw profile'!AA140&gt;0,1,IF('Raw profile'!AA243&gt;0,2,0))</f>
        <v>2</v>
      </c>
      <c r="AC45" s="20">
        <f>IF('Raw profile'!AB140&gt;0,1,IF('Raw profile'!AB243&gt;0,2,0))</f>
        <v>2</v>
      </c>
      <c r="AD45" s="20">
        <f>IF('Raw profile'!AC140&gt;0,1,IF('Raw profile'!AC243&gt;0,2,0))</f>
        <v>2</v>
      </c>
      <c r="AE45" s="20">
        <f>IF('Raw profile'!AD140&gt;0,1,IF('Raw profile'!AD243&gt;0,2,0))</f>
        <v>2</v>
      </c>
      <c r="AF45" s="20">
        <f>IF('Raw profile'!AE140&gt;0,1,IF('Raw profile'!AE243&gt;0,2,0))</f>
        <v>2</v>
      </c>
      <c r="AG45" s="20">
        <f>IF('Raw profile'!AF140&gt;0,1,IF('Raw profile'!AF243&gt;0,2,0))</f>
        <v>2</v>
      </c>
      <c r="AH45" s="20">
        <f>IF('Raw profile'!AG140&gt;0,1,IF('Raw profile'!AG243&gt;0,2,0))</f>
        <v>2</v>
      </c>
      <c r="AI45" s="20">
        <f>IF('Raw profile'!AH140&gt;0,1,IF('Raw profile'!AH243&gt;0,2,0))</f>
        <v>2</v>
      </c>
      <c r="AJ45" s="20">
        <f>IF('Raw profile'!AI140&gt;0,1,IF('Raw profile'!AI243&gt;0,2,0))</f>
        <v>2</v>
      </c>
      <c r="AK45" s="20">
        <f>IF('Raw profile'!AJ140&gt;0,1,IF('Raw profile'!AJ243&gt;0,2,0))</f>
        <v>2</v>
      </c>
      <c r="AL45" s="20">
        <f>IF('Raw profile'!AK140&gt;0,1,IF('Raw profile'!AK243&gt;0,2,0))</f>
        <v>2</v>
      </c>
      <c r="AM45" s="20">
        <f>IF('Raw profile'!AL140&gt;0,1,IF('Raw profile'!AL243&gt;0,2,0))</f>
        <v>2</v>
      </c>
      <c r="AN45" s="20">
        <f>IF('Raw profile'!AM140&gt;0,1,IF('Raw profile'!AM243&gt;0,2,0))</f>
        <v>2</v>
      </c>
      <c r="AO45" s="20">
        <f>IF('Raw profile'!AN140&gt;0,1,IF('Raw profile'!AN243&gt;0,2,0))</f>
        <v>2</v>
      </c>
      <c r="AP45" s="20">
        <f>IF('Raw profile'!AO140&gt;0,1,IF('Raw profile'!AO243&gt;0,2,0))</f>
        <v>2</v>
      </c>
      <c r="AQ45" s="20">
        <f>IF('Raw profile'!AP140&gt;0,1,IF('Raw profile'!AP243&gt;0,2,0))</f>
        <v>2</v>
      </c>
      <c r="AR45" s="20">
        <f>IF('Raw profile'!AQ140&gt;0,1,IF('Raw profile'!AQ243&gt;0,2,0))</f>
        <v>2</v>
      </c>
      <c r="AS45" s="20">
        <f>IF('Raw profile'!AR140&gt;0,1,IF('Raw profile'!AR243&gt;0,2,0))</f>
        <v>2</v>
      </c>
      <c r="AT45" s="20">
        <f>IF('Raw profile'!AS140&gt;0,1,IF('Raw profile'!AS243&gt;0,2,0))</f>
        <v>0</v>
      </c>
      <c r="AU45" s="20">
        <f>IF('Raw profile'!AT140&gt;0,1,IF('Raw profile'!AT243&gt;0,2,0))</f>
        <v>0</v>
      </c>
      <c r="AV45" s="20">
        <f>IF('Raw profile'!AU140&gt;0,1,IF('Raw profile'!AU243&gt;0,2,0))</f>
        <v>0</v>
      </c>
      <c r="AW45" s="20">
        <f>IF('Raw profile'!AV140&gt;0,1,IF('Raw profile'!AV243&gt;0,2,0))</f>
        <v>0</v>
      </c>
      <c r="AX45" s="20">
        <f>IF('Raw profile'!AW140&gt;0,1,IF('Raw profile'!AW243&gt;0,2,0))</f>
        <v>0</v>
      </c>
      <c r="AY45" s="20">
        <f>IF('Raw profile'!AX140&gt;0,1,IF('Raw profile'!AX243&gt;0,2,0))</f>
        <v>0</v>
      </c>
      <c r="AZ45" s="20">
        <f>IF('Raw profile'!AY140&gt;0,1,IF('Raw profile'!AY243&gt;0,2,0))</f>
        <v>0</v>
      </c>
      <c r="BA45" s="20">
        <f>IF('Raw profile'!AZ140&gt;0,1,IF('Raw profile'!AZ243&gt;0,2,0))</f>
        <v>0</v>
      </c>
      <c r="BB45" s="20">
        <f>IF('Raw profile'!BA140&gt;0,1,IF('Raw profile'!BA243&gt;0,2,0))</f>
        <v>0</v>
      </c>
      <c r="BC45" s="20">
        <f>IF('Raw profile'!BB140&gt;0,1,IF('Raw profile'!BB243&gt;0,2,0))</f>
        <v>0</v>
      </c>
      <c r="BD45" s="20">
        <f>IF('Raw profile'!BC140&gt;0,1,IF('Raw profile'!BC243&gt;0,2,0))</f>
        <v>0</v>
      </c>
      <c r="BE45" s="20">
        <f>IF('Raw profile'!BD140&gt;0,1,IF('Raw profile'!BD243&gt;0,2,0))</f>
        <v>0</v>
      </c>
      <c r="BF45" s="20">
        <f>IF('Raw profile'!BE140&gt;0,1,IF('Raw profile'!BE243&gt;0,2,0))</f>
        <v>0</v>
      </c>
      <c r="BG45" s="20">
        <f>IF('Raw profile'!BF140&gt;0,1,IF('Raw profile'!BF243&gt;0,2,0))</f>
        <v>0</v>
      </c>
      <c r="BH45" s="20">
        <f>IF('Raw profile'!BG140&gt;0,1,IF('Raw profile'!BG243&gt;0,2,0))</f>
        <v>0</v>
      </c>
      <c r="BI45" s="20">
        <f>IF('Raw profile'!BH140&gt;0,1,IF('Raw profile'!BH243&gt;0,2,0))</f>
        <v>0</v>
      </c>
      <c r="BJ45" s="20">
        <f>IF('Raw profile'!BI140&gt;0,1,IF('Raw profile'!BI243&gt;0,2,0))</f>
        <v>0</v>
      </c>
      <c r="BK45" s="21">
        <f>IF('Raw profile'!BJ140&gt;0,1,IF('Raw profile'!BJ243&gt;0,2,0))</f>
        <v>0</v>
      </c>
    </row>
    <row r="46" spans="1:63" x14ac:dyDescent="0.3">
      <c r="B46" s="13" t="s">
        <v>4</v>
      </c>
      <c r="C46" s="19">
        <f>'Growth profile'!I32</f>
        <v>2035</v>
      </c>
      <c r="D46" s="20">
        <f>IF('Growth profile'!C140&gt;0,1,IF('Growth profile'!C243&gt;0,3,0))</f>
        <v>0</v>
      </c>
      <c r="E46" s="20">
        <f>IF('Growth profile'!D140&gt;0,1,IF('Growth profile'!D243&gt;0,3,0))</f>
        <v>0</v>
      </c>
      <c r="F46" s="20">
        <f>IF('Growth profile'!E140&gt;0,1,IF('Growth profile'!E243&gt;0,3,0))</f>
        <v>0</v>
      </c>
      <c r="G46" s="20">
        <f>IF('Growth profile'!F140&gt;0,1,IF('Growth profile'!F243&gt;0,3,0))</f>
        <v>0</v>
      </c>
      <c r="H46" s="20">
        <f>IF('Growth profile'!G140&gt;0,1,IF('Growth profile'!G243&gt;0,3,0))</f>
        <v>0</v>
      </c>
      <c r="I46" s="20">
        <f>IF('Growth profile'!H140&gt;0,1,IF('Growth profile'!H243&gt;0,3,0))</f>
        <v>0</v>
      </c>
      <c r="J46" s="20">
        <f>IF('Growth profile'!I140&gt;0,1,IF('Growth profile'!I243&gt;0,3,0))</f>
        <v>0</v>
      </c>
      <c r="K46" s="20">
        <f>IF('Growth profile'!J140&gt;0,1,IF('Growth profile'!J243&gt;0,3,0))</f>
        <v>0</v>
      </c>
      <c r="L46" s="20">
        <f>IF('Growth profile'!K140&gt;0,1,IF('Growth profile'!K243&gt;0,3,0))</f>
        <v>0</v>
      </c>
      <c r="M46" s="20">
        <f>IF('Growth profile'!L140&gt;0,1,IF('Growth profile'!L243&gt;0,3,0))</f>
        <v>1</v>
      </c>
      <c r="N46" s="20">
        <f>IF('Growth profile'!M140&gt;0,1,IF('Growth profile'!M243&gt;0,3,0))</f>
        <v>1</v>
      </c>
      <c r="O46" s="20">
        <f>IF('Growth profile'!N140&gt;0,1,IF('Growth profile'!N243&gt;0,3,0))</f>
        <v>3</v>
      </c>
      <c r="P46" s="20">
        <f>IF('Growth profile'!O140&gt;0,1,IF('Growth profile'!O243&gt;0,3,0))</f>
        <v>3</v>
      </c>
      <c r="Q46" s="20">
        <f>IF('Growth profile'!P140&gt;0,1,IF('Growth profile'!P243&gt;0,3,0))</f>
        <v>3</v>
      </c>
      <c r="R46" s="20">
        <f>IF('Growth profile'!Q140&gt;0,1,IF('Growth profile'!Q243&gt;0,3,0))</f>
        <v>3</v>
      </c>
      <c r="S46" s="20">
        <f>IF('Growth profile'!R140&gt;0,1,IF('Growth profile'!R243&gt;0,3,0))</f>
        <v>3</v>
      </c>
      <c r="T46" s="20">
        <f>IF('Growth profile'!S140&gt;0,1,IF('Growth profile'!S243&gt;0,3,0))</f>
        <v>3</v>
      </c>
      <c r="U46" s="20">
        <f>IF('Growth profile'!T140&gt;0,1,IF('Growth profile'!T243&gt;0,3,0))</f>
        <v>3</v>
      </c>
      <c r="V46" s="20">
        <f>IF('Growth profile'!U140&gt;0,1,IF('Growth profile'!U243&gt;0,3,0))</f>
        <v>3</v>
      </c>
      <c r="W46" s="20">
        <f>IF('Growth profile'!V140&gt;0,1,IF('Growth profile'!V243&gt;0,3,0))</f>
        <v>3</v>
      </c>
      <c r="X46" s="20">
        <f>IF('Growth profile'!W140&gt;0,1,IF('Growth profile'!W243&gt;0,3,0))</f>
        <v>3</v>
      </c>
      <c r="Y46" s="20">
        <f>IF('Growth profile'!X140&gt;0,1,IF('Growth profile'!X243&gt;0,3,0))</f>
        <v>3</v>
      </c>
      <c r="Z46" s="20">
        <f>IF('Growth profile'!Y140&gt;0,1,IF('Growth profile'!Y243&gt;0,3,0))</f>
        <v>3</v>
      </c>
      <c r="AA46" s="20">
        <f>IF('Growth profile'!Z140&gt;0,1,IF('Growth profile'!Z243&gt;0,3,0))</f>
        <v>3</v>
      </c>
      <c r="AB46" s="20">
        <f>IF('Growth profile'!AA140&gt;0,1,IF('Growth profile'!AA243&gt;0,3,0))</f>
        <v>3</v>
      </c>
      <c r="AC46" s="20">
        <f>IF('Growth profile'!AB140&gt;0,1,IF('Growth profile'!AB243&gt;0,3,0))</f>
        <v>3</v>
      </c>
      <c r="AD46" s="20">
        <f>IF('Growth profile'!AC140&gt;0,1,IF('Growth profile'!AC243&gt;0,3,0))</f>
        <v>3</v>
      </c>
      <c r="AE46" s="20">
        <f>IF('Growth profile'!AD140&gt;0,1,IF('Growth profile'!AD243&gt;0,3,0))</f>
        <v>3</v>
      </c>
      <c r="AF46" s="20">
        <f>IF('Growth profile'!AE140&gt;0,1,IF('Growth profile'!AE243&gt;0,3,0))</f>
        <v>3</v>
      </c>
      <c r="AG46" s="20">
        <f>IF('Growth profile'!AF140&gt;0,1,IF('Growth profile'!AF243&gt;0,3,0))</f>
        <v>3</v>
      </c>
      <c r="AH46" s="20">
        <f>IF('Growth profile'!AG140&gt;0,1,IF('Growth profile'!AG243&gt;0,3,0))</f>
        <v>3</v>
      </c>
      <c r="AI46" s="20">
        <f>IF('Growth profile'!AH140&gt;0,1,IF('Growth profile'!AH243&gt;0,3,0))</f>
        <v>3</v>
      </c>
      <c r="AJ46" s="20">
        <f>IF('Growth profile'!AI140&gt;0,1,IF('Growth profile'!AI243&gt;0,3,0))</f>
        <v>3</v>
      </c>
      <c r="AK46" s="20">
        <f>IF('Growth profile'!AJ140&gt;0,1,IF('Growth profile'!AJ243&gt;0,3,0))</f>
        <v>3</v>
      </c>
      <c r="AL46" s="20">
        <f>IF('Growth profile'!AK140&gt;0,1,IF('Growth profile'!AK243&gt;0,3,0))</f>
        <v>3</v>
      </c>
      <c r="AM46" s="20">
        <f>IF('Growth profile'!AL140&gt;0,1,IF('Growth profile'!AL243&gt;0,3,0))</f>
        <v>3</v>
      </c>
      <c r="AN46" s="20">
        <f>IF('Growth profile'!AM140&gt;0,1,IF('Growth profile'!AM243&gt;0,3,0))</f>
        <v>3</v>
      </c>
      <c r="AO46" s="20">
        <f>IF('Growth profile'!AN140&gt;0,1,IF('Growth profile'!AN243&gt;0,3,0))</f>
        <v>3</v>
      </c>
      <c r="AP46" s="20">
        <f>IF('Growth profile'!AO140&gt;0,1,IF('Growth profile'!AO243&gt;0,3,0))</f>
        <v>3</v>
      </c>
      <c r="AQ46" s="20">
        <f>IF('Growth profile'!AP140&gt;0,1,IF('Growth profile'!AP243&gt;0,3,0))</f>
        <v>3</v>
      </c>
      <c r="AR46" s="20">
        <f>IF('Growth profile'!AQ140&gt;0,1,IF('Growth profile'!AQ243&gt;0,3,0))</f>
        <v>3</v>
      </c>
      <c r="AS46" s="20">
        <f>IF('Growth profile'!AR140&gt;0,1,IF('Growth profile'!AR243&gt;0,3,0))</f>
        <v>3</v>
      </c>
      <c r="AT46" s="20">
        <f>IF('Growth profile'!AS140&gt;0,1,IF('Growth profile'!AS243&gt;0,3,0))</f>
        <v>3</v>
      </c>
      <c r="AU46" s="20">
        <f>IF('Growth profile'!AT140&gt;0,1,IF('Growth profile'!AT243&gt;0,3,0))</f>
        <v>3</v>
      </c>
      <c r="AV46" s="20">
        <f>IF('Growth profile'!AU140&gt;0,1,IF('Growth profile'!AU243&gt;0,3,0))</f>
        <v>3</v>
      </c>
      <c r="AW46" s="20">
        <f>IF('Growth profile'!AV140&gt;0,1,IF('Growth profile'!AV243&gt;0,3,0))</f>
        <v>3</v>
      </c>
      <c r="AX46" s="20">
        <f>IF('Growth profile'!AW140&gt;0,1,IF('Growth profile'!AW243&gt;0,3,0))</f>
        <v>3</v>
      </c>
      <c r="AY46" s="20">
        <f>IF('Growth profile'!AX140&gt;0,1,IF('Growth profile'!AX243&gt;0,3,0))</f>
        <v>3</v>
      </c>
      <c r="AZ46" s="20">
        <f>IF('Growth profile'!AY140&gt;0,1,IF('Growth profile'!AY243&gt;0,3,0))</f>
        <v>3</v>
      </c>
      <c r="BA46" s="20">
        <f>IF('Growth profile'!AZ140&gt;0,1,IF('Growth profile'!AZ243&gt;0,3,0))</f>
        <v>3</v>
      </c>
      <c r="BB46" s="20">
        <f>IF('Growth profile'!BA140&gt;0,1,IF('Growth profile'!BA243&gt;0,3,0))</f>
        <v>3</v>
      </c>
      <c r="BC46" s="20">
        <f>IF('Growth profile'!BB140&gt;0,1,IF('Growth profile'!BB243&gt;0,3,0))</f>
        <v>0</v>
      </c>
      <c r="BD46" s="20">
        <f>IF('Growth profile'!BC140&gt;0,1,IF('Growth profile'!BC243&gt;0,3,0))</f>
        <v>0</v>
      </c>
      <c r="BE46" s="20">
        <f>IF('Growth profile'!BD140&gt;0,1,IF('Growth profile'!BD243&gt;0,3,0))</f>
        <v>0</v>
      </c>
      <c r="BF46" s="20">
        <f>IF('Growth profile'!BE140&gt;0,1,IF('Growth profile'!BE243&gt;0,3,0))</f>
        <v>0</v>
      </c>
      <c r="BG46" s="20">
        <f>IF('Growth profile'!BF140&gt;0,1,IF('Growth profile'!BF243&gt;0,3,0))</f>
        <v>0</v>
      </c>
      <c r="BH46" s="20">
        <f>IF('Growth profile'!BG140&gt;0,1,IF('Growth profile'!BG243&gt;0,3,0))</f>
        <v>0</v>
      </c>
      <c r="BI46" s="20">
        <f>IF('Growth profile'!BH140&gt;0,1,IF('Growth profile'!BH243&gt;0,3,0))</f>
        <v>0</v>
      </c>
      <c r="BJ46" s="20">
        <f>IF('Growth profile'!BI140&gt;0,1,IF('Growth profile'!BI243&gt;0,3,0))</f>
        <v>0</v>
      </c>
      <c r="BK46" s="21">
        <f>IF('Growth profile'!BJ140&gt;0,1,IF('Growth profile'!BJ243&gt;0,3,0))</f>
        <v>0</v>
      </c>
    </row>
    <row r="47" spans="1:63" x14ac:dyDescent="0.3">
      <c r="B47" s="13" t="s">
        <v>59</v>
      </c>
      <c r="C47" s="19">
        <f>'Growth (no penalty)'!I32</f>
        <v>2044</v>
      </c>
      <c r="D47" s="22">
        <f>IF('Growth (no penalty)'!C140&gt;0,1,IF('Growth (no penalty)'!C243&gt;0,4,0))</f>
        <v>0</v>
      </c>
      <c r="E47" s="22">
        <f>IF('Growth (no penalty)'!D140&gt;0,1,IF('Growth (no penalty)'!D243&gt;0,4,0))</f>
        <v>0</v>
      </c>
      <c r="F47" s="22">
        <f>IF('Growth (no penalty)'!E140&gt;0,1,IF('Growth (no penalty)'!E243&gt;0,4,0))</f>
        <v>0</v>
      </c>
      <c r="G47" s="22">
        <f>IF('Growth (no penalty)'!F140&gt;0,1,IF('Growth (no penalty)'!F243&gt;0,4,0))</f>
        <v>0</v>
      </c>
      <c r="H47" s="22">
        <f>IF('Growth (no penalty)'!G140&gt;0,1,IF('Growth (no penalty)'!G243&gt;0,4,0))</f>
        <v>0</v>
      </c>
      <c r="I47" s="22">
        <f>IF('Growth (no penalty)'!H140&gt;0,1,IF('Growth (no penalty)'!H243&gt;0,4,0))</f>
        <v>0</v>
      </c>
      <c r="J47" s="22">
        <f>IF('Growth (no penalty)'!I140&gt;0,1,IF('Growth (no penalty)'!I243&gt;0,4,0))</f>
        <v>0</v>
      </c>
      <c r="K47" s="22">
        <f>IF('Growth (no penalty)'!J140&gt;0,1,IF('Growth (no penalty)'!J243&gt;0,4,0))</f>
        <v>0</v>
      </c>
      <c r="L47" s="22">
        <f>IF('Growth (no penalty)'!K140&gt;0,1,IF('Growth (no penalty)'!K243&gt;0,4,0))</f>
        <v>0</v>
      </c>
      <c r="M47" s="22">
        <f>IF('Growth (no penalty)'!L140&gt;0,1,IF('Growth (no penalty)'!L243&gt;0,4,0))</f>
        <v>0</v>
      </c>
      <c r="N47" s="22">
        <f>IF('Growth (no penalty)'!M140&gt;0,1,IF('Growth (no penalty)'!M243&gt;0,4,0))</f>
        <v>0</v>
      </c>
      <c r="O47" s="22">
        <f>IF('Growth (no penalty)'!N140&gt;0,1,IF('Growth (no penalty)'!N243&gt;0,4,0))</f>
        <v>0</v>
      </c>
      <c r="P47" s="22">
        <f>IF('Growth (no penalty)'!O140&gt;0,1,IF('Growth (no penalty)'!O243&gt;0,4,0))</f>
        <v>0</v>
      </c>
      <c r="Q47" s="22">
        <f>IF('Growth (no penalty)'!P140&gt;0,1,IF('Growth (no penalty)'!P243&gt;0,4,0))</f>
        <v>0</v>
      </c>
      <c r="R47" s="22">
        <f>IF('Growth (no penalty)'!Q140&gt;0,1,IF('Growth (no penalty)'!Q243&gt;0,4,0))</f>
        <v>0</v>
      </c>
      <c r="S47" s="22">
        <f>IF('Growth (no penalty)'!R140&gt;0,1,IF('Growth (no penalty)'!R243&gt;0,4,0))</f>
        <v>0</v>
      </c>
      <c r="T47" s="22">
        <f>IF('Growth (no penalty)'!S140&gt;0,1,IF('Growth (no penalty)'!S243&gt;0,4,0))</f>
        <v>0</v>
      </c>
      <c r="U47" s="22">
        <f>IF('Growth (no penalty)'!T140&gt;0,1,IF('Growth (no penalty)'!T243&gt;0,4,0))</f>
        <v>0</v>
      </c>
      <c r="V47" s="22">
        <f>IF('Growth (no penalty)'!U140&gt;0,1,IF('Growth (no penalty)'!U243&gt;0,4,0))</f>
        <v>1</v>
      </c>
      <c r="W47" s="22">
        <f>IF('Growth (no penalty)'!V140&gt;0,1,IF('Growth (no penalty)'!V243&gt;0,4,0))</f>
        <v>1</v>
      </c>
      <c r="X47" s="22">
        <f>IF('Growth (no penalty)'!W140&gt;0,1,IF('Growth (no penalty)'!W243&gt;0,4,0))</f>
        <v>4</v>
      </c>
      <c r="Y47" s="22">
        <f>IF('Growth (no penalty)'!X140&gt;0,1,IF('Growth (no penalty)'!X243&gt;0,4,0))</f>
        <v>4</v>
      </c>
      <c r="Z47" s="22">
        <f>IF('Growth (no penalty)'!Y140&gt;0,1,IF('Growth (no penalty)'!Y243&gt;0,4,0))</f>
        <v>4</v>
      </c>
      <c r="AA47" s="22">
        <f>IF('Growth (no penalty)'!Z140&gt;0,1,IF('Growth (no penalty)'!Z243&gt;0,4,0))</f>
        <v>4</v>
      </c>
      <c r="AB47" s="22">
        <f>IF('Growth (no penalty)'!AA140&gt;0,1,IF('Growth (no penalty)'!AA243&gt;0,4,0))</f>
        <v>4</v>
      </c>
      <c r="AC47" s="22">
        <f>IF('Growth (no penalty)'!AB140&gt;0,1,IF('Growth (no penalty)'!AB243&gt;0,4,0))</f>
        <v>4</v>
      </c>
      <c r="AD47" s="22">
        <f>IF('Growth (no penalty)'!AC140&gt;0,1,IF('Growth (no penalty)'!AC243&gt;0,4,0))</f>
        <v>4</v>
      </c>
      <c r="AE47" s="22">
        <f>IF('Growth (no penalty)'!AD140&gt;0,1,IF('Growth (no penalty)'!AD243&gt;0,4,0))</f>
        <v>4</v>
      </c>
      <c r="AF47" s="22">
        <f>IF('Growth (no penalty)'!AE140&gt;0,1,IF('Growth (no penalty)'!AE243&gt;0,4,0))</f>
        <v>4</v>
      </c>
      <c r="AG47" s="22">
        <f>IF('Growth (no penalty)'!AF140&gt;0,1,IF('Growth (no penalty)'!AF243&gt;0,4,0))</f>
        <v>4</v>
      </c>
      <c r="AH47" s="22">
        <f>IF('Growth (no penalty)'!AG140&gt;0,1,IF('Growth (no penalty)'!AG243&gt;0,4,0))</f>
        <v>4</v>
      </c>
      <c r="AI47" s="22">
        <f>IF('Growth (no penalty)'!AH140&gt;0,1,IF('Growth (no penalty)'!AH243&gt;0,4,0))</f>
        <v>4</v>
      </c>
      <c r="AJ47" s="22">
        <f>IF('Growth (no penalty)'!AI140&gt;0,1,IF('Growth (no penalty)'!AI243&gt;0,4,0))</f>
        <v>4</v>
      </c>
      <c r="AK47" s="22">
        <f>IF('Growth (no penalty)'!AJ140&gt;0,1,IF('Growth (no penalty)'!AJ243&gt;0,4,0))</f>
        <v>4</v>
      </c>
      <c r="AL47" s="22">
        <f>IF('Growth (no penalty)'!AK140&gt;0,1,IF('Growth (no penalty)'!AK243&gt;0,4,0))</f>
        <v>4</v>
      </c>
      <c r="AM47" s="22">
        <f>IF('Growth (no penalty)'!AL140&gt;0,1,IF('Growth (no penalty)'!AL243&gt;0,4,0))</f>
        <v>4</v>
      </c>
      <c r="AN47" s="22">
        <f>IF('Growth (no penalty)'!AM140&gt;0,1,IF('Growth (no penalty)'!AM243&gt;0,4,0))</f>
        <v>4</v>
      </c>
      <c r="AO47" s="22">
        <f>IF('Growth (no penalty)'!AN140&gt;0,1,IF('Growth (no penalty)'!AN243&gt;0,4,0))</f>
        <v>4</v>
      </c>
      <c r="AP47" s="22">
        <f>IF('Growth (no penalty)'!AO140&gt;0,1,IF('Growth (no penalty)'!AO243&gt;0,4,0))</f>
        <v>4</v>
      </c>
      <c r="AQ47" s="22">
        <f>IF('Growth (no penalty)'!AP140&gt;0,1,IF('Growth (no penalty)'!AP243&gt;0,4,0))</f>
        <v>4</v>
      </c>
      <c r="AR47" s="22">
        <f>IF('Growth (no penalty)'!AQ140&gt;0,1,IF('Growth (no penalty)'!AQ243&gt;0,4,0))</f>
        <v>4</v>
      </c>
      <c r="AS47" s="22">
        <f>IF('Growth (no penalty)'!AR140&gt;0,1,IF('Growth (no penalty)'!AR243&gt;0,4,0))</f>
        <v>4</v>
      </c>
      <c r="AT47" s="22">
        <f>IF('Growth (no penalty)'!AS140&gt;0,1,IF('Growth (no penalty)'!AS243&gt;0,4,0))</f>
        <v>4</v>
      </c>
      <c r="AU47" s="22">
        <f>IF('Growth (no penalty)'!AT140&gt;0,1,IF('Growth (no penalty)'!AT243&gt;0,4,0))</f>
        <v>4</v>
      </c>
      <c r="AV47" s="22">
        <f>IF('Growth (no penalty)'!AU140&gt;0,1,IF('Growth (no penalty)'!AU243&gt;0,4,0))</f>
        <v>4</v>
      </c>
      <c r="AW47" s="22">
        <f>IF('Growth (no penalty)'!AV140&gt;0,1,IF('Growth (no penalty)'!AV243&gt;0,4,0))</f>
        <v>4</v>
      </c>
      <c r="AX47" s="22">
        <f>IF('Growth (no penalty)'!AW140&gt;0,1,IF('Growth (no penalty)'!AW243&gt;0,4,0))</f>
        <v>4</v>
      </c>
      <c r="AY47" s="22">
        <f>IF('Growth (no penalty)'!AX140&gt;0,1,IF('Growth (no penalty)'!AX243&gt;0,4,0))</f>
        <v>4</v>
      </c>
      <c r="AZ47" s="22">
        <f>IF('Growth (no penalty)'!AY140&gt;0,1,IF('Growth (no penalty)'!AY243&gt;0,4,0))</f>
        <v>4</v>
      </c>
      <c r="BA47" s="22">
        <f>IF('Growth (no penalty)'!AZ140&gt;0,1,IF('Growth (no penalty)'!AZ243&gt;0,4,0))</f>
        <v>4</v>
      </c>
      <c r="BB47" s="22">
        <f>IF('Growth (no penalty)'!BA140&gt;0,1,IF('Growth (no penalty)'!BA243&gt;0,4,0))</f>
        <v>4</v>
      </c>
      <c r="BC47" s="22">
        <f>IF('Growth (no penalty)'!BB140&gt;0,1,IF('Growth (no penalty)'!BB243&gt;0,4,0))</f>
        <v>4</v>
      </c>
      <c r="BD47" s="22">
        <f>IF('Growth (no penalty)'!BC140&gt;0,1,IF('Growth (no penalty)'!BC243&gt;0,4,0))</f>
        <v>4</v>
      </c>
      <c r="BE47" s="22">
        <f>IF('Growth (no penalty)'!BD140&gt;0,1,IF('Growth (no penalty)'!BD243&gt;0,4,0))</f>
        <v>4</v>
      </c>
      <c r="BF47" s="22">
        <f>IF('Growth (no penalty)'!BE140&gt;0,1,IF('Growth (no penalty)'!BE243&gt;0,4,0))</f>
        <v>4</v>
      </c>
      <c r="BG47" s="22">
        <f>IF('Growth (no penalty)'!BF140&gt;0,1,IF('Growth (no penalty)'!BF243&gt;0,4,0))</f>
        <v>4</v>
      </c>
      <c r="BH47" s="22">
        <f>IF('Growth (no penalty)'!BG140&gt;0,1,IF('Growth (no penalty)'!BG243&gt;0,4,0))</f>
        <v>4</v>
      </c>
      <c r="BI47" s="22">
        <f>IF('Growth (no penalty)'!BH140&gt;0,1,IF('Growth (no penalty)'!BH243&gt;0,4,0))</f>
        <v>4</v>
      </c>
      <c r="BJ47" s="22">
        <f>IF('Growth (no penalty)'!BI140&gt;0,1,IF('Growth (no penalty)'!BI243&gt;0,4,0))</f>
        <v>4</v>
      </c>
      <c r="BK47" s="23">
        <f>IF('Growth (no penalty)'!BJ140&gt;0,1,IF('Growth (no penalty)'!BJ243&gt;0,4,0))</f>
        <v>4</v>
      </c>
    </row>
    <row r="48" spans="1:63" x14ac:dyDescent="0.3">
      <c r="A48" s="4" t="str">
        <f>'Growth profile'!A48</f>
        <v>project 43</v>
      </c>
      <c r="B48" s="13" t="s">
        <v>3</v>
      </c>
      <c r="C48" s="19">
        <f>'Raw profile'!I48</f>
        <v>2026</v>
      </c>
      <c r="D48" s="20">
        <f>IF('Raw profile'!C156&gt;0,1,IF('Raw profile'!C259&gt;0,2,0))</f>
        <v>1</v>
      </c>
      <c r="E48" s="20">
        <f>IF('Raw profile'!D156&gt;0,1,IF('Raw profile'!D259&gt;0,2,0))</f>
        <v>2</v>
      </c>
      <c r="F48" s="20">
        <f>IF('Raw profile'!E156&gt;0,1,IF('Raw profile'!E259&gt;0,2,0))</f>
        <v>2</v>
      </c>
      <c r="G48" s="20">
        <f>IF('Raw profile'!F156&gt;0,1,IF('Raw profile'!F259&gt;0,2,0))</f>
        <v>2</v>
      </c>
      <c r="H48" s="20">
        <f>IF('Raw profile'!G156&gt;0,1,IF('Raw profile'!G259&gt;0,2,0))</f>
        <v>2</v>
      </c>
      <c r="I48" s="20">
        <f>IF('Raw profile'!H156&gt;0,1,IF('Raw profile'!H259&gt;0,2,0))</f>
        <v>2</v>
      </c>
      <c r="J48" s="20">
        <f>IF('Raw profile'!I156&gt;0,1,IF('Raw profile'!I259&gt;0,2,0))</f>
        <v>2</v>
      </c>
      <c r="K48" s="20">
        <f>IF('Raw profile'!J156&gt;0,1,IF('Raw profile'!J259&gt;0,2,0))</f>
        <v>2</v>
      </c>
      <c r="L48" s="20">
        <f>IF('Raw profile'!K156&gt;0,1,IF('Raw profile'!K259&gt;0,2,0))</f>
        <v>2</v>
      </c>
      <c r="M48" s="20">
        <f>IF('Raw profile'!L156&gt;0,1,IF('Raw profile'!L259&gt;0,2,0))</f>
        <v>2</v>
      </c>
      <c r="N48" s="20">
        <f>IF('Raw profile'!M156&gt;0,1,IF('Raw profile'!M259&gt;0,2,0))</f>
        <v>2</v>
      </c>
      <c r="O48" s="20">
        <f>IF('Raw profile'!N156&gt;0,1,IF('Raw profile'!N259&gt;0,2,0))</f>
        <v>2</v>
      </c>
      <c r="P48" s="20">
        <f>IF('Raw profile'!O156&gt;0,1,IF('Raw profile'!O259&gt;0,2,0))</f>
        <v>2</v>
      </c>
      <c r="Q48" s="20">
        <f>IF('Raw profile'!P156&gt;0,1,IF('Raw profile'!P259&gt;0,2,0))</f>
        <v>2</v>
      </c>
      <c r="R48" s="20">
        <f>IF('Raw profile'!Q156&gt;0,1,IF('Raw profile'!Q259&gt;0,2,0))</f>
        <v>2</v>
      </c>
      <c r="S48" s="20">
        <f>IF('Raw profile'!R156&gt;0,1,IF('Raw profile'!R259&gt;0,2,0))</f>
        <v>2</v>
      </c>
      <c r="T48" s="20">
        <f>IF('Raw profile'!S156&gt;0,1,IF('Raw profile'!S259&gt;0,2,0))</f>
        <v>2</v>
      </c>
      <c r="U48" s="20">
        <f>IF('Raw profile'!T156&gt;0,1,IF('Raw profile'!T259&gt;0,2,0))</f>
        <v>2</v>
      </c>
      <c r="V48" s="20">
        <f>IF('Raw profile'!U156&gt;0,1,IF('Raw profile'!U259&gt;0,2,0))</f>
        <v>2</v>
      </c>
      <c r="W48" s="20">
        <f>IF('Raw profile'!V156&gt;0,1,IF('Raw profile'!V259&gt;0,2,0))</f>
        <v>2</v>
      </c>
      <c r="X48" s="20">
        <f>IF('Raw profile'!W156&gt;0,1,IF('Raw profile'!W259&gt;0,2,0))</f>
        <v>2</v>
      </c>
      <c r="Y48" s="20">
        <f>IF('Raw profile'!X156&gt;0,1,IF('Raw profile'!X259&gt;0,2,0))</f>
        <v>2</v>
      </c>
      <c r="Z48" s="20">
        <f>IF('Raw profile'!Y156&gt;0,1,IF('Raw profile'!Y259&gt;0,2,0))</f>
        <v>2</v>
      </c>
      <c r="AA48" s="20">
        <f>IF('Raw profile'!Z156&gt;0,1,IF('Raw profile'!Z259&gt;0,2,0))</f>
        <v>2</v>
      </c>
      <c r="AB48" s="20">
        <f>IF('Raw profile'!AA156&gt;0,1,IF('Raw profile'!AA259&gt;0,2,0))</f>
        <v>2</v>
      </c>
      <c r="AC48" s="20">
        <f>IF('Raw profile'!AB156&gt;0,1,IF('Raw profile'!AB259&gt;0,2,0))</f>
        <v>2</v>
      </c>
      <c r="AD48" s="20">
        <f>IF('Raw profile'!AC156&gt;0,1,IF('Raw profile'!AC259&gt;0,2,0))</f>
        <v>2</v>
      </c>
      <c r="AE48" s="20">
        <f>IF('Raw profile'!AD156&gt;0,1,IF('Raw profile'!AD259&gt;0,2,0))</f>
        <v>2</v>
      </c>
      <c r="AF48" s="20">
        <f>IF('Raw profile'!AE156&gt;0,1,IF('Raw profile'!AE259&gt;0,2,0))</f>
        <v>2</v>
      </c>
      <c r="AG48" s="20">
        <f>IF('Raw profile'!AF156&gt;0,1,IF('Raw profile'!AF259&gt;0,2,0))</f>
        <v>2</v>
      </c>
      <c r="AH48" s="20">
        <f>IF('Raw profile'!AG156&gt;0,1,IF('Raw profile'!AG259&gt;0,2,0))</f>
        <v>2</v>
      </c>
      <c r="AI48" s="20">
        <f>IF('Raw profile'!AH156&gt;0,1,IF('Raw profile'!AH259&gt;0,2,0))</f>
        <v>2</v>
      </c>
      <c r="AJ48" s="20">
        <f>IF('Raw profile'!AI156&gt;0,1,IF('Raw profile'!AI259&gt;0,2,0))</f>
        <v>2</v>
      </c>
      <c r="AK48" s="20">
        <f>IF('Raw profile'!AJ156&gt;0,1,IF('Raw profile'!AJ259&gt;0,2,0))</f>
        <v>2</v>
      </c>
      <c r="AL48" s="20">
        <f>IF('Raw profile'!AK156&gt;0,1,IF('Raw profile'!AK259&gt;0,2,0))</f>
        <v>2</v>
      </c>
      <c r="AM48" s="20">
        <f>IF('Raw profile'!AL156&gt;0,1,IF('Raw profile'!AL259&gt;0,2,0))</f>
        <v>2</v>
      </c>
      <c r="AN48" s="20">
        <f>IF('Raw profile'!AM156&gt;0,1,IF('Raw profile'!AM259&gt;0,2,0))</f>
        <v>2</v>
      </c>
      <c r="AO48" s="20">
        <f>IF('Raw profile'!AN156&gt;0,1,IF('Raw profile'!AN259&gt;0,2,0))</f>
        <v>2</v>
      </c>
      <c r="AP48" s="20">
        <f>IF('Raw profile'!AO156&gt;0,1,IF('Raw profile'!AO259&gt;0,2,0))</f>
        <v>2</v>
      </c>
      <c r="AQ48" s="20">
        <f>IF('Raw profile'!AP156&gt;0,1,IF('Raw profile'!AP259&gt;0,2,0))</f>
        <v>2</v>
      </c>
      <c r="AR48" s="20">
        <f>IF('Raw profile'!AQ156&gt;0,1,IF('Raw profile'!AQ259&gt;0,2,0))</f>
        <v>2</v>
      </c>
      <c r="AS48" s="20">
        <f>IF('Raw profile'!AR156&gt;0,1,IF('Raw profile'!AR259&gt;0,2,0))</f>
        <v>0</v>
      </c>
      <c r="AT48" s="20">
        <f>IF('Raw profile'!AS156&gt;0,1,IF('Raw profile'!AS259&gt;0,2,0))</f>
        <v>0</v>
      </c>
      <c r="AU48" s="20">
        <f>IF('Raw profile'!AT156&gt;0,1,IF('Raw profile'!AT259&gt;0,2,0))</f>
        <v>0</v>
      </c>
      <c r="AV48" s="20">
        <f>IF('Raw profile'!AU156&gt;0,1,IF('Raw profile'!AU259&gt;0,2,0))</f>
        <v>0</v>
      </c>
      <c r="AW48" s="20">
        <f>IF('Raw profile'!AV156&gt;0,1,IF('Raw profile'!AV259&gt;0,2,0))</f>
        <v>0</v>
      </c>
      <c r="AX48" s="20">
        <f>IF('Raw profile'!AW156&gt;0,1,IF('Raw profile'!AW259&gt;0,2,0))</f>
        <v>0</v>
      </c>
      <c r="AY48" s="20">
        <f>IF('Raw profile'!AX156&gt;0,1,IF('Raw profile'!AX259&gt;0,2,0))</f>
        <v>0</v>
      </c>
      <c r="AZ48" s="20">
        <f>IF('Raw profile'!AY156&gt;0,1,IF('Raw profile'!AY259&gt;0,2,0))</f>
        <v>0</v>
      </c>
      <c r="BA48" s="20">
        <f>IF('Raw profile'!AZ156&gt;0,1,IF('Raw profile'!AZ259&gt;0,2,0))</f>
        <v>0</v>
      </c>
      <c r="BB48" s="20">
        <f>IF('Raw profile'!BA156&gt;0,1,IF('Raw profile'!BA259&gt;0,2,0))</f>
        <v>0</v>
      </c>
      <c r="BC48" s="20">
        <f>IF('Raw profile'!BB156&gt;0,1,IF('Raw profile'!BB259&gt;0,2,0))</f>
        <v>0</v>
      </c>
      <c r="BD48" s="20">
        <f>IF('Raw profile'!BC156&gt;0,1,IF('Raw profile'!BC259&gt;0,2,0))</f>
        <v>0</v>
      </c>
      <c r="BE48" s="20">
        <f>IF('Raw profile'!BD156&gt;0,1,IF('Raw profile'!BD259&gt;0,2,0))</f>
        <v>0</v>
      </c>
      <c r="BF48" s="20">
        <f>IF('Raw profile'!BE156&gt;0,1,IF('Raw profile'!BE259&gt;0,2,0))</f>
        <v>0</v>
      </c>
      <c r="BG48" s="20">
        <f>IF('Raw profile'!BF156&gt;0,1,IF('Raw profile'!BF259&gt;0,2,0))</f>
        <v>0</v>
      </c>
      <c r="BH48" s="20">
        <f>IF('Raw profile'!BG156&gt;0,1,IF('Raw profile'!BG259&gt;0,2,0))</f>
        <v>0</v>
      </c>
      <c r="BI48" s="20">
        <f>IF('Raw profile'!BH156&gt;0,1,IF('Raw profile'!BH259&gt;0,2,0))</f>
        <v>0</v>
      </c>
      <c r="BJ48" s="20">
        <f>IF('Raw profile'!BI156&gt;0,1,IF('Raw profile'!BI259&gt;0,2,0))</f>
        <v>0</v>
      </c>
      <c r="BK48" s="21">
        <f>IF('Raw profile'!BJ156&gt;0,1,IF('Raw profile'!BJ259&gt;0,2,0))</f>
        <v>0</v>
      </c>
    </row>
    <row r="49" spans="1:63" x14ac:dyDescent="0.3">
      <c r="B49" s="13" t="s">
        <v>4</v>
      </c>
      <c r="C49" s="19">
        <f>'Growth profile'!I48</f>
        <v>2035</v>
      </c>
      <c r="D49" s="20">
        <f>IF('Growth profile'!C156&gt;0,1,IF('Growth profile'!C259&gt;0,3,0))</f>
        <v>0</v>
      </c>
      <c r="E49" s="20">
        <f>IF('Growth profile'!D156&gt;0,1,IF('Growth profile'!D259&gt;0,3,0))</f>
        <v>0</v>
      </c>
      <c r="F49" s="20">
        <f>IF('Growth profile'!E156&gt;0,1,IF('Growth profile'!E259&gt;0,3,0))</f>
        <v>0</v>
      </c>
      <c r="G49" s="20">
        <f>IF('Growth profile'!F156&gt;0,1,IF('Growth profile'!F259&gt;0,3,0))</f>
        <v>0</v>
      </c>
      <c r="H49" s="20">
        <f>IF('Growth profile'!G156&gt;0,1,IF('Growth profile'!G259&gt;0,3,0))</f>
        <v>0</v>
      </c>
      <c r="I49" s="20">
        <f>IF('Growth profile'!H156&gt;0,1,IF('Growth profile'!H259&gt;0,3,0))</f>
        <v>0</v>
      </c>
      <c r="J49" s="20">
        <f>IF('Growth profile'!I156&gt;0,1,IF('Growth profile'!I259&gt;0,3,0))</f>
        <v>0</v>
      </c>
      <c r="K49" s="20">
        <f>IF('Growth profile'!J156&gt;0,1,IF('Growth profile'!J259&gt;0,3,0))</f>
        <v>0</v>
      </c>
      <c r="L49" s="20">
        <f>IF('Growth profile'!K156&gt;0,1,IF('Growth profile'!K259&gt;0,3,0))</f>
        <v>0</v>
      </c>
      <c r="M49" s="20">
        <f>IF('Growth profile'!L156&gt;0,1,IF('Growth profile'!L259&gt;0,3,0))</f>
        <v>1</v>
      </c>
      <c r="N49" s="20">
        <f>IF('Growth profile'!M156&gt;0,1,IF('Growth profile'!M259&gt;0,3,0))</f>
        <v>3</v>
      </c>
      <c r="O49" s="20">
        <f>IF('Growth profile'!N156&gt;0,1,IF('Growth profile'!N259&gt;0,3,0))</f>
        <v>3</v>
      </c>
      <c r="P49" s="20">
        <f>IF('Growth profile'!O156&gt;0,1,IF('Growth profile'!O259&gt;0,3,0))</f>
        <v>3</v>
      </c>
      <c r="Q49" s="20">
        <f>IF('Growth profile'!P156&gt;0,1,IF('Growth profile'!P259&gt;0,3,0))</f>
        <v>3</v>
      </c>
      <c r="R49" s="20">
        <f>IF('Growth profile'!Q156&gt;0,1,IF('Growth profile'!Q259&gt;0,3,0))</f>
        <v>3</v>
      </c>
      <c r="S49" s="20">
        <f>IF('Growth profile'!R156&gt;0,1,IF('Growth profile'!R259&gt;0,3,0))</f>
        <v>3</v>
      </c>
      <c r="T49" s="20">
        <f>IF('Growth profile'!S156&gt;0,1,IF('Growth profile'!S259&gt;0,3,0))</f>
        <v>3</v>
      </c>
      <c r="U49" s="20">
        <f>IF('Growth profile'!T156&gt;0,1,IF('Growth profile'!T259&gt;0,3,0))</f>
        <v>3</v>
      </c>
      <c r="V49" s="20">
        <f>IF('Growth profile'!U156&gt;0,1,IF('Growth profile'!U259&gt;0,3,0))</f>
        <v>3</v>
      </c>
      <c r="W49" s="20">
        <f>IF('Growth profile'!V156&gt;0,1,IF('Growth profile'!V259&gt;0,3,0))</f>
        <v>3</v>
      </c>
      <c r="X49" s="20">
        <f>IF('Growth profile'!W156&gt;0,1,IF('Growth profile'!W259&gt;0,3,0))</f>
        <v>3</v>
      </c>
      <c r="Y49" s="20">
        <f>IF('Growth profile'!X156&gt;0,1,IF('Growth profile'!X259&gt;0,3,0))</f>
        <v>3</v>
      </c>
      <c r="Z49" s="20">
        <f>IF('Growth profile'!Y156&gt;0,1,IF('Growth profile'!Y259&gt;0,3,0))</f>
        <v>3</v>
      </c>
      <c r="AA49" s="20">
        <f>IF('Growth profile'!Z156&gt;0,1,IF('Growth profile'!Z259&gt;0,3,0))</f>
        <v>3</v>
      </c>
      <c r="AB49" s="20">
        <f>IF('Growth profile'!AA156&gt;0,1,IF('Growth profile'!AA259&gt;0,3,0))</f>
        <v>3</v>
      </c>
      <c r="AC49" s="20">
        <f>IF('Growth profile'!AB156&gt;0,1,IF('Growth profile'!AB259&gt;0,3,0))</f>
        <v>3</v>
      </c>
      <c r="AD49" s="20">
        <f>IF('Growth profile'!AC156&gt;0,1,IF('Growth profile'!AC259&gt;0,3,0))</f>
        <v>3</v>
      </c>
      <c r="AE49" s="20">
        <f>IF('Growth profile'!AD156&gt;0,1,IF('Growth profile'!AD259&gt;0,3,0))</f>
        <v>3</v>
      </c>
      <c r="AF49" s="20">
        <f>IF('Growth profile'!AE156&gt;0,1,IF('Growth profile'!AE259&gt;0,3,0))</f>
        <v>3</v>
      </c>
      <c r="AG49" s="20">
        <f>IF('Growth profile'!AF156&gt;0,1,IF('Growth profile'!AF259&gt;0,3,0))</f>
        <v>3</v>
      </c>
      <c r="AH49" s="20">
        <f>IF('Growth profile'!AG156&gt;0,1,IF('Growth profile'!AG259&gt;0,3,0))</f>
        <v>3</v>
      </c>
      <c r="AI49" s="20">
        <f>IF('Growth profile'!AH156&gt;0,1,IF('Growth profile'!AH259&gt;0,3,0))</f>
        <v>3</v>
      </c>
      <c r="AJ49" s="20">
        <f>IF('Growth profile'!AI156&gt;0,1,IF('Growth profile'!AI259&gt;0,3,0))</f>
        <v>3</v>
      </c>
      <c r="AK49" s="20">
        <f>IF('Growth profile'!AJ156&gt;0,1,IF('Growth profile'!AJ259&gt;0,3,0))</f>
        <v>3</v>
      </c>
      <c r="AL49" s="20">
        <f>IF('Growth profile'!AK156&gt;0,1,IF('Growth profile'!AK259&gt;0,3,0))</f>
        <v>3</v>
      </c>
      <c r="AM49" s="20">
        <f>IF('Growth profile'!AL156&gt;0,1,IF('Growth profile'!AL259&gt;0,3,0))</f>
        <v>3</v>
      </c>
      <c r="AN49" s="20">
        <f>IF('Growth profile'!AM156&gt;0,1,IF('Growth profile'!AM259&gt;0,3,0))</f>
        <v>3</v>
      </c>
      <c r="AO49" s="20">
        <f>IF('Growth profile'!AN156&gt;0,1,IF('Growth profile'!AN259&gt;0,3,0))</f>
        <v>3</v>
      </c>
      <c r="AP49" s="20">
        <f>IF('Growth profile'!AO156&gt;0,1,IF('Growth profile'!AO259&gt;0,3,0))</f>
        <v>3</v>
      </c>
      <c r="AQ49" s="20">
        <f>IF('Growth profile'!AP156&gt;0,1,IF('Growth profile'!AP259&gt;0,3,0))</f>
        <v>3</v>
      </c>
      <c r="AR49" s="20">
        <f>IF('Growth profile'!AQ156&gt;0,1,IF('Growth profile'!AQ259&gt;0,3,0))</f>
        <v>3</v>
      </c>
      <c r="AS49" s="20">
        <f>IF('Growth profile'!AR156&gt;0,1,IF('Growth profile'!AR259&gt;0,3,0))</f>
        <v>3</v>
      </c>
      <c r="AT49" s="20">
        <f>IF('Growth profile'!AS156&gt;0,1,IF('Growth profile'!AS259&gt;0,3,0))</f>
        <v>3</v>
      </c>
      <c r="AU49" s="20">
        <f>IF('Growth profile'!AT156&gt;0,1,IF('Growth profile'!AT259&gt;0,3,0))</f>
        <v>3</v>
      </c>
      <c r="AV49" s="20">
        <f>IF('Growth profile'!AU156&gt;0,1,IF('Growth profile'!AU259&gt;0,3,0))</f>
        <v>3</v>
      </c>
      <c r="AW49" s="20">
        <f>IF('Growth profile'!AV156&gt;0,1,IF('Growth profile'!AV259&gt;0,3,0))</f>
        <v>3</v>
      </c>
      <c r="AX49" s="20">
        <f>IF('Growth profile'!AW156&gt;0,1,IF('Growth profile'!AW259&gt;0,3,0))</f>
        <v>3</v>
      </c>
      <c r="AY49" s="20">
        <f>IF('Growth profile'!AX156&gt;0,1,IF('Growth profile'!AX259&gt;0,3,0))</f>
        <v>3</v>
      </c>
      <c r="AZ49" s="20">
        <f>IF('Growth profile'!AY156&gt;0,1,IF('Growth profile'!AY259&gt;0,3,0))</f>
        <v>3</v>
      </c>
      <c r="BA49" s="20">
        <f>IF('Growth profile'!AZ156&gt;0,1,IF('Growth profile'!AZ259&gt;0,3,0))</f>
        <v>3</v>
      </c>
      <c r="BB49" s="20">
        <f>IF('Growth profile'!BA156&gt;0,1,IF('Growth profile'!BA259&gt;0,3,0))</f>
        <v>0</v>
      </c>
      <c r="BC49" s="20">
        <f>IF('Growth profile'!BB156&gt;0,1,IF('Growth profile'!BB259&gt;0,3,0))</f>
        <v>0</v>
      </c>
      <c r="BD49" s="20">
        <f>IF('Growth profile'!BC156&gt;0,1,IF('Growth profile'!BC259&gt;0,3,0))</f>
        <v>0</v>
      </c>
      <c r="BE49" s="20">
        <f>IF('Growth profile'!BD156&gt;0,1,IF('Growth profile'!BD259&gt;0,3,0))</f>
        <v>0</v>
      </c>
      <c r="BF49" s="20">
        <f>IF('Growth profile'!BE156&gt;0,1,IF('Growth profile'!BE259&gt;0,3,0))</f>
        <v>0</v>
      </c>
      <c r="BG49" s="20">
        <f>IF('Growth profile'!BF156&gt;0,1,IF('Growth profile'!BF259&gt;0,3,0))</f>
        <v>0</v>
      </c>
      <c r="BH49" s="20">
        <f>IF('Growth profile'!BG156&gt;0,1,IF('Growth profile'!BG259&gt;0,3,0))</f>
        <v>0</v>
      </c>
      <c r="BI49" s="20">
        <f>IF('Growth profile'!BH156&gt;0,1,IF('Growth profile'!BH259&gt;0,3,0))</f>
        <v>0</v>
      </c>
      <c r="BJ49" s="20">
        <f>IF('Growth profile'!BI156&gt;0,1,IF('Growth profile'!BI259&gt;0,3,0))</f>
        <v>0</v>
      </c>
      <c r="BK49" s="21">
        <f>IF('Growth profile'!BJ156&gt;0,1,IF('Growth profile'!BJ259&gt;0,3,0))</f>
        <v>0</v>
      </c>
    </row>
    <row r="50" spans="1:63" x14ac:dyDescent="0.3">
      <c r="B50" s="13" t="s">
        <v>59</v>
      </c>
      <c r="C50" s="19">
        <f>'Growth (no penalty)'!I48</f>
        <v>2045</v>
      </c>
      <c r="D50" s="22">
        <f>IF('Growth (no penalty)'!C156&gt;0,1,IF('Growth (no penalty)'!C259&gt;0,4,0))</f>
        <v>0</v>
      </c>
      <c r="E50" s="22">
        <f>IF('Growth (no penalty)'!D156&gt;0,1,IF('Growth (no penalty)'!D259&gt;0,4,0))</f>
        <v>0</v>
      </c>
      <c r="F50" s="22">
        <f>IF('Growth (no penalty)'!E156&gt;0,1,IF('Growth (no penalty)'!E259&gt;0,4,0))</f>
        <v>0</v>
      </c>
      <c r="G50" s="22">
        <f>IF('Growth (no penalty)'!F156&gt;0,1,IF('Growth (no penalty)'!F259&gt;0,4,0))</f>
        <v>0</v>
      </c>
      <c r="H50" s="22">
        <f>IF('Growth (no penalty)'!G156&gt;0,1,IF('Growth (no penalty)'!G259&gt;0,4,0))</f>
        <v>0</v>
      </c>
      <c r="I50" s="22">
        <f>IF('Growth (no penalty)'!H156&gt;0,1,IF('Growth (no penalty)'!H259&gt;0,4,0))</f>
        <v>0</v>
      </c>
      <c r="J50" s="22">
        <f>IF('Growth (no penalty)'!I156&gt;0,1,IF('Growth (no penalty)'!I259&gt;0,4,0))</f>
        <v>0</v>
      </c>
      <c r="K50" s="22">
        <f>IF('Growth (no penalty)'!J156&gt;0,1,IF('Growth (no penalty)'!J259&gt;0,4,0))</f>
        <v>0</v>
      </c>
      <c r="L50" s="22">
        <f>IF('Growth (no penalty)'!K156&gt;0,1,IF('Growth (no penalty)'!K259&gt;0,4,0))</f>
        <v>0</v>
      </c>
      <c r="M50" s="22">
        <f>IF('Growth (no penalty)'!L156&gt;0,1,IF('Growth (no penalty)'!L259&gt;0,4,0))</f>
        <v>0</v>
      </c>
      <c r="N50" s="22">
        <f>IF('Growth (no penalty)'!M156&gt;0,1,IF('Growth (no penalty)'!M259&gt;0,4,0))</f>
        <v>0</v>
      </c>
      <c r="O50" s="22">
        <f>IF('Growth (no penalty)'!N156&gt;0,1,IF('Growth (no penalty)'!N259&gt;0,4,0))</f>
        <v>0</v>
      </c>
      <c r="P50" s="22">
        <f>IF('Growth (no penalty)'!O156&gt;0,1,IF('Growth (no penalty)'!O259&gt;0,4,0))</f>
        <v>0</v>
      </c>
      <c r="Q50" s="22">
        <f>IF('Growth (no penalty)'!P156&gt;0,1,IF('Growth (no penalty)'!P259&gt;0,4,0))</f>
        <v>0</v>
      </c>
      <c r="R50" s="22">
        <f>IF('Growth (no penalty)'!Q156&gt;0,1,IF('Growth (no penalty)'!Q259&gt;0,4,0))</f>
        <v>0</v>
      </c>
      <c r="S50" s="22">
        <f>IF('Growth (no penalty)'!R156&gt;0,1,IF('Growth (no penalty)'!R259&gt;0,4,0))</f>
        <v>0</v>
      </c>
      <c r="T50" s="22">
        <f>IF('Growth (no penalty)'!S156&gt;0,1,IF('Growth (no penalty)'!S259&gt;0,4,0))</f>
        <v>0</v>
      </c>
      <c r="U50" s="22">
        <f>IF('Growth (no penalty)'!T156&gt;0,1,IF('Growth (no penalty)'!T259&gt;0,4,0))</f>
        <v>0</v>
      </c>
      <c r="V50" s="22">
        <f>IF('Growth (no penalty)'!U156&gt;0,1,IF('Growth (no penalty)'!U259&gt;0,4,0))</f>
        <v>0</v>
      </c>
      <c r="W50" s="22">
        <f>IF('Growth (no penalty)'!V156&gt;0,1,IF('Growth (no penalty)'!V259&gt;0,4,0))</f>
        <v>1</v>
      </c>
      <c r="X50" s="22">
        <f>IF('Growth (no penalty)'!W156&gt;0,1,IF('Growth (no penalty)'!W259&gt;0,4,0))</f>
        <v>4</v>
      </c>
      <c r="Y50" s="22">
        <f>IF('Growth (no penalty)'!X156&gt;0,1,IF('Growth (no penalty)'!X259&gt;0,4,0))</f>
        <v>4</v>
      </c>
      <c r="Z50" s="22">
        <f>IF('Growth (no penalty)'!Y156&gt;0,1,IF('Growth (no penalty)'!Y259&gt;0,4,0))</f>
        <v>4</v>
      </c>
      <c r="AA50" s="22">
        <f>IF('Growth (no penalty)'!Z156&gt;0,1,IF('Growth (no penalty)'!Z259&gt;0,4,0))</f>
        <v>4</v>
      </c>
      <c r="AB50" s="22">
        <f>IF('Growth (no penalty)'!AA156&gt;0,1,IF('Growth (no penalty)'!AA259&gt;0,4,0))</f>
        <v>4</v>
      </c>
      <c r="AC50" s="22">
        <f>IF('Growth (no penalty)'!AB156&gt;0,1,IF('Growth (no penalty)'!AB259&gt;0,4,0))</f>
        <v>4</v>
      </c>
      <c r="AD50" s="22">
        <f>IF('Growth (no penalty)'!AC156&gt;0,1,IF('Growth (no penalty)'!AC259&gt;0,4,0))</f>
        <v>4</v>
      </c>
      <c r="AE50" s="22">
        <f>IF('Growth (no penalty)'!AD156&gt;0,1,IF('Growth (no penalty)'!AD259&gt;0,4,0))</f>
        <v>4</v>
      </c>
      <c r="AF50" s="22">
        <f>IF('Growth (no penalty)'!AE156&gt;0,1,IF('Growth (no penalty)'!AE259&gt;0,4,0))</f>
        <v>4</v>
      </c>
      <c r="AG50" s="22">
        <f>IF('Growth (no penalty)'!AF156&gt;0,1,IF('Growth (no penalty)'!AF259&gt;0,4,0))</f>
        <v>4</v>
      </c>
      <c r="AH50" s="22">
        <f>IF('Growth (no penalty)'!AG156&gt;0,1,IF('Growth (no penalty)'!AG259&gt;0,4,0))</f>
        <v>4</v>
      </c>
      <c r="AI50" s="22">
        <f>IF('Growth (no penalty)'!AH156&gt;0,1,IF('Growth (no penalty)'!AH259&gt;0,4,0))</f>
        <v>4</v>
      </c>
      <c r="AJ50" s="22">
        <f>IF('Growth (no penalty)'!AI156&gt;0,1,IF('Growth (no penalty)'!AI259&gt;0,4,0))</f>
        <v>4</v>
      </c>
      <c r="AK50" s="22">
        <f>IF('Growth (no penalty)'!AJ156&gt;0,1,IF('Growth (no penalty)'!AJ259&gt;0,4,0))</f>
        <v>4</v>
      </c>
      <c r="AL50" s="22">
        <f>IF('Growth (no penalty)'!AK156&gt;0,1,IF('Growth (no penalty)'!AK259&gt;0,4,0))</f>
        <v>4</v>
      </c>
      <c r="AM50" s="22">
        <f>IF('Growth (no penalty)'!AL156&gt;0,1,IF('Growth (no penalty)'!AL259&gt;0,4,0))</f>
        <v>4</v>
      </c>
      <c r="AN50" s="22">
        <f>IF('Growth (no penalty)'!AM156&gt;0,1,IF('Growth (no penalty)'!AM259&gt;0,4,0))</f>
        <v>4</v>
      </c>
      <c r="AO50" s="22">
        <f>IF('Growth (no penalty)'!AN156&gt;0,1,IF('Growth (no penalty)'!AN259&gt;0,4,0))</f>
        <v>4</v>
      </c>
      <c r="AP50" s="22">
        <f>IF('Growth (no penalty)'!AO156&gt;0,1,IF('Growth (no penalty)'!AO259&gt;0,4,0))</f>
        <v>4</v>
      </c>
      <c r="AQ50" s="22">
        <f>IF('Growth (no penalty)'!AP156&gt;0,1,IF('Growth (no penalty)'!AP259&gt;0,4,0))</f>
        <v>4</v>
      </c>
      <c r="AR50" s="22">
        <f>IF('Growth (no penalty)'!AQ156&gt;0,1,IF('Growth (no penalty)'!AQ259&gt;0,4,0))</f>
        <v>4</v>
      </c>
      <c r="AS50" s="22">
        <f>IF('Growth (no penalty)'!AR156&gt;0,1,IF('Growth (no penalty)'!AR259&gt;0,4,0))</f>
        <v>4</v>
      </c>
      <c r="AT50" s="22">
        <f>IF('Growth (no penalty)'!AS156&gt;0,1,IF('Growth (no penalty)'!AS259&gt;0,4,0))</f>
        <v>4</v>
      </c>
      <c r="AU50" s="22">
        <f>IF('Growth (no penalty)'!AT156&gt;0,1,IF('Growth (no penalty)'!AT259&gt;0,4,0))</f>
        <v>4</v>
      </c>
      <c r="AV50" s="22">
        <f>IF('Growth (no penalty)'!AU156&gt;0,1,IF('Growth (no penalty)'!AU259&gt;0,4,0))</f>
        <v>4</v>
      </c>
      <c r="AW50" s="22">
        <f>IF('Growth (no penalty)'!AV156&gt;0,1,IF('Growth (no penalty)'!AV259&gt;0,4,0))</f>
        <v>4</v>
      </c>
      <c r="AX50" s="22">
        <f>IF('Growth (no penalty)'!AW156&gt;0,1,IF('Growth (no penalty)'!AW259&gt;0,4,0))</f>
        <v>4</v>
      </c>
      <c r="AY50" s="22">
        <f>IF('Growth (no penalty)'!AX156&gt;0,1,IF('Growth (no penalty)'!AX259&gt;0,4,0))</f>
        <v>4</v>
      </c>
      <c r="AZ50" s="22">
        <f>IF('Growth (no penalty)'!AY156&gt;0,1,IF('Growth (no penalty)'!AY259&gt;0,4,0))</f>
        <v>4</v>
      </c>
      <c r="BA50" s="22">
        <f>IF('Growth (no penalty)'!AZ156&gt;0,1,IF('Growth (no penalty)'!AZ259&gt;0,4,0))</f>
        <v>4</v>
      </c>
      <c r="BB50" s="22">
        <f>IF('Growth (no penalty)'!BA156&gt;0,1,IF('Growth (no penalty)'!BA259&gt;0,4,0))</f>
        <v>4</v>
      </c>
      <c r="BC50" s="22">
        <f>IF('Growth (no penalty)'!BB156&gt;0,1,IF('Growth (no penalty)'!BB259&gt;0,4,0))</f>
        <v>4</v>
      </c>
      <c r="BD50" s="22">
        <f>IF('Growth (no penalty)'!BC156&gt;0,1,IF('Growth (no penalty)'!BC259&gt;0,4,0))</f>
        <v>4</v>
      </c>
      <c r="BE50" s="22">
        <f>IF('Growth (no penalty)'!BD156&gt;0,1,IF('Growth (no penalty)'!BD259&gt;0,4,0))</f>
        <v>4</v>
      </c>
      <c r="BF50" s="22">
        <f>IF('Growth (no penalty)'!BE156&gt;0,1,IF('Growth (no penalty)'!BE259&gt;0,4,0))</f>
        <v>4</v>
      </c>
      <c r="BG50" s="22">
        <f>IF('Growth (no penalty)'!BF156&gt;0,1,IF('Growth (no penalty)'!BF259&gt;0,4,0))</f>
        <v>4</v>
      </c>
      <c r="BH50" s="22">
        <f>IF('Growth (no penalty)'!BG156&gt;0,1,IF('Growth (no penalty)'!BG259&gt;0,4,0))</f>
        <v>4</v>
      </c>
      <c r="BI50" s="22">
        <f>IF('Growth (no penalty)'!BH156&gt;0,1,IF('Growth (no penalty)'!BH259&gt;0,4,0))</f>
        <v>4</v>
      </c>
      <c r="BJ50" s="22">
        <f>IF('Growth (no penalty)'!BI156&gt;0,1,IF('Growth (no penalty)'!BI259&gt;0,4,0))</f>
        <v>4</v>
      </c>
      <c r="BK50" s="23">
        <f>IF('Growth (no penalty)'!BJ156&gt;0,1,IF('Growth (no penalty)'!BJ259&gt;0,4,0))</f>
        <v>4</v>
      </c>
    </row>
    <row r="51" spans="1:63" x14ac:dyDescent="0.3">
      <c r="A51" s="4" t="str">
        <f>'Growth profile'!A29</f>
        <v>project 12</v>
      </c>
      <c r="B51" s="13" t="s">
        <v>3</v>
      </c>
      <c r="C51" s="19">
        <f>'Raw profile'!I29</f>
        <v>2026</v>
      </c>
      <c r="D51" s="20">
        <f>IF('Raw profile'!C137&gt;0,1,IF('Raw profile'!C240&gt;0,2,0))</f>
        <v>1</v>
      </c>
      <c r="E51" s="20">
        <f>IF('Raw profile'!D137&gt;0,1,IF('Raw profile'!D240&gt;0,2,0))</f>
        <v>1</v>
      </c>
      <c r="F51" s="20">
        <f>IF('Raw profile'!E137&gt;0,1,IF('Raw profile'!E240&gt;0,2,0))</f>
        <v>2</v>
      </c>
      <c r="G51" s="20">
        <f>IF('Raw profile'!F137&gt;0,1,IF('Raw profile'!F240&gt;0,2,0))</f>
        <v>2</v>
      </c>
      <c r="H51" s="20">
        <f>IF('Raw profile'!G137&gt;0,1,IF('Raw profile'!G240&gt;0,2,0))</f>
        <v>2</v>
      </c>
      <c r="I51" s="20">
        <f>IF('Raw profile'!H137&gt;0,1,IF('Raw profile'!H240&gt;0,2,0))</f>
        <v>2</v>
      </c>
      <c r="J51" s="20">
        <f>IF('Raw profile'!I137&gt;0,1,IF('Raw profile'!I240&gt;0,2,0))</f>
        <v>2</v>
      </c>
      <c r="K51" s="20">
        <f>IF('Raw profile'!J137&gt;0,1,IF('Raw profile'!J240&gt;0,2,0))</f>
        <v>2</v>
      </c>
      <c r="L51" s="20">
        <f>IF('Raw profile'!K137&gt;0,1,IF('Raw profile'!K240&gt;0,2,0))</f>
        <v>2</v>
      </c>
      <c r="M51" s="20">
        <f>IF('Raw profile'!L137&gt;0,1,IF('Raw profile'!L240&gt;0,2,0))</f>
        <v>2</v>
      </c>
      <c r="N51" s="20">
        <f>IF('Raw profile'!M137&gt;0,1,IF('Raw profile'!M240&gt;0,2,0))</f>
        <v>2</v>
      </c>
      <c r="O51" s="20">
        <f>IF('Raw profile'!N137&gt;0,1,IF('Raw profile'!N240&gt;0,2,0))</f>
        <v>2</v>
      </c>
      <c r="P51" s="20">
        <f>IF('Raw profile'!O137&gt;0,1,IF('Raw profile'!O240&gt;0,2,0))</f>
        <v>2</v>
      </c>
      <c r="Q51" s="20">
        <f>IF('Raw profile'!P137&gt;0,1,IF('Raw profile'!P240&gt;0,2,0))</f>
        <v>2</v>
      </c>
      <c r="R51" s="20">
        <f>IF('Raw profile'!Q137&gt;0,1,IF('Raw profile'!Q240&gt;0,2,0))</f>
        <v>2</v>
      </c>
      <c r="S51" s="20">
        <f>IF('Raw profile'!R137&gt;0,1,IF('Raw profile'!R240&gt;0,2,0))</f>
        <v>2</v>
      </c>
      <c r="T51" s="20">
        <f>IF('Raw profile'!S137&gt;0,1,IF('Raw profile'!S240&gt;0,2,0))</f>
        <v>2</v>
      </c>
      <c r="U51" s="20">
        <f>IF('Raw profile'!T137&gt;0,1,IF('Raw profile'!T240&gt;0,2,0))</f>
        <v>2</v>
      </c>
      <c r="V51" s="20">
        <f>IF('Raw profile'!U137&gt;0,1,IF('Raw profile'!U240&gt;0,2,0))</f>
        <v>2</v>
      </c>
      <c r="W51" s="20">
        <f>IF('Raw profile'!V137&gt;0,1,IF('Raw profile'!V240&gt;0,2,0))</f>
        <v>2</v>
      </c>
      <c r="X51" s="20">
        <f>IF('Raw profile'!W137&gt;0,1,IF('Raw profile'!W240&gt;0,2,0))</f>
        <v>2</v>
      </c>
      <c r="Y51" s="20">
        <f>IF('Raw profile'!X137&gt;0,1,IF('Raw profile'!X240&gt;0,2,0))</f>
        <v>2</v>
      </c>
      <c r="Z51" s="20">
        <f>IF('Raw profile'!Y137&gt;0,1,IF('Raw profile'!Y240&gt;0,2,0))</f>
        <v>2</v>
      </c>
      <c r="AA51" s="20">
        <f>IF('Raw profile'!Z137&gt;0,1,IF('Raw profile'!Z240&gt;0,2,0))</f>
        <v>2</v>
      </c>
      <c r="AB51" s="20">
        <f>IF('Raw profile'!AA137&gt;0,1,IF('Raw profile'!AA240&gt;0,2,0))</f>
        <v>2</v>
      </c>
      <c r="AC51" s="20">
        <f>IF('Raw profile'!AB137&gt;0,1,IF('Raw profile'!AB240&gt;0,2,0))</f>
        <v>2</v>
      </c>
      <c r="AD51" s="20">
        <f>IF('Raw profile'!AC137&gt;0,1,IF('Raw profile'!AC240&gt;0,2,0))</f>
        <v>2</v>
      </c>
      <c r="AE51" s="20">
        <f>IF('Raw profile'!AD137&gt;0,1,IF('Raw profile'!AD240&gt;0,2,0))</f>
        <v>2</v>
      </c>
      <c r="AF51" s="20">
        <f>IF('Raw profile'!AE137&gt;0,1,IF('Raw profile'!AE240&gt;0,2,0))</f>
        <v>2</v>
      </c>
      <c r="AG51" s="20">
        <f>IF('Raw profile'!AF137&gt;0,1,IF('Raw profile'!AF240&gt;0,2,0))</f>
        <v>2</v>
      </c>
      <c r="AH51" s="20">
        <f>IF('Raw profile'!AG137&gt;0,1,IF('Raw profile'!AG240&gt;0,2,0))</f>
        <v>2</v>
      </c>
      <c r="AI51" s="20">
        <f>IF('Raw profile'!AH137&gt;0,1,IF('Raw profile'!AH240&gt;0,2,0))</f>
        <v>2</v>
      </c>
      <c r="AJ51" s="20">
        <f>IF('Raw profile'!AI137&gt;0,1,IF('Raw profile'!AI240&gt;0,2,0))</f>
        <v>2</v>
      </c>
      <c r="AK51" s="20">
        <f>IF('Raw profile'!AJ137&gt;0,1,IF('Raw profile'!AJ240&gt;0,2,0))</f>
        <v>2</v>
      </c>
      <c r="AL51" s="20">
        <f>IF('Raw profile'!AK137&gt;0,1,IF('Raw profile'!AK240&gt;0,2,0))</f>
        <v>2</v>
      </c>
      <c r="AM51" s="20">
        <f>IF('Raw profile'!AL137&gt;0,1,IF('Raw profile'!AL240&gt;0,2,0))</f>
        <v>2</v>
      </c>
      <c r="AN51" s="20">
        <f>IF('Raw profile'!AM137&gt;0,1,IF('Raw profile'!AM240&gt;0,2,0))</f>
        <v>2</v>
      </c>
      <c r="AO51" s="20">
        <f>IF('Raw profile'!AN137&gt;0,1,IF('Raw profile'!AN240&gt;0,2,0))</f>
        <v>2</v>
      </c>
      <c r="AP51" s="20">
        <f>IF('Raw profile'!AO137&gt;0,1,IF('Raw profile'!AO240&gt;0,2,0))</f>
        <v>2</v>
      </c>
      <c r="AQ51" s="20">
        <f>IF('Raw profile'!AP137&gt;0,1,IF('Raw profile'!AP240&gt;0,2,0))</f>
        <v>2</v>
      </c>
      <c r="AR51" s="20">
        <f>IF('Raw profile'!AQ137&gt;0,1,IF('Raw profile'!AQ240&gt;0,2,0))</f>
        <v>2</v>
      </c>
      <c r="AS51" s="20">
        <f>IF('Raw profile'!AR137&gt;0,1,IF('Raw profile'!AR240&gt;0,2,0))</f>
        <v>2</v>
      </c>
      <c r="AT51" s="20">
        <f>IF('Raw profile'!AS137&gt;0,1,IF('Raw profile'!AS240&gt;0,2,0))</f>
        <v>0</v>
      </c>
      <c r="AU51" s="20">
        <f>IF('Raw profile'!AT137&gt;0,1,IF('Raw profile'!AT240&gt;0,2,0))</f>
        <v>0</v>
      </c>
      <c r="AV51" s="20">
        <f>IF('Raw profile'!AU137&gt;0,1,IF('Raw profile'!AU240&gt;0,2,0))</f>
        <v>0</v>
      </c>
      <c r="AW51" s="20">
        <f>IF('Raw profile'!AV137&gt;0,1,IF('Raw profile'!AV240&gt;0,2,0))</f>
        <v>0</v>
      </c>
      <c r="AX51" s="20">
        <f>IF('Raw profile'!AW137&gt;0,1,IF('Raw profile'!AW240&gt;0,2,0))</f>
        <v>0</v>
      </c>
      <c r="AY51" s="20">
        <f>IF('Raw profile'!AX137&gt;0,1,IF('Raw profile'!AX240&gt;0,2,0))</f>
        <v>0</v>
      </c>
      <c r="AZ51" s="20">
        <f>IF('Raw profile'!AY137&gt;0,1,IF('Raw profile'!AY240&gt;0,2,0))</f>
        <v>0</v>
      </c>
      <c r="BA51" s="20">
        <f>IF('Raw profile'!AZ137&gt;0,1,IF('Raw profile'!AZ240&gt;0,2,0))</f>
        <v>0</v>
      </c>
      <c r="BB51" s="20">
        <f>IF('Raw profile'!BA137&gt;0,1,IF('Raw profile'!BA240&gt;0,2,0))</f>
        <v>0</v>
      </c>
      <c r="BC51" s="20">
        <f>IF('Raw profile'!BB137&gt;0,1,IF('Raw profile'!BB240&gt;0,2,0))</f>
        <v>0</v>
      </c>
      <c r="BD51" s="20">
        <f>IF('Raw profile'!BC137&gt;0,1,IF('Raw profile'!BC240&gt;0,2,0))</f>
        <v>0</v>
      </c>
      <c r="BE51" s="20">
        <f>IF('Raw profile'!BD137&gt;0,1,IF('Raw profile'!BD240&gt;0,2,0))</f>
        <v>0</v>
      </c>
      <c r="BF51" s="20">
        <f>IF('Raw profile'!BE137&gt;0,1,IF('Raw profile'!BE240&gt;0,2,0))</f>
        <v>0</v>
      </c>
      <c r="BG51" s="20">
        <f>IF('Raw profile'!BF137&gt;0,1,IF('Raw profile'!BF240&gt;0,2,0))</f>
        <v>0</v>
      </c>
      <c r="BH51" s="20">
        <f>IF('Raw profile'!BG137&gt;0,1,IF('Raw profile'!BG240&gt;0,2,0))</f>
        <v>0</v>
      </c>
      <c r="BI51" s="20">
        <f>IF('Raw profile'!BH137&gt;0,1,IF('Raw profile'!BH240&gt;0,2,0))</f>
        <v>0</v>
      </c>
      <c r="BJ51" s="20">
        <f>IF('Raw profile'!BI137&gt;0,1,IF('Raw profile'!BI240&gt;0,2,0))</f>
        <v>0</v>
      </c>
      <c r="BK51" s="21">
        <f>IF('Raw profile'!BJ137&gt;0,1,IF('Raw profile'!BJ240&gt;0,2,0))</f>
        <v>0</v>
      </c>
    </row>
    <row r="52" spans="1:63" x14ac:dyDescent="0.3">
      <c r="B52" s="13" t="s">
        <v>4</v>
      </c>
      <c r="C52" s="19">
        <f>'Growth profile'!I29</f>
        <v>2037</v>
      </c>
      <c r="D52" s="20">
        <f>IF('Growth profile'!C137&gt;0,1,IF('Growth profile'!C240&gt;0,3,0))</f>
        <v>0</v>
      </c>
      <c r="E52" s="20">
        <f>IF('Growth profile'!D137&gt;0,1,IF('Growth profile'!D240&gt;0,3,0))</f>
        <v>0</v>
      </c>
      <c r="F52" s="20">
        <f>IF('Growth profile'!E137&gt;0,1,IF('Growth profile'!E240&gt;0,3,0))</f>
        <v>0</v>
      </c>
      <c r="G52" s="20">
        <f>IF('Growth profile'!F137&gt;0,1,IF('Growth profile'!F240&gt;0,3,0))</f>
        <v>0</v>
      </c>
      <c r="H52" s="20">
        <f>IF('Growth profile'!G137&gt;0,1,IF('Growth profile'!G240&gt;0,3,0))</f>
        <v>0</v>
      </c>
      <c r="I52" s="20">
        <f>IF('Growth profile'!H137&gt;0,1,IF('Growth profile'!H240&gt;0,3,0))</f>
        <v>0</v>
      </c>
      <c r="J52" s="20">
        <f>IF('Growth profile'!I137&gt;0,1,IF('Growth profile'!I240&gt;0,3,0))</f>
        <v>0</v>
      </c>
      <c r="K52" s="20">
        <f>IF('Growth profile'!J137&gt;0,1,IF('Growth profile'!J240&gt;0,3,0))</f>
        <v>0</v>
      </c>
      <c r="L52" s="20">
        <f>IF('Growth profile'!K137&gt;0,1,IF('Growth profile'!K240&gt;0,3,0))</f>
        <v>0</v>
      </c>
      <c r="M52" s="20">
        <f>IF('Growth profile'!L137&gt;0,1,IF('Growth profile'!L240&gt;0,3,0))</f>
        <v>0</v>
      </c>
      <c r="N52" s="20">
        <f>IF('Growth profile'!M137&gt;0,1,IF('Growth profile'!M240&gt;0,3,0))</f>
        <v>0</v>
      </c>
      <c r="O52" s="20">
        <f>IF('Growth profile'!N137&gt;0,1,IF('Growth profile'!N240&gt;0,3,0))</f>
        <v>1</v>
      </c>
      <c r="P52" s="20">
        <f>IF('Growth profile'!O137&gt;0,1,IF('Growth profile'!O240&gt;0,3,0))</f>
        <v>1</v>
      </c>
      <c r="Q52" s="20">
        <f>IF('Growth profile'!P137&gt;0,1,IF('Growth profile'!P240&gt;0,3,0))</f>
        <v>3</v>
      </c>
      <c r="R52" s="20">
        <f>IF('Growth profile'!Q137&gt;0,1,IF('Growth profile'!Q240&gt;0,3,0))</f>
        <v>3</v>
      </c>
      <c r="S52" s="20">
        <f>IF('Growth profile'!R137&gt;0,1,IF('Growth profile'!R240&gt;0,3,0))</f>
        <v>3</v>
      </c>
      <c r="T52" s="20">
        <f>IF('Growth profile'!S137&gt;0,1,IF('Growth profile'!S240&gt;0,3,0))</f>
        <v>3</v>
      </c>
      <c r="U52" s="20">
        <f>IF('Growth profile'!T137&gt;0,1,IF('Growth profile'!T240&gt;0,3,0))</f>
        <v>3</v>
      </c>
      <c r="V52" s="20">
        <f>IF('Growth profile'!U137&gt;0,1,IF('Growth profile'!U240&gt;0,3,0))</f>
        <v>3</v>
      </c>
      <c r="W52" s="20">
        <f>IF('Growth profile'!V137&gt;0,1,IF('Growth profile'!V240&gt;0,3,0))</f>
        <v>3</v>
      </c>
      <c r="X52" s="20">
        <f>IF('Growth profile'!W137&gt;0,1,IF('Growth profile'!W240&gt;0,3,0))</f>
        <v>3</v>
      </c>
      <c r="Y52" s="20">
        <f>IF('Growth profile'!X137&gt;0,1,IF('Growth profile'!X240&gt;0,3,0))</f>
        <v>3</v>
      </c>
      <c r="Z52" s="20">
        <f>IF('Growth profile'!Y137&gt;0,1,IF('Growth profile'!Y240&gt;0,3,0))</f>
        <v>3</v>
      </c>
      <c r="AA52" s="20">
        <f>IF('Growth profile'!Z137&gt;0,1,IF('Growth profile'!Z240&gt;0,3,0))</f>
        <v>3</v>
      </c>
      <c r="AB52" s="20">
        <f>IF('Growth profile'!AA137&gt;0,1,IF('Growth profile'!AA240&gt;0,3,0))</f>
        <v>3</v>
      </c>
      <c r="AC52" s="20">
        <f>IF('Growth profile'!AB137&gt;0,1,IF('Growth profile'!AB240&gt;0,3,0))</f>
        <v>3</v>
      </c>
      <c r="AD52" s="20">
        <f>IF('Growth profile'!AC137&gt;0,1,IF('Growth profile'!AC240&gt;0,3,0))</f>
        <v>3</v>
      </c>
      <c r="AE52" s="20">
        <f>IF('Growth profile'!AD137&gt;0,1,IF('Growth profile'!AD240&gt;0,3,0))</f>
        <v>3</v>
      </c>
      <c r="AF52" s="20">
        <f>IF('Growth profile'!AE137&gt;0,1,IF('Growth profile'!AE240&gt;0,3,0))</f>
        <v>3</v>
      </c>
      <c r="AG52" s="20">
        <f>IF('Growth profile'!AF137&gt;0,1,IF('Growth profile'!AF240&gt;0,3,0))</f>
        <v>3</v>
      </c>
      <c r="AH52" s="20">
        <f>IF('Growth profile'!AG137&gt;0,1,IF('Growth profile'!AG240&gt;0,3,0))</f>
        <v>3</v>
      </c>
      <c r="AI52" s="20">
        <f>IF('Growth profile'!AH137&gt;0,1,IF('Growth profile'!AH240&gt;0,3,0))</f>
        <v>3</v>
      </c>
      <c r="AJ52" s="20">
        <f>IF('Growth profile'!AI137&gt;0,1,IF('Growth profile'!AI240&gt;0,3,0))</f>
        <v>3</v>
      </c>
      <c r="AK52" s="20">
        <f>IF('Growth profile'!AJ137&gt;0,1,IF('Growth profile'!AJ240&gt;0,3,0))</f>
        <v>3</v>
      </c>
      <c r="AL52" s="20">
        <f>IF('Growth profile'!AK137&gt;0,1,IF('Growth profile'!AK240&gt;0,3,0))</f>
        <v>3</v>
      </c>
      <c r="AM52" s="20">
        <f>IF('Growth profile'!AL137&gt;0,1,IF('Growth profile'!AL240&gt;0,3,0))</f>
        <v>3</v>
      </c>
      <c r="AN52" s="20">
        <f>IF('Growth profile'!AM137&gt;0,1,IF('Growth profile'!AM240&gt;0,3,0))</f>
        <v>3</v>
      </c>
      <c r="AO52" s="20">
        <f>IF('Growth profile'!AN137&gt;0,1,IF('Growth profile'!AN240&gt;0,3,0))</f>
        <v>3</v>
      </c>
      <c r="AP52" s="20">
        <f>IF('Growth profile'!AO137&gt;0,1,IF('Growth profile'!AO240&gt;0,3,0))</f>
        <v>3</v>
      </c>
      <c r="AQ52" s="20">
        <f>IF('Growth profile'!AP137&gt;0,1,IF('Growth profile'!AP240&gt;0,3,0))</f>
        <v>3</v>
      </c>
      <c r="AR52" s="20">
        <f>IF('Growth profile'!AQ137&gt;0,1,IF('Growth profile'!AQ240&gt;0,3,0))</f>
        <v>3</v>
      </c>
      <c r="AS52" s="20">
        <f>IF('Growth profile'!AR137&gt;0,1,IF('Growth profile'!AR240&gt;0,3,0))</f>
        <v>3</v>
      </c>
      <c r="AT52" s="20">
        <f>IF('Growth profile'!AS137&gt;0,1,IF('Growth profile'!AS240&gt;0,3,0))</f>
        <v>3</v>
      </c>
      <c r="AU52" s="20">
        <f>IF('Growth profile'!AT137&gt;0,1,IF('Growth profile'!AT240&gt;0,3,0))</f>
        <v>3</v>
      </c>
      <c r="AV52" s="20">
        <f>IF('Growth profile'!AU137&gt;0,1,IF('Growth profile'!AU240&gt;0,3,0))</f>
        <v>3</v>
      </c>
      <c r="AW52" s="20">
        <f>IF('Growth profile'!AV137&gt;0,1,IF('Growth profile'!AV240&gt;0,3,0))</f>
        <v>3</v>
      </c>
      <c r="AX52" s="20">
        <f>IF('Growth profile'!AW137&gt;0,1,IF('Growth profile'!AW240&gt;0,3,0))</f>
        <v>3</v>
      </c>
      <c r="AY52" s="20">
        <f>IF('Growth profile'!AX137&gt;0,1,IF('Growth profile'!AX240&gt;0,3,0))</f>
        <v>3</v>
      </c>
      <c r="AZ52" s="20">
        <f>IF('Growth profile'!AY137&gt;0,1,IF('Growth profile'!AY240&gt;0,3,0))</f>
        <v>3</v>
      </c>
      <c r="BA52" s="20">
        <f>IF('Growth profile'!AZ137&gt;0,1,IF('Growth profile'!AZ240&gt;0,3,0))</f>
        <v>3</v>
      </c>
      <c r="BB52" s="20">
        <f>IF('Growth profile'!BA137&gt;0,1,IF('Growth profile'!BA240&gt;0,3,0))</f>
        <v>3</v>
      </c>
      <c r="BC52" s="20">
        <f>IF('Growth profile'!BB137&gt;0,1,IF('Growth profile'!BB240&gt;0,3,0))</f>
        <v>3</v>
      </c>
      <c r="BD52" s="20">
        <f>IF('Growth profile'!BC137&gt;0,1,IF('Growth profile'!BC240&gt;0,3,0))</f>
        <v>3</v>
      </c>
      <c r="BE52" s="20">
        <f>IF('Growth profile'!BD137&gt;0,1,IF('Growth profile'!BD240&gt;0,3,0))</f>
        <v>0</v>
      </c>
      <c r="BF52" s="20">
        <f>IF('Growth profile'!BE137&gt;0,1,IF('Growth profile'!BE240&gt;0,3,0))</f>
        <v>0</v>
      </c>
      <c r="BG52" s="20">
        <f>IF('Growth profile'!BF137&gt;0,1,IF('Growth profile'!BF240&gt;0,3,0))</f>
        <v>0</v>
      </c>
      <c r="BH52" s="20">
        <f>IF('Growth profile'!BG137&gt;0,1,IF('Growth profile'!BG240&gt;0,3,0))</f>
        <v>0</v>
      </c>
      <c r="BI52" s="20">
        <f>IF('Growth profile'!BH137&gt;0,1,IF('Growth profile'!BH240&gt;0,3,0))</f>
        <v>0</v>
      </c>
      <c r="BJ52" s="20">
        <f>IF('Growth profile'!BI137&gt;0,1,IF('Growth profile'!BI240&gt;0,3,0))</f>
        <v>0</v>
      </c>
      <c r="BK52" s="21">
        <f>IF('Growth profile'!BJ137&gt;0,1,IF('Growth profile'!BJ240&gt;0,3,0))</f>
        <v>0</v>
      </c>
    </row>
    <row r="53" spans="1:63" x14ac:dyDescent="0.3">
      <c r="B53" s="13" t="s">
        <v>59</v>
      </c>
      <c r="C53" s="19">
        <f>'Growth (no penalty)'!I29</f>
        <v>2044</v>
      </c>
      <c r="D53" s="22">
        <f>IF('Growth (no penalty)'!C137&gt;0,1,IF('Growth (no penalty)'!C240&gt;0,4,0))</f>
        <v>0</v>
      </c>
      <c r="E53" s="22">
        <f>IF('Growth (no penalty)'!D137&gt;0,1,IF('Growth (no penalty)'!D240&gt;0,4,0))</f>
        <v>0</v>
      </c>
      <c r="F53" s="22">
        <f>IF('Growth (no penalty)'!E137&gt;0,1,IF('Growth (no penalty)'!E240&gt;0,4,0))</f>
        <v>0</v>
      </c>
      <c r="G53" s="22">
        <f>IF('Growth (no penalty)'!F137&gt;0,1,IF('Growth (no penalty)'!F240&gt;0,4,0))</f>
        <v>0</v>
      </c>
      <c r="H53" s="22">
        <f>IF('Growth (no penalty)'!G137&gt;0,1,IF('Growth (no penalty)'!G240&gt;0,4,0))</f>
        <v>0</v>
      </c>
      <c r="I53" s="22">
        <f>IF('Growth (no penalty)'!H137&gt;0,1,IF('Growth (no penalty)'!H240&gt;0,4,0))</f>
        <v>0</v>
      </c>
      <c r="J53" s="22">
        <f>IF('Growth (no penalty)'!I137&gt;0,1,IF('Growth (no penalty)'!I240&gt;0,4,0))</f>
        <v>0</v>
      </c>
      <c r="K53" s="22">
        <f>IF('Growth (no penalty)'!J137&gt;0,1,IF('Growth (no penalty)'!J240&gt;0,4,0))</f>
        <v>0</v>
      </c>
      <c r="L53" s="22">
        <f>IF('Growth (no penalty)'!K137&gt;0,1,IF('Growth (no penalty)'!K240&gt;0,4,0))</f>
        <v>0</v>
      </c>
      <c r="M53" s="22">
        <f>IF('Growth (no penalty)'!L137&gt;0,1,IF('Growth (no penalty)'!L240&gt;0,4,0))</f>
        <v>0</v>
      </c>
      <c r="N53" s="22">
        <f>IF('Growth (no penalty)'!M137&gt;0,1,IF('Growth (no penalty)'!M240&gt;0,4,0))</f>
        <v>0</v>
      </c>
      <c r="O53" s="22">
        <f>IF('Growth (no penalty)'!N137&gt;0,1,IF('Growth (no penalty)'!N240&gt;0,4,0))</f>
        <v>0</v>
      </c>
      <c r="P53" s="22">
        <f>IF('Growth (no penalty)'!O137&gt;0,1,IF('Growth (no penalty)'!O240&gt;0,4,0))</f>
        <v>0</v>
      </c>
      <c r="Q53" s="22">
        <f>IF('Growth (no penalty)'!P137&gt;0,1,IF('Growth (no penalty)'!P240&gt;0,4,0))</f>
        <v>0</v>
      </c>
      <c r="R53" s="22">
        <f>IF('Growth (no penalty)'!Q137&gt;0,1,IF('Growth (no penalty)'!Q240&gt;0,4,0))</f>
        <v>0</v>
      </c>
      <c r="S53" s="22">
        <f>IF('Growth (no penalty)'!R137&gt;0,1,IF('Growth (no penalty)'!R240&gt;0,4,0))</f>
        <v>0</v>
      </c>
      <c r="T53" s="22">
        <f>IF('Growth (no penalty)'!S137&gt;0,1,IF('Growth (no penalty)'!S240&gt;0,4,0))</f>
        <v>0</v>
      </c>
      <c r="U53" s="22">
        <f>IF('Growth (no penalty)'!T137&gt;0,1,IF('Growth (no penalty)'!T240&gt;0,4,0))</f>
        <v>0</v>
      </c>
      <c r="V53" s="22">
        <f>IF('Growth (no penalty)'!U137&gt;0,1,IF('Growth (no penalty)'!U240&gt;0,4,0))</f>
        <v>1</v>
      </c>
      <c r="W53" s="22">
        <f>IF('Growth (no penalty)'!V137&gt;0,1,IF('Growth (no penalty)'!V240&gt;0,4,0))</f>
        <v>1</v>
      </c>
      <c r="X53" s="22">
        <f>IF('Growth (no penalty)'!W137&gt;0,1,IF('Growth (no penalty)'!W240&gt;0,4,0))</f>
        <v>4</v>
      </c>
      <c r="Y53" s="22">
        <f>IF('Growth (no penalty)'!X137&gt;0,1,IF('Growth (no penalty)'!X240&gt;0,4,0))</f>
        <v>4</v>
      </c>
      <c r="Z53" s="22">
        <f>IF('Growth (no penalty)'!Y137&gt;0,1,IF('Growth (no penalty)'!Y240&gt;0,4,0))</f>
        <v>4</v>
      </c>
      <c r="AA53" s="22">
        <f>IF('Growth (no penalty)'!Z137&gt;0,1,IF('Growth (no penalty)'!Z240&gt;0,4,0))</f>
        <v>4</v>
      </c>
      <c r="AB53" s="22">
        <f>IF('Growth (no penalty)'!AA137&gt;0,1,IF('Growth (no penalty)'!AA240&gt;0,4,0))</f>
        <v>4</v>
      </c>
      <c r="AC53" s="22">
        <f>IF('Growth (no penalty)'!AB137&gt;0,1,IF('Growth (no penalty)'!AB240&gt;0,4,0))</f>
        <v>4</v>
      </c>
      <c r="AD53" s="22">
        <f>IF('Growth (no penalty)'!AC137&gt;0,1,IF('Growth (no penalty)'!AC240&gt;0,4,0))</f>
        <v>4</v>
      </c>
      <c r="AE53" s="22">
        <f>IF('Growth (no penalty)'!AD137&gt;0,1,IF('Growth (no penalty)'!AD240&gt;0,4,0))</f>
        <v>4</v>
      </c>
      <c r="AF53" s="22">
        <f>IF('Growth (no penalty)'!AE137&gt;0,1,IF('Growth (no penalty)'!AE240&gt;0,4,0))</f>
        <v>4</v>
      </c>
      <c r="AG53" s="22">
        <f>IF('Growth (no penalty)'!AF137&gt;0,1,IF('Growth (no penalty)'!AF240&gt;0,4,0))</f>
        <v>4</v>
      </c>
      <c r="AH53" s="22">
        <f>IF('Growth (no penalty)'!AG137&gt;0,1,IF('Growth (no penalty)'!AG240&gt;0,4,0))</f>
        <v>4</v>
      </c>
      <c r="AI53" s="22">
        <f>IF('Growth (no penalty)'!AH137&gt;0,1,IF('Growth (no penalty)'!AH240&gt;0,4,0))</f>
        <v>4</v>
      </c>
      <c r="AJ53" s="22">
        <f>IF('Growth (no penalty)'!AI137&gt;0,1,IF('Growth (no penalty)'!AI240&gt;0,4,0))</f>
        <v>4</v>
      </c>
      <c r="AK53" s="22">
        <f>IF('Growth (no penalty)'!AJ137&gt;0,1,IF('Growth (no penalty)'!AJ240&gt;0,4,0))</f>
        <v>4</v>
      </c>
      <c r="AL53" s="22">
        <f>IF('Growth (no penalty)'!AK137&gt;0,1,IF('Growth (no penalty)'!AK240&gt;0,4,0))</f>
        <v>4</v>
      </c>
      <c r="AM53" s="22">
        <f>IF('Growth (no penalty)'!AL137&gt;0,1,IF('Growth (no penalty)'!AL240&gt;0,4,0))</f>
        <v>4</v>
      </c>
      <c r="AN53" s="22">
        <f>IF('Growth (no penalty)'!AM137&gt;0,1,IF('Growth (no penalty)'!AM240&gt;0,4,0))</f>
        <v>4</v>
      </c>
      <c r="AO53" s="22">
        <f>IF('Growth (no penalty)'!AN137&gt;0,1,IF('Growth (no penalty)'!AN240&gt;0,4,0))</f>
        <v>4</v>
      </c>
      <c r="AP53" s="22">
        <f>IF('Growth (no penalty)'!AO137&gt;0,1,IF('Growth (no penalty)'!AO240&gt;0,4,0))</f>
        <v>4</v>
      </c>
      <c r="AQ53" s="22">
        <f>IF('Growth (no penalty)'!AP137&gt;0,1,IF('Growth (no penalty)'!AP240&gt;0,4,0))</f>
        <v>4</v>
      </c>
      <c r="AR53" s="22">
        <f>IF('Growth (no penalty)'!AQ137&gt;0,1,IF('Growth (no penalty)'!AQ240&gt;0,4,0))</f>
        <v>4</v>
      </c>
      <c r="AS53" s="22">
        <f>IF('Growth (no penalty)'!AR137&gt;0,1,IF('Growth (no penalty)'!AR240&gt;0,4,0))</f>
        <v>4</v>
      </c>
      <c r="AT53" s="22">
        <f>IF('Growth (no penalty)'!AS137&gt;0,1,IF('Growth (no penalty)'!AS240&gt;0,4,0))</f>
        <v>4</v>
      </c>
      <c r="AU53" s="22">
        <f>IF('Growth (no penalty)'!AT137&gt;0,1,IF('Growth (no penalty)'!AT240&gt;0,4,0))</f>
        <v>4</v>
      </c>
      <c r="AV53" s="22">
        <f>IF('Growth (no penalty)'!AU137&gt;0,1,IF('Growth (no penalty)'!AU240&gt;0,4,0))</f>
        <v>4</v>
      </c>
      <c r="AW53" s="22">
        <f>IF('Growth (no penalty)'!AV137&gt;0,1,IF('Growth (no penalty)'!AV240&gt;0,4,0))</f>
        <v>4</v>
      </c>
      <c r="AX53" s="22">
        <f>IF('Growth (no penalty)'!AW137&gt;0,1,IF('Growth (no penalty)'!AW240&gt;0,4,0))</f>
        <v>4</v>
      </c>
      <c r="AY53" s="22">
        <f>IF('Growth (no penalty)'!AX137&gt;0,1,IF('Growth (no penalty)'!AX240&gt;0,4,0))</f>
        <v>4</v>
      </c>
      <c r="AZ53" s="22">
        <f>IF('Growth (no penalty)'!AY137&gt;0,1,IF('Growth (no penalty)'!AY240&gt;0,4,0))</f>
        <v>4</v>
      </c>
      <c r="BA53" s="22">
        <f>IF('Growth (no penalty)'!AZ137&gt;0,1,IF('Growth (no penalty)'!AZ240&gt;0,4,0))</f>
        <v>4</v>
      </c>
      <c r="BB53" s="22">
        <f>IF('Growth (no penalty)'!BA137&gt;0,1,IF('Growth (no penalty)'!BA240&gt;0,4,0))</f>
        <v>4</v>
      </c>
      <c r="BC53" s="22">
        <f>IF('Growth (no penalty)'!BB137&gt;0,1,IF('Growth (no penalty)'!BB240&gt;0,4,0))</f>
        <v>4</v>
      </c>
      <c r="BD53" s="22">
        <f>IF('Growth (no penalty)'!BC137&gt;0,1,IF('Growth (no penalty)'!BC240&gt;0,4,0))</f>
        <v>4</v>
      </c>
      <c r="BE53" s="22">
        <f>IF('Growth (no penalty)'!BD137&gt;0,1,IF('Growth (no penalty)'!BD240&gt;0,4,0))</f>
        <v>4</v>
      </c>
      <c r="BF53" s="22">
        <f>IF('Growth (no penalty)'!BE137&gt;0,1,IF('Growth (no penalty)'!BE240&gt;0,4,0))</f>
        <v>4</v>
      </c>
      <c r="BG53" s="22">
        <f>IF('Growth (no penalty)'!BF137&gt;0,1,IF('Growth (no penalty)'!BF240&gt;0,4,0))</f>
        <v>4</v>
      </c>
      <c r="BH53" s="22">
        <f>IF('Growth (no penalty)'!BG137&gt;0,1,IF('Growth (no penalty)'!BG240&gt;0,4,0))</f>
        <v>4</v>
      </c>
      <c r="BI53" s="22">
        <f>IF('Growth (no penalty)'!BH137&gt;0,1,IF('Growth (no penalty)'!BH240&gt;0,4,0))</f>
        <v>4</v>
      </c>
      <c r="BJ53" s="22">
        <f>IF('Growth (no penalty)'!BI137&gt;0,1,IF('Growth (no penalty)'!BI240&gt;0,4,0))</f>
        <v>4</v>
      </c>
      <c r="BK53" s="23">
        <f>IF('Growth (no penalty)'!BJ137&gt;0,1,IF('Growth (no penalty)'!BJ240&gt;0,4,0))</f>
        <v>4</v>
      </c>
    </row>
    <row r="54" spans="1:63" x14ac:dyDescent="0.3">
      <c r="A54" s="4" t="str">
        <f>'Growth profile'!A112</f>
        <v>project 184</v>
      </c>
      <c r="B54" s="13" t="s">
        <v>3</v>
      </c>
      <c r="C54" s="19">
        <f>'Raw profile'!I112</f>
        <v>2026</v>
      </c>
      <c r="D54" s="20">
        <f>IF('Raw profile'!C220&gt;0,1,IF('Raw profile'!C323&gt;0,2,0))</f>
        <v>1</v>
      </c>
      <c r="E54" s="20">
        <f>IF('Raw profile'!D220&gt;0,1,IF('Raw profile'!D323&gt;0,2,0))</f>
        <v>2</v>
      </c>
      <c r="F54" s="20">
        <f>IF('Raw profile'!E220&gt;0,1,IF('Raw profile'!E323&gt;0,2,0))</f>
        <v>2</v>
      </c>
      <c r="G54" s="20">
        <f>IF('Raw profile'!F220&gt;0,1,IF('Raw profile'!F323&gt;0,2,0))</f>
        <v>2</v>
      </c>
      <c r="H54" s="20">
        <f>IF('Raw profile'!G220&gt;0,1,IF('Raw profile'!G323&gt;0,2,0))</f>
        <v>2</v>
      </c>
      <c r="I54" s="20">
        <f>IF('Raw profile'!H220&gt;0,1,IF('Raw profile'!H323&gt;0,2,0))</f>
        <v>2</v>
      </c>
      <c r="J54" s="20">
        <f>IF('Raw profile'!I220&gt;0,1,IF('Raw profile'!I323&gt;0,2,0))</f>
        <v>2</v>
      </c>
      <c r="K54" s="20">
        <f>IF('Raw profile'!J220&gt;0,1,IF('Raw profile'!J323&gt;0,2,0))</f>
        <v>2</v>
      </c>
      <c r="L54" s="20">
        <f>IF('Raw profile'!K220&gt;0,1,IF('Raw profile'!K323&gt;0,2,0))</f>
        <v>2</v>
      </c>
      <c r="M54" s="20">
        <f>IF('Raw profile'!L220&gt;0,1,IF('Raw profile'!L323&gt;0,2,0))</f>
        <v>2</v>
      </c>
      <c r="N54" s="20">
        <f>IF('Raw profile'!M220&gt;0,1,IF('Raw profile'!M323&gt;0,2,0))</f>
        <v>2</v>
      </c>
      <c r="O54" s="20">
        <f>IF('Raw profile'!N220&gt;0,1,IF('Raw profile'!N323&gt;0,2,0))</f>
        <v>2</v>
      </c>
      <c r="P54" s="20">
        <f>IF('Raw profile'!O220&gt;0,1,IF('Raw profile'!O323&gt;0,2,0))</f>
        <v>2</v>
      </c>
      <c r="Q54" s="20">
        <f>IF('Raw profile'!P220&gt;0,1,IF('Raw profile'!P323&gt;0,2,0))</f>
        <v>2</v>
      </c>
      <c r="R54" s="20">
        <f>IF('Raw profile'!Q220&gt;0,1,IF('Raw profile'!Q323&gt;0,2,0))</f>
        <v>2</v>
      </c>
      <c r="S54" s="20">
        <f>IF('Raw profile'!R220&gt;0,1,IF('Raw profile'!R323&gt;0,2,0))</f>
        <v>2</v>
      </c>
      <c r="T54" s="20">
        <f>IF('Raw profile'!S220&gt;0,1,IF('Raw profile'!S323&gt;0,2,0))</f>
        <v>2</v>
      </c>
      <c r="U54" s="20">
        <f>IF('Raw profile'!T220&gt;0,1,IF('Raw profile'!T323&gt;0,2,0))</f>
        <v>2</v>
      </c>
      <c r="V54" s="20">
        <f>IF('Raw profile'!U220&gt;0,1,IF('Raw profile'!U323&gt;0,2,0))</f>
        <v>2</v>
      </c>
      <c r="W54" s="20">
        <f>IF('Raw profile'!V220&gt;0,1,IF('Raw profile'!V323&gt;0,2,0))</f>
        <v>2</v>
      </c>
      <c r="X54" s="20">
        <f>IF('Raw profile'!W220&gt;0,1,IF('Raw profile'!W323&gt;0,2,0))</f>
        <v>2</v>
      </c>
      <c r="Y54" s="20">
        <f>IF('Raw profile'!X220&gt;0,1,IF('Raw profile'!X323&gt;0,2,0))</f>
        <v>2</v>
      </c>
      <c r="Z54" s="20">
        <f>IF('Raw profile'!Y220&gt;0,1,IF('Raw profile'!Y323&gt;0,2,0))</f>
        <v>2</v>
      </c>
      <c r="AA54" s="20">
        <f>IF('Raw profile'!Z220&gt;0,1,IF('Raw profile'!Z323&gt;0,2,0))</f>
        <v>2</v>
      </c>
      <c r="AB54" s="20">
        <f>IF('Raw profile'!AA220&gt;0,1,IF('Raw profile'!AA323&gt;0,2,0))</f>
        <v>2</v>
      </c>
      <c r="AC54" s="20">
        <f>IF('Raw profile'!AB220&gt;0,1,IF('Raw profile'!AB323&gt;0,2,0))</f>
        <v>2</v>
      </c>
      <c r="AD54" s="20">
        <f>IF('Raw profile'!AC220&gt;0,1,IF('Raw profile'!AC323&gt;0,2,0))</f>
        <v>2</v>
      </c>
      <c r="AE54" s="20">
        <f>IF('Raw profile'!AD220&gt;0,1,IF('Raw profile'!AD323&gt;0,2,0))</f>
        <v>2</v>
      </c>
      <c r="AF54" s="20">
        <f>IF('Raw profile'!AE220&gt;0,1,IF('Raw profile'!AE323&gt;0,2,0))</f>
        <v>2</v>
      </c>
      <c r="AG54" s="20">
        <f>IF('Raw profile'!AF220&gt;0,1,IF('Raw profile'!AF323&gt;0,2,0))</f>
        <v>2</v>
      </c>
      <c r="AH54" s="20">
        <f>IF('Raw profile'!AG220&gt;0,1,IF('Raw profile'!AG323&gt;0,2,0))</f>
        <v>2</v>
      </c>
      <c r="AI54" s="20">
        <f>IF('Raw profile'!AH220&gt;0,1,IF('Raw profile'!AH323&gt;0,2,0))</f>
        <v>2</v>
      </c>
      <c r="AJ54" s="20">
        <f>IF('Raw profile'!AI220&gt;0,1,IF('Raw profile'!AI323&gt;0,2,0))</f>
        <v>2</v>
      </c>
      <c r="AK54" s="20">
        <f>IF('Raw profile'!AJ220&gt;0,1,IF('Raw profile'!AJ323&gt;0,2,0))</f>
        <v>2</v>
      </c>
      <c r="AL54" s="20">
        <f>IF('Raw profile'!AK220&gt;0,1,IF('Raw profile'!AK323&gt;0,2,0))</f>
        <v>2</v>
      </c>
      <c r="AM54" s="20">
        <f>IF('Raw profile'!AL220&gt;0,1,IF('Raw profile'!AL323&gt;0,2,0))</f>
        <v>2</v>
      </c>
      <c r="AN54" s="20">
        <f>IF('Raw profile'!AM220&gt;0,1,IF('Raw profile'!AM323&gt;0,2,0))</f>
        <v>2</v>
      </c>
      <c r="AO54" s="20">
        <f>IF('Raw profile'!AN220&gt;0,1,IF('Raw profile'!AN323&gt;0,2,0))</f>
        <v>2</v>
      </c>
      <c r="AP54" s="20">
        <f>IF('Raw profile'!AO220&gt;0,1,IF('Raw profile'!AO323&gt;0,2,0))</f>
        <v>2</v>
      </c>
      <c r="AQ54" s="20">
        <f>IF('Raw profile'!AP220&gt;0,1,IF('Raw profile'!AP323&gt;0,2,0))</f>
        <v>2</v>
      </c>
      <c r="AR54" s="20">
        <f>IF('Raw profile'!AQ220&gt;0,1,IF('Raw profile'!AQ323&gt;0,2,0))</f>
        <v>2</v>
      </c>
      <c r="AS54" s="20">
        <f>IF('Raw profile'!AR220&gt;0,1,IF('Raw profile'!AR323&gt;0,2,0))</f>
        <v>0</v>
      </c>
      <c r="AT54" s="20">
        <f>IF('Raw profile'!AS220&gt;0,1,IF('Raw profile'!AS323&gt;0,2,0))</f>
        <v>0</v>
      </c>
      <c r="AU54" s="20">
        <f>IF('Raw profile'!AT220&gt;0,1,IF('Raw profile'!AT323&gt;0,2,0))</f>
        <v>0</v>
      </c>
      <c r="AV54" s="20">
        <f>IF('Raw profile'!AU220&gt;0,1,IF('Raw profile'!AU323&gt;0,2,0))</f>
        <v>0</v>
      </c>
      <c r="AW54" s="20">
        <f>IF('Raw profile'!AV220&gt;0,1,IF('Raw profile'!AV323&gt;0,2,0))</f>
        <v>0</v>
      </c>
      <c r="AX54" s="20">
        <f>IF('Raw profile'!AW220&gt;0,1,IF('Raw profile'!AW323&gt;0,2,0))</f>
        <v>0</v>
      </c>
      <c r="AY54" s="20">
        <f>IF('Raw profile'!AX220&gt;0,1,IF('Raw profile'!AX323&gt;0,2,0))</f>
        <v>0</v>
      </c>
      <c r="AZ54" s="20">
        <f>IF('Raw profile'!AY220&gt;0,1,IF('Raw profile'!AY323&gt;0,2,0))</f>
        <v>0</v>
      </c>
      <c r="BA54" s="20">
        <f>IF('Raw profile'!AZ220&gt;0,1,IF('Raw profile'!AZ323&gt;0,2,0))</f>
        <v>0</v>
      </c>
      <c r="BB54" s="20">
        <f>IF('Raw profile'!BA220&gt;0,1,IF('Raw profile'!BA323&gt;0,2,0))</f>
        <v>0</v>
      </c>
      <c r="BC54" s="20">
        <f>IF('Raw profile'!BB220&gt;0,1,IF('Raw profile'!BB323&gt;0,2,0))</f>
        <v>0</v>
      </c>
      <c r="BD54" s="20">
        <f>IF('Raw profile'!BC220&gt;0,1,IF('Raw profile'!BC323&gt;0,2,0))</f>
        <v>0</v>
      </c>
      <c r="BE54" s="20">
        <f>IF('Raw profile'!BD220&gt;0,1,IF('Raw profile'!BD323&gt;0,2,0))</f>
        <v>0</v>
      </c>
      <c r="BF54" s="20">
        <f>IF('Raw profile'!BE220&gt;0,1,IF('Raw profile'!BE323&gt;0,2,0))</f>
        <v>0</v>
      </c>
      <c r="BG54" s="20">
        <f>IF('Raw profile'!BF220&gt;0,1,IF('Raw profile'!BF323&gt;0,2,0))</f>
        <v>0</v>
      </c>
      <c r="BH54" s="20">
        <f>IF('Raw profile'!BG220&gt;0,1,IF('Raw profile'!BG323&gt;0,2,0))</f>
        <v>0</v>
      </c>
      <c r="BI54" s="20">
        <f>IF('Raw profile'!BH220&gt;0,1,IF('Raw profile'!BH323&gt;0,2,0))</f>
        <v>0</v>
      </c>
      <c r="BJ54" s="20">
        <f>IF('Raw profile'!BI220&gt;0,1,IF('Raw profile'!BI323&gt;0,2,0))</f>
        <v>0</v>
      </c>
      <c r="BK54" s="21">
        <f>IF('Raw profile'!BJ220&gt;0,1,IF('Raw profile'!BJ323&gt;0,2,0))</f>
        <v>0</v>
      </c>
    </row>
    <row r="55" spans="1:63" x14ac:dyDescent="0.3">
      <c r="B55" s="13" t="s">
        <v>4</v>
      </c>
      <c r="C55" s="19">
        <f>'Growth profile'!I112</f>
        <v>2037</v>
      </c>
      <c r="D55" s="20">
        <f>IF('Growth profile'!C220&gt;0,1,IF('Growth profile'!C323&gt;0,3,0))</f>
        <v>0</v>
      </c>
      <c r="E55" s="20">
        <f>IF('Growth profile'!D220&gt;0,1,IF('Growth profile'!D323&gt;0,3,0))</f>
        <v>0</v>
      </c>
      <c r="F55" s="20">
        <f>IF('Growth profile'!E220&gt;0,1,IF('Growth profile'!E323&gt;0,3,0))</f>
        <v>0</v>
      </c>
      <c r="G55" s="20">
        <f>IF('Growth profile'!F220&gt;0,1,IF('Growth profile'!F323&gt;0,3,0))</f>
        <v>0</v>
      </c>
      <c r="H55" s="20">
        <f>IF('Growth profile'!G220&gt;0,1,IF('Growth profile'!G323&gt;0,3,0))</f>
        <v>0</v>
      </c>
      <c r="I55" s="20">
        <f>IF('Growth profile'!H220&gt;0,1,IF('Growth profile'!H323&gt;0,3,0))</f>
        <v>0</v>
      </c>
      <c r="J55" s="20">
        <f>IF('Growth profile'!I220&gt;0,1,IF('Growth profile'!I323&gt;0,3,0))</f>
        <v>0</v>
      </c>
      <c r="K55" s="20">
        <f>IF('Growth profile'!J220&gt;0,1,IF('Growth profile'!J323&gt;0,3,0))</f>
        <v>0</v>
      </c>
      <c r="L55" s="20">
        <f>IF('Growth profile'!K220&gt;0,1,IF('Growth profile'!K323&gt;0,3,0))</f>
        <v>0</v>
      </c>
      <c r="M55" s="20">
        <f>IF('Growth profile'!L220&gt;0,1,IF('Growth profile'!L323&gt;0,3,0))</f>
        <v>0</v>
      </c>
      <c r="N55" s="20">
        <f>IF('Growth profile'!M220&gt;0,1,IF('Growth profile'!M323&gt;0,3,0))</f>
        <v>0</v>
      </c>
      <c r="O55" s="20">
        <f>IF('Growth profile'!N220&gt;0,1,IF('Growth profile'!N323&gt;0,3,0))</f>
        <v>1</v>
      </c>
      <c r="P55" s="20">
        <f>IF('Growth profile'!O220&gt;0,1,IF('Growth profile'!O323&gt;0,3,0))</f>
        <v>3</v>
      </c>
      <c r="Q55" s="20">
        <f>IF('Growth profile'!P220&gt;0,1,IF('Growth profile'!P323&gt;0,3,0))</f>
        <v>3</v>
      </c>
      <c r="R55" s="20">
        <f>IF('Growth profile'!Q220&gt;0,1,IF('Growth profile'!Q323&gt;0,3,0))</f>
        <v>3</v>
      </c>
      <c r="S55" s="20">
        <f>IF('Growth profile'!R220&gt;0,1,IF('Growth profile'!R323&gt;0,3,0))</f>
        <v>3</v>
      </c>
      <c r="T55" s="20">
        <f>IF('Growth profile'!S220&gt;0,1,IF('Growth profile'!S323&gt;0,3,0))</f>
        <v>3</v>
      </c>
      <c r="U55" s="20">
        <f>IF('Growth profile'!T220&gt;0,1,IF('Growth profile'!T323&gt;0,3,0))</f>
        <v>3</v>
      </c>
      <c r="V55" s="20">
        <f>IF('Growth profile'!U220&gt;0,1,IF('Growth profile'!U323&gt;0,3,0))</f>
        <v>3</v>
      </c>
      <c r="W55" s="20">
        <f>IF('Growth profile'!V220&gt;0,1,IF('Growth profile'!V323&gt;0,3,0))</f>
        <v>3</v>
      </c>
      <c r="X55" s="20">
        <f>IF('Growth profile'!W220&gt;0,1,IF('Growth profile'!W323&gt;0,3,0))</f>
        <v>3</v>
      </c>
      <c r="Y55" s="20">
        <f>IF('Growth profile'!X220&gt;0,1,IF('Growth profile'!X323&gt;0,3,0))</f>
        <v>3</v>
      </c>
      <c r="Z55" s="20">
        <f>IF('Growth profile'!Y220&gt;0,1,IF('Growth profile'!Y323&gt;0,3,0))</f>
        <v>3</v>
      </c>
      <c r="AA55" s="20">
        <f>IF('Growth profile'!Z220&gt;0,1,IF('Growth profile'!Z323&gt;0,3,0))</f>
        <v>3</v>
      </c>
      <c r="AB55" s="20">
        <f>IF('Growth profile'!AA220&gt;0,1,IF('Growth profile'!AA323&gt;0,3,0))</f>
        <v>3</v>
      </c>
      <c r="AC55" s="20">
        <f>IF('Growth profile'!AB220&gt;0,1,IF('Growth profile'!AB323&gt;0,3,0))</f>
        <v>3</v>
      </c>
      <c r="AD55" s="20">
        <f>IF('Growth profile'!AC220&gt;0,1,IF('Growth profile'!AC323&gt;0,3,0))</f>
        <v>3</v>
      </c>
      <c r="AE55" s="20">
        <f>IF('Growth profile'!AD220&gt;0,1,IF('Growth profile'!AD323&gt;0,3,0))</f>
        <v>3</v>
      </c>
      <c r="AF55" s="20">
        <f>IF('Growth profile'!AE220&gt;0,1,IF('Growth profile'!AE323&gt;0,3,0))</f>
        <v>3</v>
      </c>
      <c r="AG55" s="20">
        <f>IF('Growth profile'!AF220&gt;0,1,IF('Growth profile'!AF323&gt;0,3,0))</f>
        <v>3</v>
      </c>
      <c r="AH55" s="20">
        <f>IF('Growth profile'!AG220&gt;0,1,IF('Growth profile'!AG323&gt;0,3,0))</f>
        <v>3</v>
      </c>
      <c r="AI55" s="20">
        <f>IF('Growth profile'!AH220&gt;0,1,IF('Growth profile'!AH323&gt;0,3,0))</f>
        <v>3</v>
      </c>
      <c r="AJ55" s="20">
        <f>IF('Growth profile'!AI220&gt;0,1,IF('Growth profile'!AI323&gt;0,3,0))</f>
        <v>3</v>
      </c>
      <c r="AK55" s="20">
        <f>IF('Growth profile'!AJ220&gt;0,1,IF('Growth profile'!AJ323&gt;0,3,0))</f>
        <v>3</v>
      </c>
      <c r="AL55" s="20">
        <f>IF('Growth profile'!AK220&gt;0,1,IF('Growth profile'!AK323&gt;0,3,0))</f>
        <v>3</v>
      </c>
      <c r="AM55" s="20">
        <f>IF('Growth profile'!AL220&gt;0,1,IF('Growth profile'!AL323&gt;0,3,0))</f>
        <v>3</v>
      </c>
      <c r="AN55" s="20">
        <f>IF('Growth profile'!AM220&gt;0,1,IF('Growth profile'!AM323&gt;0,3,0))</f>
        <v>3</v>
      </c>
      <c r="AO55" s="20">
        <f>IF('Growth profile'!AN220&gt;0,1,IF('Growth profile'!AN323&gt;0,3,0))</f>
        <v>3</v>
      </c>
      <c r="AP55" s="20">
        <f>IF('Growth profile'!AO220&gt;0,1,IF('Growth profile'!AO323&gt;0,3,0))</f>
        <v>3</v>
      </c>
      <c r="AQ55" s="20">
        <f>IF('Growth profile'!AP220&gt;0,1,IF('Growth profile'!AP323&gt;0,3,0))</f>
        <v>3</v>
      </c>
      <c r="AR55" s="20">
        <f>IF('Growth profile'!AQ220&gt;0,1,IF('Growth profile'!AQ323&gt;0,3,0))</f>
        <v>3</v>
      </c>
      <c r="AS55" s="20">
        <f>IF('Growth profile'!AR220&gt;0,1,IF('Growth profile'!AR323&gt;0,3,0))</f>
        <v>3</v>
      </c>
      <c r="AT55" s="20">
        <f>IF('Growth profile'!AS220&gt;0,1,IF('Growth profile'!AS323&gt;0,3,0))</f>
        <v>3</v>
      </c>
      <c r="AU55" s="20">
        <f>IF('Growth profile'!AT220&gt;0,1,IF('Growth profile'!AT323&gt;0,3,0))</f>
        <v>3</v>
      </c>
      <c r="AV55" s="20">
        <f>IF('Growth profile'!AU220&gt;0,1,IF('Growth profile'!AU323&gt;0,3,0))</f>
        <v>3</v>
      </c>
      <c r="AW55" s="20">
        <f>IF('Growth profile'!AV220&gt;0,1,IF('Growth profile'!AV323&gt;0,3,0))</f>
        <v>3</v>
      </c>
      <c r="AX55" s="20">
        <f>IF('Growth profile'!AW220&gt;0,1,IF('Growth profile'!AW323&gt;0,3,0))</f>
        <v>3</v>
      </c>
      <c r="AY55" s="20">
        <f>IF('Growth profile'!AX220&gt;0,1,IF('Growth profile'!AX323&gt;0,3,0))</f>
        <v>3</v>
      </c>
      <c r="AZ55" s="20">
        <f>IF('Growth profile'!AY220&gt;0,1,IF('Growth profile'!AY323&gt;0,3,0))</f>
        <v>3</v>
      </c>
      <c r="BA55" s="20">
        <f>IF('Growth profile'!AZ220&gt;0,1,IF('Growth profile'!AZ323&gt;0,3,0))</f>
        <v>3</v>
      </c>
      <c r="BB55" s="20">
        <f>IF('Growth profile'!BA220&gt;0,1,IF('Growth profile'!BA323&gt;0,3,0))</f>
        <v>3</v>
      </c>
      <c r="BC55" s="20">
        <f>IF('Growth profile'!BB220&gt;0,1,IF('Growth profile'!BB323&gt;0,3,0))</f>
        <v>3</v>
      </c>
      <c r="BD55" s="20">
        <f>IF('Growth profile'!BC220&gt;0,1,IF('Growth profile'!BC323&gt;0,3,0))</f>
        <v>0</v>
      </c>
      <c r="BE55" s="20">
        <f>IF('Growth profile'!BD220&gt;0,1,IF('Growth profile'!BD323&gt;0,3,0))</f>
        <v>0</v>
      </c>
      <c r="BF55" s="20">
        <f>IF('Growth profile'!BE220&gt;0,1,IF('Growth profile'!BE323&gt;0,3,0))</f>
        <v>0</v>
      </c>
      <c r="BG55" s="20">
        <f>IF('Growth profile'!BF220&gt;0,1,IF('Growth profile'!BF323&gt;0,3,0))</f>
        <v>0</v>
      </c>
      <c r="BH55" s="20">
        <f>IF('Growth profile'!BG220&gt;0,1,IF('Growth profile'!BG323&gt;0,3,0))</f>
        <v>0</v>
      </c>
      <c r="BI55" s="20">
        <f>IF('Growth profile'!BH220&gt;0,1,IF('Growth profile'!BH323&gt;0,3,0))</f>
        <v>0</v>
      </c>
      <c r="BJ55" s="20">
        <f>IF('Growth profile'!BI220&gt;0,1,IF('Growth profile'!BI323&gt;0,3,0))</f>
        <v>0</v>
      </c>
      <c r="BK55" s="21">
        <f>IF('Growth profile'!BJ220&gt;0,1,IF('Growth profile'!BJ323&gt;0,3,0))</f>
        <v>0</v>
      </c>
    </row>
    <row r="56" spans="1:63" x14ac:dyDescent="0.3">
      <c r="B56" s="13" t="s">
        <v>59</v>
      </c>
      <c r="C56" s="19">
        <f>'Growth (no penalty)'!I112</f>
        <v>2045</v>
      </c>
      <c r="D56" s="22">
        <f>IF('Growth (no penalty)'!C220&gt;0,1,IF('Growth (no penalty)'!C323&gt;0,4,0))</f>
        <v>0</v>
      </c>
      <c r="E56" s="22">
        <f>IF('Growth (no penalty)'!D220&gt;0,1,IF('Growth (no penalty)'!D323&gt;0,4,0))</f>
        <v>0</v>
      </c>
      <c r="F56" s="22">
        <f>IF('Growth (no penalty)'!E220&gt;0,1,IF('Growth (no penalty)'!E323&gt;0,4,0))</f>
        <v>0</v>
      </c>
      <c r="G56" s="22">
        <f>IF('Growth (no penalty)'!F220&gt;0,1,IF('Growth (no penalty)'!F323&gt;0,4,0))</f>
        <v>0</v>
      </c>
      <c r="H56" s="22">
        <f>IF('Growth (no penalty)'!G220&gt;0,1,IF('Growth (no penalty)'!G323&gt;0,4,0))</f>
        <v>0</v>
      </c>
      <c r="I56" s="22">
        <f>IF('Growth (no penalty)'!H220&gt;0,1,IF('Growth (no penalty)'!H323&gt;0,4,0))</f>
        <v>0</v>
      </c>
      <c r="J56" s="22">
        <f>IF('Growth (no penalty)'!I220&gt;0,1,IF('Growth (no penalty)'!I323&gt;0,4,0))</f>
        <v>0</v>
      </c>
      <c r="K56" s="22">
        <f>IF('Growth (no penalty)'!J220&gt;0,1,IF('Growth (no penalty)'!J323&gt;0,4,0))</f>
        <v>0</v>
      </c>
      <c r="L56" s="22">
        <f>IF('Growth (no penalty)'!K220&gt;0,1,IF('Growth (no penalty)'!K323&gt;0,4,0))</f>
        <v>0</v>
      </c>
      <c r="M56" s="22">
        <f>IF('Growth (no penalty)'!L220&gt;0,1,IF('Growth (no penalty)'!L323&gt;0,4,0))</f>
        <v>0</v>
      </c>
      <c r="N56" s="22">
        <f>IF('Growth (no penalty)'!M220&gt;0,1,IF('Growth (no penalty)'!M323&gt;0,4,0))</f>
        <v>0</v>
      </c>
      <c r="O56" s="22">
        <f>IF('Growth (no penalty)'!N220&gt;0,1,IF('Growth (no penalty)'!N323&gt;0,4,0))</f>
        <v>0</v>
      </c>
      <c r="P56" s="22">
        <f>IF('Growth (no penalty)'!O220&gt;0,1,IF('Growth (no penalty)'!O323&gt;0,4,0))</f>
        <v>0</v>
      </c>
      <c r="Q56" s="22">
        <f>IF('Growth (no penalty)'!P220&gt;0,1,IF('Growth (no penalty)'!P323&gt;0,4,0))</f>
        <v>0</v>
      </c>
      <c r="R56" s="22">
        <f>IF('Growth (no penalty)'!Q220&gt;0,1,IF('Growth (no penalty)'!Q323&gt;0,4,0))</f>
        <v>0</v>
      </c>
      <c r="S56" s="22">
        <f>IF('Growth (no penalty)'!R220&gt;0,1,IF('Growth (no penalty)'!R323&gt;0,4,0))</f>
        <v>0</v>
      </c>
      <c r="T56" s="22">
        <f>IF('Growth (no penalty)'!S220&gt;0,1,IF('Growth (no penalty)'!S323&gt;0,4,0))</f>
        <v>0</v>
      </c>
      <c r="U56" s="22">
        <f>IF('Growth (no penalty)'!T220&gt;0,1,IF('Growth (no penalty)'!T323&gt;0,4,0))</f>
        <v>0</v>
      </c>
      <c r="V56" s="22">
        <f>IF('Growth (no penalty)'!U220&gt;0,1,IF('Growth (no penalty)'!U323&gt;0,4,0))</f>
        <v>0</v>
      </c>
      <c r="W56" s="22">
        <f>IF('Growth (no penalty)'!V220&gt;0,1,IF('Growth (no penalty)'!V323&gt;0,4,0))</f>
        <v>1</v>
      </c>
      <c r="X56" s="22">
        <f>IF('Growth (no penalty)'!W220&gt;0,1,IF('Growth (no penalty)'!W323&gt;0,4,0))</f>
        <v>4</v>
      </c>
      <c r="Y56" s="22">
        <f>IF('Growth (no penalty)'!X220&gt;0,1,IF('Growth (no penalty)'!X323&gt;0,4,0))</f>
        <v>4</v>
      </c>
      <c r="Z56" s="22">
        <f>IF('Growth (no penalty)'!Y220&gt;0,1,IF('Growth (no penalty)'!Y323&gt;0,4,0))</f>
        <v>4</v>
      </c>
      <c r="AA56" s="22">
        <f>IF('Growth (no penalty)'!Z220&gt;0,1,IF('Growth (no penalty)'!Z323&gt;0,4,0))</f>
        <v>4</v>
      </c>
      <c r="AB56" s="22">
        <f>IF('Growth (no penalty)'!AA220&gt;0,1,IF('Growth (no penalty)'!AA323&gt;0,4,0))</f>
        <v>4</v>
      </c>
      <c r="AC56" s="22">
        <f>IF('Growth (no penalty)'!AB220&gt;0,1,IF('Growth (no penalty)'!AB323&gt;0,4,0))</f>
        <v>4</v>
      </c>
      <c r="AD56" s="22">
        <f>IF('Growth (no penalty)'!AC220&gt;0,1,IF('Growth (no penalty)'!AC323&gt;0,4,0))</f>
        <v>4</v>
      </c>
      <c r="AE56" s="22">
        <f>IF('Growth (no penalty)'!AD220&gt;0,1,IF('Growth (no penalty)'!AD323&gt;0,4,0))</f>
        <v>4</v>
      </c>
      <c r="AF56" s="22">
        <f>IF('Growth (no penalty)'!AE220&gt;0,1,IF('Growth (no penalty)'!AE323&gt;0,4,0))</f>
        <v>4</v>
      </c>
      <c r="AG56" s="22">
        <f>IF('Growth (no penalty)'!AF220&gt;0,1,IF('Growth (no penalty)'!AF323&gt;0,4,0))</f>
        <v>4</v>
      </c>
      <c r="AH56" s="22">
        <f>IF('Growth (no penalty)'!AG220&gt;0,1,IF('Growth (no penalty)'!AG323&gt;0,4,0))</f>
        <v>4</v>
      </c>
      <c r="AI56" s="22">
        <f>IF('Growth (no penalty)'!AH220&gt;0,1,IF('Growth (no penalty)'!AH323&gt;0,4,0))</f>
        <v>4</v>
      </c>
      <c r="AJ56" s="22">
        <f>IF('Growth (no penalty)'!AI220&gt;0,1,IF('Growth (no penalty)'!AI323&gt;0,4,0))</f>
        <v>4</v>
      </c>
      <c r="AK56" s="22">
        <f>IF('Growth (no penalty)'!AJ220&gt;0,1,IF('Growth (no penalty)'!AJ323&gt;0,4,0))</f>
        <v>4</v>
      </c>
      <c r="AL56" s="22">
        <f>IF('Growth (no penalty)'!AK220&gt;0,1,IF('Growth (no penalty)'!AK323&gt;0,4,0))</f>
        <v>4</v>
      </c>
      <c r="AM56" s="22">
        <f>IF('Growth (no penalty)'!AL220&gt;0,1,IF('Growth (no penalty)'!AL323&gt;0,4,0))</f>
        <v>4</v>
      </c>
      <c r="AN56" s="22">
        <f>IF('Growth (no penalty)'!AM220&gt;0,1,IF('Growth (no penalty)'!AM323&gt;0,4,0))</f>
        <v>4</v>
      </c>
      <c r="AO56" s="22">
        <f>IF('Growth (no penalty)'!AN220&gt;0,1,IF('Growth (no penalty)'!AN323&gt;0,4,0))</f>
        <v>4</v>
      </c>
      <c r="AP56" s="22">
        <f>IF('Growth (no penalty)'!AO220&gt;0,1,IF('Growth (no penalty)'!AO323&gt;0,4,0))</f>
        <v>4</v>
      </c>
      <c r="AQ56" s="22">
        <f>IF('Growth (no penalty)'!AP220&gt;0,1,IF('Growth (no penalty)'!AP323&gt;0,4,0))</f>
        <v>4</v>
      </c>
      <c r="AR56" s="22">
        <f>IF('Growth (no penalty)'!AQ220&gt;0,1,IF('Growth (no penalty)'!AQ323&gt;0,4,0))</f>
        <v>4</v>
      </c>
      <c r="AS56" s="22">
        <f>IF('Growth (no penalty)'!AR220&gt;0,1,IF('Growth (no penalty)'!AR323&gt;0,4,0))</f>
        <v>4</v>
      </c>
      <c r="AT56" s="22">
        <f>IF('Growth (no penalty)'!AS220&gt;0,1,IF('Growth (no penalty)'!AS323&gt;0,4,0))</f>
        <v>4</v>
      </c>
      <c r="AU56" s="22">
        <f>IF('Growth (no penalty)'!AT220&gt;0,1,IF('Growth (no penalty)'!AT323&gt;0,4,0))</f>
        <v>4</v>
      </c>
      <c r="AV56" s="22">
        <f>IF('Growth (no penalty)'!AU220&gt;0,1,IF('Growth (no penalty)'!AU323&gt;0,4,0))</f>
        <v>4</v>
      </c>
      <c r="AW56" s="22">
        <f>IF('Growth (no penalty)'!AV220&gt;0,1,IF('Growth (no penalty)'!AV323&gt;0,4,0))</f>
        <v>4</v>
      </c>
      <c r="AX56" s="22">
        <f>IF('Growth (no penalty)'!AW220&gt;0,1,IF('Growth (no penalty)'!AW323&gt;0,4,0))</f>
        <v>4</v>
      </c>
      <c r="AY56" s="22">
        <f>IF('Growth (no penalty)'!AX220&gt;0,1,IF('Growth (no penalty)'!AX323&gt;0,4,0))</f>
        <v>4</v>
      </c>
      <c r="AZ56" s="22">
        <f>IF('Growth (no penalty)'!AY220&gt;0,1,IF('Growth (no penalty)'!AY323&gt;0,4,0))</f>
        <v>4</v>
      </c>
      <c r="BA56" s="22">
        <f>IF('Growth (no penalty)'!AZ220&gt;0,1,IF('Growth (no penalty)'!AZ323&gt;0,4,0))</f>
        <v>4</v>
      </c>
      <c r="BB56" s="22">
        <f>IF('Growth (no penalty)'!BA220&gt;0,1,IF('Growth (no penalty)'!BA323&gt;0,4,0))</f>
        <v>4</v>
      </c>
      <c r="BC56" s="22">
        <f>IF('Growth (no penalty)'!BB220&gt;0,1,IF('Growth (no penalty)'!BB323&gt;0,4,0))</f>
        <v>4</v>
      </c>
      <c r="BD56" s="22">
        <f>IF('Growth (no penalty)'!BC220&gt;0,1,IF('Growth (no penalty)'!BC323&gt;0,4,0))</f>
        <v>4</v>
      </c>
      <c r="BE56" s="22">
        <f>IF('Growth (no penalty)'!BD220&gt;0,1,IF('Growth (no penalty)'!BD323&gt;0,4,0))</f>
        <v>4</v>
      </c>
      <c r="BF56" s="22">
        <f>IF('Growth (no penalty)'!BE220&gt;0,1,IF('Growth (no penalty)'!BE323&gt;0,4,0))</f>
        <v>4</v>
      </c>
      <c r="BG56" s="22">
        <f>IF('Growth (no penalty)'!BF220&gt;0,1,IF('Growth (no penalty)'!BF323&gt;0,4,0))</f>
        <v>4</v>
      </c>
      <c r="BH56" s="22">
        <f>IF('Growth (no penalty)'!BG220&gt;0,1,IF('Growth (no penalty)'!BG323&gt;0,4,0))</f>
        <v>4</v>
      </c>
      <c r="BI56" s="22">
        <f>IF('Growth (no penalty)'!BH220&gt;0,1,IF('Growth (no penalty)'!BH323&gt;0,4,0))</f>
        <v>4</v>
      </c>
      <c r="BJ56" s="22">
        <f>IF('Growth (no penalty)'!BI220&gt;0,1,IF('Growth (no penalty)'!BI323&gt;0,4,0))</f>
        <v>4</v>
      </c>
      <c r="BK56" s="23">
        <f>IF('Growth (no penalty)'!BJ220&gt;0,1,IF('Growth (no penalty)'!BJ323&gt;0,4,0))</f>
        <v>4</v>
      </c>
    </row>
    <row r="57" spans="1:63" x14ac:dyDescent="0.3">
      <c r="A57" s="4" t="str">
        <f>'Growth profile'!A70</f>
        <v>project 100</v>
      </c>
      <c r="B57" s="13" t="s">
        <v>3</v>
      </c>
      <c r="C57" s="19">
        <f>'Raw profile'!I70</f>
        <v>2026</v>
      </c>
      <c r="D57" s="20">
        <f>IF('Raw profile'!C178&gt;0,1,IF('Raw profile'!C281&gt;0,2,0))</f>
        <v>1</v>
      </c>
      <c r="E57" s="20">
        <f>IF('Raw profile'!D178&gt;0,1,IF('Raw profile'!D281&gt;0,2,0))</f>
        <v>1</v>
      </c>
      <c r="F57" s="20">
        <f>IF('Raw profile'!E178&gt;0,1,IF('Raw profile'!E281&gt;0,2,0))</f>
        <v>2</v>
      </c>
      <c r="G57" s="20">
        <f>IF('Raw profile'!F178&gt;0,1,IF('Raw profile'!F281&gt;0,2,0))</f>
        <v>2</v>
      </c>
      <c r="H57" s="20">
        <f>IF('Raw profile'!G178&gt;0,1,IF('Raw profile'!G281&gt;0,2,0))</f>
        <v>2</v>
      </c>
      <c r="I57" s="20">
        <f>IF('Raw profile'!H178&gt;0,1,IF('Raw profile'!H281&gt;0,2,0))</f>
        <v>2</v>
      </c>
      <c r="J57" s="20">
        <f>IF('Raw profile'!I178&gt;0,1,IF('Raw profile'!I281&gt;0,2,0))</f>
        <v>2</v>
      </c>
      <c r="K57" s="20">
        <f>IF('Raw profile'!J178&gt;0,1,IF('Raw profile'!J281&gt;0,2,0))</f>
        <v>2</v>
      </c>
      <c r="L57" s="20">
        <f>IF('Raw profile'!K178&gt;0,1,IF('Raw profile'!K281&gt;0,2,0))</f>
        <v>2</v>
      </c>
      <c r="M57" s="20">
        <f>IF('Raw profile'!L178&gt;0,1,IF('Raw profile'!L281&gt;0,2,0))</f>
        <v>2</v>
      </c>
      <c r="N57" s="20">
        <f>IF('Raw profile'!M178&gt;0,1,IF('Raw profile'!M281&gt;0,2,0))</f>
        <v>2</v>
      </c>
      <c r="O57" s="20">
        <f>IF('Raw profile'!N178&gt;0,1,IF('Raw profile'!N281&gt;0,2,0))</f>
        <v>2</v>
      </c>
      <c r="P57" s="20">
        <f>IF('Raw profile'!O178&gt;0,1,IF('Raw profile'!O281&gt;0,2,0))</f>
        <v>2</v>
      </c>
      <c r="Q57" s="20">
        <f>IF('Raw profile'!P178&gt;0,1,IF('Raw profile'!P281&gt;0,2,0))</f>
        <v>2</v>
      </c>
      <c r="R57" s="20">
        <f>IF('Raw profile'!Q178&gt;0,1,IF('Raw profile'!Q281&gt;0,2,0))</f>
        <v>2</v>
      </c>
      <c r="S57" s="20">
        <f>IF('Raw profile'!R178&gt;0,1,IF('Raw profile'!R281&gt;0,2,0))</f>
        <v>2</v>
      </c>
      <c r="T57" s="20">
        <f>IF('Raw profile'!S178&gt;0,1,IF('Raw profile'!S281&gt;0,2,0))</f>
        <v>2</v>
      </c>
      <c r="U57" s="20">
        <f>IF('Raw profile'!T178&gt;0,1,IF('Raw profile'!T281&gt;0,2,0))</f>
        <v>2</v>
      </c>
      <c r="V57" s="20">
        <f>IF('Raw profile'!U178&gt;0,1,IF('Raw profile'!U281&gt;0,2,0))</f>
        <v>2</v>
      </c>
      <c r="W57" s="20">
        <f>IF('Raw profile'!V178&gt;0,1,IF('Raw profile'!V281&gt;0,2,0))</f>
        <v>2</v>
      </c>
      <c r="X57" s="20">
        <f>IF('Raw profile'!W178&gt;0,1,IF('Raw profile'!W281&gt;0,2,0))</f>
        <v>2</v>
      </c>
      <c r="Y57" s="20">
        <f>IF('Raw profile'!X178&gt;0,1,IF('Raw profile'!X281&gt;0,2,0))</f>
        <v>2</v>
      </c>
      <c r="Z57" s="20">
        <f>IF('Raw profile'!Y178&gt;0,1,IF('Raw profile'!Y281&gt;0,2,0))</f>
        <v>2</v>
      </c>
      <c r="AA57" s="20">
        <f>IF('Raw profile'!Z178&gt;0,1,IF('Raw profile'!Z281&gt;0,2,0))</f>
        <v>2</v>
      </c>
      <c r="AB57" s="20">
        <f>IF('Raw profile'!AA178&gt;0,1,IF('Raw profile'!AA281&gt;0,2,0))</f>
        <v>2</v>
      </c>
      <c r="AC57" s="20">
        <f>IF('Raw profile'!AB178&gt;0,1,IF('Raw profile'!AB281&gt;0,2,0))</f>
        <v>2</v>
      </c>
      <c r="AD57" s="20">
        <f>IF('Raw profile'!AC178&gt;0,1,IF('Raw profile'!AC281&gt;0,2,0))</f>
        <v>2</v>
      </c>
      <c r="AE57" s="20">
        <f>IF('Raw profile'!AD178&gt;0,1,IF('Raw profile'!AD281&gt;0,2,0))</f>
        <v>2</v>
      </c>
      <c r="AF57" s="20">
        <f>IF('Raw profile'!AE178&gt;0,1,IF('Raw profile'!AE281&gt;0,2,0))</f>
        <v>2</v>
      </c>
      <c r="AG57" s="20">
        <f>IF('Raw profile'!AF178&gt;0,1,IF('Raw profile'!AF281&gt;0,2,0))</f>
        <v>2</v>
      </c>
      <c r="AH57" s="20">
        <f>IF('Raw profile'!AG178&gt;0,1,IF('Raw profile'!AG281&gt;0,2,0))</f>
        <v>2</v>
      </c>
      <c r="AI57" s="20">
        <f>IF('Raw profile'!AH178&gt;0,1,IF('Raw profile'!AH281&gt;0,2,0))</f>
        <v>2</v>
      </c>
      <c r="AJ57" s="20">
        <f>IF('Raw profile'!AI178&gt;0,1,IF('Raw profile'!AI281&gt;0,2,0))</f>
        <v>2</v>
      </c>
      <c r="AK57" s="20">
        <f>IF('Raw profile'!AJ178&gt;0,1,IF('Raw profile'!AJ281&gt;0,2,0))</f>
        <v>2</v>
      </c>
      <c r="AL57" s="20">
        <f>IF('Raw profile'!AK178&gt;0,1,IF('Raw profile'!AK281&gt;0,2,0))</f>
        <v>2</v>
      </c>
      <c r="AM57" s="20">
        <f>IF('Raw profile'!AL178&gt;0,1,IF('Raw profile'!AL281&gt;0,2,0))</f>
        <v>2</v>
      </c>
      <c r="AN57" s="20">
        <f>IF('Raw profile'!AM178&gt;0,1,IF('Raw profile'!AM281&gt;0,2,0))</f>
        <v>2</v>
      </c>
      <c r="AO57" s="20">
        <f>IF('Raw profile'!AN178&gt;0,1,IF('Raw profile'!AN281&gt;0,2,0))</f>
        <v>2</v>
      </c>
      <c r="AP57" s="20">
        <f>IF('Raw profile'!AO178&gt;0,1,IF('Raw profile'!AO281&gt;0,2,0))</f>
        <v>2</v>
      </c>
      <c r="AQ57" s="20">
        <f>IF('Raw profile'!AP178&gt;0,1,IF('Raw profile'!AP281&gt;0,2,0))</f>
        <v>2</v>
      </c>
      <c r="AR57" s="20">
        <f>IF('Raw profile'!AQ178&gt;0,1,IF('Raw profile'!AQ281&gt;0,2,0))</f>
        <v>2</v>
      </c>
      <c r="AS57" s="20">
        <f>IF('Raw profile'!AR178&gt;0,1,IF('Raw profile'!AR281&gt;0,2,0))</f>
        <v>2</v>
      </c>
      <c r="AT57" s="20">
        <f>IF('Raw profile'!AS178&gt;0,1,IF('Raw profile'!AS281&gt;0,2,0))</f>
        <v>0</v>
      </c>
      <c r="AU57" s="20">
        <f>IF('Raw profile'!AT178&gt;0,1,IF('Raw profile'!AT281&gt;0,2,0))</f>
        <v>0</v>
      </c>
      <c r="AV57" s="20">
        <f>IF('Raw profile'!AU178&gt;0,1,IF('Raw profile'!AU281&gt;0,2,0))</f>
        <v>0</v>
      </c>
      <c r="AW57" s="20">
        <f>IF('Raw profile'!AV178&gt;0,1,IF('Raw profile'!AV281&gt;0,2,0))</f>
        <v>0</v>
      </c>
      <c r="AX57" s="20">
        <f>IF('Raw profile'!AW178&gt;0,1,IF('Raw profile'!AW281&gt;0,2,0))</f>
        <v>0</v>
      </c>
      <c r="AY57" s="20">
        <f>IF('Raw profile'!AX178&gt;0,1,IF('Raw profile'!AX281&gt;0,2,0))</f>
        <v>0</v>
      </c>
      <c r="AZ57" s="20">
        <f>IF('Raw profile'!AY178&gt;0,1,IF('Raw profile'!AY281&gt;0,2,0))</f>
        <v>0</v>
      </c>
      <c r="BA57" s="20">
        <f>IF('Raw profile'!AZ178&gt;0,1,IF('Raw profile'!AZ281&gt;0,2,0))</f>
        <v>0</v>
      </c>
      <c r="BB57" s="20">
        <f>IF('Raw profile'!BA178&gt;0,1,IF('Raw profile'!BA281&gt;0,2,0))</f>
        <v>0</v>
      </c>
      <c r="BC57" s="20">
        <f>IF('Raw profile'!BB178&gt;0,1,IF('Raw profile'!BB281&gt;0,2,0))</f>
        <v>0</v>
      </c>
      <c r="BD57" s="20">
        <f>IF('Raw profile'!BC178&gt;0,1,IF('Raw profile'!BC281&gt;0,2,0))</f>
        <v>0</v>
      </c>
      <c r="BE57" s="20">
        <f>IF('Raw profile'!BD178&gt;0,1,IF('Raw profile'!BD281&gt;0,2,0))</f>
        <v>0</v>
      </c>
      <c r="BF57" s="20">
        <f>IF('Raw profile'!BE178&gt;0,1,IF('Raw profile'!BE281&gt;0,2,0))</f>
        <v>0</v>
      </c>
      <c r="BG57" s="20">
        <f>IF('Raw profile'!BF178&gt;0,1,IF('Raw profile'!BF281&gt;0,2,0))</f>
        <v>0</v>
      </c>
      <c r="BH57" s="20">
        <f>IF('Raw profile'!BG178&gt;0,1,IF('Raw profile'!BG281&gt;0,2,0))</f>
        <v>0</v>
      </c>
      <c r="BI57" s="20">
        <f>IF('Raw profile'!BH178&gt;0,1,IF('Raw profile'!BH281&gt;0,2,0))</f>
        <v>0</v>
      </c>
      <c r="BJ57" s="20">
        <f>IF('Raw profile'!BI178&gt;0,1,IF('Raw profile'!BI281&gt;0,2,0))</f>
        <v>0</v>
      </c>
      <c r="BK57" s="21">
        <f>IF('Raw profile'!BJ178&gt;0,1,IF('Raw profile'!BJ281&gt;0,2,0))</f>
        <v>0</v>
      </c>
    </row>
    <row r="58" spans="1:63" x14ac:dyDescent="0.3">
      <c r="B58" s="13" t="s">
        <v>4</v>
      </c>
      <c r="C58" s="19">
        <f>'Growth profile'!I70</f>
        <v>2038</v>
      </c>
      <c r="D58" s="20">
        <f>IF('Growth profile'!C178&gt;0,1,IF('Growth profile'!C281&gt;0,3,0))</f>
        <v>0</v>
      </c>
      <c r="E58" s="20">
        <f>IF('Growth profile'!D178&gt;0,1,IF('Growth profile'!D281&gt;0,3,0))</f>
        <v>0</v>
      </c>
      <c r="F58" s="20">
        <f>IF('Growth profile'!E178&gt;0,1,IF('Growth profile'!E281&gt;0,3,0))</f>
        <v>0</v>
      </c>
      <c r="G58" s="20">
        <f>IF('Growth profile'!F178&gt;0,1,IF('Growth profile'!F281&gt;0,3,0))</f>
        <v>0</v>
      </c>
      <c r="H58" s="20">
        <f>IF('Growth profile'!G178&gt;0,1,IF('Growth profile'!G281&gt;0,3,0))</f>
        <v>0</v>
      </c>
      <c r="I58" s="20">
        <f>IF('Growth profile'!H178&gt;0,1,IF('Growth profile'!H281&gt;0,3,0))</f>
        <v>0</v>
      </c>
      <c r="J58" s="20">
        <f>IF('Growth profile'!I178&gt;0,1,IF('Growth profile'!I281&gt;0,3,0))</f>
        <v>0</v>
      </c>
      <c r="K58" s="20">
        <f>IF('Growth profile'!J178&gt;0,1,IF('Growth profile'!J281&gt;0,3,0))</f>
        <v>0</v>
      </c>
      <c r="L58" s="20">
        <f>IF('Growth profile'!K178&gt;0,1,IF('Growth profile'!K281&gt;0,3,0))</f>
        <v>0</v>
      </c>
      <c r="M58" s="20">
        <f>IF('Growth profile'!L178&gt;0,1,IF('Growth profile'!L281&gt;0,3,0))</f>
        <v>0</v>
      </c>
      <c r="N58" s="20">
        <f>IF('Growth profile'!M178&gt;0,1,IF('Growth profile'!M281&gt;0,3,0))</f>
        <v>0</v>
      </c>
      <c r="O58" s="20">
        <f>IF('Growth profile'!N178&gt;0,1,IF('Growth profile'!N281&gt;0,3,0))</f>
        <v>0</v>
      </c>
      <c r="P58" s="20">
        <f>IF('Growth profile'!O178&gt;0,1,IF('Growth profile'!O281&gt;0,3,0))</f>
        <v>1</v>
      </c>
      <c r="Q58" s="20">
        <f>IF('Growth profile'!P178&gt;0,1,IF('Growth profile'!P281&gt;0,3,0))</f>
        <v>1</v>
      </c>
      <c r="R58" s="20">
        <f>IF('Growth profile'!Q178&gt;0,1,IF('Growth profile'!Q281&gt;0,3,0))</f>
        <v>3</v>
      </c>
      <c r="S58" s="20">
        <f>IF('Growth profile'!R178&gt;0,1,IF('Growth profile'!R281&gt;0,3,0))</f>
        <v>3</v>
      </c>
      <c r="T58" s="20">
        <f>IF('Growth profile'!S178&gt;0,1,IF('Growth profile'!S281&gt;0,3,0))</f>
        <v>3</v>
      </c>
      <c r="U58" s="20">
        <f>IF('Growth profile'!T178&gt;0,1,IF('Growth profile'!T281&gt;0,3,0))</f>
        <v>3</v>
      </c>
      <c r="V58" s="20">
        <f>IF('Growth profile'!U178&gt;0,1,IF('Growth profile'!U281&gt;0,3,0))</f>
        <v>3</v>
      </c>
      <c r="W58" s="20">
        <f>IF('Growth profile'!V178&gt;0,1,IF('Growth profile'!V281&gt;0,3,0))</f>
        <v>3</v>
      </c>
      <c r="X58" s="20">
        <f>IF('Growth profile'!W178&gt;0,1,IF('Growth profile'!W281&gt;0,3,0))</f>
        <v>3</v>
      </c>
      <c r="Y58" s="20">
        <f>IF('Growth profile'!X178&gt;0,1,IF('Growth profile'!X281&gt;0,3,0))</f>
        <v>3</v>
      </c>
      <c r="Z58" s="20">
        <f>IF('Growth profile'!Y178&gt;0,1,IF('Growth profile'!Y281&gt;0,3,0))</f>
        <v>3</v>
      </c>
      <c r="AA58" s="20">
        <f>IF('Growth profile'!Z178&gt;0,1,IF('Growth profile'!Z281&gt;0,3,0))</f>
        <v>3</v>
      </c>
      <c r="AB58" s="20">
        <f>IF('Growth profile'!AA178&gt;0,1,IF('Growth profile'!AA281&gt;0,3,0))</f>
        <v>3</v>
      </c>
      <c r="AC58" s="20">
        <f>IF('Growth profile'!AB178&gt;0,1,IF('Growth profile'!AB281&gt;0,3,0))</f>
        <v>3</v>
      </c>
      <c r="AD58" s="20">
        <f>IF('Growth profile'!AC178&gt;0,1,IF('Growth profile'!AC281&gt;0,3,0))</f>
        <v>3</v>
      </c>
      <c r="AE58" s="20">
        <f>IF('Growth profile'!AD178&gt;0,1,IF('Growth profile'!AD281&gt;0,3,0))</f>
        <v>3</v>
      </c>
      <c r="AF58" s="20">
        <f>IF('Growth profile'!AE178&gt;0,1,IF('Growth profile'!AE281&gt;0,3,0))</f>
        <v>3</v>
      </c>
      <c r="AG58" s="20">
        <f>IF('Growth profile'!AF178&gt;0,1,IF('Growth profile'!AF281&gt;0,3,0))</f>
        <v>3</v>
      </c>
      <c r="AH58" s="20">
        <f>IF('Growth profile'!AG178&gt;0,1,IF('Growth profile'!AG281&gt;0,3,0))</f>
        <v>3</v>
      </c>
      <c r="AI58" s="20">
        <f>IF('Growth profile'!AH178&gt;0,1,IF('Growth profile'!AH281&gt;0,3,0))</f>
        <v>3</v>
      </c>
      <c r="AJ58" s="20">
        <f>IF('Growth profile'!AI178&gt;0,1,IF('Growth profile'!AI281&gt;0,3,0))</f>
        <v>3</v>
      </c>
      <c r="AK58" s="20">
        <f>IF('Growth profile'!AJ178&gt;0,1,IF('Growth profile'!AJ281&gt;0,3,0))</f>
        <v>3</v>
      </c>
      <c r="AL58" s="20">
        <f>IF('Growth profile'!AK178&gt;0,1,IF('Growth profile'!AK281&gt;0,3,0))</f>
        <v>3</v>
      </c>
      <c r="AM58" s="20">
        <f>IF('Growth profile'!AL178&gt;0,1,IF('Growth profile'!AL281&gt;0,3,0))</f>
        <v>3</v>
      </c>
      <c r="AN58" s="20">
        <f>IF('Growth profile'!AM178&gt;0,1,IF('Growth profile'!AM281&gt;0,3,0))</f>
        <v>3</v>
      </c>
      <c r="AO58" s="20">
        <f>IF('Growth profile'!AN178&gt;0,1,IF('Growth profile'!AN281&gt;0,3,0))</f>
        <v>3</v>
      </c>
      <c r="AP58" s="20">
        <f>IF('Growth profile'!AO178&gt;0,1,IF('Growth profile'!AO281&gt;0,3,0))</f>
        <v>3</v>
      </c>
      <c r="AQ58" s="20">
        <f>IF('Growth profile'!AP178&gt;0,1,IF('Growth profile'!AP281&gt;0,3,0))</f>
        <v>3</v>
      </c>
      <c r="AR58" s="20">
        <f>IF('Growth profile'!AQ178&gt;0,1,IF('Growth profile'!AQ281&gt;0,3,0))</f>
        <v>3</v>
      </c>
      <c r="AS58" s="20">
        <f>IF('Growth profile'!AR178&gt;0,1,IF('Growth profile'!AR281&gt;0,3,0))</f>
        <v>3</v>
      </c>
      <c r="AT58" s="20">
        <f>IF('Growth profile'!AS178&gt;0,1,IF('Growth profile'!AS281&gt;0,3,0))</f>
        <v>3</v>
      </c>
      <c r="AU58" s="20">
        <f>IF('Growth profile'!AT178&gt;0,1,IF('Growth profile'!AT281&gt;0,3,0))</f>
        <v>3</v>
      </c>
      <c r="AV58" s="20">
        <f>IF('Growth profile'!AU178&gt;0,1,IF('Growth profile'!AU281&gt;0,3,0))</f>
        <v>3</v>
      </c>
      <c r="AW58" s="20">
        <f>IF('Growth profile'!AV178&gt;0,1,IF('Growth profile'!AV281&gt;0,3,0))</f>
        <v>3</v>
      </c>
      <c r="AX58" s="20">
        <f>IF('Growth profile'!AW178&gt;0,1,IF('Growth profile'!AW281&gt;0,3,0))</f>
        <v>3</v>
      </c>
      <c r="AY58" s="20">
        <f>IF('Growth profile'!AX178&gt;0,1,IF('Growth profile'!AX281&gt;0,3,0))</f>
        <v>3</v>
      </c>
      <c r="AZ58" s="20">
        <f>IF('Growth profile'!AY178&gt;0,1,IF('Growth profile'!AY281&gt;0,3,0))</f>
        <v>3</v>
      </c>
      <c r="BA58" s="20">
        <f>IF('Growth profile'!AZ178&gt;0,1,IF('Growth profile'!AZ281&gt;0,3,0))</f>
        <v>3</v>
      </c>
      <c r="BB58" s="20">
        <f>IF('Growth profile'!BA178&gt;0,1,IF('Growth profile'!BA281&gt;0,3,0))</f>
        <v>3</v>
      </c>
      <c r="BC58" s="20">
        <f>IF('Growth profile'!BB178&gt;0,1,IF('Growth profile'!BB281&gt;0,3,0))</f>
        <v>3</v>
      </c>
      <c r="BD58" s="20">
        <f>IF('Growth profile'!BC178&gt;0,1,IF('Growth profile'!BC281&gt;0,3,0))</f>
        <v>3</v>
      </c>
      <c r="BE58" s="20">
        <f>IF('Growth profile'!BD178&gt;0,1,IF('Growth profile'!BD281&gt;0,3,0))</f>
        <v>3</v>
      </c>
      <c r="BF58" s="20">
        <f>IF('Growth profile'!BE178&gt;0,1,IF('Growth profile'!BE281&gt;0,3,0))</f>
        <v>0</v>
      </c>
      <c r="BG58" s="20">
        <f>IF('Growth profile'!BF178&gt;0,1,IF('Growth profile'!BF281&gt;0,3,0))</f>
        <v>0</v>
      </c>
      <c r="BH58" s="20">
        <f>IF('Growth profile'!BG178&gt;0,1,IF('Growth profile'!BG281&gt;0,3,0))</f>
        <v>0</v>
      </c>
      <c r="BI58" s="20">
        <f>IF('Growth profile'!BH178&gt;0,1,IF('Growth profile'!BH281&gt;0,3,0))</f>
        <v>0</v>
      </c>
      <c r="BJ58" s="20">
        <f>IF('Growth profile'!BI178&gt;0,1,IF('Growth profile'!BI281&gt;0,3,0))</f>
        <v>0</v>
      </c>
      <c r="BK58" s="21">
        <f>IF('Growth profile'!BJ178&gt;0,1,IF('Growth profile'!BJ281&gt;0,3,0))</f>
        <v>0</v>
      </c>
    </row>
    <row r="59" spans="1:63" x14ac:dyDescent="0.3">
      <c r="B59" s="13" t="s">
        <v>59</v>
      </c>
      <c r="C59" s="19">
        <f>'Growth (no penalty)'!I70</f>
        <v>2044</v>
      </c>
      <c r="D59" s="22">
        <f>IF('Growth (no penalty)'!C178&gt;0,1,IF('Growth (no penalty)'!C281&gt;0,4,0))</f>
        <v>0</v>
      </c>
      <c r="E59" s="22">
        <f>IF('Growth (no penalty)'!D178&gt;0,1,IF('Growth (no penalty)'!D281&gt;0,4,0))</f>
        <v>0</v>
      </c>
      <c r="F59" s="22">
        <f>IF('Growth (no penalty)'!E178&gt;0,1,IF('Growth (no penalty)'!E281&gt;0,4,0))</f>
        <v>0</v>
      </c>
      <c r="G59" s="22">
        <f>IF('Growth (no penalty)'!F178&gt;0,1,IF('Growth (no penalty)'!F281&gt;0,4,0))</f>
        <v>0</v>
      </c>
      <c r="H59" s="22">
        <f>IF('Growth (no penalty)'!G178&gt;0,1,IF('Growth (no penalty)'!G281&gt;0,4,0))</f>
        <v>0</v>
      </c>
      <c r="I59" s="22">
        <f>IF('Growth (no penalty)'!H178&gt;0,1,IF('Growth (no penalty)'!H281&gt;0,4,0))</f>
        <v>0</v>
      </c>
      <c r="J59" s="22">
        <f>IF('Growth (no penalty)'!I178&gt;0,1,IF('Growth (no penalty)'!I281&gt;0,4,0))</f>
        <v>0</v>
      </c>
      <c r="K59" s="22">
        <f>IF('Growth (no penalty)'!J178&gt;0,1,IF('Growth (no penalty)'!J281&gt;0,4,0))</f>
        <v>0</v>
      </c>
      <c r="L59" s="22">
        <f>IF('Growth (no penalty)'!K178&gt;0,1,IF('Growth (no penalty)'!K281&gt;0,4,0))</f>
        <v>0</v>
      </c>
      <c r="M59" s="22">
        <f>IF('Growth (no penalty)'!L178&gt;0,1,IF('Growth (no penalty)'!L281&gt;0,4,0))</f>
        <v>0</v>
      </c>
      <c r="N59" s="22">
        <f>IF('Growth (no penalty)'!M178&gt;0,1,IF('Growth (no penalty)'!M281&gt;0,4,0))</f>
        <v>0</v>
      </c>
      <c r="O59" s="22">
        <f>IF('Growth (no penalty)'!N178&gt;0,1,IF('Growth (no penalty)'!N281&gt;0,4,0))</f>
        <v>0</v>
      </c>
      <c r="P59" s="22">
        <f>IF('Growth (no penalty)'!O178&gt;0,1,IF('Growth (no penalty)'!O281&gt;0,4,0))</f>
        <v>0</v>
      </c>
      <c r="Q59" s="22">
        <f>IF('Growth (no penalty)'!P178&gt;0,1,IF('Growth (no penalty)'!P281&gt;0,4,0))</f>
        <v>0</v>
      </c>
      <c r="R59" s="22">
        <f>IF('Growth (no penalty)'!Q178&gt;0,1,IF('Growth (no penalty)'!Q281&gt;0,4,0))</f>
        <v>0</v>
      </c>
      <c r="S59" s="22">
        <f>IF('Growth (no penalty)'!R178&gt;0,1,IF('Growth (no penalty)'!R281&gt;0,4,0))</f>
        <v>0</v>
      </c>
      <c r="T59" s="22">
        <f>IF('Growth (no penalty)'!S178&gt;0,1,IF('Growth (no penalty)'!S281&gt;0,4,0))</f>
        <v>0</v>
      </c>
      <c r="U59" s="22">
        <f>IF('Growth (no penalty)'!T178&gt;0,1,IF('Growth (no penalty)'!T281&gt;0,4,0))</f>
        <v>0</v>
      </c>
      <c r="V59" s="22">
        <f>IF('Growth (no penalty)'!U178&gt;0,1,IF('Growth (no penalty)'!U281&gt;0,4,0))</f>
        <v>1</v>
      </c>
      <c r="W59" s="22">
        <f>IF('Growth (no penalty)'!V178&gt;0,1,IF('Growth (no penalty)'!V281&gt;0,4,0))</f>
        <v>1</v>
      </c>
      <c r="X59" s="22">
        <f>IF('Growth (no penalty)'!W178&gt;0,1,IF('Growth (no penalty)'!W281&gt;0,4,0))</f>
        <v>4</v>
      </c>
      <c r="Y59" s="22">
        <f>IF('Growth (no penalty)'!X178&gt;0,1,IF('Growth (no penalty)'!X281&gt;0,4,0))</f>
        <v>4</v>
      </c>
      <c r="Z59" s="22">
        <f>IF('Growth (no penalty)'!Y178&gt;0,1,IF('Growth (no penalty)'!Y281&gt;0,4,0))</f>
        <v>4</v>
      </c>
      <c r="AA59" s="22">
        <f>IF('Growth (no penalty)'!Z178&gt;0,1,IF('Growth (no penalty)'!Z281&gt;0,4,0))</f>
        <v>4</v>
      </c>
      <c r="AB59" s="22">
        <f>IF('Growth (no penalty)'!AA178&gt;0,1,IF('Growth (no penalty)'!AA281&gt;0,4,0))</f>
        <v>4</v>
      </c>
      <c r="AC59" s="22">
        <f>IF('Growth (no penalty)'!AB178&gt;0,1,IF('Growth (no penalty)'!AB281&gt;0,4,0))</f>
        <v>4</v>
      </c>
      <c r="AD59" s="22">
        <f>IF('Growth (no penalty)'!AC178&gt;0,1,IF('Growth (no penalty)'!AC281&gt;0,4,0))</f>
        <v>4</v>
      </c>
      <c r="AE59" s="22">
        <f>IF('Growth (no penalty)'!AD178&gt;0,1,IF('Growth (no penalty)'!AD281&gt;0,4,0))</f>
        <v>4</v>
      </c>
      <c r="AF59" s="22">
        <f>IF('Growth (no penalty)'!AE178&gt;0,1,IF('Growth (no penalty)'!AE281&gt;0,4,0))</f>
        <v>4</v>
      </c>
      <c r="AG59" s="22">
        <f>IF('Growth (no penalty)'!AF178&gt;0,1,IF('Growth (no penalty)'!AF281&gt;0,4,0))</f>
        <v>4</v>
      </c>
      <c r="AH59" s="22">
        <f>IF('Growth (no penalty)'!AG178&gt;0,1,IF('Growth (no penalty)'!AG281&gt;0,4,0))</f>
        <v>4</v>
      </c>
      <c r="AI59" s="22">
        <f>IF('Growth (no penalty)'!AH178&gt;0,1,IF('Growth (no penalty)'!AH281&gt;0,4,0))</f>
        <v>4</v>
      </c>
      <c r="AJ59" s="22">
        <f>IF('Growth (no penalty)'!AI178&gt;0,1,IF('Growth (no penalty)'!AI281&gt;0,4,0))</f>
        <v>4</v>
      </c>
      <c r="AK59" s="22">
        <f>IF('Growth (no penalty)'!AJ178&gt;0,1,IF('Growth (no penalty)'!AJ281&gt;0,4,0))</f>
        <v>4</v>
      </c>
      <c r="AL59" s="22">
        <f>IF('Growth (no penalty)'!AK178&gt;0,1,IF('Growth (no penalty)'!AK281&gt;0,4,0))</f>
        <v>4</v>
      </c>
      <c r="AM59" s="22">
        <f>IF('Growth (no penalty)'!AL178&gt;0,1,IF('Growth (no penalty)'!AL281&gt;0,4,0))</f>
        <v>4</v>
      </c>
      <c r="AN59" s="22">
        <f>IF('Growth (no penalty)'!AM178&gt;0,1,IF('Growth (no penalty)'!AM281&gt;0,4,0))</f>
        <v>4</v>
      </c>
      <c r="AO59" s="22">
        <f>IF('Growth (no penalty)'!AN178&gt;0,1,IF('Growth (no penalty)'!AN281&gt;0,4,0))</f>
        <v>4</v>
      </c>
      <c r="AP59" s="22">
        <f>IF('Growth (no penalty)'!AO178&gt;0,1,IF('Growth (no penalty)'!AO281&gt;0,4,0))</f>
        <v>4</v>
      </c>
      <c r="AQ59" s="22">
        <f>IF('Growth (no penalty)'!AP178&gt;0,1,IF('Growth (no penalty)'!AP281&gt;0,4,0))</f>
        <v>4</v>
      </c>
      <c r="AR59" s="22">
        <f>IF('Growth (no penalty)'!AQ178&gt;0,1,IF('Growth (no penalty)'!AQ281&gt;0,4,0))</f>
        <v>4</v>
      </c>
      <c r="AS59" s="22">
        <f>IF('Growth (no penalty)'!AR178&gt;0,1,IF('Growth (no penalty)'!AR281&gt;0,4,0))</f>
        <v>4</v>
      </c>
      <c r="AT59" s="22">
        <f>IF('Growth (no penalty)'!AS178&gt;0,1,IF('Growth (no penalty)'!AS281&gt;0,4,0))</f>
        <v>4</v>
      </c>
      <c r="AU59" s="22">
        <f>IF('Growth (no penalty)'!AT178&gt;0,1,IF('Growth (no penalty)'!AT281&gt;0,4,0))</f>
        <v>4</v>
      </c>
      <c r="AV59" s="22">
        <f>IF('Growth (no penalty)'!AU178&gt;0,1,IF('Growth (no penalty)'!AU281&gt;0,4,0))</f>
        <v>4</v>
      </c>
      <c r="AW59" s="22">
        <f>IF('Growth (no penalty)'!AV178&gt;0,1,IF('Growth (no penalty)'!AV281&gt;0,4,0))</f>
        <v>4</v>
      </c>
      <c r="AX59" s="22">
        <f>IF('Growth (no penalty)'!AW178&gt;0,1,IF('Growth (no penalty)'!AW281&gt;0,4,0))</f>
        <v>4</v>
      </c>
      <c r="AY59" s="22">
        <f>IF('Growth (no penalty)'!AX178&gt;0,1,IF('Growth (no penalty)'!AX281&gt;0,4,0))</f>
        <v>4</v>
      </c>
      <c r="AZ59" s="22">
        <f>IF('Growth (no penalty)'!AY178&gt;0,1,IF('Growth (no penalty)'!AY281&gt;0,4,0))</f>
        <v>4</v>
      </c>
      <c r="BA59" s="22">
        <f>IF('Growth (no penalty)'!AZ178&gt;0,1,IF('Growth (no penalty)'!AZ281&gt;0,4,0))</f>
        <v>4</v>
      </c>
      <c r="BB59" s="22">
        <f>IF('Growth (no penalty)'!BA178&gt;0,1,IF('Growth (no penalty)'!BA281&gt;0,4,0))</f>
        <v>4</v>
      </c>
      <c r="BC59" s="22">
        <f>IF('Growth (no penalty)'!BB178&gt;0,1,IF('Growth (no penalty)'!BB281&gt;0,4,0))</f>
        <v>4</v>
      </c>
      <c r="BD59" s="22">
        <f>IF('Growth (no penalty)'!BC178&gt;0,1,IF('Growth (no penalty)'!BC281&gt;0,4,0))</f>
        <v>4</v>
      </c>
      <c r="BE59" s="22">
        <f>IF('Growth (no penalty)'!BD178&gt;0,1,IF('Growth (no penalty)'!BD281&gt;0,4,0))</f>
        <v>4</v>
      </c>
      <c r="BF59" s="22">
        <f>IF('Growth (no penalty)'!BE178&gt;0,1,IF('Growth (no penalty)'!BE281&gt;0,4,0))</f>
        <v>4</v>
      </c>
      <c r="BG59" s="22">
        <f>IF('Growth (no penalty)'!BF178&gt;0,1,IF('Growth (no penalty)'!BF281&gt;0,4,0))</f>
        <v>4</v>
      </c>
      <c r="BH59" s="22">
        <f>IF('Growth (no penalty)'!BG178&gt;0,1,IF('Growth (no penalty)'!BG281&gt;0,4,0))</f>
        <v>4</v>
      </c>
      <c r="BI59" s="22">
        <f>IF('Growth (no penalty)'!BH178&gt;0,1,IF('Growth (no penalty)'!BH281&gt;0,4,0))</f>
        <v>4</v>
      </c>
      <c r="BJ59" s="22">
        <f>IF('Growth (no penalty)'!BI178&gt;0,1,IF('Growth (no penalty)'!BI281&gt;0,4,0))</f>
        <v>4</v>
      </c>
      <c r="BK59" s="23">
        <f>IF('Growth (no penalty)'!BJ178&gt;0,1,IF('Growth (no penalty)'!BJ281&gt;0,4,0))</f>
        <v>4</v>
      </c>
    </row>
    <row r="60" spans="1:63" x14ac:dyDescent="0.3">
      <c r="A60" s="4" t="str">
        <f>'Growth profile'!A24</f>
        <v>project 1</v>
      </c>
      <c r="B60" s="13" t="s">
        <v>3</v>
      </c>
      <c r="C60" s="19">
        <f>'Raw profile'!I24</f>
        <v>2026</v>
      </c>
      <c r="D60" s="20">
        <f>IF('Raw profile'!C132&gt;0,1,IF('Raw profile'!C235&gt;0,2,0))</f>
        <v>1</v>
      </c>
      <c r="E60" s="20">
        <f>IF('Raw profile'!D132&gt;0,1,IF('Raw profile'!D235&gt;0,2,0))</f>
        <v>1</v>
      </c>
      <c r="F60" s="20">
        <f>IF('Raw profile'!E132&gt;0,1,IF('Raw profile'!E235&gt;0,2,0))</f>
        <v>1</v>
      </c>
      <c r="G60" s="20">
        <f>IF('Raw profile'!F132&gt;0,1,IF('Raw profile'!F235&gt;0,2,0))</f>
        <v>1</v>
      </c>
      <c r="H60" s="20">
        <f>IF('Raw profile'!G132&gt;0,1,IF('Raw profile'!G235&gt;0,2,0))</f>
        <v>1</v>
      </c>
      <c r="I60" s="20">
        <f>IF('Raw profile'!H132&gt;0,1,IF('Raw profile'!H235&gt;0,2,0))</f>
        <v>1</v>
      </c>
      <c r="J60" s="20">
        <f>IF('Raw profile'!I132&gt;0,1,IF('Raw profile'!I235&gt;0,2,0))</f>
        <v>2</v>
      </c>
      <c r="K60" s="20">
        <f>IF('Raw profile'!J132&gt;0,1,IF('Raw profile'!J235&gt;0,2,0))</f>
        <v>2</v>
      </c>
      <c r="L60" s="20">
        <f>IF('Raw profile'!K132&gt;0,1,IF('Raw profile'!K235&gt;0,2,0))</f>
        <v>2</v>
      </c>
      <c r="M60" s="20">
        <f>IF('Raw profile'!L132&gt;0,1,IF('Raw profile'!L235&gt;0,2,0))</f>
        <v>2</v>
      </c>
      <c r="N60" s="20">
        <f>IF('Raw profile'!M132&gt;0,1,IF('Raw profile'!M235&gt;0,2,0))</f>
        <v>2</v>
      </c>
      <c r="O60" s="20">
        <f>IF('Raw profile'!N132&gt;0,1,IF('Raw profile'!N235&gt;0,2,0))</f>
        <v>2</v>
      </c>
      <c r="P60" s="20">
        <f>IF('Raw profile'!O132&gt;0,1,IF('Raw profile'!O235&gt;0,2,0))</f>
        <v>2</v>
      </c>
      <c r="Q60" s="20">
        <f>IF('Raw profile'!P132&gt;0,1,IF('Raw profile'!P235&gt;0,2,0))</f>
        <v>2</v>
      </c>
      <c r="R60" s="20">
        <f>IF('Raw profile'!Q132&gt;0,1,IF('Raw profile'!Q235&gt;0,2,0))</f>
        <v>2</v>
      </c>
      <c r="S60" s="20">
        <f>IF('Raw profile'!R132&gt;0,1,IF('Raw profile'!R235&gt;0,2,0))</f>
        <v>2</v>
      </c>
      <c r="T60" s="20">
        <f>IF('Raw profile'!S132&gt;0,1,IF('Raw profile'!S235&gt;0,2,0))</f>
        <v>2</v>
      </c>
      <c r="U60" s="20">
        <f>IF('Raw profile'!T132&gt;0,1,IF('Raw profile'!T235&gt;0,2,0))</f>
        <v>2</v>
      </c>
      <c r="V60" s="20">
        <f>IF('Raw profile'!U132&gt;0,1,IF('Raw profile'!U235&gt;0,2,0))</f>
        <v>2</v>
      </c>
      <c r="W60" s="20">
        <f>IF('Raw profile'!V132&gt;0,1,IF('Raw profile'!V235&gt;0,2,0))</f>
        <v>2</v>
      </c>
      <c r="X60" s="20">
        <f>IF('Raw profile'!W132&gt;0,1,IF('Raw profile'!W235&gt;0,2,0))</f>
        <v>2</v>
      </c>
      <c r="Y60" s="20">
        <f>IF('Raw profile'!X132&gt;0,1,IF('Raw profile'!X235&gt;0,2,0))</f>
        <v>2</v>
      </c>
      <c r="Z60" s="20">
        <f>IF('Raw profile'!Y132&gt;0,1,IF('Raw profile'!Y235&gt;0,2,0))</f>
        <v>2</v>
      </c>
      <c r="AA60" s="20">
        <f>IF('Raw profile'!Z132&gt;0,1,IF('Raw profile'!Z235&gt;0,2,0))</f>
        <v>2</v>
      </c>
      <c r="AB60" s="20">
        <f>IF('Raw profile'!AA132&gt;0,1,IF('Raw profile'!AA235&gt;0,2,0))</f>
        <v>2</v>
      </c>
      <c r="AC60" s="20">
        <f>IF('Raw profile'!AB132&gt;0,1,IF('Raw profile'!AB235&gt;0,2,0))</f>
        <v>2</v>
      </c>
      <c r="AD60" s="20">
        <f>IF('Raw profile'!AC132&gt;0,1,IF('Raw profile'!AC235&gt;0,2,0))</f>
        <v>2</v>
      </c>
      <c r="AE60" s="20">
        <f>IF('Raw profile'!AD132&gt;0,1,IF('Raw profile'!AD235&gt;0,2,0))</f>
        <v>2</v>
      </c>
      <c r="AF60" s="20">
        <f>IF('Raw profile'!AE132&gt;0,1,IF('Raw profile'!AE235&gt;0,2,0))</f>
        <v>2</v>
      </c>
      <c r="AG60" s="20">
        <f>IF('Raw profile'!AF132&gt;0,1,IF('Raw profile'!AF235&gt;0,2,0))</f>
        <v>2</v>
      </c>
      <c r="AH60" s="20">
        <f>IF('Raw profile'!AG132&gt;0,1,IF('Raw profile'!AG235&gt;0,2,0))</f>
        <v>2</v>
      </c>
      <c r="AI60" s="20">
        <f>IF('Raw profile'!AH132&gt;0,1,IF('Raw profile'!AH235&gt;0,2,0))</f>
        <v>2</v>
      </c>
      <c r="AJ60" s="20">
        <f>IF('Raw profile'!AI132&gt;0,1,IF('Raw profile'!AI235&gt;0,2,0))</f>
        <v>2</v>
      </c>
      <c r="AK60" s="20">
        <f>IF('Raw profile'!AJ132&gt;0,1,IF('Raw profile'!AJ235&gt;0,2,0))</f>
        <v>2</v>
      </c>
      <c r="AL60" s="20">
        <f>IF('Raw profile'!AK132&gt;0,1,IF('Raw profile'!AK235&gt;0,2,0))</f>
        <v>2</v>
      </c>
      <c r="AM60" s="20">
        <f>IF('Raw profile'!AL132&gt;0,1,IF('Raw profile'!AL235&gt;0,2,0))</f>
        <v>2</v>
      </c>
      <c r="AN60" s="20">
        <f>IF('Raw profile'!AM132&gt;0,1,IF('Raw profile'!AM235&gt;0,2,0))</f>
        <v>2</v>
      </c>
      <c r="AO60" s="20">
        <f>IF('Raw profile'!AN132&gt;0,1,IF('Raw profile'!AN235&gt;0,2,0))</f>
        <v>2</v>
      </c>
      <c r="AP60" s="20">
        <f>IF('Raw profile'!AO132&gt;0,1,IF('Raw profile'!AO235&gt;0,2,0))</f>
        <v>2</v>
      </c>
      <c r="AQ60" s="20">
        <f>IF('Raw profile'!AP132&gt;0,1,IF('Raw profile'!AP235&gt;0,2,0))</f>
        <v>2</v>
      </c>
      <c r="AR60" s="20">
        <f>IF('Raw profile'!AQ132&gt;0,1,IF('Raw profile'!AQ235&gt;0,2,0))</f>
        <v>2</v>
      </c>
      <c r="AS60" s="20">
        <f>IF('Raw profile'!AR132&gt;0,1,IF('Raw profile'!AR235&gt;0,2,0))</f>
        <v>2</v>
      </c>
      <c r="AT60" s="20">
        <f>IF('Raw profile'!AS132&gt;0,1,IF('Raw profile'!AS235&gt;0,2,0))</f>
        <v>2</v>
      </c>
      <c r="AU60" s="20">
        <f>IF('Raw profile'!AT132&gt;0,1,IF('Raw profile'!AT235&gt;0,2,0))</f>
        <v>2</v>
      </c>
      <c r="AV60" s="20">
        <f>IF('Raw profile'!AU132&gt;0,1,IF('Raw profile'!AU235&gt;0,2,0))</f>
        <v>2</v>
      </c>
      <c r="AW60" s="20">
        <f>IF('Raw profile'!AV132&gt;0,1,IF('Raw profile'!AV235&gt;0,2,0))</f>
        <v>2</v>
      </c>
      <c r="AX60" s="20">
        <f>IF('Raw profile'!AW132&gt;0,1,IF('Raw profile'!AW235&gt;0,2,0))</f>
        <v>0</v>
      </c>
      <c r="AY60" s="20">
        <f>IF('Raw profile'!AX132&gt;0,1,IF('Raw profile'!AX235&gt;0,2,0))</f>
        <v>0</v>
      </c>
      <c r="AZ60" s="20">
        <f>IF('Raw profile'!AY132&gt;0,1,IF('Raw profile'!AY235&gt;0,2,0))</f>
        <v>0</v>
      </c>
      <c r="BA60" s="20">
        <f>IF('Raw profile'!AZ132&gt;0,1,IF('Raw profile'!AZ235&gt;0,2,0))</f>
        <v>0</v>
      </c>
      <c r="BB60" s="20">
        <f>IF('Raw profile'!BA132&gt;0,1,IF('Raw profile'!BA235&gt;0,2,0))</f>
        <v>0</v>
      </c>
      <c r="BC60" s="20">
        <f>IF('Raw profile'!BB132&gt;0,1,IF('Raw profile'!BB235&gt;0,2,0))</f>
        <v>0</v>
      </c>
      <c r="BD60" s="20">
        <f>IF('Raw profile'!BC132&gt;0,1,IF('Raw profile'!BC235&gt;0,2,0))</f>
        <v>0</v>
      </c>
      <c r="BE60" s="20">
        <f>IF('Raw profile'!BD132&gt;0,1,IF('Raw profile'!BD235&gt;0,2,0))</f>
        <v>0</v>
      </c>
      <c r="BF60" s="20">
        <f>IF('Raw profile'!BE132&gt;0,1,IF('Raw profile'!BE235&gt;0,2,0))</f>
        <v>0</v>
      </c>
      <c r="BG60" s="20">
        <f>IF('Raw profile'!BF132&gt;0,1,IF('Raw profile'!BF235&gt;0,2,0))</f>
        <v>0</v>
      </c>
      <c r="BH60" s="20">
        <f>IF('Raw profile'!BG132&gt;0,1,IF('Raw profile'!BG235&gt;0,2,0))</f>
        <v>0</v>
      </c>
      <c r="BI60" s="20">
        <f>IF('Raw profile'!BH132&gt;0,1,IF('Raw profile'!BH235&gt;0,2,0))</f>
        <v>0</v>
      </c>
      <c r="BJ60" s="20">
        <f>IF('Raw profile'!BI132&gt;0,1,IF('Raw profile'!BI235&gt;0,2,0))</f>
        <v>0</v>
      </c>
      <c r="BK60" s="21">
        <f>IF('Raw profile'!BJ132&gt;0,1,IF('Raw profile'!BJ235&gt;0,2,0))</f>
        <v>0</v>
      </c>
    </row>
    <row r="61" spans="1:63" x14ac:dyDescent="0.3">
      <c r="B61" s="13" t="s">
        <v>4</v>
      </c>
      <c r="C61" s="19">
        <f>'Growth profile'!I24</f>
        <v>2039</v>
      </c>
      <c r="D61" s="20">
        <f>IF('Growth profile'!C132&gt;0,1,IF('Growth profile'!C235&gt;0,3,0))</f>
        <v>0</v>
      </c>
      <c r="E61" s="20">
        <f>IF('Growth profile'!D132&gt;0,1,IF('Growth profile'!D235&gt;0,3,0))</f>
        <v>0</v>
      </c>
      <c r="F61" s="20">
        <f>IF('Growth profile'!E132&gt;0,1,IF('Growth profile'!E235&gt;0,3,0))</f>
        <v>0</v>
      </c>
      <c r="G61" s="20">
        <f>IF('Growth profile'!F132&gt;0,1,IF('Growth profile'!F235&gt;0,3,0))</f>
        <v>0</v>
      </c>
      <c r="H61" s="20">
        <f>IF('Growth profile'!G132&gt;0,1,IF('Growth profile'!G235&gt;0,3,0))</f>
        <v>0</v>
      </c>
      <c r="I61" s="20">
        <f>IF('Growth profile'!H132&gt;0,1,IF('Growth profile'!H235&gt;0,3,0))</f>
        <v>0</v>
      </c>
      <c r="J61" s="20">
        <f>IF('Growth profile'!I132&gt;0,1,IF('Growth profile'!I235&gt;0,3,0))</f>
        <v>0</v>
      </c>
      <c r="K61" s="20">
        <f>IF('Growth profile'!J132&gt;0,1,IF('Growth profile'!J235&gt;0,3,0))</f>
        <v>0</v>
      </c>
      <c r="L61" s="20">
        <f>IF('Growth profile'!K132&gt;0,1,IF('Growth profile'!K235&gt;0,3,0))</f>
        <v>0</v>
      </c>
      <c r="M61" s="20">
        <f>IF('Growth profile'!L132&gt;0,1,IF('Growth profile'!L235&gt;0,3,0))</f>
        <v>0</v>
      </c>
      <c r="N61" s="20">
        <f>IF('Growth profile'!M132&gt;0,1,IF('Growth profile'!M235&gt;0,3,0))</f>
        <v>0</v>
      </c>
      <c r="O61" s="20">
        <f>IF('Growth profile'!N132&gt;0,1,IF('Growth profile'!N235&gt;0,3,0))</f>
        <v>0</v>
      </c>
      <c r="P61" s="20">
        <f>IF('Growth profile'!O132&gt;0,1,IF('Growth profile'!O235&gt;0,3,0))</f>
        <v>0</v>
      </c>
      <c r="Q61" s="20">
        <f>IF('Growth profile'!P132&gt;0,1,IF('Growth profile'!P235&gt;0,3,0))</f>
        <v>1</v>
      </c>
      <c r="R61" s="20">
        <f>IF('Growth profile'!Q132&gt;0,1,IF('Growth profile'!Q235&gt;0,3,0))</f>
        <v>1</v>
      </c>
      <c r="S61" s="20">
        <f>IF('Growth profile'!R132&gt;0,1,IF('Growth profile'!R235&gt;0,3,0))</f>
        <v>1</v>
      </c>
      <c r="T61" s="20">
        <f>IF('Growth profile'!S132&gt;0,1,IF('Growth profile'!S235&gt;0,3,0))</f>
        <v>1</v>
      </c>
      <c r="U61" s="20">
        <f>IF('Growth profile'!T132&gt;0,1,IF('Growth profile'!T235&gt;0,3,0))</f>
        <v>1</v>
      </c>
      <c r="V61" s="20">
        <f>IF('Growth profile'!U132&gt;0,1,IF('Growth profile'!U235&gt;0,3,0))</f>
        <v>1</v>
      </c>
      <c r="W61" s="20">
        <f>IF('Growth profile'!V132&gt;0,1,IF('Growth profile'!V235&gt;0,3,0))</f>
        <v>3</v>
      </c>
      <c r="X61" s="20">
        <f>IF('Growth profile'!W132&gt;0,1,IF('Growth profile'!W235&gt;0,3,0))</f>
        <v>3</v>
      </c>
      <c r="Y61" s="20">
        <f>IF('Growth profile'!X132&gt;0,1,IF('Growth profile'!X235&gt;0,3,0))</f>
        <v>3</v>
      </c>
      <c r="Z61" s="20">
        <f>IF('Growth profile'!Y132&gt;0,1,IF('Growth profile'!Y235&gt;0,3,0))</f>
        <v>3</v>
      </c>
      <c r="AA61" s="20">
        <f>IF('Growth profile'!Z132&gt;0,1,IF('Growth profile'!Z235&gt;0,3,0))</f>
        <v>3</v>
      </c>
      <c r="AB61" s="20">
        <f>IF('Growth profile'!AA132&gt;0,1,IF('Growth profile'!AA235&gt;0,3,0))</f>
        <v>3</v>
      </c>
      <c r="AC61" s="20">
        <f>IF('Growth profile'!AB132&gt;0,1,IF('Growth profile'!AB235&gt;0,3,0))</f>
        <v>3</v>
      </c>
      <c r="AD61" s="20">
        <f>IF('Growth profile'!AC132&gt;0,1,IF('Growth profile'!AC235&gt;0,3,0))</f>
        <v>3</v>
      </c>
      <c r="AE61" s="20">
        <f>IF('Growth profile'!AD132&gt;0,1,IF('Growth profile'!AD235&gt;0,3,0))</f>
        <v>3</v>
      </c>
      <c r="AF61" s="20">
        <f>IF('Growth profile'!AE132&gt;0,1,IF('Growth profile'!AE235&gt;0,3,0))</f>
        <v>3</v>
      </c>
      <c r="AG61" s="20">
        <f>IF('Growth profile'!AF132&gt;0,1,IF('Growth profile'!AF235&gt;0,3,0))</f>
        <v>3</v>
      </c>
      <c r="AH61" s="20">
        <f>IF('Growth profile'!AG132&gt;0,1,IF('Growth profile'!AG235&gt;0,3,0))</f>
        <v>3</v>
      </c>
      <c r="AI61" s="20">
        <f>IF('Growth profile'!AH132&gt;0,1,IF('Growth profile'!AH235&gt;0,3,0))</f>
        <v>3</v>
      </c>
      <c r="AJ61" s="20">
        <f>IF('Growth profile'!AI132&gt;0,1,IF('Growth profile'!AI235&gt;0,3,0))</f>
        <v>3</v>
      </c>
      <c r="AK61" s="20">
        <f>IF('Growth profile'!AJ132&gt;0,1,IF('Growth profile'!AJ235&gt;0,3,0))</f>
        <v>3</v>
      </c>
      <c r="AL61" s="20">
        <f>IF('Growth profile'!AK132&gt;0,1,IF('Growth profile'!AK235&gt;0,3,0))</f>
        <v>3</v>
      </c>
      <c r="AM61" s="20">
        <f>IF('Growth profile'!AL132&gt;0,1,IF('Growth profile'!AL235&gt;0,3,0))</f>
        <v>3</v>
      </c>
      <c r="AN61" s="20">
        <f>IF('Growth profile'!AM132&gt;0,1,IF('Growth profile'!AM235&gt;0,3,0))</f>
        <v>3</v>
      </c>
      <c r="AO61" s="20">
        <f>IF('Growth profile'!AN132&gt;0,1,IF('Growth profile'!AN235&gt;0,3,0))</f>
        <v>3</v>
      </c>
      <c r="AP61" s="20">
        <f>IF('Growth profile'!AO132&gt;0,1,IF('Growth profile'!AO235&gt;0,3,0))</f>
        <v>3</v>
      </c>
      <c r="AQ61" s="20">
        <f>IF('Growth profile'!AP132&gt;0,1,IF('Growth profile'!AP235&gt;0,3,0))</f>
        <v>3</v>
      </c>
      <c r="AR61" s="20">
        <f>IF('Growth profile'!AQ132&gt;0,1,IF('Growth profile'!AQ235&gt;0,3,0))</f>
        <v>3</v>
      </c>
      <c r="AS61" s="20">
        <f>IF('Growth profile'!AR132&gt;0,1,IF('Growth profile'!AR235&gt;0,3,0))</f>
        <v>3</v>
      </c>
      <c r="AT61" s="20">
        <f>IF('Growth profile'!AS132&gt;0,1,IF('Growth profile'!AS235&gt;0,3,0))</f>
        <v>3</v>
      </c>
      <c r="AU61" s="20">
        <f>IF('Growth profile'!AT132&gt;0,1,IF('Growth profile'!AT235&gt;0,3,0))</f>
        <v>3</v>
      </c>
      <c r="AV61" s="20">
        <f>IF('Growth profile'!AU132&gt;0,1,IF('Growth profile'!AU235&gt;0,3,0))</f>
        <v>3</v>
      </c>
      <c r="AW61" s="20">
        <f>IF('Growth profile'!AV132&gt;0,1,IF('Growth profile'!AV235&gt;0,3,0))</f>
        <v>3</v>
      </c>
      <c r="AX61" s="20">
        <f>IF('Growth profile'!AW132&gt;0,1,IF('Growth profile'!AW235&gt;0,3,0))</f>
        <v>3</v>
      </c>
      <c r="AY61" s="20">
        <f>IF('Growth profile'!AX132&gt;0,1,IF('Growth profile'!AX235&gt;0,3,0))</f>
        <v>3</v>
      </c>
      <c r="AZ61" s="20">
        <f>IF('Growth profile'!AY132&gt;0,1,IF('Growth profile'!AY235&gt;0,3,0))</f>
        <v>3</v>
      </c>
      <c r="BA61" s="20">
        <f>IF('Growth profile'!AZ132&gt;0,1,IF('Growth profile'!AZ235&gt;0,3,0))</f>
        <v>3</v>
      </c>
      <c r="BB61" s="20">
        <f>IF('Growth profile'!BA132&gt;0,1,IF('Growth profile'!BA235&gt;0,3,0))</f>
        <v>3</v>
      </c>
      <c r="BC61" s="20">
        <f>IF('Growth profile'!BB132&gt;0,1,IF('Growth profile'!BB235&gt;0,3,0))</f>
        <v>3</v>
      </c>
      <c r="BD61" s="20">
        <f>IF('Growth profile'!BC132&gt;0,1,IF('Growth profile'!BC235&gt;0,3,0))</f>
        <v>3</v>
      </c>
      <c r="BE61" s="20">
        <f>IF('Growth profile'!BD132&gt;0,1,IF('Growth profile'!BD235&gt;0,3,0))</f>
        <v>3</v>
      </c>
      <c r="BF61" s="20">
        <f>IF('Growth profile'!BE132&gt;0,1,IF('Growth profile'!BE235&gt;0,3,0))</f>
        <v>3</v>
      </c>
      <c r="BG61" s="20">
        <f>IF('Growth profile'!BF132&gt;0,1,IF('Growth profile'!BF235&gt;0,3,0))</f>
        <v>3</v>
      </c>
      <c r="BH61" s="20">
        <f>IF('Growth profile'!BG132&gt;0,1,IF('Growth profile'!BG235&gt;0,3,0))</f>
        <v>3</v>
      </c>
      <c r="BI61" s="20">
        <f>IF('Growth profile'!BH132&gt;0,1,IF('Growth profile'!BH235&gt;0,3,0))</f>
        <v>3</v>
      </c>
      <c r="BJ61" s="20">
        <f>IF('Growth profile'!BI132&gt;0,1,IF('Growth profile'!BI235&gt;0,3,0))</f>
        <v>3</v>
      </c>
      <c r="BK61" s="21">
        <f>IF('Growth profile'!BJ132&gt;0,1,IF('Growth profile'!BJ235&gt;0,3,0))</f>
        <v>0</v>
      </c>
    </row>
    <row r="62" spans="1:63" x14ac:dyDescent="0.3">
      <c r="B62" s="13" t="s">
        <v>59</v>
      </c>
      <c r="C62" s="19">
        <f>'Growth (no penalty)'!I24</f>
        <v>2040</v>
      </c>
      <c r="D62" s="22">
        <f>IF('Growth (no penalty)'!C132&gt;0,1,IF('Growth (no penalty)'!C235&gt;0,4,0))</f>
        <v>0</v>
      </c>
      <c r="E62" s="22">
        <f>IF('Growth (no penalty)'!D132&gt;0,1,IF('Growth (no penalty)'!D235&gt;0,4,0))</f>
        <v>0</v>
      </c>
      <c r="F62" s="22">
        <f>IF('Growth (no penalty)'!E132&gt;0,1,IF('Growth (no penalty)'!E235&gt;0,4,0))</f>
        <v>0</v>
      </c>
      <c r="G62" s="22">
        <f>IF('Growth (no penalty)'!F132&gt;0,1,IF('Growth (no penalty)'!F235&gt;0,4,0))</f>
        <v>0</v>
      </c>
      <c r="H62" s="22">
        <f>IF('Growth (no penalty)'!G132&gt;0,1,IF('Growth (no penalty)'!G235&gt;0,4,0))</f>
        <v>0</v>
      </c>
      <c r="I62" s="22">
        <f>IF('Growth (no penalty)'!H132&gt;0,1,IF('Growth (no penalty)'!H235&gt;0,4,0))</f>
        <v>0</v>
      </c>
      <c r="J62" s="22">
        <f>IF('Growth (no penalty)'!I132&gt;0,1,IF('Growth (no penalty)'!I235&gt;0,4,0))</f>
        <v>0</v>
      </c>
      <c r="K62" s="22">
        <f>IF('Growth (no penalty)'!J132&gt;0,1,IF('Growth (no penalty)'!J235&gt;0,4,0))</f>
        <v>0</v>
      </c>
      <c r="L62" s="22">
        <f>IF('Growth (no penalty)'!K132&gt;0,1,IF('Growth (no penalty)'!K235&gt;0,4,0))</f>
        <v>0</v>
      </c>
      <c r="M62" s="22">
        <f>IF('Growth (no penalty)'!L132&gt;0,1,IF('Growth (no penalty)'!L235&gt;0,4,0))</f>
        <v>0</v>
      </c>
      <c r="N62" s="22">
        <f>IF('Growth (no penalty)'!M132&gt;0,1,IF('Growth (no penalty)'!M235&gt;0,4,0))</f>
        <v>0</v>
      </c>
      <c r="O62" s="22">
        <f>IF('Growth (no penalty)'!N132&gt;0,1,IF('Growth (no penalty)'!N235&gt;0,4,0))</f>
        <v>0</v>
      </c>
      <c r="P62" s="22">
        <f>IF('Growth (no penalty)'!O132&gt;0,1,IF('Growth (no penalty)'!O235&gt;0,4,0))</f>
        <v>0</v>
      </c>
      <c r="Q62" s="22">
        <f>IF('Growth (no penalty)'!P132&gt;0,1,IF('Growth (no penalty)'!P235&gt;0,4,0))</f>
        <v>0</v>
      </c>
      <c r="R62" s="22">
        <f>IF('Growth (no penalty)'!Q132&gt;0,1,IF('Growth (no penalty)'!Q235&gt;0,4,0))</f>
        <v>1</v>
      </c>
      <c r="S62" s="22">
        <f>IF('Growth (no penalty)'!R132&gt;0,1,IF('Growth (no penalty)'!R235&gt;0,4,0))</f>
        <v>1</v>
      </c>
      <c r="T62" s="22">
        <f>IF('Growth (no penalty)'!S132&gt;0,1,IF('Growth (no penalty)'!S235&gt;0,4,0))</f>
        <v>1</v>
      </c>
      <c r="U62" s="22">
        <f>IF('Growth (no penalty)'!T132&gt;0,1,IF('Growth (no penalty)'!T235&gt;0,4,0))</f>
        <v>1</v>
      </c>
      <c r="V62" s="22">
        <f>IF('Growth (no penalty)'!U132&gt;0,1,IF('Growth (no penalty)'!U235&gt;0,4,0))</f>
        <v>1</v>
      </c>
      <c r="W62" s="22">
        <f>IF('Growth (no penalty)'!V132&gt;0,1,IF('Growth (no penalty)'!V235&gt;0,4,0))</f>
        <v>1</v>
      </c>
      <c r="X62" s="22">
        <f>IF('Growth (no penalty)'!W132&gt;0,1,IF('Growth (no penalty)'!W235&gt;0,4,0))</f>
        <v>4</v>
      </c>
      <c r="Y62" s="22">
        <f>IF('Growth (no penalty)'!X132&gt;0,1,IF('Growth (no penalty)'!X235&gt;0,4,0))</f>
        <v>4</v>
      </c>
      <c r="Z62" s="22">
        <f>IF('Growth (no penalty)'!Y132&gt;0,1,IF('Growth (no penalty)'!Y235&gt;0,4,0))</f>
        <v>4</v>
      </c>
      <c r="AA62" s="22">
        <f>IF('Growth (no penalty)'!Z132&gt;0,1,IF('Growth (no penalty)'!Z235&gt;0,4,0))</f>
        <v>4</v>
      </c>
      <c r="AB62" s="22">
        <f>IF('Growth (no penalty)'!AA132&gt;0,1,IF('Growth (no penalty)'!AA235&gt;0,4,0))</f>
        <v>4</v>
      </c>
      <c r="AC62" s="22">
        <f>IF('Growth (no penalty)'!AB132&gt;0,1,IF('Growth (no penalty)'!AB235&gt;0,4,0))</f>
        <v>4</v>
      </c>
      <c r="AD62" s="22">
        <f>IF('Growth (no penalty)'!AC132&gt;0,1,IF('Growth (no penalty)'!AC235&gt;0,4,0))</f>
        <v>4</v>
      </c>
      <c r="AE62" s="22">
        <f>IF('Growth (no penalty)'!AD132&gt;0,1,IF('Growth (no penalty)'!AD235&gt;0,4,0))</f>
        <v>4</v>
      </c>
      <c r="AF62" s="22">
        <f>IF('Growth (no penalty)'!AE132&gt;0,1,IF('Growth (no penalty)'!AE235&gt;0,4,0))</f>
        <v>4</v>
      </c>
      <c r="AG62" s="22">
        <f>IF('Growth (no penalty)'!AF132&gt;0,1,IF('Growth (no penalty)'!AF235&gt;0,4,0))</f>
        <v>4</v>
      </c>
      <c r="AH62" s="22">
        <f>IF('Growth (no penalty)'!AG132&gt;0,1,IF('Growth (no penalty)'!AG235&gt;0,4,0))</f>
        <v>4</v>
      </c>
      <c r="AI62" s="22">
        <f>IF('Growth (no penalty)'!AH132&gt;0,1,IF('Growth (no penalty)'!AH235&gt;0,4,0))</f>
        <v>4</v>
      </c>
      <c r="AJ62" s="22">
        <f>IF('Growth (no penalty)'!AI132&gt;0,1,IF('Growth (no penalty)'!AI235&gt;0,4,0))</f>
        <v>4</v>
      </c>
      <c r="AK62" s="22">
        <f>IF('Growth (no penalty)'!AJ132&gt;0,1,IF('Growth (no penalty)'!AJ235&gt;0,4,0))</f>
        <v>4</v>
      </c>
      <c r="AL62" s="22">
        <f>IF('Growth (no penalty)'!AK132&gt;0,1,IF('Growth (no penalty)'!AK235&gt;0,4,0))</f>
        <v>4</v>
      </c>
      <c r="AM62" s="22">
        <f>IF('Growth (no penalty)'!AL132&gt;0,1,IF('Growth (no penalty)'!AL235&gt;0,4,0))</f>
        <v>4</v>
      </c>
      <c r="AN62" s="22">
        <f>IF('Growth (no penalty)'!AM132&gt;0,1,IF('Growth (no penalty)'!AM235&gt;0,4,0))</f>
        <v>4</v>
      </c>
      <c r="AO62" s="22">
        <f>IF('Growth (no penalty)'!AN132&gt;0,1,IF('Growth (no penalty)'!AN235&gt;0,4,0))</f>
        <v>4</v>
      </c>
      <c r="AP62" s="22">
        <f>IF('Growth (no penalty)'!AO132&gt;0,1,IF('Growth (no penalty)'!AO235&gt;0,4,0))</f>
        <v>4</v>
      </c>
      <c r="AQ62" s="22">
        <f>IF('Growth (no penalty)'!AP132&gt;0,1,IF('Growth (no penalty)'!AP235&gt;0,4,0))</f>
        <v>4</v>
      </c>
      <c r="AR62" s="22">
        <f>IF('Growth (no penalty)'!AQ132&gt;0,1,IF('Growth (no penalty)'!AQ235&gt;0,4,0))</f>
        <v>4</v>
      </c>
      <c r="AS62" s="22">
        <f>IF('Growth (no penalty)'!AR132&gt;0,1,IF('Growth (no penalty)'!AR235&gt;0,4,0))</f>
        <v>4</v>
      </c>
      <c r="AT62" s="22">
        <f>IF('Growth (no penalty)'!AS132&gt;0,1,IF('Growth (no penalty)'!AS235&gt;0,4,0))</f>
        <v>4</v>
      </c>
      <c r="AU62" s="22">
        <f>IF('Growth (no penalty)'!AT132&gt;0,1,IF('Growth (no penalty)'!AT235&gt;0,4,0))</f>
        <v>4</v>
      </c>
      <c r="AV62" s="22">
        <f>IF('Growth (no penalty)'!AU132&gt;0,1,IF('Growth (no penalty)'!AU235&gt;0,4,0))</f>
        <v>4</v>
      </c>
      <c r="AW62" s="22">
        <f>IF('Growth (no penalty)'!AV132&gt;0,1,IF('Growth (no penalty)'!AV235&gt;0,4,0))</f>
        <v>4</v>
      </c>
      <c r="AX62" s="22">
        <f>IF('Growth (no penalty)'!AW132&gt;0,1,IF('Growth (no penalty)'!AW235&gt;0,4,0))</f>
        <v>4</v>
      </c>
      <c r="AY62" s="22">
        <f>IF('Growth (no penalty)'!AX132&gt;0,1,IF('Growth (no penalty)'!AX235&gt;0,4,0))</f>
        <v>4</v>
      </c>
      <c r="AZ62" s="22">
        <f>IF('Growth (no penalty)'!AY132&gt;0,1,IF('Growth (no penalty)'!AY235&gt;0,4,0))</f>
        <v>4</v>
      </c>
      <c r="BA62" s="22">
        <f>IF('Growth (no penalty)'!AZ132&gt;0,1,IF('Growth (no penalty)'!AZ235&gt;0,4,0))</f>
        <v>4</v>
      </c>
      <c r="BB62" s="22">
        <f>IF('Growth (no penalty)'!BA132&gt;0,1,IF('Growth (no penalty)'!BA235&gt;0,4,0))</f>
        <v>4</v>
      </c>
      <c r="BC62" s="22">
        <f>IF('Growth (no penalty)'!BB132&gt;0,1,IF('Growth (no penalty)'!BB235&gt;0,4,0))</f>
        <v>4</v>
      </c>
      <c r="BD62" s="22">
        <f>IF('Growth (no penalty)'!BC132&gt;0,1,IF('Growth (no penalty)'!BC235&gt;0,4,0))</f>
        <v>4</v>
      </c>
      <c r="BE62" s="22">
        <f>IF('Growth (no penalty)'!BD132&gt;0,1,IF('Growth (no penalty)'!BD235&gt;0,4,0))</f>
        <v>4</v>
      </c>
      <c r="BF62" s="22">
        <f>IF('Growth (no penalty)'!BE132&gt;0,1,IF('Growth (no penalty)'!BE235&gt;0,4,0))</f>
        <v>4</v>
      </c>
      <c r="BG62" s="22">
        <f>IF('Growth (no penalty)'!BF132&gt;0,1,IF('Growth (no penalty)'!BF235&gt;0,4,0))</f>
        <v>4</v>
      </c>
      <c r="BH62" s="22">
        <f>IF('Growth (no penalty)'!BG132&gt;0,1,IF('Growth (no penalty)'!BG235&gt;0,4,0))</f>
        <v>4</v>
      </c>
      <c r="BI62" s="22">
        <f>IF('Growth (no penalty)'!BH132&gt;0,1,IF('Growth (no penalty)'!BH235&gt;0,4,0))</f>
        <v>4</v>
      </c>
      <c r="BJ62" s="22">
        <f>IF('Growth (no penalty)'!BI132&gt;0,1,IF('Growth (no penalty)'!BI235&gt;0,4,0))</f>
        <v>4</v>
      </c>
      <c r="BK62" s="23">
        <f>IF('Growth (no penalty)'!BJ132&gt;0,1,IF('Growth (no penalty)'!BJ235&gt;0,4,0))</f>
        <v>4</v>
      </c>
    </row>
    <row r="63" spans="1:63" x14ac:dyDescent="0.3">
      <c r="A63" s="4" t="str">
        <f>'Growth profile'!A119</f>
        <v>project 200</v>
      </c>
      <c r="B63" s="13" t="s">
        <v>3</v>
      </c>
      <c r="C63" s="19">
        <f>'Raw profile'!I119</f>
        <v>2026</v>
      </c>
      <c r="D63" s="20">
        <f>IF('Raw profile'!C227&gt;0,1,IF('Raw profile'!C330&gt;0,2,0))</f>
        <v>1</v>
      </c>
      <c r="E63" s="20">
        <f>IF('Raw profile'!D227&gt;0,1,IF('Raw profile'!D330&gt;0,2,0))</f>
        <v>1</v>
      </c>
      <c r="F63" s="20">
        <f>IF('Raw profile'!E227&gt;0,1,IF('Raw profile'!E330&gt;0,2,0))</f>
        <v>2</v>
      </c>
      <c r="G63" s="20">
        <f>IF('Raw profile'!F227&gt;0,1,IF('Raw profile'!F330&gt;0,2,0))</f>
        <v>2</v>
      </c>
      <c r="H63" s="20">
        <f>IF('Raw profile'!G227&gt;0,1,IF('Raw profile'!G330&gt;0,2,0))</f>
        <v>2</v>
      </c>
      <c r="I63" s="20">
        <f>IF('Raw profile'!H227&gt;0,1,IF('Raw profile'!H330&gt;0,2,0))</f>
        <v>2</v>
      </c>
      <c r="J63" s="20">
        <f>IF('Raw profile'!I227&gt;0,1,IF('Raw profile'!I330&gt;0,2,0))</f>
        <v>2</v>
      </c>
      <c r="K63" s="20">
        <f>IF('Raw profile'!J227&gt;0,1,IF('Raw profile'!J330&gt;0,2,0))</f>
        <v>2</v>
      </c>
      <c r="L63" s="20">
        <f>IF('Raw profile'!K227&gt;0,1,IF('Raw profile'!K330&gt;0,2,0))</f>
        <v>2</v>
      </c>
      <c r="M63" s="20">
        <f>IF('Raw profile'!L227&gt;0,1,IF('Raw profile'!L330&gt;0,2,0))</f>
        <v>2</v>
      </c>
      <c r="N63" s="20">
        <f>IF('Raw profile'!M227&gt;0,1,IF('Raw profile'!M330&gt;0,2,0))</f>
        <v>2</v>
      </c>
      <c r="O63" s="20">
        <f>IF('Raw profile'!N227&gt;0,1,IF('Raw profile'!N330&gt;0,2,0))</f>
        <v>2</v>
      </c>
      <c r="P63" s="20">
        <f>IF('Raw profile'!O227&gt;0,1,IF('Raw profile'!O330&gt;0,2,0))</f>
        <v>2</v>
      </c>
      <c r="Q63" s="20">
        <f>IF('Raw profile'!P227&gt;0,1,IF('Raw profile'!P330&gt;0,2,0))</f>
        <v>2</v>
      </c>
      <c r="R63" s="20">
        <f>IF('Raw profile'!Q227&gt;0,1,IF('Raw profile'!Q330&gt;0,2,0))</f>
        <v>2</v>
      </c>
      <c r="S63" s="20">
        <f>IF('Raw profile'!R227&gt;0,1,IF('Raw profile'!R330&gt;0,2,0))</f>
        <v>2</v>
      </c>
      <c r="T63" s="20">
        <f>IF('Raw profile'!S227&gt;0,1,IF('Raw profile'!S330&gt;0,2,0))</f>
        <v>2</v>
      </c>
      <c r="U63" s="20">
        <f>IF('Raw profile'!T227&gt;0,1,IF('Raw profile'!T330&gt;0,2,0))</f>
        <v>2</v>
      </c>
      <c r="V63" s="20">
        <f>IF('Raw profile'!U227&gt;0,1,IF('Raw profile'!U330&gt;0,2,0))</f>
        <v>2</v>
      </c>
      <c r="W63" s="20">
        <f>IF('Raw profile'!V227&gt;0,1,IF('Raw profile'!V330&gt;0,2,0))</f>
        <v>2</v>
      </c>
      <c r="X63" s="20">
        <f>IF('Raw profile'!W227&gt;0,1,IF('Raw profile'!W330&gt;0,2,0))</f>
        <v>2</v>
      </c>
      <c r="Y63" s="20">
        <f>IF('Raw profile'!X227&gt;0,1,IF('Raw profile'!X330&gt;0,2,0))</f>
        <v>2</v>
      </c>
      <c r="Z63" s="20">
        <f>IF('Raw profile'!Y227&gt;0,1,IF('Raw profile'!Y330&gt;0,2,0))</f>
        <v>2</v>
      </c>
      <c r="AA63" s="20">
        <f>IF('Raw profile'!Z227&gt;0,1,IF('Raw profile'!Z330&gt;0,2,0))</f>
        <v>2</v>
      </c>
      <c r="AB63" s="20">
        <f>IF('Raw profile'!AA227&gt;0,1,IF('Raw profile'!AA330&gt;0,2,0))</f>
        <v>2</v>
      </c>
      <c r="AC63" s="20">
        <f>IF('Raw profile'!AB227&gt;0,1,IF('Raw profile'!AB330&gt;0,2,0))</f>
        <v>2</v>
      </c>
      <c r="AD63" s="20">
        <f>IF('Raw profile'!AC227&gt;0,1,IF('Raw profile'!AC330&gt;0,2,0))</f>
        <v>2</v>
      </c>
      <c r="AE63" s="20">
        <f>IF('Raw profile'!AD227&gt;0,1,IF('Raw profile'!AD330&gt;0,2,0))</f>
        <v>2</v>
      </c>
      <c r="AF63" s="20">
        <f>IF('Raw profile'!AE227&gt;0,1,IF('Raw profile'!AE330&gt;0,2,0))</f>
        <v>2</v>
      </c>
      <c r="AG63" s="20">
        <f>IF('Raw profile'!AF227&gt;0,1,IF('Raw profile'!AF330&gt;0,2,0))</f>
        <v>2</v>
      </c>
      <c r="AH63" s="20">
        <f>IF('Raw profile'!AG227&gt;0,1,IF('Raw profile'!AG330&gt;0,2,0))</f>
        <v>2</v>
      </c>
      <c r="AI63" s="20">
        <f>IF('Raw profile'!AH227&gt;0,1,IF('Raw profile'!AH330&gt;0,2,0))</f>
        <v>2</v>
      </c>
      <c r="AJ63" s="20">
        <f>IF('Raw profile'!AI227&gt;0,1,IF('Raw profile'!AI330&gt;0,2,0))</f>
        <v>2</v>
      </c>
      <c r="AK63" s="20">
        <f>IF('Raw profile'!AJ227&gt;0,1,IF('Raw profile'!AJ330&gt;0,2,0))</f>
        <v>2</v>
      </c>
      <c r="AL63" s="20">
        <f>IF('Raw profile'!AK227&gt;0,1,IF('Raw profile'!AK330&gt;0,2,0))</f>
        <v>2</v>
      </c>
      <c r="AM63" s="20">
        <f>IF('Raw profile'!AL227&gt;0,1,IF('Raw profile'!AL330&gt;0,2,0))</f>
        <v>2</v>
      </c>
      <c r="AN63" s="20">
        <f>IF('Raw profile'!AM227&gt;0,1,IF('Raw profile'!AM330&gt;0,2,0))</f>
        <v>2</v>
      </c>
      <c r="AO63" s="20">
        <f>IF('Raw profile'!AN227&gt;0,1,IF('Raw profile'!AN330&gt;0,2,0))</f>
        <v>2</v>
      </c>
      <c r="AP63" s="20">
        <f>IF('Raw profile'!AO227&gt;0,1,IF('Raw profile'!AO330&gt;0,2,0))</f>
        <v>2</v>
      </c>
      <c r="AQ63" s="20">
        <f>IF('Raw profile'!AP227&gt;0,1,IF('Raw profile'!AP330&gt;0,2,0))</f>
        <v>2</v>
      </c>
      <c r="AR63" s="20">
        <f>IF('Raw profile'!AQ227&gt;0,1,IF('Raw profile'!AQ330&gt;0,2,0))</f>
        <v>2</v>
      </c>
      <c r="AS63" s="20">
        <f>IF('Raw profile'!AR227&gt;0,1,IF('Raw profile'!AR330&gt;0,2,0))</f>
        <v>2</v>
      </c>
      <c r="AT63" s="20">
        <f>IF('Raw profile'!AS227&gt;0,1,IF('Raw profile'!AS330&gt;0,2,0))</f>
        <v>0</v>
      </c>
      <c r="AU63" s="20">
        <f>IF('Raw profile'!AT227&gt;0,1,IF('Raw profile'!AT330&gt;0,2,0))</f>
        <v>0</v>
      </c>
      <c r="AV63" s="20">
        <f>IF('Raw profile'!AU227&gt;0,1,IF('Raw profile'!AU330&gt;0,2,0))</f>
        <v>0</v>
      </c>
      <c r="AW63" s="20">
        <f>IF('Raw profile'!AV227&gt;0,1,IF('Raw profile'!AV330&gt;0,2,0))</f>
        <v>0</v>
      </c>
      <c r="AX63" s="20">
        <f>IF('Raw profile'!AW227&gt;0,1,IF('Raw profile'!AW330&gt;0,2,0))</f>
        <v>0</v>
      </c>
      <c r="AY63" s="20">
        <f>IF('Raw profile'!AX227&gt;0,1,IF('Raw profile'!AX330&gt;0,2,0))</f>
        <v>0</v>
      </c>
      <c r="AZ63" s="20">
        <f>IF('Raw profile'!AY227&gt;0,1,IF('Raw profile'!AY330&gt;0,2,0))</f>
        <v>0</v>
      </c>
      <c r="BA63" s="20">
        <f>IF('Raw profile'!AZ227&gt;0,1,IF('Raw profile'!AZ330&gt;0,2,0))</f>
        <v>0</v>
      </c>
      <c r="BB63" s="20">
        <f>IF('Raw profile'!BA227&gt;0,1,IF('Raw profile'!BA330&gt;0,2,0))</f>
        <v>0</v>
      </c>
      <c r="BC63" s="20">
        <f>IF('Raw profile'!BB227&gt;0,1,IF('Raw profile'!BB330&gt;0,2,0))</f>
        <v>0</v>
      </c>
      <c r="BD63" s="20">
        <f>IF('Raw profile'!BC227&gt;0,1,IF('Raw profile'!BC330&gt;0,2,0))</f>
        <v>0</v>
      </c>
      <c r="BE63" s="20">
        <f>IF('Raw profile'!BD227&gt;0,1,IF('Raw profile'!BD330&gt;0,2,0))</f>
        <v>0</v>
      </c>
      <c r="BF63" s="20">
        <f>IF('Raw profile'!BE227&gt;0,1,IF('Raw profile'!BE330&gt;0,2,0))</f>
        <v>0</v>
      </c>
      <c r="BG63" s="20">
        <f>IF('Raw profile'!BF227&gt;0,1,IF('Raw profile'!BF330&gt;0,2,0))</f>
        <v>0</v>
      </c>
      <c r="BH63" s="20">
        <f>IF('Raw profile'!BG227&gt;0,1,IF('Raw profile'!BG330&gt;0,2,0))</f>
        <v>0</v>
      </c>
      <c r="BI63" s="20">
        <f>IF('Raw profile'!BH227&gt;0,1,IF('Raw profile'!BH330&gt;0,2,0))</f>
        <v>0</v>
      </c>
      <c r="BJ63" s="20">
        <f>IF('Raw profile'!BI227&gt;0,1,IF('Raw profile'!BI330&gt;0,2,0))</f>
        <v>0</v>
      </c>
      <c r="BK63" s="21">
        <f>IF('Raw profile'!BJ227&gt;0,1,IF('Raw profile'!BJ330&gt;0,2,0))</f>
        <v>0</v>
      </c>
    </row>
    <row r="64" spans="1:63" x14ac:dyDescent="0.3">
      <c r="B64" s="13" t="s">
        <v>4</v>
      </c>
      <c r="C64" s="19">
        <f>'Growth profile'!I119</f>
        <v>2039</v>
      </c>
      <c r="D64" s="20">
        <f>IF('Growth profile'!C227&gt;0,1,IF('Growth profile'!C330&gt;0,3,0))</f>
        <v>0</v>
      </c>
      <c r="E64" s="20">
        <f>IF('Growth profile'!D227&gt;0,1,IF('Growth profile'!D330&gt;0,3,0))</f>
        <v>0</v>
      </c>
      <c r="F64" s="20">
        <f>IF('Growth profile'!E227&gt;0,1,IF('Growth profile'!E330&gt;0,3,0))</f>
        <v>0</v>
      </c>
      <c r="G64" s="20">
        <f>IF('Growth profile'!F227&gt;0,1,IF('Growth profile'!F330&gt;0,3,0))</f>
        <v>0</v>
      </c>
      <c r="H64" s="20">
        <f>IF('Growth profile'!G227&gt;0,1,IF('Growth profile'!G330&gt;0,3,0))</f>
        <v>0</v>
      </c>
      <c r="I64" s="20">
        <f>IF('Growth profile'!H227&gt;0,1,IF('Growth profile'!H330&gt;0,3,0))</f>
        <v>0</v>
      </c>
      <c r="J64" s="20">
        <f>IF('Growth profile'!I227&gt;0,1,IF('Growth profile'!I330&gt;0,3,0))</f>
        <v>0</v>
      </c>
      <c r="K64" s="20">
        <f>IF('Growth profile'!J227&gt;0,1,IF('Growth profile'!J330&gt;0,3,0))</f>
        <v>0</v>
      </c>
      <c r="L64" s="20">
        <f>IF('Growth profile'!K227&gt;0,1,IF('Growth profile'!K330&gt;0,3,0))</f>
        <v>0</v>
      </c>
      <c r="M64" s="20">
        <f>IF('Growth profile'!L227&gt;0,1,IF('Growth profile'!L330&gt;0,3,0))</f>
        <v>0</v>
      </c>
      <c r="N64" s="20">
        <f>IF('Growth profile'!M227&gt;0,1,IF('Growth profile'!M330&gt;0,3,0))</f>
        <v>0</v>
      </c>
      <c r="O64" s="20">
        <f>IF('Growth profile'!N227&gt;0,1,IF('Growth profile'!N330&gt;0,3,0))</f>
        <v>0</v>
      </c>
      <c r="P64" s="20">
        <f>IF('Growth profile'!O227&gt;0,1,IF('Growth profile'!O330&gt;0,3,0))</f>
        <v>0</v>
      </c>
      <c r="Q64" s="20">
        <f>IF('Growth profile'!P227&gt;0,1,IF('Growth profile'!P330&gt;0,3,0))</f>
        <v>1</v>
      </c>
      <c r="R64" s="20">
        <f>IF('Growth profile'!Q227&gt;0,1,IF('Growth profile'!Q330&gt;0,3,0))</f>
        <v>1</v>
      </c>
      <c r="S64" s="20">
        <f>IF('Growth profile'!R227&gt;0,1,IF('Growth profile'!R330&gt;0,3,0))</f>
        <v>3</v>
      </c>
      <c r="T64" s="20">
        <f>IF('Growth profile'!S227&gt;0,1,IF('Growth profile'!S330&gt;0,3,0))</f>
        <v>3</v>
      </c>
      <c r="U64" s="20">
        <f>IF('Growth profile'!T227&gt;0,1,IF('Growth profile'!T330&gt;0,3,0))</f>
        <v>3</v>
      </c>
      <c r="V64" s="20">
        <f>IF('Growth profile'!U227&gt;0,1,IF('Growth profile'!U330&gt;0,3,0))</f>
        <v>3</v>
      </c>
      <c r="W64" s="20">
        <f>IF('Growth profile'!V227&gt;0,1,IF('Growth profile'!V330&gt;0,3,0))</f>
        <v>3</v>
      </c>
      <c r="X64" s="20">
        <f>IF('Growth profile'!W227&gt;0,1,IF('Growth profile'!W330&gt;0,3,0))</f>
        <v>3</v>
      </c>
      <c r="Y64" s="20">
        <f>IF('Growth profile'!X227&gt;0,1,IF('Growth profile'!X330&gt;0,3,0))</f>
        <v>3</v>
      </c>
      <c r="Z64" s="20">
        <f>IF('Growth profile'!Y227&gt;0,1,IF('Growth profile'!Y330&gt;0,3,0))</f>
        <v>3</v>
      </c>
      <c r="AA64" s="20">
        <f>IF('Growth profile'!Z227&gt;0,1,IF('Growth profile'!Z330&gt;0,3,0))</f>
        <v>3</v>
      </c>
      <c r="AB64" s="20">
        <f>IF('Growth profile'!AA227&gt;0,1,IF('Growth profile'!AA330&gt;0,3,0))</f>
        <v>3</v>
      </c>
      <c r="AC64" s="20">
        <f>IF('Growth profile'!AB227&gt;0,1,IF('Growth profile'!AB330&gt;0,3,0))</f>
        <v>3</v>
      </c>
      <c r="AD64" s="20">
        <f>IF('Growth profile'!AC227&gt;0,1,IF('Growth profile'!AC330&gt;0,3,0))</f>
        <v>3</v>
      </c>
      <c r="AE64" s="20">
        <f>IF('Growth profile'!AD227&gt;0,1,IF('Growth profile'!AD330&gt;0,3,0))</f>
        <v>3</v>
      </c>
      <c r="AF64" s="20">
        <f>IF('Growth profile'!AE227&gt;0,1,IF('Growth profile'!AE330&gt;0,3,0))</f>
        <v>3</v>
      </c>
      <c r="AG64" s="20">
        <f>IF('Growth profile'!AF227&gt;0,1,IF('Growth profile'!AF330&gt;0,3,0))</f>
        <v>3</v>
      </c>
      <c r="AH64" s="20">
        <f>IF('Growth profile'!AG227&gt;0,1,IF('Growth profile'!AG330&gt;0,3,0))</f>
        <v>3</v>
      </c>
      <c r="AI64" s="20">
        <f>IF('Growth profile'!AH227&gt;0,1,IF('Growth profile'!AH330&gt;0,3,0))</f>
        <v>3</v>
      </c>
      <c r="AJ64" s="20">
        <f>IF('Growth profile'!AI227&gt;0,1,IF('Growth profile'!AI330&gt;0,3,0))</f>
        <v>3</v>
      </c>
      <c r="AK64" s="20">
        <f>IF('Growth profile'!AJ227&gt;0,1,IF('Growth profile'!AJ330&gt;0,3,0))</f>
        <v>3</v>
      </c>
      <c r="AL64" s="20">
        <f>IF('Growth profile'!AK227&gt;0,1,IF('Growth profile'!AK330&gt;0,3,0))</f>
        <v>3</v>
      </c>
      <c r="AM64" s="20">
        <f>IF('Growth profile'!AL227&gt;0,1,IF('Growth profile'!AL330&gt;0,3,0))</f>
        <v>3</v>
      </c>
      <c r="AN64" s="20">
        <f>IF('Growth profile'!AM227&gt;0,1,IF('Growth profile'!AM330&gt;0,3,0))</f>
        <v>3</v>
      </c>
      <c r="AO64" s="20">
        <f>IF('Growth profile'!AN227&gt;0,1,IF('Growth profile'!AN330&gt;0,3,0))</f>
        <v>3</v>
      </c>
      <c r="AP64" s="20">
        <f>IF('Growth profile'!AO227&gt;0,1,IF('Growth profile'!AO330&gt;0,3,0))</f>
        <v>3</v>
      </c>
      <c r="AQ64" s="20">
        <f>IF('Growth profile'!AP227&gt;0,1,IF('Growth profile'!AP330&gt;0,3,0))</f>
        <v>3</v>
      </c>
      <c r="AR64" s="20">
        <f>IF('Growth profile'!AQ227&gt;0,1,IF('Growth profile'!AQ330&gt;0,3,0))</f>
        <v>3</v>
      </c>
      <c r="AS64" s="20">
        <f>IF('Growth profile'!AR227&gt;0,1,IF('Growth profile'!AR330&gt;0,3,0))</f>
        <v>3</v>
      </c>
      <c r="AT64" s="20">
        <f>IF('Growth profile'!AS227&gt;0,1,IF('Growth profile'!AS330&gt;0,3,0))</f>
        <v>3</v>
      </c>
      <c r="AU64" s="20">
        <f>IF('Growth profile'!AT227&gt;0,1,IF('Growth profile'!AT330&gt;0,3,0))</f>
        <v>3</v>
      </c>
      <c r="AV64" s="20">
        <f>IF('Growth profile'!AU227&gt;0,1,IF('Growth profile'!AU330&gt;0,3,0))</f>
        <v>3</v>
      </c>
      <c r="AW64" s="20">
        <f>IF('Growth profile'!AV227&gt;0,1,IF('Growth profile'!AV330&gt;0,3,0))</f>
        <v>3</v>
      </c>
      <c r="AX64" s="20">
        <f>IF('Growth profile'!AW227&gt;0,1,IF('Growth profile'!AW330&gt;0,3,0))</f>
        <v>3</v>
      </c>
      <c r="AY64" s="20">
        <f>IF('Growth profile'!AX227&gt;0,1,IF('Growth profile'!AX330&gt;0,3,0))</f>
        <v>3</v>
      </c>
      <c r="AZ64" s="20">
        <f>IF('Growth profile'!AY227&gt;0,1,IF('Growth profile'!AY330&gt;0,3,0))</f>
        <v>3</v>
      </c>
      <c r="BA64" s="20">
        <f>IF('Growth profile'!AZ227&gt;0,1,IF('Growth profile'!AZ330&gt;0,3,0))</f>
        <v>3</v>
      </c>
      <c r="BB64" s="20">
        <f>IF('Growth profile'!BA227&gt;0,1,IF('Growth profile'!BA330&gt;0,3,0))</f>
        <v>3</v>
      </c>
      <c r="BC64" s="20">
        <f>IF('Growth profile'!BB227&gt;0,1,IF('Growth profile'!BB330&gt;0,3,0))</f>
        <v>3</v>
      </c>
      <c r="BD64" s="20">
        <f>IF('Growth profile'!BC227&gt;0,1,IF('Growth profile'!BC330&gt;0,3,0))</f>
        <v>3</v>
      </c>
      <c r="BE64" s="20">
        <f>IF('Growth profile'!BD227&gt;0,1,IF('Growth profile'!BD330&gt;0,3,0))</f>
        <v>3</v>
      </c>
      <c r="BF64" s="20">
        <f>IF('Growth profile'!BE227&gt;0,1,IF('Growth profile'!BE330&gt;0,3,0))</f>
        <v>3</v>
      </c>
      <c r="BG64" s="20">
        <f>IF('Growth profile'!BF227&gt;0,1,IF('Growth profile'!BF330&gt;0,3,0))</f>
        <v>0</v>
      </c>
      <c r="BH64" s="20">
        <f>IF('Growth profile'!BG227&gt;0,1,IF('Growth profile'!BG330&gt;0,3,0))</f>
        <v>0</v>
      </c>
      <c r="BI64" s="20">
        <f>IF('Growth profile'!BH227&gt;0,1,IF('Growth profile'!BH330&gt;0,3,0))</f>
        <v>0</v>
      </c>
      <c r="BJ64" s="20">
        <f>IF('Growth profile'!BI227&gt;0,1,IF('Growth profile'!BI330&gt;0,3,0))</f>
        <v>0</v>
      </c>
      <c r="BK64" s="21">
        <f>IF('Growth profile'!BJ227&gt;0,1,IF('Growth profile'!BJ330&gt;0,3,0))</f>
        <v>0</v>
      </c>
    </row>
    <row r="65" spans="1:63" x14ac:dyDescent="0.3">
      <c r="B65" s="13" t="s">
        <v>59</v>
      </c>
      <c r="C65" s="19">
        <f>'Growth (no penalty)'!I119</f>
        <v>2044</v>
      </c>
      <c r="D65" s="22">
        <f>IF('Growth (no penalty)'!C227&gt;0,1,IF('Growth (no penalty)'!C330&gt;0,4,0))</f>
        <v>0</v>
      </c>
      <c r="E65" s="22">
        <f>IF('Growth (no penalty)'!D227&gt;0,1,IF('Growth (no penalty)'!D330&gt;0,4,0))</f>
        <v>0</v>
      </c>
      <c r="F65" s="22">
        <f>IF('Growth (no penalty)'!E227&gt;0,1,IF('Growth (no penalty)'!E330&gt;0,4,0))</f>
        <v>0</v>
      </c>
      <c r="G65" s="22">
        <f>IF('Growth (no penalty)'!F227&gt;0,1,IF('Growth (no penalty)'!F330&gt;0,4,0))</f>
        <v>0</v>
      </c>
      <c r="H65" s="22">
        <f>IF('Growth (no penalty)'!G227&gt;0,1,IF('Growth (no penalty)'!G330&gt;0,4,0))</f>
        <v>0</v>
      </c>
      <c r="I65" s="22">
        <f>IF('Growth (no penalty)'!H227&gt;0,1,IF('Growth (no penalty)'!H330&gt;0,4,0))</f>
        <v>0</v>
      </c>
      <c r="J65" s="22">
        <f>IF('Growth (no penalty)'!I227&gt;0,1,IF('Growth (no penalty)'!I330&gt;0,4,0))</f>
        <v>0</v>
      </c>
      <c r="K65" s="22">
        <f>IF('Growth (no penalty)'!J227&gt;0,1,IF('Growth (no penalty)'!J330&gt;0,4,0))</f>
        <v>0</v>
      </c>
      <c r="L65" s="22">
        <f>IF('Growth (no penalty)'!K227&gt;0,1,IF('Growth (no penalty)'!K330&gt;0,4,0))</f>
        <v>0</v>
      </c>
      <c r="M65" s="22">
        <f>IF('Growth (no penalty)'!L227&gt;0,1,IF('Growth (no penalty)'!L330&gt;0,4,0))</f>
        <v>0</v>
      </c>
      <c r="N65" s="22">
        <f>IF('Growth (no penalty)'!M227&gt;0,1,IF('Growth (no penalty)'!M330&gt;0,4,0))</f>
        <v>0</v>
      </c>
      <c r="O65" s="22">
        <f>IF('Growth (no penalty)'!N227&gt;0,1,IF('Growth (no penalty)'!N330&gt;0,4,0))</f>
        <v>0</v>
      </c>
      <c r="P65" s="22">
        <f>IF('Growth (no penalty)'!O227&gt;0,1,IF('Growth (no penalty)'!O330&gt;0,4,0))</f>
        <v>0</v>
      </c>
      <c r="Q65" s="22">
        <f>IF('Growth (no penalty)'!P227&gt;0,1,IF('Growth (no penalty)'!P330&gt;0,4,0))</f>
        <v>0</v>
      </c>
      <c r="R65" s="22">
        <f>IF('Growth (no penalty)'!Q227&gt;0,1,IF('Growth (no penalty)'!Q330&gt;0,4,0))</f>
        <v>0</v>
      </c>
      <c r="S65" s="22">
        <f>IF('Growth (no penalty)'!R227&gt;0,1,IF('Growth (no penalty)'!R330&gt;0,4,0))</f>
        <v>0</v>
      </c>
      <c r="T65" s="22">
        <f>IF('Growth (no penalty)'!S227&gt;0,1,IF('Growth (no penalty)'!S330&gt;0,4,0))</f>
        <v>0</v>
      </c>
      <c r="U65" s="22">
        <f>IF('Growth (no penalty)'!T227&gt;0,1,IF('Growth (no penalty)'!T330&gt;0,4,0))</f>
        <v>0</v>
      </c>
      <c r="V65" s="22">
        <f>IF('Growth (no penalty)'!U227&gt;0,1,IF('Growth (no penalty)'!U330&gt;0,4,0))</f>
        <v>1</v>
      </c>
      <c r="W65" s="22">
        <f>IF('Growth (no penalty)'!V227&gt;0,1,IF('Growth (no penalty)'!V330&gt;0,4,0))</f>
        <v>1</v>
      </c>
      <c r="X65" s="22">
        <f>IF('Growth (no penalty)'!W227&gt;0,1,IF('Growth (no penalty)'!W330&gt;0,4,0))</f>
        <v>4</v>
      </c>
      <c r="Y65" s="22">
        <f>IF('Growth (no penalty)'!X227&gt;0,1,IF('Growth (no penalty)'!X330&gt;0,4,0))</f>
        <v>4</v>
      </c>
      <c r="Z65" s="22">
        <f>IF('Growth (no penalty)'!Y227&gt;0,1,IF('Growth (no penalty)'!Y330&gt;0,4,0))</f>
        <v>4</v>
      </c>
      <c r="AA65" s="22">
        <f>IF('Growth (no penalty)'!Z227&gt;0,1,IF('Growth (no penalty)'!Z330&gt;0,4,0))</f>
        <v>4</v>
      </c>
      <c r="AB65" s="22">
        <f>IF('Growth (no penalty)'!AA227&gt;0,1,IF('Growth (no penalty)'!AA330&gt;0,4,0))</f>
        <v>4</v>
      </c>
      <c r="AC65" s="22">
        <f>IF('Growth (no penalty)'!AB227&gt;0,1,IF('Growth (no penalty)'!AB330&gt;0,4,0))</f>
        <v>4</v>
      </c>
      <c r="AD65" s="22">
        <f>IF('Growth (no penalty)'!AC227&gt;0,1,IF('Growth (no penalty)'!AC330&gt;0,4,0))</f>
        <v>4</v>
      </c>
      <c r="AE65" s="22">
        <f>IF('Growth (no penalty)'!AD227&gt;0,1,IF('Growth (no penalty)'!AD330&gt;0,4,0))</f>
        <v>4</v>
      </c>
      <c r="AF65" s="22">
        <f>IF('Growth (no penalty)'!AE227&gt;0,1,IF('Growth (no penalty)'!AE330&gt;0,4,0))</f>
        <v>4</v>
      </c>
      <c r="AG65" s="22">
        <f>IF('Growth (no penalty)'!AF227&gt;0,1,IF('Growth (no penalty)'!AF330&gt;0,4,0))</f>
        <v>4</v>
      </c>
      <c r="AH65" s="22">
        <f>IF('Growth (no penalty)'!AG227&gt;0,1,IF('Growth (no penalty)'!AG330&gt;0,4,0))</f>
        <v>4</v>
      </c>
      <c r="AI65" s="22">
        <f>IF('Growth (no penalty)'!AH227&gt;0,1,IF('Growth (no penalty)'!AH330&gt;0,4,0))</f>
        <v>4</v>
      </c>
      <c r="AJ65" s="22">
        <f>IF('Growth (no penalty)'!AI227&gt;0,1,IF('Growth (no penalty)'!AI330&gt;0,4,0))</f>
        <v>4</v>
      </c>
      <c r="AK65" s="22">
        <f>IF('Growth (no penalty)'!AJ227&gt;0,1,IF('Growth (no penalty)'!AJ330&gt;0,4,0))</f>
        <v>4</v>
      </c>
      <c r="AL65" s="22">
        <f>IF('Growth (no penalty)'!AK227&gt;0,1,IF('Growth (no penalty)'!AK330&gt;0,4,0))</f>
        <v>4</v>
      </c>
      <c r="AM65" s="22">
        <f>IF('Growth (no penalty)'!AL227&gt;0,1,IF('Growth (no penalty)'!AL330&gt;0,4,0))</f>
        <v>4</v>
      </c>
      <c r="AN65" s="22">
        <f>IF('Growth (no penalty)'!AM227&gt;0,1,IF('Growth (no penalty)'!AM330&gt;0,4,0))</f>
        <v>4</v>
      </c>
      <c r="AO65" s="22">
        <f>IF('Growth (no penalty)'!AN227&gt;0,1,IF('Growth (no penalty)'!AN330&gt;0,4,0))</f>
        <v>4</v>
      </c>
      <c r="AP65" s="22">
        <f>IF('Growth (no penalty)'!AO227&gt;0,1,IF('Growth (no penalty)'!AO330&gt;0,4,0))</f>
        <v>4</v>
      </c>
      <c r="AQ65" s="22">
        <f>IF('Growth (no penalty)'!AP227&gt;0,1,IF('Growth (no penalty)'!AP330&gt;0,4,0))</f>
        <v>4</v>
      </c>
      <c r="AR65" s="22">
        <f>IF('Growth (no penalty)'!AQ227&gt;0,1,IF('Growth (no penalty)'!AQ330&gt;0,4,0))</f>
        <v>4</v>
      </c>
      <c r="AS65" s="22">
        <f>IF('Growth (no penalty)'!AR227&gt;0,1,IF('Growth (no penalty)'!AR330&gt;0,4,0))</f>
        <v>4</v>
      </c>
      <c r="AT65" s="22">
        <f>IF('Growth (no penalty)'!AS227&gt;0,1,IF('Growth (no penalty)'!AS330&gt;0,4,0))</f>
        <v>4</v>
      </c>
      <c r="AU65" s="22">
        <f>IF('Growth (no penalty)'!AT227&gt;0,1,IF('Growth (no penalty)'!AT330&gt;0,4,0))</f>
        <v>4</v>
      </c>
      <c r="AV65" s="22">
        <f>IF('Growth (no penalty)'!AU227&gt;0,1,IF('Growth (no penalty)'!AU330&gt;0,4,0))</f>
        <v>4</v>
      </c>
      <c r="AW65" s="22">
        <f>IF('Growth (no penalty)'!AV227&gt;0,1,IF('Growth (no penalty)'!AV330&gt;0,4,0))</f>
        <v>4</v>
      </c>
      <c r="AX65" s="22">
        <f>IF('Growth (no penalty)'!AW227&gt;0,1,IF('Growth (no penalty)'!AW330&gt;0,4,0))</f>
        <v>4</v>
      </c>
      <c r="AY65" s="22">
        <f>IF('Growth (no penalty)'!AX227&gt;0,1,IF('Growth (no penalty)'!AX330&gt;0,4,0))</f>
        <v>4</v>
      </c>
      <c r="AZ65" s="22">
        <f>IF('Growth (no penalty)'!AY227&gt;0,1,IF('Growth (no penalty)'!AY330&gt;0,4,0))</f>
        <v>4</v>
      </c>
      <c r="BA65" s="22">
        <f>IF('Growth (no penalty)'!AZ227&gt;0,1,IF('Growth (no penalty)'!AZ330&gt;0,4,0))</f>
        <v>4</v>
      </c>
      <c r="BB65" s="22">
        <f>IF('Growth (no penalty)'!BA227&gt;0,1,IF('Growth (no penalty)'!BA330&gt;0,4,0))</f>
        <v>4</v>
      </c>
      <c r="BC65" s="22">
        <f>IF('Growth (no penalty)'!BB227&gt;0,1,IF('Growth (no penalty)'!BB330&gt;0,4,0))</f>
        <v>4</v>
      </c>
      <c r="BD65" s="22">
        <f>IF('Growth (no penalty)'!BC227&gt;0,1,IF('Growth (no penalty)'!BC330&gt;0,4,0))</f>
        <v>4</v>
      </c>
      <c r="BE65" s="22">
        <f>IF('Growth (no penalty)'!BD227&gt;0,1,IF('Growth (no penalty)'!BD330&gt;0,4,0))</f>
        <v>4</v>
      </c>
      <c r="BF65" s="22">
        <f>IF('Growth (no penalty)'!BE227&gt;0,1,IF('Growth (no penalty)'!BE330&gt;0,4,0))</f>
        <v>4</v>
      </c>
      <c r="BG65" s="22">
        <f>IF('Growth (no penalty)'!BF227&gt;0,1,IF('Growth (no penalty)'!BF330&gt;0,4,0))</f>
        <v>4</v>
      </c>
      <c r="BH65" s="22">
        <f>IF('Growth (no penalty)'!BG227&gt;0,1,IF('Growth (no penalty)'!BG330&gt;0,4,0))</f>
        <v>4</v>
      </c>
      <c r="BI65" s="22">
        <f>IF('Growth (no penalty)'!BH227&gt;0,1,IF('Growth (no penalty)'!BH330&gt;0,4,0))</f>
        <v>4</v>
      </c>
      <c r="BJ65" s="22">
        <f>IF('Growth (no penalty)'!BI227&gt;0,1,IF('Growth (no penalty)'!BI330&gt;0,4,0))</f>
        <v>4</v>
      </c>
      <c r="BK65" s="23">
        <f>IF('Growth (no penalty)'!BJ227&gt;0,1,IF('Growth (no penalty)'!BJ330&gt;0,4,0))</f>
        <v>4</v>
      </c>
    </row>
    <row r="66" spans="1:63" x14ac:dyDescent="0.3">
      <c r="A66" s="4" t="str">
        <f>'Growth profile'!A98</f>
        <v>project 156</v>
      </c>
      <c r="B66" s="13" t="s">
        <v>3</v>
      </c>
      <c r="C66" s="19">
        <f>'Raw profile'!I98</f>
        <v>2026</v>
      </c>
      <c r="D66" s="20">
        <f>IF('Raw profile'!C206&gt;0,1,IF('Raw profile'!C309&gt;0,2,0))</f>
        <v>1</v>
      </c>
      <c r="E66" s="20">
        <f>IF('Raw profile'!D206&gt;0,1,IF('Raw profile'!D309&gt;0,2,0))</f>
        <v>1</v>
      </c>
      <c r="F66" s="20">
        <f>IF('Raw profile'!E206&gt;0,1,IF('Raw profile'!E309&gt;0,2,0))</f>
        <v>1</v>
      </c>
      <c r="G66" s="20">
        <f>IF('Raw profile'!F206&gt;0,1,IF('Raw profile'!F309&gt;0,2,0))</f>
        <v>1</v>
      </c>
      <c r="H66" s="20">
        <f>IF('Raw profile'!G206&gt;0,1,IF('Raw profile'!G309&gt;0,2,0))</f>
        <v>2</v>
      </c>
      <c r="I66" s="20">
        <f>IF('Raw profile'!H206&gt;0,1,IF('Raw profile'!H309&gt;0,2,0))</f>
        <v>2</v>
      </c>
      <c r="J66" s="20">
        <f>IF('Raw profile'!I206&gt;0,1,IF('Raw profile'!I309&gt;0,2,0))</f>
        <v>2</v>
      </c>
      <c r="K66" s="20">
        <f>IF('Raw profile'!J206&gt;0,1,IF('Raw profile'!J309&gt;0,2,0))</f>
        <v>2</v>
      </c>
      <c r="L66" s="20">
        <f>IF('Raw profile'!K206&gt;0,1,IF('Raw profile'!K309&gt;0,2,0))</f>
        <v>2</v>
      </c>
      <c r="M66" s="20">
        <f>IF('Raw profile'!L206&gt;0,1,IF('Raw profile'!L309&gt;0,2,0))</f>
        <v>2</v>
      </c>
      <c r="N66" s="20">
        <f>IF('Raw profile'!M206&gt;0,1,IF('Raw profile'!M309&gt;0,2,0))</f>
        <v>2</v>
      </c>
      <c r="O66" s="20">
        <f>IF('Raw profile'!N206&gt;0,1,IF('Raw profile'!N309&gt;0,2,0))</f>
        <v>2</v>
      </c>
      <c r="P66" s="20">
        <f>IF('Raw profile'!O206&gt;0,1,IF('Raw profile'!O309&gt;0,2,0))</f>
        <v>2</v>
      </c>
      <c r="Q66" s="20">
        <f>IF('Raw profile'!P206&gt;0,1,IF('Raw profile'!P309&gt;0,2,0))</f>
        <v>2</v>
      </c>
      <c r="R66" s="20">
        <f>IF('Raw profile'!Q206&gt;0,1,IF('Raw profile'!Q309&gt;0,2,0))</f>
        <v>2</v>
      </c>
      <c r="S66" s="20">
        <f>IF('Raw profile'!R206&gt;0,1,IF('Raw profile'!R309&gt;0,2,0))</f>
        <v>2</v>
      </c>
      <c r="T66" s="20">
        <f>IF('Raw profile'!S206&gt;0,1,IF('Raw profile'!S309&gt;0,2,0))</f>
        <v>2</v>
      </c>
      <c r="U66" s="20">
        <f>IF('Raw profile'!T206&gt;0,1,IF('Raw profile'!T309&gt;0,2,0))</f>
        <v>2</v>
      </c>
      <c r="V66" s="20">
        <f>IF('Raw profile'!U206&gt;0,1,IF('Raw profile'!U309&gt;0,2,0))</f>
        <v>2</v>
      </c>
      <c r="W66" s="20">
        <f>IF('Raw profile'!V206&gt;0,1,IF('Raw profile'!V309&gt;0,2,0))</f>
        <v>2</v>
      </c>
      <c r="X66" s="20">
        <f>IF('Raw profile'!W206&gt;0,1,IF('Raw profile'!W309&gt;0,2,0))</f>
        <v>2</v>
      </c>
      <c r="Y66" s="20">
        <f>IF('Raw profile'!X206&gt;0,1,IF('Raw profile'!X309&gt;0,2,0))</f>
        <v>2</v>
      </c>
      <c r="Z66" s="20">
        <f>IF('Raw profile'!Y206&gt;0,1,IF('Raw profile'!Y309&gt;0,2,0))</f>
        <v>2</v>
      </c>
      <c r="AA66" s="20">
        <f>IF('Raw profile'!Z206&gt;0,1,IF('Raw profile'!Z309&gt;0,2,0))</f>
        <v>2</v>
      </c>
      <c r="AB66" s="20">
        <f>IF('Raw profile'!AA206&gt;0,1,IF('Raw profile'!AA309&gt;0,2,0))</f>
        <v>2</v>
      </c>
      <c r="AC66" s="20">
        <f>IF('Raw profile'!AB206&gt;0,1,IF('Raw profile'!AB309&gt;0,2,0))</f>
        <v>2</v>
      </c>
      <c r="AD66" s="20">
        <f>IF('Raw profile'!AC206&gt;0,1,IF('Raw profile'!AC309&gt;0,2,0))</f>
        <v>2</v>
      </c>
      <c r="AE66" s="20">
        <f>IF('Raw profile'!AD206&gt;0,1,IF('Raw profile'!AD309&gt;0,2,0))</f>
        <v>2</v>
      </c>
      <c r="AF66" s="20">
        <f>IF('Raw profile'!AE206&gt;0,1,IF('Raw profile'!AE309&gt;0,2,0))</f>
        <v>2</v>
      </c>
      <c r="AG66" s="20">
        <f>IF('Raw profile'!AF206&gt;0,1,IF('Raw profile'!AF309&gt;0,2,0))</f>
        <v>2</v>
      </c>
      <c r="AH66" s="20">
        <f>IF('Raw profile'!AG206&gt;0,1,IF('Raw profile'!AG309&gt;0,2,0))</f>
        <v>2</v>
      </c>
      <c r="AI66" s="20">
        <f>IF('Raw profile'!AH206&gt;0,1,IF('Raw profile'!AH309&gt;0,2,0))</f>
        <v>2</v>
      </c>
      <c r="AJ66" s="20">
        <f>IF('Raw profile'!AI206&gt;0,1,IF('Raw profile'!AI309&gt;0,2,0))</f>
        <v>2</v>
      </c>
      <c r="AK66" s="20">
        <f>IF('Raw profile'!AJ206&gt;0,1,IF('Raw profile'!AJ309&gt;0,2,0))</f>
        <v>2</v>
      </c>
      <c r="AL66" s="20">
        <f>IF('Raw profile'!AK206&gt;0,1,IF('Raw profile'!AK309&gt;0,2,0))</f>
        <v>2</v>
      </c>
      <c r="AM66" s="20">
        <f>IF('Raw profile'!AL206&gt;0,1,IF('Raw profile'!AL309&gt;0,2,0))</f>
        <v>2</v>
      </c>
      <c r="AN66" s="20">
        <f>IF('Raw profile'!AM206&gt;0,1,IF('Raw profile'!AM309&gt;0,2,0))</f>
        <v>2</v>
      </c>
      <c r="AO66" s="20">
        <f>IF('Raw profile'!AN206&gt;0,1,IF('Raw profile'!AN309&gt;0,2,0))</f>
        <v>2</v>
      </c>
      <c r="AP66" s="20">
        <f>IF('Raw profile'!AO206&gt;0,1,IF('Raw profile'!AO309&gt;0,2,0))</f>
        <v>2</v>
      </c>
      <c r="AQ66" s="20">
        <f>IF('Raw profile'!AP206&gt;0,1,IF('Raw profile'!AP309&gt;0,2,0))</f>
        <v>2</v>
      </c>
      <c r="AR66" s="20">
        <f>IF('Raw profile'!AQ206&gt;0,1,IF('Raw profile'!AQ309&gt;0,2,0))</f>
        <v>2</v>
      </c>
      <c r="AS66" s="20">
        <f>IF('Raw profile'!AR206&gt;0,1,IF('Raw profile'!AR309&gt;0,2,0))</f>
        <v>2</v>
      </c>
      <c r="AT66" s="20">
        <f>IF('Raw profile'!AS206&gt;0,1,IF('Raw profile'!AS309&gt;0,2,0))</f>
        <v>2</v>
      </c>
      <c r="AU66" s="20">
        <f>IF('Raw profile'!AT206&gt;0,1,IF('Raw profile'!AT309&gt;0,2,0))</f>
        <v>2</v>
      </c>
      <c r="AV66" s="20">
        <f>IF('Raw profile'!AU206&gt;0,1,IF('Raw profile'!AU309&gt;0,2,0))</f>
        <v>0</v>
      </c>
      <c r="AW66" s="20">
        <f>IF('Raw profile'!AV206&gt;0,1,IF('Raw profile'!AV309&gt;0,2,0))</f>
        <v>0</v>
      </c>
      <c r="AX66" s="20">
        <f>IF('Raw profile'!AW206&gt;0,1,IF('Raw profile'!AW309&gt;0,2,0))</f>
        <v>0</v>
      </c>
      <c r="AY66" s="20">
        <f>IF('Raw profile'!AX206&gt;0,1,IF('Raw profile'!AX309&gt;0,2,0))</f>
        <v>0</v>
      </c>
      <c r="AZ66" s="20">
        <f>IF('Raw profile'!AY206&gt;0,1,IF('Raw profile'!AY309&gt;0,2,0))</f>
        <v>0</v>
      </c>
      <c r="BA66" s="20">
        <f>IF('Raw profile'!AZ206&gt;0,1,IF('Raw profile'!AZ309&gt;0,2,0))</f>
        <v>0</v>
      </c>
      <c r="BB66" s="20">
        <f>IF('Raw profile'!BA206&gt;0,1,IF('Raw profile'!BA309&gt;0,2,0))</f>
        <v>0</v>
      </c>
      <c r="BC66" s="20">
        <f>IF('Raw profile'!BB206&gt;0,1,IF('Raw profile'!BB309&gt;0,2,0))</f>
        <v>0</v>
      </c>
      <c r="BD66" s="20">
        <f>IF('Raw profile'!BC206&gt;0,1,IF('Raw profile'!BC309&gt;0,2,0))</f>
        <v>0</v>
      </c>
      <c r="BE66" s="20">
        <f>IF('Raw profile'!BD206&gt;0,1,IF('Raw profile'!BD309&gt;0,2,0))</f>
        <v>0</v>
      </c>
      <c r="BF66" s="20">
        <f>IF('Raw profile'!BE206&gt;0,1,IF('Raw profile'!BE309&gt;0,2,0))</f>
        <v>0</v>
      </c>
      <c r="BG66" s="20">
        <f>IF('Raw profile'!BF206&gt;0,1,IF('Raw profile'!BF309&gt;0,2,0))</f>
        <v>0</v>
      </c>
      <c r="BH66" s="20">
        <f>IF('Raw profile'!BG206&gt;0,1,IF('Raw profile'!BG309&gt;0,2,0))</f>
        <v>0</v>
      </c>
      <c r="BI66" s="20">
        <f>IF('Raw profile'!BH206&gt;0,1,IF('Raw profile'!BH309&gt;0,2,0))</f>
        <v>0</v>
      </c>
      <c r="BJ66" s="20">
        <f>IF('Raw profile'!BI206&gt;0,1,IF('Raw profile'!BI309&gt;0,2,0))</f>
        <v>0</v>
      </c>
      <c r="BK66" s="21">
        <f>IF('Raw profile'!BJ206&gt;0,1,IF('Raw profile'!BJ309&gt;0,2,0))</f>
        <v>0</v>
      </c>
    </row>
    <row r="67" spans="1:63" x14ac:dyDescent="0.3">
      <c r="B67" s="13" t="s">
        <v>4</v>
      </c>
      <c r="C67" s="19">
        <f>'Growth profile'!I98</f>
        <v>2040</v>
      </c>
      <c r="D67" s="20">
        <f>IF('Growth profile'!C206&gt;0,1,IF('Growth profile'!C309&gt;0,3,0))</f>
        <v>0</v>
      </c>
      <c r="E67" s="20">
        <f>IF('Growth profile'!D206&gt;0,1,IF('Growth profile'!D309&gt;0,3,0))</f>
        <v>0</v>
      </c>
      <c r="F67" s="20">
        <f>IF('Growth profile'!E206&gt;0,1,IF('Growth profile'!E309&gt;0,3,0))</f>
        <v>0</v>
      </c>
      <c r="G67" s="20">
        <f>IF('Growth profile'!F206&gt;0,1,IF('Growth profile'!F309&gt;0,3,0))</f>
        <v>0</v>
      </c>
      <c r="H67" s="20">
        <f>IF('Growth profile'!G206&gt;0,1,IF('Growth profile'!G309&gt;0,3,0))</f>
        <v>0</v>
      </c>
      <c r="I67" s="20">
        <f>IF('Growth profile'!H206&gt;0,1,IF('Growth profile'!H309&gt;0,3,0))</f>
        <v>0</v>
      </c>
      <c r="J67" s="20">
        <f>IF('Growth profile'!I206&gt;0,1,IF('Growth profile'!I309&gt;0,3,0))</f>
        <v>0</v>
      </c>
      <c r="K67" s="20">
        <f>IF('Growth profile'!J206&gt;0,1,IF('Growth profile'!J309&gt;0,3,0))</f>
        <v>0</v>
      </c>
      <c r="L67" s="20">
        <f>IF('Growth profile'!K206&gt;0,1,IF('Growth profile'!K309&gt;0,3,0))</f>
        <v>0</v>
      </c>
      <c r="M67" s="20">
        <f>IF('Growth profile'!L206&gt;0,1,IF('Growth profile'!L309&gt;0,3,0))</f>
        <v>0</v>
      </c>
      <c r="N67" s="20">
        <f>IF('Growth profile'!M206&gt;0,1,IF('Growth profile'!M309&gt;0,3,0))</f>
        <v>0</v>
      </c>
      <c r="O67" s="20">
        <f>IF('Growth profile'!N206&gt;0,1,IF('Growth profile'!N309&gt;0,3,0))</f>
        <v>0</v>
      </c>
      <c r="P67" s="20">
        <f>IF('Growth profile'!O206&gt;0,1,IF('Growth profile'!O309&gt;0,3,0))</f>
        <v>0</v>
      </c>
      <c r="Q67" s="20">
        <f>IF('Growth profile'!P206&gt;0,1,IF('Growth profile'!P309&gt;0,3,0))</f>
        <v>0</v>
      </c>
      <c r="R67" s="20">
        <f>IF('Growth profile'!Q206&gt;0,1,IF('Growth profile'!Q309&gt;0,3,0))</f>
        <v>1</v>
      </c>
      <c r="S67" s="20">
        <f>IF('Growth profile'!R206&gt;0,1,IF('Growth profile'!R309&gt;0,3,0))</f>
        <v>1</v>
      </c>
      <c r="T67" s="20">
        <f>IF('Growth profile'!S206&gt;0,1,IF('Growth profile'!S309&gt;0,3,0))</f>
        <v>1</v>
      </c>
      <c r="U67" s="20">
        <f>IF('Growth profile'!T206&gt;0,1,IF('Growth profile'!T309&gt;0,3,0))</f>
        <v>1</v>
      </c>
      <c r="V67" s="20">
        <f>IF('Growth profile'!U206&gt;0,1,IF('Growth profile'!U309&gt;0,3,0))</f>
        <v>3</v>
      </c>
      <c r="W67" s="20">
        <f>IF('Growth profile'!V206&gt;0,1,IF('Growth profile'!V309&gt;0,3,0))</f>
        <v>3</v>
      </c>
      <c r="X67" s="20">
        <f>IF('Growth profile'!W206&gt;0,1,IF('Growth profile'!W309&gt;0,3,0))</f>
        <v>3</v>
      </c>
      <c r="Y67" s="20">
        <f>IF('Growth profile'!X206&gt;0,1,IF('Growth profile'!X309&gt;0,3,0))</f>
        <v>3</v>
      </c>
      <c r="Z67" s="20">
        <f>IF('Growth profile'!Y206&gt;0,1,IF('Growth profile'!Y309&gt;0,3,0))</f>
        <v>3</v>
      </c>
      <c r="AA67" s="20">
        <f>IF('Growth profile'!Z206&gt;0,1,IF('Growth profile'!Z309&gt;0,3,0))</f>
        <v>3</v>
      </c>
      <c r="AB67" s="20">
        <f>IF('Growth profile'!AA206&gt;0,1,IF('Growth profile'!AA309&gt;0,3,0))</f>
        <v>3</v>
      </c>
      <c r="AC67" s="20">
        <f>IF('Growth profile'!AB206&gt;0,1,IF('Growth profile'!AB309&gt;0,3,0))</f>
        <v>3</v>
      </c>
      <c r="AD67" s="20">
        <f>IF('Growth profile'!AC206&gt;0,1,IF('Growth profile'!AC309&gt;0,3,0))</f>
        <v>3</v>
      </c>
      <c r="AE67" s="20">
        <f>IF('Growth profile'!AD206&gt;0,1,IF('Growth profile'!AD309&gt;0,3,0))</f>
        <v>3</v>
      </c>
      <c r="AF67" s="20">
        <f>IF('Growth profile'!AE206&gt;0,1,IF('Growth profile'!AE309&gt;0,3,0))</f>
        <v>3</v>
      </c>
      <c r="AG67" s="20">
        <f>IF('Growth profile'!AF206&gt;0,1,IF('Growth profile'!AF309&gt;0,3,0))</f>
        <v>3</v>
      </c>
      <c r="AH67" s="20">
        <f>IF('Growth profile'!AG206&gt;0,1,IF('Growth profile'!AG309&gt;0,3,0))</f>
        <v>3</v>
      </c>
      <c r="AI67" s="20">
        <f>IF('Growth profile'!AH206&gt;0,1,IF('Growth profile'!AH309&gt;0,3,0))</f>
        <v>3</v>
      </c>
      <c r="AJ67" s="20">
        <f>IF('Growth profile'!AI206&gt;0,1,IF('Growth profile'!AI309&gt;0,3,0))</f>
        <v>3</v>
      </c>
      <c r="AK67" s="20">
        <f>IF('Growth profile'!AJ206&gt;0,1,IF('Growth profile'!AJ309&gt;0,3,0))</f>
        <v>3</v>
      </c>
      <c r="AL67" s="20">
        <f>IF('Growth profile'!AK206&gt;0,1,IF('Growth profile'!AK309&gt;0,3,0))</f>
        <v>3</v>
      </c>
      <c r="AM67" s="20">
        <f>IF('Growth profile'!AL206&gt;0,1,IF('Growth profile'!AL309&gt;0,3,0))</f>
        <v>3</v>
      </c>
      <c r="AN67" s="20">
        <f>IF('Growth profile'!AM206&gt;0,1,IF('Growth profile'!AM309&gt;0,3,0))</f>
        <v>3</v>
      </c>
      <c r="AO67" s="20">
        <f>IF('Growth profile'!AN206&gt;0,1,IF('Growth profile'!AN309&gt;0,3,0))</f>
        <v>3</v>
      </c>
      <c r="AP67" s="20">
        <f>IF('Growth profile'!AO206&gt;0,1,IF('Growth profile'!AO309&gt;0,3,0))</f>
        <v>3</v>
      </c>
      <c r="AQ67" s="20">
        <f>IF('Growth profile'!AP206&gt;0,1,IF('Growth profile'!AP309&gt;0,3,0))</f>
        <v>3</v>
      </c>
      <c r="AR67" s="20">
        <f>IF('Growth profile'!AQ206&gt;0,1,IF('Growth profile'!AQ309&gt;0,3,0))</f>
        <v>3</v>
      </c>
      <c r="AS67" s="20">
        <f>IF('Growth profile'!AR206&gt;0,1,IF('Growth profile'!AR309&gt;0,3,0))</f>
        <v>3</v>
      </c>
      <c r="AT67" s="20">
        <f>IF('Growth profile'!AS206&gt;0,1,IF('Growth profile'!AS309&gt;0,3,0))</f>
        <v>3</v>
      </c>
      <c r="AU67" s="20">
        <f>IF('Growth profile'!AT206&gt;0,1,IF('Growth profile'!AT309&gt;0,3,0))</f>
        <v>3</v>
      </c>
      <c r="AV67" s="20">
        <f>IF('Growth profile'!AU206&gt;0,1,IF('Growth profile'!AU309&gt;0,3,0))</f>
        <v>3</v>
      </c>
      <c r="AW67" s="20">
        <f>IF('Growth profile'!AV206&gt;0,1,IF('Growth profile'!AV309&gt;0,3,0))</f>
        <v>3</v>
      </c>
      <c r="AX67" s="20">
        <f>IF('Growth profile'!AW206&gt;0,1,IF('Growth profile'!AW309&gt;0,3,0))</f>
        <v>3</v>
      </c>
      <c r="AY67" s="20">
        <f>IF('Growth profile'!AX206&gt;0,1,IF('Growth profile'!AX309&gt;0,3,0))</f>
        <v>3</v>
      </c>
      <c r="AZ67" s="20">
        <f>IF('Growth profile'!AY206&gt;0,1,IF('Growth profile'!AY309&gt;0,3,0))</f>
        <v>3</v>
      </c>
      <c r="BA67" s="20">
        <f>IF('Growth profile'!AZ206&gt;0,1,IF('Growth profile'!AZ309&gt;0,3,0))</f>
        <v>3</v>
      </c>
      <c r="BB67" s="20">
        <f>IF('Growth profile'!BA206&gt;0,1,IF('Growth profile'!BA309&gt;0,3,0))</f>
        <v>3</v>
      </c>
      <c r="BC67" s="20">
        <f>IF('Growth profile'!BB206&gt;0,1,IF('Growth profile'!BB309&gt;0,3,0))</f>
        <v>3</v>
      </c>
      <c r="BD67" s="20">
        <f>IF('Growth profile'!BC206&gt;0,1,IF('Growth profile'!BC309&gt;0,3,0))</f>
        <v>3</v>
      </c>
      <c r="BE67" s="20">
        <f>IF('Growth profile'!BD206&gt;0,1,IF('Growth profile'!BD309&gt;0,3,0))</f>
        <v>3</v>
      </c>
      <c r="BF67" s="20">
        <f>IF('Growth profile'!BE206&gt;0,1,IF('Growth profile'!BE309&gt;0,3,0))</f>
        <v>3</v>
      </c>
      <c r="BG67" s="20">
        <f>IF('Growth profile'!BF206&gt;0,1,IF('Growth profile'!BF309&gt;0,3,0))</f>
        <v>3</v>
      </c>
      <c r="BH67" s="20">
        <f>IF('Growth profile'!BG206&gt;0,1,IF('Growth profile'!BG309&gt;0,3,0))</f>
        <v>3</v>
      </c>
      <c r="BI67" s="20">
        <f>IF('Growth profile'!BH206&gt;0,1,IF('Growth profile'!BH309&gt;0,3,0))</f>
        <v>3</v>
      </c>
      <c r="BJ67" s="20">
        <f>IF('Growth profile'!BI206&gt;0,1,IF('Growth profile'!BI309&gt;0,3,0))</f>
        <v>0</v>
      </c>
      <c r="BK67" s="21">
        <f>IF('Growth profile'!BJ206&gt;0,1,IF('Growth profile'!BJ309&gt;0,3,0))</f>
        <v>0</v>
      </c>
    </row>
    <row r="68" spans="1:63" x14ac:dyDescent="0.3">
      <c r="B68" s="13" t="s">
        <v>59</v>
      </c>
      <c r="C68" s="19">
        <f>'Growth (no penalty)'!I98</f>
        <v>2042</v>
      </c>
      <c r="D68" s="22">
        <f>IF('Growth (no penalty)'!C206&gt;0,1,IF('Growth (no penalty)'!C309&gt;0,4,0))</f>
        <v>0</v>
      </c>
      <c r="E68" s="22">
        <f>IF('Growth (no penalty)'!D206&gt;0,1,IF('Growth (no penalty)'!D309&gt;0,4,0))</f>
        <v>0</v>
      </c>
      <c r="F68" s="22">
        <f>IF('Growth (no penalty)'!E206&gt;0,1,IF('Growth (no penalty)'!E309&gt;0,4,0))</f>
        <v>0</v>
      </c>
      <c r="G68" s="22">
        <f>IF('Growth (no penalty)'!F206&gt;0,1,IF('Growth (no penalty)'!F309&gt;0,4,0))</f>
        <v>0</v>
      </c>
      <c r="H68" s="22">
        <f>IF('Growth (no penalty)'!G206&gt;0,1,IF('Growth (no penalty)'!G309&gt;0,4,0))</f>
        <v>0</v>
      </c>
      <c r="I68" s="22">
        <f>IF('Growth (no penalty)'!H206&gt;0,1,IF('Growth (no penalty)'!H309&gt;0,4,0))</f>
        <v>0</v>
      </c>
      <c r="J68" s="22">
        <f>IF('Growth (no penalty)'!I206&gt;0,1,IF('Growth (no penalty)'!I309&gt;0,4,0))</f>
        <v>0</v>
      </c>
      <c r="K68" s="22">
        <f>IF('Growth (no penalty)'!J206&gt;0,1,IF('Growth (no penalty)'!J309&gt;0,4,0))</f>
        <v>0</v>
      </c>
      <c r="L68" s="22">
        <f>IF('Growth (no penalty)'!K206&gt;0,1,IF('Growth (no penalty)'!K309&gt;0,4,0))</f>
        <v>0</v>
      </c>
      <c r="M68" s="22">
        <f>IF('Growth (no penalty)'!L206&gt;0,1,IF('Growth (no penalty)'!L309&gt;0,4,0))</f>
        <v>0</v>
      </c>
      <c r="N68" s="22">
        <f>IF('Growth (no penalty)'!M206&gt;0,1,IF('Growth (no penalty)'!M309&gt;0,4,0))</f>
        <v>0</v>
      </c>
      <c r="O68" s="22">
        <f>IF('Growth (no penalty)'!N206&gt;0,1,IF('Growth (no penalty)'!N309&gt;0,4,0))</f>
        <v>0</v>
      </c>
      <c r="P68" s="22">
        <f>IF('Growth (no penalty)'!O206&gt;0,1,IF('Growth (no penalty)'!O309&gt;0,4,0))</f>
        <v>0</v>
      </c>
      <c r="Q68" s="22">
        <f>IF('Growth (no penalty)'!P206&gt;0,1,IF('Growth (no penalty)'!P309&gt;0,4,0))</f>
        <v>0</v>
      </c>
      <c r="R68" s="22">
        <f>IF('Growth (no penalty)'!Q206&gt;0,1,IF('Growth (no penalty)'!Q309&gt;0,4,0))</f>
        <v>0</v>
      </c>
      <c r="S68" s="22">
        <f>IF('Growth (no penalty)'!R206&gt;0,1,IF('Growth (no penalty)'!R309&gt;0,4,0))</f>
        <v>0</v>
      </c>
      <c r="T68" s="22">
        <f>IF('Growth (no penalty)'!S206&gt;0,1,IF('Growth (no penalty)'!S309&gt;0,4,0))</f>
        <v>1</v>
      </c>
      <c r="U68" s="22">
        <f>IF('Growth (no penalty)'!T206&gt;0,1,IF('Growth (no penalty)'!T309&gt;0,4,0))</f>
        <v>1</v>
      </c>
      <c r="V68" s="22">
        <f>IF('Growth (no penalty)'!U206&gt;0,1,IF('Growth (no penalty)'!U309&gt;0,4,0))</f>
        <v>1</v>
      </c>
      <c r="W68" s="22">
        <f>IF('Growth (no penalty)'!V206&gt;0,1,IF('Growth (no penalty)'!V309&gt;0,4,0))</f>
        <v>1</v>
      </c>
      <c r="X68" s="22">
        <f>IF('Growth (no penalty)'!W206&gt;0,1,IF('Growth (no penalty)'!W309&gt;0,4,0))</f>
        <v>4</v>
      </c>
      <c r="Y68" s="22">
        <f>IF('Growth (no penalty)'!X206&gt;0,1,IF('Growth (no penalty)'!X309&gt;0,4,0))</f>
        <v>4</v>
      </c>
      <c r="Z68" s="22">
        <f>IF('Growth (no penalty)'!Y206&gt;0,1,IF('Growth (no penalty)'!Y309&gt;0,4,0))</f>
        <v>4</v>
      </c>
      <c r="AA68" s="22">
        <f>IF('Growth (no penalty)'!Z206&gt;0,1,IF('Growth (no penalty)'!Z309&gt;0,4,0))</f>
        <v>4</v>
      </c>
      <c r="AB68" s="22">
        <f>IF('Growth (no penalty)'!AA206&gt;0,1,IF('Growth (no penalty)'!AA309&gt;0,4,0))</f>
        <v>4</v>
      </c>
      <c r="AC68" s="22">
        <f>IF('Growth (no penalty)'!AB206&gt;0,1,IF('Growth (no penalty)'!AB309&gt;0,4,0))</f>
        <v>4</v>
      </c>
      <c r="AD68" s="22">
        <f>IF('Growth (no penalty)'!AC206&gt;0,1,IF('Growth (no penalty)'!AC309&gt;0,4,0))</f>
        <v>4</v>
      </c>
      <c r="AE68" s="22">
        <f>IF('Growth (no penalty)'!AD206&gt;0,1,IF('Growth (no penalty)'!AD309&gt;0,4,0))</f>
        <v>4</v>
      </c>
      <c r="AF68" s="22">
        <f>IF('Growth (no penalty)'!AE206&gt;0,1,IF('Growth (no penalty)'!AE309&gt;0,4,0))</f>
        <v>4</v>
      </c>
      <c r="AG68" s="22">
        <f>IF('Growth (no penalty)'!AF206&gt;0,1,IF('Growth (no penalty)'!AF309&gt;0,4,0))</f>
        <v>4</v>
      </c>
      <c r="AH68" s="22">
        <f>IF('Growth (no penalty)'!AG206&gt;0,1,IF('Growth (no penalty)'!AG309&gt;0,4,0))</f>
        <v>4</v>
      </c>
      <c r="AI68" s="22">
        <f>IF('Growth (no penalty)'!AH206&gt;0,1,IF('Growth (no penalty)'!AH309&gt;0,4,0))</f>
        <v>4</v>
      </c>
      <c r="AJ68" s="22">
        <f>IF('Growth (no penalty)'!AI206&gt;0,1,IF('Growth (no penalty)'!AI309&gt;0,4,0))</f>
        <v>4</v>
      </c>
      <c r="AK68" s="22">
        <f>IF('Growth (no penalty)'!AJ206&gt;0,1,IF('Growth (no penalty)'!AJ309&gt;0,4,0))</f>
        <v>4</v>
      </c>
      <c r="AL68" s="22">
        <f>IF('Growth (no penalty)'!AK206&gt;0,1,IF('Growth (no penalty)'!AK309&gt;0,4,0))</f>
        <v>4</v>
      </c>
      <c r="AM68" s="22">
        <f>IF('Growth (no penalty)'!AL206&gt;0,1,IF('Growth (no penalty)'!AL309&gt;0,4,0))</f>
        <v>4</v>
      </c>
      <c r="AN68" s="22">
        <f>IF('Growth (no penalty)'!AM206&gt;0,1,IF('Growth (no penalty)'!AM309&gt;0,4,0))</f>
        <v>4</v>
      </c>
      <c r="AO68" s="22">
        <f>IF('Growth (no penalty)'!AN206&gt;0,1,IF('Growth (no penalty)'!AN309&gt;0,4,0))</f>
        <v>4</v>
      </c>
      <c r="AP68" s="22">
        <f>IF('Growth (no penalty)'!AO206&gt;0,1,IF('Growth (no penalty)'!AO309&gt;0,4,0))</f>
        <v>4</v>
      </c>
      <c r="AQ68" s="22">
        <f>IF('Growth (no penalty)'!AP206&gt;0,1,IF('Growth (no penalty)'!AP309&gt;0,4,0))</f>
        <v>4</v>
      </c>
      <c r="AR68" s="22">
        <f>IF('Growth (no penalty)'!AQ206&gt;0,1,IF('Growth (no penalty)'!AQ309&gt;0,4,0))</f>
        <v>4</v>
      </c>
      <c r="AS68" s="22">
        <f>IF('Growth (no penalty)'!AR206&gt;0,1,IF('Growth (no penalty)'!AR309&gt;0,4,0))</f>
        <v>4</v>
      </c>
      <c r="AT68" s="22">
        <f>IF('Growth (no penalty)'!AS206&gt;0,1,IF('Growth (no penalty)'!AS309&gt;0,4,0))</f>
        <v>4</v>
      </c>
      <c r="AU68" s="22">
        <f>IF('Growth (no penalty)'!AT206&gt;0,1,IF('Growth (no penalty)'!AT309&gt;0,4,0))</f>
        <v>4</v>
      </c>
      <c r="AV68" s="22">
        <f>IF('Growth (no penalty)'!AU206&gt;0,1,IF('Growth (no penalty)'!AU309&gt;0,4,0))</f>
        <v>4</v>
      </c>
      <c r="AW68" s="22">
        <f>IF('Growth (no penalty)'!AV206&gt;0,1,IF('Growth (no penalty)'!AV309&gt;0,4,0))</f>
        <v>4</v>
      </c>
      <c r="AX68" s="22">
        <f>IF('Growth (no penalty)'!AW206&gt;0,1,IF('Growth (no penalty)'!AW309&gt;0,4,0))</f>
        <v>4</v>
      </c>
      <c r="AY68" s="22">
        <f>IF('Growth (no penalty)'!AX206&gt;0,1,IF('Growth (no penalty)'!AX309&gt;0,4,0))</f>
        <v>4</v>
      </c>
      <c r="AZ68" s="22">
        <f>IF('Growth (no penalty)'!AY206&gt;0,1,IF('Growth (no penalty)'!AY309&gt;0,4,0))</f>
        <v>4</v>
      </c>
      <c r="BA68" s="22">
        <f>IF('Growth (no penalty)'!AZ206&gt;0,1,IF('Growth (no penalty)'!AZ309&gt;0,4,0))</f>
        <v>4</v>
      </c>
      <c r="BB68" s="22">
        <f>IF('Growth (no penalty)'!BA206&gt;0,1,IF('Growth (no penalty)'!BA309&gt;0,4,0))</f>
        <v>4</v>
      </c>
      <c r="BC68" s="22">
        <f>IF('Growth (no penalty)'!BB206&gt;0,1,IF('Growth (no penalty)'!BB309&gt;0,4,0))</f>
        <v>4</v>
      </c>
      <c r="BD68" s="22">
        <f>IF('Growth (no penalty)'!BC206&gt;0,1,IF('Growth (no penalty)'!BC309&gt;0,4,0))</f>
        <v>4</v>
      </c>
      <c r="BE68" s="22">
        <f>IF('Growth (no penalty)'!BD206&gt;0,1,IF('Growth (no penalty)'!BD309&gt;0,4,0))</f>
        <v>4</v>
      </c>
      <c r="BF68" s="22">
        <f>IF('Growth (no penalty)'!BE206&gt;0,1,IF('Growth (no penalty)'!BE309&gt;0,4,0))</f>
        <v>4</v>
      </c>
      <c r="BG68" s="22">
        <f>IF('Growth (no penalty)'!BF206&gt;0,1,IF('Growth (no penalty)'!BF309&gt;0,4,0))</f>
        <v>4</v>
      </c>
      <c r="BH68" s="22">
        <f>IF('Growth (no penalty)'!BG206&gt;0,1,IF('Growth (no penalty)'!BG309&gt;0,4,0))</f>
        <v>4</v>
      </c>
      <c r="BI68" s="22">
        <f>IF('Growth (no penalty)'!BH206&gt;0,1,IF('Growth (no penalty)'!BH309&gt;0,4,0))</f>
        <v>4</v>
      </c>
      <c r="BJ68" s="22">
        <f>IF('Growth (no penalty)'!BI206&gt;0,1,IF('Growth (no penalty)'!BI309&gt;0,4,0))</f>
        <v>4</v>
      </c>
      <c r="BK68" s="23">
        <f>IF('Growth (no penalty)'!BJ206&gt;0,1,IF('Growth (no penalty)'!BJ309&gt;0,4,0))</f>
        <v>4</v>
      </c>
    </row>
    <row r="69" spans="1:63" x14ac:dyDescent="0.3">
      <c r="A69" s="4" t="str">
        <f>'Growth profile'!A84</f>
        <v>project 126</v>
      </c>
      <c r="B69" s="13" t="s">
        <v>3</v>
      </c>
      <c r="C69" s="19">
        <f>'Raw profile'!I84</f>
        <v>2026</v>
      </c>
      <c r="D69" s="20">
        <f>IF('Raw profile'!C192&gt;0,1,IF('Raw profile'!C295&gt;0,2,0))</f>
        <v>1</v>
      </c>
      <c r="E69" s="20">
        <f>IF('Raw profile'!D192&gt;0,1,IF('Raw profile'!D295&gt;0,2,0))</f>
        <v>1</v>
      </c>
      <c r="F69" s="20">
        <f>IF('Raw profile'!E192&gt;0,1,IF('Raw profile'!E295&gt;0,2,0))</f>
        <v>1</v>
      </c>
      <c r="G69" s="20">
        <f>IF('Raw profile'!F192&gt;0,1,IF('Raw profile'!F295&gt;0,2,0))</f>
        <v>1</v>
      </c>
      <c r="H69" s="20">
        <f>IF('Raw profile'!G192&gt;0,1,IF('Raw profile'!G295&gt;0,2,0))</f>
        <v>2</v>
      </c>
      <c r="I69" s="20">
        <f>IF('Raw profile'!H192&gt;0,1,IF('Raw profile'!H295&gt;0,2,0))</f>
        <v>2</v>
      </c>
      <c r="J69" s="20">
        <f>IF('Raw profile'!I192&gt;0,1,IF('Raw profile'!I295&gt;0,2,0))</f>
        <v>2</v>
      </c>
      <c r="K69" s="20">
        <f>IF('Raw profile'!J192&gt;0,1,IF('Raw profile'!J295&gt;0,2,0))</f>
        <v>2</v>
      </c>
      <c r="L69" s="20">
        <f>IF('Raw profile'!K192&gt;0,1,IF('Raw profile'!K295&gt;0,2,0))</f>
        <v>2</v>
      </c>
      <c r="M69" s="20">
        <f>IF('Raw profile'!L192&gt;0,1,IF('Raw profile'!L295&gt;0,2,0))</f>
        <v>2</v>
      </c>
      <c r="N69" s="20">
        <f>IF('Raw profile'!M192&gt;0,1,IF('Raw profile'!M295&gt;0,2,0))</f>
        <v>2</v>
      </c>
      <c r="O69" s="20">
        <f>IF('Raw profile'!N192&gt;0,1,IF('Raw profile'!N295&gt;0,2,0))</f>
        <v>2</v>
      </c>
      <c r="P69" s="20">
        <f>IF('Raw profile'!O192&gt;0,1,IF('Raw profile'!O295&gt;0,2,0))</f>
        <v>2</v>
      </c>
      <c r="Q69" s="20">
        <f>IF('Raw profile'!P192&gt;0,1,IF('Raw profile'!P295&gt;0,2,0))</f>
        <v>2</v>
      </c>
      <c r="R69" s="20">
        <f>IF('Raw profile'!Q192&gt;0,1,IF('Raw profile'!Q295&gt;0,2,0))</f>
        <v>2</v>
      </c>
      <c r="S69" s="20">
        <f>IF('Raw profile'!R192&gt;0,1,IF('Raw profile'!R295&gt;0,2,0))</f>
        <v>2</v>
      </c>
      <c r="T69" s="20">
        <f>IF('Raw profile'!S192&gt;0,1,IF('Raw profile'!S295&gt;0,2,0))</f>
        <v>2</v>
      </c>
      <c r="U69" s="20">
        <f>IF('Raw profile'!T192&gt;0,1,IF('Raw profile'!T295&gt;0,2,0))</f>
        <v>2</v>
      </c>
      <c r="V69" s="20">
        <f>IF('Raw profile'!U192&gt;0,1,IF('Raw profile'!U295&gt;0,2,0))</f>
        <v>2</v>
      </c>
      <c r="W69" s="20">
        <f>IF('Raw profile'!V192&gt;0,1,IF('Raw profile'!V295&gt;0,2,0))</f>
        <v>2</v>
      </c>
      <c r="X69" s="20">
        <f>IF('Raw profile'!W192&gt;0,1,IF('Raw profile'!W295&gt;0,2,0))</f>
        <v>2</v>
      </c>
      <c r="Y69" s="20">
        <f>IF('Raw profile'!X192&gt;0,1,IF('Raw profile'!X295&gt;0,2,0))</f>
        <v>2</v>
      </c>
      <c r="Z69" s="20">
        <f>IF('Raw profile'!Y192&gt;0,1,IF('Raw profile'!Y295&gt;0,2,0))</f>
        <v>2</v>
      </c>
      <c r="AA69" s="20">
        <f>IF('Raw profile'!Z192&gt;0,1,IF('Raw profile'!Z295&gt;0,2,0))</f>
        <v>2</v>
      </c>
      <c r="AB69" s="20">
        <f>IF('Raw profile'!AA192&gt;0,1,IF('Raw profile'!AA295&gt;0,2,0))</f>
        <v>2</v>
      </c>
      <c r="AC69" s="20">
        <f>IF('Raw profile'!AB192&gt;0,1,IF('Raw profile'!AB295&gt;0,2,0))</f>
        <v>2</v>
      </c>
      <c r="AD69" s="20">
        <f>IF('Raw profile'!AC192&gt;0,1,IF('Raw profile'!AC295&gt;0,2,0))</f>
        <v>2</v>
      </c>
      <c r="AE69" s="20">
        <f>IF('Raw profile'!AD192&gt;0,1,IF('Raw profile'!AD295&gt;0,2,0))</f>
        <v>2</v>
      </c>
      <c r="AF69" s="20">
        <f>IF('Raw profile'!AE192&gt;0,1,IF('Raw profile'!AE295&gt;0,2,0))</f>
        <v>2</v>
      </c>
      <c r="AG69" s="20">
        <f>IF('Raw profile'!AF192&gt;0,1,IF('Raw profile'!AF295&gt;0,2,0))</f>
        <v>2</v>
      </c>
      <c r="AH69" s="20">
        <f>IF('Raw profile'!AG192&gt;0,1,IF('Raw profile'!AG295&gt;0,2,0))</f>
        <v>2</v>
      </c>
      <c r="AI69" s="20">
        <f>IF('Raw profile'!AH192&gt;0,1,IF('Raw profile'!AH295&gt;0,2,0))</f>
        <v>2</v>
      </c>
      <c r="AJ69" s="20">
        <f>IF('Raw profile'!AI192&gt;0,1,IF('Raw profile'!AI295&gt;0,2,0))</f>
        <v>2</v>
      </c>
      <c r="AK69" s="20">
        <f>IF('Raw profile'!AJ192&gt;0,1,IF('Raw profile'!AJ295&gt;0,2,0))</f>
        <v>2</v>
      </c>
      <c r="AL69" s="20">
        <f>IF('Raw profile'!AK192&gt;0,1,IF('Raw profile'!AK295&gt;0,2,0))</f>
        <v>2</v>
      </c>
      <c r="AM69" s="20">
        <f>IF('Raw profile'!AL192&gt;0,1,IF('Raw profile'!AL295&gt;0,2,0))</f>
        <v>2</v>
      </c>
      <c r="AN69" s="20">
        <f>IF('Raw profile'!AM192&gt;0,1,IF('Raw profile'!AM295&gt;0,2,0))</f>
        <v>2</v>
      </c>
      <c r="AO69" s="20">
        <f>IF('Raw profile'!AN192&gt;0,1,IF('Raw profile'!AN295&gt;0,2,0))</f>
        <v>2</v>
      </c>
      <c r="AP69" s="20">
        <f>IF('Raw profile'!AO192&gt;0,1,IF('Raw profile'!AO295&gt;0,2,0))</f>
        <v>2</v>
      </c>
      <c r="AQ69" s="20">
        <f>IF('Raw profile'!AP192&gt;0,1,IF('Raw profile'!AP295&gt;0,2,0))</f>
        <v>2</v>
      </c>
      <c r="AR69" s="20">
        <f>IF('Raw profile'!AQ192&gt;0,1,IF('Raw profile'!AQ295&gt;0,2,0))</f>
        <v>2</v>
      </c>
      <c r="AS69" s="20">
        <f>IF('Raw profile'!AR192&gt;0,1,IF('Raw profile'!AR295&gt;0,2,0))</f>
        <v>2</v>
      </c>
      <c r="AT69" s="20">
        <f>IF('Raw profile'!AS192&gt;0,1,IF('Raw profile'!AS295&gt;0,2,0))</f>
        <v>2</v>
      </c>
      <c r="AU69" s="20">
        <f>IF('Raw profile'!AT192&gt;0,1,IF('Raw profile'!AT295&gt;0,2,0))</f>
        <v>2</v>
      </c>
      <c r="AV69" s="20">
        <f>IF('Raw profile'!AU192&gt;0,1,IF('Raw profile'!AU295&gt;0,2,0))</f>
        <v>0</v>
      </c>
      <c r="AW69" s="20">
        <f>IF('Raw profile'!AV192&gt;0,1,IF('Raw profile'!AV295&gt;0,2,0))</f>
        <v>0</v>
      </c>
      <c r="AX69" s="20">
        <f>IF('Raw profile'!AW192&gt;0,1,IF('Raw profile'!AW295&gt;0,2,0))</f>
        <v>0</v>
      </c>
      <c r="AY69" s="20">
        <f>IF('Raw profile'!AX192&gt;0,1,IF('Raw profile'!AX295&gt;0,2,0))</f>
        <v>0</v>
      </c>
      <c r="AZ69" s="20">
        <f>IF('Raw profile'!AY192&gt;0,1,IF('Raw profile'!AY295&gt;0,2,0))</f>
        <v>0</v>
      </c>
      <c r="BA69" s="20">
        <f>IF('Raw profile'!AZ192&gt;0,1,IF('Raw profile'!AZ295&gt;0,2,0))</f>
        <v>0</v>
      </c>
      <c r="BB69" s="20">
        <f>IF('Raw profile'!BA192&gt;0,1,IF('Raw profile'!BA295&gt;0,2,0))</f>
        <v>0</v>
      </c>
      <c r="BC69" s="20">
        <f>IF('Raw profile'!BB192&gt;0,1,IF('Raw profile'!BB295&gt;0,2,0))</f>
        <v>0</v>
      </c>
      <c r="BD69" s="20">
        <f>IF('Raw profile'!BC192&gt;0,1,IF('Raw profile'!BC295&gt;0,2,0))</f>
        <v>0</v>
      </c>
      <c r="BE69" s="20">
        <f>IF('Raw profile'!BD192&gt;0,1,IF('Raw profile'!BD295&gt;0,2,0))</f>
        <v>0</v>
      </c>
      <c r="BF69" s="20">
        <f>IF('Raw profile'!BE192&gt;0,1,IF('Raw profile'!BE295&gt;0,2,0))</f>
        <v>0</v>
      </c>
      <c r="BG69" s="20">
        <f>IF('Raw profile'!BF192&gt;0,1,IF('Raw profile'!BF295&gt;0,2,0))</f>
        <v>0</v>
      </c>
      <c r="BH69" s="20">
        <f>IF('Raw profile'!BG192&gt;0,1,IF('Raw profile'!BG295&gt;0,2,0))</f>
        <v>0</v>
      </c>
      <c r="BI69" s="20">
        <f>IF('Raw profile'!BH192&gt;0,1,IF('Raw profile'!BH295&gt;0,2,0))</f>
        <v>0</v>
      </c>
      <c r="BJ69" s="20">
        <f>IF('Raw profile'!BI192&gt;0,1,IF('Raw profile'!BI295&gt;0,2,0))</f>
        <v>0</v>
      </c>
      <c r="BK69" s="21">
        <f>IF('Raw profile'!BJ192&gt;0,1,IF('Raw profile'!BJ295&gt;0,2,0))</f>
        <v>0</v>
      </c>
    </row>
    <row r="70" spans="1:63" x14ac:dyDescent="0.3">
      <c r="B70" s="13" t="s">
        <v>4</v>
      </c>
      <c r="C70" s="19">
        <f>'Growth profile'!I84</f>
        <v>2041</v>
      </c>
      <c r="D70" s="20">
        <f>IF('Growth profile'!C192&gt;0,1,IF('Growth profile'!C295&gt;0,3,0))</f>
        <v>0</v>
      </c>
      <c r="E70" s="20">
        <f>IF('Growth profile'!D192&gt;0,1,IF('Growth profile'!D295&gt;0,3,0))</f>
        <v>0</v>
      </c>
      <c r="F70" s="20">
        <f>IF('Growth profile'!E192&gt;0,1,IF('Growth profile'!E295&gt;0,3,0))</f>
        <v>0</v>
      </c>
      <c r="G70" s="20">
        <f>IF('Growth profile'!F192&gt;0,1,IF('Growth profile'!F295&gt;0,3,0))</f>
        <v>0</v>
      </c>
      <c r="H70" s="20">
        <f>IF('Growth profile'!G192&gt;0,1,IF('Growth profile'!G295&gt;0,3,0))</f>
        <v>0</v>
      </c>
      <c r="I70" s="20">
        <f>IF('Growth profile'!H192&gt;0,1,IF('Growth profile'!H295&gt;0,3,0))</f>
        <v>0</v>
      </c>
      <c r="J70" s="20">
        <f>IF('Growth profile'!I192&gt;0,1,IF('Growth profile'!I295&gt;0,3,0))</f>
        <v>0</v>
      </c>
      <c r="K70" s="20">
        <f>IF('Growth profile'!J192&gt;0,1,IF('Growth profile'!J295&gt;0,3,0))</f>
        <v>0</v>
      </c>
      <c r="L70" s="20">
        <f>IF('Growth profile'!K192&gt;0,1,IF('Growth profile'!K295&gt;0,3,0))</f>
        <v>0</v>
      </c>
      <c r="M70" s="20">
        <f>IF('Growth profile'!L192&gt;0,1,IF('Growth profile'!L295&gt;0,3,0))</f>
        <v>0</v>
      </c>
      <c r="N70" s="20">
        <f>IF('Growth profile'!M192&gt;0,1,IF('Growth profile'!M295&gt;0,3,0))</f>
        <v>0</v>
      </c>
      <c r="O70" s="20">
        <f>IF('Growth profile'!N192&gt;0,1,IF('Growth profile'!N295&gt;0,3,0))</f>
        <v>0</v>
      </c>
      <c r="P70" s="20">
        <f>IF('Growth profile'!O192&gt;0,1,IF('Growth profile'!O295&gt;0,3,0))</f>
        <v>0</v>
      </c>
      <c r="Q70" s="20">
        <f>IF('Growth profile'!P192&gt;0,1,IF('Growth profile'!P295&gt;0,3,0))</f>
        <v>0</v>
      </c>
      <c r="R70" s="20">
        <f>IF('Growth profile'!Q192&gt;0,1,IF('Growth profile'!Q295&gt;0,3,0))</f>
        <v>0</v>
      </c>
      <c r="S70" s="20">
        <f>IF('Growth profile'!R192&gt;0,1,IF('Growth profile'!R295&gt;0,3,0))</f>
        <v>1</v>
      </c>
      <c r="T70" s="20">
        <f>IF('Growth profile'!S192&gt;0,1,IF('Growth profile'!S295&gt;0,3,0))</f>
        <v>1</v>
      </c>
      <c r="U70" s="20">
        <f>IF('Growth profile'!T192&gt;0,1,IF('Growth profile'!T295&gt;0,3,0))</f>
        <v>1</v>
      </c>
      <c r="V70" s="20">
        <f>IF('Growth profile'!U192&gt;0,1,IF('Growth profile'!U295&gt;0,3,0))</f>
        <v>1</v>
      </c>
      <c r="W70" s="20">
        <f>IF('Growth profile'!V192&gt;0,1,IF('Growth profile'!V295&gt;0,3,0))</f>
        <v>3</v>
      </c>
      <c r="X70" s="20">
        <f>IF('Growth profile'!W192&gt;0,1,IF('Growth profile'!W295&gt;0,3,0))</f>
        <v>3</v>
      </c>
      <c r="Y70" s="20">
        <f>IF('Growth profile'!X192&gt;0,1,IF('Growth profile'!X295&gt;0,3,0))</f>
        <v>3</v>
      </c>
      <c r="Z70" s="20">
        <f>IF('Growth profile'!Y192&gt;0,1,IF('Growth profile'!Y295&gt;0,3,0))</f>
        <v>3</v>
      </c>
      <c r="AA70" s="20">
        <f>IF('Growth profile'!Z192&gt;0,1,IF('Growth profile'!Z295&gt;0,3,0))</f>
        <v>3</v>
      </c>
      <c r="AB70" s="20">
        <f>IF('Growth profile'!AA192&gt;0,1,IF('Growth profile'!AA295&gt;0,3,0))</f>
        <v>3</v>
      </c>
      <c r="AC70" s="20">
        <f>IF('Growth profile'!AB192&gt;0,1,IF('Growth profile'!AB295&gt;0,3,0))</f>
        <v>3</v>
      </c>
      <c r="AD70" s="20">
        <f>IF('Growth profile'!AC192&gt;0,1,IF('Growth profile'!AC295&gt;0,3,0))</f>
        <v>3</v>
      </c>
      <c r="AE70" s="20">
        <f>IF('Growth profile'!AD192&gt;0,1,IF('Growth profile'!AD295&gt;0,3,0))</f>
        <v>3</v>
      </c>
      <c r="AF70" s="20">
        <f>IF('Growth profile'!AE192&gt;0,1,IF('Growth profile'!AE295&gt;0,3,0))</f>
        <v>3</v>
      </c>
      <c r="AG70" s="20">
        <f>IF('Growth profile'!AF192&gt;0,1,IF('Growth profile'!AF295&gt;0,3,0))</f>
        <v>3</v>
      </c>
      <c r="AH70" s="20">
        <f>IF('Growth profile'!AG192&gt;0,1,IF('Growth profile'!AG295&gt;0,3,0))</f>
        <v>3</v>
      </c>
      <c r="AI70" s="20">
        <f>IF('Growth profile'!AH192&gt;0,1,IF('Growth profile'!AH295&gt;0,3,0))</f>
        <v>3</v>
      </c>
      <c r="AJ70" s="20">
        <f>IF('Growth profile'!AI192&gt;0,1,IF('Growth profile'!AI295&gt;0,3,0))</f>
        <v>3</v>
      </c>
      <c r="AK70" s="20">
        <f>IF('Growth profile'!AJ192&gt;0,1,IF('Growth profile'!AJ295&gt;0,3,0))</f>
        <v>3</v>
      </c>
      <c r="AL70" s="20">
        <f>IF('Growth profile'!AK192&gt;0,1,IF('Growth profile'!AK295&gt;0,3,0))</f>
        <v>3</v>
      </c>
      <c r="AM70" s="20">
        <f>IF('Growth profile'!AL192&gt;0,1,IF('Growth profile'!AL295&gt;0,3,0))</f>
        <v>3</v>
      </c>
      <c r="AN70" s="20">
        <f>IF('Growth profile'!AM192&gt;0,1,IF('Growth profile'!AM295&gt;0,3,0))</f>
        <v>3</v>
      </c>
      <c r="AO70" s="20">
        <f>IF('Growth profile'!AN192&gt;0,1,IF('Growth profile'!AN295&gt;0,3,0))</f>
        <v>3</v>
      </c>
      <c r="AP70" s="20">
        <f>IF('Growth profile'!AO192&gt;0,1,IF('Growth profile'!AO295&gt;0,3,0))</f>
        <v>3</v>
      </c>
      <c r="AQ70" s="20">
        <f>IF('Growth profile'!AP192&gt;0,1,IF('Growth profile'!AP295&gt;0,3,0))</f>
        <v>3</v>
      </c>
      <c r="AR70" s="20">
        <f>IF('Growth profile'!AQ192&gt;0,1,IF('Growth profile'!AQ295&gt;0,3,0))</f>
        <v>3</v>
      </c>
      <c r="AS70" s="20">
        <f>IF('Growth profile'!AR192&gt;0,1,IF('Growth profile'!AR295&gt;0,3,0))</f>
        <v>3</v>
      </c>
      <c r="AT70" s="20">
        <f>IF('Growth profile'!AS192&gt;0,1,IF('Growth profile'!AS295&gt;0,3,0))</f>
        <v>3</v>
      </c>
      <c r="AU70" s="20">
        <f>IF('Growth profile'!AT192&gt;0,1,IF('Growth profile'!AT295&gt;0,3,0))</f>
        <v>3</v>
      </c>
      <c r="AV70" s="20">
        <f>IF('Growth profile'!AU192&gt;0,1,IF('Growth profile'!AU295&gt;0,3,0))</f>
        <v>3</v>
      </c>
      <c r="AW70" s="20">
        <f>IF('Growth profile'!AV192&gt;0,1,IF('Growth profile'!AV295&gt;0,3,0))</f>
        <v>3</v>
      </c>
      <c r="AX70" s="20">
        <f>IF('Growth profile'!AW192&gt;0,1,IF('Growth profile'!AW295&gt;0,3,0))</f>
        <v>3</v>
      </c>
      <c r="AY70" s="20">
        <f>IF('Growth profile'!AX192&gt;0,1,IF('Growth profile'!AX295&gt;0,3,0))</f>
        <v>3</v>
      </c>
      <c r="AZ70" s="20">
        <f>IF('Growth profile'!AY192&gt;0,1,IF('Growth profile'!AY295&gt;0,3,0))</f>
        <v>3</v>
      </c>
      <c r="BA70" s="20">
        <f>IF('Growth profile'!AZ192&gt;0,1,IF('Growth profile'!AZ295&gt;0,3,0))</f>
        <v>3</v>
      </c>
      <c r="BB70" s="20">
        <f>IF('Growth profile'!BA192&gt;0,1,IF('Growth profile'!BA295&gt;0,3,0))</f>
        <v>3</v>
      </c>
      <c r="BC70" s="20">
        <f>IF('Growth profile'!BB192&gt;0,1,IF('Growth profile'!BB295&gt;0,3,0))</f>
        <v>3</v>
      </c>
      <c r="BD70" s="20">
        <f>IF('Growth profile'!BC192&gt;0,1,IF('Growth profile'!BC295&gt;0,3,0))</f>
        <v>3</v>
      </c>
      <c r="BE70" s="20">
        <f>IF('Growth profile'!BD192&gt;0,1,IF('Growth profile'!BD295&gt;0,3,0))</f>
        <v>3</v>
      </c>
      <c r="BF70" s="20">
        <f>IF('Growth profile'!BE192&gt;0,1,IF('Growth profile'!BE295&gt;0,3,0))</f>
        <v>3</v>
      </c>
      <c r="BG70" s="20">
        <f>IF('Growth profile'!BF192&gt;0,1,IF('Growth profile'!BF295&gt;0,3,0))</f>
        <v>3</v>
      </c>
      <c r="BH70" s="20">
        <f>IF('Growth profile'!BG192&gt;0,1,IF('Growth profile'!BG295&gt;0,3,0))</f>
        <v>3</v>
      </c>
      <c r="BI70" s="20">
        <f>IF('Growth profile'!BH192&gt;0,1,IF('Growth profile'!BH295&gt;0,3,0))</f>
        <v>3</v>
      </c>
      <c r="BJ70" s="20">
        <f>IF('Growth profile'!BI192&gt;0,1,IF('Growth profile'!BI295&gt;0,3,0))</f>
        <v>3</v>
      </c>
      <c r="BK70" s="21">
        <f>IF('Growth profile'!BJ192&gt;0,1,IF('Growth profile'!BJ295&gt;0,3,0))</f>
        <v>0</v>
      </c>
    </row>
    <row r="71" spans="1:63" x14ac:dyDescent="0.3">
      <c r="B71" s="13" t="s">
        <v>59</v>
      </c>
      <c r="C71" s="19">
        <f>'Growth (no penalty)'!I84</f>
        <v>2042</v>
      </c>
      <c r="D71" s="22">
        <f>IF('Growth (no penalty)'!C192&gt;0,1,IF('Growth (no penalty)'!C295&gt;0,4,0))</f>
        <v>0</v>
      </c>
      <c r="E71" s="22">
        <f>IF('Growth (no penalty)'!D192&gt;0,1,IF('Growth (no penalty)'!D295&gt;0,4,0))</f>
        <v>0</v>
      </c>
      <c r="F71" s="22">
        <f>IF('Growth (no penalty)'!E192&gt;0,1,IF('Growth (no penalty)'!E295&gt;0,4,0))</f>
        <v>0</v>
      </c>
      <c r="G71" s="22">
        <f>IF('Growth (no penalty)'!F192&gt;0,1,IF('Growth (no penalty)'!F295&gt;0,4,0))</f>
        <v>0</v>
      </c>
      <c r="H71" s="22">
        <f>IF('Growth (no penalty)'!G192&gt;0,1,IF('Growth (no penalty)'!G295&gt;0,4,0))</f>
        <v>0</v>
      </c>
      <c r="I71" s="22">
        <f>IF('Growth (no penalty)'!H192&gt;0,1,IF('Growth (no penalty)'!H295&gt;0,4,0))</f>
        <v>0</v>
      </c>
      <c r="J71" s="22">
        <f>IF('Growth (no penalty)'!I192&gt;0,1,IF('Growth (no penalty)'!I295&gt;0,4,0))</f>
        <v>0</v>
      </c>
      <c r="K71" s="22">
        <f>IF('Growth (no penalty)'!J192&gt;0,1,IF('Growth (no penalty)'!J295&gt;0,4,0))</f>
        <v>0</v>
      </c>
      <c r="L71" s="22">
        <f>IF('Growth (no penalty)'!K192&gt;0,1,IF('Growth (no penalty)'!K295&gt;0,4,0))</f>
        <v>0</v>
      </c>
      <c r="M71" s="22">
        <f>IF('Growth (no penalty)'!L192&gt;0,1,IF('Growth (no penalty)'!L295&gt;0,4,0))</f>
        <v>0</v>
      </c>
      <c r="N71" s="22">
        <f>IF('Growth (no penalty)'!M192&gt;0,1,IF('Growth (no penalty)'!M295&gt;0,4,0))</f>
        <v>0</v>
      </c>
      <c r="O71" s="22">
        <f>IF('Growth (no penalty)'!N192&gt;0,1,IF('Growth (no penalty)'!N295&gt;0,4,0))</f>
        <v>0</v>
      </c>
      <c r="P71" s="22">
        <f>IF('Growth (no penalty)'!O192&gt;0,1,IF('Growth (no penalty)'!O295&gt;0,4,0))</f>
        <v>0</v>
      </c>
      <c r="Q71" s="22">
        <f>IF('Growth (no penalty)'!P192&gt;0,1,IF('Growth (no penalty)'!P295&gt;0,4,0))</f>
        <v>0</v>
      </c>
      <c r="R71" s="22">
        <f>IF('Growth (no penalty)'!Q192&gt;0,1,IF('Growth (no penalty)'!Q295&gt;0,4,0))</f>
        <v>0</v>
      </c>
      <c r="S71" s="22">
        <f>IF('Growth (no penalty)'!R192&gt;0,1,IF('Growth (no penalty)'!R295&gt;0,4,0))</f>
        <v>0</v>
      </c>
      <c r="T71" s="22">
        <f>IF('Growth (no penalty)'!S192&gt;0,1,IF('Growth (no penalty)'!S295&gt;0,4,0))</f>
        <v>1</v>
      </c>
      <c r="U71" s="22">
        <f>IF('Growth (no penalty)'!T192&gt;0,1,IF('Growth (no penalty)'!T295&gt;0,4,0))</f>
        <v>1</v>
      </c>
      <c r="V71" s="22">
        <f>IF('Growth (no penalty)'!U192&gt;0,1,IF('Growth (no penalty)'!U295&gt;0,4,0))</f>
        <v>1</v>
      </c>
      <c r="W71" s="22">
        <f>IF('Growth (no penalty)'!V192&gt;0,1,IF('Growth (no penalty)'!V295&gt;0,4,0))</f>
        <v>1</v>
      </c>
      <c r="X71" s="22">
        <f>IF('Growth (no penalty)'!W192&gt;0,1,IF('Growth (no penalty)'!W295&gt;0,4,0))</f>
        <v>4</v>
      </c>
      <c r="Y71" s="22">
        <f>IF('Growth (no penalty)'!X192&gt;0,1,IF('Growth (no penalty)'!X295&gt;0,4,0))</f>
        <v>4</v>
      </c>
      <c r="Z71" s="22">
        <f>IF('Growth (no penalty)'!Y192&gt;0,1,IF('Growth (no penalty)'!Y295&gt;0,4,0))</f>
        <v>4</v>
      </c>
      <c r="AA71" s="22">
        <f>IF('Growth (no penalty)'!Z192&gt;0,1,IF('Growth (no penalty)'!Z295&gt;0,4,0))</f>
        <v>4</v>
      </c>
      <c r="AB71" s="22">
        <f>IF('Growth (no penalty)'!AA192&gt;0,1,IF('Growth (no penalty)'!AA295&gt;0,4,0))</f>
        <v>4</v>
      </c>
      <c r="AC71" s="22">
        <f>IF('Growth (no penalty)'!AB192&gt;0,1,IF('Growth (no penalty)'!AB295&gt;0,4,0))</f>
        <v>4</v>
      </c>
      <c r="AD71" s="22">
        <f>IF('Growth (no penalty)'!AC192&gt;0,1,IF('Growth (no penalty)'!AC295&gt;0,4,0))</f>
        <v>4</v>
      </c>
      <c r="AE71" s="22">
        <f>IF('Growth (no penalty)'!AD192&gt;0,1,IF('Growth (no penalty)'!AD295&gt;0,4,0))</f>
        <v>4</v>
      </c>
      <c r="AF71" s="22">
        <f>IF('Growth (no penalty)'!AE192&gt;0,1,IF('Growth (no penalty)'!AE295&gt;0,4,0))</f>
        <v>4</v>
      </c>
      <c r="AG71" s="22">
        <f>IF('Growth (no penalty)'!AF192&gt;0,1,IF('Growth (no penalty)'!AF295&gt;0,4,0))</f>
        <v>4</v>
      </c>
      <c r="AH71" s="22">
        <f>IF('Growth (no penalty)'!AG192&gt;0,1,IF('Growth (no penalty)'!AG295&gt;0,4,0))</f>
        <v>4</v>
      </c>
      <c r="AI71" s="22">
        <f>IF('Growth (no penalty)'!AH192&gt;0,1,IF('Growth (no penalty)'!AH295&gt;0,4,0))</f>
        <v>4</v>
      </c>
      <c r="AJ71" s="22">
        <f>IF('Growth (no penalty)'!AI192&gt;0,1,IF('Growth (no penalty)'!AI295&gt;0,4,0))</f>
        <v>4</v>
      </c>
      <c r="AK71" s="22">
        <f>IF('Growth (no penalty)'!AJ192&gt;0,1,IF('Growth (no penalty)'!AJ295&gt;0,4,0))</f>
        <v>4</v>
      </c>
      <c r="AL71" s="22">
        <f>IF('Growth (no penalty)'!AK192&gt;0,1,IF('Growth (no penalty)'!AK295&gt;0,4,0))</f>
        <v>4</v>
      </c>
      <c r="AM71" s="22">
        <f>IF('Growth (no penalty)'!AL192&gt;0,1,IF('Growth (no penalty)'!AL295&gt;0,4,0))</f>
        <v>4</v>
      </c>
      <c r="AN71" s="22">
        <f>IF('Growth (no penalty)'!AM192&gt;0,1,IF('Growth (no penalty)'!AM295&gt;0,4,0))</f>
        <v>4</v>
      </c>
      <c r="AO71" s="22">
        <f>IF('Growth (no penalty)'!AN192&gt;0,1,IF('Growth (no penalty)'!AN295&gt;0,4,0))</f>
        <v>4</v>
      </c>
      <c r="AP71" s="22">
        <f>IF('Growth (no penalty)'!AO192&gt;0,1,IF('Growth (no penalty)'!AO295&gt;0,4,0))</f>
        <v>4</v>
      </c>
      <c r="AQ71" s="22">
        <f>IF('Growth (no penalty)'!AP192&gt;0,1,IF('Growth (no penalty)'!AP295&gt;0,4,0))</f>
        <v>4</v>
      </c>
      <c r="AR71" s="22">
        <f>IF('Growth (no penalty)'!AQ192&gt;0,1,IF('Growth (no penalty)'!AQ295&gt;0,4,0))</f>
        <v>4</v>
      </c>
      <c r="AS71" s="22">
        <f>IF('Growth (no penalty)'!AR192&gt;0,1,IF('Growth (no penalty)'!AR295&gt;0,4,0))</f>
        <v>4</v>
      </c>
      <c r="AT71" s="22">
        <f>IF('Growth (no penalty)'!AS192&gt;0,1,IF('Growth (no penalty)'!AS295&gt;0,4,0))</f>
        <v>4</v>
      </c>
      <c r="AU71" s="22">
        <f>IF('Growth (no penalty)'!AT192&gt;0,1,IF('Growth (no penalty)'!AT295&gt;0,4,0))</f>
        <v>4</v>
      </c>
      <c r="AV71" s="22">
        <f>IF('Growth (no penalty)'!AU192&gt;0,1,IF('Growth (no penalty)'!AU295&gt;0,4,0))</f>
        <v>4</v>
      </c>
      <c r="AW71" s="22">
        <f>IF('Growth (no penalty)'!AV192&gt;0,1,IF('Growth (no penalty)'!AV295&gt;0,4,0))</f>
        <v>4</v>
      </c>
      <c r="AX71" s="22">
        <f>IF('Growth (no penalty)'!AW192&gt;0,1,IF('Growth (no penalty)'!AW295&gt;0,4,0))</f>
        <v>4</v>
      </c>
      <c r="AY71" s="22">
        <f>IF('Growth (no penalty)'!AX192&gt;0,1,IF('Growth (no penalty)'!AX295&gt;0,4,0))</f>
        <v>4</v>
      </c>
      <c r="AZ71" s="22">
        <f>IF('Growth (no penalty)'!AY192&gt;0,1,IF('Growth (no penalty)'!AY295&gt;0,4,0))</f>
        <v>4</v>
      </c>
      <c r="BA71" s="22">
        <f>IF('Growth (no penalty)'!AZ192&gt;0,1,IF('Growth (no penalty)'!AZ295&gt;0,4,0))</f>
        <v>4</v>
      </c>
      <c r="BB71" s="22">
        <f>IF('Growth (no penalty)'!BA192&gt;0,1,IF('Growth (no penalty)'!BA295&gt;0,4,0))</f>
        <v>4</v>
      </c>
      <c r="BC71" s="22">
        <f>IF('Growth (no penalty)'!BB192&gt;0,1,IF('Growth (no penalty)'!BB295&gt;0,4,0))</f>
        <v>4</v>
      </c>
      <c r="BD71" s="22">
        <f>IF('Growth (no penalty)'!BC192&gt;0,1,IF('Growth (no penalty)'!BC295&gt;0,4,0))</f>
        <v>4</v>
      </c>
      <c r="BE71" s="22">
        <f>IF('Growth (no penalty)'!BD192&gt;0,1,IF('Growth (no penalty)'!BD295&gt;0,4,0))</f>
        <v>4</v>
      </c>
      <c r="BF71" s="22">
        <f>IF('Growth (no penalty)'!BE192&gt;0,1,IF('Growth (no penalty)'!BE295&gt;0,4,0))</f>
        <v>4</v>
      </c>
      <c r="BG71" s="22">
        <f>IF('Growth (no penalty)'!BF192&gt;0,1,IF('Growth (no penalty)'!BF295&gt;0,4,0))</f>
        <v>4</v>
      </c>
      <c r="BH71" s="22">
        <f>IF('Growth (no penalty)'!BG192&gt;0,1,IF('Growth (no penalty)'!BG295&gt;0,4,0))</f>
        <v>4</v>
      </c>
      <c r="BI71" s="22">
        <f>IF('Growth (no penalty)'!BH192&gt;0,1,IF('Growth (no penalty)'!BH295&gt;0,4,0))</f>
        <v>4</v>
      </c>
      <c r="BJ71" s="22">
        <f>IF('Growth (no penalty)'!BI192&gt;0,1,IF('Growth (no penalty)'!BI295&gt;0,4,0))</f>
        <v>4</v>
      </c>
      <c r="BK71" s="23">
        <f>IF('Growth (no penalty)'!BJ192&gt;0,1,IF('Growth (no penalty)'!BJ295&gt;0,4,0))</f>
        <v>4</v>
      </c>
    </row>
    <row r="72" spans="1:63" x14ac:dyDescent="0.3">
      <c r="A72" s="4" t="str">
        <f>'Growth profile'!A56</f>
        <v>project 56</v>
      </c>
      <c r="B72" s="13" t="s">
        <v>3</v>
      </c>
      <c r="C72" s="19">
        <f>'Raw profile'!I56</f>
        <v>2026</v>
      </c>
      <c r="D72" s="20">
        <f>IF('Raw profile'!C164&gt;0,1,IF('Raw profile'!C267&gt;0,2,0))</f>
        <v>1</v>
      </c>
      <c r="E72" s="20">
        <f>IF('Raw profile'!D164&gt;0,1,IF('Raw profile'!D267&gt;0,2,0))</f>
        <v>2</v>
      </c>
      <c r="F72" s="20">
        <f>IF('Raw profile'!E164&gt;0,1,IF('Raw profile'!E267&gt;0,2,0))</f>
        <v>2</v>
      </c>
      <c r="G72" s="20">
        <f>IF('Raw profile'!F164&gt;0,1,IF('Raw profile'!F267&gt;0,2,0))</f>
        <v>2</v>
      </c>
      <c r="H72" s="20">
        <f>IF('Raw profile'!G164&gt;0,1,IF('Raw profile'!G267&gt;0,2,0))</f>
        <v>2</v>
      </c>
      <c r="I72" s="20">
        <f>IF('Raw profile'!H164&gt;0,1,IF('Raw profile'!H267&gt;0,2,0))</f>
        <v>2</v>
      </c>
      <c r="J72" s="20">
        <f>IF('Raw profile'!I164&gt;0,1,IF('Raw profile'!I267&gt;0,2,0))</f>
        <v>2</v>
      </c>
      <c r="K72" s="20">
        <f>IF('Raw profile'!J164&gt;0,1,IF('Raw profile'!J267&gt;0,2,0))</f>
        <v>2</v>
      </c>
      <c r="L72" s="20">
        <f>IF('Raw profile'!K164&gt;0,1,IF('Raw profile'!K267&gt;0,2,0))</f>
        <v>2</v>
      </c>
      <c r="M72" s="20">
        <f>IF('Raw profile'!L164&gt;0,1,IF('Raw profile'!L267&gt;0,2,0))</f>
        <v>2</v>
      </c>
      <c r="N72" s="20">
        <f>IF('Raw profile'!M164&gt;0,1,IF('Raw profile'!M267&gt;0,2,0))</f>
        <v>2</v>
      </c>
      <c r="O72" s="20">
        <f>IF('Raw profile'!N164&gt;0,1,IF('Raw profile'!N267&gt;0,2,0))</f>
        <v>2</v>
      </c>
      <c r="P72" s="20">
        <f>IF('Raw profile'!O164&gt;0,1,IF('Raw profile'!O267&gt;0,2,0))</f>
        <v>2</v>
      </c>
      <c r="Q72" s="20">
        <f>IF('Raw profile'!P164&gt;0,1,IF('Raw profile'!P267&gt;0,2,0))</f>
        <v>2</v>
      </c>
      <c r="R72" s="20">
        <f>IF('Raw profile'!Q164&gt;0,1,IF('Raw profile'!Q267&gt;0,2,0))</f>
        <v>2</v>
      </c>
      <c r="S72" s="20">
        <f>IF('Raw profile'!R164&gt;0,1,IF('Raw profile'!R267&gt;0,2,0))</f>
        <v>2</v>
      </c>
      <c r="T72" s="20">
        <f>IF('Raw profile'!S164&gt;0,1,IF('Raw profile'!S267&gt;0,2,0))</f>
        <v>2</v>
      </c>
      <c r="U72" s="20">
        <f>IF('Raw profile'!T164&gt;0,1,IF('Raw profile'!T267&gt;0,2,0))</f>
        <v>2</v>
      </c>
      <c r="V72" s="20">
        <f>IF('Raw profile'!U164&gt;0,1,IF('Raw profile'!U267&gt;0,2,0))</f>
        <v>2</v>
      </c>
      <c r="W72" s="20">
        <f>IF('Raw profile'!V164&gt;0,1,IF('Raw profile'!V267&gt;0,2,0))</f>
        <v>2</v>
      </c>
      <c r="X72" s="20">
        <f>IF('Raw profile'!W164&gt;0,1,IF('Raw profile'!W267&gt;0,2,0))</f>
        <v>2</v>
      </c>
      <c r="Y72" s="20">
        <f>IF('Raw profile'!X164&gt;0,1,IF('Raw profile'!X267&gt;0,2,0))</f>
        <v>2</v>
      </c>
      <c r="Z72" s="20">
        <f>IF('Raw profile'!Y164&gt;0,1,IF('Raw profile'!Y267&gt;0,2,0))</f>
        <v>2</v>
      </c>
      <c r="AA72" s="20">
        <f>IF('Raw profile'!Z164&gt;0,1,IF('Raw profile'!Z267&gt;0,2,0))</f>
        <v>2</v>
      </c>
      <c r="AB72" s="20">
        <f>IF('Raw profile'!AA164&gt;0,1,IF('Raw profile'!AA267&gt;0,2,0))</f>
        <v>2</v>
      </c>
      <c r="AC72" s="20">
        <f>IF('Raw profile'!AB164&gt;0,1,IF('Raw profile'!AB267&gt;0,2,0))</f>
        <v>2</v>
      </c>
      <c r="AD72" s="20">
        <f>IF('Raw profile'!AC164&gt;0,1,IF('Raw profile'!AC267&gt;0,2,0))</f>
        <v>2</v>
      </c>
      <c r="AE72" s="20">
        <f>IF('Raw profile'!AD164&gt;0,1,IF('Raw profile'!AD267&gt;0,2,0))</f>
        <v>2</v>
      </c>
      <c r="AF72" s="20">
        <f>IF('Raw profile'!AE164&gt;0,1,IF('Raw profile'!AE267&gt;0,2,0))</f>
        <v>2</v>
      </c>
      <c r="AG72" s="20">
        <f>IF('Raw profile'!AF164&gt;0,1,IF('Raw profile'!AF267&gt;0,2,0))</f>
        <v>2</v>
      </c>
      <c r="AH72" s="20">
        <f>IF('Raw profile'!AG164&gt;0,1,IF('Raw profile'!AG267&gt;0,2,0))</f>
        <v>2</v>
      </c>
      <c r="AI72" s="20">
        <f>IF('Raw profile'!AH164&gt;0,1,IF('Raw profile'!AH267&gt;0,2,0))</f>
        <v>2</v>
      </c>
      <c r="AJ72" s="20">
        <f>IF('Raw profile'!AI164&gt;0,1,IF('Raw profile'!AI267&gt;0,2,0))</f>
        <v>2</v>
      </c>
      <c r="AK72" s="20">
        <f>IF('Raw profile'!AJ164&gt;0,1,IF('Raw profile'!AJ267&gt;0,2,0))</f>
        <v>2</v>
      </c>
      <c r="AL72" s="20">
        <f>IF('Raw profile'!AK164&gt;0,1,IF('Raw profile'!AK267&gt;0,2,0))</f>
        <v>2</v>
      </c>
      <c r="AM72" s="20">
        <f>IF('Raw profile'!AL164&gt;0,1,IF('Raw profile'!AL267&gt;0,2,0))</f>
        <v>2</v>
      </c>
      <c r="AN72" s="20">
        <f>IF('Raw profile'!AM164&gt;0,1,IF('Raw profile'!AM267&gt;0,2,0))</f>
        <v>2</v>
      </c>
      <c r="AO72" s="20">
        <f>IF('Raw profile'!AN164&gt;0,1,IF('Raw profile'!AN267&gt;0,2,0))</f>
        <v>2</v>
      </c>
      <c r="AP72" s="20">
        <f>IF('Raw profile'!AO164&gt;0,1,IF('Raw profile'!AO267&gt;0,2,0))</f>
        <v>2</v>
      </c>
      <c r="AQ72" s="20">
        <f>IF('Raw profile'!AP164&gt;0,1,IF('Raw profile'!AP267&gt;0,2,0))</f>
        <v>2</v>
      </c>
      <c r="AR72" s="20">
        <f>IF('Raw profile'!AQ164&gt;0,1,IF('Raw profile'!AQ267&gt;0,2,0))</f>
        <v>2</v>
      </c>
      <c r="AS72" s="20">
        <f>IF('Raw profile'!AR164&gt;0,1,IF('Raw profile'!AR267&gt;0,2,0))</f>
        <v>0</v>
      </c>
      <c r="AT72" s="20">
        <f>IF('Raw profile'!AS164&gt;0,1,IF('Raw profile'!AS267&gt;0,2,0))</f>
        <v>0</v>
      </c>
      <c r="AU72" s="20">
        <f>IF('Raw profile'!AT164&gt;0,1,IF('Raw profile'!AT267&gt;0,2,0))</f>
        <v>0</v>
      </c>
      <c r="AV72" s="20">
        <f>IF('Raw profile'!AU164&gt;0,1,IF('Raw profile'!AU267&gt;0,2,0))</f>
        <v>0</v>
      </c>
      <c r="AW72" s="20">
        <f>IF('Raw profile'!AV164&gt;0,1,IF('Raw profile'!AV267&gt;0,2,0))</f>
        <v>0</v>
      </c>
      <c r="AX72" s="20">
        <f>IF('Raw profile'!AW164&gt;0,1,IF('Raw profile'!AW267&gt;0,2,0))</f>
        <v>0</v>
      </c>
      <c r="AY72" s="20">
        <f>IF('Raw profile'!AX164&gt;0,1,IF('Raw profile'!AX267&gt;0,2,0))</f>
        <v>0</v>
      </c>
      <c r="AZ72" s="20">
        <f>IF('Raw profile'!AY164&gt;0,1,IF('Raw profile'!AY267&gt;0,2,0))</f>
        <v>0</v>
      </c>
      <c r="BA72" s="20">
        <f>IF('Raw profile'!AZ164&gt;0,1,IF('Raw profile'!AZ267&gt;0,2,0))</f>
        <v>0</v>
      </c>
      <c r="BB72" s="20">
        <f>IF('Raw profile'!BA164&gt;0,1,IF('Raw profile'!BA267&gt;0,2,0))</f>
        <v>0</v>
      </c>
      <c r="BC72" s="20">
        <f>IF('Raw profile'!BB164&gt;0,1,IF('Raw profile'!BB267&gt;0,2,0))</f>
        <v>0</v>
      </c>
      <c r="BD72" s="20">
        <f>IF('Raw profile'!BC164&gt;0,1,IF('Raw profile'!BC267&gt;0,2,0))</f>
        <v>0</v>
      </c>
      <c r="BE72" s="20">
        <f>IF('Raw profile'!BD164&gt;0,1,IF('Raw profile'!BD267&gt;0,2,0))</f>
        <v>0</v>
      </c>
      <c r="BF72" s="20">
        <f>IF('Raw profile'!BE164&gt;0,1,IF('Raw profile'!BE267&gt;0,2,0))</f>
        <v>0</v>
      </c>
      <c r="BG72" s="20">
        <f>IF('Raw profile'!BF164&gt;0,1,IF('Raw profile'!BF267&gt;0,2,0))</f>
        <v>0</v>
      </c>
      <c r="BH72" s="20">
        <f>IF('Raw profile'!BG164&gt;0,1,IF('Raw profile'!BG267&gt;0,2,0))</f>
        <v>0</v>
      </c>
      <c r="BI72" s="20">
        <f>IF('Raw profile'!BH164&gt;0,1,IF('Raw profile'!BH267&gt;0,2,0))</f>
        <v>0</v>
      </c>
      <c r="BJ72" s="20">
        <f>IF('Raw profile'!BI164&gt;0,1,IF('Raw profile'!BI267&gt;0,2,0))</f>
        <v>0</v>
      </c>
      <c r="BK72" s="21">
        <f>IF('Raw profile'!BJ164&gt;0,1,IF('Raw profile'!BJ267&gt;0,2,0))</f>
        <v>0</v>
      </c>
    </row>
    <row r="73" spans="1:63" x14ac:dyDescent="0.3">
      <c r="B73" s="13" t="s">
        <v>4</v>
      </c>
      <c r="C73" s="19">
        <f>'Growth profile'!I56</f>
        <v>2042</v>
      </c>
      <c r="D73" s="20">
        <f>IF('Growth profile'!C164&gt;0,1,IF('Growth profile'!C267&gt;0,3,0))</f>
        <v>0</v>
      </c>
      <c r="E73" s="20">
        <f>IF('Growth profile'!D164&gt;0,1,IF('Growth profile'!D267&gt;0,3,0))</f>
        <v>0</v>
      </c>
      <c r="F73" s="20">
        <f>IF('Growth profile'!E164&gt;0,1,IF('Growth profile'!E267&gt;0,3,0))</f>
        <v>0</v>
      </c>
      <c r="G73" s="20">
        <f>IF('Growth profile'!F164&gt;0,1,IF('Growth profile'!F267&gt;0,3,0))</f>
        <v>0</v>
      </c>
      <c r="H73" s="20">
        <f>IF('Growth profile'!G164&gt;0,1,IF('Growth profile'!G267&gt;0,3,0))</f>
        <v>0</v>
      </c>
      <c r="I73" s="20">
        <f>IF('Growth profile'!H164&gt;0,1,IF('Growth profile'!H267&gt;0,3,0))</f>
        <v>0</v>
      </c>
      <c r="J73" s="20">
        <f>IF('Growth profile'!I164&gt;0,1,IF('Growth profile'!I267&gt;0,3,0))</f>
        <v>0</v>
      </c>
      <c r="K73" s="20">
        <f>IF('Growth profile'!J164&gt;0,1,IF('Growth profile'!J267&gt;0,3,0))</f>
        <v>0</v>
      </c>
      <c r="L73" s="20">
        <f>IF('Growth profile'!K164&gt;0,1,IF('Growth profile'!K267&gt;0,3,0))</f>
        <v>0</v>
      </c>
      <c r="M73" s="20">
        <f>IF('Growth profile'!L164&gt;0,1,IF('Growth profile'!L267&gt;0,3,0))</f>
        <v>0</v>
      </c>
      <c r="N73" s="20">
        <f>IF('Growth profile'!M164&gt;0,1,IF('Growth profile'!M267&gt;0,3,0))</f>
        <v>0</v>
      </c>
      <c r="O73" s="20">
        <f>IF('Growth profile'!N164&gt;0,1,IF('Growth profile'!N267&gt;0,3,0))</f>
        <v>0</v>
      </c>
      <c r="P73" s="20">
        <f>IF('Growth profile'!O164&gt;0,1,IF('Growth profile'!O267&gt;0,3,0))</f>
        <v>0</v>
      </c>
      <c r="Q73" s="20">
        <f>IF('Growth profile'!P164&gt;0,1,IF('Growth profile'!P267&gt;0,3,0))</f>
        <v>0</v>
      </c>
      <c r="R73" s="20">
        <f>IF('Growth profile'!Q164&gt;0,1,IF('Growth profile'!Q267&gt;0,3,0))</f>
        <v>0</v>
      </c>
      <c r="S73" s="20">
        <f>IF('Growth profile'!R164&gt;0,1,IF('Growth profile'!R267&gt;0,3,0))</f>
        <v>0</v>
      </c>
      <c r="T73" s="20">
        <f>IF('Growth profile'!S164&gt;0,1,IF('Growth profile'!S267&gt;0,3,0))</f>
        <v>1</v>
      </c>
      <c r="U73" s="20">
        <f>IF('Growth profile'!T164&gt;0,1,IF('Growth profile'!T267&gt;0,3,0))</f>
        <v>3</v>
      </c>
      <c r="V73" s="20">
        <f>IF('Growth profile'!U164&gt;0,1,IF('Growth profile'!U267&gt;0,3,0))</f>
        <v>3</v>
      </c>
      <c r="W73" s="20">
        <f>IF('Growth profile'!V164&gt;0,1,IF('Growth profile'!V267&gt;0,3,0))</f>
        <v>3</v>
      </c>
      <c r="X73" s="20">
        <f>IF('Growth profile'!W164&gt;0,1,IF('Growth profile'!W267&gt;0,3,0))</f>
        <v>3</v>
      </c>
      <c r="Y73" s="20">
        <f>IF('Growth profile'!X164&gt;0,1,IF('Growth profile'!X267&gt;0,3,0))</f>
        <v>3</v>
      </c>
      <c r="Z73" s="20">
        <f>IF('Growth profile'!Y164&gt;0,1,IF('Growth profile'!Y267&gt;0,3,0))</f>
        <v>3</v>
      </c>
      <c r="AA73" s="20">
        <f>IF('Growth profile'!Z164&gt;0,1,IF('Growth profile'!Z267&gt;0,3,0))</f>
        <v>3</v>
      </c>
      <c r="AB73" s="20">
        <f>IF('Growth profile'!AA164&gt;0,1,IF('Growth profile'!AA267&gt;0,3,0))</f>
        <v>3</v>
      </c>
      <c r="AC73" s="20">
        <f>IF('Growth profile'!AB164&gt;0,1,IF('Growth profile'!AB267&gt;0,3,0))</f>
        <v>3</v>
      </c>
      <c r="AD73" s="20">
        <f>IF('Growth profile'!AC164&gt;0,1,IF('Growth profile'!AC267&gt;0,3,0))</f>
        <v>3</v>
      </c>
      <c r="AE73" s="20">
        <f>IF('Growth profile'!AD164&gt;0,1,IF('Growth profile'!AD267&gt;0,3,0))</f>
        <v>3</v>
      </c>
      <c r="AF73" s="20">
        <f>IF('Growth profile'!AE164&gt;0,1,IF('Growth profile'!AE267&gt;0,3,0))</f>
        <v>3</v>
      </c>
      <c r="AG73" s="20">
        <f>IF('Growth profile'!AF164&gt;0,1,IF('Growth profile'!AF267&gt;0,3,0))</f>
        <v>3</v>
      </c>
      <c r="AH73" s="20">
        <f>IF('Growth profile'!AG164&gt;0,1,IF('Growth profile'!AG267&gt;0,3,0))</f>
        <v>3</v>
      </c>
      <c r="AI73" s="20">
        <f>IF('Growth profile'!AH164&gt;0,1,IF('Growth profile'!AH267&gt;0,3,0))</f>
        <v>3</v>
      </c>
      <c r="AJ73" s="20">
        <f>IF('Growth profile'!AI164&gt;0,1,IF('Growth profile'!AI267&gt;0,3,0))</f>
        <v>3</v>
      </c>
      <c r="AK73" s="20">
        <f>IF('Growth profile'!AJ164&gt;0,1,IF('Growth profile'!AJ267&gt;0,3,0))</f>
        <v>3</v>
      </c>
      <c r="AL73" s="20">
        <f>IF('Growth profile'!AK164&gt;0,1,IF('Growth profile'!AK267&gt;0,3,0))</f>
        <v>3</v>
      </c>
      <c r="AM73" s="20">
        <f>IF('Growth profile'!AL164&gt;0,1,IF('Growth profile'!AL267&gt;0,3,0))</f>
        <v>3</v>
      </c>
      <c r="AN73" s="20">
        <f>IF('Growth profile'!AM164&gt;0,1,IF('Growth profile'!AM267&gt;0,3,0))</f>
        <v>3</v>
      </c>
      <c r="AO73" s="20">
        <f>IF('Growth profile'!AN164&gt;0,1,IF('Growth profile'!AN267&gt;0,3,0))</f>
        <v>3</v>
      </c>
      <c r="AP73" s="20">
        <f>IF('Growth profile'!AO164&gt;0,1,IF('Growth profile'!AO267&gt;0,3,0))</f>
        <v>3</v>
      </c>
      <c r="AQ73" s="20">
        <f>IF('Growth profile'!AP164&gt;0,1,IF('Growth profile'!AP267&gt;0,3,0))</f>
        <v>3</v>
      </c>
      <c r="AR73" s="20">
        <f>IF('Growth profile'!AQ164&gt;0,1,IF('Growth profile'!AQ267&gt;0,3,0))</f>
        <v>3</v>
      </c>
      <c r="AS73" s="20">
        <f>IF('Growth profile'!AR164&gt;0,1,IF('Growth profile'!AR267&gt;0,3,0))</f>
        <v>3</v>
      </c>
      <c r="AT73" s="20">
        <f>IF('Growth profile'!AS164&gt;0,1,IF('Growth profile'!AS267&gt;0,3,0))</f>
        <v>3</v>
      </c>
      <c r="AU73" s="20">
        <f>IF('Growth profile'!AT164&gt;0,1,IF('Growth profile'!AT267&gt;0,3,0))</f>
        <v>3</v>
      </c>
      <c r="AV73" s="20">
        <f>IF('Growth profile'!AU164&gt;0,1,IF('Growth profile'!AU267&gt;0,3,0))</f>
        <v>3</v>
      </c>
      <c r="AW73" s="20">
        <f>IF('Growth profile'!AV164&gt;0,1,IF('Growth profile'!AV267&gt;0,3,0))</f>
        <v>3</v>
      </c>
      <c r="AX73" s="20">
        <f>IF('Growth profile'!AW164&gt;0,1,IF('Growth profile'!AW267&gt;0,3,0))</f>
        <v>3</v>
      </c>
      <c r="AY73" s="20">
        <f>IF('Growth profile'!AX164&gt;0,1,IF('Growth profile'!AX267&gt;0,3,0))</f>
        <v>3</v>
      </c>
      <c r="AZ73" s="20">
        <f>IF('Growth profile'!AY164&gt;0,1,IF('Growth profile'!AY267&gt;0,3,0))</f>
        <v>3</v>
      </c>
      <c r="BA73" s="20">
        <f>IF('Growth profile'!AZ164&gt;0,1,IF('Growth profile'!AZ267&gt;0,3,0))</f>
        <v>3</v>
      </c>
      <c r="BB73" s="20">
        <f>IF('Growth profile'!BA164&gt;0,1,IF('Growth profile'!BA267&gt;0,3,0))</f>
        <v>3</v>
      </c>
      <c r="BC73" s="20">
        <f>IF('Growth profile'!BB164&gt;0,1,IF('Growth profile'!BB267&gt;0,3,0))</f>
        <v>3</v>
      </c>
      <c r="BD73" s="20">
        <f>IF('Growth profile'!BC164&gt;0,1,IF('Growth profile'!BC267&gt;0,3,0))</f>
        <v>3</v>
      </c>
      <c r="BE73" s="20">
        <f>IF('Growth profile'!BD164&gt;0,1,IF('Growth profile'!BD267&gt;0,3,0))</f>
        <v>3</v>
      </c>
      <c r="BF73" s="20">
        <f>IF('Growth profile'!BE164&gt;0,1,IF('Growth profile'!BE267&gt;0,3,0))</f>
        <v>3</v>
      </c>
      <c r="BG73" s="20">
        <f>IF('Growth profile'!BF164&gt;0,1,IF('Growth profile'!BF267&gt;0,3,0))</f>
        <v>3</v>
      </c>
      <c r="BH73" s="20">
        <f>IF('Growth profile'!BG164&gt;0,1,IF('Growth profile'!BG267&gt;0,3,0))</f>
        <v>3</v>
      </c>
      <c r="BI73" s="20">
        <f>IF('Growth profile'!BH164&gt;0,1,IF('Growth profile'!BH267&gt;0,3,0))</f>
        <v>0</v>
      </c>
      <c r="BJ73" s="20">
        <f>IF('Growth profile'!BI164&gt;0,1,IF('Growth profile'!BI267&gt;0,3,0))</f>
        <v>0</v>
      </c>
      <c r="BK73" s="21">
        <f>IF('Growth profile'!BJ164&gt;0,1,IF('Growth profile'!BJ267&gt;0,3,0))</f>
        <v>0</v>
      </c>
    </row>
    <row r="74" spans="1:63" x14ac:dyDescent="0.3">
      <c r="B74" s="13" t="s">
        <v>59</v>
      </c>
      <c r="C74" s="19">
        <f>'Growth (no penalty)'!I56</f>
        <v>2045</v>
      </c>
      <c r="D74" s="22">
        <f>IF('Growth (no penalty)'!C164&gt;0,1,IF('Growth (no penalty)'!C267&gt;0,4,0))</f>
        <v>0</v>
      </c>
      <c r="E74" s="22">
        <f>IF('Growth (no penalty)'!D164&gt;0,1,IF('Growth (no penalty)'!D267&gt;0,4,0))</f>
        <v>0</v>
      </c>
      <c r="F74" s="22">
        <f>IF('Growth (no penalty)'!E164&gt;0,1,IF('Growth (no penalty)'!E267&gt;0,4,0))</f>
        <v>0</v>
      </c>
      <c r="G74" s="22">
        <f>IF('Growth (no penalty)'!F164&gt;0,1,IF('Growth (no penalty)'!F267&gt;0,4,0))</f>
        <v>0</v>
      </c>
      <c r="H74" s="22">
        <f>IF('Growth (no penalty)'!G164&gt;0,1,IF('Growth (no penalty)'!G267&gt;0,4,0))</f>
        <v>0</v>
      </c>
      <c r="I74" s="22">
        <f>IF('Growth (no penalty)'!H164&gt;0,1,IF('Growth (no penalty)'!H267&gt;0,4,0))</f>
        <v>0</v>
      </c>
      <c r="J74" s="22">
        <f>IF('Growth (no penalty)'!I164&gt;0,1,IF('Growth (no penalty)'!I267&gt;0,4,0))</f>
        <v>0</v>
      </c>
      <c r="K74" s="22">
        <f>IF('Growth (no penalty)'!J164&gt;0,1,IF('Growth (no penalty)'!J267&gt;0,4,0))</f>
        <v>0</v>
      </c>
      <c r="L74" s="22">
        <f>IF('Growth (no penalty)'!K164&gt;0,1,IF('Growth (no penalty)'!K267&gt;0,4,0))</f>
        <v>0</v>
      </c>
      <c r="M74" s="22">
        <f>IF('Growth (no penalty)'!L164&gt;0,1,IF('Growth (no penalty)'!L267&gt;0,4,0))</f>
        <v>0</v>
      </c>
      <c r="N74" s="22">
        <f>IF('Growth (no penalty)'!M164&gt;0,1,IF('Growth (no penalty)'!M267&gt;0,4,0))</f>
        <v>0</v>
      </c>
      <c r="O74" s="22">
        <f>IF('Growth (no penalty)'!N164&gt;0,1,IF('Growth (no penalty)'!N267&gt;0,4,0))</f>
        <v>0</v>
      </c>
      <c r="P74" s="22">
        <f>IF('Growth (no penalty)'!O164&gt;0,1,IF('Growth (no penalty)'!O267&gt;0,4,0))</f>
        <v>0</v>
      </c>
      <c r="Q74" s="22">
        <f>IF('Growth (no penalty)'!P164&gt;0,1,IF('Growth (no penalty)'!P267&gt;0,4,0))</f>
        <v>0</v>
      </c>
      <c r="R74" s="22">
        <f>IF('Growth (no penalty)'!Q164&gt;0,1,IF('Growth (no penalty)'!Q267&gt;0,4,0))</f>
        <v>0</v>
      </c>
      <c r="S74" s="22">
        <f>IF('Growth (no penalty)'!R164&gt;0,1,IF('Growth (no penalty)'!R267&gt;0,4,0))</f>
        <v>0</v>
      </c>
      <c r="T74" s="22">
        <f>IF('Growth (no penalty)'!S164&gt;0,1,IF('Growth (no penalty)'!S267&gt;0,4,0))</f>
        <v>0</v>
      </c>
      <c r="U74" s="22">
        <f>IF('Growth (no penalty)'!T164&gt;0,1,IF('Growth (no penalty)'!T267&gt;0,4,0))</f>
        <v>0</v>
      </c>
      <c r="V74" s="22">
        <f>IF('Growth (no penalty)'!U164&gt;0,1,IF('Growth (no penalty)'!U267&gt;0,4,0))</f>
        <v>0</v>
      </c>
      <c r="W74" s="22">
        <f>IF('Growth (no penalty)'!V164&gt;0,1,IF('Growth (no penalty)'!V267&gt;0,4,0))</f>
        <v>1</v>
      </c>
      <c r="X74" s="22">
        <f>IF('Growth (no penalty)'!W164&gt;0,1,IF('Growth (no penalty)'!W267&gt;0,4,0))</f>
        <v>4</v>
      </c>
      <c r="Y74" s="22">
        <f>IF('Growth (no penalty)'!X164&gt;0,1,IF('Growth (no penalty)'!X267&gt;0,4,0))</f>
        <v>4</v>
      </c>
      <c r="Z74" s="22">
        <f>IF('Growth (no penalty)'!Y164&gt;0,1,IF('Growth (no penalty)'!Y267&gt;0,4,0))</f>
        <v>4</v>
      </c>
      <c r="AA74" s="22">
        <f>IF('Growth (no penalty)'!Z164&gt;0,1,IF('Growth (no penalty)'!Z267&gt;0,4,0))</f>
        <v>4</v>
      </c>
      <c r="AB74" s="22">
        <f>IF('Growth (no penalty)'!AA164&gt;0,1,IF('Growth (no penalty)'!AA267&gt;0,4,0))</f>
        <v>4</v>
      </c>
      <c r="AC74" s="22">
        <f>IF('Growth (no penalty)'!AB164&gt;0,1,IF('Growth (no penalty)'!AB267&gt;0,4,0))</f>
        <v>4</v>
      </c>
      <c r="AD74" s="22">
        <f>IF('Growth (no penalty)'!AC164&gt;0,1,IF('Growth (no penalty)'!AC267&gt;0,4,0))</f>
        <v>4</v>
      </c>
      <c r="AE74" s="22">
        <f>IF('Growth (no penalty)'!AD164&gt;0,1,IF('Growth (no penalty)'!AD267&gt;0,4,0))</f>
        <v>4</v>
      </c>
      <c r="AF74" s="22">
        <f>IF('Growth (no penalty)'!AE164&gt;0,1,IF('Growth (no penalty)'!AE267&gt;0,4,0))</f>
        <v>4</v>
      </c>
      <c r="AG74" s="22">
        <f>IF('Growth (no penalty)'!AF164&gt;0,1,IF('Growth (no penalty)'!AF267&gt;0,4,0))</f>
        <v>4</v>
      </c>
      <c r="AH74" s="22">
        <f>IF('Growth (no penalty)'!AG164&gt;0,1,IF('Growth (no penalty)'!AG267&gt;0,4,0))</f>
        <v>4</v>
      </c>
      <c r="AI74" s="22">
        <f>IF('Growth (no penalty)'!AH164&gt;0,1,IF('Growth (no penalty)'!AH267&gt;0,4,0))</f>
        <v>4</v>
      </c>
      <c r="AJ74" s="22">
        <f>IF('Growth (no penalty)'!AI164&gt;0,1,IF('Growth (no penalty)'!AI267&gt;0,4,0))</f>
        <v>4</v>
      </c>
      <c r="AK74" s="22">
        <f>IF('Growth (no penalty)'!AJ164&gt;0,1,IF('Growth (no penalty)'!AJ267&gt;0,4,0))</f>
        <v>4</v>
      </c>
      <c r="AL74" s="22">
        <f>IF('Growth (no penalty)'!AK164&gt;0,1,IF('Growth (no penalty)'!AK267&gt;0,4,0))</f>
        <v>4</v>
      </c>
      <c r="AM74" s="22">
        <f>IF('Growth (no penalty)'!AL164&gt;0,1,IF('Growth (no penalty)'!AL267&gt;0,4,0))</f>
        <v>4</v>
      </c>
      <c r="AN74" s="22">
        <f>IF('Growth (no penalty)'!AM164&gt;0,1,IF('Growth (no penalty)'!AM267&gt;0,4,0))</f>
        <v>4</v>
      </c>
      <c r="AO74" s="22">
        <f>IF('Growth (no penalty)'!AN164&gt;0,1,IF('Growth (no penalty)'!AN267&gt;0,4,0))</f>
        <v>4</v>
      </c>
      <c r="AP74" s="22">
        <f>IF('Growth (no penalty)'!AO164&gt;0,1,IF('Growth (no penalty)'!AO267&gt;0,4,0))</f>
        <v>4</v>
      </c>
      <c r="AQ74" s="22">
        <f>IF('Growth (no penalty)'!AP164&gt;0,1,IF('Growth (no penalty)'!AP267&gt;0,4,0))</f>
        <v>4</v>
      </c>
      <c r="AR74" s="22">
        <f>IF('Growth (no penalty)'!AQ164&gt;0,1,IF('Growth (no penalty)'!AQ267&gt;0,4,0))</f>
        <v>4</v>
      </c>
      <c r="AS74" s="22">
        <f>IF('Growth (no penalty)'!AR164&gt;0,1,IF('Growth (no penalty)'!AR267&gt;0,4,0))</f>
        <v>4</v>
      </c>
      <c r="AT74" s="22">
        <f>IF('Growth (no penalty)'!AS164&gt;0,1,IF('Growth (no penalty)'!AS267&gt;0,4,0))</f>
        <v>4</v>
      </c>
      <c r="AU74" s="22">
        <f>IF('Growth (no penalty)'!AT164&gt;0,1,IF('Growth (no penalty)'!AT267&gt;0,4,0))</f>
        <v>4</v>
      </c>
      <c r="AV74" s="22">
        <f>IF('Growth (no penalty)'!AU164&gt;0,1,IF('Growth (no penalty)'!AU267&gt;0,4,0))</f>
        <v>4</v>
      </c>
      <c r="AW74" s="22">
        <f>IF('Growth (no penalty)'!AV164&gt;0,1,IF('Growth (no penalty)'!AV267&gt;0,4,0))</f>
        <v>4</v>
      </c>
      <c r="AX74" s="22">
        <f>IF('Growth (no penalty)'!AW164&gt;0,1,IF('Growth (no penalty)'!AW267&gt;0,4,0))</f>
        <v>4</v>
      </c>
      <c r="AY74" s="22">
        <f>IF('Growth (no penalty)'!AX164&gt;0,1,IF('Growth (no penalty)'!AX267&gt;0,4,0))</f>
        <v>4</v>
      </c>
      <c r="AZ74" s="22">
        <f>IF('Growth (no penalty)'!AY164&gt;0,1,IF('Growth (no penalty)'!AY267&gt;0,4,0))</f>
        <v>4</v>
      </c>
      <c r="BA74" s="22">
        <f>IF('Growth (no penalty)'!AZ164&gt;0,1,IF('Growth (no penalty)'!AZ267&gt;0,4,0))</f>
        <v>4</v>
      </c>
      <c r="BB74" s="22">
        <f>IF('Growth (no penalty)'!BA164&gt;0,1,IF('Growth (no penalty)'!BA267&gt;0,4,0))</f>
        <v>4</v>
      </c>
      <c r="BC74" s="22">
        <f>IF('Growth (no penalty)'!BB164&gt;0,1,IF('Growth (no penalty)'!BB267&gt;0,4,0))</f>
        <v>4</v>
      </c>
      <c r="BD74" s="22">
        <f>IF('Growth (no penalty)'!BC164&gt;0,1,IF('Growth (no penalty)'!BC267&gt;0,4,0))</f>
        <v>4</v>
      </c>
      <c r="BE74" s="22">
        <f>IF('Growth (no penalty)'!BD164&gt;0,1,IF('Growth (no penalty)'!BD267&gt;0,4,0))</f>
        <v>4</v>
      </c>
      <c r="BF74" s="22">
        <f>IF('Growth (no penalty)'!BE164&gt;0,1,IF('Growth (no penalty)'!BE267&gt;0,4,0))</f>
        <v>4</v>
      </c>
      <c r="BG74" s="22">
        <f>IF('Growth (no penalty)'!BF164&gt;0,1,IF('Growth (no penalty)'!BF267&gt;0,4,0))</f>
        <v>4</v>
      </c>
      <c r="BH74" s="22">
        <f>IF('Growth (no penalty)'!BG164&gt;0,1,IF('Growth (no penalty)'!BG267&gt;0,4,0))</f>
        <v>4</v>
      </c>
      <c r="BI74" s="22">
        <f>IF('Growth (no penalty)'!BH164&gt;0,1,IF('Growth (no penalty)'!BH267&gt;0,4,0))</f>
        <v>4</v>
      </c>
      <c r="BJ74" s="22">
        <f>IF('Growth (no penalty)'!BI164&gt;0,1,IF('Growth (no penalty)'!BI267&gt;0,4,0))</f>
        <v>4</v>
      </c>
      <c r="BK74" s="23">
        <f>IF('Growth (no penalty)'!BJ164&gt;0,1,IF('Growth (no penalty)'!BJ267&gt;0,4,0))</f>
        <v>4</v>
      </c>
    </row>
    <row r="75" spans="1:63" x14ac:dyDescent="0.3">
      <c r="A75" s="4" t="str">
        <f>'Growth profile'!A64</f>
        <v>project 84</v>
      </c>
      <c r="B75" s="13" t="s">
        <v>3</v>
      </c>
      <c r="C75" s="19">
        <f>'Raw profile'!I64</f>
        <v>2026</v>
      </c>
      <c r="D75" s="20">
        <f>IF('Raw profile'!C172&gt;0,1,IF('Raw profile'!C275&gt;0,2,0))</f>
        <v>1</v>
      </c>
      <c r="E75" s="20">
        <f>IF('Raw profile'!D172&gt;0,1,IF('Raw profile'!D275&gt;0,2,0))</f>
        <v>2</v>
      </c>
      <c r="F75" s="20">
        <f>IF('Raw profile'!E172&gt;0,1,IF('Raw profile'!E275&gt;0,2,0))</f>
        <v>2</v>
      </c>
      <c r="G75" s="20">
        <f>IF('Raw profile'!F172&gt;0,1,IF('Raw profile'!F275&gt;0,2,0))</f>
        <v>2</v>
      </c>
      <c r="H75" s="20">
        <f>IF('Raw profile'!G172&gt;0,1,IF('Raw profile'!G275&gt;0,2,0))</f>
        <v>2</v>
      </c>
      <c r="I75" s="20">
        <f>IF('Raw profile'!H172&gt;0,1,IF('Raw profile'!H275&gt;0,2,0))</f>
        <v>2</v>
      </c>
      <c r="J75" s="20">
        <f>IF('Raw profile'!I172&gt;0,1,IF('Raw profile'!I275&gt;0,2,0))</f>
        <v>2</v>
      </c>
      <c r="K75" s="20">
        <f>IF('Raw profile'!J172&gt;0,1,IF('Raw profile'!J275&gt;0,2,0))</f>
        <v>2</v>
      </c>
      <c r="L75" s="20">
        <f>IF('Raw profile'!K172&gt;0,1,IF('Raw profile'!K275&gt;0,2,0))</f>
        <v>2</v>
      </c>
      <c r="M75" s="20">
        <f>IF('Raw profile'!L172&gt;0,1,IF('Raw profile'!L275&gt;0,2,0))</f>
        <v>2</v>
      </c>
      <c r="N75" s="20">
        <f>IF('Raw profile'!M172&gt;0,1,IF('Raw profile'!M275&gt;0,2,0))</f>
        <v>2</v>
      </c>
      <c r="O75" s="20">
        <f>IF('Raw profile'!N172&gt;0,1,IF('Raw profile'!N275&gt;0,2,0))</f>
        <v>2</v>
      </c>
      <c r="P75" s="20">
        <f>IF('Raw profile'!O172&gt;0,1,IF('Raw profile'!O275&gt;0,2,0))</f>
        <v>2</v>
      </c>
      <c r="Q75" s="20">
        <f>IF('Raw profile'!P172&gt;0,1,IF('Raw profile'!P275&gt;0,2,0))</f>
        <v>2</v>
      </c>
      <c r="R75" s="20">
        <f>IF('Raw profile'!Q172&gt;0,1,IF('Raw profile'!Q275&gt;0,2,0))</f>
        <v>2</v>
      </c>
      <c r="S75" s="20">
        <f>IF('Raw profile'!R172&gt;0,1,IF('Raw profile'!R275&gt;0,2,0))</f>
        <v>2</v>
      </c>
      <c r="T75" s="20">
        <f>IF('Raw profile'!S172&gt;0,1,IF('Raw profile'!S275&gt;0,2,0))</f>
        <v>2</v>
      </c>
      <c r="U75" s="20">
        <f>IF('Raw profile'!T172&gt;0,1,IF('Raw profile'!T275&gt;0,2,0))</f>
        <v>2</v>
      </c>
      <c r="V75" s="20">
        <f>IF('Raw profile'!U172&gt;0,1,IF('Raw profile'!U275&gt;0,2,0))</f>
        <v>2</v>
      </c>
      <c r="W75" s="20">
        <f>IF('Raw profile'!V172&gt;0,1,IF('Raw profile'!V275&gt;0,2,0))</f>
        <v>2</v>
      </c>
      <c r="X75" s="20">
        <f>IF('Raw profile'!W172&gt;0,1,IF('Raw profile'!W275&gt;0,2,0))</f>
        <v>2</v>
      </c>
      <c r="Y75" s="20">
        <f>IF('Raw profile'!X172&gt;0,1,IF('Raw profile'!X275&gt;0,2,0))</f>
        <v>2</v>
      </c>
      <c r="Z75" s="20">
        <f>IF('Raw profile'!Y172&gt;0,1,IF('Raw profile'!Y275&gt;0,2,0))</f>
        <v>2</v>
      </c>
      <c r="AA75" s="20">
        <f>IF('Raw profile'!Z172&gt;0,1,IF('Raw profile'!Z275&gt;0,2,0))</f>
        <v>2</v>
      </c>
      <c r="AB75" s="20">
        <f>IF('Raw profile'!AA172&gt;0,1,IF('Raw profile'!AA275&gt;0,2,0))</f>
        <v>2</v>
      </c>
      <c r="AC75" s="20">
        <f>IF('Raw profile'!AB172&gt;0,1,IF('Raw profile'!AB275&gt;0,2,0))</f>
        <v>2</v>
      </c>
      <c r="AD75" s="20">
        <f>IF('Raw profile'!AC172&gt;0,1,IF('Raw profile'!AC275&gt;0,2,0))</f>
        <v>2</v>
      </c>
      <c r="AE75" s="20">
        <f>IF('Raw profile'!AD172&gt;0,1,IF('Raw profile'!AD275&gt;0,2,0))</f>
        <v>2</v>
      </c>
      <c r="AF75" s="20">
        <f>IF('Raw profile'!AE172&gt;0,1,IF('Raw profile'!AE275&gt;0,2,0))</f>
        <v>2</v>
      </c>
      <c r="AG75" s="20">
        <f>IF('Raw profile'!AF172&gt;0,1,IF('Raw profile'!AF275&gt;0,2,0))</f>
        <v>2</v>
      </c>
      <c r="AH75" s="20">
        <f>IF('Raw profile'!AG172&gt;0,1,IF('Raw profile'!AG275&gt;0,2,0))</f>
        <v>2</v>
      </c>
      <c r="AI75" s="20">
        <f>IF('Raw profile'!AH172&gt;0,1,IF('Raw profile'!AH275&gt;0,2,0))</f>
        <v>2</v>
      </c>
      <c r="AJ75" s="20">
        <f>IF('Raw profile'!AI172&gt;0,1,IF('Raw profile'!AI275&gt;0,2,0))</f>
        <v>2</v>
      </c>
      <c r="AK75" s="20">
        <f>IF('Raw profile'!AJ172&gt;0,1,IF('Raw profile'!AJ275&gt;0,2,0))</f>
        <v>2</v>
      </c>
      <c r="AL75" s="20">
        <f>IF('Raw profile'!AK172&gt;0,1,IF('Raw profile'!AK275&gt;0,2,0))</f>
        <v>2</v>
      </c>
      <c r="AM75" s="20">
        <f>IF('Raw profile'!AL172&gt;0,1,IF('Raw profile'!AL275&gt;0,2,0))</f>
        <v>2</v>
      </c>
      <c r="AN75" s="20">
        <f>IF('Raw profile'!AM172&gt;0,1,IF('Raw profile'!AM275&gt;0,2,0))</f>
        <v>2</v>
      </c>
      <c r="AO75" s="20">
        <f>IF('Raw profile'!AN172&gt;0,1,IF('Raw profile'!AN275&gt;0,2,0))</f>
        <v>2</v>
      </c>
      <c r="AP75" s="20">
        <f>IF('Raw profile'!AO172&gt;0,1,IF('Raw profile'!AO275&gt;0,2,0))</f>
        <v>2</v>
      </c>
      <c r="AQ75" s="20">
        <f>IF('Raw profile'!AP172&gt;0,1,IF('Raw profile'!AP275&gt;0,2,0))</f>
        <v>2</v>
      </c>
      <c r="AR75" s="20">
        <f>IF('Raw profile'!AQ172&gt;0,1,IF('Raw profile'!AQ275&gt;0,2,0))</f>
        <v>2</v>
      </c>
      <c r="AS75" s="20">
        <f>IF('Raw profile'!AR172&gt;0,1,IF('Raw profile'!AR275&gt;0,2,0))</f>
        <v>0</v>
      </c>
      <c r="AT75" s="20">
        <f>IF('Raw profile'!AS172&gt;0,1,IF('Raw profile'!AS275&gt;0,2,0))</f>
        <v>0</v>
      </c>
      <c r="AU75" s="20">
        <f>IF('Raw profile'!AT172&gt;0,1,IF('Raw profile'!AT275&gt;0,2,0))</f>
        <v>0</v>
      </c>
      <c r="AV75" s="20">
        <f>IF('Raw profile'!AU172&gt;0,1,IF('Raw profile'!AU275&gt;0,2,0))</f>
        <v>0</v>
      </c>
      <c r="AW75" s="20">
        <f>IF('Raw profile'!AV172&gt;0,1,IF('Raw profile'!AV275&gt;0,2,0))</f>
        <v>0</v>
      </c>
      <c r="AX75" s="20">
        <f>IF('Raw profile'!AW172&gt;0,1,IF('Raw profile'!AW275&gt;0,2,0))</f>
        <v>0</v>
      </c>
      <c r="AY75" s="20">
        <f>IF('Raw profile'!AX172&gt;0,1,IF('Raw profile'!AX275&gt;0,2,0))</f>
        <v>0</v>
      </c>
      <c r="AZ75" s="20">
        <f>IF('Raw profile'!AY172&gt;0,1,IF('Raw profile'!AY275&gt;0,2,0))</f>
        <v>0</v>
      </c>
      <c r="BA75" s="20">
        <f>IF('Raw profile'!AZ172&gt;0,1,IF('Raw profile'!AZ275&gt;0,2,0))</f>
        <v>0</v>
      </c>
      <c r="BB75" s="20">
        <f>IF('Raw profile'!BA172&gt;0,1,IF('Raw profile'!BA275&gt;0,2,0))</f>
        <v>0</v>
      </c>
      <c r="BC75" s="20">
        <f>IF('Raw profile'!BB172&gt;0,1,IF('Raw profile'!BB275&gt;0,2,0))</f>
        <v>0</v>
      </c>
      <c r="BD75" s="20">
        <f>IF('Raw profile'!BC172&gt;0,1,IF('Raw profile'!BC275&gt;0,2,0))</f>
        <v>0</v>
      </c>
      <c r="BE75" s="20">
        <f>IF('Raw profile'!BD172&gt;0,1,IF('Raw profile'!BD275&gt;0,2,0))</f>
        <v>0</v>
      </c>
      <c r="BF75" s="20">
        <f>IF('Raw profile'!BE172&gt;0,1,IF('Raw profile'!BE275&gt;0,2,0))</f>
        <v>0</v>
      </c>
      <c r="BG75" s="20">
        <f>IF('Raw profile'!BF172&gt;0,1,IF('Raw profile'!BF275&gt;0,2,0))</f>
        <v>0</v>
      </c>
      <c r="BH75" s="20">
        <f>IF('Raw profile'!BG172&gt;0,1,IF('Raw profile'!BG275&gt;0,2,0))</f>
        <v>0</v>
      </c>
      <c r="BI75" s="20">
        <f>IF('Raw profile'!BH172&gt;0,1,IF('Raw profile'!BH275&gt;0,2,0))</f>
        <v>0</v>
      </c>
      <c r="BJ75" s="20">
        <f>IF('Raw profile'!BI172&gt;0,1,IF('Raw profile'!BI275&gt;0,2,0))</f>
        <v>0</v>
      </c>
      <c r="BK75" s="21">
        <f>IF('Raw profile'!BJ172&gt;0,1,IF('Raw profile'!BJ275&gt;0,2,0))</f>
        <v>0</v>
      </c>
    </row>
    <row r="76" spans="1:63" x14ac:dyDescent="0.3">
      <c r="B76" s="13" t="s">
        <v>4</v>
      </c>
      <c r="C76" s="19">
        <f>'Growth profile'!I64</f>
        <v>2042</v>
      </c>
      <c r="D76" s="20">
        <f>IF('Growth profile'!C172&gt;0,1,IF('Growth profile'!C275&gt;0,3,0))</f>
        <v>0</v>
      </c>
      <c r="E76" s="20">
        <f>IF('Growth profile'!D172&gt;0,1,IF('Growth profile'!D275&gt;0,3,0))</f>
        <v>0</v>
      </c>
      <c r="F76" s="20">
        <f>IF('Growth profile'!E172&gt;0,1,IF('Growth profile'!E275&gt;0,3,0))</f>
        <v>0</v>
      </c>
      <c r="G76" s="20">
        <f>IF('Growth profile'!F172&gt;0,1,IF('Growth profile'!F275&gt;0,3,0))</f>
        <v>0</v>
      </c>
      <c r="H76" s="20">
        <f>IF('Growth profile'!G172&gt;0,1,IF('Growth profile'!G275&gt;0,3,0))</f>
        <v>0</v>
      </c>
      <c r="I76" s="20">
        <f>IF('Growth profile'!H172&gt;0,1,IF('Growth profile'!H275&gt;0,3,0))</f>
        <v>0</v>
      </c>
      <c r="J76" s="20">
        <f>IF('Growth profile'!I172&gt;0,1,IF('Growth profile'!I275&gt;0,3,0))</f>
        <v>0</v>
      </c>
      <c r="K76" s="20">
        <f>IF('Growth profile'!J172&gt;0,1,IF('Growth profile'!J275&gt;0,3,0))</f>
        <v>0</v>
      </c>
      <c r="L76" s="20">
        <f>IF('Growth profile'!K172&gt;0,1,IF('Growth profile'!K275&gt;0,3,0))</f>
        <v>0</v>
      </c>
      <c r="M76" s="20">
        <f>IF('Growth profile'!L172&gt;0,1,IF('Growth profile'!L275&gt;0,3,0))</f>
        <v>0</v>
      </c>
      <c r="N76" s="20">
        <f>IF('Growth profile'!M172&gt;0,1,IF('Growth profile'!M275&gt;0,3,0))</f>
        <v>0</v>
      </c>
      <c r="O76" s="20">
        <f>IF('Growth profile'!N172&gt;0,1,IF('Growth profile'!N275&gt;0,3,0))</f>
        <v>0</v>
      </c>
      <c r="P76" s="20">
        <f>IF('Growth profile'!O172&gt;0,1,IF('Growth profile'!O275&gt;0,3,0))</f>
        <v>0</v>
      </c>
      <c r="Q76" s="20">
        <f>IF('Growth profile'!P172&gt;0,1,IF('Growth profile'!P275&gt;0,3,0))</f>
        <v>0</v>
      </c>
      <c r="R76" s="20">
        <f>IF('Growth profile'!Q172&gt;0,1,IF('Growth profile'!Q275&gt;0,3,0))</f>
        <v>0</v>
      </c>
      <c r="S76" s="20">
        <f>IF('Growth profile'!R172&gt;0,1,IF('Growth profile'!R275&gt;0,3,0))</f>
        <v>0</v>
      </c>
      <c r="T76" s="20">
        <f>IF('Growth profile'!S172&gt;0,1,IF('Growth profile'!S275&gt;0,3,0))</f>
        <v>1</v>
      </c>
      <c r="U76" s="20">
        <f>IF('Growth profile'!T172&gt;0,1,IF('Growth profile'!T275&gt;0,3,0))</f>
        <v>3</v>
      </c>
      <c r="V76" s="20">
        <f>IF('Growth profile'!U172&gt;0,1,IF('Growth profile'!U275&gt;0,3,0))</f>
        <v>3</v>
      </c>
      <c r="W76" s="20">
        <f>IF('Growth profile'!V172&gt;0,1,IF('Growth profile'!V275&gt;0,3,0))</f>
        <v>3</v>
      </c>
      <c r="X76" s="20">
        <f>IF('Growth profile'!W172&gt;0,1,IF('Growth profile'!W275&gt;0,3,0))</f>
        <v>3</v>
      </c>
      <c r="Y76" s="20">
        <f>IF('Growth profile'!X172&gt;0,1,IF('Growth profile'!X275&gt;0,3,0))</f>
        <v>3</v>
      </c>
      <c r="Z76" s="20">
        <f>IF('Growth profile'!Y172&gt;0,1,IF('Growth profile'!Y275&gt;0,3,0))</f>
        <v>3</v>
      </c>
      <c r="AA76" s="20">
        <f>IF('Growth profile'!Z172&gt;0,1,IF('Growth profile'!Z275&gt;0,3,0))</f>
        <v>3</v>
      </c>
      <c r="AB76" s="20">
        <f>IF('Growth profile'!AA172&gt;0,1,IF('Growth profile'!AA275&gt;0,3,0))</f>
        <v>3</v>
      </c>
      <c r="AC76" s="20">
        <f>IF('Growth profile'!AB172&gt;0,1,IF('Growth profile'!AB275&gt;0,3,0))</f>
        <v>3</v>
      </c>
      <c r="AD76" s="20">
        <f>IF('Growth profile'!AC172&gt;0,1,IF('Growth profile'!AC275&gt;0,3,0))</f>
        <v>3</v>
      </c>
      <c r="AE76" s="20">
        <f>IF('Growth profile'!AD172&gt;0,1,IF('Growth profile'!AD275&gt;0,3,0))</f>
        <v>3</v>
      </c>
      <c r="AF76" s="20">
        <f>IF('Growth profile'!AE172&gt;0,1,IF('Growth profile'!AE275&gt;0,3,0))</f>
        <v>3</v>
      </c>
      <c r="AG76" s="20">
        <f>IF('Growth profile'!AF172&gt;0,1,IF('Growth profile'!AF275&gt;0,3,0))</f>
        <v>3</v>
      </c>
      <c r="AH76" s="20">
        <f>IF('Growth profile'!AG172&gt;0,1,IF('Growth profile'!AG275&gt;0,3,0))</f>
        <v>3</v>
      </c>
      <c r="AI76" s="20">
        <f>IF('Growth profile'!AH172&gt;0,1,IF('Growth profile'!AH275&gt;0,3,0))</f>
        <v>3</v>
      </c>
      <c r="AJ76" s="20">
        <f>IF('Growth profile'!AI172&gt;0,1,IF('Growth profile'!AI275&gt;0,3,0))</f>
        <v>3</v>
      </c>
      <c r="AK76" s="20">
        <f>IF('Growth profile'!AJ172&gt;0,1,IF('Growth profile'!AJ275&gt;0,3,0))</f>
        <v>3</v>
      </c>
      <c r="AL76" s="20">
        <f>IF('Growth profile'!AK172&gt;0,1,IF('Growth profile'!AK275&gt;0,3,0))</f>
        <v>3</v>
      </c>
      <c r="AM76" s="20">
        <f>IF('Growth profile'!AL172&gt;0,1,IF('Growth profile'!AL275&gt;0,3,0))</f>
        <v>3</v>
      </c>
      <c r="AN76" s="20">
        <f>IF('Growth profile'!AM172&gt;0,1,IF('Growth profile'!AM275&gt;0,3,0))</f>
        <v>3</v>
      </c>
      <c r="AO76" s="20">
        <f>IF('Growth profile'!AN172&gt;0,1,IF('Growth profile'!AN275&gt;0,3,0))</f>
        <v>3</v>
      </c>
      <c r="AP76" s="20">
        <f>IF('Growth profile'!AO172&gt;0,1,IF('Growth profile'!AO275&gt;0,3,0))</f>
        <v>3</v>
      </c>
      <c r="AQ76" s="20">
        <f>IF('Growth profile'!AP172&gt;0,1,IF('Growth profile'!AP275&gt;0,3,0))</f>
        <v>3</v>
      </c>
      <c r="AR76" s="20">
        <f>IF('Growth profile'!AQ172&gt;0,1,IF('Growth profile'!AQ275&gt;0,3,0))</f>
        <v>3</v>
      </c>
      <c r="AS76" s="20">
        <f>IF('Growth profile'!AR172&gt;0,1,IF('Growth profile'!AR275&gt;0,3,0))</f>
        <v>3</v>
      </c>
      <c r="AT76" s="20">
        <f>IF('Growth profile'!AS172&gt;0,1,IF('Growth profile'!AS275&gt;0,3,0))</f>
        <v>3</v>
      </c>
      <c r="AU76" s="20">
        <f>IF('Growth profile'!AT172&gt;0,1,IF('Growth profile'!AT275&gt;0,3,0))</f>
        <v>3</v>
      </c>
      <c r="AV76" s="20">
        <f>IF('Growth profile'!AU172&gt;0,1,IF('Growth profile'!AU275&gt;0,3,0))</f>
        <v>3</v>
      </c>
      <c r="AW76" s="20">
        <f>IF('Growth profile'!AV172&gt;0,1,IF('Growth profile'!AV275&gt;0,3,0))</f>
        <v>3</v>
      </c>
      <c r="AX76" s="20">
        <f>IF('Growth profile'!AW172&gt;0,1,IF('Growth profile'!AW275&gt;0,3,0))</f>
        <v>3</v>
      </c>
      <c r="AY76" s="20">
        <f>IF('Growth profile'!AX172&gt;0,1,IF('Growth profile'!AX275&gt;0,3,0))</f>
        <v>3</v>
      </c>
      <c r="AZ76" s="20">
        <f>IF('Growth profile'!AY172&gt;0,1,IF('Growth profile'!AY275&gt;0,3,0))</f>
        <v>3</v>
      </c>
      <c r="BA76" s="20">
        <f>IF('Growth profile'!AZ172&gt;0,1,IF('Growth profile'!AZ275&gt;0,3,0))</f>
        <v>3</v>
      </c>
      <c r="BB76" s="20">
        <f>IF('Growth profile'!BA172&gt;0,1,IF('Growth profile'!BA275&gt;0,3,0))</f>
        <v>3</v>
      </c>
      <c r="BC76" s="20">
        <f>IF('Growth profile'!BB172&gt;0,1,IF('Growth profile'!BB275&gt;0,3,0))</f>
        <v>3</v>
      </c>
      <c r="BD76" s="20">
        <f>IF('Growth profile'!BC172&gt;0,1,IF('Growth profile'!BC275&gt;0,3,0))</f>
        <v>3</v>
      </c>
      <c r="BE76" s="20">
        <f>IF('Growth profile'!BD172&gt;0,1,IF('Growth profile'!BD275&gt;0,3,0))</f>
        <v>3</v>
      </c>
      <c r="BF76" s="20">
        <f>IF('Growth profile'!BE172&gt;0,1,IF('Growth profile'!BE275&gt;0,3,0))</f>
        <v>3</v>
      </c>
      <c r="BG76" s="20">
        <f>IF('Growth profile'!BF172&gt;0,1,IF('Growth profile'!BF275&gt;0,3,0))</f>
        <v>3</v>
      </c>
      <c r="BH76" s="20">
        <f>IF('Growth profile'!BG172&gt;0,1,IF('Growth profile'!BG275&gt;0,3,0))</f>
        <v>3</v>
      </c>
      <c r="BI76" s="20">
        <f>IF('Growth profile'!BH172&gt;0,1,IF('Growth profile'!BH275&gt;0,3,0))</f>
        <v>0</v>
      </c>
      <c r="BJ76" s="20">
        <f>IF('Growth profile'!BI172&gt;0,1,IF('Growth profile'!BI275&gt;0,3,0))</f>
        <v>0</v>
      </c>
      <c r="BK76" s="21">
        <f>IF('Growth profile'!BJ172&gt;0,1,IF('Growth profile'!BJ275&gt;0,3,0))</f>
        <v>0</v>
      </c>
    </row>
    <row r="77" spans="1:63" x14ac:dyDescent="0.3">
      <c r="B77" s="13" t="s">
        <v>59</v>
      </c>
      <c r="C77" s="19">
        <f>'Growth (no penalty)'!I64</f>
        <v>2045</v>
      </c>
      <c r="D77" s="22">
        <f>IF('Growth (no penalty)'!C172&gt;0,1,IF('Growth (no penalty)'!C275&gt;0,4,0))</f>
        <v>0</v>
      </c>
      <c r="E77" s="22">
        <f>IF('Growth (no penalty)'!D172&gt;0,1,IF('Growth (no penalty)'!D275&gt;0,4,0))</f>
        <v>0</v>
      </c>
      <c r="F77" s="22">
        <f>IF('Growth (no penalty)'!E172&gt;0,1,IF('Growth (no penalty)'!E275&gt;0,4,0))</f>
        <v>0</v>
      </c>
      <c r="G77" s="22">
        <f>IF('Growth (no penalty)'!F172&gt;0,1,IF('Growth (no penalty)'!F275&gt;0,4,0))</f>
        <v>0</v>
      </c>
      <c r="H77" s="22">
        <f>IF('Growth (no penalty)'!G172&gt;0,1,IF('Growth (no penalty)'!G275&gt;0,4,0))</f>
        <v>0</v>
      </c>
      <c r="I77" s="22">
        <f>IF('Growth (no penalty)'!H172&gt;0,1,IF('Growth (no penalty)'!H275&gt;0,4,0))</f>
        <v>0</v>
      </c>
      <c r="J77" s="22">
        <f>IF('Growth (no penalty)'!I172&gt;0,1,IF('Growth (no penalty)'!I275&gt;0,4,0))</f>
        <v>0</v>
      </c>
      <c r="K77" s="22">
        <f>IF('Growth (no penalty)'!J172&gt;0,1,IF('Growth (no penalty)'!J275&gt;0,4,0))</f>
        <v>0</v>
      </c>
      <c r="L77" s="22">
        <f>IF('Growth (no penalty)'!K172&gt;0,1,IF('Growth (no penalty)'!K275&gt;0,4,0))</f>
        <v>0</v>
      </c>
      <c r="M77" s="22">
        <f>IF('Growth (no penalty)'!L172&gt;0,1,IF('Growth (no penalty)'!L275&gt;0,4,0))</f>
        <v>0</v>
      </c>
      <c r="N77" s="22">
        <f>IF('Growth (no penalty)'!M172&gt;0,1,IF('Growth (no penalty)'!M275&gt;0,4,0))</f>
        <v>0</v>
      </c>
      <c r="O77" s="22">
        <f>IF('Growth (no penalty)'!N172&gt;0,1,IF('Growth (no penalty)'!N275&gt;0,4,0))</f>
        <v>0</v>
      </c>
      <c r="P77" s="22">
        <f>IF('Growth (no penalty)'!O172&gt;0,1,IF('Growth (no penalty)'!O275&gt;0,4,0))</f>
        <v>0</v>
      </c>
      <c r="Q77" s="22">
        <f>IF('Growth (no penalty)'!P172&gt;0,1,IF('Growth (no penalty)'!P275&gt;0,4,0))</f>
        <v>0</v>
      </c>
      <c r="R77" s="22">
        <f>IF('Growth (no penalty)'!Q172&gt;0,1,IF('Growth (no penalty)'!Q275&gt;0,4,0))</f>
        <v>0</v>
      </c>
      <c r="S77" s="22">
        <f>IF('Growth (no penalty)'!R172&gt;0,1,IF('Growth (no penalty)'!R275&gt;0,4,0))</f>
        <v>0</v>
      </c>
      <c r="T77" s="22">
        <f>IF('Growth (no penalty)'!S172&gt;0,1,IF('Growth (no penalty)'!S275&gt;0,4,0))</f>
        <v>0</v>
      </c>
      <c r="U77" s="22">
        <f>IF('Growth (no penalty)'!T172&gt;0,1,IF('Growth (no penalty)'!T275&gt;0,4,0))</f>
        <v>0</v>
      </c>
      <c r="V77" s="22">
        <f>IF('Growth (no penalty)'!U172&gt;0,1,IF('Growth (no penalty)'!U275&gt;0,4,0))</f>
        <v>0</v>
      </c>
      <c r="W77" s="22">
        <f>IF('Growth (no penalty)'!V172&gt;0,1,IF('Growth (no penalty)'!V275&gt;0,4,0))</f>
        <v>1</v>
      </c>
      <c r="X77" s="22">
        <f>IF('Growth (no penalty)'!W172&gt;0,1,IF('Growth (no penalty)'!W275&gt;0,4,0))</f>
        <v>4</v>
      </c>
      <c r="Y77" s="22">
        <f>IF('Growth (no penalty)'!X172&gt;0,1,IF('Growth (no penalty)'!X275&gt;0,4,0))</f>
        <v>4</v>
      </c>
      <c r="Z77" s="22">
        <f>IF('Growth (no penalty)'!Y172&gt;0,1,IF('Growth (no penalty)'!Y275&gt;0,4,0))</f>
        <v>4</v>
      </c>
      <c r="AA77" s="22">
        <f>IF('Growth (no penalty)'!Z172&gt;0,1,IF('Growth (no penalty)'!Z275&gt;0,4,0))</f>
        <v>4</v>
      </c>
      <c r="AB77" s="22">
        <f>IF('Growth (no penalty)'!AA172&gt;0,1,IF('Growth (no penalty)'!AA275&gt;0,4,0))</f>
        <v>4</v>
      </c>
      <c r="AC77" s="22">
        <f>IF('Growth (no penalty)'!AB172&gt;0,1,IF('Growth (no penalty)'!AB275&gt;0,4,0))</f>
        <v>4</v>
      </c>
      <c r="AD77" s="22">
        <f>IF('Growth (no penalty)'!AC172&gt;0,1,IF('Growth (no penalty)'!AC275&gt;0,4,0))</f>
        <v>4</v>
      </c>
      <c r="AE77" s="22">
        <f>IF('Growth (no penalty)'!AD172&gt;0,1,IF('Growth (no penalty)'!AD275&gt;0,4,0))</f>
        <v>4</v>
      </c>
      <c r="AF77" s="22">
        <f>IF('Growth (no penalty)'!AE172&gt;0,1,IF('Growth (no penalty)'!AE275&gt;0,4,0))</f>
        <v>4</v>
      </c>
      <c r="AG77" s="22">
        <f>IF('Growth (no penalty)'!AF172&gt;0,1,IF('Growth (no penalty)'!AF275&gt;0,4,0))</f>
        <v>4</v>
      </c>
      <c r="AH77" s="22">
        <f>IF('Growth (no penalty)'!AG172&gt;0,1,IF('Growth (no penalty)'!AG275&gt;0,4,0))</f>
        <v>4</v>
      </c>
      <c r="AI77" s="22">
        <f>IF('Growth (no penalty)'!AH172&gt;0,1,IF('Growth (no penalty)'!AH275&gt;0,4,0))</f>
        <v>4</v>
      </c>
      <c r="AJ77" s="22">
        <f>IF('Growth (no penalty)'!AI172&gt;0,1,IF('Growth (no penalty)'!AI275&gt;0,4,0))</f>
        <v>4</v>
      </c>
      <c r="AK77" s="22">
        <f>IF('Growth (no penalty)'!AJ172&gt;0,1,IF('Growth (no penalty)'!AJ275&gt;0,4,0))</f>
        <v>4</v>
      </c>
      <c r="AL77" s="22">
        <f>IF('Growth (no penalty)'!AK172&gt;0,1,IF('Growth (no penalty)'!AK275&gt;0,4,0))</f>
        <v>4</v>
      </c>
      <c r="AM77" s="22">
        <f>IF('Growth (no penalty)'!AL172&gt;0,1,IF('Growth (no penalty)'!AL275&gt;0,4,0))</f>
        <v>4</v>
      </c>
      <c r="AN77" s="22">
        <f>IF('Growth (no penalty)'!AM172&gt;0,1,IF('Growth (no penalty)'!AM275&gt;0,4,0))</f>
        <v>4</v>
      </c>
      <c r="AO77" s="22">
        <f>IF('Growth (no penalty)'!AN172&gt;0,1,IF('Growth (no penalty)'!AN275&gt;0,4,0))</f>
        <v>4</v>
      </c>
      <c r="AP77" s="22">
        <f>IF('Growth (no penalty)'!AO172&gt;0,1,IF('Growth (no penalty)'!AO275&gt;0,4,0))</f>
        <v>4</v>
      </c>
      <c r="AQ77" s="22">
        <f>IF('Growth (no penalty)'!AP172&gt;0,1,IF('Growth (no penalty)'!AP275&gt;0,4,0))</f>
        <v>4</v>
      </c>
      <c r="AR77" s="22">
        <f>IF('Growth (no penalty)'!AQ172&gt;0,1,IF('Growth (no penalty)'!AQ275&gt;0,4,0))</f>
        <v>4</v>
      </c>
      <c r="AS77" s="22">
        <f>IF('Growth (no penalty)'!AR172&gt;0,1,IF('Growth (no penalty)'!AR275&gt;0,4,0))</f>
        <v>4</v>
      </c>
      <c r="AT77" s="22">
        <f>IF('Growth (no penalty)'!AS172&gt;0,1,IF('Growth (no penalty)'!AS275&gt;0,4,0))</f>
        <v>4</v>
      </c>
      <c r="AU77" s="22">
        <f>IF('Growth (no penalty)'!AT172&gt;0,1,IF('Growth (no penalty)'!AT275&gt;0,4,0))</f>
        <v>4</v>
      </c>
      <c r="AV77" s="22">
        <f>IF('Growth (no penalty)'!AU172&gt;0,1,IF('Growth (no penalty)'!AU275&gt;0,4,0))</f>
        <v>4</v>
      </c>
      <c r="AW77" s="22">
        <f>IF('Growth (no penalty)'!AV172&gt;0,1,IF('Growth (no penalty)'!AV275&gt;0,4,0))</f>
        <v>4</v>
      </c>
      <c r="AX77" s="22">
        <f>IF('Growth (no penalty)'!AW172&gt;0,1,IF('Growth (no penalty)'!AW275&gt;0,4,0))</f>
        <v>4</v>
      </c>
      <c r="AY77" s="22">
        <f>IF('Growth (no penalty)'!AX172&gt;0,1,IF('Growth (no penalty)'!AX275&gt;0,4,0))</f>
        <v>4</v>
      </c>
      <c r="AZ77" s="22">
        <f>IF('Growth (no penalty)'!AY172&gt;0,1,IF('Growth (no penalty)'!AY275&gt;0,4,0))</f>
        <v>4</v>
      </c>
      <c r="BA77" s="22">
        <f>IF('Growth (no penalty)'!AZ172&gt;0,1,IF('Growth (no penalty)'!AZ275&gt;0,4,0))</f>
        <v>4</v>
      </c>
      <c r="BB77" s="22">
        <f>IF('Growth (no penalty)'!BA172&gt;0,1,IF('Growth (no penalty)'!BA275&gt;0,4,0))</f>
        <v>4</v>
      </c>
      <c r="BC77" s="22">
        <f>IF('Growth (no penalty)'!BB172&gt;0,1,IF('Growth (no penalty)'!BB275&gt;0,4,0))</f>
        <v>4</v>
      </c>
      <c r="BD77" s="22">
        <f>IF('Growth (no penalty)'!BC172&gt;0,1,IF('Growth (no penalty)'!BC275&gt;0,4,0))</f>
        <v>4</v>
      </c>
      <c r="BE77" s="22">
        <f>IF('Growth (no penalty)'!BD172&gt;0,1,IF('Growth (no penalty)'!BD275&gt;0,4,0))</f>
        <v>4</v>
      </c>
      <c r="BF77" s="22">
        <f>IF('Growth (no penalty)'!BE172&gt;0,1,IF('Growth (no penalty)'!BE275&gt;0,4,0))</f>
        <v>4</v>
      </c>
      <c r="BG77" s="22">
        <f>IF('Growth (no penalty)'!BF172&gt;0,1,IF('Growth (no penalty)'!BF275&gt;0,4,0))</f>
        <v>4</v>
      </c>
      <c r="BH77" s="22">
        <f>IF('Growth (no penalty)'!BG172&gt;0,1,IF('Growth (no penalty)'!BG275&gt;0,4,0))</f>
        <v>4</v>
      </c>
      <c r="BI77" s="22">
        <f>IF('Growth (no penalty)'!BH172&gt;0,1,IF('Growth (no penalty)'!BH275&gt;0,4,0))</f>
        <v>4</v>
      </c>
      <c r="BJ77" s="22">
        <f>IF('Growth (no penalty)'!BI172&gt;0,1,IF('Growth (no penalty)'!BI275&gt;0,4,0))</f>
        <v>4</v>
      </c>
      <c r="BK77" s="23">
        <f>IF('Growth (no penalty)'!BJ172&gt;0,1,IF('Growth (no penalty)'!BJ275&gt;0,4,0))</f>
        <v>4</v>
      </c>
    </row>
    <row r="78" spans="1:63" x14ac:dyDescent="0.3">
      <c r="A78" s="4" t="str">
        <f>'Growth profile'!A83</f>
        <v>project 125</v>
      </c>
      <c r="B78" s="13" t="s">
        <v>3</v>
      </c>
      <c r="C78" s="19">
        <f>'Raw profile'!I83</f>
        <v>2026</v>
      </c>
      <c r="D78" s="20">
        <f>IF('Raw profile'!C191&gt;0,1,IF('Raw profile'!C294&gt;0,2,0))</f>
        <v>1</v>
      </c>
      <c r="E78" s="20">
        <f>IF('Raw profile'!D191&gt;0,1,IF('Raw profile'!D294&gt;0,2,0))</f>
        <v>1</v>
      </c>
      <c r="F78" s="20">
        <f>IF('Raw profile'!E191&gt;0,1,IF('Raw profile'!E294&gt;0,2,0))</f>
        <v>2</v>
      </c>
      <c r="G78" s="20">
        <f>IF('Raw profile'!F191&gt;0,1,IF('Raw profile'!F294&gt;0,2,0))</f>
        <v>2</v>
      </c>
      <c r="H78" s="20">
        <f>IF('Raw profile'!G191&gt;0,1,IF('Raw profile'!G294&gt;0,2,0))</f>
        <v>2</v>
      </c>
      <c r="I78" s="20">
        <f>IF('Raw profile'!H191&gt;0,1,IF('Raw profile'!H294&gt;0,2,0))</f>
        <v>2</v>
      </c>
      <c r="J78" s="20">
        <f>IF('Raw profile'!I191&gt;0,1,IF('Raw profile'!I294&gt;0,2,0))</f>
        <v>2</v>
      </c>
      <c r="K78" s="20">
        <f>IF('Raw profile'!J191&gt;0,1,IF('Raw profile'!J294&gt;0,2,0))</f>
        <v>2</v>
      </c>
      <c r="L78" s="20">
        <f>IF('Raw profile'!K191&gt;0,1,IF('Raw profile'!K294&gt;0,2,0))</f>
        <v>2</v>
      </c>
      <c r="M78" s="20">
        <f>IF('Raw profile'!L191&gt;0,1,IF('Raw profile'!L294&gt;0,2,0))</f>
        <v>2</v>
      </c>
      <c r="N78" s="20">
        <f>IF('Raw profile'!M191&gt;0,1,IF('Raw profile'!M294&gt;0,2,0))</f>
        <v>2</v>
      </c>
      <c r="O78" s="20">
        <f>IF('Raw profile'!N191&gt;0,1,IF('Raw profile'!N294&gt;0,2,0))</f>
        <v>2</v>
      </c>
      <c r="P78" s="20">
        <f>IF('Raw profile'!O191&gt;0,1,IF('Raw profile'!O294&gt;0,2,0))</f>
        <v>2</v>
      </c>
      <c r="Q78" s="20">
        <f>IF('Raw profile'!P191&gt;0,1,IF('Raw profile'!P294&gt;0,2,0))</f>
        <v>2</v>
      </c>
      <c r="R78" s="20">
        <f>IF('Raw profile'!Q191&gt;0,1,IF('Raw profile'!Q294&gt;0,2,0))</f>
        <v>2</v>
      </c>
      <c r="S78" s="20">
        <f>IF('Raw profile'!R191&gt;0,1,IF('Raw profile'!R294&gt;0,2,0))</f>
        <v>2</v>
      </c>
      <c r="T78" s="20">
        <f>IF('Raw profile'!S191&gt;0,1,IF('Raw profile'!S294&gt;0,2,0))</f>
        <v>2</v>
      </c>
      <c r="U78" s="20">
        <f>IF('Raw profile'!T191&gt;0,1,IF('Raw profile'!T294&gt;0,2,0))</f>
        <v>2</v>
      </c>
      <c r="V78" s="20">
        <f>IF('Raw profile'!U191&gt;0,1,IF('Raw profile'!U294&gt;0,2,0))</f>
        <v>2</v>
      </c>
      <c r="W78" s="20">
        <f>IF('Raw profile'!V191&gt;0,1,IF('Raw profile'!V294&gt;0,2,0))</f>
        <v>2</v>
      </c>
      <c r="X78" s="20">
        <f>IF('Raw profile'!W191&gt;0,1,IF('Raw profile'!W294&gt;0,2,0))</f>
        <v>2</v>
      </c>
      <c r="Y78" s="20">
        <f>IF('Raw profile'!X191&gt;0,1,IF('Raw profile'!X294&gt;0,2,0))</f>
        <v>2</v>
      </c>
      <c r="Z78" s="20">
        <f>IF('Raw profile'!Y191&gt;0,1,IF('Raw profile'!Y294&gt;0,2,0))</f>
        <v>2</v>
      </c>
      <c r="AA78" s="20">
        <f>IF('Raw profile'!Z191&gt;0,1,IF('Raw profile'!Z294&gt;0,2,0))</f>
        <v>2</v>
      </c>
      <c r="AB78" s="20">
        <f>IF('Raw profile'!AA191&gt;0,1,IF('Raw profile'!AA294&gt;0,2,0))</f>
        <v>2</v>
      </c>
      <c r="AC78" s="20">
        <f>IF('Raw profile'!AB191&gt;0,1,IF('Raw profile'!AB294&gt;0,2,0))</f>
        <v>2</v>
      </c>
      <c r="AD78" s="20">
        <f>IF('Raw profile'!AC191&gt;0,1,IF('Raw profile'!AC294&gt;0,2,0))</f>
        <v>2</v>
      </c>
      <c r="AE78" s="20">
        <f>IF('Raw profile'!AD191&gt;0,1,IF('Raw profile'!AD294&gt;0,2,0))</f>
        <v>2</v>
      </c>
      <c r="AF78" s="20">
        <f>IF('Raw profile'!AE191&gt;0,1,IF('Raw profile'!AE294&gt;0,2,0))</f>
        <v>2</v>
      </c>
      <c r="AG78" s="20">
        <f>IF('Raw profile'!AF191&gt;0,1,IF('Raw profile'!AF294&gt;0,2,0))</f>
        <v>2</v>
      </c>
      <c r="AH78" s="20">
        <f>IF('Raw profile'!AG191&gt;0,1,IF('Raw profile'!AG294&gt;0,2,0))</f>
        <v>2</v>
      </c>
      <c r="AI78" s="20">
        <f>IF('Raw profile'!AH191&gt;0,1,IF('Raw profile'!AH294&gt;0,2,0))</f>
        <v>2</v>
      </c>
      <c r="AJ78" s="20">
        <f>IF('Raw profile'!AI191&gt;0,1,IF('Raw profile'!AI294&gt;0,2,0))</f>
        <v>2</v>
      </c>
      <c r="AK78" s="20">
        <f>IF('Raw profile'!AJ191&gt;0,1,IF('Raw profile'!AJ294&gt;0,2,0))</f>
        <v>2</v>
      </c>
      <c r="AL78" s="20">
        <f>IF('Raw profile'!AK191&gt;0,1,IF('Raw profile'!AK294&gt;0,2,0))</f>
        <v>2</v>
      </c>
      <c r="AM78" s="20">
        <f>IF('Raw profile'!AL191&gt;0,1,IF('Raw profile'!AL294&gt;0,2,0))</f>
        <v>2</v>
      </c>
      <c r="AN78" s="20">
        <f>IF('Raw profile'!AM191&gt;0,1,IF('Raw profile'!AM294&gt;0,2,0))</f>
        <v>2</v>
      </c>
      <c r="AO78" s="20">
        <f>IF('Raw profile'!AN191&gt;0,1,IF('Raw profile'!AN294&gt;0,2,0))</f>
        <v>2</v>
      </c>
      <c r="AP78" s="20">
        <f>IF('Raw profile'!AO191&gt;0,1,IF('Raw profile'!AO294&gt;0,2,0))</f>
        <v>2</v>
      </c>
      <c r="AQ78" s="20">
        <f>IF('Raw profile'!AP191&gt;0,1,IF('Raw profile'!AP294&gt;0,2,0))</f>
        <v>2</v>
      </c>
      <c r="AR78" s="20">
        <f>IF('Raw profile'!AQ191&gt;0,1,IF('Raw profile'!AQ294&gt;0,2,0))</f>
        <v>2</v>
      </c>
      <c r="AS78" s="20">
        <f>IF('Raw profile'!AR191&gt;0,1,IF('Raw profile'!AR294&gt;0,2,0))</f>
        <v>2</v>
      </c>
      <c r="AT78" s="20">
        <f>IF('Raw profile'!AS191&gt;0,1,IF('Raw profile'!AS294&gt;0,2,0))</f>
        <v>0</v>
      </c>
      <c r="AU78" s="20">
        <f>IF('Raw profile'!AT191&gt;0,1,IF('Raw profile'!AT294&gt;0,2,0))</f>
        <v>0</v>
      </c>
      <c r="AV78" s="20">
        <f>IF('Raw profile'!AU191&gt;0,1,IF('Raw profile'!AU294&gt;0,2,0))</f>
        <v>0</v>
      </c>
      <c r="AW78" s="20">
        <f>IF('Raw profile'!AV191&gt;0,1,IF('Raw profile'!AV294&gt;0,2,0))</f>
        <v>0</v>
      </c>
      <c r="AX78" s="20">
        <f>IF('Raw profile'!AW191&gt;0,1,IF('Raw profile'!AW294&gt;0,2,0))</f>
        <v>0</v>
      </c>
      <c r="AY78" s="20">
        <f>IF('Raw profile'!AX191&gt;0,1,IF('Raw profile'!AX294&gt;0,2,0))</f>
        <v>0</v>
      </c>
      <c r="AZ78" s="20">
        <f>IF('Raw profile'!AY191&gt;0,1,IF('Raw profile'!AY294&gt;0,2,0))</f>
        <v>0</v>
      </c>
      <c r="BA78" s="20">
        <f>IF('Raw profile'!AZ191&gt;0,1,IF('Raw profile'!AZ294&gt;0,2,0))</f>
        <v>0</v>
      </c>
      <c r="BB78" s="20">
        <f>IF('Raw profile'!BA191&gt;0,1,IF('Raw profile'!BA294&gt;0,2,0))</f>
        <v>0</v>
      </c>
      <c r="BC78" s="20">
        <f>IF('Raw profile'!BB191&gt;0,1,IF('Raw profile'!BB294&gt;0,2,0))</f>
        <v>0</v>
      </c>
      <c r="BD78" s="20">
        <f>IF('Raw profile'!BC191&gt;0,1,IF('Raw profile'!BC294&gt;0,2,0))</f>
        <v>0</v>
      </c>
      <c r="BE78" s="20">
        <f>IF('Raw profile'!BD191&gt;0,1,IF('Raw profile'!BD294&gt;0,2,0))</f>
        <v>0</v>
      </c>
      <c r="BF78" s="20">
        <f>IF('Raw profile'!BE191&gt;0,1,IF('Raw profile'!BE294&gt;0,2,0))</f>
        <v>0</v>
      </c>
      <c r="BG78" s="20">
        <f>IF('Raw profile'!BF191&gt;0,1,IF('Raw profile'!BF294&gt;0,2,0))</f>
        <v>0</v>
      </c>
      <c r="BH78" s="20">
        <f>IF('Raw profile'!BG191&gt;0,1,IF('Raw profile'!BG294&gt;0,2,0))</f>
        <v>0</v>
      </c>
      <c r="BI78" s="20">
        <f>IF('Raw profile'!BH191&gt;0,1,IF('Raw profile'!BH294&gt;0,2,0))</f>
        <v>0</v>
      </c>
      <c r="BJ78" s="20">
        <f>IF('Raw profile'!BI191&gt;0,1,IF('Raw profile'!BI294&gt;0,2,0))</f>
        <v>0</v>
      </c>
      <c r="BK78" s="21">
        <f>IF('Raw profile'!BJ191&gt;0,1,IF('Raw profile'!BJ294&gt;0,2,0))</f>
        <v>0</v>
      </c>
    </row>
    <row r="79" spans="1:63" x14ac:dyDescent="0.3">
      <c r="B79" s="13" t="s">
        <v>4</v>
      </c>
      <c r="C79" s="19">
        <f>'Growth profile'!I83</f>
        <v>2042</v>
      </c>
      <c r="D79" s="20">
        <f>IF('Growth profile'!C191&gt;0,1,IF('Growth profile'!C294&gt;0,3,0))</f>
        <v>0</v>
      </c>
      <c r="E79" s="20">
        <f>IF('Growth profile'!D191&gt;0,1,IF('Growth profile'!D294&gt;0,3,0))</f>
        <v>0</v>
      </c>
      <c r="F79" s="20">
        <f>IF('Growth profile'!E191&gt;0,1,IF('Growth profile'!E294&gt;0,3,0))</f>
        <v>0</v>
      </c>
      <c r="G79" s="20">
        <f>IF('Growth profile'!F191&gt;0,1,IF('Growth profile'!F294&gt;0,3,0))</f>
        <v>0</v>
      </c>
      <c r="H79" s="20">
        <f>IF('Growth profile'!G191&gt;0,1,IF('Growth profile'!G294&gt;0,3,0))</f>
        <v>0</v>
      </c>
      <c r="I79" s="20">
        <f>IF('Growth profile'!H191&gt;0,1,IF('Growth profile'!H294&gt;0,3,0))</f>
        <v>0</v>
      </c>
      <c r="J79" s="20">
        <f>IF('Growth profile'!I191&gt;0,1,IF('Growth profile'!I294&gt;0,3,0))</f>
        <v>0</v>
      </c>
      <c r="K79" s="20">
        <f>IF('Growth profile'!J191&gt;0,1,IF('Growth profile'!J294&gt;0,3,0))</f>
        <v>0</v>
      </c>
      <c r="L79" s="20">
        <f>IF('Growth profile'!K191&gt;0,1,IF('Growth profile'!K294&gt;0,3,0))</f>
        <v>0</v>
      </c>
      <c r="M79" s="20">
        <f>IF('Growth profile'!L191&gt;0,1,IF('Growth profile'!L294&gt;0,3,0))</f>
        <v>0</v>
      </c>
      <c r="N79" s="20">
        <f>IF('Growth profile'!M191&gt;0,1,IF('Growth profile'!M294&gt;0,3,0))</f>
        <v>0</v>
      </c>
      <c r="O79" s="20">
        <f>IF('Growth profile'!N191&gt;0,1,IF('Growth profile'!N294&gt;0,3,0))</f>
        <v>0</v>
      </c>
      <c r="P79" s="20">
        <f>IF('Growth profile'!O191&gt;0,1,IF('Growth profile'!O294&gt;0,3,0))</f>
        <v>0</v>
      </c>
      <c r="Q79" s="20">
        <f>IF('Growth profile'!P191&gt;0,1,IF('Growth profile'!P294&gt;0,3,0))</f>
        <v>0</v>
      </c>
      <c r="R79" s="20">
        <f>IF('Growth profile'!Q191&gt;0,1,IF('Growth profile'!Q294&gt;0,3,0))</f>
        <v>0</v>
      </c>
      <c r="S79" s="20">
        <f>IF('Growth profile'!R191&gt;0,1,IF('Growth profile'!R294&gt;0,3,0))</f>
        <v>0</v>
      </c>
      <c r="T79" s="20">
        <f>IF('Growth profile'!S191&gt;0,1,IF('Growth profile'!S294&gt;0,3,0))</f>
        <v>1</v>
      </c>
      <c r="U79" s="20">
        <f>IF('Growth profile'!T191&gt;0,1,IF('Growth profile'!T294&gt;0,3,0))</f>
        <v>1</v>
      </c>
      <c r="V79" s="20">
        <f>IF('Growth profile'!U191&gt;0,1,IF('Growth profile'!U294&gt;0,3,0))</f>
        <v>3</v>
      </c>
      <c r="W79" s="20">
        <f>IF('Growth profile'!V191&gt;0,1,IF('Growth profile'!V294&gt;0,3,0))</f>
        <v>3</v>
      </c>
      <c r="X79" s="20">
        <f>IF('Growth profile'!W191&gt;0,1,IF('Growth profile'!W294&gt;0,3,0))</f>
        <v>3</v>
      </c>
      <c r="Y79" s="20">
        <f>IF('Growth profile'!X191&gt;0,1,IF('Growth profile'!X294&gt;0,3,0))</f>
        <v>3</v>
      </c>
      <c r="Z79" s="20">
        <f>IF('Growth profile'!Y191&gt;0,1,IF('Growth profile'!Y294&gt;0,3,0))</f>
        <v>3</v>
      </c>
      <c r="AA79" s="20">
        <f>IF('Growth profile'!Z191&gt;0,1,IF('Growth profile'!Z294&gt;0,3,0))</f>
        <v>3</v>
      </c>
      <c r="AB79" s="20">
        <f>IF('Growth profile'!AA191&gt;0,1,IF('Growth profile'!AA294&gt;0,3,0))</f>
        <v>3</v>
      </c>
      <c r="AC79" s="20">
        <f>IF('Growth profile'!AB191&gt;0,1,IF('Growth profile'!AB294&gt;0,3,0))</f>
        <v>3</v>
      </c>
      <c r="AD79" s="20">
        <f>IF('Growth profile'!AC191&gt;0,1,IF('Growth profile'!AC294&gt;0,3,0))</f>
        <v>3</v>
      </c>
      <c r="AE79" s="20">
        <f>IF('Growth profile'!AD191&gt;0,1,IF('Growth profile'!AD294&gt;0,3,0))</f>
        <v>3</v>
      </c>
      <c r="AF79" s="20">
        <f>IF('Growth profile'!AE191&gt;0,1,IF('Growth profile'!AE294&gt;0,3,0))</f>
        <v>3</v>
      </c>
      <c r="AG79" s="20">
        <f>IF('Growth profile'!AF191&gt;0,1,IF('Growth profile'!AF294&gt;0,3,0))</f>
        <v>3</v>
      </c>
      <c r="AH79" s="20">
        <f>IF('Growth profile'!AG191&gt;0,1,IF('Growth profile'!AG294&gt;0,3,0))</f>
        <v>3</v>
      </c>
      <c r="AI79" s="20">
        <f>IF('Growth profile'!AH191&gt;0,1,IF('Growth profile'!AH294&gt;0,3,0))</f>
        <v>3</v>
      </c>
      <c r="AJ79" s="20">
        <f>IF('Growth profile'!AI191&gt;0,1,IF('Growth profile'!AI294&gt;0,3,0))</f>
        <v>3</v>
      </c>
      <c r="AK79" s="20">
        <f>IF('Growth profile'!AJ191&gt;0,1,IF('Growth profile'!AJ294&gt;0,3,0))</f>
        <v>3</v>
      </c>
      <c r="AL79" s="20">
        <f>IF('Growth profile'!AK191&gt;0,1,IF('Growth profile'!AK294&gt;0,3,0))</f>
        <v>3</v>
      </c>
      <c r="AM79" s="20">
        <f>IF('Growth profile'!AL191&gt;0,1,IF('Growth profile'!AL294&gt;0,3,0))</f>
        <v>3</v>
      </c>
      <c r="AN79" s="20">
        <f>IF('Growth profile'!AM191&gt;0,1,IF('Growth profile'!AM294&gt;0,3,0))</f>
        <v>3</v>
      </c>
      <c r="AO79" s="20">
        <f>IF('Growth profile'!AN191&gt;0,1,IF('Growth profile'!AN294&gt;0,3,0))</f>
        <v>3</v>
      </c>
      <c r="AP79" s="20">
        <f>IF('Growth profile'!AO191&gt;0,1,IF('Growth profile'!AO294&gt;0,3,0))</f>
        <v>3</v>
      </c>
      <c r="AQ79" s="20">
        <f>IF('Growth profile'!AP191&gt;0,1,IF('Growth profile'!AP294&gt;0,3,0))</f>
        <v>3</v>
      </c>
      <c r="AR79" s="20">
        <f>IF('Growth profile'!AQ191&gt;0,1,IF('Growth profile'!AQ294&gt;0,3,0))</f>
        <v>3</v>
      </c>
      <c r="AS79" s="20">
        <f>IF('Growth profile'!AR191&gt;0,1,IF('Growth profile'!AR294&gt;0,3,0))</f>
        <v>3</v>
      </c>
      <c r="AT79" s="20">
        <f>IF('Growth profile'!AS191&gt;0,1,IF('Growth profile'!AS294&gt;0,3,0))</f>
        <v>3</v>
      </c>
      <c r="AU79" s="20">
        <f>IF('Growth profile'!AT191&gt;0,1,IF('Growth profile'!AT294&gt;0,3,0))</f>
        <v>3</v>
      </c>
      <c r="AV79" s="20">
        <f>IF('Growth profile'!AU191&gt;0,1,IF('Growth profile'!AU294&gt;0,3,0))</f>
        <v>3</v>
      </c>
      <c r="AW79" s="20">
        <f>IF('Growth profile'!AV191&gt;0,1,IF('Growth profile'!AV294&gt;0,3,0))</f>
        <v>3</v>
      </c>
      <c r="AX79" s="20">
        <f>IF('Growth profile'!AW191&gt;0,1,IF('Growth profile'!AW294&gt;0,3,0))</f>
        <v>3</v>
      </c>
      <c r="AY79" s="20">
        <f>IF('Growth profile'!AX191&gt;0,1,IF('Growth profile'!AX294&gt;0,3,0))</f>
        <v>3</v>
      </c>
      <c r="AZ79" s="20">
        <f>IF('Growth profile'!AY191&gt;0,1,IF('Growth profile'!AY294&gt;0,3,0))</f>
        <v>3</v>
      </c>
      <c r="BA79" s="20">
        <f>IF('Growth profile'!AZ191&gt;0,1,IF('Growth profile'!AZ294&gt;0,3,0))</f>
        <v>3</v>
      </c>
      <c r="BB79" s="20">
        <f>IF('Growth profile'!BA191&gt;0,1,IF('Growth profile'!BA294&gt;0,3,0))</f>
        <v>3</v>
      </c>
      <c r="BC79" s="20">
        <f>IF('Growth profile'!BB191&gt;0,1,IF('Growth profile'!BB294&gt;0,3,0))</f>
        <v>3</v>
      </c>
      <c r="BD79" s="20">
        <f>IF('Growth profile'!BC191&gt;0,1,IF('Growth profile'!BC294&gt;0,3,0))</f>
        <v>3</v>
      </c>
      <c r="BE79" s="20">
        <f>IF('Growth profile'!BD191&gt;0,1,IF('Growth profile'!BD294&gt;0,3,0))</f>
        <v>3</v>
      </c>
      <c r="BF79" s="20">
        <f>IF('Growth profile'!BE191&gt;0,1,IF('Growth profile'!BE294&gt;0,3,0))</f>
        <v>3</v>
      </c>
      <c r="BG79" s="20">
        <f>IF('Growth profile'!BF191&gt;0,1,IF('Growth profile'!BF294&gt;0,3,0))</f>
        <v>3</v>
      </c>
      <c r="BH79" s="20">
        <f>IF('Growth profile'!BG191&gt;0,1,IF('Growth profile'!BG294&gt;0,3,0))</f>
        <v>3</v>
      </c>
      <c r="BI79" s="20">
        <f>IF('Growth profile'!BH191&gt;0,1,IF('Growth profile'!BH294&gt;0,3,0))</f>
        <v>3</v>
      </c>
      <c r="BJ79" s="20">
        <f>IF('Growth profile'!BI191&gt;0,1,IF('Growth profile'!BI294&gt;0,3,0))</f>
        <v>0</v>
      </c>
      <c r="BK79" s="21">
        <f>IF('Growth profile'!BJ191&gt;0,1,IF('Growth profile'!BJ294&gt;0,3,0))</f>
        <v>0</v>
      </c>
    </row>
    <row r="80" spans="1:63" x14ac:dyDescent="0.3">
      <c r="B80" s="13" t="s">
        <v>59</v>
      </c>
      <c r="C80" s="19">
        <f>'Growth (no penalty)'!I83</f>
        <v>2044</v>
      </c>
      <c r="D80" s="22">
        <f>IF('Growth (no penalty)'!C191&gt;0,1,IF('Growth (no penalty)'!C294&gt;0,4,0))</f>
        <v>0</v>
      </c>
      <c r="E80" s="22">
        <f>IF('Growth (no penalty)'!D191&gt;0,1,IF('Growth (no penalty)'!D294&gt;0,4,0))</f>
        <v>0</v>
      </c>
      <c r="F80" s="22">
        <f>IF('Growth (no penalty)'!E191&gt;0,1,IF('Growth (no penalty)'!E294&gt;0,4,0))</f>
        <v>0</v>
      </c>
      <c r="G80" s="22">
        <f>IF('Growth (no penalty)'!F191&gt;0,1,IF('Growth (no penalty)'!F294&gt;0,4,0))</f>
        <v>0</v>
      </c>
      <c r="H80" s="22">
        <f>IF('Growth (no penalty)'!G191&gt;0,1,IF('Growth (no penalty)'!G294&gt;0,4,0))</f>
        <v>0</v>
      </c>
      <c r="I80" s="22">
        <f>IF('Growth (no penalty)'!H191&gt;0,1,IF('Growth (no penalty)'!H294&gt;0,4,0))</f>
        <v>0</v>
      </c>
      <c r="J80" s="22">
        <f>IF('Growth (no penalty)'!I191&gt;0,1,IF('Growth (no penalty)'!I294&gt;0,4,0))</f>
        <v>0</v>
      </c>
      <c r="K80" s="22">
        <f>IF('Growth (no penalty)'!J191&gt;0,1,IF('Growth (no penalty)'!J294&gt;0,4,0))</f>
        <v>0</v>
      </c>
      <c r="L80" s="22">
        <f>IF('Growth (no penalty)'!K191&gt;0,1,IF('Growth (no penalty)'!K294&gt;0,4,0))</f>
        <v>0</v>
      </c>
      <c r="M80" s="22">
        <f>IF('Growth (no penalty)'!L191&gt;0,1,IF('Growth (no penalty)'!L294&gt;0,4,0))</f>
        <v>0</v>
      </c>
      <c r="N80" s="22">
        <f>IF('Growth (no penalty)'!M191&gt;0,1,IF('Growth (no penalty)'!M294&gt;0,4,0))</f>
        <v>0</v>
      </c>
      <c r="O80" s="22">
        <f>IF('Growth (no penalty)'!N191&gt;0,1,IF('Growth (no penalty)'!N294&gt;0,4,0))</f>
        <v>0</v>
      </c>
      <c r="P80" s="22">
        <f>IF('Growth (no penalty)'!O191&gt;0,1,IF('Growth (no penalty)'!O294&gt;0,4,0))</f>
        <v>0</v>
      </c>
      <c r="Q80" s="22">
        <f>IF('Growth (no penalty)'!P191&gt;0,1,IF('Growth (no penalty)'!P294&gt;0,4,0))</f>
        <v>0</v>
      </c>
      <c r="R80" s="22">
        <f>IF('Growth (no penalty)'!Q191&gt;0,1,IF('Growth (no penalty)'!Q294&gt;0,4,0))</f>
        <v>0</v>
      </c>
      <c r="S80" s="22">
        <f>IF('Growth (no penalty)'!R191&gt;0,1,IF('Growth (no penalty)'!R294&gt;0,4,0))</f>
        <v>0</v>
      </c>
      <c r="T80" s="22">
        <f>IF('Growth (no penalty)'!S191&gt;0,1,IF('Growth (no penalty)'!S294&gt;0,4,0))</f>
        <v>0</v>
      </c>
      <c r="U80" s="22">
        <f>IF('Growth (no penalty)'!T191&gt;0,1,IF('Growth (no penalty)'!T294&gt;0,4,0))</f>
        <v>0</v>
      </c>
      <c r="V80" s="22">
        <f>IF('Growth (no penalty)'!U191&gt;0,1,IF('Growth (no penalty)'!U294&gt;0,4,0))</f>
        <v>1</v>
      </c>
      <c r="W80" s="22">
        <f>IF('Growth (no penalty)'!V191&gt;0,1,IF('Growth (no penalty)'!V294&gt;0,4,0))</f>
        <v>1</v>
      </c>
      <c r="X80" s="22">
        <f>IF('Growth (no penalty)'!W191&gt;0,1,IF('Growth (no penalty)'!W294&gt;0,4,0))</f>
        <v>4</v>
      </c>
      <c r="Y80" s="22">
        <f>IF('Growth (no penalty)'!X191&gt;0,1,IF('Growth (no penalty)'!X294&gt;0,4,0))</f>
        <v>4</v>
      </c>
      <c r="Z80" s="22">
        <f>IF('Growth (no penalty)'!Y191&gt;0,1,IF('Growth (no penalty)'!Y294&gt;0,4,0))</f>
        <v>4</v>
      </c>
      <c r="AA80" s="22">
        <f>IF('Growth (no penalty)'!Z191&gt;0,1,IF('Growth (no penalty)'!Z294&gt;0,4,0))</f>
        <v>4</v>
      </c>
      <c r="AB80" s="22">
        <f>IF('Growth (no penalty)'!AA191&gt;0,1,IF('Growth (no penalty)'!AA294&gt;0,4,0))</f>
        <v>4</v>
      </c>
      <c r="AC80" s="22">
        <f>IF('Growth (no penalty)'!AB191&gt;0,1,IF('Growth (no penalty)'!AB294&gt;0,4,0))</f>
        <v>4</v>
      </c>
      <c r="AD80" s="22">
        <f>IF('Growth (no penalty)'!AC191&gt;0,1,IF('Growth (no penalty)'!AC294&gt;0,4,0))</f>
        <v>4</v>
      </c>
      <c r="AE80" s="22">
        <f>IF('Growth (no penalty)'!AD191&gt;0,1,IF('Growth (no penalty)'!AD294&gt;0,4,0))</f>
        <v>4</v>
      </c>
      <c r="AF80" s="22">
        <f>IF('Growth (no penalty)'!AE191&gt;0,1,IF('Growth (no penalty)'!AE294&gt;0,4,0))</f>
        <v>4</v>
      </c>
      <c r="AG80" s="22">
        <f>IF('Growth (no penalty)'!AF191&gt;0,1,IF('Growth (no penalty)'!AF294&gt;0,4,0))</f>
        <v>4</v>
      </c>
      <c r="AH80" s="22">
        <f>IF('Growth (no penalty)'!AG191&gt;0,1,IF('Growth (no penalty)'!AG294&gt;0,4,0))</f>
        <v>4</v>
      </c>
      <c r="AI80" s="22">
        <f>IF('Growth (no penalty)'!AH191&gt;0,1,IF('Growth (no penalty)'!AH294&gt;0,4,0))</f>
        <v>4</v>
      </c>
      <c r="AJ80" s="22">
        <f>IF('Growth (no penalty)'!AI191&gt;0,1,IF('Growth (no penalty)'!AI294&gt;0,4,0))</f>
        <v>4</v>
      </c>
      <c r="AK80" s="22">
        <f>IF('Growth (no penalty)'!AJ191&gt;0,1,IF('Growth (no penalty)'!AJ294&gt;0,4,0))</f>
        <v>4</v>
      </c>
      <c r="AL80" s="22">
        <f>IF('Growth (no penalty)'!AK191&gt;0,1,IF('Growth (no penalty)'!AK294&gt;0,4,0))</f>
        <v>4</v>
      </c>
      <c r="AM80" s="22">
        <f>IF('Growth (no penalty)'!AL191&gt;0,1,IF('Growth (no penalty)'!AL294&gt;0,4,0))</f>
        <v>4</v>
      </c>
      <c r="AN80" s="22">
        <f>IF('Growth (no penalty)'!AM191&gt;0,1,IF('Growth (no penalty)'!AM294&gt;0,4,0))</f>
        <v>4</v>
      </c>
      <c r="AO80" s="22">
        <f>IF('Growth (no penalty)'!AN191&gt;0,1,IF('Growth (no penalty)'!AN294&gt;0,4,0))</f>
        <v>4</v>
      </c>
      <c r="AP80" s="22">
        <f>IF('Growth (no penalty)'!AO191&gt;0,1,IF('Growth (no penalty)'!AO294&gt;0,4,0))</f>
        <v>4</v>
      </c>
      <c r="AQ80" s="22">
        <f>IF('Growth (no penalty)'!AP191&gt;0,1,IF('Growth (no penalty)'!AP294&gt;0,4,0))</f>
        <v>4</v>
      </c>
      <c r="AR80" s="22">
        <f>IF('Growth (no penalty)'!AQ191&gt;0,1,IF('Growth (no penalty)'!AQ294&gt;0,4,0))</f>
        <v>4</v>
      </c>
      <c r="AS80" s="22">
        <f>IF('Growth (no penalty)'!AR191&gt;0,1,IF('Growth (no penalty)'!AR294&gt;0,4,0))</f>
        <v>4</v>
      </c>
      <c r="AT80" s="22">
        <f>IF('Growth (no penalty)'!AS191&gt;0,1,IF('Growth (no penalty)'!AS294&gt;0,4,0))</f>
        <v>4</v>
      </c>
      <c r="AU80" s="22">
        <f>IF('Growth (no penalty)'!AT191&gt;0,1,IF('Growth (no penalty)'!AT294&gt;0,4,0))</f>
        <v>4</v>
      </c>
      <c r="AV80" s="22">
        <f>IF('Growth (no penalty)'!AU191&gt;0,1,IF('Growth (no penalty)'!AU294&gt;0,4,0))</f>
        <v>4</v>
      </c>
      <c r="AW80" s="22">
        <f>IF('Growth (no penalty)'!AV191&gt;0,1,IF('Growth (no penalty)'!AV294&gt;0,4,0))</f>
        <v>4</v>
      </c>
      <c r="AX80" s="22">
        <f>IF('Growth (no penalty)'!AW191&gt;0,1,IF('Growth (no penalty)'!AW294&gt;0,4,0))</f>
        <v>4</v>
      </c>
      <c r="AY80" s="22">
        <f>IF('Growth (no penalty)'!AX191&gt;0,1,IF('Growth (no penalty)'!AX294&gt;0,4,0))</f>
        <v>4</v>
      </c>
      <c r="AZ80" s="22">
        <f>IF('Growth (no penalty)'!AY191&gt;0,1,IF('Growth (no penalty)'!AY294&gt;0,4,0))</f>
        <v>4</v>
      </c>
      <c r="BA80" s="22">
        <f>IF('Growth (no penalty)'!AZ191&gt;0,1,IF('Growth (no penalty)'!AZ294&gt;0,4,0))</f>
        <v>4</v>
      </c>
      <c r="BB80" s="22">
        <f>IF('Growth (no penalty)'!BA191&gt;0,1,IF('Growth (no penalty)'!BA294&gt;0,4,0))</f>
        <v>4</v>
      </c>
      <c r="BC80" s="22">
        <f>IF('Growth (no penalty)'!BB191&gt;0,1,IF('Growth (no penalty)'!BB294&gt;0,4,0))</f>
        <v>4</v>
      </c>
      <c r="BD80" s="22">
        <f>IF('Growth (no penalty)'!BC191&gt;0,1,IF('Growth (no penalty)'!BC294&gt;0,4,0))</f>
        <v>4</v>
      </c>
      <c r="BE80" s="22">
        <f>IF('Growth (no penalty)'!BD191&gt;0,1,IF('Growth (no penalty)'!BD294&gt;0,4,0))</f>
        <v>4</v>
      </c>
      <c r="BF80" s="22">
        <f>IF('Growth (no penalty)'!BE191&gt;0,1,IF('Growth (no penalty)'!BE294&gt;0,4,0))</f>
        <v>4</v>
      </c>
      <c r="BG80" s="22">
        <f>IF('Growth (no penalty)'!BF191&gt;0,1,IF('Growth (no penalty)'!BF294&gt;0,4,0))</f>
        <v>4</v>
      </c>
      <c r="BH80" s="22">
        <f>IF('Growth (no penalty)'!BG191&gt;0,1,IF('Growth (no penalty)'!BG294&gt;0,4,0))</f>
        <v>4</v>
      </c>
      <c r="BI80" s="22">
        <f>IF('Growth (no penalty)'!BH191&gt;0,1,IF('Growth (no penalty)'!BH294&gt;0,4,0))</f>
        <v>4</v>
      </c>
      <c r="BJ80" s="22">
        <f>IF('Growth (no penalty)'!BI191&gt;0,1,IF('Growth (no penalty)'!BI294&gt;0,4,0))</f>
        <v>4</v>
      </c>
      <c r="BK80" s="23">
        <f>IF('Growth (no penalty)'!BJ191&gt;0,1,IF('Growth (no penalty)'!BJ294&gt;0,4,0))</f>
        <v>4</v>
      </c>
    </row>
    <row r="81" spans="1:63" x14ac:dyDescent="0.3">
      <c r="A81" s="4" t="str">
        <f>'Growth profile'!A41</f>
        <v>project 33</v>
      </c>
      <c r="B81" s="13" t="s">
        <v>3</v>
      </c>
      <c r="C81" s="19">
        <f>'Raw profile'!I41</f>
        <v>2026</v>
      </c>
      <c r="D81" s="20">
        <f>IF('Raw profile'!C149&gt;0,1,IF('Raw profile'!C252&gt;0,2,0))</f>
        <v>1</v>
      </c>
      <c r="E81" s="20">
        <f>IF('Raw profile'!D149&gt;0,1,IF('Raw profile'!D252&gt;0,2,0))</f>
        <v>1</v>
      </c>
      <c r="F81" s="20">
        <f>IF('Raw profile'!E149&gt;0,1,IF('Raw profile'!E252&gt;0,2,0))</f>
        <v>2</v>
      </c>
      <c r="G81" s="20">
        <f>IF('Raw profile'!F149&gt;0,1,IF('Raw profile'!F252&gt;0,2,0))</f>
        <v>2</v>
      </c>
      <c r="H81" s="20">
        <f>IF('Raw profile'!G149&gt;0,1,IF('Raw profile'!G252&gt;0,2,0))</f>
        <v>2</v>
      </c>
      <c r="I81" s="20">
        <f>IF('Raw profile'!H149&gt;0,1,IF('Raw profile'!H252&gt;0,2,0))</f>
        <v>2</v>
      </c>
      <c r="J81" s="20">
        <f>IF('Raw profile'!I149&gt;0,1,IF('Raw profile'!I252&gt;0,2,0))</f>
        <v>2</v>
      </c>
      <c r="K81" s="20">
        <f>IF('Raw profile'!J149&gt;0,1,IF('Raw profile'!J252&gt;0,2,0))</f>
        <v>2</v>
      </c>
      <c r="L81" s="20">
        <f>IF('Raw profile'!K149&gt;0,1,IF('Raw profile'!K252&gt;0,2,0))</f>
        <v>2</v>
      </c>
      <c r="M81" s="20">
        <f>IF('Raw profile'!L149&gt;0,1,IF('Raw profile'!L252&gt;0,2,0))</f>
        <v>2</v>
      </c>
      <c r="N81" s="20">
        <f>IF('Raw profile'!M149&gt;0,1,IF('Raw profile'!M252&gt;0,2,0))</f>
        <v>2</v>
      </c>
      <c r="O81" s="20">
        <f>IF('Raw profile'!N149&gt;0,1,IF('Raw profile'!N252&gt;0,2,0))</f>
        <v>2</v>
      </c>
      <c r="P81" s="20">
        <f>IF('Raw profile'!O149&gt;0,1,IF('Raw profile'!O252&gt;0,2,0))</f>
        <v>2</v>
      </c>
      <c r="Q81" s="20">
        <f>IF('Raw profile'!P149&gt;0,1,IF('Raw profile'!P252&gt;0,2,0))</f>
        <v>2</v>
      </c>
      <c r="R81" s="20">
        <f>IF('Raw profile'!Q149&gt;0,1,IF('Raw profile'!Q252&gt;0,2,0))</f>
        <v>2</v>
      </c>
      <c r="S81" s="20">
        <f>IF('Raw profile'!R149&gt;0,1,IF('Raw profile'!R252&gt;0,2,0))</f>
        <v>2</v>
      </c>
      <c r="T81" s="20">
        <f>IF('Raw profile'!S149&gt;0,1,IF('Raw profile'!S252&gt;0,2,0))</f>
        <v>2</v>
      </c>
      <c r="U81" s="20">
        <f>IF('Raw profile'!T149&gt;0,1,IF('Raw profile'!T252&gt;0,2,0))</f>
        <v>2</v>
      </c>
      <c r="V81" s="20">
        <f>IF('Raw profile'!U149&gt;0,1,IF('Raw profile'!U252&gt;0,2,0))</f>
        <v>2</v>
      </c>
      <c r="W81" s="20">
        <f>IF('Raw profile'!V149&gt;0,1,IF('Raw profile'!V252&gt;0,2,0))</f>
        <v>2</v>
      </c>
      <c r="X81" s="20">
        <f>IF('Raw profile'!W149&gt;0,1,IF('Raw profile'!W252&gt;0,2,0))</f>
        <v>2</v>
      </c>
      <c r="Y81" s="20">
        <f>IF('Raw profile'!X149&gt;0,1,IF('Raw profile'!X252&gt;0,2,0))</f>
        <v>2</v>
      </c>
      <c r="Z81" s="20">
        <f>IF('Raw profile'!Y149&gt;0,1,IF('Raw profile'!Y252&gt;0,2,0))</f>
        <v>2</v>
      </c>
      <c r="AA81" s="20">
        <f>IF('Raw profile'!Z149&gt;0,1,IF('Raw profile'!Z252&gt;0,2,0))</f>
        <v>2</v>
      </c>
      <c r="AB81" s="20">
        <f>IF('Raw profile'!AA149&gt;0,1,IF('Raw profile'!AA252&gt;0,2,0))</f>
        <v>2</v>
      </c>
      <c r="AC81" s="20">
        <f>IF('Raw profile'!AB149&gt;0,1,IF('Raw profile'!AB252&gt;0,2,0))</f>
        <v>2</v>
      </c>
      <c r="AD81" s="20">
        <f>IF('Raw profile'!AC149&gt;0,1,IF('Raw profile'!AC252&gt;0,2,0))</f>
        <v>2</v>
      </c>
      <c r="AE81" s="20">
        <f>IF('Raw profile'!AD149&gt;0,1,IF('Raw profile'!AD252&gt;0,2,0))</f>
        <v>2</v>
      </c>
      <c r="AF81" s="20">
        <f>IF('Raw profile'!AE149&gt;0,1,IF('Raw profile'!AE252&gt;0,2,0))</f>
        <v>2</v>
      </c>
      <c r="AG81" s="20">
        <f>IF('Raw profile'!AF149&gt;0,1,IF('Raw profile'!AF252&gt;0,2,0))</f>
        <v>2</v>
      </c>
      <c r="AH81" s="20">
        <f>IF('Raw profile'!AG149&gt;0,1,IF('Raw profile'!AG252&gt;0,2,0))</f>
        <v>2</v>
      </c>
      <c r="AI81" s="20">
        <f>IF('Raw profile'!AH149&gt;0,1,IF('Raw profile'!AH252&gt;0,2,0))</f>
        <v>2</v>
      </c>
      <c r="AJ81" s="20">
        <f>IF('Raw profile'!AI149&gt;0,1,IF('Raw profile'!AI252&gt;0,2,0))</f>
        <v>2</v>
      </c>
      <c r="AK81" s="20">
        <f>IF('Raw profile'!AJ149&gt;0,1,IF('Raw profile'!AJ252&gt;0,2,0))</f>
        <v>2</v>
      </c>
      <c r="AL81" s="20">
        <f>IF('Raw profile'!AK149&gt;0,1,IF('Raw profile'!AK252&gt;0,2,0))</f>
        <v>2</v>
      </c>
      <c r="AM81" s="20">
        <f>IF('Raw profile'!AL149&gt;0,1,IF('Raw profile'!AL252&gt;0,2,0))</f>
        <v>2</v>
      </c>
      <c r="AN81" s="20">
        <f>IF('Raw profile'!AM149&gt;0,1,IF('Raw profile'!AM252&gt;0,2,0))</f>
        <v>2</v>
      </c>
      <c r="AO81" s="20">
        <f>IF('Raw profile'!AN149&gt;0,1,IF('Raw profile'!AN252&gt;0,2,0))</f>
        <v>2</v>
      </c>
      <c r="AP81" s="20">
        <f>IF('Raw profile'!AO149&gt;0,1,IF('Raw profile'!AO252&gt;0,2,0))</f>
        <v>2</v>
      </c>
      <c r="AQ81" s="20">
        <f>IF('Raw profile'!AP149&gt;0,1,IF('Raw profile'!AP252&gt;0,2,0))</f>
        <v>2</v>
      </c>
      <c r="AR81" s="20">
        <f>IF('Raw profile'!AQ149&gt;0,1,IF('Raw profile'!AQ252&gt;0,2,0))</f>
        <v>2</v>
      </c>
      <c r="AS81" s="20">
        <f>IF('Raw profile'!AR149&gt;0,1,IF('Raw profile'!AR252&gt;0,2,0))</f>
        <v>2</v>
      </c>
      <c r="AT81" s="20">
        <f>IF('Raw profile'!AS149&gt;0,1,IF('Raw profile'!AS252&gt;0,2,0))</f>
        <v>0</v>
      </c>
      <c r="AU81" s="20">
        <f>IF('Raw profile'!AT149&gt;0,1,IF('Raw profile'!AT252&gt;0,2,0))</f>
        <v>0</v>
      </c>
      <c r="AV81" s="20">
        <f>IF('Raw profile'!AU149&gt;0,1,IF('Raw profile'!AU252&gt;0,2,0))</f>
        <v>0</v>
      </c>
      <c r="AW81" s="20">
        <f>IF('Raw profile'!AV149&gt;0,1,IF('Raw profile'!AV252&gt;0,2,0))</f>
        <v>0</v>
      </c>
      <c r="AX81" s="20">
        <f>IF('Raw profile'!AW149&gt;0,1,IF('Raw profile'!AW252&gt;0,2,0))</f>
        <v>0</v>
      </c>
      <c r="AY81" s="20">
        <f>IF('Raw profile'!AX149&gt;0,1,IF('Raw profile'!AX252&gt;0,2,0))</f>
        <v>0</v>
      </c>
      <c r="AZ81" s="20">
        <f>IF('Raw profile'!AY149&gt;0,1,IF('Raw profile'!AY252&gt;0,2,0))</f>
        <v>0</v>
      </c>
      <c r="BA81" s="20">
        <f>IF('Raw profile'!AZ149&gt;0,1,IF('Raw profile'!AZ252&gt;0,2,0))</f>
        <v>0</v>
      </c>
      <c r="BB81" s="20">
        <f>IF('Raw profile'!BA149&gt;0,1,IF('Raw profile'!BA252&gt;0,2,0))</f>
        <v>0</v>
      </c>
      <c r="BC81" s="20">
        <f>IF('Raw profile'!BB149&gt;0,1,IF('Raw profile'!BB252&gt;0,2,0))</f>
        <v>0</v>
      </c>
      <c r="BD81" s="20">
        <f>IF('Raw profile'!BC149&gt;0,1,IF('Raw profile'!BC252&gt;0,2,0))</f>
        <v>0</v>
      </c>
      <c r="BE81" s="20">
        <f>IF('Raw profile'!BD149&gt;0,1,IF('Raw profile'!BD252&gt;0,2,0))</f>
        <v>0</v>
      </c>
      <c r="BF81" s="20">
        <f>IF('Raw profile'!BE149&gt;0,1,IF('Raw profile'!BE252&gt;0,2,0))</f>
        <v>0</v>
      </c>
      <c r="BG81" s="20">
        <f>IF('Raw profile'!BF149&gt;0,1,IF('Raw profile'!BF252&gt;0,2,0))</f>
        <v>0</v>
      </c>
      <c r="BH81" s="20">
        <f>IF('Raw profile'!BG149&gt;0,1,IF('Raw profile'!BG252&gt;0,2,0))</f>
        <v>0</v>
      </c>
      <c r="BI81" s="20">
        <f>IF('Raw profile'!BH149&gt;0,1,IF('Raw profile'!BH252&gt;0,2,0))</f>
        <v>0</v>
      </c>
      <c r="BJ81" s="20">
        <f>IF('Raw profile'!BI149&gt;0,1,IF('Raw profile'!BI252&gt;0,2,0))</f>
        <v>0</v>
      </c>
      <c r="BK81" s="21">
        <f>IF('Raw profile'!BJ149&gt;0,1,IF('Raw profile'!BJ252&gt;0,2,0))</f>
        <v>0</v>
      </c>
    </row>
    <row r="82" spans="1:63" x14ac:dyDescent="0.3">
      <c r="B82" s="13" t="s">
        <v>4</v>
      </c>
      <c r="C82" s="19">
        <f>'Growth profile'!I41</f>
        <v>2043</v>
      </c>
      <c r="D82" s="20">
        <f>IF('Growth profile'!C149&gt;0,1,IF('Growth profile'!C252&gt;0,3,0))</f>
        <v>0</v>
      </c>
      <c r="E82" s="20">
        <f>IF('Growth profile'!D149&gt;0,1,IF('Growth profile'!D252&gt;0,3,0))</f>
        <v>0</v>
      </c>
      <c r="F82" s="20">
        <f>IF('Growth profile'!E149&gt;0,1,IF('Growth profile'!E252&gt;0,3,0))</f>
        <v>0</v>
      </c>
      <c r="G82" s="20">
        <f>IF('Growth profile'!F149&gt;0,1,IF('Growth profile'!F252&gt;0,3,0))</f>
        <v>0</v>
      </c>
      <c r="H82" s="20">
        <f>IF('Growth profile'!G149&gt;0,1,IF('Growth profile'!G252&gt;0,3,0))</f>
        <v>0</v>
      </c>
      <c r="I82" s="20">
        <f>IF('Growth profile'!H149&gt;0,1,IF('Growth profile'!H252&gt;0,3,0))</f>
        <v>0</v>
      </c>
      <c r="J82" s="20">
        <f>IF('Growth profile'!I149&gt;0,1,IF('Growth profile'!I252&gt;0,3,0))</f>
        <v>0</v>
      </c>
      <c r="K82" s="20">
        <f>IF('Growth profile'!J149&gt;0,1,IF('Growth profile'!J252&gt;0,3,0))</f>
        <v>0</v>
      </c>
      <c r="L82" s="20">
        <f>IF('Growth profile'!K149&gt;0,1,IF('Growth profile'!K252&gt;0,3,0))</f>
        <v>0</v>
      </c>
      <c r="M82" s="20">
        <f>IF('Growth profile'!L149&gt;0,1,IF('Growth profile'!L252&gt;0,3,0))</f>
        <v>0</v>
      </c>
      <c r="N82" s="20">
        <f>IF('Growth profile'!M149&gt;0,1,IF('Growth profile'!M252&gt;0,3,0))</f>
        <v>0</v>
      </c>
      <c r="O82" s="20">
        <f>IF('Growth profile'!N149&gt;0,1,IF('Growth profile'!N252&gt;0,3,0))</f>
        <v>0</v>
      </c>
      <c r="P82" s="20">
        <f>IF('Growth profile'!O149&gt;0,1,IF('Growth profile'!O252&gt;0,3,0))</f>
        <v>0</v>
      </c>
      <c r="Q82" s="20">
        <f>IF('Growth profile'!P149&gt;0,1,IF('Growth profile'!P252&gt;0,3,0))</f>
        <v>0</v>
      </c>
      <c r="R82" s="20">
        <f>IF('Growth profile'!Q149&gt;0,1,IF('Growth profile'!Q252&gt;0,3,0))</f>
        <v>0</v>
      </c>
      <c r="S82" s="20">
        <f>IF('Growth profile'!R149&gt;0,1,IF('Growth profile'!R252&gt;0,3,0))</f>
        <v>0</v>
      </c>
      <c r="T82" s="20">
        <f>IF('Growth profile'!S149&gt;0,1,IF('Growth profile'!S252&gt;0,3,0))</f>
        <v>0</v>
      </c>
      <c r="U82" s="20">
        <f>IF('Growth profile'!T149&gt;0,1,IF('Growth profile'!T252&gt;0,3,0))</f>
        <v>1</v>
      </c>
      <c r="V82" s="20">
        <f>IF('Growth profile'!U149&gt;0,1,IF('Growth profile'!U252&gt;0,3,0))</f>
        <v>1</v>
      </c>
      <c r="W82" s="20">
        <f>IF('Growth profile'!V149&gt;0,1,IF('Growth profile'!V252&gt;0,3,0))</f>
        <v>3</v>
      </c>
      <c r="X82" s="20">
        <f>IF('Growth profile'!W149&gt;0,1,IF('Growth profile'!W252&gt;0,3,0))</f>
        <v>3</v>
      </c>
      <c r="Y82" s="20">
        <f>IF('Growth profile'!X149&gt;0,1,IF('Growth profile'!X252&gt;0,3,0))</f>
        <v>3</v>
      </c>
      <c r="Z82" s="20">
        <f>IF('Growth profile'!Y149&gt;0,1,IF('Growth profile'!Y252&gt;0,3,0))</f>
        <v>3</v>
      </c>
      <c r="AA82" s="20">
        <f>IF('Growth profile'!Z149&gt;0,1,IF('Growth profile'!Z252&gt;0,3,0))</f>
        <v>3</v>
      </c>
      <c r="AB82" s="20">
        <f>IF('Growth profile'!AA149&gt;0,1,IF('Growth profile'!AA252&gt;0,3,0))</f>
        <v>3</v>
      </c>
      <c r="AC82" s="20">
        <f>IF('Growth profile'!AB149&gt;0,1,IF('Growth profile'!AB252&gt;0,3,0))</f>
        <v>3</v>
      </c>
      <c r="AD82" s="20">
        <f>IF('Growth profile'!AC149&gt;0,1,IF('Growth profile'!AC252&gt;0,3,0))</f>
        <v>3</v>
      </c>
      <c r="AE82" s="20">
        <f>IF('Growth profile'!AD149&gt;0,1,IF('Growth profile'!AD252&gt;0,3,0))</f>
        <v>3</v>
      </c>
      <c r="AF82" s="20">
        <f>IF('Growth profile'!AE149&gt;0,1,IF('Growth profile'!AE252&gt;0,3,0))</f>
        <v>3</v>
      </c>
      <c r="AG82" s="20">
        <f>IF('Growth profile'!AF149&gt;0,1,IF('Growth profile'!AF252&gt;0,3,0))</f>
        <v>3</v>
      </c>
      <c r="AH82" s="20">
        <f>IF('Growth profile'!AG149&gt;0,1,IF('Growth profile'!AG252&gt;0,3,0))</f>
        <v>3</v>
      </c>
      <c r="AI82" s="20">
        <f>IF('Growth profile'!AH149&gt;0,1,IF('Growth profile'!AH252&gt;0,3,0))</f>
        <v>3</v>
      </c>
      <c r="AJ82" s="20">
        <f>IF('Growth profile'!AI149&gt;0,1,IF('Growth profile'!AI252&gt;0,3,0))</f>
        <v>3</v>
      </c>
      <c r="AK82" s="20">
        <f>IF('Growth profile'!AJ149&gt;0,1,IF('Growth profile'!AJ252&gt;0,3,0))</f>
        <v>3</v>
      </c>
      <c r="AL82" s="20">
        <f>IF('Growth profile'!AK149&gt;0,1,IF('Growth profile'!AK252&gt;0,3,0))</f>
        <v>3</v>
      </c>
      <c r="AM82" s="20">
        <f>IF('Growth profile'!AL149&gt;0,1,IF('Growth profile'!AL252&gt;0,3,0))</f>
        <v>3</v>
      </c>
      <c r="AN82" s="20">
        <f>IF('Growth profile'!AM149&gt;0,1,IF('Growth profile'!AM252&gt;0,3,0))</f>
        <v>3</v>
      </c>
      <c r="AO82" s="20">
        <f>IF('Growth profile'!AN149&gt;0,1,IF('Growth profile'!AN252&gt;0,3,0))</f>
        <v>3</v>
      </c>
      <c r="AP82" s="20">
        <f>IF('Growth profile'!AO149&gt;0,1,IF('Growth profile'!AO252&gt;0,3,0))</f>
        <v>3</v>
      </c>
      <c r="AQ82" s="20">
        <f>IF('Growth profile'!AP149&gt;0,1,IF('Growth profile'!AP252&gt;0,3,0))</f>
        <v>3</v>
      </c>
      <c r="AR82" s="20">
        <f>IF('Growth profile'!AQ149&gt;0,1,IF('Growth profile'!AQ252&gt;0,3,0))</f>
        <v>3</v>
      </c>
      <c r="AS82" s="20">
        <f>IF('Growth profile'!AR149&gt;0,1,IF('Growth profile'!AR252&gt;0,3,0))</f>
        <v>3</v>
      </c>
      <c r="AT82" s="20">
        <f>IF('Growth profile'!AS149&gt;0,1,IF('Growth profile'!AS252&gt;0,3,0))</f>
        <v>3</v>
      </c>
      <c r="AU82" s="20">
        <f>IF('Growth profile'!AT149&gt;0,1,IF('Growth profile'!AT252&gt;0,3,0))</f>
        <v>3</v>
      </c>
      <c r="AV82" s="20">
        <f>IF('Growth profile'!AU149&gt;0,1,IF('Growth profile'!AU252&gt;0,3,0))</f>
        <v>3</v>
      </c>
      <c r="AW82" s="20">
        <f>IF('Growth profile'!AV149&gt;0,1,IF('Growth profile'!AV252&gt;0,3,0))</f>
        <v>3</v>
      </c>
      <c r="AX82" s="20">
        <f>IF('Growth profile'!AW149&gt;0,1,IF('Growth profile'!AW252&gt;0,3,0))</f>
        <v>3</v>
      </c>
      <c r="AY82" s="20">
        <f>IF('Growth profile'!AX149&gt;0,1,IF('Growth profile'!AX252&gt;0,3,0))</f>
        <v>3</v>
      </c>
      <c r="AZ82" s="20">
        <f>IF('Growth profile'!AY149&gt;0,1,IF('Growth profile'!AY252&gt;0,3,0))</f>
        <v>3</v>
      </c>
      <c r="BA82" s="20">
        <f>IF('Growth profile'!AZ149&gt;0,1,IF('Growth profile'!AZ252&gt;0,3,0))</f>
        <v>3</v>
      </c>
      <c r="BB82" s="20">
        <f>IF('Growth profile'!BA149&gt;0,1,IF('Growth profile'!BA252&gt;0,3,0))</f>
        <v>3</v>
      </c>
      <c r="BC82" s="20">
        <f>IF('Growth profile'!BB149&gt;0,1,IF('Growth profile'!BB252&gt;0,3,0))</f>
        <v>3</v>
      </c>
      <c r="BD82" s="20">
        <f>IF('Growth profile'!BC149&gt;0,1,IF('Growth profile'!BC252&gt;0,3,0))</f>
        <v>3</v>
      </c>
      <c r="BE82" s="20">
        <f>IF('Growth profile'!BD149&gt;0,1,IF('Growth profile'!BD252&gt;0,3,0))</f>
        <v>3</v>
      </c>
      <c r="BF82" s="20">
        <f>IF('Growth profile'!BE149&gt;0,1,IF('Growth profile'!BE252&gt;0,3,0))</f>
        <v>3</v>
      </c>
      <c r="BG82" s="20">
        <f>IF('Growth profile'!BF149&gt;0,1,IF('Growth profile'!BF252&gt;0,3,0))</f>
        <v>3</v>
      </c>
      <c r="BH82" s="20">
        <f>IF('Growth profile'!BG149&gt;0,1,IF('Growth profile'!BG252&gt;0,3,0))</f>
        <v>3</v>
      </c>
      <c r="BI82" s="20">
        <f>IF('Growth profile'!BH149&gt;0,1,IF('Growth profile'!BH252&gt;0,3,0))</f>
        <v>3</v>
      </c>
      <c r="BJ82" s="20">
        <f>IF('Growth profile'!BI149&gt;0,1,IF('Growth profile'!BI252&gt;0,3,0))</f>
        <v>3</v>
      </c>
      <c r="BK82" s="21">
        <f>IF('Growth profile'!BJ149&gt;0,1,IF('Growth profile'!BJ252&gt;0,3,0))</f>
        <v>0</v>
      </c>
    </row>
    <row r="83" spans="1:63" x14ac:dyDescent="0.3">
      <c r="B83" s="13" t="s">
        <v>59</v>
      </c>
      <c r="C83" s="19">
        <f>'Growth (no penalty)'!I41</f>
        <v>2044</v>
      </c>
      <c r="D83" s="22">
        <f>IF('Growth (no penalty)'!C149&gt;0,1,IF('Growth (no penalty)'!C252&gt;0,4,0))</f>
        <v>0</v>
      </c>
      <c r="E83" s="22">
        <f>IF('Growth (no penalty)'!D149&gt;0,1,IF('Growth (no penalty)'!D252&gt;0,4,0))</f>
        <v>0</v>
      </c>
      <c r="F83" s="22">
        <f>IF('Growth (no penalty)'!E149&gt;0,1,IF('Growth (no penalty)'!E252&gt;0,4,0))</f>
        <v>0</v>
      </c>
      <c r="G83" s="22">
        <f>IF('Growth (no penalty)'!F149&gt;0,1,IF('Growth (no penalty)'!F252&gt;0,4,0))</f>
        <v>0</v>
      </c>
      <c r="H83" s="22">
        <f>IF('Growth (no penalty)'!G149&gt;0,1,IF('Growth (no penalty)'!G252&gt;0,4,0))</f>
        <v>0</v>
      </c>
      <c r="I83" s="22">
        <f>IF('Growth (no penalty)'!H149&gt;0,1,IF('Growth (no penalty)'!H252&gt;0,4,0))</f>
        <v>0</v>
      </c>
      <c r="J83" s="22">
        <f>IF('Growth (no penalty)'!I149&gt;0,1,IF('Growth (no penalty)'!I252&gt;0,4,0))</f>
        <v>0</v>
      </c>
      <c r="K83" s="22">
        <f>IF('Growth (no penalty)'!J149&gt;0,1,IF('Growth (no penalty)'!J252&gt;0,4,0))</f>
        <v>0</v>
      </c>
      <c r="L83" s="22">
        <f>IF('Growth (no penalty)'!K149&gt;0,1,IF('Growth (no penalty)'!K252&gt;0,4,0))</f>
        <v>0</v>
      </c>
      <c r="M83" s="22">
        <f>IF('Growth (no penalty)'!L149&gt;0,1,IF('Growth (no penalty)'!L252&gt;0,4,0))</f>
        <v>0</v>
      </c>
      <c r="N83" s="22">
        <f>IF('Growth (no penalty)'!M149&gt;0,1,IF('Growth (no penalty)'!M252&gt;0,4,0))</f>
        <v>0</v>
      </c>
      <c r="O83" s="22">
        <f>IF('Growth (no penalty)'!N149&gt;0,1,IF('Growth (no penalty)'!N252&gt;0,4,0))</f>
        <v>0</v>
      </c>
      <c r="P83" s="22">
        <f>IF('Growth (no penalty)'!O149&gt;0,1,IF('Growth (no penalty)'!O252&gt;0,4,0))</f>
        <v>0</v>
      </c>
      <c r="Q83" s="22">
        <f>IF('Growth (no penalty)'!P149&gt;0,1,IF('Growth (no penalty)'!P252&gt;0,4,0))</f>
        <v>0</v>
      </c>
      <c r="R83" s="22">
        <f>IF('Growth (no penalty)'!Q149&gt;0,1,IF('Growth (no penalty)'!Q252&gt;0,4,0))</f>
        <v>0</v>
      </c>
      <c r="S83" s="22">
        <f>IF('Growth (no penalty)'!R149&gt;0,1,IF('Growth (no penalty)'!R252&gt;0,4,0))</f>
        <v>0</v>
      </c>
      <c r="T83" s="22">
        <f>IF('Growth (no penalty)'!S149&gt;0,1,IF('Growth (no penalty)'!S252&gt;0,4,0))</f>
        <v>0</v>
      </c>
      <c r="U83" s="22">
        <f>IF('Growth (no penalty)'!T149&gt;0,1,IF('Growth (no penalty)'!T252&gt;0,4,0))</f>
        <v>0</v>
      </c>
      <c r="V83" s="22">
        <f>IF('Growth (no penalty)'!U149&gt;0,1,IF('Growth (no penalty)'!U252&gt;0,4,0))</f>
        <v>1</v>
      </c>
      <c r="W83" s="22">
        <f>IF('Growth (no penalty)'!V149&gt;0,1,IF('Growth (no penalty)'!V252&gt;0,4,0))</f>
        <v>1</v>
      </c>
      <c r="X83" s="22">
        <f>IF('Growth (no penalty)'!W149&gt;0,1,IF('Growth (no penalty)'!W252&gt;0,4,0))</f>
        <v>4</v>
      </c>
      <c r="Y83" s="22">
        <f>IF('Growth (no penalty)'!X149&gt;0,1,IF('Growth (no penalty)'!X252&gt;0,4,0))</f>
        <v>4</v>
      </c>
      <c r="Z83" s="22">
        <f>IF('Growth (no penalty)'!Y149&gt;0,1,IF('Growth (no penalty)'!Y252&gt;0,4,0))</f>
        <v>4</v>
      </c>
      <c r="AA83" s="22">
        <f>IF('Growth (no penalty)'!Z149&gt;0,1,IF('Growth (no penalty)'!Z252&gt;0,4,0))</f>
        <v>4</v>
      </c>
      <c r="AB83" s="22">
        <f>IF('Growth (no penalty)'!AA149&gt;0,1,IF('Growth (no penalty)'!AA252&gt;0,4,0))</f>
        <v>4</v>
      </c>
      <c r="AC83" s="22">
        <f>IF('Growth (no penalty)'!AB149&gt;0,1,IF('Growth (no penalty)'!AB252&gt;0,4,0))</f>
        <v>4</v>
      </c>
      <c r="AD83" s="22">
        <f>IF('Growth (no penalty)'!AC149&gt;0,1,IF('Growth (no penalty)'!AC252&gt;0,4,0))</f>
        <v>4</v>
      </c>
      <c r="AE83" s="22">
        <f>IF('Growth (no penalty)'!AD149&gt;0,1,IF('Growth (no penalty)'!AD252&gt;0,4,0))</f>
        <v>4</v>
      </c>
      <c r="AF83" s="22">
        <f>IF('Growth (no penalty)'!AE149&gt;0,1,IF('Growth (no penalty)'!AE252&gt;0,4,0))</f>
        <v>4</v>
      </c>
      <c r="AG83" s="22">
        <f>IF('Growth (no penalty)'!AF149&gt;0,1,IF('Growth (no penalty)'!AF252&gt;0,4,0))</f>
        <v>4</v>
      </c>
      <c r="AH83" s="22">
        <f>IF('Growth (no penalty)'!AG149&gt;0,1,IF('Growth (no penalty)'!AG252&gt;0,4,0))</f>
        <v>4</v>
      </c>
      <c r="AI83" s="22">
        <f>IF('Growth (no penalty)'!AH149&gt;0,1,IF('Growth (no penalty)'!AH252&gt;0,4,0))</f>
        <v>4</v>
      </c>
      <c r="AJ83" s="22">
        <f>IF('Growth (no penalty)'!AI149&gt;0,1,IF('Growth (no penalty)'!AI252&gt;0,4,0))</f>
        <v>4</v>
      </c>
      <c r="AK83" s="22">
        <f>IF('Growth (no penalty)'!AJ149&gt;0,1,IF('Growth (no penalty)'!AJ252&gt;0,4,0))</f>
        <v>4</v>
      </c>
      <c r="AL83" s="22">
        <f>IF('Growth (no penalty)'!AK149&gt;0,1,IF('Growth (no penalty)'!AK252&gt;0,4,0))</f>
        <v>4</v>
      </c>
      <c r="AM83" s="22">
        <f>IF('Growth (no penalty)'!AL149&gt;0,1,IF('Growth (no penalty)'!AL252&gt;0,4,0))</f>
        <v>4</v>
      </c>
      <c r="AN83" s="22">
        <f>IF('Growth (no penalty)'!AM149&gt;0,1,IF('Growth (no penalty)'!AM252&gt;0,4,0))</f>
        <v>4</v>
      </c>
      <c r="AO83" s="22">
        <f>IF('Growth (no penalty)'!AN149&gt;0,1,IF('Growth (no penalty)'!AN252&gt;0,4,0))</f>
        <v>4</v>
      </c>
      <c r="AP83" s="22">
        <f>IF('Growth (no penalty)'!AO149&gt;0,1,IF('Growth (no penalty)'!AO252&gt;0,4,0))</f>
        <v>4</v>
      </c>
      <c r="AQ83" s="22">
        <f>IF('Growth (no penalty)'!AP149&gt;0,1,IF('Growth (no penalty)'!AP252&gt;0,4,0))</f>
        <v>4</v>
      </c>
      <c r="AR83" s="22">
        <f>IF('Growth (no penalty)'!AQ149&gt;0,1,IF('Growth (no penalty)'!AQ252&gt;0,4,0))</f>
        <v>4</v>
      </c>
      <c r="AS83" s="22">
        <f>IF('Growth (no penalty)'!AR149&gt;0,1,IF('Growth (no penalty)'!AR252&gt;0,4,0))</f>
        <v>4</v>
      </c>
      <c r="AT83" s="22">
        <f>IF('Growth (no penalty)'!AS149&gt;0,1,IF('Growth (no penalty)'!AS252&gt;0,4,0))</f>
        <v>4</v>
      </c>
      <c r="AU83" s="22">
        <f>IF('Growth (no penalty)'!AT149&gt;0,1,IF('Growth (no penalty)'!AT252&gt;0,4,0))</f>
        <v>4</v>
      </c>
      <c r="AV83" s="22">
        <f>IF('Growth (no penalty)'!AU149&gt;0,1,IF('Growth (no penalty)'!AU252&gt;0,4,0))</f>
        <v>4</v>
      </c>
      <c r="AW83" s="22">
        <f>IF('Growth (no penalty)'!AV149&gt;0,1,IF('Growth (no penalty)'!AV252&gt;0,4,0))</f>
        <v>4</v>
      </c>
      <c r="AX83" s="22">
        <f>IF('Growth (no penalty)'!AW149&gt;0,1,IF('Growth (no penalty)'!AW252&gt;0,4,0))</f>
        <v>4</v>
      </c>
      <c r="AY83" s="22">
        <f>IF('Growth (no penalty)'!AX149&gt;0,1,IF('Growth (no penalty)'!AX252&gt;0,4,0))</f>
        <v>4</v>
      </c>
      <c r="AZ83" s="22">
        <f>IF('Growth (no penalty)'!AY149&gt;0,1,IF('Growth (no penalty)'!AY252&gt;0,4,0))</f>
        <v>4</v>
      </c>
      <c r="BA83" s="22">
        <f>IF('Growth (no penalty)'!AZ149&gt;0,1,IF('Growth (no penalty)'!AZ252&gt;0,4,0))</f>
        <v>4</v>
      </c>
      <c r="BB83" s="22">
        <f>IF('Growth (no penalty)'!BA149&gt;0,1,IF('Growth (no penalty)'!BA252&gt;0,4,0))</f>
        <v>4</v>
      </c>
      <c r="BC83" s="22">
        <f>IF('Growth (no penalty)'!BB149&gt;0,1,IF('Growth (no penalty)'!BB252&gt;0,4,0))</f>
        <v>4</v>
      </c>
      <c r="BD83" s="22">
        <f>IF('Growth (no penalty)'!BC149&gt;0,1,IF('Growth (no penalty)'!BC252&gt;0,4,0))</f>
        <v>4</v>
      </c>
      <c r="BE83" s="22">
        <f>IF('Growth (no penalty)'!BD149&gt;0,1,IF('Growth (no penalty)'!BD252&gt;0,4,0))</f>
        <v>4</v>
      </c>
      <c r="BF83" s="22">
        <f>IF('Growth (no penalty)'!BE149&gt;0,1,IF('Growth (no penalty)'!BE252&gt;0,4,0))</f>
        <v>4</v>
      </c>
      <c r="BG83" s="22">
        <f>IF('Growth (no penalty)'!BF149&gt;0,1,IF('Growth (no penalty)'!BF252&gt;0,4,0))</f>
        <v>4</v>
      </c>
      <c r="BH83" s="22">
        <f>IF('Growth (no penalty)'!BG149&gt;0,1,IF('Growth (no penalty)'!BG252&gt;0,4,0))</f>
        <v>4</v>
      </c>
      <c r="BI83" s="22">
        <f>IF('Growth (no penalty)'!BH149&gt;0,1,IF('Growth (no penalty)'!BH252&gt;0,4,0))</f>
        <v>4</v>
      </c>
      <c r="BJ83" s="22">
        <f>IF('Growth (no penalty)'!BI149&gt;0,1,IF('Growth (no penalty)'!BI252&gt;0,4,0))</f>
        <v>4</v>
      </c>
      <c r="BK83" s="23">
        <f>IF('Growth (no penalty)'!BJ149&gt;0,1,IF('Growth (no penalty)'!BJ252&gt;0,4,0))</f>
        <v>4</v>
      </c>
    </row>
    <row r="84" spans="1:63" x14ac:dyDescent="0.3">
      <c r="A84" s="4" t="str">
        <f>'Growth profile'!A51</f>
        <v>project 48</v>
      </c>
      <c r="B84" s="13" t="s">
        <v>3</v>
      </c>
      <c r="C84" s="19">
        <f>'Raw profile'!I51</f>
        <v>2026</v>
      </c>
      <c r="D84" s="20">
        <f>IF('Raw profile'!C159&gt;0,1,IF('Raw profile'!C262&gt;0,2,0))</f>
        <v>1</v>
      </c>
      <c r="E84" s="20">
        <f>IF('Raw profile'!D159&gt;0,1,IF('Raw profile'!D262&gt;0,2,0))</f>
        <v>1</v>
      </c>
      <c r="F84" s="20">
        <f>IF('Raw profile'!E159&gt;0,1,IF('Raw profile'!E262&gt;0,2,0))</f>
        <v>2</v>
      </c>
      <c r="G84" s="20">
        <f>IF('Raw profile'!F159&gt;0,1,IF('Raw profile'!F262&gt;0,2,0))</f>
        <v>2</v>
      </c>
      <c r="H84" s="20">
        <f>IF('Raw profile'!G159&gt;0,1,IF('Raw profile'!G262&gt;0,2,0))</f>
        <v>2</v>
      </c>
      <c r="I84" s="20">
        <f>IF('Raw profile'!H159&gt;0,1,IF('Raw profile'!H262&gt;0,2,0))</f>
        <v>2</v>
      </c>
      <c r="J84" s="20">
        <f>IF('Raw profile'!I159&gt;0,1,IF('Raw profile'!I262&gt;0,2,0))</f>
        <v>2</v>
      </c>
      <c r="K84" s="20">
        <f>IF('Raw profile'!J159&gt;0,1,IF('Raw profile'!J262&gt;0,2,0))</f>
        <v>2</v>
      </c>
      <c r="L84" s="20">
        <f>IF('Raw profile'!K159&gt;0,1,IF('Raw profile'!K262&gt;0,2,0))</f>
        <v>2</v>
      </c>
      <c r="M84" s="20">
        <f>IF('Raw profile'!L159&gt;0,1,IF('Raw profile'!L262&gt;0,2,0))</f>
        <v>2</v>
      </c>
      <c r="N84" s="20">
        <f>IF('Raw profile'!M159&gt;0,1,IF('Raw profile'!M262&gt;0,2,0))</f>
        <v>2</v>
      </c>
      <c r="O84" s="20">
        <f>IF('Raw profile'!N159&gt;0,1,IF('Raw profile'!N262&gt;0,2,0))</f>
        <v>2</v>
      </c>
      <c r="P84" s="20">
        <f>IF('Raw profile'!O159&gt;0,1,IF('Raw profile'!O262&gt;0,2,0))</f>
        <v>2</v>
      </c>
      <c r="Q84" s="20">
        <f>IF('Raw profile'!P159&gt;0,1,IF('Raw profile'!P262&gt;0,2,0))</f>
        <v>2</v>
      </c>
      <c r="R84" s="20">
        <f>IF('Raw profile'!Q159&gt;0,1,IF('Raw profile'!Q262&gt;0,2,0))</f>
        <v>2</v>
      </c>
      <c r="S84" s="20">
        <f>IF('Raw profile'!R159&gt;0,1,IF('Raw profile'!R262&gt;0,2,0))</f>
        <v>2</v>
      </c>
      <c r="T84" s="20">
        <f>IF('Raw profile'!S159&gt;0,1,IF('Raw profile'!S262&gt;0,2,0))</f>
        <v>2</v>
      </c>
      <c r="U84" s="20">
        <f>IF('Raw profile'!T159&gt;0,1,IF('Raw profile'!T262&gt;0,2,0))</f>
        <v>2</v>
      </c>
      <c r="V84" s="20">
        <f>IF('Raw profile'!U159&gt;0,1,IF('Raw profile'!U262&gt;0,2,0))</f>
        <v>2</v>
      </c>
      <c r="W84" s="20">
        <f>IF('Raw profile'!V159&gt;0,1,IF('Raw profile'!V262&gt;0,2,0))</f>
        <v>2</v>
      </c>
      <c r="X84" s="20">
        <f>IF('Raw profile'!W159&gt;0,1,IF('Raw profile'!W262&gt;0,2,0))</f>
        <v>2</v>
      </c>
      <c r="Y84" s="20">
        <f>IF('Raw profile'!X159&gt;0,1,IF('Raw profile'!X262&gt;0,2,0))</f>
        <v>2</v>
      </c>
      <c r="Z84" s="20">
        <f>IF('Raw profile'!Y159&gt;0,1,IF('Raw profile'!Y262&gt;0,2,0))</f>
        <v>2</v>
      </c>
      <c r="AA84" s="20">
        <f>IF('Raw profile'!Z159&gt;0,1,IF('Raw profile'!Z262&gt;0,2,0))</f>
        <v>2</v>
      </c>
      <c r="AB84" s="20">
        <f>IF('Raw profile'!AA159&gt;0,1,IF('Raw profile'!AA262&gt;0,2,0))</f>
        <v>2</v>
      </c>
      <c r="AC84" s="20">
        <f>IF('Raw profile'!AB159&gt;0,1,IF('Raw profile'!AB262&gt;0,2,0))</f>
        <v>2</v>
      </c>
      <c r="AD84" s="20">
        <f>IF('Raw profile'!AC159&gt;0,1,IF('Raw profile'!AC262&gt;0,2,0))</f>
        <v>2</v>
      </c>
      <c r="AE84" s="20">
        <f>IF('Raw profile'!AD159&gt;0,1,IF('Raw profile'!AD262&gt;0,2,0))</f>
        <v>2</v>
      </c>
      <c r="AF84" s="20">
        <f>IF('Raw profile'!AE159&gt;0,1,IF('Raw profile'!AE262&gt;0,2,0))</f>
        <v>2</v>
      </c>
      <c r="AG84" s="20">
        <f>IF('Raw profile'!AF159&gt;0,1,IF('Raw profile'!AF262&gt;0,2,0))</f>
        <v>2</v>
      </c>
      <c r="AH84" s="20">
        <f>IF('Raw profile'!AG159&gt;0,1,IF('Raw profile'!AG262&gt;0,2,0))</f>
        <v>2</v>
      </c>
      <c r="AI84" s="20">
        <f>IF('Raw profile'!AH159&gt;0,1,IF('Raw profile'!AH262&gt;0,2,0))</f>
        <v>2</v>
      </c>
      <c r="AJ84" s="20">
        <f>IF('Raw profile'!AI159&gt;0,1,IF('Raw profile'!AI262&gt;0,2,0))</f>
        <v>2</v>
      </c>
      <c r="AK84" s="20">
        <f>IF('Raw profile'!AJ159&gt;0,1,IF('Raw profile'!AJ262&gt;0,2,0))</f>
        <v>2</v>
      </c>
      <c r="AL84" s="20">
        <f>IF('Raw profile'!AK159&gt;0,1,IF('Raw profile'!AK262&gt;0,2,0))</f>
        <v>2</v>
      </c>
      <c r="AM84" s="20">
        <f>IF('Raw profile'!AL159&gt;0,1,IF('Raw profile'!AL262&gt;0,2,0))</f>
        <v>2</v>
      </c>
      <c r="AN84" s="20">
        <f>IF('Raw profile'!AM159&gt;0,1,IF('Raw profile'!AM262&gt;0,2,0))</f>
        <v>2</v>
      </c>
      <c r="AO84" s="20">
        <f>IF('Raw profile'!AN159&gt;0,1,IF('Raw profile'!AN262&gt;0,2,0))</f>
        <v>2</v>
      </c>
      <c r="AP84" s="20">
        <f>IF('Raw profile'!AO159&gt;0,1,IF('Raw profile'!AO262&gt;0,2,0))</f>
        <v>2</v>
      </c>
      <c r="AQ84" s="20">
        <f>IF('Raw profile'!AP159&gt;0,1,IF('Raw profile'!AP262&gt;0,2,0))</f>
        <v>2</v>
      </c>
      <c r="AR84" s="20">
        <f>IF('Raw profile'!AQ159&gt;0,1,IF('Raw profile'!AQ262&gt;0,2,0))</f>
        <v>2</v>
      </c>
      <c r="AS84" s="20">
        <f>IF('Raw profile'!AR159&gt;0,1,IF('Raw profile'!AR262&gt;0,2,0))</f>
        <v>2</v>
      </c>
      <c r="AT84" s="20">
        <f>IF('Raw profile'!AS159&gt;0,1,IF('Raw profile'!AS262&gt;0,2,0))</f>
        <v>0</v>
      </c>
      <c r="AU84" s="20">
        <f>IF('Raw profile'!AT159&gt;0,1,IF('Raw profile'!AT262&gt;0,2,0))</f>
        <v>0</v>
      </c>
      <c r="AV84" s="20">
        <f>IF('Raw profile'!AU159&gt;0,1,IF('Raw profile'!AU262&gt;0,2,0))</f>
        <v>0</v>
      </c>
      <c r="AW84" s="20">
        <f>IF('Raw profile'!AV159&gt;0,1,IF('Raw profile'!AV262&gt;0,2,0))</f>
        <v>0</v>
      </c>
      <c r="AX84" s="20">
        <f>IF('Raw profile'!AW159&gt;0,1,IF('Raw profile'!AW262&gt;0,2,0))</f>
        <v>0</v>
      </c>
      <c r="AY84" s="20">
        <f>IF('Raw profile'!AX159&gt;0,1,IF('Raw profile'!AX262&gt;0,2,0))</f>
        <v>0</v>
      </c>
      <c r="AZ84" s="20">
        <f>IF('Raw profile'!AY159&gt;0,1,IF('Raw profile'!AY262&gt;0,2,0))</f>
        <v>0</v>
      </c>
      <c r="BA84" s="20">
        <f>IF('Raw profile'!AZ159&gt;0,1,IF('Raw profile'!AZ262&gt;0,2,0))</f>
        <v>0</v>
      </c>
      <c r="BB84" s="20">
        <f>IF('Raw profile'!BA159&gt;0,1,IF('Raw profile'!BA262&gt;0,2,0))</f>
        <v>0</v>
      </c>
      <c r="BC84" s="20">
        <f>IF('Raw profile'!BB159&gt;0,1,IF('Raw profile'!BB262&gt;0,2,0))</f>
        <v>0</v>
      </c>
      <c r="BD84" s="20">
        <f>IF('Raw profile'!BC159&gt;0,1,IF('Raw profile'!BC262&gt;0,2,0))</f>
        <v>0</v>
      </c>
      <c r="BE84" s="20">
        <f>IF('Raw profile'!BD159&gt;0,1,IF('Raw profile'!BD262&gt;0,2,0))</f>
        <v>0</v>
      </c>
      <c r="BF84" s="20">
        <f>IF('Raw profile'!BE159&gt;0,1,IF('Raw profile'!BE262&gt;0,2,0))</f>
        <v>0</v>
      </c>
      <c r="BG84" s="20">
        <f>IF('Raw profile'!BF159&gt;0,1,IF('Raw profile'!BF262&gt;0,2,0))</f>
        <v>0</v>
      </c>
      <c r="BH84" s="20">
        <f>IF('Raw profile'!BG159&gt;0,1,IF('Raw profile'!BG262&gt;0,2,0))</f>
        <v>0</v>
      </c>
      <c r="BI84" s="20">
        <f>IF('Raw profile'!BH159&gt;0,1,IF('Raw profile'!BH262&gt;0,2,0))</f>
        <v>0</v>
      </c>
      <c r="BJ84" s="20">
        <f>IF('Raw profile'!BI159&gt;0,1,IF('Raw profile'!BI262&gt;0,2,0))</f>
        <v>0</v>
      </c>
      <c r="BK84" s="21">
        <f>IF('Raw profile'!BJ159&gt;0,1,IF('Raw profile'!BJ262&gt;0,2,0))</f>
        <v>0</v>
      </c>
    </row>
    <row r="85" spans="1:63" x14ac:dyDescent="0.3">
      <c r="B85" s="13" t="s">
        <v>4</v>
      </c>
      <c r="C85" s="19">
        <f>'Growth profile'!I51</f>
        <v>2043</v>
      </c>
      <c r="D85" s="20">
        <f>IF('Growth profile'!C159&gt;0,1,IF('Growth profile'!C262&gt;0,3,0))</f>
        <v>0</v>
      </c>
      <c r="E85" s="20">
        <f>IF('Growth profile'!D159&gt;0,1,IF('Growth profile'!D262&gt;0,3,0))</f>
        <v>0</v>
      </c>
      <c r="F85" s="20">
        <f>IF('Growth profile'!E159&gt;0,1,IF('Growth profile'!E262&gt;0,3,0))</f>
        <v>0</v>
      </c>
      <c r="G85" s="20">
        <f>IF('Growth profile'!F159&gt;0,1,IF('Growth profile'!F262&gt;0,3,0))</f>
        <v>0</v>
      </c>
      <c r="H85" s="20">
        <f>IF('Growth profile'!G159&gt;0,1,IF('Growth profile'!G262&gt;0,3,0))</f>
        <v>0</v>
      </c>
      <c r="I85" s="20">
        <f>IF('Growth profile'!H159&gt;0,1,IF('Growth profile'!H262&gt;0,3,0))</f>
        <v>0</v>
      </c>
      <c r="J85" s="20">
        <f>IF('Growth profile'!I159&gt;0,1,IF('Growth profile'!I262&gt;0,3,0))</f>
        <v>0</v>
      </c>
      <c r="K85" s="20">
        <f>IF('Growth profile'!J159&gt;0,1,IF('Growth profile'!J262&gt;0,3,0))</f>
        <v>0</v>
      </c>
      <c r="L85" s="20">
        <f>IF('Growth profile'!K159&gt;0,1,IF('Growth profile'!K262&gt;0,3,0))</f>
        <v>0</v>
      </c>
      <c r="M85" s="20">
        <f>IF('Growth profile'!L159&gt;0,1,IF('Growth profile'!L262&gt;0,3,0))</f>
        <v>0</v>
      </c>
      <c r="N85" s="20">
        <f>IF('Growth profile'!M159&gt;0,1,IF('Growth profile'!M262&gt;0,3,0))</f>
        <v>0</v>
      </c>
      <c r="O85" s="20">
        <f>IF('Growth profile'!N159&gt;0,1,IF('Growth profile'!N262&gt;0,3,0))</f>
        <v>0</v>
      </c>
      <c r="P85" s="20">
        <f>IF('Growth profile'!O159&gt;0,1,IF('Growth profile'!O262&gt;0,3,0))</f>
        <v>0</v>
      </c>
      <c r="Q85" s="20">
        <f>IF('Growth profile'!P159&gt;0,1,IF('Growth profile'!P262&gt;0,3,0))</f>
        <v>0</v>
      </c>
      <c r="R85" s="20">
        <f>IF('Growth profile'!Q159&gt;0,1,IF('Growth profile'!Q262&gt;0,3,0))</f>
        <v>0</v>
      </c>
      <c r="S85" s="20">
        <f>IF('Growth profile'!R159&gt;0,1,IF('Growth profile'!R262&gt;0,3,0))</f>
        <v>0</v>
      </c>
      <c r="T85" s="20">
        <f>IF('Growth profile'!S159&gt;0,1,IF('Growth profile'!S262&gt;0,3,0))</f>
        <v>0</v>
      </c>
      <c r="U85" s="20">
        <f>IF('Growth profile'!T159&gt;0,1,IF('Growth profile'!T262&gt;0,3,0))</f>
        <v>1</v>
      </c>
      <c r="V85" s="20">
        <f>IF('Growth profile'!U159&gt;0,1,IF('Growth profile'!U262&gt;0,3,0))</f>
        <v>1</v>
      </c>
      <c r="W85" s="20">
        <f>IF('Growth profile'!V159&gt;0,1,IF('Growth profile'!V262&gt;0,3,0))</f>
        <v>3</v>
      </c>
      <c r="X85" s="20">
        <f>IF('Growth profile'!W159&gt;0,1,IF('Growth profile'!W262&gt;0,3,0))</f>
        <v>3</v>
      </c>
      <c r="Y85" s="20">
        <f>IF('Growth profile'!X159&gt;0,1,IF('Growth profile'!X262&gt;0,3,0))</f>
        <v>3</v>
      </c>
      <c r="Z85" s="20">
        <f>IF('Growth profile'!Y159&gt;0,1,IF('Growth profile'!Y262&gt;0,3,0))</f>
        <v>3</v>
      </c>
      <c r="AA85" s="20">
        <f>IF('Growth profile'!Z159&gt;0,1,IF('Growth profile'!Z262&gt;0,3,0))</f>
        <v>3</v>
      </c>
      <c r="AB85" s="20">
        <f>IF('Growth profile'!AA159&gt;0,1,IF('Growth profile'!AA262&gt;0,3,0))</f>
        <v>3</v>
      </c>
      <c r="AC85" s="20">
        <f>IF('Growth profile'!AB159&gt;0,1,IF('Growth profile'!AB262&gt;0,3,0))</f>
        <v>3</v>
      </c>
      <c r="AD85" s="20">
        <f>IF('Growth profile'!AC159&gt;0,1,IF('Growth profile'!AC262&gt;0,3,0))</f>
        <v>3</v>
      </c>
      <c r="AE85" s="20">
        <f>IF('Growth profile'!AD159&gt;0,1,IF('Growth profile'!AD262&gt;0,3,0))</f>
        <v>3</v>
      </c>
      <c r="AF85" s="20">
        <f>IF('Growth profile'!AE159&gt;0,1,IF('Growth profile'!AE262&gt;0,3,0))</f>
        <v>3</v>
      </c>
      <c r="AG85" s="20">
        <f>IF('Growth profile'!AF159&gt;0,1,IF('Growth profile'!AF262&gt;0,3,0))</f>
        <v>3</v>
      </c>
      <c r="AH85" s="20">
        <f>IF('Growth profile'!AG159&gt;0,1,IF('Growth profile'!AG262&gt;0,3,0))</f>
        <v>3</v>
      </c>
      <c r="AI85" s="20">
        <f>IF('Growth profile'!AH159&gt;0,1,IF('Growth profile'!AH262&gt;0,3,0))</f>
        <v>3</v>
      </c>
      <c r="AJ85" s="20">
        <f>IF('Growth profile'!AI159&gt;0,1,IF('Growth profile'!AI262&gt;0,3,0))</f>
        <v>3</v>
      </c>
      <c r="AK85" s="20">
        <f>IF('Growth profile'!AJ159&gt;0,1,IF('Growth profile'!AJ262&gt;0,3,0))</f>
        <v>3</v>
      </c>
      <c r="AL85" s="20">
        <f>IF('Growth profile'!AK159&gt;0,1,IF('Growth profile'!AK262&gt;0,3,0))</f>
        <v>3</v>
      </c>
      <c r="AM85" s="20">
        <f>IF('Growth profile'!AL159&gt;0,1,IF('Growth profile'!AL262&gt;0,3,0))</f>
        <v>3</v>
      </c>
      <c r="AN85" s="20">
        <f>IF('Growth profile'!AM159&gt;0,1,IF('Growth profile'!AM262&gt;0,3,0))</f>
        <v>3</v>
      </c>
      <c r="AO85" s="20">
        <f>IF('Growth profile'!AN159&gt;0,1,IF('Growth profile'!AN262&gt;0,3,0))</f>
        <v>3</v>
      </c>
      <c r="AP85" s="20">
        <f>IF('Growth profile'!AO159&gt;0,1,IF('Growth profile'!AO262&gt;0,3,0))</f>
        <v>3</v>
      </c>
      <c r="AQ85" s="20">
        <f>IF('Growth profile'!AP159&gt;0,1,IF('Growth profile'!AP262&gt;0,3,0))</f>
        <v>3</v>
      </c>
      <c r="AR85" s="20">
        <f>IF('Growth profile'!AQ159&gt;0,1,IF('Growth profile'!AQ262&gt;0,3,0))</f>
        <v>3</v>
      </c>
      <c r="AS85" s="20">
        <f>IF('Growth profile'!AR159&gt;0,1,IF('Growth profile'!AR262&gt;0,3,0))</f>
        <v>3</v>
      </c>
      <c r="AT85" s="20">
        <f>IF('Growth profile'!AS159&gt;0,1,IF('Growth profile'!AS262&gt;0,3,0))</f>
        <v>3</v>
      </c>
      <c r="AU85" s="20">
        <f>IF('Growth profile'!AT159&gt;0,1,IF('Growth profile'!AT262&gt;0,3,0))</f>
        <v>3</v>
      </c>
      <c r="AV85" s="20">
        <f>IF('Growth profile'!AU159&gt;0,1,IF('Growth profile'!AU262&gt;0,3,0))</f>
        <v>3</v>
      </c>
      <c r="AW85" s="20">
        <f>IF('Growth profile'!AV159&gt;0,1,IF('Growth profile'!AV262&gt;0,3,0))</f>
        <v>3</v>
      </c>
      <c r="AX85" s="20">
        <f>IF('Growth profile'!AW159&gt;0,1,IF('Growth profile'!AW262&gt;0,3,0))</f>
        <v>3</v>
      </c>
      <c r="AY85" s="20">
        <f>IF('Growth profile'!AX159&gt;0,1,IF('Growth profile'!AX262&gt;0,3,0))</f>
        <v>3</v>
      </c>
      <c r="AZ85" s="20">
        <f>IF('Growth profile'!AY159&gt;0,1,IF('Growth profile'!AY262&gt;0,3,0))</f>
        <v>3</v>
      </c>
      <c r="BA85" s="20">
        <f>IF('Growth profile'!AZ159&gt;0,1,IF('Growth profile'!AZ262&gt;0,3,0))</f>
        <v>3</v>
      </c>
      <c r="BB85" s="20">
        <f>IF('Growth profile'!BA159&gt;0,1,IF('Growth profile'!BA262&gt;0,3,0))</f>
        <v>3</v>
      </c>
      <c r="BC85" s="20">
        <f>IF('Growth profile'!BB159&gt;0,1,IF('Growth profile'!BB262&gt;0,3,0))</f>
        <v>3</v>
      </c>
      <c r="BD85" s="20">
        <f>IF('Growth profile'!BC159&gt;0,1,IF('Growth profile'!BC262&gt;0,3,0))</f>
        <v>3</v>
      </c>
      <c r="BE85" s="20">
        <f>IF('Growth profile'!BD159&gt;0,1,IF('Growth profile'!BD262&gt;0,3,0))</f>
        <v>3</v>
      </c>
      <c r="BF85" s="20">
        <f>IF('Growth profile'!BE159&gt;0,1,IF('Growth profile'!BE262&gt;0,3,0))</f>
        <v>3</v>
      </c>
      <c r="BG85" s="20">
        <f>IF('Growth profile'!BF159&gt;0,1,IF('Growth profile'!BF262&gt;0,3,0))</f>
        <v>3</v>
      </c>
      <c r="BH85" s="20">
        <f>IF('Growth profile'!BG159&gt;0,1,IF('Growth profile'!BG262&gt;0,3,0))</f>
        <v>3</v>
      </c>
      <c r="BI85" s="20">
        <f>IF('Growth profile'!BH159&gt;0,1,IF('Growth profile'!BH262&gt;0,3,0))</f>
        <v>3</v>
      </c>
      <c r="BJ85" s="20">
        <f>IF('Growth profile'!BI159&gt;0,1,IF('Growth profile'!BI262&gt;0,3,0))</f>
        <v>3</v>
      </c>
      <c r="BK85" s="21">
        <f>IF('Growth profile'!BJ159&gt;0,1,IF('Growth profile'!BJ262&gt;0,3,0))</f>
        <v>0</v>
      </c>
    </row>
    <row r="86" spans="1:63" x14ac:dyDescent="0.3">
      <c r="B86" s="13" t="s">
        <v>59</v>
      </c>
      <c r="C86" s="19">
        <f>'Growth (no penalty)'!I51</f>
        <v>2044</v>
      </c>
      <c r="D86" s="22">
        <f>IF('Growth (no penalty)'!C159&gt;0,1,IF('Growth (no penalty)'!C262&gt;0,4,0))</f>
        <v>0</v>
      </c>
      <c r="E86" s="22">
        <f>IF('Growth (no penalty)'!D159&gt;0,1,IF('Growth (no penalty)'!D262&gt;0,4,0))</f>
        <v>0</v>
      </c>
      <c r="F86" s="22">
        <f>IF('Growth (no penalty)'!E159&gt;0,1,IF('Growth (no penalty)'!E262&gt;0,4,0))</f>
        <v>0</v>
      </c>
      <c r="G86" s="22">
        <f>IF('Growth (no penalty)'!F159&gt;0,1,IF('Growth (no penalty)'!F262&gt;0,4,0))</f>
        <v>0</v>
      </c>
      <c r="H86" s="22">
        <f>IF('Growth (no penalty)'!G159&gt;0,1,IF('Growth (no penalty)'!G262&gt;0,4,0))</f>
        <v>0</v>
      </c>
      <c r="I86" s="22">
        <f>IF('Growth (no penalty)'!H159&gt;0,1,IF('Growth (no penalty)'!H262&gt;0,4,0))</f>
        <v>0</v>
      </c>
      <c r="J86" s="22">
        <f>IF('Growth (no penalty)'!I159&gt;0,1,IF('Growth (no penalty)'!I262&gt;0,4,0))</f>
        <v>0</v>
      </c>
      <c r="K86" s="22">
        <f>IF('Growth (no penalty)'!J159&gt;0,1,IF('Growth (no penalty)'!J262&gt;0,4,0))</f>
        <v>0</v>
      </c>
      <c r="L86" s="22">
        <f>IF('Growth (no penalty)'!K159&gt;0,1,IF('Growth (no penalty)'!K262&gt;0,4,0))</f>
        <v>0</v>
      </c>
      <c r="M86" s="22">
        <f>IF('Growth (no penalty)'!L159&gt;0,1,IF('Growth (no penalty)'!L262&gt;0,4,0))</f>
        <v>0</v>
      </c>
      <c r="N86" s="22">
        <f>IF('Growth (no penalty)'!M159&gt;0,1,IF('Growth (no penalty)'!M262&gt;0,4,0))</f>
        <v>0</v>
      </c>
      <c r="O86" s="22">
        <f>IF('Growth (no penalty)'!N159&gt;0,1,IF('Growth (no penalty)'!N262&gt;0,4,0))</f>
        <v>0</v>
      </c>
      <c r="P86" s="22">
        <f>IF('Growth (no penalty)'!O159&gt;0,1,IF('Growth (no penalty)'!O262&gt;0,4,0))</f>
        <v>0</v>
      </c>
      <c r="Q86" s="22">
        <f>IF('Growth (no penalty)'!P159&gt;0,1,IF('Growth (no penalty)'!P262&gt;0,4,0))</f>
        <v>0</v>
      </c>
      <c r="R86" s="22">
        <f>IF('Growth (no penalty)'!Q159&gt;0,1,IF('Growth (no penalty)'!Q262&gt;0,4,0))</f>
        <v>0</v>
      </c>
      <c r="S86" s="22">
        <f>IF('Growth (no penalty)'!R159&gt;0,1,IF('Growth (no penalty)'!R262&gt;0,4,0))</f>
        <v>0</v>
      </c>
      <c r="T86" s="22">
        <f>IF('Growth (no penalty)'!S159&gt;0,1,IF('Growth (no penalty)'!S262&gt;0,4,0))</f>
        <v>0</v>
      </c>
      <c r="U86" s="22">
        <f>IF('Growth (no penalty)'!T159&gt;0,1,IF('Growth (no penalty)'!T262&gt;0,4,0))</f>
        <v>0</v>
      </c>
      <c r="V86" s="22">
        <f>IF('Growth (no penalty)'!U159&gt;0,1,IF('Growth (no penalty)'!U262&gt;0,4,0))</f>
        <v>1</v>
      </c>
      <c r="W86" s="22">
        <f>IF('Growth (no penalty)'!V159&gt;0,1,IF('Growth (no penalty)'!V262&gt;0,4,0))</f>
        <v>1</v>
      </c>
      <c r="X86" s="22">
        <f>IF('Growth (no penalty)'!W159&gt;0,1,IF('Growth (no penalty)'!W262&gt;0,4,0))</f>
        <v>4</v>
      </c>
      <c r="Y86" s="22">
        <f>IF('Growth (no penalty)'!X159&gt;0,1,IF('Growth (no penalty)'!X262&gt;0,4,0))</f>
        <v>4</v>
      </c>
      <c r="Z86" s="22">
        <f>IF('Growth (no penalty)'!Y159&gt;0,1,IF('Growth (no penalty)'!Y262&gt;0,4,0))</f>
        <v>4</v>
      </c>
      <c r="AA86" s="22">
        <f>IF('Growth (no penalty)'!Z159&gt;0,1,IF('Growth (no penalty)'!Z262&gt;0,4,0))</f>
        <v>4</v>
      </c>
      <c r="AB86" s="22">
        <f>IF('Growth (no penalty)'!AA159&gt;0,1,IF('Growth (no penalty)'!AA262&gt;0,4,0))</f>
        <v>4</v>
      </c>
      <c r="AC86" s="22">
        <f>IF('Growth (no penalty)'!AB159&gt;0,1,IF('Growth (no penalty)'!AB262&gt;0,4,0))</f>
        <v>4</v>
      </c>
      <c r="AD86" s="22">
        <f>IF('Growth (no penalty)'!AC159&gt;0,1,IF('Growth (no penalty)'!AC262&gt;0,4,0))</f>
        <v>4</v>
      </c>
      <c r="AE86" s="22">
        <f>IF('Growth (no penalty)'!AD159&gt;0,1,IF('Growth (no penalty)'!AD262&gt;0,4,0))</f>
        <v>4</v>
      </c>
      <c r="AF86" s="22">
        <f>IF('Growth (no penalty)'!AE159&gt;0,1,IF('Growth (no penalty)'!AE262&gt;0,4,0))</f>
        <v>4</v>
      </c>
      <c r="AG86" s="22">
        <f>IF('Growth (no penalty)'!AF159&gt;0,1,IF('Growth (no penalty)'!AF262&gt;0,4,0))</f>
        <v>4</v>
      </c>
      <c r="AH86" s="22">
        <f>IF('Growth (no penalty)'!AG159&gt;0,1,IF('Growth (no penalty)'!AG262&gt;0,4,0))</f>
        <v>4</v>
      </c>
      <c r="AI86" s="22">
        <f>IF('Growth (no penalty)'!AH159&gt;0,1,IF('Growth (no penalty)'!AH262&gt;0,4,0))</f>
        <v>4</v>
      </c>
      <c r="AJ86" s="22">
        <f>IF('Growth (no penalty)'!AI159&gt;0,1,IF('Growth (no penalty)'!AI262&gt;0,4,0))</f>
        <v>4</v>
      </c>
      <c r="AK86" s="22">
        <f>IF('Growth (no penalty)'!AJ159&gt;0,1,IF('Growth (no penalty)'!AJ262&gt;0,4,0))</f>
        <v>4</v>
      </c>
      <c r="AL86" s="22">
        <f>IF('Growth (no penalty)'!AK159&gt;0,1,IF('Growth (no penalty)'!AK262&gt;0,4,0))</f>
        <v>4</v>
      </c>
      <c r="AM86" s="22">
        <f>IF('Growth (no penalty)'!AL159&gt;0,1,IF('Growth (no penalty)'!AL262&gt;0,4,0))</f>
        <v>4</v>
      </c>
      <c r="AN86" s="22">
        <f>IF('Growth (no penalty)'!AM159&gt;0,1,IF('Growth (no penalty)'!AM262&gt;0,4,0))</f>
        <v>4</v>
      </c>
      <c r="AO86" s="22">
        <f>IF('Growth (no penalty)'!AN159&gt;0,1,IF('Growth (no penalty)'!AN262&gt;0,4,0))</f>
        <v>4</v>
      </c>
      <c r="AP86" s="22">
        <f>IF('Growth (no penalty)'!AO159&gt;0,1,IF('Growth (no penalty)'!AO262&gt;0,4,0))</f>
        <v>4</v>
      </c>
      <c r="AQ86" s="22">
        <f>IF('Growth (no penalty)'!AP159&gt;0,1,IF('Growth (no penalty)'!AP262&gt;0,4,0))</f>
        <v>4</v>
      </c>
      <c r="AR86" s="22">
        <f>IF('Growth (no penalty)'!AQ159&gt;0,1,IF('Growth (no penalty)'!AQ262&gt;0,4,0))</f>
        <v>4</v>
      </c>
      <c r="AS86" s="22">
        <f>IF('Growth (no penalty)'!AR159&gt;0,1,IF('Growth (no penalty)'!AR262&gt;0,4,0))</f>
        <v>4</v>
      </c>
      <c r="AT86" s="22">
        <f>IF('Growth (no penalty)'!AS159&gt;0,1,IF('Growth (no penalty)'!AS262&gt;0,4,0))</f>
        <v>4</v>
      </c>
      <c r="AU86" s="22">
        <f>IF('Growth (no penalty)'!AT159&gt;0,1,IF('Growth (no penalty)'!AT262&gt;0,4,0))</f>
        <v>4</v>
      </c>
      <c r="AV86" s="22">
        <f>IF('Growth (no penalty)'!AU159&gt;0,1,IF('Growth (no penalty)'!AU262&gt;0,4,0))</f>
        <v>4</v>
      </c>
      <c r="AW86" s="22">
        <f>IF('Growth (no penalty)'!AV159&gt;0,1,IF('Growth (no penalty)'!AV262&gt;0,4,0))</f>
        <v>4</v>
      </c>
      <c r="AX86" s="22">
        <f>IF('Growth (no penalty)'!AW159&gt;0,1,IF('Growth (no penalty)'!AW262&gt;0,4,0))</f>
        <v>4</v>
      </c>
      <c r="AY86" s="22">
        <f>IF('Growth (no penalty)'!AX159&gt;0,1,IF('Growth (no penalty)'!AX262&gt;0,4,0))</f>
        <v>4</v>
      </c>
      <c r="AZ86" s="22">
        <f>IF('Growth (no penalty)'!AY159&gt;0,1,IF('Growth (no penalty)'!AY262&gt;0,4,0))</f>
        <v>4</v>
      </c>
      <c r="BA86" s="22">
        <f>IF('Growth (no penalty)'!AZ159&gt;0,1,IF('Growth (no penalty)'!AZ262&gt;0,4,0))</f>
        <v>4</v>
      </c>
      <c r="BB86" s="22">
        <f>IF('Growth (no penalty)'!BA159&gt;0,1,IF('Growth (no penalty)'!BA262&gt;0,4,0))</f>
        <v>4</v>
      </c>
      <c r="BC86" s="22">
        <f>IF('Growth (no penalty)'!BB159&gt;0,1,IF('Growth (no penalty)'!BB262&gt;0,4,0))</f>
        <v>4</v>
      </c>
      <c r="BD86" s="22">
        <f>IF('Growth (no penalty)'!BC159&gt;0,1,IF('Growth (no penalty)'!BC262&gt;0,4,0))</f>
        <v>4</v>
      </c>
      <c r="BE86" s="22">
        <f>IF('Growth (no penalty)'!BD159&gt;0,1,IF('Growth (no penalty)'!BD262&gt;0,4,0))</f>
        <v>4</v>
      </c>
      <c r="BF86" s="22">
        <f>IF('Growth (no penalty)'!BE159&gt;0,1,IF('Growth (no penalty)'!BE262&gt;0,4,0))</f>
        <v>4</v>
      </c>
      <c r="BG86" s="22">
        <f>IF('Growth (no penalty)'!BF159&gt;0,1,IF('Growth (no penalty)'!BF262&gt;0,4,0))</f>
        <v>4</v>
      </c>
      <c r="BH86" s="22">
        <f>IF('Growth (no penalty)'!BG159&gt;0,1,IF('Growth (no penalty)'!BG262&gt;0,4,0))</f>
        <v>4</v>
      </c>
      <c r="BI86" s="22">
        <f>IF('Growth (no penalty)'!BH159&gt;0,1,IF('Growth (no penalty)'!BH262&gt;0,4,0))</f>
        <v>4</v>
      </c>
      <c r="BJ86" s="22">
        <f>IF('Growth (no penalty)'!BI159&gt;0,1,IF('Growth (no penalty)'!BI262&gt;0,4,0))</f>
        <v>4</v>
      </c>
      <c r="BK86" s="23">
        <f>IF('Growth (no penalty)'!BJ159&gt;0,1,IF('Growth (no penalty)'!BJ262&gt;0,4,0))</f>
        <v>4</v>
      </c>
    </row>
    <row r="87" spans="1:63" x14ac:dyDescent="0.3">
      <c r="A87" s="4" t="str">
        <f>'Growth profile'!A91</f>
        <v>project 144</v>
      </c>
      <c r="B87" s="13" t="s">
        <v>3</v>
      </c>
      <c r="C87" s="19">
        <f>'Raw profile'!I91</f>
        <v>2027</v>
      </c>
      <c r="D87" s="20">
        <f>IF('Raw profile'!C199&gt;0,1,IF('Raw profile'!C302&gt;0,2,0))</f>
        <v>0</v>
      </c>
      <c r="E87" s="20">
        <f>IF('Raw profile'!D199&gt;0,1,IF('Raw profile'!D302&gt;0,2,0))</f>
        <v>1</v>
      </c>
      <c r="F87" s="20">
        <f>IF('Raw profile'!E199&gt;0,1,IF('Raw profile'!E302&gt;0,2,0))</f>
        <v>0</v>
      </c>
      <c r="G87" s="20">
        <f>IF('Raw profile'!F199&gt;0,1,IF('Raw profile'!F302&gt;0,2,0))</f>
        <v>0</v>
      </c>
      <c r="H87" s="20">
        <f>IF('Raw profile'!G199&gt;0,1,IF('Raw profile'!G302&gt;0,2,0))</f>
        <v>0</v>
      </c>
      <c r="I87" s="20">
        <f>IF('Raw profile'!H199&gt;0,1,IF('Raw profile'!H302&gt;0,2,0))</f>
        <v>1</v>
      </c>
      <c r="J87" s="20">
        <f>IF('Raw profile'!I199&gt;0,1,IF('Raw profile'!I302&gt;0,2,0))</f>
        <v>2</v>
      </c>
      <c r="K87" s="20">
        <f>IF('Raw profile'!J199&gt;0,1,IF('Raw profile'!J302&gt;0,2,0))</f>
        <v>2</v>
      </c>
      <c r="L87" s="20">
        <f>IF('Raw profile'!K199&gt;0,1,IF('Raw profile'!K302&gt;0,2,0))</f>
        <v>2</v>
      </c>
      <c r="M87" s="20">
        <f>IF('Raw profile'!L199&gt;0,1,IF('Raw profile'!L302&gt;0,2,0))</f>
        <v>2</v>
      </c>
      <c r="N87" s="20">
        <f>IF('Raw profile'!M199&gt;0,1,IF('Raw profile'!M302&gt;0,2,0))</f>
        <v>2</v>
      </c>
      <c r="O87" s="20">
        <f>IF('Raw profile'!N199&gt;0,1,IF('Raw profile'!N302&gt;0,2,0))</f>
        <v>2</v>
      </c>
      <c r="P87" s="20">
        <f>IF('Raw profile'!O199&gt;0,1,IF('Raw profile'!O302&gt;0,2,0))</f>
        <v>2</v>
      </c>
      <c r="Q87" s="20">
        <f>IF('Raw profile'!P199&gt;0,1,IF('Raw profile'!P302&gt;0,2,0))</f>
        <v>2</v>
      </c>
      <c r="R87" s="20">
        <f>IF('Raw profile'!Q199&gt;0,1,IF('Raw profile'!Q302&gt;0,2,0))</f>
        <v>2</v>
      </c>
      <c r="S87" s="20">
        <f>IF('Raw profile'!R199&gt;0,1,IF('Raw profile'!R302&gt;0,2,0))</f>
        <v>2</v>
      </c>
      <c r="T87" s="20">
        <f>IF('Raw profile'!S199&gt;0,1,IF('Raw profile'!S302&gt;0,2,0))</f>
        <v>2</v>
      </c>
      <c r="U87" s="20">
        <f>IF('Raw profile'!T199&gt;0,1,IF('Raw profile'!T302&gt;0,2,0))</f>
        <v>2</v>
      </c>
      <c r="V87" s="20">
        <f>IF('Raw profile'!U199&gt;0,1,IF('Raw profile'!U302&gt;0,2,0))</f>
        <v>2</v>
      </c>
      <c r="W87" s="20">
        <f>IF('Raw profile'!V199&gt;0,1,IF('Raw profile'!V302&gt;0,2,0))</f>
        <v>2</v>
      </c>
      <c r="X87" s="20">
        <f>IF('Raw profile'!W199&gt;0,1,IF('Raw profile'!W302&gt;0,2,0))</f>
        <v>2</v>
      </c>
      <c r="Y87" s="20">
        <f>IF('Raw profile'!X199&gt;0,1,IF('Raw profile'!X302&gt;0,2,0))</f>
        <v>2</v>
      </c>
      <c r="Z87" s="20">
        <f>IF('Raw profile'!Y199&gt;0,1,IF('Raw profile'!Y302&gt;0,2,0))</f>
        <v>2</v>
      </c>
      <c r="AA87" s="20">
        <f>IF('Raw profile'!Z199&gt;0,1,IF('Raw profile'!Z302&gt;0,2,0))</f>
        <v>2</v>
      </c>
      <c r="AB87" s="20">
        <f>IF('Raw profile'!AA199&gt;0,1,IF('Raw profile'!AA302&gt;0,2,0))</f>
        <v>2</v>
      </c>
      <c r="AC87" s="20">
        <f>IF('Raw profile'!AB199&gt;0,1,IF('Raw profile'!AB302&gt;0,2,0))</f>
        <v>2</v>
      </c>
      <c r="AD87" s="20">
        <f>IF('Raw profile'!AC199&gt;0,1,IF('Raw profile'!AC302&gt;0,2,0))</f>
        <v>2</v>
      </c>
      <c r="AE87" s="20">
        <f>IF('Raw profile'!AD199&gt;0,1,IF('Raw profile'!AD302&gt;0,2,0))</f>
        <v>2</v>
      </c>
      <c r="AF87" s="20">
        <f>IF('Raw profile'!AE199&gt;0,1,IF('Raw profile'!AE302&gt;0,2,0))</f>
        <v>2</v>
      </c>
      <c r="AG87" s="20">
        <f>IF('Raw profile'!AF199&gt;0,1,IF('Raw profile'!AF302&gt;0,2,0))</f>
        <v>2</v>
      </c>
      <c r="AH87" s="20">
        <f>IF('Raw profile'!AG199&gt;0,1,IF('Raw profile'!AG302&gt;0,2,0))</f>
        <v>2</v>
      </c>
      <c r="AI87" s="20">
        <f>IF('Raw profile'!AH199&gt;0,1,IF('Raw profile'!AH302&gt;0,2,0))</f>
        <v>2</v>
      </c>
      <c r="AJ87" s="20">
        <f>IF('Raw profile'!AI199&gt;0,1,IF('Raw profile'!AI302&gt;0,2,0))</f>
        <v>2</v>
      </c>
      <c r="AK87" s="20">
        <f>IF('Raw profile'!AJ199&gt;0,1,IF('Raw profile'!AJ302&gt;0,2,0))</f>
        <v>2</v>
      </c>
      <c r="AL87" s="20">
        <f>IF('Raw profile'!AK199&gt;0,1,IF('Raw profile'!AK302&gt;0,2,0))</f>
        <v>2</v>
      </c>
      <c r="AM87" s="20">
        <f>IF('Raw profile'!AL199&gt;0,1,IF('Raw profile'!AL302&gt;0,2,0))</f>
        <v>2</v>
      </c>
      <c r="AN87" s="20">
        <f>IF('Raw profile'!AM199&gt;0,1,IF('Raw profile'!AM302&gt;0,2,0))</f>
        <v>2</v>
      </c>
      <c r="AO87" s="20">
        <f>IF('Raw profile'!AN199&gt;0,1,IF('Raw profile'!AN302&gt;0,2,0))</f>
        <v>2</v>
      </c>
      <c r="AP87" s="20">
        <f>IF('Raw profile'!AO199&gt;0,1,IF('Raw profile'!AO302&gt;0,2,0))</f>
        <v>2</v>
      </c>
      <c r="AQ87" s="20">
        <f>IF('Raw profile'!AP199&gt;0,1,IF('Raw profile'!AP302&gt;0,2,0))</f>
        <v>2</v>
      </c>
      <c r="AR87" s="20">
        <f>IF('Raw profile'!AQ199&gt;0,1,IF('Raw profile'!AQ302&gt;0,2,0))</f>
        <v>2</v>
      </c>
      <c r="AS87" s="20">
        <f>IF('Raw profile'!AR199&gt;0,1,IF('Raw profile'!AR302&gt;0,2,0))</f>
        <v>2</v>
      </c>
      <c r="AT87" s="20">
        <f>IF('Raw profile'!AS199&gt;0,1,IF('Raw profile'!AS302&gt;0,2,0))</f>
        <v>2</v>
      </c>
      <c r="AU87" s="20">
        <f>IF('Raw profile'!AT199&gt;0,1,IF('Raw profile'!AT302&gt;0,2,0))</f>
        <v>2</v>
      </c>
      <c r="AV87" s="20">
        <f>IF('Raw profile'!AU199&gt;0,1,IF('Raw profile'!AU302&gt;0,2,0))</f>
        <v>2</v>
      </c>
      <c r="AW87" s="20">
        <f>IF('Raw profile'!AV199&gt;0,1,IF('Raw profile'!AV302&gt;0,2,0))</f>
        <v>2</v>
      </c>
      <c r="AX87" s="20">
        <f>IF('Raw profile'!AW199&gt;0,1,IF('Raw profile'!AW302&gt;0,2,0))</f>
        <v>0</v>
      </c>
      <c r="AY87" s="20">
        <f>IF('Raw profile'!AX199&gt;0,1,IF('Raw profile'!AX302&gt;0,2,0))</f>
        <v>0</v>
      </c>
      <c r="AZ87" s="20">
        <f>IF('Raw profile'!AY199&gt;0,1,IF('Raw profile'!AY302&gt;0,2,0))</f>
        <v>0</v>
      </c>
      <c r="BA87" s="20">
        <f>IF('Raw profile'!AZ199&gt;0,1,IF('Raw profile'!AZ302&gt;0,2,0))</f>
        <v>0</v>
      </c>
      <c r="BB87" s="20">
        <f>IF('Raw profile'!BA199&gt;0,1,IF('Raw profile'!BA302&gt;0,2,0))</f>
        <v>0</v>
      </c>
      <c r="BC87" s="20">
        <f>IF('Raw profile'!BB199&gt;0,1,IF('Raw profile'!BB302&gt;0,2,0))</f>
        <v>0</v>
      </c>
      <c r="BD87" s="20">
        <f>IF('Raw profile'!BC199&gt;0,1,IF('Raw profile'!BC302&gt;0,2,0))</f>
        <v>0</v>
      </c>
      <c r="BE87" s="20">
        <f>IF('Raw profile'!BD199&gt;0,1,IF('Raw profile'!BD302&gt;0,2,0))</f>
        <v>0</v>
      </c>
      <c r="BF87" s="20">
        <f>IF('Raw profile'!BE199&gt;0,1,IF('Raw profile'!BE302&gt;0,2,0))</f>
        <v>0</v>
      </c>
      <c r="BG87" s="20">
        <f>IF('Raw profile'!BF199&gt;0,1,IF('Raw profile'!BF302&gt;0,2,0))</f>
        <v>0</v>
      </c>
      <c r="BH87" s="20">
        <f>IF('Raw profile'!BG199&gt;0,1,IF('Raw profile'!BG302&gt;0,2,0))</f>
        <v>0</v>
      </c>
      <c r="BI87" s="20">
        <f>IF('Raw profile'!BH199&gt;0,1,IF('Raw profile'!BH302&gt;0,2,0))</f>
        <v>0</v>
      </c>
      <c r="BJ87" s="20">
        <f>IF('Raw profile'!BI199&gt;0,1,IF('Raw profile'!BI302&gt;0,2,0))</f>
        <v>0</v>
      </c>
      <c r="BK87" s="21">
        <f>IF('Raw profile'!BJ199&gt;0,1,IF('Raw profile'!BJ302&gt;0,2,0))</f>
        <v>0</v>
      </c>
    </row>
    <row r="88" spans="1:63" x14ac:dyDescent="0.3">
      <c r="B88" s="13" t="s">
        <v>4</v>
      </c>
      <c r="C88" s="19">
        <f>'Growth profile'!I91</f>
        <v>2026</v>
      </c>
      <c r="D88" s="20">
        <f>IF('Growth profile'!C199&gt;0,1,IF('Growth profile'!C302&gt;0,3,0))</f>
        <v>1</v>
      </c>
      <c r="E88" s="20">
        <f>IF('Growth profile'!D199&gt;0,1,IF('Growth profile'!D302&gt;0,3,0))</f>
        <v>0</v>
      </c>
      <c r="F88" s="20">
        <f>IF('Growth profile'!E199&gt;0,1,IF('Growth profile'!E302&gt;0,3,0))</f>
        <v>0</v>
      </c>
      <c r="G88" s="20">
        <f>IF('Growth profile'!F199&gt;0,1,IF('Growth profile'!F302&gt;0,3,0))</f>
        <v>0</v>
      </c>
      <c r="H88" s="20">
        <f>IF('Growth profile'!G199&gt;0,1,IF('Growth profile'!G302&gt;0,3,0))</f>
        <v>1</v>
      </c>
      <c r="I88" s="20">
        <f>IF('Growth profile'!H199&gt;0,1,IF('Growth profile'!H302&gt;0,3,0))</f>
        <v>3</v>
      </c>
      <c r="J88" s="20">
        <f>IF('Growth profile'!I199&gt;0,1,IF('Growth profile'!I302&gt;0,3,0))</f>
        <v>3</v>
      </c>
      <c r="K88" s="20">
        <f>IF('Growth profile'!J199&gt;0,1,IF('Growth profile'!J302&gt;0,3,0))</f>
        <v>3</v>
      </c>
      <c r="L88" s="20">
        <f>IF('Growth profile'!K199&gt;0,1,IF('Growth profile'!K302&gt;0,3,0))</f>
        <v>3</v>
      </c>
      <c r="M88" s="20">
        <f>IF('Growth profile'!L199&gt;0,1,IF('Growth profile'!L302&gt;0,3,0))</f>
        <v>3</v>
      </c>
      <c r="N88" s="20">
        <f>IF('Growth profile'!M199&gt;0,1,IF('Growth profile'!M302&gt;0,3,0))</f>
        <v>3</v>
      </c>
      <c r="O88" s="20">
        <f>IF('Growth profile'!N199&gt;0,1,IF('Growth profile'!N302&gt;0,3,0))</f>
        <v>3</v>
      </c>
      <c r="P88" s="20">
        <f>IF('Growth profile'!O199&gt;0,1,IF('Growth profile'!O302&gt;0,3,0))</f>
        <v>3</v>
      </c>
      <c r="Q88" s="20">
        <f>IF('Growth profile'!P199&gt;0,1,IF('Growth profile'!P302&gt;0,3,0))</f>
        <v>3</v>
      </c>
      <c r="R88" s="20">
        <f>IF('Growth profile'!Q199&gt;0,1,IF('Growth profile'!Q302&gt;0,3,0))</f>
        <v>3</v>
      </c>
      <c r="S88" s="20">
        <f>IF('Growth profile'!R199&gt;0,1,IF('Growth profile'!R302&gt;0,3,0))</f>
        <v>3</v>
      </c>
      <c r="T88" s="20">
        <f>IF('Growth profile'!S199&gt;0,1,IF('Growth profile'!S302&gt;0,3,0))</f>
        <v>3</v>
      </c>
      <c r="U88" s="20">
        <f>IF('Growth profile'!T199&gt;0,1,IF('Growth profile'!T302&gt;0,3,0))</f>
        <v>3</v>
      </c>
      <c r="V88" s="20">
        <f>IF('Growth profile'!U199&gt;0,1,IF('Growth profile'!U302&gt;0,3,0))</f>
        <v>3</v>
      </c>
      <c r="W88" s="20">
        <f>IF('Growth profile'!V199&gt;0,1,IF('Growth profile'!V302&gt;0,3,0))</f>
        <v>3</v>
      </c>
      <c r="X88" s="20">
        <f>IF('Growth profile'!W199&gt;0,1,IF('Growth profile'!W302&gt;0,3,0))</f>
        <v>3</v>
      </c>
      <c r="Y88" s="20">
        <f>IF('Growth profile'!X199&gt;0,1,IF('Growth profile'!X302&gt;0,3,0))</f>
        <v>3</v>
      </c>
      <c r="Z88" s="20">
        <f>IF('Growth profile'!Y199&gt;0,1,IF('Growth profile'!Y302&gt;0,3,0))</f>
        <v>3</v>
      </c>
      <c r="AA88" s="20">
        <f>IF('Growth profile'!Z199&gt;0,1,IF('Growth profile'!Z302&gt;0,3,0))</f>
        <v>3</v>
      </c>
      <c r="AB88" s="20">
        <f>IF('Growth profile'!AA199&gt;0,1,IF('Growth profile'!AA302&gt;0,3,0))</f>
        <v>3</v>
      </c>
      <c r="AC88" s="20">
        <f>IF('Growth profile'!AB199&gt;0,1,IF('Growth profile'!AB302&gt;0,3,0))</f>
        <v>3</v>
      </c>
      <c r="AD88" s="20">
        <f>IF('Growth profile'!AC199&gt;0,1,IF('Growth profile'!AC302&gt;0,3,0))</f>
        <v>3</v>
      </c>
      <c r="AE88" s="20">
        <f>IF('Growth profile'!AD199&gt;0,1,IF('Growth profile'!AD302&gt;0,3,0))</f>
        <v>3</v>
      </c>
      <c r="AF88" s="20">
        <f>IF('Growth profile'!AE199&gt;0,1,IF('Growth profile'!AE302&gt;0,3,0))</f>
        <v>3</v>
      </c>
      <c r="AG88" s="20">
        <f>IF('Growth profile'!AF199&gt;0,1,IF('Growth profile'!AF302&gt;0,3,0))</f>
        <v>3</v>
      </c>
      <c r="AH88" s="20">
        <f>IF('Growth profile'!AG199&gt;0,1,IF('Growth profile'!AG302&gt;0,3,0))</f>
        <v>3</v>
      </c>
      <c r="AI88" s="20">
        <f>IF('Growth profile'!AH199&gt;0,1,IF('Growth profile'!AH302&gt;0,3,0))</f>
        <v>3</v>
      </c>
      <c r="AJ88" s="20">
        <f>IF('Growth profile'!AI199&gt;0,1,IF('Growth profile'!AI302&gt;0,3,0))</f>
        <v>3</v>
      </c>
      <c r="AK88" s="20">
        <f>IF('Growth profile'!AJ199&gt;0,1,IF('Growth profile'!AJ302&gt;0,3,0))</f>
        <v>3</v>
      </c>
      <c r="AL88" s="20">
        <f>IF('Growth profile'!AK199&gt;0,1,IF('Growth profile'!AK302&gt;0,3,0))</f>
        <v>3</v>
      </c>
      <c r="AM88" s="20">
        <f>IF('Growth profile'!AL199&gt;0,1,IF('Growth profile'!AL302&gt;0,3,0))</f>
        <v>3</v>
      </c>
      <c r="AN88" s="20">
        <f>IF('Growth profile'!AM199&gt;0,1,IF('Growth profile'!AM302&gt;0,3,0))</f>
        <v>3</v>
      </c>
      <c r="AO88" s="20">
        <f>IF('Growth profile'!AN199&gt;0,1,IF('Growth profile'!AN302&gt;0,3,0))</f>
        <v>3</v>
      </c>
      <c r="AP88" s="20">
        <f>IF('Growth profile'!AO199&gt;0,1,IF('Growth profile'!AO302&gt;0,3,0))</f>
        <v>3</v>
      </c>
      <c r="AQ88" s="20">
        <f>IF('Growth profile'!AP199&gt;0,1,IF('Growth profile'!AP302&gt;0,3,0))</f>
        <v>3</v>
      </c>
      <c r="AR88" s="20">
        <f>IF('Growth profile'!AQ199&gt;0,1,IF('Growth profile'!AQ302&gt;0,3,0))</f>
        <v>3</v>
      </c>
      <c r="AS88" s="20">
        <f>IF('Growth profile'!AR199&gt;0,1,IF('Growth profile'!AR302&gt;0,3,0))</f>
        <v>3</v>
      </c>
      <c r="AT88" s="20">
        <f>IF('Growth profile'!AS199&gt;0,1,IF('Growth profile'!AS302&gt;0,3,0))</f>
        <v>3</v>
      </c>
      <c r="AU88" s="20">
        <f>IF('Growth profile'!AT199&gt;0,1,IF('Growth profile'!AT302&gt;0,3,0))</f>
        <v>3</v>
      </c>
      <c r="AV88" s="20">
        <f>IF('Growth profile'!AU199&gt;0,1,IF('Growth profile'!AU302&gt;0,3,0))</f>
        <v>3</v>
      </c>
      <c r="AW88" s="20">
        <f>IF('Growth profile'!AV199&gt;0,1,IF('Growth profile'!AV302&gt;0,3,0))</f>
        <v>0</v>
      </c>
      <c r="AX88" s="20">
        <f>IF('Growth profile'!AW199&gt;0,1,IF('Growth profile'!AW302&gt;0,3,0))</f>
        <v>0</v>
      </c>
      <c r="AY88" s="20">
        <f>IF('Growth profile'!AX199&gt;0,1,IF('Growth profile'!AX302&gt;0,3,0))</f>
        <v>0</v>
      </c>
      <c r="AZ88" s="20">
        <f>IF('Growth profile'!AY199&gt;0,1,IF('Growth profile'!AY302&gt;0,3,0))</f>
        <v>0</v>
      </c>
      <c r="BA88" s="20">
        <f>IF('Growth profile'!AZ199&gt;0,1,IF('Growth profile'!AZ302&gt;0,3,0))</f>
        <v>0</v>
      </c>
      <c r="BB88" s="20">
        <f>IF('Growth profile'!BA199&gt;0,1,IF('Growth profile'!BA302&gt;0,3,0))</f>
        <v>0</v>
      </c>
      <c r="BC88" s="20">
        <f>IF('Growth profile'!BB199&gt;0,1,IF('Growth profile'!BB302&gt;0,3,0))</f>
        <v>0</v>
      </c>
      <c r="BD88" s="20">
        <f>IF('Growth profile'!BC199&gt;0,1,IF('Growth profile'!BC302&gt;0,3,0))</f>
        <v>0</v>
      </c>
      <c r="BE88" s="20">
        <f>IF('Growth profile'!BD199&gt;0,1,IF('Growth profile'!BD302&gt;0,3,0))</f>
        <v>0</v>
      </c>
      <c r="BF88" s="20">
        <f>IF('Growth profile'!BE199&gt;0,1,IF('Growth profile'!BE302&gt;0,3,0))</f>
        <v>0</v>
      </c>
      <c r="BG88" s="20">
        <f>IF('Growth profile'!BF199&gt;0,1,IF('Growth profile'!BF302&gt;0,3,0))</f>
        <v>0</v>
      </c>
      <c r="BH88" s="20">
        <f>IF('Growth profile'!BG199&gt;0,1,IF('Growth profile'!BG302&gt;0,3,0))</f>
        <v>0</v>
      </c>
      <c r="BI88" s="20">
        <f>IF('Growth profile'!BH199&gt;0,1,IF('Growth profile'!BH302&gt;0,3,0))</f>
        <v>0</v>
      </c>
      <c r="BJ88" s="20">
        <f>IF('Growth profile'!BI199&gt;0,1,IF('Growth profile'!BI302&gt;0,3,0))</f>
        <v>0</v>
      </c>
      <c r="BK88" s="21">
        <f>IF('Growth profile'!BJ199&gt;0,1,IF('Growth profile'!BJ302&gt;0,3,0))</f>
        <v>0</v>
      </c>
    </row>
    <row r="89" spans="1:63" x14ac:dyDescent="0.3">
      <c r="B89" s="13" t="s">
        <v>59</v>
      </c>
      <c r="C89" s="19">
        <f>'Growth (no penalty)'!I91</f>
        <v>2026</v>
      </c>
      <c r="D89" s="22">
        <f>IF('Growth (no penalty)'!C199&gt;0,1,IF('Growth (no penalty)'!C302&gt;0,4,0))</f>
        <v>1</v>
      </c>
      <c r="E89" s="22">
        <f>IF('Growth (no penalty)'!D199&gt;0,1,IF('Growth (no penalty)'!D302&gt;0,4,0))</f>
        <v>0</v>
      </c>
      <c r="F89" s="22">
        <f>IF('Growth (no penalty)'!E199&gt;0,1,IF('Growth (no penalty)'!E302&gt;0,4,0))</f>
        <v>0</v>
      </c>
      <c r="G89" s="22">
        <f>IF('Growth (no penalty)'!F199&gt;0,1,IF('Growth (no penalty)'!F302&gt;0,4,0))</f>
        <v>0</v>
      </c>
      <c r="H89" s="22">
        <f>IF('Growth (no penalty)'!G199&gt;0,1,IF('Growth (no penalty)'!G302&gt;0,4,0))</f>
        <v>1</v>
      </c>
      <c r="I89" s="22">
        <f>IF('Growth (no penalty)'!H199&gt;0,1,IF('Growth (no penalty)'!H302&gt;0,4,0))</f>
        <v>4</v>
      </c>
      <c r="J89" s="22">
        <f>IF('Growth (no penalty)'!I199&gt;0,1,IF('Growth (no penalty)'!I302&gt;0,4,0))</f>
        <v>4</v>
      </c>
      <c r="K89" s="22">
        <f>IF('Growth (no penalty)'!J199&gt;0,1,IF('Growth (no penalty)'!J302&gt;0,4,0))</f>
        <v>4</v>
      </c>
      <c r="L89" s="22">
        <f>IF('Growth (no penalty)'!K199&gt;0,1,IF('Growth (no penalty)'!K302&gt;0,4,0))</f>
        <v>4</v>
      </c>
      <c r="M89" s="22">
        <f>IF('Growth (no penalty)'!L199&gt;0,1,IF('Growth (no penalty)'!L302&gt;0,4,0))</f>
        <v>4</v>
      </c>
      <c r="N89" s="22">
        <f>IF('Growth (no penalty)'!M199&gt;0,1,IF('Growth (no penalty)'!M302&gt;0,4,0))</f>
        <v>4</v>
      </c>
      <c r="O89" s="22">
        <f>IF('Growth (no penalty)'!N199&gt;0,1,IF('Growth (no penalty)'!N302&gt;0,4,0))</f>
        <v>4</v>
      </c>
      <c r="P89" s="22">
        <f>IF('Growth (no penalty)'!O199&gt;0,1,IF('Growth (no penalty)'!O302&gt;0,4,0))</f>
        <v>4</v>
      </c>
      <c r="Q89" s="22">
        <f>IF('Growth (no penalty)'!P199&gt;0,1,IF('Growth (no penalty)'!P302&gt;0,4,0))</f>
        <v>4</v>
      </c>
      <c r="R89" s="22">
        <f>IF('Growth (no penalty)'!Q199&gt;0,1,IF('Growth (no penalty)'!Q302&gt;0,4,0))</f>
        <v>4</v>
      </c>
      <c r="S89" s="22">
        <f>IF('Growth (no penalty)'!R199&gt;0,1,IF('Growth (no penalty)'!R302&gt;0,4,0))</f>
        <v>4</v>
      </c>
      <c r="T89" s="22">
        <f>IF('Growth (no penalty)'!S199&gt;0,1,IF('Growth (no penalty)'!S302&gt;0,4,0))</f>
        <v>4</v>
      </c>
      <c r="U89" s="22">
        <f>IF('Growth (no penalty)'!T199&gt;0,1,IF('Growth (no penalty)'!T302&gt;0,4,0))</f>
        <v>4</v>
      </c>
      <c r="V89" s="22">
        <f>IF('Growth (no penalty)'!U199&gt;0,1,IF('Growth (no penalty)'!U302&gt;0,4,0))</f>
        <v>4</v>
      </c>
      <c r="W89" s="22">
        <f>IF('Growth (no penalty)'!V199&gt;0,1,IF('Growth (no penalty)'!V302&gt;0,4,0))</f>
        <v>4</v>
      </c>
      <c r="X89" s="22">
        <f>IF('Growth (no penalty)'!W199&gt;0,1,IF('Growth (no penalty)'!W302&gt;0,4,0))</f>
        <v>4</v>
      </c>
      <c r="Y89" s="22">
        <f>IF('Growth (no penalty)'!X199&gt;0,1,IF('Growth (no penalty)'!X302&gt;0,4,0))</f>
        <v>4</v>
      </c>
      <c r="Z89" s="22">
        <f>IF('Growth (no penalty)'!Y199&gt;0,1,IF('Growth (no penalty)'!Y302&gt;0,4,0))</f>
        <v>4</v>
      </c>
      <c r="AA89" s="22">
        <f>IF('Growth (no penalty)'!Z199&gt;0,1,IF('Growth (no penalty)'!Z302&gt;0,4,0))</f>
        <v>4</v>
      </c>
      <c r="AB89" s="22">
        <f>IF('Growth (no penalty)'!AA199&gt;0,1,IF('Growth (no penalty)'!AA302&gt;0,4,0))</f>
        <v>4</v>
      </c>
      <c r="AC89" s="22">
        <f>IF('Growth (no penalty)'!AB199&gt;0,1,IF('Growth (no penalty)'!AB302&gt;0,4,0))</f>
        <v>4</v>
      </c>
      <c r="AD89" s="22">
        <f>IF('Growth (no penalty)'!AC199&gt;0,1,IF('Growth (no penalty)'!AC302&gt;0,4,0))</f>
        <v>4</v>
      </c>
      <c r="AE89" s="22">
        <f>IF('Growth (no penalty)'!AD199&gt;0,1,IF('Growth (no penalty)'!AD302&gt;0,4,0))</f>
        <v>4</v>
      </c>
      <c r="AF89" s="22">
        <f>IF('Growth (no penalty)'!AE199&gt;0,1,IF('Growth (no penalty)'!AE302&gt;0,4,0))</f>
        <v>4</v>
      </c>
      <c r="AG89" s="22">
        <f>IF('Growth (no penalty)'!AF199&gt;0,1,IF('Growth (no penalty)'!AF302&gt;0,4,0))</f>
        <v>4</v>
      </c>
      <c r="AH89" s="22">
        <f>IF('Growth (no penalty)'!AG199&gt;0,1,IF('Growth (no penalty)'!AG302&gt;0,4,0))</f>
        <v>4</v>
      </c>
      <c r="AI89" s="22">
        <f>IF('Growth (no penalty)'!AH199&gt;0,1,IF('Growth (no penalty)'!AH302&gt;0,4,0))</f>
        <v>4</v>
      </c>
      <c r="AJ89" s="22">
        <f>IF('Growth (no penalty)'!AI199&gt;0,1,IF('Growth (no penalty)'!AI302&gt;0,4,0))</f>
        <v>4</v>
      </c>
      <c r="AK89" s="22">
        <f>IF('Growth (no penalty)'!AJ199&gt;0,1,IF('Growth (no penalty)'!AJ302&gt;0,4,0))</f>
        <v>4</v>
      </c>
      <c r="AL89" s="22">
        <f>IF('Growth (no penalty)'!AK199&gt;0,1,IF('Growth (no penalty)'!AK302&gt;0,4,0))</f>
        <v>4</v>
      </c>
      <c r="AM89" s="22">
        <f>IF('Growth (no penalty)'!AL199&gt;0,1,IF('Growth (no penalty)'!AL302&gt;0,4,0))</f>
        <v>4</v>
      </c>
      <c r="AN89" s="22">
        <f>IF('Growth (no penalty)'!AM199&gt;0,1,IF('Growth (no penalty)'!AM302&gt;0,4,0))</f>
        <v>4</v>
      </c>
      <c r="AO89" s="22">
        <f>IF('Growth (no penalty)'!AN199&gt;0,1,IF('Growth (no penalty)'!AN302&gt;0,4,0))</f>
        <v>4</v>
      </c>
      <c r="AP89" s="22">
        <f>IF('Growth (no penalty)'!AO199&gt;0,1,IF('Growth (no penalty)'!AO302&gt;0,4,0))</f>
        <v>4</v>
      </c>
      <c r="AQ89" s="22">
        <f>IF('Growth (no penalty)'!AP199&gt;0,1,IF('Growth (no penalty)'!AP302&gt;0,4,0))</f>
        <v>4</v>
      </c>
      <c r="AR89" s="22">
        <f>IF('Growth (no penalty)'!AQ199&gt;0,1,IF('Growth (no penalty)'!AQ302&gt;0,4,0))</f>
        <v>4</v>
      </c>
      <c r="AS89" s="22">
        <f>IF('Growth (no penalty)'!AR199&gt;0,1,IF('Growth (no penalty)'!AR302&gt;0,4,0))</f>
        <v>4</v>
      </c>
      <c r="AT89" s="22">
        <f>IF('Growth (no penalty)'!AS199&gt;0,1,IF('Growth (no penalty)'!AS302&gt;0,4,0))</f>
        <v>4</v>
      </c>
      <c r="AU89" s="22">
        <f>IF('Growth (no penalty)'!AT199&gt;0,1,IF('Growth (no penalty)'!AT302&gt;0,4,0))</f>
        <v>4</v>
      </c>
      <c r="AV89" s="22">
        <f>IF('Growth (no penalty)'!AU199&gt;0,1,IF('Growth (no penalty)'!AU302&gt;0,4,0))</f>
        <v>4</v>
      </c>
      <c r="AW89" s="22">
        <f>IF('Growth (no penalty)'!AV199&gt;0,1,IF('Growth (no penalty)'!AV302&gt;0,4,0))</f>
        <v>0</v>
      </c>
      <c r="AX89" s="22">
        <f>IF('Growth (no penalty)'!AW199&gt;0,1,IF('Growth (no penalty)'!AW302&gt;0,4,0))</f>
        <v>0</v>
      </c>
      <c r="AY89" s="22">
        <f>IF('Growth (no penalty)'!AX199&gt;0,1,IF('Growth (no penalty)'!AX302&gt;0,4,0))</f>
        <v>0</v>
      </c>
      <c r="AZ89" s="22">
        <f>IF('Growth (no penalty)'!AY199&gt;0,1,IF('Growth (no penalty)'!AY302&gt;0,4,0))</f>
        <v>0</v>
      </c>
      <c r="BA89" s="22">
        <f>IF('Growth (no penalty)'!AZ199&gt;0,1,IF('Growth (no penalty)'!AZ302&gt;0,4,0))</f>
        <v>0</v>
      </c>
      <c r="BB89" s="22">
        <f>IF('Growth (no penalty)'!BA199&gt;0,1,IF('Growth (no penalty)'!BA302&gt;0,4,0))</f>
        <v>0</v>
      </c>
      <c r="BC89" s="22">
        <f>IF('Growth (no penalty)'!BB199&gt;0,1,IF('Growth (no penalty)'!BB302&gt;0,4,0))</f>
        <v>0</v>
      </c>
      <c r="BD89" s="22">
        <f>IF('Growth (no penalty)'!BC199&gt;0,1,IF('Growth (no penalty)'!BC302&gt;0,4,0))</f>
        <v>0</v>
      </c>
      <c r="BE89" s="22">
        <f>IF('Growth (no penalty)'!BD199&gt;0,1,IF('Growth (no penalty)'!BD302&gt;0,4,0))</f>
        <v>0</v>
      </c>
      <c r="BF89" s="22">
        <f>IF('Growth (no penalty)'!BE199&gt;0,1,IF('Growth (no penalty)'!BE302&gt;0,4,0))</f>
        <v>0</v>
      </c>
      <c r="BG89" s="22">
        <f>IF('Growth (no penalty)'!BF199&gt;0,1,IF('Growth (no penalty)'!BF302&gt;0,4,0))</f>
        <v>0</v>
      </c>
      <c r="BH89" s="22">
        <f>IF('Growth (no penalty)'!BG199&gt;0,1,IF('Growth (no penalty)'!BG302&gt;0,4,0))</f>
        <v>0</v>
      </c>
      <c r="BI89" s="22">
        <f>IF('Growth (no penalty)'!BH199&gt;0,1,IF('Growth (no penalty)'!BH302&gt;0,4,0))</f>
        <v>0</v>
      </c>
      <c r="BJ89" s="22">
        <f>IF('Growth (no penalty)'!BI199&gt;0,1,IF('Growth (no penalty)'!BI302&gt;0,4,0))</f>
        <v>0</v>
      </c>
      <c r="BK89" s="23">
        <f>IF('Growth (no penalty)'!BJ199&gt;0,1,IF('Growth (no penalty)'!BJ302&gt;0,4,0))</f>
        <v>0</v>
      </c>
    </row>
    <row r="90" spans="1:63" x14ac:dyDescent="0.3">
      <c r="A90" s="4" t="str">
        <f>'Growth profile'!A52</f>
        <v>project 50</v>
      </c>
      <c r="B90" s="13" t="s">
        <v>3</v>
      </c>
      <c r="C90" s="19">
        <f>'Raw profile'!I52</f>
        <v>2027</v>
      </c>
      <c r="D90" s="20">
        <f>IF('Raw profile'!C160&gt;0,1,IF('Raw profile'!C263&gt;0,2,0))</f>
        <v>0</v>
      </c>
      <c r="E90" s="20">
        <f>IF('Raw profile'!D160&gt;0,1,IF('Raw profile'!D263&gt;0,2,0))</f>
        <v>1</v>
      </c>
      <c r="F90" s="20">
        <f>IF('Raw profile'!E160&gt;0,1,IF('Raw profile'!E263&gt;0,2,0))</f>
        <v>1</v>
      </c>
      <c r="G90" s="20">
        <f>IF('Raw profile'!F160&gt;0,1,IF('Raw profile'!F263&gt;0,2,0))</f>
        <v>1</v>
      </c>
      <c r="H90" s="20">
        <f>IF('Raw profile'!G160&gt;0,1,IF('Raw profile'!G263&gt;0,2,0))</f>
        <v>1</v>
      </c>
      <c r="I90" s="20">
        <f>IF('Raw profile'!H160&gt;0,1,IF('Raw profile'!H263&gt;0,2,0))</f>
        <v>1</v>
      </c>
      <c r="J90" s="20">
        <f>IF('Raw profile'!I160&gt;0,1,IF('Raw profile'!I263&gt;0,2,0))</f>
        <v>1</v>
      </c>
      <c r="K90" s="20">
        <f>IF('Raw profile'!J160&gt;0,1,IF('Raw profile'!J263&gt;0,2,0))</f>
        <v>1</v>
      </c>
      <c r="L90" s="20">
        <f>IF('Raw profile'!K160&gt;0,1,IF('Raw profile'!K263&gt;0,2,0))</f>
        <v>1</v>
      </c>
      <c r="M90" s="20">
        <f>IF('Raw profile'!L160&gt;0,1,IF('Raw profile'!L263&gt;0,2,0))</f>
        <v>2</v>
      </c>
      <c r="N90" s="20">
        <f>IF('Raw profile'!M160&gt;0,1,IF('Raw profile'!M263&gt;0,2,0))</f>
        <v>2</v>
      </c>
      <c r="O90" s="20">
        <f>IF('Raw profile'!N160&gt;0,1,IF('Raw profile'!N263&gt;0,2,0))</f>
        <v>2</v>
      </c>
      <c r="P90" s="20">
        <f>IF('Raw profile'!O160&gt;0,1,IF('Raw profile'!O263&gt;0,2,0))</f>
        <v>2</v>
      </c>
      <c r="Q90" s="20">
        <f>IF('Raw profile'!P160&gt;0,1,IF('Raw profile'!P263&gt;0,2,0))</f>
        <v>2</v>
      </c>
      <c r="R90" s="20">
        <f>IF('Raw profile'!Q160&gt;0,1,IF('Raw profile'!Q263&gt;0,2,0))</f>
        <v>2</v>
      </c>
      <c r="S90" s="20">
        <f>IF('Raw profile'!R160&gt;0,1,IF('Raw profile'!R263&gt;0,2,0))</f>
        <v>2</v>
      </c>
      <c r="T90" s="20">
        <f>IF('Raw profile'!S160&gt;0,1,IF('Raw profile'!S263&gt;0,2,0))</f>
        <v>2</v>
      </c>
      <c r="U90" s="20">
        <f>IF('Raw profile'!T160&gt;0,1,IF('Raw profile'!T263&gt;0,2,0))</f>
        <v>2</v>
      </c>
      <c r="V90" s="20">
        <f>IF('Raw profile'!U160&gt;0,1,IF('Raw profile'!U263&gt;0,2,0))</f>
        <v>2</v>
      </c>
      <c r="W90" s="20">
        <f>IF('Raw profile'!V160&gt;0,1,IF('Raw profile'!V263&gt;0,2,0))</f>
        <v>2</v>
      </c>
      <c r="X90" s="20">
        <f>IF('Raw profile'!W160&gt;0,1,IF('Raw profile'!W263&gt;0,2,0))</f>
        <v>2</v>
      </c>
      <c r="Y90" s="20">
        <f>IF('Raw profile'!X160&gt;0,1,IF('Raw profile'!X263&gt;0,2,0))</f>
        <v>2</v>
      </c>
      <c r="Z90" s="20">
        <f>IF('Raw profile'!Y160&gt;0,1,IF('Raw profile'!Y263&gt;0,2,0))</f>
        <v>2</v>
      </c>
      <c r="AA90" s="20">
        <f>IF('Raw profile'!Z160&gt;0,1,IF('Raw profile'!Z263&gt;0,2,0))</f>
        <v>2</v>
      </c>
      <c r="AB90" s="20">
        <f>IF('Raw profile'!AA160&gt;0,1,IF('Raw profile'!AA263&gt;0,2,0))</f>
        <v>2</v>
      </c>
      <c r="AC90" s="20">
        <f>IF('Raw profile'!AB160&gt;0,1,IF('Raw profile'!AB263&gt;0,2,0))</f>
        <v>2</v>
      </c>
      <c r="AD90" s="20">
        <f>IF('Raw profile'!AC160&gt;0,1,IF('Raw profile'!AC263&gt;0,2,0))</f>
        <v>2</v>
      </c>
      <c r="AE90" s="20">
        <f>IF('Raw profile'!AD160&gt;0,1,IF('Raw profile'!AD263&gt;0,2,0))</f>
        <v>2</v>
      </c>
      <c r="AF90" s="20">
        <f>IF('Raw profile'!AE160&gt;0,1,IF('Raw profile'!AE263&gt;0,2,0))</f>
        <v>2</v>
      </c>
      <c r="AG90" s="20">
        <f>IF('Raw profile'!AF160&gt;0,1,IF('Raw profile'!AF263&gt;0,2,0))</f>
        <v>2</v>
      </c>
      <c r="AH90" s="20">
        <f>IF('Raw profile'!AG160&gt;0,1,IF('Raw profile'!AG263&gt;0,2,0))</f>
        <v>2</v>
      </c>
      <c r="AI90" s="20">
        <f>IF('Raw profile'!AH160&gt;0,1,IF('Raw profile'!AH263&gt;0,2,0))</f>
        <v>2</v>
      </c>
      <c r="AJ90" s="20">
        <f>IF('Raw profile'!AI160&gt;0,1,IF('Raw profile'!AI263&gt;0,2,0))</f>
        <v>2</v>
      </c>
      <c r="AK90" s="20">
        <f>IF('Raw profile'!AJ160&gt;0,1,IF('Raw profile'!AJ263&gt;0,2,0))</f>
        <v>2</v>
      </c>
      <c r="AL90" s="20">
        <f>IF('Raw profile'!AK160&gt;0,1,IF('Raw profile'!AK263&gt;0,2,0))</f>
        <v>2</v>
      </c>
      <c r="AM90" s="20">
        <f>IF('Raw profile'!AL160&gt;0,1,IF('Raw profile'!AL263&gt;0,2,0))</f>
        <v>2</v>
      </c>
      <c r="AN90" s="20">
        <f>IF('Raw profile'!AM160&gt;0,1,IF('Raw profile'!AM263&gt;0,2,0))</f>
        <v>2</v>
      </c>
      <c r="AO90" s="20">
        <f>IF('Raw profile'!AN160&gt;0,1,IF('Raw profile'!AN263&gt;0,2,0))</f>
        <v>2</v>
      </c>
      <c r="AP90" s="20">
        <f>IF('Raw profile'!AO160&gt;0,1,IF('Raw profile'!AO263&gt;0,2,0))</f>
        <v>2</v>
      </c>
      <c r="AQ90" s="20">
        <f>IF('Raw profile'!AP160&gt;0,1,IF('Raw profile'!AP263&gt;0,2,0))</f>
        <v>2</v>
      </c>
      <c r="AR90" s="20">
        <f>IF('Raw profile'!AQ160&gt;0,1,IF('Raw profile'!AQ263&gt;0,2,0))</f>
        <v>2</v>
      </c>
      <c r="AS90" s="20">
        <f>IF('Raw profile'!AR160&gt;0,1,IF('Raw profile'!AR263&gt;0,2,0))</f>
        <v>2</v>
      </c>
      <c r="AT90" s="20">
        <f>IF('Raw profile'!AS160&gt;0,1,IF('Raw profile'!AS263&gt;0,2,0))</f>
        <v>2</v>
      </c>
      <c r="AU90" s="20">
        <f>IF('Raw profile'!AT160&gt;0,1,IF('Raw profile'!AT263&gt;0,2,0))</f>
        <v>2</v>
      </c>
      <c r="AV90" s="20">
        <f>IF('Raw profile'!AU160&gt;0,1,IF('Raw profile'!AU263&gt;0,2,0))</f>
        <v>2</v>
      </c>
      <c r="AW90" s="20">
        <f>IF('Raw profile'!AV160&gt;0,1,IF('Raw profile'!AV263&gt;0,2,0))</f>
        <v>2</v>
      </c>
      <c r="AX90" s="20">
        <f>IF('Raw profile'!AW160&gt;0,1,IF('Raw profile'!AW263&gt;0,2,0))</f>
        <v>2</v>
      </c>
      <c r="AY90" s="20">
        <f>IF('Raw profile'!AX160&gt;0,1,IF('Raw profile'!AX263&gt;0,2,0))</f>
        <v>2</v>
      </c>
      <c r="AZ90" s="20">
        <f>IF('Raw profile'!AY160&gt;0,1,IF('Raw profile'!AY263&gt;0,2,0))</f>
        <v>2</v>
      </c>
      <c r="BA90" s="20">
        <f>IF('Raw profile'!AZ160&gt;0,1,IF('Raw profile'!AZ263&gt;0,2,0))</f>
        <v>0</v>
      </c>
      <c r="BB90" s="20">
        <f>IF('Raw profile'!BA160&gt;0,1,IF('Raw profile'!BA263&gt;0,2,0))</f>
        <v>0</v>
      </c>
      <c r="BC90" s="20">
        <f>IF('Raw profile'!BB160&gt;0,1,IF('Raw profile'!BB263&gt;0,2,0))</f>
        <v>0</v>
      </c>
      <c r="BD90" s="20">
        <f>IF('Raw profile'!BC160&gt;0,1,IF('Raw profile'!BC263&gt;0,2,0))</f>
        <v>0</v>
      </c>
      <c r="BE90" s="20">
        <f>IF('Raw profile'!BD160&gt;0,1,IF('Raw profile'!BD263&gt;0,2,0))</f>
        <v>0</v>
      </c>
      <c r="BF90" s="20">
        <f>IF('Raw profile'!BE160&gt;0,1,IF('Raw profile'!BE263&gt;0,2,0))</f>
        <v>0</v>
      </c>
      <c r="BG90" s="20">
        <f>IF('Raw profile'!BF160&gt;0,1,IF('Raw profile'!BF263&gt;0,2,0))</f>
        <v>0</v>
      </c>
      <c r="BH90" s="20">
        <f>IF('Raw profile'!BG160&gt;0,1,IF('Raw profile'!BG263&gt;0,2,0))</f>
        <v>0</v>
      </c>
      <c r="BI90" s="20">
        <f>IF('Raw profile'!BH160&gt;0,1,IF('Raw profile'!BH263&gt;0,2,0))</f>
        <v>0</v>
      </c>
      <c r="BJ90" s="20">
        <f>IF('Raw profile'!BI160&gt;0,1,IF('Raw profile'!BI263&gt;0,2,0))</f>
        <v>0</v>
      </c>
      <c r="BK90" s="21">
        <f>IF('Raw profile'!BJ160&gt;0,1,IF('Raw profile'!BJ263&gt;0,2,0))</f>
        <v>0</v>
      </c>
    </row>
    <row r="91" spans="1:63" x14ac:dyDescent="0.3">
      <c r="B91" s="13" t="s">
        <v>4</v>
      </c>
      <c r="C91" s="19">
        <f>'Growth profile'!I52</f>
        <v>2032</v>
      </c>
      <c r="D91" s="20">
        <f>IF('Growth profile'!C160&gt;0,1,IF('Growth profile'!C263&gt;0,3,0))</f>
        <v>0</v>
      </c>
      <c r="E91" s="20">
        <f>IF('Growth profile'!D160&gt;0,1,IF('Growth profile'!D263&gt;0,3,0))</f>
        <v>0</v>
      </c>
      <c r="F91" s="20">
        <f>IF('Growth profile'!E160&gt;0,1,IF('Growth profile'!E263&gt;0,3,0))</f>
        <v>0</v>
      </c>
      <c r="G91" s="20">
        <f>IF('Growth profile'!F160&gt;0,1,IF('Growth profile'!F263&gt;0,3,0))</f>
        <v>0</v>
      </c>
      <c r="H91" s="20">
        <f>IF('Growth profile'!G160&gt;0,1,IF('Growth profile'!G263&gt;0,3,0))</f>
        <v>0</v>
      </c>
      <c r="I91" s="20">
        <f>IF('Growth profile'!H160&gt;0,1,IF('Growth profile'!H263&gt;0,3,0))</f>
        <v>0</v>
      </c>
      <c r="J91" s="20">
        <f>IF('Growth profile'!I160&gt;0,1,IF('Growth profile'!I263&gt;0,3,0))</f>
        <v>1</v>
      </c>
      <c r="K91" s="20">
        <f>IF('Growth profile'!J160&gt;0,1,IF('Growth profile'!J263&gt;0,3,0))</f>
        <v>1</v>
      </c>
      <c r="L91" s="20">
        <f>IF('Growth profile'!K160&gt;0,1,IF('Growth profile'!K263&gt;0,3,0))</f>
        <v>1</v>
      </c>
      <c r="M91" s="20">
        <f>IF('Growth profile'!L160&gt;0,1,IF('Growth profile'!L263&gt;0,3,0))</f>
        <v>1</v>
      </c>
      <c r="N91" s="20">
        <f>IF('Growth profile'!M160&gt;0,1,IF('Growth profile'!M263&gt;0,3,0))</f>
        <v>1</v>
      </c>
      <c r="O91" s="20">
        <f>IF('Growth profile'!N160&gt;0,1,IF('Growth profile'!N263&gt;0,3,0))</f>
        <v>1</v>
      </c>
      <c r="P91" s="20">
        <f>IF('Growth profile'!O160&gt;0,1,IF('Growth profile'!O263&gt;0,3,0))</f>
        <v>1</v>
      </c>
      <c r="Q91" s="20">
        <f>IF('Growth profile'!P160&gt;0,1,IF('Growth profile'!P263&gt;0,3,0))</f>
        <v>1</v>
      </c>
      <c r="R91" s="20">
        <f>IF('Growth profile'!Q160&gt;0,1,IF('Growth profile'!Q263&gt;0,3,0))</f>
        <v>3</v>
      </c>
      <c r="S91" s="20">
        <f>IF('Growth profile'!R160&gt;0,1,IF('Growth profile'!R263&gt;0,3,0))</f>
        <v>3</v>
      </c>
      <c r="T91" s="20">
        <f>IF('Growth profile'!S160&gt;0,1,IF('Growth profile'!S263&gt;0,3,0))</f>
        <v>3</v>
      </c>
      <c r="U91" s="20">
        <f>IF('Growth profile'!T160&gt;0,1,IF('Growth profile'!T263&gt;0,3,0))</f>
        <v>3</v>
      </c>
      <c r="V91" s="20">
        <f>IF('Growth profile'!U160&gt;0,1,IF('Growth profile'!U263&gt;0,3,0))</f>
        <v>3</v>
      </c>
      <c r="W91" s="20">
        <f>IF('Growth profile'!V160&gt;0,1,IF('Growth profile'!V263&gt;0,3,0))</f>
        <v>3</v>
      </c>
      <c r="X91" s="20">
        <f>IF('Growth profile'!W160&gt;0,1,IF('Growth profile'!W263&gt;0,3,0))</f>
        <v>3</v>
      </c>
      <c r="Y91" s="20">
        <f>IF('Growth profile'!X160&gt;0,1,IF('Growth profile'!X263&gt;0,3,0))</f>
        <v>3</v>
      </c>
      <c r="Z91" s="20">
        <f>IF('Growth profile'!Y160&gt;0,1,IF('Growth profile'!Y263&gt;0,3,0))</f>
        <v>3</v>
      </c>
      <c r="AA91" s="20">
        <f>IF('Growth profile'!Z160&gt;0,1,IF('Growth profile'!Z263&gt;0,3,0))</f>
        <v>3</v>
      </c>
      <c r="AB91" s="20">
        <f>IF('Growth profile'!AA160&gt;0,1,IF('Growth profile'!AA263&gt;0,3,0))</f>
        <v>3</v>
      </c>
      <c r="AC91" s="20">
        <f>IF('Growth profile'!AB160&gt;0,1,IF('Growth profile'!AB263&gt;0,3,0))</f>
        <v>3</v>
      </c>
      <c r="AD91" s="20">
        <f>IF('Growth profile'!AC160&gt;0,1,IF('Growth profile'!AC263&gt;0,3,0))</f>
        <v>3</v>
      </c>
      <c r="AE91" s="20">
        <f>IF('Growth profile'!AD160&gt;0,1,IF('Growth profile'!AD263&gt;0,3,0))</f>
        <v>3</v>
      </c>
      <c r="AF91" s="20">
        <f>IF('Growth profile'!AE160&gt;0,1,IF('Growth profile'!AE263&gt;0,3,0))</f>
        <v>3</v>
      </c>
      <c r="AG91" s="20">
        <f>IF('Growth profile'!AF160&gt;0,1,IF('Growth profile'!AF263&gt;0,3,0))</f>
        <v>3</v>
      </c>
      <c r="AH91" s="20">
        <f>IF('Growth profile'!AG160&gt;0,1,IF('Growth profile'!AG263&gt;0,3,0))</f>
        <v>3</v>
      </c>
      <c r="AI91" s="20">
        <f>IF('Growth profile'!AH160&gt;0,1,IF('Growth profile'!AH263&gt;0,3,0))</f>
        <v>3</v>
      </c>
      <c r="AJ91" s="20">
        <f>IF('Growth profile'!AI160&gt;0,1,IF('Growth profile'!AI263&gt;0,3,0))</f>
        <v>3</v>
      </c>
      <c r="AK91" s="20">
        <f>IF('Growth profile'!AJ160&gt;0,1,IF('Growth profile'!AJ263&gt;0,3,0))</f>
        <v>3</v>
      </c>
      <c r="AL91" s="20">
        <f>IF('Growth profile'!AK160&gt;0,1,IF('Growth profile'!AK263&gt;0,3,0))</f>
        <v>3</v>
      </c>
      <c r="AM91" s="20">
        <f>IF('Growth profile'!AL160&gt;0,1,IF('Growth profile'!AL263&gt;0,3,0))</f>
        <v>3</v>
      </c>
      <c r="AN91" s="20">
        <f>IF('Growth profile'!AM160&gt;0,1,IF('Growth profile'!AM263&gt;0,3,0))</f>
        <v>3</v>
      </c>
      <c r="AO91" s="20">
        <f>IF('Growth profile'!AN160&gt;0,1,IF('Growth profile'!AN263&gt;0,3,0))</f>
        <v>3</v>
      </c>
      <c r="AP91" s="20">
        <f>IF('Growth profile'!AO160&gt;0,1,IF('Growth profile'!AO263&gt;0,3,0))</f>
        <v>3</v>
      </c>
      <c r="AQ91" s="20">
        <f>IF('Growth profile'!AP160&gt;0,1,IF('Growth profile'!AP263&gt;0,3,0))</f>
        <v>3</v>
      </c>
      <c r="AR91" s="20">
        <f>IF('Growth profile'!AQ160&gt;0,1,IF('Growth profile'!AQ263&gt;0,3,0))</f>
        <v>3</v>
      </c>
      <c r="AS91" s="20">
        <f>IF('Growth profile'!AR160&gt;0,1,IF('Growth profile'!AR263&gt;0,3,0))</f>
        <v>3</v>
      </c>
      <c r="AT91" s="20">
        <f>IF('Growth profile'!AS160&gt;0,1,IF('Growth profile'!AS263&gt;0,3,0))</f>
        <v>3</v>
      </c>
      <c r="AU91" s="20">
        <f>IF('Growth profile'!AT160&gt;0,1,IF('Growth profile'!AT263&gt;0,3,0))</f>
        <v>3</v>
      </c>
      <c r="AV91" s="20">
        <f>IF('Growth profile'!AU160&gt;0,1,IF('Growth profile'!AU263&gt;0,3,0))</f>
        <v>3</v>
      </c>
      <c r="AW91" s="20">
        <f>IF('Growth profile'!AV160&gt;0,1,IF('Growth profile'!AV263&gt;0,3,0))</f>
        <v>3</v>
      </c>
      <c r="AX91" s="20">
        <f>IF('Growth profile'!AW160&gt;0,1,IF('Growth profile'!AW263&gt;0,3,0))</f>
        <v>3</v>
      </c>
      <c r="AY91" s="20">
        <f>IF('Growth profile'!AX160&gt;0,1,IF('Growth profile'!AX263&gt;0,3,0))</f>
        <v>3</v>
      </c>
      <c r="AZ91" s="20">
        <f>IF('Growth profile'!AY160&gt;0,1,IF('Growth profile'!AY263&gt;0,3,0))</f>
        <v>3</v>
      </c>
      <c r="BA91" s="20">
        <f>IF('Growth profile'!AZ160&gt;0,1,IF('Growth profile'!AZ263&gt;0,3,0))</f>
        <v>3</v>
      </c>
      <c r="BB91" s="20">
        <f>IF('Growth profile'!BA160&gt;0,1,IF('Growth profile'!BA263&gt;0,3,0))</f>
        <v>3</v>
      </c>
      <c r="BC91" s="20">
        <f>IF('Growth profile'!BB160&gt;0,1,IF('Growth profile'!BB263&gt;0,3,0))</f>
        <v>3</v>
      </c>
      <c r="BD91" s="20">
        <f>IF('Growth profile'!BC160&gt;0,1,IF('Growth profile'!BC263&gt;0,3,0))</f>
        <v>3</v>
      </c>
      <c r="BE91" s="20">
        <f>IF('Growth profile'!BD160&gt;0,1,IF('Growth profile'!BD263&gt;0,3,0))</f>
        <v>3</v>
      </c>
      <c r="BF91" s="20">
        <f>IF('Growth profile'!BE160&gt;0,1,IF('Growth profile'!BE263&gt;0,3,0))</f>
        <v>0</v>
      </c>
      <c r="BG91" s="20">
        <f>IF('Growth profile'!BF160&gt;0,1,IF('Growth profile'!BF263&gt;0,3,0))</f>
        <v>0</v>
      </c>
      <c r="BH91" s="20">
        <f>IF('Growth profile'!BG160&gt;0,1,IF('Growth profile'!BG263&gt;0,3,0))</f>
        <v>0</v>
      </c>
      <c r="BI91" s="20">
        <f>IF('Growth profile'!BH160&gt;0,1,IF('Growth profile'!BH263&gt;0,3,0))</f>
        <v>0</v>
      </c>
      <c r="BJ91" s="20">
        <f>IF('Growth profile'!BI160&gt;0,1,IF('Growth profile'!BI263&gt;0,3,0))</f>
        <v>0</v>
      </c>
      <c r="BK91" s="21">
        <f>IF('Growth profile'!BJ160&gt;0,1,IF('Growth profile'!BJ263&gt;0,3,0))</f>
        <v>0</v>
      </c>
    </row>
    <row r="92" spans="1:63" x14ac:dyDescent="0.3">
      <c r="B92" s="13" t="s">
        <v>59</v>
      </c>
      <c r="C92" s="19">
        <f>'Growth (no penalty)'!I52</f>
        <v>2038</v>
      </c>
      <c r="D92" s="22">
        <f>IF('Growth (no penalty)'!C160&gt;0,1,IF('Growth (no penalty)'!C263&gt;0,4,0))</f>
        <v>0</v>
      </c>
      <c r="E92" s="22">
        <f>IF('Growth (no penalty)'!D160&gt;0,1,IF('Growth (no penalty)'!D263&gt;0,4,0))</f>
        <v>0</v>
      </c>
      <c r="F92" s="22">
        <f>IF('Growth (no penalty)'!E160&gt;0,1,IF('Growth (no penalty)'!E263&gt;0,4,0))</f>
        <v>0</v>
      </c>
      <c r="G92" s="22">
        <f>IF('Growth (no penalty)'!F160&gt;0,1,IF('Growth (no penalty)'!F263&gt;0,4,0))</f>
        <v>0</v>
      </c>
      <c r="H92" s="22">
        <f>IF('Growth (no penalty)'!G160&gt;0,1,IF('Growth (no penalty)'!G263&gt;0,4,0))</f>
        <v>0</v>
      </c>
      <c r="I92" s="22">
        <f>IF('Growth (no penalty)'!H160&gt;0,1,IF('Growth (no penalty)'!H263&gt;0,4,0))</f>
        <v>0</v>
      </c>
      <c r="J92" s="22">
        <f>IF('Growth (no penalty)'!I160&gt;0,1,IF('Growth (no penalty)'!I263&gt;0,4,0))</f>
        <v>0</v>
      </c>
      <c r="K92" s="22">
        <f>IF('Growth (no penalty)'!J160&gt;0,1,IF('Growth (no penalty)'!J263&gt;0,4,0))</f>
        <v>0</v>
      </c>
      <c r="L92" s="22">
        <f>IF('Growth (no penalty)'!K160&gt;0,1,IF('Growth (no penalty)'!K263&gt;0,4,0))</f>
        <v>0</v>
      </c>
      <c r="M92" s="22">
        <f>IF('Growth (no penalty)'!L160&gt;0,1,IF('Growth (no penalty)'!L263&gt;0,4,0))</f>
        <v>0</v>
      </c>
      <c r="N92" s="22">
        <f>IF('Growth (no penalty)'!M160&gt;0,1,IF('Growth (no penalty)'!M263&gt;0,4,0))</f>
        <v>0</v>
      </c>
      <c r="O92" s="22">
        <f>IF('Growth (no penalty)'!N160&gt;0,1,IF('Growth (no penalty)'!N263&gt;0,4,0))</f>
        <v>0</v>
      </c>
      <c r="P92" s="22">
        <f>IF('Growth (no penalty)'!O160&gt;0,1,IF('Growth (no penalty)'!O263&gt;0,4,0))</f>
        <v>1</v>
      </c>
      <c r="Q92" s="22">
        <f>IF('Growth (no penalty)'!P160&gt;0,1,IF('Growth (no penalty)'!P263&gt;0,4,0))</f>
        <v>1</v>
      </c>
      <c r="R92" s="22">
        <f>IF('Growth (no penalty)'!Q160&gt;0,1,IF('Growth (no penalty)'!Q263&gt;0,4,0))</f>
        <v>1</v>
      </c>
      <c r="S92" s="22">
        <f>IF('Growth (no penalty)'!R160&gt;0,1,IF('Growth (no penalty)'!R263&gt;0,4,0))</f>
        <v>1</v>
      </c>
      <c r="T92" s="22">
        <f>IF('Growth (no penalty)'!S160&gt;0,1,IF('Growth (no penalty)'!S263&gt;0,4,0))</f>
        <v>1</v>
      </c>
      <c r="U92" s="22">
        <f>IF('Growth (no penalty)'!T160&gt;0,1,IF('Growth (no penalty)'!T263&gt;0,4,0))</f>
        <v>1</v>
      </c>
      <c r="V92" s="22">
        <f>IF('Growth (no penalty)'!U160&gt;0,1,IF('Growth (no penalty)'!U263&gt;0,4,0))</f>
        <v>1</v>
      </c>
      <c r="W92" s="22">
        <f>IF('Growth (no penalty)'!V160&gt;0,1,IF('Growth (no penalty)'!V263&gt;0,4,0))</f>
        <v>1</v>
      </c>
      <c r="X92" s="22">
        <f>IF('Growth (no penalty)'!W160&gt;0,1,IF('Growth (no penalty)'!W263&gt;0,4,0))</f>
        <v>4</v>
      </c>
      <c r="Y92" s="22">
        <f>IF('Growth (no penalty)'!X160&gt;0,1,IF('Growth (no penalty)'!X263&gt;0,4,0))</f>
        <v>4</v>
      </c>
      <c r="Z92" s="22">
        <f>IF('Growth (no penalty)'!Y160&gt;0,1,IF('Growth (no penalty)'!Y263&gt;0,4,0))</f>
        <v>4</v>
      </c>
      <c r="AA92" s="22">
        <f>IF('Growth (no penalty)'!Z160&gt;0,1,IF('Growth (no penalty)'!Z263&gt;0,4,0))</f>
        <v>4</v>
      </c>
      <c r="AB92" s="22">
        <f>IF('Growth (no penalty)'!AA160&gt;0,1,IF('Growth (no penalty)'!AA263&gt;0,4,0))</f>
        <v>4</v>
      </c>
      <c r="AC92" s="22">
        <f>IF('Growth (no penalty)'!AB160&gt;0,1,IF('Growth (no penalty)'!AB263&gt;0,4,0))</f>
        <v>4</v>
      </c>
      <c r="AD92" s="22">
        <f>IF('Growth (no penalty)'!AC160&gt;0,1,IF('Growth (no penalty)'!AC263&gt;0,4,0))</f>
        <v>4</v>
      </c>
      <c r="AE92" s="22">
        <f>IF('Growth (no penalty)'!AD160&gt;0,1,IF('Growth (no penalty)'!AD263&gt;0,4,0))</f>
        <v>4</v>
      </c>
      <c r="AF92" s="22">
        <f>IF('Growth (no penalty)'!AE160&gt;0,1,IF('Growth (no penalty)'!AE263&gt;0,4,0))</f>
        <v>4</v>
      </c>
      <c r="AG92" s="22">
        <f>IF('Growth (no penalty)'!AF160&gt;0,1,IF('Growth (no penalty)'!AF263&gt;0,4,0))</f>
        <v>4</v>
      </c>
      <c r="AH92" s="22">
        <f>IF('Growth (no penalty)'!AG160&gt;0,1,IF('Growth (no penalty)'!AG263&gt;0,4,0))</f>
        <v>4</v>
      </c>
      <c r="AI92" s="22">
        <f>IF('Growth (no penalty)'!AH160&gt;0,1,IF('Growth (no penalty)'!AH263&gt;0,4,0))</f>
        <v>4</v>
      </c>
      <c r="AJ92" s="22">
        <f>IF('Growth (no penalty)'!AI160&gt;0,1,IF('Growth (no penalty)'!AI263&gt;0,4,0))</f>
        <v>4</v>
      </c>
      <c r="AK92" s="22">
        <f>IF('Growth (no penalty)'!AJ160&gt;0,1,IF('Growth (no penalty)'!AJ263&gt;0,4,0))</f>
        <v>4</v>
      </c>
      <c r="AL92" s="22">
        <f>IF('Growth (no penalty)'!AK160&gt;0,1,IF('Growth (no penalty)'!AK263&gt;0,4,0))</f>
        <v>4</v>
      </c>
      <c r="AM92" s="22">
        <f>IF('Growth (no penalty)'!AL160&gt;0,1,IF('Growth (no penalty)'!AL263&gt;0,4,0))</f>
        <v>4</v>
      </c>
      <c r="AN92" s="22">
        <f>IF('Growth (no penalty)'!AM160&gt;0,1,IF('Growth (no penalty)'!AM263&gt;0,4,0))</f>
        <v>4</v>
      </c>
      <c r="AO92" s="22">
        <f>IF('Growth (no penalty)'!AN160&gt;0,1,IF('Growth (no penalty)'!AN263&gt;0,4,0))</f>
        <v>4</v>
      </c>
      <c r="AP92" s="22">
        <f>IF('Growth (no penalty)'!AO160&gt;0,1,IF('Growth (no penalty)'!AO263&gt;0,4,0))</f>
        <v>4</v>
      </c>
      <c r="AQ92" s="22">
        <f>IF('Growth (no penalty)'!AP160&gt;0,1,IF('Growth (no penalty)'!AP263&gt;0,4,0))</f>
        <v>4</v>
      </c>
      <c r="AR92" s="22">
        <f>IF('Growth (no penalty)'!AQ160&gt;0,1,IF('Growth (no penalty)'!AQ263&gt;0,4,0))</f>
        <v>4</v>
      </c>
      <c r="AS92" s="22">
        <f>IF('Growth (no penalty)'!AR160&gt;0,1,IF('Growth (no penalty)'!AR263&gt;0,4,0))</f>
        <v>4</v>
      </c>
      <c r="AT92" s="22">
        <f>IF('Growth (no penalty)'!AS160&gt;0,1,IF('Growth (no penalty)'!AS263&gt;0,4,0))</f>
        <v>4</v>
      </c>
      <c r="AU92" s="22">
        <f>IF('Growth (no penalty)'!AT160&gt;0,1,IF('Growth (no penalty)'!AT263&gt;0,4,0))</f>
        <v>4</v>
      </c>
      <c r="AV92" s="22">
        <f>IF('Growth (no penalty)'!AU160&gt;0,1,IF('Growth (no penalty)'!AU263&gt;0,4,0))</f>
        <v>4</v>
      </c>
      <c r="AW92" s="22">
        <f>IF('Growth (no penalty)'!AV160&gt;0,1,IF('Growth (no penalty)'!AV263&gt;0,4,0))</f>
        <v>4</v>
      </c>
      <c r="AX92" s="22">
        <f>IF('Growth (no penalty)'!AW160&gt;0,1,IF('Growth (no penalty)'!AW263&gt;0,4,0))</f>
        <v>4</v>
      </c>
      <c r="AY92" s="22">
        <f>IF('Growth (no penalty)'!AX160&gt;0,1,IF('Growth (no penalty)'!AX263&gt;0,4,0))</f>
        <v>4</v>
      </c>
      <c r="AZ92" s="22">
        <f>IF('Growth (no penalty)'!AY160&gt;0,1,IF('Growth (no penalty)'!AY263&gt;0,4,0))</f>
        <v>4</v>
      </c>
      <c r="BA92" s="22">
        <f>IF('Growth (no penalty)'!AZ160&gt;0,1,IF('Growth (no penalty)'!AZ263&gt;0,4,0))</f>
        <v>4</v>
      </c>
      <c r="BB92" s="22">
        <f>IF('Growth (no penalty)'!BA160&gt;0,1,IF('Growth (no penalty)'!BA263&gt;0,4,0))</f>
        <v>4</v>
      </c>
      <c r="BC92" s="22">
        <f>IF('Growth (no penalty)'!BB160&gt;0,1,IF('Growth (no penalty)'!BB263&gt;0,4,0))</f>
        <v>4</v>
      </c>
      <c r="BD92" s="22">
        <f>IF('Growth (no penalty)'!BC160&gt;0,1,IF('Growth (no penalty)'!BC263&gt;0,4,0))</f>
        <v>4</v>
      </c>
      <c r="BE92" s="22">
        <f>IF('Growth (no penalty)'!BD160&gt;0,1,IF('Growth (no penalty)'!BD263&gt;0,4,0))</f>
        <v>4</v>
      </c>
      <c r="BF92" s="22">
        <f>IF('Growth (no penalty)'!BE160&gt;0,1,IF('Growth (no penalty)'!BE263&gt;0,4,0))</f>
        <v>4</v>
      </c>
      <c r="BG92" s="22">
        <f>IF('Growth (no penalty)'!BF160&gt;0,1,IF('Growth (no penalty)'!BF263&gt;0,4,0))</f>
        <v>4</v>
      </c>
      <c r="BH92" s="22">
        <f>IF('Growth (no penalty)'!BG160&gt;0,1,IF('Growth (no penalty)'!BG263&gt;0,4,0))</f>
        <v>4</v>
      </c>
      <c r="BI92" s="22">
        <f>IF('Growth (no penalty)'!BH160&gt;0,1,IF('Growth (no penalty)'!BH263&gt;0,4,0))</f>
        <v>4</v>
      </c>
      <c r="BJ92" s="22">
        <f>IF('Growth (no penalty)'!BI160&gt;0,1,IF('Growth (no penalty)'!BI263&gt;0,4,0))</f>
        <v>4</v>
      </c>
      <c r="BK92" s="23">
        <f>IF('Growth (no penalty)'!BJ160&gt;0,1,IF('Growth (no penalty)'!BJ263&gt;0,4,0))</f>
        <v>4</v>
      </c>
    </row>
    <row r="93" spans="1:63" x14ac:dyDescent="0.3">
      <c r="A93" s="4" t="str">
        <f>'Growth profile'!A102</f>
        <v>project 162</v>
      </c>
      <c r="B93" s="13" t="s">
        <v>3</v>
      </c>
      <c r="C93" s="19">
        <f>'Raw profile'!I102</f>
        <v>2027</v>
      </c>
      <c r="D93" s="20">
        <f>IF('Raw profile'!C210&gt;0,1,IF('Raw profile'!C313&gt;0,2,0))</f>
        <v>0</v>
      </c>
      <c r="E93" s="20">
        <f>IF('Raw profile'!D210&gt;0,1,IF('Raw profile'!D313&gt;0,2,0))</f>
        <v>1</v>
      </c>
      <c r="F93" s="20">
        <f>IF('Raw profile'!E210&gt;0,1,IF('Raw profile'!E313&gt;0,2,0))</f>
        <v>1</v>
      </c>
      <c r="G93" s="20">
        <f>IF('Raw profile'!F210&gt;0,1,IF('Raw profile'!F313&gt;0,2,0))</f>
        <v>1</v>
      </c>
      <c r="H93" s="20">
        <f>IF('Raw profile'!G210&gt;0,1,IF('Raw profile'!G313&gt;0,2,0))</f>
        <v>2</v>
      </c>
      <c r="I93" s="20">
        <f>IF('Raw profile'!H210&gt;0,1,IF('Raw profile'!H313&gt;0,2,0))</f>
        <v>2</v>
      </c>
      <c r="J93" s="20">
        <f>IF('Raw profile'!I210&gt;0,1,IF('Raw profile'!I313&gt;0,2,0))</f>
        <v>2</v>
      </c>
      <c r="K93" s="20">
        <f>IF('Raw profile'!J210&gt;0,1,IF('Raw profile'!J313&gt;0,2,0))</f>
        <v>2</v>
      </c>
      <c r="L93" s="20">
        <f>IF('Raw profile'!K210&gt;0,1,IF('Raw profile'!K313&gt;0,2,0))</f>
        <v>2</v>
      </c>
      <c r="M93" s="20">
        <f>IF('Raw profile'!L210&gt;0,1,IF('Raw profile'!L313&gt;0,2,0))</f>
        <v>2</v>
      </c>
      <c r="N93" s="20">
        <f>IF('Raw profile'!M210&gt;0,1,IF('Raw profile'!M313&gt;0,2,0))</f>
        <v>2</v>
      </c>
      <c r="O93" s="20">
        <f>IF('Raw profile'!N210&gt;0,1,IF('Raw profile'!N313&gt;0,2,0))</f>
        <v>2</v>
      </c>
      <c r="P93" s="20">
        <f>IF('Raw profile'!O210&gt;0,1,IF('Raw profile'!O313&gt;0,2,0))</f>
        <v>2</v>
      </c>
      <c r="Q93" s="20">
        <f>IF('Raw profile'!P210&gt;0,1,IF('Raw profile'!P313&gt;0,2,0))</f>
        <v>2</v>
      </c>
      <c r="R93" s="20">
        <f>IF('Raw profile'!Q210&gt;0,1,IF('Raw profile'!Q313&gt;0,2,0))</f>
        <v>2</v>
      </c>
      <c r="S93" s="20">
        <f>IF('Raw profile'!R210&gt;0,1,IF('Raw profile'!R313&gt;0,2,0))</f>
        <v>2</v>
      </c>
      <c r="T93" s="20">
        <f>IF('Raw profile'!S210&gt;0,1,IF('Raw profile'!S313&gt;0,2,0))</f>
        <v>2</v>
      </c>
      <c r="U93" s="20">
        <f>IF('Raw profile'!T210&gt;0,1,IF('Raw profile'!T313&gt;0,2,0))</f>
        <v>2</v>
      </c>
      <c r="V93" s="20">
        <f>IF('Raw profile'!U210&gt;0,1,IF('Raw profile'!U313&gt;0,2,0))</f>
        <v>2</v>
      </c>
      <c r="W93" s="20">
        <f>IF('Raw profile'!V210&gt;0,1,IF('Raw profile'!V313&gt;0,2,0))</f>
        <v>2</v>
      </c>
      <c r="X93" s="20">
        <f>IF('Raw profile'!W210&gt;0,1,IF('Raw profile'!W313&gt;0,2,0))</f>
        <v>2</v>
      </c>
      <c r="Y93" s="20">
        <f>IF('Raw profile'!X210&gt;0,1,IF('Raw profile'!X313&gt;0,2,0))</f>
        <v>2</v>
      </c>
      <c r="Z93" s="20">
        <f>IF('Raw profile'!Y210&gt;0,1,IF('Raw profile'!Y313&gt;0,2,0))</f>
        <v>2</v>
      </c>
      <c r="AA93" s="20">
        <f>IF('Raw profile'!Z210&gt;0,1,IF('Raw profile'!Z313&gt;0,2,0))</f>
        <v>2</v>
      </c>
      <c r="AB93" s="20">
        <f>IF('Raw profile'!AA210&gt;0,1,IF('Raw profile'!AA313&gt;0,2,0))</f>
        <v>2</v>
      </c>
      <c r="AC93" s="20">
        <f>IF('Raw profile'!AB210&gt;0,1,IF('Raw profile'!AB313&gt;0,2,0))</f>
        <v>2</v>
      </c>
      <c r="AD93" s="20">
        <f>IF('Raw profile'!AC210&gt;0,1,IF('Raw profile'!AC313&gt;0,2,0))</f>
        <v>2</v>
      </c>
      <c r="AE93" s="20">
        <f>IF('Raw profile'!AD210&gt;0,1,IF('Raw profile'!AD313&gt;0,2,0))</f>
        <v>2</v>
      </c>
      <c r="AF93" s="20">
        <f>IF('Raw profile'!AE210&gt;0,1,IF('Raw profile'!AE313&gt;0,2,0))</f>
        <v>2</v>
      </c>
      <c r="AG93" s="20">
        <f>IF('Raw profile'!AF210&gt;0,1,IF('Raw profile'!AF313&gt;0,2,0))</f>
        <v>2</v>
      </c>
      <c r="AH93" s="20">
        <f>IF('Raw profile'!AG210&gt;0,1,IF('Raw profile'!AG313&gt;0,2,0))</f>
        <v>2</v>
      </c>
      <c r="AI93" s="20">
        <f>IF('Raw profile'!AH210&gt;0,1,IF('Raw profile'!AH313&gt;0,2,0))</f>
        <v>2</v>
      </c>
      <c r="AJ93" s="20">
        <f>IF('Raw profile'!AI210&gt;0,1,IF('Raw profile'!AI313&gt;0,2,0))</f>
        <v>2</v>
      </c>
      <c r="AK93" s="20">
        <f>IF('Raw profile'!AJ210&gt;0,1,IF('Raw profile'!AJ313&gt;0,2,0))</f>
        <v>2</v>
      </c>
      <c r="AL93" s="20">
        <f>IF('Raw profile'!AK210&gt;0,1,IF('Raw profile'!AK313&gt;0,2,0))</f>
        <v>2</v>
      </c>
      <c r="AM93" s="20">
        <f>IF('Raw profile'!AL210&gt;0,1,IF('Raw profile'!AL313&gt;0,2,0))</f>
        <v>2</v>
      </c>
      <c r="AN93" s="20">
        <f>IF('Raw profile'!AM210&gt;0,1,IF('Raw profile'!AM313&gt;0,2,0))</f>
        <v>2</v>
      </c>
      <c r="AO93" s="20">
        <f>IF('Raw profile'!AN210&gt;0,1,IF('Raw profile'!AN313&gt;0,2,0))</f>
        <v>2</v>
      </c>
      <c r="AP93" s="20">
        <f>IF('Raw profile'!AO210&gt;0,1,IF('Raw profile'!AO313&gt;0,2,0))</f>
        <v>2</v>
      </c>
      <c r="AQ93" s="20">
        <f>IF('Raw profile'!AP210&gt;0,1,IF('Raw profile'!AP313&gt;0,2,0))</f>
        <v>2</v>
      </c>
      <c r="AR93" s="20">
        <f>IF('Raw profile'!AQ210&gt;0,1,IF('Raw profile'!AQ313&gt;0,2,0))</f>
        <v>2</v>
      </c>
      <c r="AS93" s="20">
        <f>IF('Raw profile'!AR210&gt;0,1,IF('Raw profile'!AR313&gt;0,2,0))</f>
        <v>2</v>
      </c>
      <c r="AT93" s="20">
        <f>IF('Raw profile'!AS210&gt;0,1,IF('Raw profile'!AS313&gt;0,2,0))</f>
        <v>2</v>
      </c>
      <c r="AU93" s="20">
        <f>IF('Raw profile'!AT210&gt;0,1,IF('Raw profile'!AT313&gt;0,2,0))</f>
        <v>2</v>
      </c>
      <c r="AV93" s="20">
        <f>IF('Raw profile'!AU210&gt;0,1,IF('Raw profile'!AU313&gt;0,2,0))</f>
        <v>0</v>
      </c>
      <c r="AW93" s="20">
        <f>IF('Raw profile'!AV210&gt;0,1,IF('Raw profile'!AV313&gt;0,2,0))</f>
        <v>0</v>
      </c>
      <c r="AX93" s="20">
        <f>IF('Raw profile'!AW210&gt;0,1,IF('Raw profile'!AW313&gt;0,2,0))</f>
        <v>0</v>
      </c>
      <c r="AY93" s="20">
        <f>IF('Raw profile'!AX210&gt;0,1,IF('Raw profile'!AX313&gt;0,2,0))</f>
        <v>0</v>
      </c>
      <c r="AZ93" s="20">
        <f>IF('Raw profile'!AY210&gt;0,1,IF('Raw profile'!AY313&gt;0,2,0))</f>
        <v>0</v>
      </c>
      <c r="BA93" s="20">
        <f>IF('Raw profile'!AZ210&gt;0,1,IF('Raw profile'!AZ313&gt;0,2,0))</f>
        <v>0</v>
      </c>
      <c r="BB93" s="20">
        <f>IF('Raw profile'!BA210&gt;0,1,IF('Raw profile'!BA313&gt;0,2,0))</f>
        <v>0</v>
      </c>
      <c r="BC93" s="20">
        <f>IF('Raw profile'!BB210&gt;0,1,IF('Raw profile'!BB313&gt;0,2,0))</f>
        <v>0</v>
      </c>
      <c r="BD93" s="20">
        <f>IF('Raw profile'!BC210&gt;0,1,IF('Raw profile'!BC313&gt;0,2,0))</f>
        <v>0</v>
      </c>
      <c r="BE93" s="20">
        <f>IF('Raw profile'!BD210&gt;0,1,IF('Raw profile'!BD313&gt;0,2,0))</f>
        <v>0</v>
      </c>
      <c r="BF93" s="20">
        <f>IF('Raw profile'!BE210&gt;0,1,IF('Raw profile'!BE313&gt;0,2,0))</f>
        <v>0</v>
      </c>
      <c r="BG93" s="20">
        <f>IF('Raw profile'!BF210&gt;0,1,IF('Raw profile'!BF313&gt;0,2,0))</f>
        <v>0</v>
      </c>
      <c r="BH93" s="20">
        <f>IF('Raw profile'!BG210&gt;0,1,IF('Raw profile'!BG313&gt;0,2,0))</f>
        <v>0</v>
      </c>
      <c r="BI93" s="20">
        <f>IF('Raw profile'!BH210&gt;0,1,IF('Raw profile'!BH313&gt;0,2,0))</f>
        <v>0</v>
      </c>
      <c r="BJ93" s="20">
        <f>IF('Raw profile'!BI210&gt;0,1,IF('Raw profile'!BI313&gt;0,2,0))</f>
        <v>0</v>
      </c>
      <c r="BK93" s="21">
        <f>IF('Raw profile'!BJ210&gt;0,1,IF('Raw profile'!BJ313&gt;0,2,0))</f>
        <v>0</v>
      </c>
    </row>
    <row r="94" spans="1:63" x14ac:dyDescent="0.3">
      <c r="B94" s="13" t="s">
        <v>4</v>
      </c>
      <c r="C94" s="19">
        <f>'Growth profile'!I102</f>
        <v>2041</v>
      </c>
      <c r="D94" s="20">
        <f>IF('Growth profile'!C210&gt;0,1,IF('Growth profile'!C313&gt;0,3,0))</f>
        <v>0</v>
      </c>
      <c r="E94" s="20">
        <f>IF('Growth profile'!D210&gt;0,1,IF('Growth profile'!D313&gt;0,3,0))</f>
        <v>0</v>
      </c>
      <c r="F94" s="20">
        <f>IF('Growth profile'!E210&gt;0,1,IF('Growth profile'!E313&gt;0,3,0))</f>
        <v>0</v>
      </c>
      <c r="G94" s="20">
        <f>IF('Growth profile'!F210&gt;0,1,IF('Growth profile'!F313&gt;0,3,0))</f>
        <v>0</v>
      </c>
      <c r="H94" s="20">
        <f>IF('Growth profile'!G210&gt;0,1,IF('Growth profile'!G313&gt;0,3,0))</f>
        <v>0</v>
      </c>
      <c r="I94" s="20">
        <f>IF('Growth profile'!H210&gt;0,1,IF('Growth profile'!H313&gt;0,3,0))</f>
        <v>0</v>
      </c>
      <c r="J94" s="20">
        <f>IF('Growth profile'!I210&gt;0,1,IF('Growth profile'!I313&gt;0,3,0))</f>
        <v>0</v>
      </c>
      <c r="K94" s="20">
        <f>IF('Growth profile'!J210&gt;0,1,IF('Growth profile'!J313&gt;0,3,0))</f>
        <v>0</v>
      </c>
      <c r="L94" s="20">
        <f>IF('Growth profile'!K210&gt;0,1,IF('Growth profile'!K313&gt;0,3,0))</f>
        <v>0</v>
      </c>
      <c r="M94" s="20">
        <f>IF('Growth profile'!L210&gt;0,1,IF('Growth profile'!L313&gt;0,3,0))</f>
        <v>0</v>
      </c>
      <c r="N94" s="20">
        <f>IF('Growth profile'!M210&gt;0,1,IF('Growth profile'!M313&gt;0,3,0))</f>
        <v>0</v>
      </c>
      <c r="O94" s="20">
        <f>IF('Growth profile'!N210&gt;0,1,IF('Growth profile'!N313&gt;0,3,0))</f>
        <v>0</v>
      </c>
      <c r="P94" s="20">
        <f>IF('Growth profile'!O210&gt;0,1,IF('Growth profile'!O313&gt;0,3,0))</f>
        <v>0</v>
      </c>
      <c r="Q94" s="20">
        <f>IF('Growth profile'!P210&gt;0,1,IF('Growth profile'!P313&gt;0,3,0))</f>
        <v>0</v>
      </c>
      <c r="R94" s="20">
        <f>IF('Growth profile'!Q210&gt;0,1,IF('Growth profile'!Q313&gt;0,3,0))</f>
        <v>0</v>
      </c>
      <c r="S94" s="20">
        <f>IF('Growth profile'!R210&gt;0,1,IF('Growth profile'!R313&gt;0,3,0))</f>
        <v>1</v>
      </c>
      <c r="T94" s="20">
        <f>IF('Growth profile'!S210&gt;0,1,IF('Growth profile'!S313&gt;0,3,0))</f>
        <v>1</v>
      </c>
      <c r="U94" s="20">
        <f>IF('Growth profile'!T210&gt;0,1,IF('Growth profile'!T313&gt;0,3,0))</f>
        <v>1</v>
      </c>
      <c r="V94" s="20">
        <f>IF('Growth profile'!U210&gt;0,1,IF('Growth profile'!U313&gt;0,3,0))</f>
        <v>3</v>
      </c>
      <c r="W94" s="20">
        <f>IF('Growth profile'!V210&gt;0,1,IF('Growth profile'!V313&gt;0,3,0))</f>
        <v>3</v>
      </c>
      <c r="X94" s="20">
        <f>IF('Growth profile'!W210&gt;0,1,IF('Growth profile'!W313&gt;0,3,0))</f>
        <v>3</v>
      </c>
      <c r="Y94" s="20">
        <f>IF('Growth profile'!X210&gt;0,1,IF('Growth profile'!X313&gt;0,3,0))</f>
        <v>3</v>
      </c>
      <c r="Z94" s="20">
        <f>IF('Growth profile'!Y210&gt;0,1,IF('Growth profile'!Y313&gt;0,3,0))</f>
        <v>3</v>
      </c>
      <c r="AA94" s="20">
        <f>IF('Growth profile'!Z210&gt;0,1,IF('Growth profile'!Z313&gt;0,3,0))</f>
        <v>3</v>
      </c>
      <c r="AB94" s="20">
        <f>IF('Growth profile'!AA210&gt;0,1,IF('Growth profile'!AA313&gt;0,3,0))</f>
        <v>3</v>
      </c>
      <c r="AC94" s="20">
        <f>IF('Growth profile'!AB210&gt;0,1,IF('Growth profile'!AB313&gt;0,3,0))</f>
        <v>3</v>
      </c>
      <c r="AD94" s="20">
        <f>IF('Growth profile'!AC210&gt;0,1,IF('Growth profile'!AC313&gt;0,3,0))</f>
        <v>3</v>
      </c>
      <c r="AE94" s="20">
        <f>IF('Growth profile'!AD210&gt;0,1,IF('Growth profile'!AD313&gt;0,3,0))</f>
        <v>3</v>
      </c>
      <c r="AF94" s="20">
        <f>IF('Growth profile'!AE210&gt;0,1,IF('Growth profile'!AE313&gt;0,3,0))</f>
        <v>3</v>
      </c>
      <c r="AG94" s="20">
        <f>IF('Growth profile'!AF210&gt;0,1,IF('Growth profile'!AF313&gt;0,3,0))</f>
        <v>3</v>
      </c>
      <c r="AH94" s="20">
        <f>IF('Growth profile'!AG210&gt;0,1,IF('Growth profile'!AG313&gt;0,3,0))</f>
        <v>3</v>
      </c>
      <c r="AI94" s="20">
        <f>IF('Growth profile'!AH210&gt;0,1,IF('Growth profile'!AH313&gt;0,3,0))</f>
        <v>3</v>
      </c>
      <c r="AJ94" s="20">
        <f>IF('Growth profile'!AI210&gt;0,1,IF('Growth profile'!AI313&gt;0,3,0))</f>
        <v>3</v>
      </c>
      <c r="AK94" s="20">
        <f>IF('Growth profile'!AJ210&gt;0,1,IF('Growth profile'!AJ313&gt;0,3,0))</f>
        <v>3</v>
      </c>
      <c r="AL94" s="20">
        <f>IF('Growth profile'!AK210&gt;0,1,IF('Growth profile'!AK313&gt;0,3,0))</f>
        <v>3</v>
      </c>
      <c r="AM94" s="20">
        <f>IF('Growth profile'!AL210&gt;0,1,IF('Growth profile'!AL313&gt;0,3,0))</f>
        <v>3</v>
      </c>
      <c r="AN94" s="20">
        <f>IF('Growth profile'!AM210&gt;0,1,IF('Growth profile'!AM313&gt;0,3,0))</f>
        <v>3</v>
      </c>
      <c r="AO94" s="20">
        <f>IF('Growth profile'!AN210&gt;0,1,IF('Growth profile'!AN313&gt;0,3,0))</f>
        <v>3</v>
      </c>
      <c r="AP94" s="20">
        <f>IF('Growth profile'!AO210&gt;0,1,IF('Growth profile'!AO313&gt;0,3,0))</f>
        <v>3</v>
      </c>
      <c r="AQ94" s="20">
        <f>IF('Growth profile'!AP210&gt;0,1,IF('Growth profile'!AP313&gt;0,3,0))</f>
        <v>3</v>
      </c>
      <c r="AR94" s="20">
        <f>IF('Growth profile'!AQ210&gt;0,1,IF('Growth profile'!AQ313&gt;0,3,0))</f>
        <v>3</v>
      </c>
      <c r="AS94" s="20">
        <f>IF('Growth profile'!AR210&gt;0,1,IF('Growth profile'!AR313&gt;0,3,0))</f>
        <v>3</v>
      </c>
      <c r="AT94" s="20">
        <f>IF('Growth profile'!AS210&gt;0,1,IF('Growth profile'!AS313&gt;0,3,0))</f>
        <v>3</v>
      </c>
      <c r="AU94" s="20">
        <f>IF('Growth profile'!AT210&gt;0,1,IF('Growth profile'!AT313&gt;0,3,0))</f>
        <v>3</v>
      </c>
      <c r="AV94" s="20">
        <f>IF('Growth profile'!AU210&gt;0,1,IF('Growth profile'!AU313&gt;0,3,0))</f>
        <v>3</v>
      </c>
      <c r="AW94" s="20">
        <f>IF('Growth profile'!AV210&gt;0,1,IF('Growth profile'!AV313&gt;0,3,0))</f>
        <v>3</v>
      </c>
      <c r="AX94" s="20">
        <f>IF('Growth profile'!AW210&gt;0,1,IF('Growth profile'!AW313&gt;0,3,0))</f>
        <v>3</v>
      </c>
      <c r="AY94" s="20">
        <f>IF('Growth profile'!AX210&gt;0,1,IF('Growth profile'!AX313&gt;0,3,0))</f>
        <v>3</v>
      </c>
      <c r="AZ94" s="20">
        <f>IF('Growth profile'!AY210&gt;0,1,IF('Growth profile'!AY313&gt;0,3,0))</f>
        <v>3</v>
      </c>
      <c r="BA94" s="20">
        <f>IF('Growth profile'!AZ210&gt;0,1,IF('Growth profile'!AZ313&gt;0,3,0))</f>
        <v>3</v>
      </c>
      <c r="BB94" s="20">
        <f>IF('Growth profile'!BA210&gt;0,1,IF('Growth profile'!BA313&gt;0,3,0))</f>
        <v>3</v>
      </c>
      <c r="BC94" s="20">
        <f>IF('Growth profile'!BB210&gt;0,1,IF('Growth profile'!BB313&gt;0,3,0))</f>
        <v>3</v>
      </c>
      <c r="BD94" s="20">
        <f>IF('Growth profile'!BC210&gt;0,1,IF('Growth profile'!BC313&gt;0,3,0))</f>
        <v>3</v>
      </c>
      <c r="BE94" s="20">
        <f>IF('Growth profile'!BD210&gt;0,1,IF('Growth profile'!BD313&gt;0,3,0))</f>
        <v>3</v>
      </c>
      <c r="BF94" s="20">
        <f>IF('Growth profile'!BE210&gt;0,1,IF('Growth profile'!BE313&gt;0,3,0))</f>
        <v>3</v>
      </c>
      <c r="BG94" s="20">
        <f>IF('Growth profile'!BF210&gt;0,1,IF('Growth profile'!BF313&gt;0,3,0))</f>
        <v>3</v>
      </c>
      <c r="BH94" s="20">
        <f>IF('Growth profile'!BG210&gt;0,1,IF('Growth profile'!BG313&gt;0,3,0))</f>
        <v>3</v>
      </c>
      <c r="BI94" s="20">
        <f>IF('Growth profile'!BH210&gt;0,1,IF('Growth profile'!BH313&gt;0,3,0))</f>
        <v>3</v>
      </c>
      <c r="BJ94" s="20">
        <f>IF('Growth profile'!BI210&gt;0,1,IF('Growth profile'!BI313&gt;0,3,0))</f>
        <v>0</v>
      </c>
      <c r="BK94" s="21">
        <f>IF('Growth profile'!BJ210&gt;0,1,IF('Growth profile'!BJ313&gt;0,3,0))</f>
        <v>0</v>
      </c>
    </row>
    <row r="95" spans="1:63" x14ac:dyDescent="0.3">
      <c r="B95" s="13" t="s">
        <v>59</v>
      </c>
      <c r="C95" s="19">
        <f>'Growth (no penalty)'!I102</f>
        <v>2043</v>
      </c>
      <c r="D95" s="22">
        <f>IF('Growth (no penalty)'!C210&gt;0,1,IF('Growth (no penalty)'!C313&gt;0,4,0))</f>
        <v>0</v>
      </c>
      <c r="E95" s="22">
        <f>IF('Growth (no penalty)'!D210&gt;0,1,IF('Growth (no penalty)'!D313&gt;0,4,0))</f>
        <v>0</v>
      </c>
      <c r="F95" s="22">
        <f>IF('Growth (no penalty)'!E210&gt;0,1,IF('Growth (no penalty)'!E313&gt;0,4,0))</f>
        <v>0</v>
      </c>
      <c r="G95" s="22">
        <f>IF('Growth (no penalty)'!F210&gt;0,1,IF('Growth (no penalty)'!F313&gt;0,4,0))</f>
        <v>0</v>
      </c>
      <c r="H95" s="22">
        <f>IF('Growth (no penalty)'!G210&gt;0,1,IF('Growth (no penalty)'!G313&gt;0,4,0))</f>
        <v>0</v>
      </c>
      <c r="I95" s="22">
        <f>IF('Growth (no penalty)'!H210&gt;0,1,IF('Growth (no penalty)'!H313&gt;0,4,0))</f>
        <v>0</v>
      </c>
      <c r="J95" s="22">
        <f>IF('Growth (no penalty)'!I210&gt;0,1,IF('Growth (no penalty)'!I313&gt;0,4,0))</f>
        <v>0</v>
      </c>
      <c r="K95" s="22">
        <f>IF('Growth (no penalty)'!J210&gt;0,1,IF('Growth (no penalty)'!J313&gt;0,4,0))</f>
        <v>0</v>
      </c>
      <c r="L95" s="22">
        <f>IF('Growth (no penalty)'!K210&gt;0,1,IF('Growth (no penalty)'!K313&gt;0,4,0))</f>
        <v>0</v>
      </c>
      <c r="M95" s="22">
        <f>IF('Growth (no penalty)'!L210&gt;0,1,IF('Growth (no penalty)'!L313&gt;0,4,0))</f>
        <v>0</v>
      </c>
      <c r="N95" s="22">
        <f>IF('Growth (no penalty)'!M210&gt;0,1,IF('Growth (no penalty)'!M313&gt;0,4,0))</f>
        <v>0</v>
      </c>
      <c r="O95" s="22">
        <f>IF('Growth (no penalty)'!N210&gt;0,1,IF('Growth (no penalty)'!N313&gt;0,4,0))</f>
        <v>0</v>
      </c>
      <c r="P95" s="22">
        <f>IF('Growth (no penalty)'!O210&gt;0,1,IF('Growth (no penalty)'!O313&gt;0,4,0))</f>
        <v>0</v>
      </c>
      <c r="Q95" s="22">
        <f>IF('Growth (no penalty)'!P210&gt;0,1,IF('Growth (no penalty)'!P313&gt;0,4,0))</f>
        <v>0</v>
      </c>
      <c r="R95" s="22">
        <f>IF('Growth (no penalty)'!Q210&gt;0,1,IF('Growth (no penalty)'!Q313&gt;0,4,0))</f>
        <v>0</v>
      </c>
      <c r="S95" s="22">
        <f>IF('Growth (no penalty)'!R210&gt;0,1,IF('Growth (no penalty)'!R313&gt;0,4,0))</f>
        <v>0</v>
      </c>
      <c r="T95" s="22">
        <f>IF('Growth (no penalty)'!S210&gt;0,1,IF('Growth (no penalty)'!S313&gt;0,4,0))</f>
        <v>0</v>
      </c>
      <c r="U95" s="22">
        <f>IF('Growth (no penalty)'!T210&gt;0,1,IF('Growth (no penalty)'!T313&gt;0,4,0))</f>
        <v>1</v>
      </c>
      <c r="V95" s="22">
        <f>IF('Growth (no penalty)'!U210&gt;0,1,IF('Growth (no penalty)'!U313&gt;0,4,0))</f>
        <v>1</v>
      </c>
      <c r="W95" s="22">
        <f>IF('Growth (no penalty)'!V210&gt;0,1,IF('Growth (no penalty)'!V313&gt;0,4,0))</f>
        <v>1</v>
      </c>
      <c r="X95" s="22">
        <f>IF('Growth (no penalty)'!W210&gt;0,1,IF('Growth (no penalty)'!W313&gt;0,4,0))</f>
        <v>4</v>
      </c>
      <c r="Y95" s="22">
        <f>IF('Growth (no penalty)'!X210&gt;0,1,IF('Growth (no penalty)'!X313&gt;0,4,0))</f>
        <v>4</v>
      </c>
      <c r="Z95" s="22">
        <f>IF('Growth (no penalty)'!Y210&gt;0,1,IF('Growth (no penalty)'!Y313&gt;0,4,0))</f>
        <v>4</v>
      </c>
      <c r="AA95" s="22">
        <f>IF('Growth (no penalty)'!Z210&gt;0,1,IF('Growth (no penalty)'!Z313&gt;0,4,0))</f>
        <v>4</v>
      </c>
      <c r="AB95" s="22">
        <f>IF('Growth (no penalty)'!AA210&gt;0,1,IF('Growth (no penalty)'!AA313&gt;0,4,0))</f>
        <v>4</v>
      </c>
      <c r="AC95" s="22">
        <f>IF('Growth (no penalty)'!AB210&gt;0,1,IF('Growth (no penalty)'!AB313&gt;0,4,0))</f>
        <v>4</v>
      </c>
      <c r="AD95" s="22">
        <f>IF('Growth (no penalty)'!AC210&gt;0,1,IF('Growth (no penalty)'!AC313&gt;0,4,0))</f>
        <v>4</v>
      </c>
      <c r="AE95" s="22">
        <f>IF('Growth (no penalty)'!AD210&gt;0,1,IF('Growth (no penalty)'!AD313&gt;0,4,0))</f>
        <v>4</v>
      </c>
      <c r="AF95" s="22">
        <f>IF('Growth (no penalty)'!AE210&gt;0,1,IF('Growth (no penalty)'!AE313&gt;0,4,0))</f>
        <v>4</v>
      </c>
      <c r="AG95" s="22">
        <f>IF('Growth (no penalty)'!AF210&gt;0,1,IF('Growth (no penalty)'!AF313&gt;0,4,0))</f>
        <v>4</v>
      </c>
      <c r="AH95" s="22">
        <f>IF('Growth (no penalty)'!AG210&gt;0,1,IF('Growth (no penalty)'!AG313&gt;0,4,0))</f>
        <v>4</v>
      </c>
      <c r="AI95" s="22">
        <f>IF('Growth (no penalty)'!AH210&gt;0,1,IF('Growth (no penalty)'!AH313&gt;0,4,0))</f>
        <v>4</v>
      </c>
      <c r="AJ95" s="22">
        <f>IF('Growth (no penalty)'!AI210&gt;0,1,IF('Growth (no penalty)'!AI313&gt;0,4,0))</f>
        <v>4</v>
      </c>
      <c r="AK95" s="22">
        <f>IF('Growth (no penalty)'!AJ210&gt;0,1,IF('Growth (no penalty)'!AJ313&gt;0,4,0))</f>
        <v>4</v>
      </c>
      <c r="AL95" s="22">
        <f>IF('Growth (no penalty)'!AK210&gt;0,1,IF('Growth (no penalty)'!AK313&gt;0,4,0))</f>
        <v>4</v>
      </c>
      <c r="AM95" s="22">
        <f>IF('Growth (no penalty)'!AL210&gt;0,1,IF('Growth (no penalty)'!AL313&gt;0,4,0))</f>
        <v>4</v>
      </c>
      <c r="AN95" s="22">
        <f>IF('Growth (no penalty)'!AM210&gt;0,1,IF('Growth (no penalty)'!AM313&gt;0,4,0))</f>
        <v>4</v>
      </c>
      <c r="AO95" s="22">
        <f>IF('Growth (no penalty)'!AN210&gt;0,1,IF('Growth (no penalty)'!AN313&gt;0,4,0))</f>
        <v>4</v>
      </c>
      <c r="AP95" s="22">
        <f>IF('Growth (no penalty)'!AO210&gt;0,1,IF('Growth (no penalty)'!AO313&gt;0,4,0))</f>
        <v>4</v>
      </c>
      <c r="AQ95" s="22">
        <f>IF('Growth (no penalty)'!AP210&gt;0,1,IF('Growth (no penalty)'!AP313&gt;0,4,0))</f>
        <v>4</v>
      </c>
      <c r="AR95" s="22">
        <f>IF('Growth (no penalty)'!AQ210&gt;0,1,IF('Growth (no penalty)'!AQ313&gt;0,4,0))</f>
        <v>4</v>
      </c>
      <c r="AS95" s="22">
        <f>IF('Growth (no penalty)'!AR210&gt;0,1,IF('Growth (no penalty)'!AR313&gt;0,4,0))</f>
        <v>4</v>
      </c>
      <c r="AT95" s="22">
        <f>IF('Growth (no penalty)'!AS210&gt;0,1,IF('Growth (no penalty)'!AS313&gt;0,4,0))</f>
        <v>4</v>
      </c>
      <c r="AU95" s="22">
        <f>IF('Growth (no penalty)'!AT210&gt;0,1,IF('Growth (no penalty)'!AT313&gt;0,4,0))</f>
        <v>4</v>
      </c>
      <c r="AV95" s="22">
        <f>IF('Growth (no penalty)'!AU210&gt;0,1,IF('Growth (no penalty)'!AU313&gt;0,4,0))</f>
        <v>4</v>
      </c>
      <c r="AW95" s="22">
        <f>IF('Growth (no penalty)'!AV210&gt;0,1,IF('Growth (no penalty)'!AV313&gt;0,4,0))</f>
        <v>4</v>
      </c>
      <c r="AX95" s="22">
        <f>IF('Growth (no penalty)'!AW210&gt;0,1,IF('Growth (no penalty)'!AW313&gt;0,4,0))</f>
        <v>4</v>
      </c>
      <c r="AY95" s="22">
        <f>IF('Growth (no penalty)'!AX210&gt;0,1,IF('Growth (no penalty)'!AX313&gt;0,4,0))</f>
        <v>4</v>
      </c>
      <c r="AZ95" s="22">
        <f>IF('Growth (no penalty)'!AY210&gt;0,1,IF('Growth (no penalty)'!AY313&gt;0,4,0))</f>
        <v>4</v>
      </c>
      <c r="BA95" s="22">
        <f>IF('Growth (no penalty)'!AZ210&gt;0,1,IF('Growth (no penalty)'!AZ313&gt;0,4,0))</f>
        <v>4</v>
      </c>
      <c r="BB95" s="22">
        <f>IF('Growth (no penalty)'!BA210&gt;0,1,IF('Growth (no penalty)'!BA313&gt;0,4,0))</f>
        <v>4</v>
      </c>
      <c r="BC95" s="22">
        <f>IF('Growth (no penalty)'!BB210&gt;0,1,IF('Growth (no penalty)'!BB313&gt;0,4,0))</f>
        <v>4</v>
      </c>
      <c r="BD95" s="22">
        <f>IF('Growth (no penalty)'!BC210&gt;0,1,IF('Growth (no penalty)'!BC313&gt;0,4,0))</f>
        <v>4</v>
      </c>
      <c r="BE95" s="22">
        <f>IF('Growth (no penalty)'!BD210&gt;0,1,IF('Growth (no penalty)'!BD313&gt;0,4,0))</f>
        <v>4</v>
      </c>
      <c r="BF95" s="22">
        <f>IF('Growth (no penalty)'!BE210&gt;0,1,IF('Growth (no penalty)'!BE313&gt;0,4,0))</f>
        <v>4</v>
      </c>
      <c r="BG95" s="22">
        <f>IF('Growth (no penalty)'!BF210&gt;0,1,IF('Growth (no penalty)'!BF313&gt;0,4,0))</f>
        <v>4</v>
      </c>
      <c r="BH95" s="22">
        <f>IF('Growth (no penalty)'!BG210&gt;0,1,IF('Growth (no penalty)'!BG313&gt;0,4,0))</f>
        <v>4</v>
      </c>
      <c r="BI95" s="22">
        <f>IF('Growth (no penalty)'!BH210&gt;0,1,IF('Growth (no penalty)'!BH313&gt;0,4,0))</f>
        <v>4</v>
      </c>
      <c r="BJ95" s="22">
        <f>IF('Growth (no penalty)'!BI210&gt;0,1,IF('Growth (no penalty)'!BI313&gt;0,4,0))</f>
        <v>4</v>
      </c>
      <c r="BK95" s="23">
        <f>IF('Growth (no penalty)'!BJ210&gt;0,1,IF('Growth (no penalty)'!BJ313&gt;0,4,0))</f>
        <v>4</v>
      </c>
    </row>
    <row r="96" spans="1:63" x14ac:dyDescent="0.3">
      <c r="A96" s="4" t="str">
        <f>'Growth profile'!A75</f>
        <v>project 107</v>
      </c>
      <c r="B96" s="13" t="s">
        <v>3</v>
      </c>
      <c r="C96" s="19">
        <f>'Raw profile'!I75</f>
        <v>2028</v>
      </c>
      <c r="D96" s="20">
        <f>IF('Raw profile'!C183&gt;0,1,IF('Raw profile'!C286&gt;0,2,0))</f>
        <v>0</v>
      </c>
      <c r="E96" s="20">
        <f>IF('Raw profile'!D183&gt;0,1,IF('Raw profile'!D286&gt;0,2,0))</f>
        <v>0</v>
      </c>
      <c r="F96" s="20">
        <f>IF('Raw profile'!E183&gt;0,1,IF('Raw profile'!E286&gt;0,2,0))</f>
        <v>1</v>
      </c>
      <c r="G96" s="20">
        <f>IF('Raw profile'!F183&gt;0,1,IF('Raw profile'!F286&gt;0,2,0))</f>
        <v>0</v>
      </c>
      <c r="H96" s="20">
        <f>IF('Raw profile'!G183&gt;0,1,IF('Raw profile'!G286&gt;0,2,0))</f>
        <v>1</v>
      </c>
      <c r="I96" s="20">
        <f>IF('Raw profile'!H183&gt;0,1,IF('Raw profile'!H286&gt;0,2,0))</f>
        <v>1</v>
      </c>
      <c r="J96" s="20">
        <f>IF('Raw profile'!I183&gt;0,1,IF('Raw profile'!I286&gt;0,2,0))</f>
        <v>1</v>
      </c>
      <c r="K96" s="20">
        <f>IF('Raw profile'!J183&gt;0,1,IF('Raw profile'!J286&gt;0,2,0))</f>
        <v>1</v>
      </c>
      <c r="L96" s="20">
        <f>IF('Raw profile'!K183&gt;0,1,IF('Raw profile'!K286&gt;0,2,0))</f>
        <v>1</v>
      </c>
      <c r="M96" s="20">
        <f>IF('Raw profile'!L183&gt;0,1,IF('Raw profile'!L286&gt;0,2,0))</f>
        <v>1</v>
      </c>
      <c r="N96" s="20">
        <f>IF('Raw profile'!M183&gt;0,1,IF('Raw profile'!M286&gt;0,2,0))</f>
        <v>1</v>
      </c>
      <c r="O96" s="20">
        <f>IF('Raw profile'!N183&gt;0,1,IF('Raw profile'!N286&gt;0,2,0))</f>
        <v>2</v>
      </c>
      <c r="P96" s="20">
        <f>IF('Raw profile'!O183&gt;0,1,IF('Raw profile'!O286&gt;0,2,0))</f>
        <v>2</v>
      </c>
      <c r="Q96" s="20">
        <f>IF('Raw profile'!P183&gt;0,1,IF('Raw profile'!P286&gt;0,2,0))</f>
        <v>2</v>
      </c>
      <c r="R96" s="20">
        <f>IF('Raw profile'!Q183&gt;0,1,IF('Raw profile'!Q286&gt;0,2,0))</f>
        <v>2</v>
      </c>
      <c r="S96" s="20">
        <f>IF('Raw profile'!R183&gt;0,1,IF('Raw profile'!R286&gt;0,2,0))</f>
        <v>2</v>
      </c>
      <c r="T96" s="20">
        <f>IF('Raw profile'!S183&gt;0,1,IF('Raw profile'!S286&gt;0,2,0))</f>
        <v>2</v>
      </c>
      <c r="U96" s="20">
        <f>IF('Raw profile'!T183&gt;0,1,IF('Raw profile'!T286&gt;0,2,0))</f>
        <v>2</v>
      </c>
      <c r="V96" s="20">
        <f>IF('Raw profile'!U183&gt;0,1,IF('Raw profile'!U286&gt;0,2,0))</f>
        <v>2</v>
      </c>
      <c r="W96" s="20">
        <f>IF('Raw profile'!V183&gt;0,1,IF('Raw profile'!V286&gt;0,2,0))</f>
        <v>2</v>
      </c>
      <c r="X96" s="20">
        <f>IF('Raw profile'!W183&gt;0,1,IF('Raw profile'!W286&gt;0,2,0))</f>
        <v>2</v>
      </c>
      <c r="Y96" s="20">
        <f>IF('Raw profile'!X183&gt;0,1,IF('Raw profile'!X286&gt;0,2,0))</f>
        <v>2</v>
      </c>
      <c r="Z96" s="20">
        <f>IF('Raw profile'!Y183&gt;0,1,IF('Raw profile'!Y286&gt;0,2,0))</f>
        <v>2</v>
      </c>
      <c r="AA96" s="20">
        <f>IF('Raw profile'!Z183&gt;0,1,IF('Raw profile'!Z286&gt;0,2,0))</f>
        <v>2</v>
      </c>
      <c r="AB96" s="20">
        <f>IF('Raw profile'!AA183&gt;0,1,IF('Raw profile'!AA286&gt;0,2,0))</f>
        <v>2</v>
      </c>
      <c r="AC96" s="20">
        <f>IF('Raw profile'!AB183&gt;0,1,IF('Raw profile'!AB286&gt;0,2,0))</f>
        <v>2</v>
      </c>
      <c r="AD96" s="20">
        <f>IF('Raw profile'!AC183&gt;0,1,IF('Raw profile'!AC286&gt;0,2,0))</f>
        <v>2</v>
      </c>
      <c r="AE96" s="20">
        <f>IF('Raw profile'!AD183&gt;0,1,IF('Raw profile'!AD286&gt;0,2,0))</f>
        <v>2</v>
      </c>
      <c r="AF96" s="20">
        <f>IF('Raw profile'!AE183&gt;0,1,IF('Raw profile'!AE286&gt;0,2,0))</f>
        <v>2</v>
      </c>
      <c r="AG96" s="20">
        <f>IF('Raw profile'!AF183&gt;0,1,IF('Raw profile'!AF286&gt;0,2,0))</f>
        <v>2</v>
      </c>
      <c r="AH96" s="20">
        <f>IF('Raw profile'!AG183&gt;0,1,IF('Raw profile'!AG286&gt;0,2,0))</f>
        <v>2</v>
      </c>
      <c r="AI96" s="20">
        <f>IF('Raw profile'!AH183&gt;0,1,IF('Raw profile'!AH286&gt;0,2,0))</f>
        <v>2</v>
      </c>
      <c r="AJ96" s="20">
        <f>IF('Raw profile'!AI183&gt;0,1,IF('Raw profile'!AI286&gt;0,2,0))</f>
        <v>2</v>
      </c>
      <c r="AK96" s="20">
        <f>IF('Raw profile'!AJ183&gt;0,1,IF('Raw profile'!AJ286&gt;0,2,0))</f>
        <v>2</v>
      </c>
      <c r="AL96" s="20">
        <f>IF('Raw profile'!AK183&gt;0,1,IF('Raw profile'!AK286&gt;0,2,0))</f>
        <v>2</v>
      </c>
      <c r="AM96" s="20">
        <f>IF('Raw profile'!AL183&gt;0,1,IF('Raw profile'!AL286&gt;0,2,0))</f>
        <v>2</v>
      </c>
      <c r="AN96" s="20">
        <f>IF('Raw profile'!AM183&gt;0,1,IF('Raw profile'!AM286&gt;0,2,0))</f>
        <v>2</v>
      </c>
      <c r="AO96" s="20">
        <f>IF('Raw profile'!AN183&gt;0,1,IF('Raw profile'!AN286&gt;0,2,0))</f>
        <v>2</v>
      </c>
      <c r="AP96" s="20">
        <f>IF('Raw profile'!AO183&gt;0,1,IF('Raw profile'!AO286&gt;0,2,0))</f>
        <v>2</v>
      </c>
      <c r="AQ96" s="20">
        <f>IF('Raw profile'!AP183&gt;0,1,IF('Raw profile'!AP286&gt;0,2,0))</f>
        <v>2</v>
      </c>
      <c r="AR96" s="20">
        <f>IF('Raw profile'!AQ183&gt;0,1,IF('Raw profile'!AQ286&gt;0,2,0))</f>
        <v>2</v>
      </c>
      <c r="AS96" s="20">
        <f>IF('Raw profile'!AR183&gt;0,1,IF('Raw profile'!AR286&gt;0,2,0))</f>
        <v>2</v>
      </c>
      <c r="AT96" s="20">
        <f>IF('Raw profile'!AS183&gt;0,1,IF('Raw profile'!AS286&gt;0,2,0))</f>
        <v>2</v>
      </c>
      <c r="AU96" s="20">
        <f>IF('Raw profile'!AT183&gt;0,1,IF('Raw profile'!AT286&gt;0,2,0))</f>
        <v>2</v>
      </c>
      <c r="AV96" s="20">
        <f>IF('Raw profile'!AU183&gt;0,1,IF('Raw profile'!AU286&gt;0,2,0))</f>
        <v>2</v>
      </c>
      <c r="AW96" s="20">
        <f>IF('Raw profile'!AV183&gt;0,1,IF('Raw profile'!AV286&gt;0,2,0))</f>
        <v>2</v>
      </c>
      <c r="AX96" s="20">
        <f>IF('Raw profile'!AW183&gt;0,1,IF('Raw profile'!AW286&gt;0,2,0))</f>
        <v>2</v>
      </c>
      <c r="AY96" s="20">
        <f>IF('Raw profile'!AX183&gt;0,1,IF('Raw profile'!AX286&gt;0,2,0))</f>
        <v>2</v>
      </c>
      <c r="AZ96" s="20">
        <f>IF('Raw profile'!AY183&gt;0,1,IF('Raw profile'!AY286&gt;0,2,0))</f>
        <v>2</v>
      </c>
      <c r="BA96" s="20">
        <f>IF('Raw profile'!AZ183&gt;0,1,IF('Raw profile'!AZ286&gt;0,2,0))</f>
        <v>2</v>
      </c>
      <c r="BB96" s="20">
        <f>IF('Raw profile'!BA183&gt;0,1,IF('Raw profile'!BA286&gt;0,2,0))</f>
        <v>2</v>
      </c>
      <c r="BC96" s="20">
        <f>IF('Raw profile'!BB183&gt;0,1,IF('Raw profile'!BB286&gt;0,2,0))</f>
        <v>0</v>
      </c>
      <c r="BD96" s="20">
        <f>IF('Raw profile'!BC183&gt;0,1,IF('Raw profile'!BC286&gt;0,2,0))</f>
        <v>0</v>
      </c>
      <c r="BE96" s="20">
        <f>IF('Raw profile'!BD183&gt;0,1,IF('Raw profile'!BD286&gt;0,2,0))</f>
        <v>0</v>
      </c>
      <c r="BF96" s="20">
        <f>IF('Raw profile'!BE183&gt;0,1,IF('Raw profile'!BE286&gt;0,2,0))</f>
        <v>0</v>
      </c>
      <c r="BG96" s="20">
        <f>IF('Raw profile'!BF183&gt;0,1,IF('Raw profile'!BF286&gt;0,2,0))</f>
        <v>0</v>
      </c>
      <c r="BH96" s="20">
        <f>IF('Raw profile'!BG183&gt;0,1,IF('Raw profile'!BG286&gt;0,2,0))</f>
        <v>0</v>
      </c>
      <c r="BI96" s="20">
        <f>IF('Raw profile'!BH183&gt;0,1,IF('Raw profile'!BH286&gt;0,2,0))</f>
        <v>0</v>
      </c>
      <c r="BJ96" s="20">
        <f>IF('Raw profile'!BI183&gt;0,1,IF('Raw profile'!BI286&gt;0,2,0))</f>
        <v>0</v>
      </c>
      <c r="BK96" s="21">
        <f>IF('Raw profile'!BJ183&gt;0,1,IF('Raw profile'!BJ286&gt;0,2,0))</f>
        <v>0</v>
      </c>
    </row>
    <row r="97" spans="1:63" x14ac:dyDescent="0.3">
      <c r="B97" s="13" t="s">
        <v>4</v>
      </c>
      <c r="C97" s="19">
        <f>'Growth profile'!I75</f>
        <v>2033</v>
      </c>
      <c r="D97" s="20">
        <f>IF('Growth profile'!C183&gt;0,1,IF('Growth profile'!C286&gt;0,3,0))</f>
        <v>0</v>
      </c>
      <c r="E97" s="20">
        <f>IF('Growth profile'!D183&gt;0,1,IF('Growth profile'!D286&gt;0,3,0))</f>
        <v>0</v>
      </c>
      <c r="F97" s="20">
        <f>IF('Growth profile'!E183&gt;0,1,IF('Growth profile'!E286&gt;0,3,0))</f>
        <v>0</v>
      </c>
      <c r="G97" s="20">
        <f>IF('Growth profile'!F183&gt;0,1,IF('Growth profile'!F286&gt;0,3,0))</f>
        <v>0</v>
      </c>
      <c r="H97" s="20">
        <f>IF('Growth profile'!G183&gt;0,1,IF('Growth profile'!G286&gt;0,3,0))</f>
        <v>0</v>
      </c>
      <c r="I97" s="20">
        <f>IF('Growth profile'!H183&gt;0,1,IF('Growth profile'!H286&gt;0,3,0))</f>
        <v>0</v>
      </c>
      <c r="J97" s="20">
        <f>IF('Growth profile'!I183&gt;0,1,IF('Growth profile'!I286&gt;0,3,0))</f>
        <v>0</v>
      </c>
      <c r="K97" s="20">
        <f>IF('Growth profile'!J183&gt;0,1,IF('Growth profile'!J286&gt;0,3,0))</f>
        <v>1</v>
      </c>
      <c r="L97" s="20">
        <f>IF('Growth profile'!K183&gt;0,1,IF('Growth profile'!K286&gt;0,3,0))</f>
        <v>0</v>
      </c>
      <c r="M97" s="20">
        <f>IF('Growth profile'!L183&gt;0,1,IF('Growth profile'!L286&gt;0,3,0))</f>
        <v>1</v>
      </c>
      <c r="N97" s="20">
        <f>IF('Growth profile'!M183&gt;0,1,IF('Growth profile'!M286&gt;0,3,0))</f>
        <v>1</v>
      </c>
      <c r="O97" s="20">
        <f>IF('Growth profile'!N183&gt;0,1,IF('Growth profile'!N286&gt;0,3,0))</f>
        <v>1</v>
      </c>
      <c r="P97" s="20">
        <f>IF('Growth profile'!O183&gt;0,1,IF('Growth profile'!O286&gt;0,3,0))</f>
        <v>1</v>
      </c>
      <c r="Q97" s="20">
        <f>IF('Growth profile'!P183&gt;0,1,IF('Growth profile'!P286&gt;0,3,0))</f>
        <v>1</v>
      </c>
      <c r="R97" s="20">
        <f>IF('Growth profile'!Q183&gt;0,1,IF('Growth profile'!Q286&gt;0,3,0))</f>
        <v>1</v>
      </c>
      <c r="S97" s="20">
        <f>IF('Growth profile'!R183&gt;0,1,IF('Growth profile'!R286&gt;0,3,0))</f>
        <v>1</v>
      </c>
      <c r="T97" s="20">
        <f>IF('Growth profile'!S183&gt;0,1,IF('Growth profile'!S286&gt;0,3,0))</f>
        <v>3</v>
      </c>
      <c r="U97" s="20">
        <f>IF('Growth profile'!T183&gt;0,1,IF('Growth profile'!T286&gt;0,3,0))</f>
        <v>3</v>
      </c>
      <c r="V97" s="20">
        <f>IF('Growth profile'!U183&gt;0,1,IF('Growth profile'!U286&gt;0,3,0))</f>
        <v>3</v>
      </c>
      <c r="W97" s="20">
        <f>IF('Growth profile'!V183&gt;0,1,IF('Growth profile'!V286&gt;0,3,0))</f>
        <v>3</v>
      </c>
      <c r="X97" s="20">
        <f>IF('Growth profile'!W183&gt;0,1,IF('Growth profile'!W286&gt;0,3,0))</f>
        <v>3</v>
      </c>
      <c r="Y97" s="20">
        <f>IF('Growth profile'!X183&gt;0,1,IF('Growth profile'!X286&gt;0,3,0))</f>
        <v>3</v>
      </c>
      <c r="Z97" s="20">
        <f>IF('Growth profile'!Y183&gt;0,1,IF('Growth profile'!Y286&gt;0,3,0))</f>
        <v>3</v>
      </c>
      <c r="AA97" s="20">
        <f>IF('Growth profile'!Z183&gt;0,1,IF('Growth profile'!Z286&gt;0,3,0))</f>
        <v>3</v>
      </c>
      <c r="AB97" s="20">
        <f>IF('Growth profile'!AA183&gt;0,1,IF('Growth profile'!AA286&gt;0,3,0))</f>
        <v>3</v>
      </c>
      <c r="AC97" s="20">
        <f>IF('Growth profile'!AB183&gt;0,1,IF('Growth profile'!AB286&gt;0,3,0))</f>
        <v>3</v>
      </c>
      <c r="AD97" s="20">
        <f>IF('Growth profile'!AC183&gt;0,1,IF('Growth profile'!AC286&gt;0,3,0))</f>
        <v>3</v>
      </c>
      <c r="AE97" s="20">
        <f>IF('Growth profile'!AD183&gt;0,1,IF('Growth profile'!AD286&gt;0,3,0))</f>
        <v>3</v>
      </c>
      <c r="AF97" s="20">
        <f>IF('Growth profile'!AE183&gt;0,1,IF('Growth profile'!AE286&gt;0,3,0))</f>
        <v>3</v>
      </c>
      <c r="AG97" s="20">
        <f>IF('Growth profile'!AF183&gt;0,1,IF('Growth profile'!AF286&gt;0,3,0))</f>
        <v>3</v>
      </c>
      <c r="AH97" s="20">
        <f>IF('Growth profile'!AG183&gt;0,1,IF('Growth profile'!AG286&gt;0,3,0))</f>
        <v>3</v>
      </c>
      <c r="AI97" s="20">
        <f>IF('Growth profile'!AH183&gt;0,1,IF('Growth profile'!AH286&gt;0,3,0))</f>
        <v>3</v>
      </c>
      <c r="AJ97" s="20">
        <f>IF('Growth profile'!AI183&gt;0,1,IF('Growth profile'!AI286&gt;0,3,0))</f>
        <v>3</v>
      </c>
      <c r="AK97" s="20">
        <f>IF('Growth profile'!AJ183&gt;0,1,IF('Growth profile'!AJ286&gt;0,3,0))</f>
        <v>3</v>
      </c>
      <c r="AL97" s="20">
        <f>IF('Growth profile'!AK183&gt;0,1,IF('Growth profile'!AK286&gt;0,3,0))</f>
        <v>3</v>
      </c>
      <c r="AM97" s="20">
        <f>IF('Growth profile'!AL183&gt;0,1,IF('Growth profile'!AL286&gt;0,3,0))</f>
        <v>3</v>
      </c>
      <c r="AN97" s="20">
        <f>IF('Growth profile'!AM183&gt;0,1,IF('Growth profile'!AM286&gt;0,3,0))</f>
        <v>3</v>
      </c>
      <c r="AO97" s="20">
        <f>IF('Growth profile'!AN183&gt;0,1,IF('Growth profile'!AN286&gt;0,3,0))</f>
        <v>3</v>
      </c>
      <c r="AP97" s="20">
        <f>IF('Growth profile'!AO183&gt;0,1,IF('Growth profile'!AO286&gt;0,3,0))</f>
        <v>3</v>
      </c>
      <c r="AQ97" s="20">
        <f>IF('Growth profile'!AP183&gt;0,1,IF('Growth profile'!AP286&gt;0,3,0))</f>
        <v>3</v>
      </c>
      <c r="AR97" s="20">
        <f>IF('Growth profile'!AQ183&gt;0,1,IF('Growth profile'!AQ286&gt;0,3,0))</f>
        <v>3</v>
      </c>
      <c r="AS97" s="20">
        <f>IF('Growth profile'!AR183&gt;0,1,IF('Growth profile'!AR286&gt;0,3,0))</f>
        <v>3</v>
      </c>
      <c r="AT97" s="20">
        <f>IF('Growth profile'!AS183&gt;0,1,IF('Growth profile'!AS286&gt;0,3,0))</f>
        <v>3</v>
      </c>
      <c r="AU97" s="20">
        <f>IF('Growth profile'!AT183&gt;0,1,IF('Growth profile'!AT286&gt;0,3,0))</f>
        <v>3</v>
      </c>
      <c r="AV97" s="20">
        <f>IF('Growth profile'!AU183&gt;0,1,IF('Growth profile'!AU286&gt;0,3,0))</f>
        <v>3</v>
      </c>
      <c r="AW97" s="20">
        <f>IF('Growth profile'!AV183&gt;0,1,IF('Growth profile'!AV286&gt;0,3,0))</f>
        <v>3</v>
      </c>
      <c r="AX97" s="20">
        <f>IF('Growth profile'!AW183&gt;0,1,IF('Growth profile'!AW286&gt;0,3,0))</f>
        <v>3</v>
      </c>
      <c r="AY97" s="20">
        <f>IF('Growth profile'!AX183&gt;0,1,IF('Growth profile'!AX286&gt;0,3,0))</f>
        <v>3</v>
      </c>
      <c r="AZ97" s="20">
        <f>IF('Growth profile'!AY183&gt;0,1,IF('Growth profile'!AY286&gt;0,3,0))</f>
        <v>3</v>
      </c>
      <c r="BA97" s="20">
        <f>IF('Growth profile'!AZ183&gt;0,1,IF('Growth profile'!AZ286&gt;0,3,0))</f>
        <v>3</v>
      </c>
      <c r="BB97" s="20">
        <f>IF('Growth profile'!BA183&gt;0,1,IF('Growth profile'!BA286&gt;0,3,0))</f>
        <v>3</v>
      </c>
      <c r="BC97" s="20">
        <f>IF('Growth profile'!BB183&gt;0,1,IF('Growth profile'!BB286&gt;0,3,0))</f>
        <v>3</v>
      </c>
      <c r="BD97" s="20">
        <f>IF('Growth profile'!BC183&gt;0,1,IF('Growth profile'!BC286&gt;0,3,0))</f>
        <v>3</v>
      </c>
      <c r="BE97" s="20">
        <f>IF('Growth profile'!BD183&gt;0,1,IF('Growth profile'!BD286&gt;0,3,0))</f>
        <v>3</v>
      </c>
      <c r="BF97" s="20">
        <f>IF('Growth profile'!BE183&gt;0,1,IF('Growth profile'!BE286&gt;0,3,0))</f>
        <v>3</v>
      </c>
      <c r="BG97" s="20">
        <f>IF('Growth profile'!BF183&gt;0,1,IF('Growth profile'!BF286&gt;0,3,0))</f>
        <v>3</v>
      </c>
      <c r="BH97" s="20">
        <f>IF('Growth profile'!BG183&gt;0,1,IF('Growth profile'!BG286&gt;0,3,0))</f>
        <v>0</v>
      </c>
      <c r="BI97" s="20">
        <f>IF('Growth profile'!BH183&gt;0,1,IF('Growth profile'!BH286&gt;0,3,0))</f>
        <v>0</v>
      </c>
      <c r="BJ97" s="20">
        <f>IF('Growth profile'!BI183&gt;0,1,IF('Growth profile'!BI286&gt;0,3,0))</f>
        <v>0</v>
      </c>
      <c r="BK97" s="21">
        <f>IF('Growth profile'!BJ183&gt;0,1,IF('Growth profile'!BJ286&gt;0,3,0))</f>
        <v>0</v>
      </c>
    </row>
    <row r="98" spans="1:63" x14ac:dyDescent="0.3">
      <c r="B98" s="13" t="s">
        <v>59</v>
      </c>
      <c r="C98" s="19">
        <f>'Growth (no penalty)'!I75</f>
        <v>2037</v>
      </c>
      <c r="D98" s="22">
        <f>IF('Growth (no penalty)'!C183&gt;0,1,IF('Growth (no penalty)'!C286&gt;0,4,0))</f>
        <v>0</v>
      </c>
      <c r="E98" s="22">
        <f>IF('Growth (no penalty)'!D183&gt;0,1,IF('Growth (no penalty)'!D286&gt;0,4,0))</f>
        <v>0</v>
      </c>
      <c r="F98" s="22">
        <f>IF('Growth (no penalty)'!E183&gt;0,1,IF('Growth (no penalty)'!E286&gt;0,4,0))</f>
        <v>0</v>
      </c>
      <c r="G98" s="22">
        <f>IF('Growth (no penalty)'!F183&gt;0,1,IF('Growth (no penalty)'!F286&gt;0,4,0))</f>
        <v>0</v>
      </c>
      <c r="H98" s="22">
        <f>IF('Growth (no penalty)'!G183&gt;0,1,IF('Growth (no penalty)'!G286&gt;0,4,0))</f>
        <v>0</v>
      </c>
      <c r="I98" s="22">
        <f>IF('Growth (no penalty)'!H183&gt;0,1,IF('Growth (no penalty)'!H286&gt;0,4,0))</f>
        <v>0</v>
      </c>
      <c r="J98" s="22">
        <f>IF('Growth (no penalty)'!I183&gt;0,1,IF('Growth (no penalty)'!I286&gt;0,4,0))</f>
        <v>0</v>
      </c>
      <c r="K98" s="22">
        <f>IF('Growth (no penalty)'!J183&gt;0,1,IF('Growth (no penalty)'!J286&gt;0,4,0))</f>
        <v>0</v>
      </c>
      <c r="L98" s="22">
        <f>IF('Growth (no penalty)'!K183&gt;0,1,IF('Growth (no penalty)'!K286&gt;0,4,0))</f>
        <v>0</v>
      </c>
      <c r="M98" s="22">
        <f>IF('Growth (no penalty)'!L183&gt;0,1,IF('Growth (no penalty)'!L286&gt;0,4,0))</f>
        <v>0</v>
      </c>
      <c r="N98" s="22">
        <f>IF('Growth (no penalty)'!M183&gt;0,1,IF('Growth (no penalty)'!M286&gt;0,4,0))</f>
        <v>0</v>
      </c>
      <c r="O98" s="22">
        <f>IF('Growth (no penalty)'!N183&gt;0,1,IF('Growth (no penalty)'!N286&gt;0,4,0))</f>
        <v>1</v>
      </c>
      <c r="P98" s="22">
        <f>IF('Growth (no penalty)'!O183&gt;0,1,IF('Growth (no penalty)'!O286&gt;0,4,0))</f>
        <v>0</v>
      </c>
      <c r="Q98" s="22">
        <f>IF('Growth (no penalty)'!P183&gt;0,1,IF('Growth (no penalty)'!P286&gt;0,4,0))</f>
        <v>1</v>
      </c>
      <c r="R98" s="22">
        <f>IF('Growth (no penalty)'!Q183&gt;0,1,IF('Growth (no penalty)'!Q286&gt;0,4,0))</f>
        <v>1</v>
      </c>
      <c r="S98" s="22">
        <f>IF('Growth (no penalty)'!R183&gt;0,1,IF('Growth (no penalty)'!R286&gt;0,4,0))</f>
        <v>1</v>
      </c>
      <c r="T98" s="22">
        <f>IF('Growth (no penalty)'!S183&gt;0,1,IF('Growth (no penalty)'!S286&gt;0,4,0))</f>
        <v>1</v>
      </c>
      <c r="U98" s="22">
        <f>IF('Growth (no penalty)'!T183&gt;0,1,IF('Growth (no penalty)'!T286&gt;0,4,0))</f>
        <v>1</v>
      </c>
      <c r="V98" s="22">
        <f>IF('Growth (no penalty)'!U183&gt;0,1,IF('Growth (no penalty)'!U286&gt;0,4,0))</f>
        <v>1</v>
      </c>
      <c r="W98" s="22">
        <f>IF('Growth (no penalty)'!V183&gt;0,1,IF('Growth (no penalty)'!V286&gt;0,4,0))</f>
        <v>1</v>
      </c>
      <c r="X98" s="22">
        <f>IF('Growth (no penalty)'!W183&gt;0,1,IF('Growth (no penalty)'!W286&gt;0,4,0))</f>
        <v>4</v>
      </c>
      <c r="Y98" s="22">
        <f>IF('Growth (no penalty)'!X183&gt;0,1,IF('Growth (no penalty)'!X286&gt;0,4,0))</f>
        <v>4</v>
      </c>
      <c r="Z98" s="22">
        <f>IF('Growth (no penalty)'!Y183&gt;0,1,IF('Growth (no penalty)'!Y286&gt;0,4,0))</f>
        <v>4</v>
      </c>
      <c r="AA98" s="22">
        <f>IF('Growth (no penalty)'!Z183&gt;0,1,IF('Growth (no penalty)'!Z286&gt;0,4,0))</f>
        <v>4</v>
      </c>
      <c r="AB98" s="22">
        <f>IF('Growth (no penalty)'!AA183&gt;0,1,IF('Growth (no penalty)'!AA286&gt;0,4,0))</f>
        <v>4</v>
      </c>
      <c r="AC98" s="22">
        <f>IF('Growth (no penalty)'!AB183&gt;0,1,IF('Growth (no penalty)'!AB286&gt;0,4,0))</f>
        <v>4</v>
      </c>
      <c r="AD98" s="22">
        <f>IF('Growth (no penalty)'!AC183&gt;0,1,IF('Growth (no penalty)'!AC286&gt;0,4,0))</f>
        <v>4</v>
      </c>
      <c r="AE98" s="22">
        <f>IF('Growth (no penalty)'!AD183&gt;0,1,IF('Growth (no penalty)'!AD286&gt;0,4,0))</f>
        <v>4</v>
      </c>
      <c r="AF98" s="22">
        <f>IF('Growth (no penalty)'!AE183&gt;0,1,IF('Growth (no penalty)'!AE286&gt;0,4,0))</f>
        <v>4</v>
      </c>
      <c r="AG98" s="22">
        <f>IF('Growth (no penalty)'!AF183&gt;0,1,IF('Growth (no penalty)'!AF286&gt;0,4,0))</f>
        <v>4</v>
      </c>
      <c r="AH98" s="22">
        <f>IF('Growth (no penalty)'!AG183&gt;0,1,IF('Growth (no penalty)'!AG286&gt;0,4,0))</f>
        <v>4</v>
      </c>
      <c r="AI98" s="22">
        <f>IF('Growth (no penalty)'!AH183&gt;0,1,IF('Growth (no penalty)'!AH286&gt;0,4,0))</f>
        <v>4</v>
      </c>
      <c r="AJ98" s="22">
        <f>IF('Growth (no penalty)'!AI183&gt;0,1,IF('Growth (no penalty)'!AI286&gt;0,4,0))</f>
        <v>4</v>
      </c>
      <c r="AK98" s="22">
        <f>IF('Growth (no penalty)'!AJ183&gt;0,1,IF('Growth (no penalty)'!AJ286&gt;0,4,0))</f>
        <v>4</v>
      </c>
      <c r="AL98" s="22">
        <f>IF('Growth (no penalty)'!AK183&gt;0,1,IF('Growth (no penalty)'!AK286&gt;0,4,0))</f>
        <v>4</v>
      </c>
      <c r="AM98" s="22">
        <f>IF('Growth (no penalty)'!AL183&gt;0,1,IF('Growth (no penalty)'!AL286&gt;0,4,0))</f>
        <v>4</v>
      </c>
      <c r="AN98" s="22">
        <f>IF('Growth (no penalty)'!AM183&gt;0,1,IF('Growth (no penalty)'!AM286&gt;0,4,0))</f>
        <v>4</v>
      </c>
      <c r="AO98" s="22">
        <f>IF('Growth (no penalty)'!AN183&gt;0,1,IF('Growth (no penalty)'!AN286&gt;0,4,0))</f>
        <v>4</v>
      </c>
      <c r="AP98" s="22">
        <f>IF('Growth (no penalty)'!AO183&gt;0,1,IF('Growth (no penalty)'!AO286&gt;0,4,0))</f>
        <v>4</v>
      </c>
      <c r="AQ98" s="22">
        <f>IF('Growth (no penalty)'!AP183&gt;0,1,IF('Growth (no penalty)'!AP286&gt;0,4,0))</f>
        <v>4</v>
      </c>
      <c r="AR98" s="22">
        <f>IF('Growth (no penalty)'!AQ183&gt;0,1,IF('Growth (no penalty)'!AQ286&gt;0,4,0))</f>
        <v>4</v>
      </c>
      <c r="AS98" s="22">
        <f>IF('Growth (no penalty)'!AR183&gt;0,1,IF('Growth (no penalty)'!AR286&gt;0,4,0))</f>
        <v>4</v>
      </c>
      <c r="AT98" s="22">
        <f>IF('Growth (no penalty)'!AS183&gt;0,1,IF('Growth (no penalty)'!AS286&gt;0,4,0))</f>
        <v>4</v>
      </c>
      <c r="AU98" s="22">
        <f>IF('Growth (no penalty)'!AT183&gt;0,1,IF('Growth (no penalty)'!AT286&gt;0,4,0))</f>
        <v>4</v>
      </c>
      <c r="AV98" s="22">
        <f>IF('Growth (no penalty)'!AU183&gt;0,1,IF('Growth (no penalty)'!AU286&gt;0,4,0))</f>
        <v>4</v>
      </c>
      <c r="AW98" s="22">
        <f>IF('Growth (no penalty)'!AV183&gt;0,1,IF('Growth (no penalty)'!AV286&gt;0,4,0))</f>
        <v>4</v>
      </c>
      <c r="AX98" s="22">
        <f>IF('Growth (no penalty)'!AW183&gt;0,1,IF('Growth (no penalty)'!AW286&gt;0,4,0))</f>
        <v>4</v>
      </c>
      <c r="AY98" s="22">
        <f>IF('Growth (no penalty)'!AX183&gt;0,1,IF('Growth (no penalty)'!AX286&gt;0,4,0))</f>
        <v>4</v>
      </c>
      <c r="AZ98" s="22">
        <f>IF('Growth (no penalty)'!AY183&gt;0,1,IF('Growth (no penalty)'!AY286&gt;0,4,0))</f>
        <v>4</v>
      </c>
      <c r="BA98" s="22">
        <f>IF('Growth (no penalty)'!AZ183&gt;0,1,IF('Growth (no penalty)'!AZ286&gt;0,4,0))</f>
        <v>4</v>
      </c>
      <c r="BB98" s="22">
        <f>IF('Growth (no penalty)'!BA183&gt;0,1,IF('Growth (no penalty)'!BA286&gt;0,4,0))</f>
        <v>4</v>
      </c>
      <c r="BC98" s="22">
        <f>IF('Growth (no penalty)'!BB183&gt;0,1,IF('Growth (no penalty)'!BB286&gt;0,4,0))</f>
        <v>4</v>
      </c>
      <c r="BD98" s="22">
        <f>IF('Growth (no penalty)'!BC183&gt;0,1,IF('Growth (no penalty)'!BC286&gt;0,4,0))</f>
        <v>4</v>
      </c>
      <c r="BE98" s="22">
        <f>IF('Growth (no penalty)'!BD183&gt;0,1,IF('Growth (no penalty)'!BD286&gt;0,4,0))</f>
        <v>4</v>
      </c>
      <c r="BF98" s="22">
        <f>IF('Growth (no penalty)'!BE183&gt;0,1,IF('Growth (no penalty)'!BE286&gt;0,4,0))</f>
        <v>4</v>
      </c>
      <c r="BG98" s="22">
        <f>IF('Growth (no penalty)'!BF183&gt;0,1,IF('Growth (no penalty)'!BF286&gt;0,4,0))</f>
        <v>4</v>
      </c>
      <c r="BH98" s="22">
        <f>IF('Growth (no penalty)'!BG183&gt;0,1,IF('Growth (no penalty)'!BG286&gt;0,4,0))</f>
        <v>4</v>
      </c>
      <c r="BI98" s="22">
        <f>IF('Growth (no penalty)'!BH183&gt;0,1,IF('Growth (no penalty)'!BH286&gt;0,4,0))</f>
        <v>4</v>
      </c>
      <c r="BJ98" s="22">
        <f>IF('Growth (no penalty)'!BI183&gt;0,1,IF('Growth (no penalty)'!BI286&gt;0,4,0))</f>
        <v>4</v>
      </c>
      <c r="BK98" s="23">
        <f>IF('Growth (no penalty)'!BJ183&gt;0,1,IF('Growth (no penalty)'!BJ286&gt;0,4,0))</f>
        <v>4</v>
      </c>
    </row>
    <row r="99" spans="1:63" x14ac:dyDescent="0.3">
      <c r="A99" s="4" t="str">
        <f>'Growth profile'!A61</f>
        <v>project 75</v>
      </c>
      <c r="B99" s="13" t="s">
        <v>3</v>
      </c>
      <c r="C99" s="19">
        <f>'Raw profile'!I61</f>
        <v>2029</v>
      </c>
      <c r="D99" s="20">
        <f>IF('Raw profile'!C169&gt;0,1,IF('Raw profile'!C272&gt;0,2,0))</f>
        <v>0</v>
      </c>
      <c r="E99" s="20">
        <f>IF('Raw profile'!D169&gt;0,1,IF('Raw profile'!D272&gt;0,2,0))</f>
        <v>0</v>
      </c>
      <c r="F99" s="20">
        <f>IF('Raw profile'!E169&gt;0,1,IF('Raw profile'!E272&gt;0,2,0))</f>
        <v>0</v>
      </c>
      <c r="G99" s="20">
        <f>IF('Raw profile'!F169&gt;0,1,IF('Raw profile'!F272&gt;0,2,0))</f>
        <v>1</v>
      </c>
      <c r="H99" s="20">
        <f>IF('Raw profile'!G169&gt;0,1,IF('Raw profile'!G272&gt;0,2,0))</f>
        <v>1</v>
      </c>
      <c r="I99" s="20">
        <f>IF('Raw profile'!H169&gt;0,1,IF('Raw profile'!H272&gt;0,2,0))</f>
        <v>1</v>
      </c>
      <c r="J99" s="20">
        <f>IF('Raw profile'!I169&gt;0,1,IF('Raw profile'!I272&gt;0,2,0))</f>
        <v>1</v>
      </c>
      <c r="K99" s="20">
        <f>IF('Raw profile'!J169&gt;0,1,IF('Raw profile'!J272&gt;0,2,0))</f>
        <v>1</v>
      </c>
      <c r="L99" s="20">
        <f>IF('Raw profile'!K169&gt;0,1,IF('Raw profile'!K272&gt;0,2,0))</f>
        <v>1</v>
      </c>
      <c r="M99" s="20">
        <f>IF('Raw profile'!L169&gt;0,1,IF('Raw profile'!L272&gt;0,2,0))</f>
        <v>1</v>
      </c>
      <c r="N99" s="20">
        <f>IF('Raw profile'!M169&gt;0,1,IF('Raw profile'!M272&gt;0,2,0))</f>
        <v>1</v>
      </c>
      <c r="O99" s="20">
        <f>IF('Raw profile'!N169&gt;0,1,IF('Raw profile'!N272&gt;0,2,0))</f>
        <v>1</v>
      </c>
      <c r="P99" s="20">
        <f>IF('Raw profile'!O169&gt;0,1,IF('Raw profile'!O272&gt;0,2,0))</f>
        <v>1</v>
      </c>
      <c r="Q99" s="20">
        <f>IF('Raw profile'!P169&gt;0,1,IF('Raw profile'!P272&gt;0,2,0))</f>
        <v>1</v>
      </c>
      <c r="R99" s="20">
        <f>IF('Raw profile'!Q169&gt;0,1,IF('Raw profile'!Q272&gt;0,2,0))</f>
        <v>1</v>
      </c>
      <c r="S99" s="20">
        <f>IF('Raw profile'!R169&gt;0,1,IF('Raw profile'!R272&gt;0,2,0))</f>
        <v>1</v>
      </c>
      <c r="T99" s="20">
        <f>IF('Raw profile'!S169&gt;0,1,IF('Raw profile'!S272&gt;0,2,0))</f>
        <v>1</v>
      </c>
      <c r="U99" s="20">
        <f>IF('Raw profile'!T169&gt;0,1,IF('Raw profile'!T272&gt;0,2,0))</f>
        <v>1</v>
      </c>
      <c r="V99" s="20">
        <f>IF('Raw profile'!U169&gt;0,1,IF('Raw profile'!U272&gt;0,2,0))</f>
        <v>1</v>
      </c>
      <c r="W99" s="20">
        <f>IF('Raw profile'!V169&gt;0,1,IF('Raw profile'!V272&gt;0,2,0))</f>
        <v>2</v>
      </c>
      <c r="X99" s="20">
        <f>IF('Raw profile'!W169&gt;0,1,IF('Raw profile'!W272&gt;0,2,0))</f>
        <v>2</v>
      </c>
      <c r="Y99" s="20">
        <f>IF('Raw profile'!X169&gt;0,1,IF('Raw profile'!X272&gt;0,2,0))</f>
        <v>2</v>
      </c>
      <c r="Z99" s="20">
        <f>IF('Raw profile'!Y169&gt;0,1,IF('Raw profile'!Y272&gt;0,2,0))</f>
        <v>2</v>
      </c>
      <c r="AA99" s="20">
        <f>IF('Raw profile'!Z169&gt;0,1,IF('Raw profile'!Z272&gt;0,2,0))</f>
        <v>2</v>
      </c>
      <c r="AB99" s="20">
        <f>IF('Raw profile'!AA169&gt;0,1,IF('Raw profile'!AA272&gt;0,2,0))</f>
        <v>2</v>
      </c>
      <c r="AC99" s="20">
        <f>IF('Raw profile'!AB169&gt;0,1,IF('Raw profile'!AB272&gt;0,2,0))</f>
        <v>2</v>
      </c>
      <c r="AD99" s="20">
        <f>IF('Raw profile'!AC169&gt;0,1,IF('Raw profile'!AC272&gt;0,2,0))</f>
        <v>2</v>
      </c>
      <c r="AE99" s="20">
        <f>IF('Raw profile'!AD169&gt;0,1,IF('Raw profile'!AD272&gt;0,2,0))</f>
        <v>2</v>
      </c>
      <c r="AF99" s="20">
        <f>IF('Raw profile'!AE169&gt;0,1,IF('Raw profile'!AE272&gt;0,2,0))</f>
        <v>2</v>
      </c>
      <c r="AG99" s="20">
        <f>IF('Raw profile'!AF169&gt;0,1,IF('Raw profile'!AF272&gt;0,2,0))</f>
        <v>2</v>
      </c>
      <c r="AH99" s="20">
        <f>IF('Raw profile'!AG169&gt;0,1,IF('Raw profile'!AG272&gt;0,2,0))</f>
        <v>2</v>
      </c>
      <c r="AI99" s="20">
        <f>IF('Raw profile'!AH169&gt;0,1,IF('Raw profile'!AH272&gt;0,2,0))</f>
        <v>2</v>
      </c>
      <c r="AJ99" s="20">
        <f>IF('Raw profile'!AI169&gt;0,1,IF('Raw profile'!AI272&gt;0,2,0))</f>
        <v>2</v>
      </c>
      <c r="AK99" s="20">
        <f>IF('Raw profile'!AJ169&gt;0,1,IF('Raw profile'!AJ272&gt;0,2,0))</f>
        <v>2</v>
      </c>
      <c r="AL99" s="20">
        <f>IF('Raw profile'!AK169&gt;0,1,IF('Raw profile'!AK272&gt;0,2,0))</f>
        <v>2</v>
      </c>
      <c r="AM99" s="20">
        <f>IF('Raw profile'!AL169&gt;0,1,IF('Raw profile'!AL272&gt;0,2,0))</f>
        <v>2</v>
      </c>
      <c r="AN99" s="20">
        <f>IF('Raw profile'!AM169&gt;0,1,IF('Raw profile'!AM272&gt;0,2,0))</f>
        <v>2</v>
      </c>
      <c r="AO99" s="20">
        <f>IF('Raw profile'!AN169&gt;0,1,IF('Raw profile'!AN272&gt;0,2,0))</f>
        <v>2</v>
      </c>
      <c r="AP99" s="20">
        <f>IF('Raw profile'!AO169&gt;0,1,IF('Raw profile'!AO272&gt;0,2,0))</f>
        <v>2</v>
      </c>
      <c r="AQ99" s="20">
        <f>IF('Raw profile'!AP169&gt;0,1,IF('Raw profile'!AP272&gt;0,2,0))</f>
        <v>2</v>
      </c>
      <c r="AR99" s="20">
        <f>IF('Raw profile'!AQ169&gt;0,1,IF('Raw profile'!AQ272&gt;0,2,0))</f>
        <v>2</v>
      </c>
      <c r="AS99" s="20">
        <f>IF('Raw profile'!AR169&gt;0,1,IF('Raw profile'!AR272&gt;0,2,0))</f>
        <v>2</v>
      </c>
      <c r="AT99" s="20">
        <f>IF('Raw profile'!AS169&gt;0,1,IF('Raw profile'!AS272&gt;0,2,0))</f>
        <v>2</v>
      </c>
      <c r="AU99" s="20">
        <f>IF('Raw profile'!AT169&gt;0,1,IF('Raw profile'!AT272&gt;0,2,0))</f>
        <v>2</v>
      </c>
      <c r="AV99" s="20">
        <f>IF('Raw profile'!AU169&gt;0,1,IF('Raw profile'!AU272&gt;0,2,0))</f>
        <v>2</v>
      </c>
      <c r="AW99" s="20">
        <f>IF('Raw profile'!AV169&gt;0,1,IF('Raw profile'!AV272&gt;0,2,0))</f>
        <v>2</v>
      </c>
      <c r="AX99" s="20">
        <f>IF('Raw profile'!AW169&gt;0,1,IF('Raw profile'!AW272&gt;0,2,0))</f>
        <v>2</v>
      </c>
      <c r="AY99" s="20">
        <f>IF('Raw profile'!AX169&gt;0,1,IF('Raw profile'!AX272&gt;0,2,0))</f>
        <v>2</v>
      </c>
      <c r="AZ99" s="20">
        <f>IF('Raw profile'!AY169&gt;0,1,IF('Raw profile'!AY272&gt;0,2,0))</f>
        <v>2</v>
      </c>
      <c r="BA99" s="20">
        <f>IF('Raw profile'!AZ169&gt;0,1,IF('Raw profile'!AZ272&gt;0,2,0))</f>
        <v>2</v>
      </c>
      <c r="BB99" s="20">
        <f>IF('Raw profile'!BA169&gt;0,1,IF('Raw profile'!BA272&gt;0,2,0))</f>
        <v>2</v>
      </c>
      <c r="BC99" s="20">
        <f>IF('Raw profile'!BB169&gt;0,1,IF('Raw profile'!BB272&gt;0,2,0))</f>
        <v>2</v>
      </c>
      <c r="BD99" s="20">
        <f>IF('Raw profile'!BC169&gt;0,1,IF('Raw profile'!BC272&gt;0,2,0))</f>
        <v>2</v>
      </c>
      <c r="BE99" s="20">
        <f>IF('Raw profile'!BD169&gt;0,1,IF('Raw profile'!BD272&gt;0,2,0))</f>
        <v>2</v>
      </c>
      <c r="BF99" s="20">
        <f>IF('Raw profile'!BE169&gt;0,1,IF('Raw profile'!BE272&gt;0,2,0))</f>
        <v>2</v>
      </c>
      <c r="BG99" s="20">
        <f>IF('Raw profile'!BF169&gt;0,1,IF('Raw profile'!BF272&gt;0,2,0))</f>
        <v>2</v>
      </c>
      <c r="BH99" s="20">
        <f>IF('Raw profile'!BG169&gt;0,1,IF('Raw profile'!BG272&gt;0,2,0))</f>
        <v>2</v>
      </c>
      <c r="BI99" s="20">
        <f>IF('Raw profile'!BH169&gt;0,1,IF('Raw profile'!BH272&gt;0,2,0))</f>
        <v>2</v>
      </c>
      <c r="BJ99" s="20">
        <f>IF('Raw profile'!BI169&gt;0,1,IF('Raw profile'!BI272&gt;0,2,0))</f>
        <v>2</v>
      </c>
      <c r="BK99" s="21">
        <f>IF('Raw profile'!BJ169&gt;0,1,IF('Raw profile'!BJ272&gt;0,2,0))</f>
        <v>0</v>
      </c>
    </row>
    <row r="100" spans="1:63" x14ac:dyDescent="0.3">
      <c r="B100" s="13" t="s">
        <v>4</v>
      </c>
      <c r="C100" s="19">
        <f>'Growth profile'!I61</f>
        <v>2026</v>
      </c>
      <c r="D100" s="20">
        <f>IF('Growth profile'!C169&gt;0,1,IF('Growth profile'!C272&gt;0,3,0))</f>
        <v>1</v>
      </c>
      <c r="E100" s="20">
        <f>IF('Growth profile'!D169&gt;0,1,IF('Growth profile'!D272&gt;0,3,0))</f>
        <v>1</v>
      </c>
      <c r="F100" s="20">
        <f>IF('Growth profile'!E169&gt;0,1,IF('Growth profile'!E272&gt;0,3,0))</f>
        <v>1</v>
      </c>
      <c r="G100" s="20">
        <f>IF('Growth profile'!F169&gt;0,1,IF('Growth profile'!F272&gt;0,3,0))</f>
        <v>1</v>
      </c>
      <c r="H100" s="20">
        <f>IF('Growth profile'!G169&gt;0,1,IF('Growth profile'!G272&gt;0,3,0))</f>
        <v>1</v>
      </c>
      <c r="I100" s="20">
        <f>IF('Growth profile'!H169&gt;0,1,IF('Growth profile'!H272&gt;0,3,0))</f>
        <v>1</v>
      </c>
      <c r="J100" s="20">
        <f>IF('Growth profile'!I169&gt;0,1,IF('Growth profile'!I272&gt;0,3,0))</f>
        <v>1</v>
      </c>
      <c r="K100" s="20">
        <f>IF('Growth profile'!J169&gt;0,1,IF('Growth profile'!J272&gt;0,3,0))</f>
        <v>1</v>
      </c>
      <c r="L100" s="20">
        <f>IF('Growth profile'!K169&gt;0,1,IF('Growth profile'!K272&gt;0,3,0))</f>
        <v>1</v>
      </c>
      <c r="M100" s="20">
        <f>IF('Growth profile'!L169&gt;0,1,IF('Growth profile'!L272&gt;0,3,0))</f>
        <v>1</v>
      </c>
      <c r="N100" s="20">
        <f>IF('Growth profile'!M169&gt;0,1,IF('Growth profile'!M272&gt;0,3,0))</f>
        <v>1</v>
      </c>
      <c r="O100" s="20">
        <f>IF('Growth profile'!N169&gt;0,1,IF('Growth profile'!N272&gt;0,3,0))</f>
        <v>1</v>
      </c>
      <c r="P100" s="20">
        <f>IF('Growth profile'!O169&gt;0,1,IF('Growth profile'!O272&gt;0,3,0))</f>
        <v>1</v>
      </c>
      <c r="Q100" s="20">
        <f>IF('Growth profile'!P169&gt;0,1,IF('Growth profile'!P272&gt;0,3,0))</f>
        <v>1</v>
      </c>
      <c r="R100" s="20">
        <f>IF('Growth profile'!Q169&gt;0,1,IF('Growth profile'!Q272&gt;0,3,0))</f>
        <v>1</v>
      </c>
      <c r="S100" s="20">
        <f>IF('Growth profile'!R169&gt;0,1,IF('Growth profile'!R272&gt;0,3,0))</f>
        <v>1</v>
      </c>
      <c r="T100" s="20">
        <f>IF('Growth profile'!S169&gt;0,1,IF('Growth profile'!S272&gt;0,3,0))</f>
        <v>3</v>
      </c>
      <c r="U100" s="20">
        <f>IF('Growth profile'!T169&gt;0,1,IF('Growth profile'!T272&gt;0,3,0))</f>
        <v>3</v>
      </c>
      <c r="V100" s="20">
        <f>IF('Growth profile'!U169&gt;0,1,IF('Growth profile'!U272&gt;0,3,0))</f>
        <v>3</v>
      </c>
      <c r="W100" s="20">
        <f>IF('Growth profile'!V169&gt;0,1,IF('Growth profile'!V272&gt;0,3,0))</f>
        <v>3</v>
      </c>
      <c r="X100" s="20">
        <f>IF('Growth profile'!W169&gt;0,1,IF('Growth profile'!W272&gt;0,3,0))</f>
        <v>3</v>
      </c>
      <c r="Y100" s="20">
        <f>IF('Growth profile'!X169&gt;0,1,IF('Growth profile'!X272&gt;0,3,0))</f>
        <v>3</v>
      </c>
      <c r="Z100" s="20">
        <f>IF('Growth profile'!Y169&gt;0,1,IF('Growth profile'!Y272&gt;0,3,0))</f>
        <v>3</v>
      </c>
      <c r="AA100" s="20">
        <f>IF('Growth profile'!Z169&gt;0,1,IF('Growth profile'!Z272&gt;0,3,0))</f>
        <v>3</v>
      </c>
      <c r="AB100" s="20">
        <f>IF('Growth profile'!AA169&gt;0,1,IF('Growth profile'!AA272&gt;0,3,0))</f>
        <v>3</v>
      </c>
      <c r="AC100" s="20">
        <f>IF('Growth profile'!AB169&gt;0,1,IF('Growth profile'!AB272&gt;0,3,0))</f>
        <v>3</v>
      </c>
      <c r="AD100" s="20">
        <f>IF('Growth profile'!AC169&gt;0,1,IF('Growth profile'!AC272&gt;0,3,0))</f>
        <v>3</v>
      </c>
      <c r="AE100" s="20">
        <f>IF('Growth profile'!AD169&gt;0,1,IF('Growth profile'!AD272&gt;0,3,0))</f>
        <v>3</v>
      </c>
      <c r="AF100" s="20">
        <f>IF('Growth profile'!AE169&gt;0,1,IF('Growth profile'!AE272&gt;0,3,0))</f>
        <v>3</v>
      </c>
      <c r="AG100" s="20">
        <f>IF('Growth profile'!AF169&gt;0,1,IF('Growth profile'!AF272&gt;0,3,0))</f>
        <v>3</v>
      </c>
      <c r="AH100" s="20">
        <f>IF('Growth profile'!AG169&gt;0,1,IF('Growth profile'!AG272&gt;0,3,0))</f>
        <v>3</v>
      </c>
      <c r="AI100" s="20">
        <f>IF('Growth profile'!AH169&gt;0,1,IF('Growth profile'!AH272&gt;0,3,0))</f>
        <v>3</v>
      </c>
      <c r="AJ100" s="20">
        <f>IF('Growth profile'!AI169&gt;0,1,IF('Growth profile'!AI272&gt;0,3,0))</f>
        <v>3</v>
      </c>
      <c r="AK100" s="20">
        <f>IF('Growth profile'!AJ169&gt;0,1,IF('Growth profile'!AJ272&gt;0,3,0))</f>
        <v>3</v>
      </c>
      <c r="AL100" s="20">
        <f>IF('Growth profile'!AK169&gt;0,1,IF('Growth profile'!AK272&gt;0,3,0))</f>
        <v>3</v>
      </c>
      <c r="AM100" s="20">
        <f>IF('Growth profile'!AL169&gt;0,1,IF('Growth profile'!AL272&gt;0,3,0))</f>
        <v>3</v>
      </c>
      <c r="AN100" s="20">
        <f>IF('Growth profile'!AM169&gt;0,1,IF('Growth profile'!AM272&gt;0,3,0))</f>
        <v>3</v>
      </c>
      <c r="AO100" s="20">
        <f>IF('Growth profile'!AN169&gt;0,1,IF('Growth profile'!AN272&gt;0,3,0))</f>
        <v>3</v>
      </c>
      <c r="AP100" s="20">
        <f>IF('Growth profile'!AO169&gt;0,1,IF('Growth profile'!AO272&gt;0,3,0))</f>
        <v>3</v>
      </c>
      <c r="AQ100" s="20">
        <f>IF('Growth profile'!AP169&gt;0,1,IF('Growth profile'!AP272&gt;0,3,0))</f>
        <v>3</v>
      </c>
      <c r="AR100" s="20">
        <f>IF('Growth profile'!AQ169&gt;0,1,IF('Growth profile'!AQ272&gt;0,3,0))</f>
        <v>3</v>
      </c>
      <c r="AS100" s="20">
        <f>IF('Growth profile'!AR169&gt;0,1,IF('Growth profile'!AR272&gt;0,3,0))</f>
        <v>3</v>
      </c>
      <c r="AT100" s="20">
        <f>IF('Growth profile'!AS169&gt;0,1,IF('Growth profile'!AS272&gt;0,3,0))</f>
        <v>3</v>
      </c>
      <c r="AU100" s="20">
        <f>IF('Growth profile'!AT169&gt;0,1,IF('Growth profile'!AT272&gt;0,3,0))</f>
        <v>3</v>
      </c>
      <c r="AV100" s="20">
        <f>IF('Growth profile'!AU169&gt;0,1,IF('Growth profile'!AU272&gt;0,3,0))</f>
        <v>3</v>
      </c>
      <c r="AW100" s="20">
        <f>IF('Growth profile'!AV169&gt;0,1,IF('Growth profile'!AV272&gt;0,3,0))</f>
        <v>3</v>
      </c>
      <c r="AX100" s="20">
        <f>IF('Growth profile'!AW169&gt;0,1,IF('Growth profile'!AW272&gt;0,3,0))</f>
        <v>3</v>
      </c>
      <c r="AY100" s="20">
        <f>IF('Growth profile'!AX169&gt;0,1,IF('Growth profile'!AX272&gt;0,3,0))</f>
        <v>3</v>
      </c>
      <c r="AZ100" s="20">
        <f>IF('Growth profile'!AY169&gt;0,1,IF('Growth profile'!AY272&gt;0,3,0))</f>
        <v>3</v>
      </c>
      <c r="BA100" s="20">
        <f>IF('Growth profile'!AZ169&gt;0,1,IF('Growth profile'!AZ272&gt;0,3,0))</f>
        <v>3</v>
      </c>
      <c r="BB100" s="20">
        <f>IF('Growth profile'!BA169&gt;0,1,IF('Growth profile'!BA272&gt;0,3,0))</f>
        <v>3</v>
      </c>
      <c r="BC100" s="20">
        <f>IF('Growth profile'!BB169&gt;0,1,IF('Growth profile'!BB272&gt;0,3,0))</f>
        <v>3</v>
      </c>
      <c r="BD100" s="20">
        <f>IF('Growth profile'!BC169&gt;0,1,IF('Growth profile'!BC272&gt;0,3,0))</f>
        <v>3</v>
      </c>
      <c r="BE100" s="20">
        <f>IF('Growth profile'!BD169&gt;0,1,IF('Growth profile'!BD272&gt;0,3,0))</f>
        <v>3</v>
      </c>
      <c r="BF100" s="20">
        <f>IF('Growth profile'!BE169&gt;0,1,IF('Growth profile'!BE272&gt;0,3,0))</f>
        <v>3</v>
      </c>
      <c r="BG100" s="20">
        <f>IF('Growth profile'!BF169&gt;0,1,IF('Growth profile'!BF272&gt;0,3,0))</f>
        <v>3</v>
      </c>
      <c r="BH100" s="20">
        <f>IF('Growth profile'!BG169&gt;0,1,IF('Growth profile'!BG272&gt;0,3,0))</f>
        <v>0</v>
      </c>
      <c r="BI100" s="20">
        <f>IF('Growth profile'!BH169&gt;0,1,IF('Growth profile'!BH272&gt;0,3,0))</f>
        <v>0</v>
      </c>
      <c r="BJ100" s="20">
        <f>IF('Growth profile'!BI169&gt;0,1,IF('Growth profile'!BI272&gt;0,3,0))</f>
        <v>0</v>
      </c>
      <c r="BK100" s="21">
        <f>IF('Growth profile'!BJ169&gt;0,1,IF('Growth profile'!BJ272&gt;0,3,0))</f>
        <v>0</v>
      </c>
    </row>
    <row r="101" spans="1:63" x14ac:dyDescent="0.3">
      <c r="B101" s="13" t="s">
        <v>59</v>
      </c>
      <c r="C101" s="19">
        <f>'Growth (no penalty)'!I61</f>
        <v>2026</v>
      </c>
      <c r="D101" s="22">
        <f>IF('Growth (no penalty)'!C169&gt;0,1,IF('Growth (no penalty)'!C272&gt;0,4,0))</f>
        <v>1</v>
      </c>
      <c r="E101" s="22">
        <f>IF('Growth (no penalty)'!D169&gt;0,1,IF('Growth (no penalty)'!D272&gt;0,4,0))</f>
        <v>1</v>
      </c>
      <c r="F101" s="22">
        <f>IF('Growth (no penalty)'!E169&gt;0,1,IF('Growth (no penalty)'!E272&gt;0,4,0))</f>
        <v>1</v>
      </c>
      <c r="G101" s="22">
        <f>IF('Growth (no penalty)'!F169&gt;0,1,IF('Growth (no penalty)'!F272&gt;0,4,0))</f>
        <v>1</v>
      </c>
      <c r="H101" s="22">
        <f>IF('Growth (no penalty)'!G169&gt;0,1,IF('Growth (no penalty)'!G272&gt;0,4,0))</f>
        <v>1</v>
      </c>
      <c r="I101" s="22">
        <f>IF('Growth (no penalty)'!H169&gt;0,1,IF('Growth (no penalty)'!H272&gt;0,4,0))</f>
        <v>1</v>
      </c>
      <c r="J101" s="22">
        <f>IF('Growth (no penalty)'!I169&gt;0,1,IF('Growth (no penalty)'!I272&gt;0,4,0))</f>
        <v>1</v>
      </c>
      <c r="K101" s="22">
        <f>IF('Growth (no penalty)'!J169&gt;0,1,IF('Growth (no penalty)'!J272&gt;0,4,0))</f>
        <v>1</v>
      </c>
      <c r="L101" s="22">
        <f>IF('Growth (no penalty)'!K169&gt;0,1,IF('Growth (no penalty)'!K272&gt;0,4,0))</f>
        <v>1</v>
      </c>
      <c r="M101" s="22">
        <f>IF('Growth (no penalty)'!L169&gt;0,1,IF('Growth (no penalty)'!L272&gt;0,4,0))</f>
        <v>1</v>
      </c>
      <c r="N101" s="22">
        <f>IF('Growth (no penalty)'!M169&gt;0,1,IF('Growth (no penalty)'!M272&gt;0,4,0))</f>
        <v>1</v>
      </c>
      <c r="O101" s="22">
        <f>IF('Growth (no penalty)'!N169&gt;0,1,IF('Growth (no penalty)'!N272&gt;0,4,0))</f>
        <v>1</v>
      </c>
      <c r="P101" s="22">
        <f>IF('Growth (no penalty)'!O169&gt;0,1,IF('Growth (no penalty)'!O272&gt;0,4,0))</f>
        <v>1</v>
      </c>
      <c r="Q101" s="22">
        <f>IF('Growth (no penalty)'!P169&gt;0,1,IF('Growth (no penalty)'!P272&gt;0,4,0))</f>
        <v>1</v>
      </c>
      <c r="R101" s="22">
        <f>IF('Growth (no penalty)'!Q169&gt;0,1,IF('Growth (no penalty)'!Q272&gt;0,4,0))</f>
        <v>1</v>
      </c>
      <c r="S101" s="22">
        <f>IF('Growth (no penalty)'!R169&gt;0,1,IF('Growth (no penalty)'!R272&gt;0,4,0))</f>
        <v>1</v>
      </c>
      <c r="T101" s="22">
        <f>IF('Growth (no penalty)'!S169&gt;0,1,IF('Growth (no penalty)'!S272&gt;0,4,0))</f>
        <v>4</v>
      </c>
      <c r="U101" s="22">
        <f>IF('Growth (no penalty)'!T169&gt;0,1,IF('Growth (no penalty)'!T272&gt;0,4,0))</f>
        <v>4</v>
      </c>
      <c r="V101" s="22">
        <f>IF('Growth (no penalty)'!U169&gt;0,1,IF('Growth (no penalty)'!U272&gt;0,4,0))</f>
        <v>4</v>
      </c>
      <c r="W101" s="22">
        <f>IF('Growth (no penalty)'!V169&gt;0,1,IF('Growth (no penalty)'!V272&gt;0,4,0))</f>
        <v>4</v>
      </c>
      <c r="X101" s="22">
        <f>IF('Growth (no penalty)'!W169&gt;0,1,IF('Growth (no penalty)'!W272&gt;0,4,0))</f>
        <v>4</v>
      </c>
      <c r="Y101" s="22">
        <f>IF('Growth (no penalty)'!X169&gt;0,1,IF('Growth (no penalty)'!X272&gt;0,4,0))</f>
        <v>4</v>
      </c>
      <c r="Z101" s="22">
        <f>IF('Growth (no penalty)'!Y169&gt;0,1,IF('Growth (no penalty)'!Y272&gt;0,4,0))</f>
        <v>4</v>
      </c>
      <c r="AA101" s="22">
        <f>IF('Growth (no penalty)'!Z169&gt;0,1,IF('Growth (no penalty)'!Z272&gt;0,4,0))</f>
        <v>4</v>
      </c>
      <c r="AB101" s="22">
        <f>IF('Growth (no penalty)'!AA169&gt;0,1,IF('Growth (no penalty)'!AA272&gt;0,4,0))</f>
        <v>4</v>
      </c>
      <c r="AC101" s="22">
        <f>IF('Growth (no penalty)'!AB169&gt;0,1,IF('Growth (no penalty)'!AB272&gt;0,4,0))</f>
        <v>4</v>
      </c>
      <c r="AD101" s="22">
        <f>IF('Growth (no penalty)'!AC169&gt;0,1,IF('Growth (no penalty)'!AC272&gt;0,4,0))</f>
        <v>4</v>
      </c>
      <c r="AE101" s="22">
        <f>IF('Growth (no penalty)'!AD169&gt;0,1,IF('Growth (no penalty)'!AD272&gt;0,4,0))</f>
        <v>4</v>
      </c>
      <c r="AF101" s="22">
        <f>IF('Growth (no penalty)'!AE169&gt;0,1,IF('Growth (no penalty)'!AE272&gt;0,4,0))</f>
        <v>4</v>
      </c>
      <c r="AG101" s="22">
        <f>IF('Growth (no penalty)'!AF169&gt;0,1,IF('Growth (no penalty)'!AF272&gt;0,4,0))</f>
        <v>4</v>
      </c>
      <c r="AH101" s="22">
        <f>IF('Growth (no penalty)'!AG169&gt;0,1,IF('Growth (no penalty)'!AG272&gt;0,4,0))</f>
        <v>4</v>
      </c>
      <c r="AI101" s="22">
        <f>IF('Growth (no penalty)'!AH169&gt;0,1,IF('Growth (no penalty)'!AH272&gt;0,4,0))</f>
        <v>4</v>
      </c>
      <c r="AJ101" s="22">
        <f>IF('Growth (no penalty)'!AI169&gt;0,1,IF('Growth (no penalty)'!AI272&gt;0,4,0))</f>
        <v>4</v>
      </c>
      <c r="AK101" s="22">
        <f>IF('Growth (no penalty)'!AJ169&gt;0,1,IF('Growth (no penalty)'!AJ272&gt;0,4,0))</f>
        <v>4</v>
      </c>
      <c r="AL101" s="22">
        <f>IF('Growth (no penalty)'!AK169&gt;0,1,IF('Growth (no penalty)'!AK272&gt;0,4,0))</f>
        <v>4</v>
      </c>
      <c r="AM101" s="22">
        <f>IF('Growth (no penalty)'!AL169&gt;0,1,IF('Growth (no penalty)'!AL272&gt;0,4,0))</f>
        <v>4</v>
      </c>
      <c r="AN101" s="22">
        <f>IF('Growth (no penalty)'!AM169&gt;0,1,IF('Growth (no penalty)'!AM272&gt;0,4,0))</f>
        <v>4</v>
      </c>
      <c r="AO101" s="22">
        <f>IF('Growth (no penalty)'!AN169&gt;0,1,IF('Growth (no penalty)'!AN272&gt;0,4,0))</f>
        <v>4</v>
      </c>
      <c r="AP101" s="22">
        <f>IF('Growth (no penalty)'!AO169&gt;0,1,IF('Growth (no penalty)'!AO272&gt;0,4,0))</f>
        <v>4</v>
      </c>
      <c r="AQ101" s="22">
        <f>IF('Growth (no penalty)'!AP169&gt;0,1,IF('Growth (no penalty)'!AP272&gt;0,4,0))</f>
        <v>4</v>
      </c>
      <c r="AR101" s="22">
        <f>IF('Growth (no penalty)'!AQ169&gt;0,1,IF('Growth (no penalty)'!AQ272&gt;0,4,0))</f>
        <v>4</v>
      </c>
      <c r="AS101" s="22">
        <f>IF('Growth (no penalty)'!AR169&gt;0,1,IF('Growth (no penalty)'!AR272&gt;0,4,0))</f>
        <v>4</v>
      </c>
      <c r="AT101" s="22">
        <f>IF('Growth (no penalty)'!AS169&gt;0,1,IF('Growth (no penalty)'!AS272&gt;0,4,0))</f>
        <v>4</v>
      </c>
      <c r="AU101" s="22">
        <f>IF('Growth (no penalty)'!AT169&gt;0,1,IF('Growth (no penalty)'!AT272&gt;0,4,0))</f>
        <v>4</v>
      </c>
      <c r="AV101" s="22">
        <f>IF('Growth (no penalty)'!AU169&gt;0,1,IF('Growth (no penalty)'!AU272&gt;0,4,0))</f>
        <v>4</v>
      </c>
      <c r="AW101" s="22">
        <f>IF('Growth (no penalty)'!AV169&gt;0,1,IF('Growth (no penalty)'!AV272&gt;0,4,0))</f>
        <v>4</v>
      </c>
      <c r="AX101" s="22">
        <f>IF('Growth (no penalty)'!AW169&gt;0,1,IF('Growth (no penalty)'!AW272&gt;0,4,0))</f>
        <v>4</v>
      </c>
      <c r="AY101" s="22">
        <f>IF('Growth (no penalty)'!AX169&gt;0,1,IF('Growth (no penalty)'!AX272&gt;0,4,0))</f>
        <v>4</v>
      </c>
      <c r="AZ101" s="22">
        <f>IF('Growth (no penalty)'!AY169&gt;0,1,IF('Growth (no penalty)'!AY272&gt;0,4,0))</f>
        <v>4</v>
      </c>
      <c r="BA101" s="22">
        <f>IF('Growth (no penalty)'!AZ169&gt;0,1,IF('Growth (no penalty)'!AZ272&gt;0,4,0))</f>
        <v>4</v>
      </c>
      <c r="BB101" s="22">
        <f>IF('Growth (no penalty)'!BA169&gt;0,1,IF('Growth (no penalty)'!BA272&gt;0,4,0))</f>
        <v>4</v>
      </c>
      <c r="BC101" s="22">
        <f>IF('Growth (no penalty)'!BB169&gt;0,1,IF('Growth (no penalty)'!BB272&gt;0,4,0))</f>
        <v>4</v>
      </c>
      <c r="BD101" s="22">
        <f>IF('Growth (no penalty)'!BC169&gt;0,1,IF('Growth (no penalty)'!BC272&gt;0,4,0))</f>
        <v>4</v>
      </c>
      <c r="BE101" s="22">
        <f>IF('Growth (no penalty)'!BD169&gt;0,1,IF('Growth (no penalty)'!BD272&gt;0,4,0))</f>
        <v>4</v>
      </c>
      <c r="BF101" s="22">
        <f>IF('Growth (no penalty)'!BE169&gt;0,1,IF('Growth (no penalty)'!BE272&gt;0,4,0))</f>
        <v>4</v>
      </c>
      <c r="BG101" s="22">
        <f>IF('Growth (no penalty)'!BF169&gt;0,1,IF('Growth (no penalty)'!BF272&gt;0,4,0))</f>
        <v>4</v>
      </c>
      <c r="BH101" s="22">
        <f>IF('Growth (no penalty)'!BG169&gt;0,1,IF('Growth (no penalty)'!BG272&gt;0,4,0))</f>
        <v>0</v>
      </c>
      <c r="BI101" s="22">
        <f>IF('Growth (no penalty)'!BH169&gt;0,1,IF('Growth (no penalty)'!BH272&gt;0,4,0))</f>
        <v>0</v>
      </c>
      <c r="BJ101" s="22">
        <f>IF('Growth (no penalty)'!BI169&gt;0,1,IF('Growth (no penalty)'!BI272&gt;0,4,0))</f>
        <v>0</v>
      </c>
      <c r="BK101" s="23">
        <f>IF('Growth (no penalty)'!BJ169&gt;0,1,IF('Growth (no penalty)'!BJ272&gt;0,4,0))</f>
        <v>0</v>
      </c>
    </row>
    <row r="102" spans="1:63" x14ac:dyDescent="0.3">
      <c r="A102" s="4" t="str">
        <f>'Growth profile'!A89</f>
        <v>project 137</v>
      </c>
      <c r="B102" s="13" t="s">
        <v>3</v>
      </c>
      <c r="C102" s="19">
        <f>'Raw profile'!I89</f>
        <v>2029</v>
      </c>
      <c r="D102" s="20">
        <f>IF('Raw profile'!C197&gt;0,1,IF('Raw profile'!C300&gt;0,2,0))</f>
        <v>0</v>
      </c>
      <c r="E102" s="20">
        <f>IF('Raw profile'!D197&gt;0,1,IF('Raw profile'!D300&gt;0,2,0))</f>
        <v>0</v>
      </c>
      <c r="F102" s="20">
        <f>IF('Raw profile'!E197&gt;0,1,IF('Raw profile'!E300&gt;0,2,0))</f>
        <v>0</v>
      </c>
      <c r="G102" s="20">
        <f>IF('Raw profile'!F197&gt;0,1,IF('Raw profile'!F300&gt;0,2,0))</f>
        <v>1</v>
      </c>
      <c r="H102" s="20">
        <f>IF('Raw profile'!G197&gt;0,1,IF('Raw profile'!G300&gt;0,2,0))</f>
        <v>1</v>
      </c>
      <c r="I102" s="20">
        <f>IF('Raw profile'!H197&gt;0,1,IF('Raw profile'!H300&gt;0,2,0))</f>
        <v>1</v>
      </c>
      <c r="J102" s="20">
        <f>IF('Raw profile'!I197&gt;0,1,IF('Raw profile'!I300&gt;0,2,0))</f>
        <v>2</v>
      </c>
      <c r="K102" s="20">
        <f>IF('Raw profile'!J197&gt;0,1,IF('Raw profile'!J300&gt;0,2,0))</f>
        <v>2</v>
      </c>
      <c r="L102" s="20">
        <f>IF('Raw profile'!K197&gt;0,1,IF('Raw profile'!K300&gt;0,2,0))</f>
        <v>2</v>
      </c>
      <c r="M102" s="20">
        <f>IF('Raw profile'!L197&gt;0,1,IF('Raw profile'!L300&gt;0,2,0))</f>
        <v>2</v>
      </c>
      <c r="N102" s="20">
        <f>IF('Raw profile'!M197&gt;0,1,IF('Raw profile'!M300&gt;0,2,0))</f>
        <v>2</v>
      </c>
      <c r="O102" s="20">
        <f>IF('Raw profile'!N197&gt;0,1,IF('Raw profile'!N300&gt;0,2,0))</f>
        <v>2</v>
      </c>
      <c r="P102" s="20">
        <f>IF('Raw profile'!O197&gt;0,1,IF('Raw profile'!O300&gt;0,2,0))</f>
        <v>2</v>
      </c>
      <c r="Q102" s="20">
        <f>IF('Raw profile'!P197&gt;0,1,IF('Raw profile'!P300&gt;0,2,0))</f>
        <v>2</v>
      </c>
      <c r="R102" s="20">
        <f>IF('Raw profile'!Q197&gt;0,1,IF('Raw profile'!Q300&gt;0,2,0))</f>
        <v>2</v>
      </c>
      <c r="S102" s="20">
        <f>IF('Raw profile'!R197&gt;0,1,IF('Raw profile'!R300&gt;0,2,0))</f>
        <v>2</v>
      </c>
      <c r="T102" s="20">
        <f>IF('Raw profile'!S197&gt;0,1,IF('Raw profile'!S300&gt;0,2,0))</f>
        <v>2</v>
      </c>
      <c r="U102" s="20">
        <f>IF('Raw profile'!T197&gt;0,1,IF('Raw profile'!T300&gt;0,2,0))</f>
        <v>2</v>
      </c>
      <c r="V102" s="20">
        <f>IF('Raw profile'!U197&gt;0,1,IF('Raw profile'!U300&gt;0,2,0))</f>
        <v>2</v>
      </c>
      <c r="W102" s="20">
        <f>IF('Raw profile'!V197&gt;0,1,IF('Raw profile'!V300&gt;0,2,0))</f>
        <v>2</v>
      </c>
      <c r="X102" s="20">
        <f>IF('Raw profile'!W197&gt;0,1,IF('Raw profile'!W300&gt;0,2,0))</f>
        <v>2</v>
      </c>
      <c r="Y102" s="20">
        <f>IF('Raw profile'!X197&gt;0,1,IF('Raw profile'!X300&gt;0,2,0))</f>
        <v>2</v>
      </c>
      <c r="Z102" s="20">
        <f>IF('Raw profile'!Y197&gt;0,1,IF('Raw profile'!Y300&gt;0,2,0))</f>
        <v>2</v>
      </c>
      <c r="AA102" s="20">
        <f>IF('Raw profile'!Z197&gt;0,1,IF('Raw profile'!Z300&gt;0,2,0))</f>
        <v>2</v>
      </c>
      <c r="AB102" s="20">
        <f>IF('Raw profile'!AA197&gt;0,1,IF('Raw profile'!AA300&gt;0,2,0))</f>
        <v>2</v>
      </c>
      <c r="AC102" s="20">
        <f>IF('Raw profile'!AB197&gt;0,1,IF('Raw profile'!AB300&gt;0,2,0))</f>
        <v>2</v>
      </c>
      <c r="AD102" s="20">
        <f>IF('Raw profile'!AC197&gt;0,1,IF('Raw profile'!AC300&gt;0,2,0))</f>
        <v>2</v>
      </c>
      <c r="AE102" s="20">
        <f>IF('Raw profile'!AD197&gt;0,1,IF('Raw profile'!AD300&gt;0,2,0))</f>
        <v>2</v>
      </c>
      <c r="AF102" s="20">
        <f>IF('Raw profile'!AE197&gt;0,1,IF('Raw profile'!AE300&gt;0,2,0))</f>
        <v>2</v>
      </c>
      <c r="AG102" s="20">
        <f>IF('Raw profile'!AF197&gt;0,1,IF('Raw profile'!AF300&gt;0,2,0))</f>
        <v>2</v>
      </c>
      <c r="AH102" s="20">
        <f>IF('Raw profile'!AG197&gt;0,1,IF('Raw profile'!AG300&gt;0,2,0))</f>
        <v>2</v>
      </c>
      <c r="AI102" s="20">
        <f>IF('Raw profile'!AH197&gt;0,1,IF('Raw profile'!AH300&gt;0,2,0))</f>
        <v>2</v>
      </c>
      <c r="AJ102" s="20">
        <f>IF('Raw profile'!AI197&gt;0,1,IF('Raw profile'!AI300&gt;0,2,0))</f>
        <v>2</v>
      </c>
      <c r="AK102" s="20">
        <f>IF('Raw profile'!AJ197&gt;0,1,IF('Raw profile'!AJ300&gt;0,2,0))</f>
        <v>2</v>
      </c>
      <c r="AL102" s="20">
        <f>IF('Raw profile'!AK197&gt;0,1,IF('Raw profile'!AK300&gt;0,2,0))</f>
        <v>2</v>
      </c>
      <c r="AM102" s="20">
        <f>IF('Raw profile'!AL197&gt;0,1,IF('Raw profile'!AL300&gt;0,2,0))</f>
        <v>2</v>
      </c>
      <c r="AN102" s="20">
        <f>IF('Raw profile'!AM197&gt;0,1,IF('Raw profile'!AM300&gt;0,2,0))</f>
        <v>2</v>
      </c>
      <c r="AO102" s="20">
        <f>IF('Raw profile'!AN197&gt;0,1,IF('Raw profile'!AN300&gt;0,2,0))</f>
        <v>2</v>
      </c>
      <c r="AP102" s="20">
        <f>IF('Raw profile'!AO197&gt;0,1,IF('Raw profile'!AO300&gt;0,2,0))</f>
        <v>2</v>
      </c>
      <c r="AQ102" s="20">
        <f>IF('Raw profile'!AP197&gt;0,1,IF('Raw profile'!AP300&gt;0,2,0))</f>
        <v>2</v>
      </c>
      <c r="AR102" s="20">
        <f>IF('Raw profile'!AQ197&gt;0,1,IF('Raw profile'!AQ300&gt;0,2,0))</f>
        <v>2</v>
      </c>
      <c r="AS102" s="20">
        <f>IF('Raw profile'!AR197&gt;0,1,IF('Raw profile'!AR300&gt;0,2,0))</f>
        <v>2</v>
      </c>
      <c r="AT102" s="20">
        <f>IF('Raw profile'!AS197&gt;0,1,IF('Raw profile'!AS300&gt;0,2,0))</f>
        <v>2</v>
      </c>
      <c r="AU102" s="20">
        <f>IF('Raw profile'!AT197&gt;0,1,IF('Raw profile'!AT300&gt;0,2,0))</f>
        <v>2</v>
      </c>
      <c r="AV102" s="20">
        <f>IF('Raw profile'!AU197&gt;0,1,IF('Raw profile'!AU300&gt;0,2,0))</f>
        <v>2</v>
      </c>
      <c r="AW102" s="20">
        <f>IF('Raw profile'!AV197&gt;0,1,IF('Raw profile'!AV300&gt;0,2,0))</f>
        <v>2</v>
      </c>
      <c r="AX102" s="20">
        <f>IF('Raw profile'!AW197&gt;0,1,IF('Raw profile'!AW300&gt;0,2,0))</f>
        <v>0</v>
      </c>
      <c r="AY102" s="20">
        <f>IF('Raw profile'!AX197&gt;0,1,IF('Raw profile'!AX300&gt;0,2,0))</f>
        <v>0</v>
      </c>
      <c r="AZ102" s="20">
        <f>IF('Raw profile'!AY197&gt;0,1,IF('Raw profile'!AY300&gt;0,2,0))</f>
        <v>0</v>
      </c>
      <c r="BA102" s="20">
        <f>IF('Raw profile'!AZ197&gt;0,1,IF('Raw profile'!AZ300&gt;0,2,0))</f>
        <v>0</v>
      </c>
      <c r="BB102" s="20">
        <f>IF('Raw profile'!BA197&gt;0,1,IF('Raw profile'!BA300&gt;0,2,0))</f>
        <v>0</v>
      </c>
      <c r="BC102" s="20">
        <f>IF('Raw profile'!BB197&gt;0,1,IF('Raw profile'!BB300&gt;0,2,0))</f>
        <v>0</v>
      </c>
      <c r="BD102" s="20">
        <f>IF('Raw profile'!BC197&gt;0,1,IF('Raw profile'!BC300&gt;0,2,0))</f>
        <v>0</v>
      </c>
      <c r="BE102" s="20">
        <f>IF('Raw profile'!BD197&gt;0,1,IF('Raw profile'!BD300&gt;0,2,0))</f>
        <v>0</v>
      </c>
      <c r="BF102" s="20">
        <f>IF('Raw profile'!BE197&gt;0,1,IF('Raw profile'!BE300&gt;0,2,0))</f>
        <v>0</v>
      </c>
      <c r="BG102" s="20">
        <f>IF('Raw profile'!BF197&gt;0,1,IF('Raw profile'!BF300&gt;0,2,0))</f>
        <v>0</v>
      </c>
      <c r="BH102" s="20">
        <f>IF('Raw profile'!BG197&gt;0,1,IF('Raw profile'!BG300&gt;0,2,0))</f>
        <v>0</v>
      </c>
      <c r="BI102" s="20">
        <f>IF('Raw profile'!BH197&gt;0,1,IF('Raw profile'!BH300&gt;0,2,0))</f>
        <v>0</v>
      </c>
      <c r="BJ102" s="20">
        <f>IF('Raw profile'!BI197&gt;0,1,IF('Raw profile'!BI300&gt;0,2,0))</f>
        <v>0</v>
      </c>
      <c r="BK102" s="21">
        <f>IF('Raw profile'!BJ197&gt;0,1,IF('Raw profile'!BJ300&gt;0,2,0))</f>
        <v>0</v>
      </c>
    </row>
    <row r="103" spans="1:63" x14ac:dyDescent="0.3">
      <c r="B103" s="13" t="s">
        <v>4</v>
      </c>
      <c r="C103" s="19">
        <f>'Growth profile'!I89</f>
        <v>2026</v>
      </c>
      <c r="D103" s="20">
        <f>IF('Growth profile'!C197&gt;0,1,IF('Growth profile'!C300&gt;0,3,0))</f>
        <v>1</v>
      </c>
      <c r="E103" s="20">
        <f>IF('Growth profile'!D197&gt;0,1,IF('Growth profile'!D300&gt;0,3,0))</f>
        <v>1</v>
      </c>
      <c r="F103" s="20">
        <f>IF('Growth profile'!E197&gt;0,1,IF('Growth profile'!E300&gt;0,3,0))</f>
        <v>1</v>
      </c>
      <c r="G103" s="20">
        <f>IF('Growth profile'!F197&gt;0,1,IF('Growth profile'!F300&gt;0,3,0))</f>
        <v>3</v>
      </c>
      <c r="H103" s="20">
        <f>IF('Growth profile'!G197&gt;0,1,IF('Growth profile'!G300&gt;0,3,0))</f>
        <v>3</v>
      </c>
      <c r="I103" s="20">
        <f>IF('Growth profile'!H197&gt;0,1,IF('Growth profile'!H300&gt;0,3,0))</f>
        <v>3</v>
      </c>
      <c r="J103" s="20">
        <f>IF('Growth profile'!I197&gt;0,1,IF('Growth profile'!I300&gt;0,3,0))</f>
        <v>3</v>
      </c>
      <c r="K103" s="20">
        <f>IF('Growth profile'!J197&gt;0,1,IF('Growth profile'!J300&gt;0,3,0))</f>
        <v>3</v>
      </c>
      <c r="L103" s="20">
        <f>IF('Growth profile'!K197&gt;0,1,IF('Growth profile'!K300&gt;0,3,0))</f>
        <v>3</v>
      </c>
      <c r="M103" s="20">
        <f>IF('Growth profile'!L197&gt;0,1,IF('Growth profile'!L300&gt;0,3,0))</f>
        <v>3</v>
      </c>
      <c r="N103" s="20">
        <f>IF('Growth profile'!M197&gt;0,1,IF('Growth profile'!M300&gt;0,3,0))</f>
        <v>3</v>
      </c>
      <c r="O103" s="20">
        <f>IF('Growth profile'!N197&gt;0,1,IF('Growth profile'!N300&gt;0,3,0))</f>
        <v>3</v>
      </c>
      <c r="P103" s="20">
        <f>IF('Growth profile'!O197&gt;0,1,IF('Growth profile'!O300&gt;0,3,0))</f>
        <v>3</v>
      </c>
      <c r="Q103" s="20">
        <f>IF('Growth profile'!P197&gt;0,1,IF('Growth profile'!P300&gt;0,3,0))</f>
        <v>3</v>
      </c>
      <c r="R103" s="20">
        <f>IF('Growth profile'!Q197&gt;0,1,IF('Growth profile'!Q300&gt;0,3,0))</f>
        <v>3</v>
      </c>
      <c r="S103" s="20">
        <f>IF('Growth profile'!R197&gt;0,1,IF('Growth profile'!R300&gt;0,3,0))</f>
        <v>3</v>
      </c>
      <c r="T103" s="20">
        <f>IF('Growth profile'!S197&gt;0,1,IF('Growth profile'!S300&gt;0,3,0))</f>
        <v>3</v>
      </c>
      <c r="U103" s="20">
        <f>IF('Growth profile'!T197&gt;0,1,IF('Growth profile'!T300&gt;0,3,0))</f>
        <v>3</v>
      </c>
      <c r="V103" s="20">
        <f>IF('Growth profile'!U197&gt;0,1,IF('Growth profile'!U300&gt;0,3,0))</f>
        <v>3</v>
      </c>
      <c r="W103" s="20">
        <f>IF('Growth profile'!V197&gt;0,1,IF('Growth profile'!V300&gt;0,3,0))</f>
        <v>3</v>
      </c>
      <c r="X103" s="20">
        <f>IF('Growth profile'!W197&gt;0,1,IF('Growth profile'!W300&gt;0,3,0))</f>
        <v>3</v>
      </c>
      <c r="Y103" s="20">
        <f>IF('Growth profile'!X197&gt;0,1,IF('Growth profile'!X300&gt;0,3,0))</f>
        <v>3</v>
      </c>
      <c r="Z103" s="20">
        <f>IF('Growth profile'!Y197&gt;0,1,IF('Growth profile'!Y300&gt;0,3,0))</f>
        <v>3</v>
      </c>
      <c r="AA103" s="20">
        <f>IF('Growth profile'!Z197&gt;0,1,IF('Growth profile'!Z300&gt;0,3,0))</f>
        <v>3</v>
      </c>
      <c r="AB103" s="20">
        <f>IF('Growth profile'!AA197&gt;0,1,IF('Growth profile'!AA300&gt;0,3,0))</f>
        <v>3</v>
      </c>
      <c r="AC103" s="20">
        <f>IF('Growth profile'!AB197&gt;0,1,IF('Growth profile'!AB300&gt;0,3,0))</f>
        <v>3</v>
      </c>
      <c r="AD103" s="20">
        <f>IF('Growth profile'!AC197&gt;0,1,IF('Growth profile'!AC300&gt;0,3,0))</f>
        <v>3</v>
      </c>
      <c r="AE103" s="20">
        <f>IF('Growth profile'!AD197&gt;0,1,IF('Growth profile'!AD300&gt;0,3,0))</f>
        <v>3</v>
      </c>
      <c r="AF103" s="20">
        <f>IF('Growth profile'!AE197&gt;0,1,IF('Growth profile'!AE300&gt;0,3,0))</f>
        <v>3</v>
      </c>
      <c r="AG103" s="20">
        <f>IF('Growth profile'!AF197&gt;0,1,IF('Growth profile'!AF300&gt;0,3,0))</f>
        <v>3</v>
      </c>
      <c r="AH103" s="20">
        <f>IF('Growth profile'!AG197&gt;0,1,IF('Growth profile'!AG300&gt;0,3,0))</f>
        <v>3</v>
      </c>
      <c r="AI103" s="20">
        <f>IF('Growth profile'!AH197&gt;0,1,IF('Growth profile'!AH300&gt;0,3,0))</f>
        <v>3</v>
      </c>
      <c r="AJ103" s="20">
        <f>IF('Growth profile'!AI197&gt;0,1,IF('Growth profile'!AI300&gt;0,3,0))</f>
        <v>3</v>
      </c>
      <c r="AK103" s="20">
        <f>IF('Growth profile'!AJ197&gt;0,1,IF('Growth profile'!AJ300&gt;0,3,0))</f>
        <v>3</v>
      </c>
      <c r="AL103" s="20">
        <f>IF('Growth profile'!AK197&gt;0,1,IF('Growth profile'!AK300&gt;0,3,0))</f>
        <v>3</v>
      </c>
      <c r="AM103" s="20">
        <f>IF('Growth profile'!AL197&gt;0,1,IF('Growth profile'!AL300&gt;0,3,0))</f>
        <v>3</v>
      </c>
      <c r="AN103" s="20">
        <f>IF('Growth profile'!AM197&gt;0,1,IF('Growth profile'!AM300&gt;0,3,0))</f>
        <v>3</v>
      </c>
      <c r="AO103" s="20">
        <f>IF('Growth profile'!AN197&gt;0,1,IF('Growth profile'!AN300&gt;0,3,0))</f>
        <v>3</v>
      </c>
      <c r="AP103" s="20">
        <f>IF('Growth profile'!AO197&gt;0,1,IF('Growth profile'!AO300&gt;0,3,0))</f>
        <v>3</v>
      </c>
      <c r="AQ103" s="20">
        <f>IF('Growth profile'!AP197&gt;0,1,IF('Growth profile'!AP300&gt;0,3,0))</f>
        <v>3</v>
      </c>
      <c r="AR103" s="20">
        <f>IF('Growth profile'!AQ197&gt;0,1,IF('Growth profile'!AQ300&gt;0,3,0))</f>
        <v>3</v>
      </c>
      <c r="AS103" s="20">
        <f>IF('Growth profile'!AR197&gt;0,1,IF('Growth profile'!AR300&gt;0,3,0))</f>
        <v>3</v>
      </c>
      <c r="AT103" s="20">
        <f>IF('Growth profile'!AS197&gt;0,1,IF('Growth profile'!AS300&gt;0,3,0))</f>
        <v>3</v>
      </c>
      <c r="AU103" s="20">
        <f>IF('Growth profile'!AT197&gt;0,1,IF('Growth profile'!AT300&gt;0,3,0))</f>
        <v>0</v>
      </c>
      <c r="AV103" s="20">
        <f>IF('Growth profile'!AU197&gt;0,1,IF('Growth profile'!AU300&gt;0,3,0))</f>
        <v>0</v>
      </c>
      <c r="AW103" s="20">
        <f>IF('Growth profile'!AV197&gt;0,1,IF('Growth profile'!AV300&gt;0,3,0))</f>
        <v>0</v>
      </c>
      <c r="AX103" s="20">
        <f>IF('Growth profile'!AW197&gt;0,1,IF('Growth profile'!AW300&gt;0,3,0))</f>
        <v>0</v>
      </c>
      <c r="AY103" s="20">
        <f>IF('Growth profile'!AX197&gt;0,1,IF('Growth profile'!AX300&gt;0,3,0))</f>
        <v>0</v>
      </c>
      <c r="AZ103" s="20">
        <f>IF('Growth profile'!AY197&gt;0,1,IF('Growth profile'!AY300&gt;0,3,0))</f>
        <v>0</v>
      </c>
      <c r="BA103" s="20">
        <f>IF('Growth profile'!AZ197&gt;0,1,IF('Growth profile'!AZ300&gt;0,3,0))</f>
        <v>0</v>
      </c>
      <c r="BB103" s="20">
        <f>IF('Growth profile'!BA197&gt;0,1,IF('Growth profile'!BA300&gt;0,3,0))</f>
        <v>0</v>
      </c>
      <c r="BC103" s="20">
        <f>IF('Growth profile'!BB197&gt;0,1,IF('Growth profile'!BB300&gt;0,3,0))</f>
        <v>0</v>
      </c>
      <c r="BD103" s="20">
        <f>IF('Growth profile'!BC197&gt;0,1,IF('Growth profile'!BC300&gt;0,3,0))</f>
        <v>0</v>
      </c>
      <c r="BE103" s="20">
        <f>IF('Growth profile'!BD197&gt;0,1,IF('Growth profile'!BD300&gt;0,3,0))</f>
        <v>0</v>
      </c>
      <c r="BF103" s="20">
        <f>IF('Growth profile'!BE197&gt;0,1,IF('Growth profile'!BE300&gt;0,3,0))</f>
        <v>0</v>
      </c>
      <c r="BG103" s="20">
        <f>IF('Growth profile'!BF197&gt;0,1,IF('Growth profile'!BF300&gt;0,3,0))</f>
        <v>0</v>
      </c>
      <c r="BH103" s="20">
        <f>IF('Growth profile'!BG197&gt;0,1,IF('Growth profile'!BG300&gt;0,3,0))</f>
        <v>0</v>
      </c>
      <c r="BI103" s="20">
        <f>IF('Growth profile'!BH197&gt;0,1,IF('Growth profile'!BH300&gt;0,3,0))</f>
        <v>0</v>
      </c>
      <c r="BJ103" s="20">
        <f>IF('Growth profile'!BI197&gt;0,1,IF('Growth profile'!BI300&gt;0,3,0))</f>
        <v>0</v>
      </c>
      <c r="BK103" s="21">
        <f>IF('Growth profile'!BJ197&gt;0,1,IF('Growth profile'!BJ300&gt;0,3,0))</f>
        <v>0</v>
      </c>
    </row>
    <row r="104" spans="1:63" x14ac:dyDescent="0.3">
      <c r="B104" s="13" t="s">
        <v>59</v>
      </c>
      <c r="C104" s="19">
        <f>'Growth (no penalty)'!I89</f>
        <v>2026</v>
      </c>
      <c r="D104" s="22">
        <f>IF('Growth (no penalty)'!C197&gt;0,1,IF('Growth (no penalty)'!C300&gt;0,4,0))</f>
        <v>1</v>
      </c>
      <c r="E104" s="22">
        <f>IF('Growth (no penalty)'!D197&gt;0,1,IF('Growth (no penalty)'!D300&gt;0,4,0))</f>
        <v>1</v>
      </c>
      <c r="F104" s="22">
        <f>IF('Growth (no penalty)'!E197&gt;0,1,IF('Growth (no penalty)'!E300&gt;0,4,0))</f>
        <v>1</v>
      </c>
      <c r="G104" s="22">
        <f>IF('Growth (no penalty)'!F197&gt;0,1,IF('Growth (no penalty)'!F300&gt;0,4,0))</f>
        <v>4</v>
      </c>
      <c r="H104" s="22">
        <f>IF('Growth (no penalty)'!G197&gt;0,1,IF('Growth (no penalty)'!G300&gt;0,4,0))</f>
        <v>4</v>
      </c>
      <c r="I104" s="22">
        <f>IF('Growth (no penalty)'!H197&gt;0,1,IF('Growth (no penalty)'!H300&gt;0,4,0))</f>
        <v>4</v>
      </c>
      <c r="J104" s="22">
        <f>IF('Growth (no penalty)'!I197&gt;0,1,IF('Growth (no penalty)'!I300&gt;0,4,0))</f>
        <v>4</v>
      </c>
      <c r="K104" s="22">
        <f>IF('Growth (no penalty)'!J197&gt;0,1,IF('Growth (no penalty)'!J300&gt;0,4,0))</f>
        <v>4</v>
      </c>
      <c r="L104" s="22">
        <f>IF('Growth (no penalty)'!K197&gt;0,1,IF('Growth (no penalty)'!K300&gt;0,4,0))</f>
        <v>4</v>
      </c>
      <c r="M104" s="22">
        <f>IF('Growth (no penalty)'!L197&gt;0,1,IF('Growth (no penalty)'!L300&gt;0,4,0))</f>
        <v>4</v>
      </c>
      <c r="N104" s="22">
        <f>IF('Growth (no penalty)'!M197&gt;0,1,IF('Growth (no penalty)'!M300&gt;0,4,0))</f>
        <v>4</v>
      </c>
      <c r="O104" s="22">
        <f>IF('Growth (no penalty)'!N197&gt;0,1,IF('Growth (no penalty)'!N300&gt;0,4,0))</f>
        <v>4</v>
      </c>
      <c r="P104" s="22">
        <f>IF('Growth (no penalty)'!O197&gt;0,1,IF('Growth (no penalty)'!O300&gt;0,4,0))</f>
        <v>4</v>
      </c>
      <c r="Q104" s="22">
        <f>IF('Growth (no penalty)'!P197&gt;0,1,IF('Growth (no penalty)'!P300&gt;0,4,0))</f>
        <v>4</v>
      </c>
      <c r="R104" s="22">
        <f>IF('Growth (no penalty)'!Q197&gt;0,1,IF('Growth (no penalty)'!Q300&gt;0,4,0))</f>
        <v>4</v>
      </c>
      <c r="S104" s="22">
        <f>IF('Growth (no penalty)'!R197&gt;0,1,IF('Growth (no penalty)'!R300&gt;0,4,0))</f>
        <v>4</v>
      </c>
      <c r="T104" s="22">
        <f>IF('Growth (no penalty)'!S197&gt;0,1,IF('Growth (no penalty)'!S300&gt;0,4,0))</f>
        <v>4</v>
      </c>
      <c r="U104" s="22">
        <f>IF('Growth (no penalty)'!T197&gt;0,1,IF('Growth (no penalty)'!T300&gt;0,4,0))</f>
        <v>4</v>
      </c>
      <c r="V104" s="22">
        <f>IF('Growth (no penalty)'!U197&gt;0,1,IF('Growth (no penalty)'!U300&gt;0,4,0))</f>
        <v>4</v>
      </c>
      <c r="W104" s="22">
        <f>IF('Growth (no penalty)'!V197&gt;0,1,IF('Growth (no penalty)'!V300&gt;0,4,0))</f>
        <v>4</v>
      </c>
      <c r="X104" s="22">
        <f>IF('Growth (no penalty)'!W197&gt;0,1,IF('Growth (no penalty)'!W300&gt;0,4,0))</f>
        <v>4</v>
      </c>
      <c r="Y104" s="22">
        <f>IF('Growth (no penalty)'!X197&gt;0,1,IF('Growth (no penalty)'!X300&gt;0,4,0))</f>
        <v>4</v>
      </c>
      <c r="Z104" s="22">
        <f>IF('Growth (no penalty)'!Y197&gt;0,1,IF('Growth (no penalty)'!Y300&gt;0,4,0))</f>
        <v>4</v>
      </c>
      <c r="AA104" s="22">
        <f>IF('Growth (no penalty)'!Z197&gt;0,1,IF('Growth (no penalty)'!Z300&gt;0,4,0))</f>
        <v>4</v>
      </c>
      <c r="AB104" s="22">
        <f>IF('Growth (no penalty)'!AA197&gt;0,1,IF('Growth (no penalty)'!AA300&gt;0,4,0))</f>
        <v>4</v>
      </c>
      <c r="AC104" s="22">
        <f>IF('Growth (no penalty)'!AB197&gt;0,1,IF('Growth (no penalty)'!AB300&gt;0,4,0))</f>
        <v>4</v>
      </c>
      <c r="AD104" s="22">
        <f>IF('Growth (no penalty)'!AC197&gt;0,1,IF('Growth (no penalty)'!AC300&gt;0,4,0))</f>
        <v>4</v>
      </c>
      <c r="AE104" s="22">
        <f>IF('Growth (no penalty)'!AD197&gt;0,1,IF('Growth (no penalty)'!AD300&gt;0,4,0))</f>
        <v>4</v>
      </c>
      <c r="AF104" s="22">
        <f>IF('Growth (no penalty)'!AE197&gt;0,1,IF('Growth (no penalty)'!AE300&gt;0,4,0))</f>
        <v>4</v>
      </c>
      <c r="AG104" s="22">
        <f>IF('Growth (no penalty)'!AF197&gt;0,1,IF('Growth (no penalty)'!AF300&gt;0,4,0))</f>
        <v>4</v>
      </c>
      <c r="AH104" s="22">
        <f>IF('Growth (no penalty)'!AG197&gt;0,1,IF('Growth (no penalty)'!AG300&gt;0,4,0))</f>
        <v>4</v>
      </c>
      <c r="AI104" s="22">
        <f>IF('Growth (no penalty)'!AH197&gt;0,1,IF('Growth (no penalty)'!AH300&gt;0,4,0))</f>
        <v>4</v>
      </c>
      <c r="AJ104" s="22">
        <f>IF('Growth (no penalty)'!AI197&gt;0,1,IF('Growth (no penalty)'!AI300&gt;0,4,0))</f>
        <v>4</v>
      </c>
      <c r="AK104" s="22">
        <f>IF('Growth (no penalty)'!AJ197&gt;0,1,IF('Growth (no penalty)'!AJ300&gt;0,4,0))</f>
        <v>4</v>
      </c>
      <c r="AL104" s="22">
        <f>IF('Growth (no penalty)'!AK197&gt;0,1,IF('Growth (no penalty)'!AK300&gt;0,4,0))</f>
        <v>4</v>
      </c>
      <c r="AM104" s="22">
        <f>IF('Growth (no penalty)'!AL197&gt;0,1,IF('Growth (no penalty)'!AL300&gt;0,4,0))</f>
        <v>4</v>
      </c>
      <c r="AN104" s="22">
        <f>IF('Growth (no penalty)'!AM197&gt;0,1,IF('Growth (no penalty)'!AM300&gt;0,4,0))</f>
        <v>4</v>
      </c>
      <c r="AO104" s="22">
        <f>IF('Growth (no penalty)'!AN197&gt;0,1,IF('Growth (no penalty)'!AN300&gt;0,4,0))</f>
        <v>4</v>
      </c>
      <c r="AP104" s="22">
        <f>IF('Growth (no penalty)'!AO197&gt;0,1,IF('Growth (no penalty)'!AO300&gt;0,4,0))</f>
        <v>4</v>
      </c>
      <c r="AQ104" s="22">
        <f>IF('Growth (no penalty)'!AP197&gt;0,1,IF('Growth (no penalty)'!AP300&gt;0,4,0))</f>
        <v>4</v>
      </c>
      <c r="AR104" s="22">
        <f>IF('Growth (no penalty)'!AQ197&gt;0,1,IF('Growth (no penalty)'!AQ300&gt;0,4,0))</f>
        <v>4</v>
      </c>
      <c r="AS104" s="22">
        <f>IF('Growth (no penalty)'!AR197&gt;0,1,IF('Growth (no penalty)'!AR300&gt;0,4,0))</f>
        <v>4</v>
      </c>
      <c r="AT104" s="22">
        <f>IF('Growth (no penalty)'!AS197&gt;0,1,IF('Growth (no penalty)'!AS300&gt;0,4,0))</f>
        <v>4</v>
      </c>
      <c r="AU104" s="22">
        <f>IF('Growth (no penalty)'!AT197&gt;0,1,IF('Growth (no penalty)'!AT300&gt;0,4,0))</f>
        <v>0</v>
      </c>
      <c r="AV104" s="22">
        <f>IF('Growth (no penalty)'!AU197&gt;0,1,IF('Growth (no penalty)'!AU300&gt;0,4,0))</f>
        <v>0</v>
      </c>
      <c r="AW104" s="22">
        <f>IF('Growth (no penalty)'!AV197&gt;0,1,IF('Growth (no penalty)'!AV300&gt;0,4,0))</f>
        <v>0</v>
      </c>
      <c r="AX104" s="22">
        <f>IF('Growth (no penalty)'!AW197&gt;0,1,IF('Growth (no penalty)'!AW300&gt;0,4,0))</f>
        <v>0</v>
      </c>
      <c r="AY104" s="22">
        <f>IF('Growth (no penalty)'!AX197&gt;0,1,IF('Growth (no penalty)'!AX300&gt;0,4,0))</f>
        <v>0</v>
      </c>
      <c r="AZ104" s="22">
        <f>IF('Growth (no penalty)'!AY197&gt;0,1,IF('Growth (no penalty)'!AY300&gt;0,4,0))</f>
        <v>0</v>
      </c>
      <c r="BA104" s="22">
        <f>IF('Growth (no penalty)'!AZ197&gt;0,1,IF('Growth (no penalty)'!AZ300&gt;0,4,0))</f>
        <v>0</v>
      </c>
      <c r="BB104" s="22">
        <f>IF('Growth (no penalty)'!BA197&gt;0,1,IF('Growth (no penalty)'!BA300&gt;0,4,0))</f>
        <v>0</v>
      </c>
      <c r="BC104" s="22">
        <f>IF('Growth (no penalty)'!BB197&gt;0,1,IF('Growth (no penalty)'!BB300&gt;0,4,0))</f>
        <v>0</v>
      </c>
      <c r="BD104" s="22">
        <f>IF('Growth (no penalty)'!BC197&gt;0,1,IF('Growth (no penalty)'!BC300&gt;0,4,0))</f>
        <v>0</v>
      </c>
      <c r="BE104" s="22">
        <f>IF('Growth (no penalty)'!BD197&gt;0,1,IF('Growth (no penalty)'!BD300&gt;0,4,0))</f>
        <v>0</v>
      </c>
      <c r="BF104" s="22">
        <f>IF('Growth (no penalty)'!BE197&gt;0,1,IF('Growth (no penalty)'!BE300&gt;0,4,0))</f>
        <v>0</v>
      </c>
      <c r="BG104" s="22">
        <f>IF('Growth (no penalty)'!BF197&gt;0,1,IF('Growth (no penalty)'!BF300&gt;0,4,0))</f>
        <v>0</v>
      </c>
      <c r="BH104" s="22">
        <f>IF('Growth (no penalty)'!BG197&gt;0,1,IF('Growth (no penalty)'!BG300&gt;0,4,0))</f>
        <v>0</v>
      </c>
      <c r="BI104" s="22">
        <f>IF('Growth (no penalty)'!BH197&gt;0,1,IF('Growth (no penalty)'!BH300&gt;0,4,0))</f>
        <v>0</v>
      </c>
      <c r="BJ104" s="22">
        <f>IF('Growth (no penalty)'!BI197&gt;0,1,IF('Growth (no penalty)'!BI300&gt;0,4,0))</f>
        <v>0</v>
      </c>
      <c r="BK104" s="23">
        <f>IF('Growth (no penalty)'!BJ197&gt;0,1,IF('Growth (no penalty)'!BJ300&gt;0,4,0))</f>
        <v>0</v>
      </c>
    </row>
    <row r="105" spans="1:63" x14ac:dyDescent="0.3">
      <c r="A105" s="4" t="str">
        <f>'Growth profile'!A103</f>
        <v>project 166</v>
      </c>
      <c r="B105" s="13" t="s">
        <v>3</v>
      </c>
      <c r="C105" s="19">
        <f>'Raw profile'!I103</f>
        <v>2029</v>
      </c>
      <c r="D105" s="20">
        <f>IF('Raw profile'!C211&gt;0,1,IF('Raw profile'!C314&gt;0,2,0))</f>
        <v>0</v>
      </c>
      <c r="E105" s="20">
        <f>IF('Raw profile'!D211&gt;0,1,IF('Raw profile'!D314&gt;0,2,0))</f>
        <v>0</v>
      </c>
      <c r="F105" s="20">
        <f>IF('Raw profile'!E211&gt;0,1,IF('Raw profile'!E314&gt;0,2,0))</f>
        <v>0</v>
      </c>
      <c r="G105" s="20">
        <f>IF('Raw profile'!F211&gt;0,1,IF('Raw profile'!F314&gt;0,2,0))</f>
        <v>1</v>
      </c>
      <c r="H105" s="20">
        <f>IF('Raw profile'!G211&gt;0,1,IF('Raw profile'!G314&gt;0,2,0))</f>
        <v>0</v>
      </c>
      <c r="I105" s="20">
        <f>IF('Raw profile'!H211&gt;0,1,IF('Raw profile'!H314&gt;0,2,0))</f>
        <v>1</v>
      </c>
      <c r="J105" s="20">
        <f>IF('Raw profile'!I211&gt;0,1,IF('Raw profile'!I314&gt;0,2,0))</f>
        <v>1</v>
      </c>
      <c r="K105" s="20">
        <f>IF('Raw profile'!J211&gt;0,1,IF('Raw profile'!J314&gt;0,2,0))</f>
        <v>2</v>
      </c>
      <c r="L105" s="20">
        <f>IF('Raw profile'!K211&gt;0,1,IF('Raw profile'!K314&gt;0,2,0))</f>
        <v>2</v>
      </c>
      <c r="M105" s="20">
        <f>IF('Raw profile'!L211&gt;0,1,IF('Raw profile'!L314&gt;0,2,0))</f>
        <v>2</v>
      </c>
      <c r="N105" s="20">
        <f>IF('Raw profile'!M211&gt;0,1,IF('Raw profile'!M314&gt;0,2,0))</f>
        <v>2</v>
      </c>
      <c r="O105" s="20">
        <f>IF('Raw profile'!N211&gt;0,1,IF('Raw profile'!N314&gt;0,2,0))</f>
        <v>2</v>
      </c>
      <c r="P105" s="20">
        <f>IF('Raw profile'!O211&gt;0,1,IF('Raw profile'!O314&gt;0,2,0))</f>
        <v>2</v>
      </c>
      <c r="Q105" s="20">
        <f>IF('Raw profile'!P211&gt;0,1,IF('Raw profile'!P314&gt;0,2,0))</f>
        <v>2</v>
      </c>
      <c r="R105" s="20">
        <f>IF('Raw profile'!Q211&gt;0,1,IF('Raw profile'!Q314&gt;0,2,0))</f>
        <v>2</v>
      </c>
      <c r="S105" s="20">
        <f>IF('Raw profile'!R211&gt;0,1,IF('Raw profile'!R314&gt;0,2,0))</f>
        <v>2</v>
      </c>
      <c r="T105" s="20">
        <f>IF('Raw profile'!S211&gt;0,1,IF('Raw profile'!S314&gt;0,2,0))</f>
        <v>2</v>
      </c>
      <c r="U105" s="20">
        <f>IF('Raw profile'!T211&gt;0,1,IF('Raw profile'!T314&gt;0,2,0))</f>
        <v>2</v>
      </c>
      <c r="V105" s="20">
        <f>IF('Raw profile'!U211&gt;0,1,IF('Raw profile'!U314&gt;0,2,0))</f>
        <v>2</v>
      </c>
      <c r="W105" s="20">
        <f>IF('Raw profile'!V211&gt;0,1,IF('Raw profile'!V314&gt;0,2,0))</f>
        <v>2</v>
      </c>
      <c r="X105" s="20">
        <f>IF('Raw profile'!W211&gt;0,1,IF('Raw profile'!W314&gt;0,2,0))</f>
        <v>2</v>
      </c>
      <c r="Y105" s="20">
        <f>IF('Raw profile'!X211&gt;0,1,IF('Raw profile'!X314&gt;0,2,0))</f>
        <v>2</v>
      </c>
      <c r="Z105" s="20">
        <f>IF('Raw profile'!Y211&gt;0,1,IF('Raw profile'!Y314&gt;0,2,0))</f>
        <v>2</v>
      </c>
      <c r="AA105" s="20">
        <f>IF('Raw profile'!Z211&gt;0,1,IF('Raw profile'!Z314&gt;0,2,0))</f>
        <v>2</v>
      </c>
      <c r="AB105" s="20">
        <f>IF('Raw profile'!AA211&gt;0,1,IF('Raw profile'!AA314&gt;0,2,0))</f>
        <v>2</v>
      </c>
      <c r="AC105" s="20">
        <f>IF('Raw profile'!AB211&gt;0,1,IF('Raw profile'!AB314&gt;0,2,0))</f>
        <v>2</v>
      </c>
      <c r="AD105" s="20">
        <f>IF('Raw profile'!AC211&gt;0,1,IF('Raw profile'!AC314&gt;0,2,0))</f>
        <v>2</v>
      </c>
      <c r="AE105" s="20">
        <f>IF('Raw profile'!AD211&gt;0,1,IF('Raw profile'!AD314&gt;0,2,0))</f>
        <v>2</v>
      </c>
      <c r="AF105" s="20">
        <f>IF('Raw profile'!AE211&gt;0,1,IF('Raw profile'!AE314&gt;0,2,0))</f>
        <v>2</v>
      </c>
      <c r="AG105" s="20">
        <f>IF('Raw profile'!AF211&gt;0,1,IF('Raw profile'!AF314&gt;0,2,0))</f>
        <v>2</v>
      </c>
      <c r="AH105" s="20">
        <f>IF('Raw profile'!AG211&gt;0,1,IF('Raw profile'!AG314&gt;0,2,0))</f>
        <v>2</v>
      </c>
      <c r="AI105" s="20">
        <f>IF('Raw profile'!AH211&gt;0,1,IF('Raw profile'!AH314&gt;0,2,0))</f>
        <v>2</v>
      </c>
      <c r="AJ105" s="20">
        <f>IF('Raw profile'!AI211&gt;0,1,IF('Raw profile'!AI314&gt;0,2,0))</f>
        <v>2</v>
      </c>
      <c r="AK105" s="20">
        <f>IF('Raw profile'!AJ211&gt;0,1,IF('Raw profile'!AJ314&gt;0,2,0))</f>
        <v>2</v>
      </c>
      <c r="AL105" s="20">
        <f>IF('Raw profile'!AK211&gt;0,1,IF('Raw profile'!AK314&gt;0,2,0))</f>
        <v>2</v>
      </c>
      <c r="AM105" s="20">
        <f>IF('Raw profile'!AL211&gt;0,1,IF('Raw profile'!AL314&gt;0,2,0))</f>
        <v>2</v>
      </c>
      <c r="AN105" s="20">
        <f>IF('Raw profile'!AM211&gt;0,1,IF('Raw profile'!AM314&gt;0,2,0))</f>
        <v>2</v>
      </c>
      <c r="AO105" s="20">
        <f>IF('Raw profile'!AN211&gt;0,1,IF('Raw profile'!AN314&gt;0,2,0))</f>
        <v>2</v>
      </c>
      <c r="AP105" s="20">
        <f>IF('Raw profile'!AO211&gt;0,1,IF('Raw profile'!AO314&gt;0,2,0))</f>
        <v>2</v>
      </c>
      <c r="AQ105" s="20">
        <f>IF('Raw profile'!AP211&gt;0,1,IF('Raw profile'!AP314&gt;0,2,0))</f>
        <v>2</v>
      </c>
      <c r="AR105" s="20">
        <f>IF('Raw profile'!AQ211&gt;0,1,IF('Raw profile'!AQ314&gt;0,2,0))</f>
        <v>2</v>
      </c>
      <c r="AS105" s="20">
        <f>IF('Raw profile'!AR211&gt;0,1,IF('Raw profile'!AR314&gt;0,2,0))</f>
        <v>2</v>
      </c>
      <c r="AT105" s="20">
        <f>IF('Raw profile'!AS211&gt;0,1,IF('Raw profile'!AS314&gt;0,2,0))</f>
        <v>2</v>
      </c>
      <c r="AU105" s="20">
        <f>IF('Raw profile'!AT211&gt;0,1,IF('Raw profile'!AT314&gt;0,2,0))</f>
        <v>2</v>
      </c>
      <c r="AV105" s="20">
        <f>IF('Raw profile'!AU211&gt;0,1,IF('Raw profile'!AU314&gt;0,2,0))</f>
        <v>2</v>
      </c>
      <c r="AW105" s="20">
        <f>IF('Raw profile'!AV211&gt;0,1,IF('Raw profile'!AV314&gt;0,2,0))</f>
        <v>2</v>
      </c>
      <c r="AX105" s="20">
        <f>IF('Raw profile'!AW211&gt;0,1,IF('Raw profile'!AW314&gt;0,2,0))</f>
        <v>2</v>
      </c>
      <c r="AY105" s="20">
        <f>IF('Raw profile'!AX211&gt;0,1,IF('Raw profile'!AX314&gt;0,2,0))</f>
        <v>0</v>
      </c>
      <c r="AZ105" s="20">
        <f>IF('Raw profile'!AY211&gt;0,1,IF('Raw profile'!AY314&gt;0,2,0))</f>
        <v>0</v>
      </c>
      <c r="BA105" s="20">
        <f>IF('Raw profile'!AZ211&gt;0,1,IF('Raw profile'!AZ314&gt;0,2,0))</f>
        <v>0</v>
      </c>
      <c r="BB105" s="20">
        <f>IF('Raw profile'!BA211&gt;0,1,IF('Raw profile'!BA314&gt;0,2,0))</f>
        <v>0</v>
      </c>
      <c r="BC105" s="20">
        <f>IF('Raw profile'!BB211&gt;0,1,IF('Raw profile'!BB314&gt;0,2,0))</f>
        <v>0</v>
      </c>
      <c r="BD105" s="20">
        <f>IF('Raw profile'!BC211&gt;0,1,IF('Raw profile'!BC314&gt;0,2,0))</f>
        <v>0</v>
      </c>
      <c r="BE105" s="20">
        <f>IF('Raw profile'!BD211&gt;0,1,IF('Raw profile'!BD314&gt;0,2,0))</f>
        <v>0</v>
      </c>
      <c r="BF105" s="20">
        <f>IF('Raw profile'!BE211&gt;0,1,IF('Raw profile'!BE314&gt;0,2,0))</f>
        <v>0</v>
      </c>
      <c r="BG105" s="20">
        <f>IF('Raw profile'!BF211&gt;0,1,IF('Raw profile'!BF314&gt;0,2,0))</f>
        <v>0</v>
      </c>
      <c r="BH105" s="20">
        <f>IF('Raw profile'!BG211&gt;0,1,IF('Raw profile'!BG314&gt;0,2,0))</f>
        <v>0</v>
      </c>
      <c r="BI105" s="20">
        <f>IF('Raw profile'!BH211&gt;0,1,IF('Raw profile'!BH314&gt;0,2,0))</f>
        <v>0</v>
      </c>
      <c r="BJ105" s="20">
        <f>IF('Raw profile'!BI211&gt;0,1,IF('Raw profile'!BI314&gt;0,2,0))</f>
        <v>0</v>
      </c>
      <c r="BK105" s="21">
        <f>IF('Raw profile'!BJ211&gt;0,1,IF('Raw profile'!BJ314&gt;0,2,0))</f>
        <v>0</v>
      </c>
    </row>
    <row r="106" spans="1:63" x14ac:dyDescent="0.3">
      <c r="B106" s="13" t="s">
        <v>4</v>
      </c>
      <c r="C106" s="19">
        <f>'Growth profile'!I103</f>
        <v>2026</v>
      </c>
      <c r="D106" s="20">
        <f>IF('Growth profile'!C211&gt;0,1,IF('Growth profile'!C314&gt;0,3,0))</f>
        <v>1</v>
      </c>
      <c r="E106" s="20">
        <f>IF('Growth profile'!D211&gt;0,1,IF('Growth profile'!D314&gt;0,3,0))</f>
        <v>0</v>
      </c>
      <c r="F106" s="20">
        <f>IF('Growth profile'!E211&gt;0,1,IF('Growth profile'!E314&gt;0,3,0))</f>
        <v>1</v>
      </c>
      <c r="G106" s="20">
        <f>IF('Growth profile'!F211&gt;0,1,IF('Growth profile'!F314&gt;0,3,0))</f>
        <v>1</v>
      </c>
      <c r="H106" s="20">
        <f>IF('Growth profile'!G211&gt;0,1,IF('Growth profile'!G314&gt;0,3,0))</f>
        <v>3</v>
      </c>
      <c r="I106" s="20">
        <f>IF('Growth profile'!H211&gt;0,1,IF('Growth profile'!H314&gt;0,3,0))</f>
        <v>3</v>
      </c>
      <c r="J106" s="20">
        <f>IF('Growth profile'!I211&gt;0,1,IF('Growth profile'!I314&gt;0,3,0))</f>
        <v>3</v>
      </c>
      <c r="K106" s="20">
        <f>IF('Growth profile'!J211&gt;0,1,IF('Growth profile'!J314&gt;0,3,0))</f>
        <v>3</v>
      </c>
      <c r="L106" s="20">
        <f>IF('Growth profile'!K211&gt;0,1,IF('Growth profile'!K314&gt;0,3,0))</f>
        <v>3</v>
      </c>
      <c r="M106" s="20">
        <f>IF('Growth profile'!L211&gt;0,1,IF('Growth profile'!L314&gt;0,3,0))</f>
        <v>3</v>
      </c>
      <c r="N106" s="20">
        <f>IF('Growth profile'!M211&gt;0,1,IF('Growth profile'!M314&gt;0,3,0))</f>
        <v>3</v>
      </c>
      <c r="O106" s="20">
        <f>IF('Growth profile'!N211&gt;0,1,IF('Growth profile'!N314&gt;0,3,0))</f>
        <v>3</v>
      </c>
      <c r="P106" s="20">
        <f>IF('Growth profile'!O211&gt;0,1,IF('Growth profile'!O314&gt;0,3,0))</f>
        <v>3</v>
      </c>
      <c r="Q106" s="20">
        <f>IF('Growth profile'!P211&gt;0,1,IF('Growth profile'!P314&gt;0,3,0))</f>
        <v>3</v>
      </c>
      <c r="R106" s="20">
        <f>IF('Growth profile'!Q211&gt;0,1,IF('Growth profile'!Q314&gt;0,3,0))</f>
        <v>3</v>
      </c>
      <c r="S106" s="20">
        <f>IF('Growth profile'!R211&gt;0,1,IF('Growth profile'!R314&gt;0,3,0))</f>
        <v>3</v>
      </c>
      <c r="T106" s="20">
        <f>IF('Growth profile'!S211&gt;0,1,IF('Growth profile'!S314&gt;0,3,0))</f>
        <v>3</v>
      </c>
      <c r="U106" s="20">
        <f>IF('Growth profile'!T211&gt;0,1,IF('Growth profile'!T314&gt;0,3,0))</f>
        <v>3</v>
      </c>
      <c r="V106" s="20">
        <f>IF('Growth profile'!U211&gt;0,1,IF('Growth profile'!U314&gt;0,3,0))</f>
        <v>3</v>
      </c>
      <c r="W106" s="20">
        <f>IF('Growth profile'!V211&gt;0,1,IF('Growth profile'!V314&gt;0,3,0))</f>
        <v>3</v>
      </c>
      <c r="X106" s="20">
        <f>IF('Growth profile'!W211&gt;0,1,IF('Growth profile'!W314&gt;0,3,0))</f>
        <v>3</v>
      </c>
      <c r="Y106" s="20">
        <f>IF('Growth profile'!X211&gt;0,1,IF('Growth profile'!X314&gt;0,3,0))</f>
        <v>3</v>
      </c>
      <c r="Z106" s="20">
        <f>IF('Growth profile'!Y211&gt;0,1,IF('Growth profile'!Y314&gt;0,3,0))</f>
        <v>3</v>
      </c>
      <c r="AA106" s="20">
        <f>IF('Growth profile'!Z211&gt;0,1,IF('Growth profile'!Z314&gt;0,3,0))</f>
        <v>3</v>
      </c>
      <c r="AB106" s="20">
        <f>IF('Growth profile'!AA211&gt;0,1,IF('Growth profile'!AA314&gt;0,3,0))</f>
        <v>3</v>
      </c>
      <c r="AC106" s="20">
        <f>IF('Growth profile'!AB211&gt;0,1,IF('Growth profile'!AB314&gt;0,3,0))</f>
        <v>3</v>
      </c>
      <c r="AD106" s="20">
        <f>IF('Growth profile'!AC211&gt;0,1,IF('Growth profile'!AC314&gt;0,3,0))</f>
        <v>3</v>
      </c>
      <c r="AE106" s="20">
        <f>IF('Growth profile'!AD211&gt;0,1,IF('Growth profile'!AD314&gt;0,3,0))</f>
        <v>3</v>
      </c>
      <c r="AF106" s="20">
        <f>IF('Growth profile'!AE211&gt;0,1,IF('Growth profile'!AE314&gt;0,3,0))</f>
        <v>3</v>
      </c>
      <c r="AG106" s="20">
        <f>IF('Growth profile'!AF211&gt;0,1,IF('Growth profile'!AF314&gt;0,3,0))</f>
        <v>3</v>
      </c>
      <c r="AH106" s="20">
        <f>IF('Growth profile'!AG211&gt;0,1,IF('Growth profile'!AG314&gt;0,3,0))</f>
        <v>3</v>
      </c>
      <c r="AI106" s="20">
        <f>IF('Growth profile'!AH211&gt;0,1,IF('Growth profile'!AH314&gt;0,3,0))</f>
        <v>3</v>
      </c>
      <c r="AJ106" s="20">
        <f>IF('Growth profile'!AI211&gt;0,1,IF('Growth profile'!AI314&gt;0,3,0))</f>
        <v>3</v>
      </c>
      <c r="AK106" s="20">
        <f>IF('Growth profile'!AJ211&gt;0,1,IF('Growth profile'!AJ314&gt;0,3,0))</f>
        <v>3</v>
      </c>
      <c r="AL106" s="20">
        <f>IF('Growth profile'!AK211&gt;0,1,IF('Growth profile'!AK314&gt;0,3,0))</f>
        <v>3</v>
      </c>
      <c r="AM106" s="20">
        <f>IF('Growth profile'!AL211&gt;0,1,IF('Growth profile'!AL314&gt;0,3,0))</f>
        <v>3</v>
      </c>
      <c r="AN106" s="20">
        <f>IF('Growth profile'!AM211&gt;0,1,IF('Growth profile'!AM314&gt;0,3,0))</f>
        <v>3</v>
      </c>
      <c r="AO106" s="20">
        <f>IF('Growth profile'!AN211&gt;0,1,IF('Growth profile'!AN314&gt;0,3,0))</f>
        <v>3</v>
      </c>
      <c r="AP106" s="20">
        <f>IF('Growth profile'!AO211&gt;0,1,IF('Growth profile'!AO314&gt;0,3,0))</f>
        <v>3</v>
      </c>
      <c r="AQ106" s="20">
        <f>IF('Growth profile'!AP211&gt;0,1,IF('Growth profile'!AP314&gt;0,3,0))</f>
        <v>3</v>
      </c>
      <c r="AR106" s="20">
        <f>IF('Growth profile'!AQ211&gt;0,1,IF('Growth profile'!AQ314&gt;0,3,0))</f>
        <v>3</v>
      </c>
      <c r="AS106" s="20">
        <f>IF('Growth profile'!AR211&gt;0,1,IF('Growth profile'!AR314&gt;0,3,0))</f>
        <v>3</v>
      </c>
      <c r="AT106" s="20">
        <f>IF('Growth profile'!AS211&gt;0,1,IF('Growth profile'!AS314&gt;0,3,0))</f>
        <v>3</v>
      </c>
      <c r="AU106" s="20">
        <f>IF('Growth profile'!AT211&gt;0,1,IF('Growth profile'!AT314&gt;0,3,0))</f>
        <v>3</v>
      </c>
      <c r="AV106" s="20">
        <f>IF('Growth profile'!AU211&gt;0,1,IF('Growth profile'!AU314&gt;0,3,0))</f>
        <v>0</v>
      </c>
      <c r="AW106" s="20">
        <f>IF('Growth profile'!AV211&gt;0,1,IF('Growth profile'!AV314&gt;0,3,0))</f>
        <v>0</v>
      </c>
      <c r="AX106" s="20">
        <f>IF('Growth profile'!AW211&gt;0,1,IF('Growth profile'!AW314&gt;0,3,0))</f>
        <v>0</v>
      </c>
      <c r="AY106" s="20">
        <f>IF('Growth profile'!AX211&gt;0,1,IF('Growth profile'!AX314&gt;0,3,0))</f>
        <v>0</v>
      </c>
      <c r="AZ106" s="20">
        <f>IF('Growth profile'!AY211&gt;0,1,IF('Growth profile'!AY314&gt;0,3,0))</f>
        <v>0</v>
      </c>
      <c r="BA106" s="20">
        <f>IF('Growth profile'!AZ211&gt;0,1,IF('Growth profile'!AZ314&gt;0,3,0))</f>
        <v>0</v>
      </c>
      <c r="BB106" s="20">
        <f>IF('Growth profile'!BA211&gt;0,1,IF('Growth profile'!BA314&gt;0,3,0))</f>
        <v>0</v>
      </c>
      <c r="BC106" s="20">
        <f>IF('Growth profile'!BB211&gt;0,1,IF('Growth profile'!BB314&gt;0,3,0))</f>
        <v>0</v>
      </c>
      <c r="BD106" s="20">
        <f>IF('Growth profile'!BC211&gt;0,1,IF('Growth profile'!BC314&gt;0,3,0))</f>
        <v>0</v>
      </c>
      <c r="BE106" s="20">
        <f>IF('Growth profile'!BD211&gt;0,1,IF('Growth profile'!BD314&gt;0,3,0))</f>
        <v>0</v>
      </c>
      <c r="BF106" s="20">
        <f>IF('Growth profile'!BE211&gt;0,1,IF('Growth profile'!BE314&gt;0,3,0))</f>
        <v>0</v>
      </c>
      <c r="BG106" s="20">
        <f>IF('Growth profile'!BF211&gt;0,1,IF('Growth profile'!BF314&gt;0,3,0))</f>
        <v>0</v>
      </c>
      <c r="BH106" s="20">
        <f>IF('Growth profile'!BG211&gt;0,1,IF('Growth profile'!BG314&gt;0,3,0))</f>
        <v>0</v>
      </c>
      <c r="BI106" s="20">
        <f>IF('Growth profile'!BH211&gt;0,1,IF('Growth profile'!BH314&gt;0,3,0))</f>
        <v>0</v>
      </c>
      <c r="BJ106" s="20">
        <f>IF('Growth profile'!BI211&gt;0,1,IF('Growth profile'!BI314&gt;0,3,0))</f>
        <v>0</v>
      </c>
      <c r="BK106" s="21">
        <f>IF('Growth profile'!BJ211&gt;0,1,IF('Growth profile'!BJ314&gt;0,3,0))</f>
        <v>0</v>
      </c>
    </row>
    <row r="107" spans="1:63" x14ac:dyDescent="0.3">
      <c r="B107" s="13" t="s">
        <v>59</v>
      </c>
      <c r="C107" s="19">
        <f>'Growth (no penalty)'!I103</f>
        <v>2026</v>
      </c>
      <c r="D107" s="22">
        <f>IF('Growth (no penalty)'!C211&gt;0,1,IF('Growth (no penalty)'!C314&gt;0,4,0))</f>
        <v>1</v>
      </c>
      <c r="E107" s="22">
        <f>IF('Growth (no penalty)'!D211&gt;0,1,IF('Growth (no penalty)'!D314&gt;0,4,0))</f>
        <v>0</v>
      </c>
      <c r="F107" s="22">
        <f>IF('Growth (no penalty)'!E211&gt;0,1,IF('Growth (no penalty)'!E314&gt;0,4,0))</f>
        <v>1</v>
      </c>
      <c r="G107" s="22">
        <f>IF('Growth (no penalty)'!F211&gt;0,1,IF('Growth (no penalty)'!F314&gt;0,4,0))</f>
        <v>1</v>
      </c>
      <c r="H107" s="22">
        <f>IF('Growth (no penalty)'!G211&gt;0,1,IF('Growth (no penalty)'!G314&gt;0,4,0))</f>
        <v>4</v>
      </c>
      <c r="I107" s="22">
        <f>IF('Growth (no penalty)'!H211&gt;0,1,IF('Growth (no penalty)'!H314&gt;0,4,0))</f>
        <v>4</v>
      </c>
      <c r="J107" s="22">
        <f>IF('Growth (no penalty)'!I211&gt;0,1,IF('Growth (no penalty)'!I314&gt;0,4,0))</f>
        <v>4</v>
      </c>
      <c r="K107" s="22">
        <f>IF('Growth (no penalty)'!J211&gt;0,1,IF('Growth (no penalty)'!J314&gt;0,4,0))</f>
        <v>4</v>
      </c>
      <c r="L107" s="22">
        <f>IF('Growth (no penalty)'!K211&gt;0,1,IF('Growth (no penalty)'!K314&gt;0,4,0))</f>
        <v>4</v>
      </c>
      <c r="M107" s="22">
        <f>IF('Growth (no penalty)'!L211&gt;0,1,IF('Growth (no penalty)'!L314&gt;0,4,0))</f>
        <v>4</v>
      </c>
      <c r="N107" s="22">
        <f>IF('Growth (no penalty)'!M211&gt;0,1,IF('Growth (no penalty)'!M314&gt;0,4,0))</f>
        <v>4</v>
      </c>
      <c r="O107" s="22">
        <f>IF('Growth (no penalty)'!N211&gt;0,1,IF('Growth (no penalty)'!N314&gt;0,4,0))</f>
        <v>4</v>
      </c>
      <c r="P107" s="22">
        <f>IF('Growth (no penalty)'!O211&gt;0,1,IF('Growth (no penalty)'!O314&gt;0,4,0))</f>
        <v>4</v>
      </c>
      <c r="Q107" s="22">
        <f>IF('Growth (no penalty)'!P211&gt;0,1,IF('Growth (no penalty)'!P314&gt;0,4,0))</f>
        <v>4</v>
      </c>
      <c r="R107" s="22">
        <f>IF('Growth (no penalty)'!Q211&gt;0,1,IF('Growth (no penalty)'!Q314&gt;0,4,0))</f>
        <v>4</v>
      </c>
      <c r="S107" s="22">
        <f>IF('Growth (no penalty)'!R211&gt;0,1,IF('Growth (no penalty)'!R314&gt;0,4,0))</f>
        <v>4</v>
      </c>
      <c r="T107" s="22">
        <f>IF('Growth (no penalty)'!S211&gt;0,1,IF('Growth (no penalty)'!S314&gt;0,4,0))</f>
        <v>4</v>
      </c>
      <c r="U107" s="22">
        <f>IF('Growth (no penalty)'!T211&gt;0,1,IF('Growth (no penalty)'!T314&gt;0,4,0))</f>
        <v>4</v>
      </c>
      <c r="V107" s="22">
        <f>IF('Growth (no penalty)'!U211&gt;0,1,IF('Growth (no penalty)'!U314&gt;0,4,0))</f>
        <v>4</v>
      </c>
      <c r="W107" s="22">
        <f>IF('Growth (no penalty)'!V211&gt;0,1,IF('Growth (no penalty)'!V314&gt;0,4,0))</f>
        <v>4</v>
      </c>
      <c r="X107" s="22">
        <f>IF('Growth (no penalty)'!W211&gt;0,1,IF('Growth (no penalty)'!W314&gt;0,4,0))</f>
        <v>4</v>
      </c>
      <c r="Y107" s="22">
        <f>IF('Growth (no penalty)'!X211&gt;0,1,IF('Growth (no penalty)'!X314&gt;0,4,0))</f>
        <v>4</v>
      </c>
      <c r="Z107" s="22">
        <f>IF('Growth (no penalty)'!Y211&gt;0,1,IF('Growth (no penalty)'!Y314&gt;0,4,0))</f>
        <v>4</v>
      </c>
      <c r="AA107" s="22">
        <f>IF('Growth (no penalty)'!Z211&gt;0,1,IF('Growth (no penalty)'!Z314&gt;0,4,0))</f>
        <v>4</v>
      </c>
      <c r="AB107" s="22">
        <f>IF('Growth (no penalty)'!AA211&gt;0,1,IF('Growth (no penalty)'!AA314&gt;0,4,0))</f>
        <v>4</v>
      </c>
      <c r="AC107" s="22">
        <f>IF('Growth (no penalty)'!AB211&gt;0,1,IF('Growth (no penalty)'!AB314&gt;0,4,0))</f>
        <v>4</v>
      </c>
      <c r="AD107" s="22">
        <f>IF('Growth (no penalty)'!AC211&gt;0,1,IF('Growth (no penalty)'!AC314&gt;0,4,0))</f>
        <v>4</v>
      </c>
      <c r="AE107" s="22">
        <f>IF('Growth (no penalty)'!AD211&gt;0,1,IF('Growth (no penalty)'!AD314&gt;0,4,0))</f>
        <v>4</v>
      </c>
      <c r="AF107" s="22">
        <f>IF('Growth (no penalty)'!AE211&gt;0,1,IF('Growth (no penalty)'!AE314&gt;0,4,0))</f>
        <v>4</v>
      </c>
      <c r="AG107" s="22">
        <f>IF('Growth (no penalty)'!AF211&gt;0,1,IF('Growth (no penalty)'!AF314&gt;0,4,0))</f>
        <v>4</v>
      </c>
      <c r="AH107" s="22">
        <f>IF('Growth (no penalty)'!AG211&gt;0,1,IF('Growth (no penalty)'!AG314&gt;0,4,0))</f>
        <v>4</v>
      </c>
      <c r="AI107" s="22">
        <f>IF('Growth (no penalty)'!AH211&gt;0,1,IF('Growth (no penalty)'!AH314&gt;0,4,0))</f>
        <v>4</v>
      </c>
      <c r="AJ107" s="22">
        <f>IF('Growth (no penalty)'!AI211&gt;0,1,IF('Growth (no penalty)'!AI314&gt;0,4,0))</f>
        <v>4</v>
      </c>
      <c r="AK107" s="22">
        <f>IF('Growth (no penalty)'!AJ211&gt;0,1,IF('Growth (no penalty)'!AJ314&gt;0,4,0))</f>
        <v>4</v>
      </c>
      <c r="AL107" s="22">
        <f>IF('Growth (no penalty)'!AK211&gt;0,1,IF('Growth (no penalty)'!AK314&gt;0,4,0))</f>
        <v>4</v>
      </c>
      <c r="AM107" s="22">
        <f>IF('Growth (no penalty)'!AL211&gt;0,1,IF('Growth (no penalty)'!AL314&gt;0,4,0))</f>
        <v>4</v>
      </c>
      <c r="AN107" s="22">
        <f>IF('Growth (no penalty)'!AM211&gt;0,1,IF('Growth (no penalty)'!AM314&gt;0,4,0))</f>
        <v>4</v>
      </c>
      <c r="AO107" s="22">
        <f>IF('Growth (no penalty)'!AN211&gt;0,1,IF('Growth (no penalty)'!AN314&gt;0,4,0))</f>
        <v>4</v>
      </c>
      <c r="AP107" s="22">
        <f>IF('Growth (no penalty)'!AO211&gt;0,1,IF('Growth (no penalty)'!AO314&gt;0,4,0))</f>
        <v>4</v>
      </c>
      <c r="AQ107" s="22">
        <f>IF('Growth (no penalty)'!AP211&gt;0,1,IF('Growth (no penalty)'!AP314&gt;0,4,0))</f>
        <v>4</v>
      </c>
      <c r="AR107" s="22">
        <f>IF('Growth (no penalty)'!AQ211&gt;0,1,IF('Growth (no penalty)'!AQ314&gt;0,4,0))</f>
        <v>4</v>
      </c>
      <c r="AS107" s="22">
        <f>IF('Growth (no penalty)'!AR211&gt;0,1,IF('Growth (no penalty)'!AR314&gt;0,4,0))</f>
        <v>4</v>
      </c>
      <c r="AT107" s="22">
        <f>IF('Growth (no penalty)'!AS211&gt;0,1,IF('Growth (no penalty)'!AS314&gt;0,4,0))</f>
        <v>4</v>
      </c>
      <c r="AU107" s="22">
        <f>IF('Growth (no penalty)'!AT211&gt;0,1,IF('Growth (no penalty)'!AT314&gt;0,4,0))</f>
        <v>4</v>
      </c>
      <c r="AV107" s="22">
        <f>IF('Growth (no penalty)'!AU211&gt;0,1,IF('Growth (no penalty)'!AU314&gt;0,4,0))</f>
        <v>0</v>
      </c>
      <c r="AW107" s="22">
        <f>IF('Growth (no penalty)'!AV211&gt;0,1,IF('Growth (no penalty)'!AV314&gt;0,4,0))</f>
        <v>0</v>
      </c>
      <c r="AX107" s="22">
        <f>IF('Growth (no penalty)'!AW211&gt;0,1,IF('Growth (no penalty)'!AW314&gt;0,4,0))</f>
        <v>0</v>
      </c>
      <c r="AY107" s="22">
        <f>IF('Growth (no penalty)'!AX211&gt;0,1,IF('Growth (no penalty)'!AX314&gt;0,4,0))</f>
        <v>0</v>
      </c>
      <c r="AZ107" s="22">
        <f>IF('Growth (no penalty)'!AY211&gt;0,1,IF('Growth (no penalty)'!AY314&gt;0,4,0))</f>
        <v>0</v>
      </c>
      <c r="BA107" s="22">
        <f>IF('Growth (no penalty)'!AZ211&gt;0,1,IF('Growth (no penalty)'!AZ314&gt;0,4,0))</f>
        <v>0</v>
      </c>
      <c r="BB107" s="22">
        <f>IF('Growth (no penalty)'!BA211&gt;0,1,IF('Growth (no penalty)'!BA314&gt;0,4,0))</f>
        <v>0</v>
      </c>
      <c r="BC107" s="22">
        <f>IF('Growth (no penalty)'!BB211&gt;0,1,IF('Growth (no penalty)'!BB314&gt;0,4,0))</f>
        <v>0</v>
      </c>
      <c r="BD107" s="22">
        <f>IF('Growth (no penalty)'!BC211&gt;0,1,IF('Growth (no penalty)'!BC314&gt;0,4,0))</f>
        <v>0</v>
      </c>
      <c r="BE107" s="22">
        <f>IF('Growth (no penalty)'!BD211&gt;0,1,IF('Growth (no penalty)'!BD314&gt;0,4,0))</f>
        <v>0</v>
      </c>
      <c r="BF107" s="22">
        <f>IF('Growth (no penalty)'!BE211&gt;0,1,IF('Growth (no penalty)'!BE314&gt;0,4,0))</f>
        <v>0</v>
      </c>
      <c r="BG107" s="22">
        <f>IF('Growth (no penalty)'!BF211&gt;0,1,IF('Growth (no penalty)'!BF314&gt;0,4,0))</f>
        <v>0</v>
      </c>
      <c r="BH107" s="22">
        <f>IF('Growth (no penalty)'!BG211&gt;0,1,IF('Growth (no penalty)'!BG314&gt;0,4,0))</f>
        <v>0</v>
      </c>
      <c r="BI107" s="22">
        <f>IF('Growth (no penalty)'!BH211&gt;0,1,IF('Growth (no penalty)'!BH314&gt;0,4,0))</f>
        <v>0</v>
      </c>
      <c r="BJ107" s="22">
        <f>IF('Growth (no penalty)'!BI211&gt;0,1,IF('Growth (no penalty)'!BI314&gt;0,4,0))</f>
        <v>0</v>
      </c>
      <c r="BK107" s="23">
        <f>IF('Growth (no penalty)'!BJ211&gt;0,1,IF('Growth (no penalty)'!BJ314&gt;0,4,0))</f>
        <v>0</v>
      </c>
    </row>
    <row r="108" spans="1:63" x14ac:dyDescent="0.3">
      <c r="A108" s="4" t="str">
        <f>'Growth profile'!A76</f>
        <v>project 108</v>
      </c>
      <c r="B108" s="13" t="s">
        <v>3</v>
      </c>
      <c r="C108" s="19">
        <f>'Raw profile'!I76</f>
        <v>2029</v>
      </c>
      <c r="D108" s="20">
        <f>IF('Raw profile'!C184&gt;0,1,IF('Raw profile'!C287&gt;0,2,0))</f>
        <v>0</v>
      </c>
      <c r="E108" s="20">
        <f>IF('Raw profile'!D184&gt;0,1,IF('Raw profile'!D287&gt;0,2,0))</f>
        <v>0</v>
      </c>
      <c r="F108" s="20">
        <f>IF('Raw profile'!E184&gt;0,1,IF('Raw profile'!E287&gt;0,2,0))</f>
        <v>0</v>
      </c>
      <c r="G108" s="20">
        <f>IF('Raw profile'!F184&gt;0,1,IF('Raw profile'!F287&gt;0,2,0))</f>
        <v>1</v>
      </c>
      <c r="H108" s="20">
        <f>IF('Raw profile'!G184&gt;0,1,IF('Raw profile'!G287&gt;0,2,0))</f>
        <v>1</v>
      </c>
      <c r="I108" s="20">
        <f>IF('Raw profile'!H184&gt;0,1,IF('Raw profile'!H287&gt;0,2,0))</f>
        <v>1</v>
      </c>
      <c r="J108" s="20">
        <f>IF('Raw profile'!I184&gt;0,1,IF('Raw profile'!I287&gt;0,2,0))</f>
        <v>1</v>
      </c>
      <c r="K108" s="20">
        <f>IF('Raw profile'!J184&gt;0,1,IF('Raw profile'!J287&gt;0,2,0))</f>
        <v>1</v>
      </c>
      <c r="L108" s="20">
        <f>IF('Raw profile'!K184&gt;0,1,IF('Raw profile'!K287&gt;0,2,0))</f>
        <v>1</v>
      </c>
      <c r="M108" s="20">
        <f>IF('Raw profile'!L184&gt;0,1,IF('Raw profile'!L287&gt;0,2,0))</f>
        <v>1</v>
      </c>
      <c r="N108" s="20">
        <f>IF('Raw profile'!M184&gt;0,1,IF('Raw profile'!M287&gt;0,2,0))</f>
        <v>1</v>
      </c>
      <c r="O108" s="20">
        <f>IF('Raw profile'!N184&gt;0,1,IF('Raw profile'!N287&gt;0,2,0))</f>
        <v>1</v>
      </c>
      <c r="P108" s="20">
        <f>IF('Raw profile'!O184&gt;0,1,IF('Raw profile'!O287&gt;0,2,0))</f>
        <v>1</v>
      </c>
      <c r="Q108" s="20">
        <f>IF('Raw profile'!P184&gt;0,1,IF('Raw profile'!P287&gt;0,2,0))</f>
        <v>1</v>
      </c>
      <c r="R108" s="20">
        <f>IF('Raw profile'!Q184&gt;0,1,IF('Raw profile'!Q287&gt;0,2,0))</f>
        <v>1</v>
      </c>
      <c r="S108" s="20">
        <f>IF('Raw profile'!R184&gt;0,1,IF('Raw profile'!R287&gt;0,2,0))</f>
        <v>1</v>
      </c>
      <c r="T108" s="20">
        <f>IF('Raw profile'!S184&gt;0,1,IF('Raw profile'!S287&gt;0,2,0))</f>
        <v>1</v>
      </c>
      <c r="U108" s="20">
        <f>IF('Raw profile'!T184&gt;0,1,IF('Raw profile'!T287&gt;0,2,0))</f>
        <v>1</v>
      </c>
      <c r="V108" s="20">
        <f>IF('Raw profile'!U184&gt;0,1,IF('Raw profile'!U287&gt;0,2,0))</f>
        <v>1</v>
      </c>
      <c r="W108" s="20">
        <f>IF('Raw profile'!V184&gt;0,1,IF('Raw profile'!V287&gt;0,2,0))</f>
        <v>2</v>
      </c>
      <c r="X108" s="20">
        <f>IF('Raw profile'!W184&gt;0,1,IF('Raw profile'!W287&gt;0,2,0))</f>
        <v>2</v>
      </c>
      <c r="Y108" s="20">
        <f>IF('Raw profile'!X184&gt;0,1,IF('Raw profile'!X287&gt;0,2,0))</f>
        <v>2</v>
      </c>
      <c r="Z108" s="20">
        <f>IF('Raw profile'!Y184&gt;0,1,IF('Raw profile'!Y287&gt;0,2,0))</f>
        <v>2</v>
      </c>
      <c r="AA108" s="20">
        <f>IF('Raw profile'!Z184&gt;0,1,IF('Raw profile'!Z287&gt;0,2,0))</f>
        <v>2</v>
      </c>
      <c r="AB108" s="20">
        <f>IF('Raw profile'!AA184&gt;0,1,IF('Raw profile'!AA287&gt;0,2,0))</f>
        <v>2</v>
      </c>
      <c r="AC108" s="20">
        <f>IF('Raw profile'!AB184&gt;0,1,IF('Raw profile'!AB287&gt;0,2,0))</f>
        <v>2</v>
      </c>
      <c r="AD108" s="20">
        <f>IF('Raw profile'!AC184&gt;0,1,IF('Raw profile'!AC287&gt;0,2,0))</f>
        <v>2</v>
      </c>
      <c r="AE108" s="20">
        <f>IF('Raw profile'!AD184&gt;0,1,IF('Raw profile'!AD287&gt;0,2,0))</f>
        <v>2</v>
      </c>
      <c r="AF108" s="20">
        <f>IF('Raw profile'!AE184&gt;0,1,IF('Raw profile'!AE287&gt;0,2,0))</f>
        <v>2</v>
      </c>
      <c r="AG108" s="20">
        <f>IF('Raw profile'!AF184&gt;0,1,IF('Raw profile'!AF287&gt;0,2,0))</f>
        <v>2</v>
      </c>
      <c r="AH108" s="20">
        <f>IF('Raw profile'!AG184&gt;0,1,IF('Raw profile'!AG287&gt;0,2,0))</f>
        <v>2</v>
      </c>
      <c r="AI108" s="20">
        <f>IF('Raw profile'!AH184&gt;0,1,IF('Raw profile'!AH287&gt;0,2,0))</f>
        <v>2</v>
      </c>
      <c r="AJ108" s="20">
        <f>IF('Raw profile'!AI184&gt;0,1,IF('Raw profile'!AI287&gt;0,2,0))</f>
        <v>2</v>
      </c>
      <c r="AK108" s="20">
        <f>IF('Raw profile'!AJ184&gt;0,1,IF('Raw profile'!AJ287&gt;0,2,0))</f>
        <v>2</v>
      </c>
      <c r="AL108" s="20">
        <f>IF('Raw profile'!AK184&gt;0,1,IF('Raw profile'!AK287&gt;0,2,0))</f>
        <v>2</v>
      </c>
      <c r="AM108" s="20">
        <f>IF('Raw profile'!AL184&gt;0,1,IF('Raw profile'!AL287&gt;0,2,0))</f>
        <v>2</v>
      </c>
      <c r="AN108" s="20">
        <f>IF('Raw profile'!AM184&gt;0,1,IF('Raw profile'!AM287&gt;0,2,0))</f>
        <v>2</v>
      </c>
      <c r="AO108" s="20">
        <f>IF('Raw profile'!AN184&gt;0,1,IF('Raw profile'!AN287&gt;0,2,0))</f>
        <v>2</v>
      </c>
      <c r="AP108" s="20">
        <f>IF('Raw profile'!AO184&gt;0,1,IF('Raw profile'!AO287&gt;0,2,0))</f>
        <v>2</v>
      </c>
      <c r="AQ108" s="20">
        <f>IF('Raw profile'!AP184&gt;0,1,IF('Raw profile'!AP287&gt;0,2,0))</f>
        <v>2</v>
      </c>
      <c r="AR108" s="20">
        <f>IF('Raw profile'!AQ184&gt;0,1,IF('Raw profile'!AQ287&gt;0,2,0))</f>
        <v>2</v>
      </c>
      <c r="AS108" s="20">
        <f>IF('Raw profile'!AR184&gt;0,1,IF('Raw profile'!AR287&gt;0,2,0))</f>
        <v>2</v>
      </c>
      <c r="AT108" s="20">
        <f>IF('Raw profile'!AS184&gt;0,1,IF('Raw profile'!AS287&gt;0,2,0))</f>
        <v>2</v>
      </c>
      <c r="AU108" s="20">
        <f>IF('Raw profile'!AT184&gt;0,1,IF('Raw profile'!AT287&gt;0,2,0))</f>
        <v>2</v>
      </c>
      <c r="AV108" s="20">
        <f>IF('Raw profile'!AU184&gt;0,1,IF('Raw profile'!AU287&gt;0,2,0))</f>
        <v>2</v>
      </c>
      <c r="AW108" s="20">
        <f>IF('Raw profile'!AV184&gt;0,1,IF('Raw profile'!AV287&gt;0,2,0))</f>
        <v>2</v>
      </c>
      <c r="AX108" s="20">
        <f>IF('Raw profile'!AW184&gt;0,1,IF('Raw profile'!AW287&gt;0,2,0))</f>
        <v>2</v>
      </c>
      <c r="AY108" s="20">
        <f>IF('Raw profile'!AX184&gt;0,1,IF('Raw profile'!AX287&gt;0,2,0))</f>
        <v>2</v>
      </c>
      <c r="AZ108" s="20">
        <f>IF('Raw profile'!AY184&gt;0,1,IF('Raw profile'!AY287&gt;0,2,0))</f>
        <v>2</v>
      </c>
      <c r="BA108" s="20">
        <f>IF('Raw profile'!AZ184&gt;0,1,IF('Raw profile'!AZ287&gt;0,2,0))</f>
        <v>2</v>
      </c>
      <c r="BB108" s="20">
        <f>IF('Raw profile'!BA184&gt;0,1,IF('Raw profile'!BA287&gt;0,2,0))</f>
        <v>2</v>
      </c>
      <c r="BC108" s="20">
        <f>IF('Raw profile'!BB184&gt;0,1,IF('Raw profile'!BB287&gt;0,2,0))</f>
        <v>2</v>
      </c>
      <c r="BD108" s="20">
        <f>IF('Raw profile'!BC184&gt;0,1,IF('Raw profile'!BC287&gt;0,2,0))</f>
        <v>2</v>
      </c>
      <c r="BE108" s="20">
        <f>IF('Raw profile'!BD184&gt;0,1,IF('Raw profile'!BD287&gt;0,2,0))</f>
        <v>2</v>
      </c>
      <c r="BF108" s="20">
        <f>IF('Raw profile'!BE184&gt;0,1,IF('Raw profile'!BE287&gt;0,2,0))</f>
        <v>2</v>
      </c>
      <c r="BG108" s="20">
        <f>IF('Raw profile'!BF184&gt;0,1,IF('Raw profile'!BF287&gt;0,2,0))</f>
        <v>2</v>
      </c>
      <c r="BH108" s="20">
        <f>IF('Raw profile'!BG184&gt;0,1,IF('Raw profile'!BG287&gt;0,2,0))</f>
        <v>2</v>
      </c>
      <c r="BI108" s="20">
        <f>IF('Raw profile'!BH184&gt;0,1,IF('Raw profile'!BH287&gt;0,2,0))</f>
        <v>2</v>
      </c>
      <c r="BJ108" s="20">
        <f>IF('Raw profile'!BI184&gt;0,1,IF('Raw profile'!BI287&gt;0,2,0))</f>
        <v>2</v>
      </c>
      <c r="BK108" s="21">
        <f>IF('Raw profile'!BJ184&gt;0,1,IF('Raw profile'!BJ287&gt;0,2,0))</f>
        <v>0</v>
      </c>
    </row>
    <row r="109" spans="1:63" x14ac:dyDescent="0.3">
      <c r="B109" s="13" t="s">
        <v>4</v>
      </c>
      <c r="C109" s="19">
        <f>'Growth profile'!I76</f>
        <v>2029</v>
      </c>
      <c r="D109" s="20">
        <f>IF('Growth profile'!C184&gt;0,1,IF('Growth profile'!C287&gt;0,3,0))</f>
        <v>0</v>
      </c>
      <c r="E109" s="20">
        <f>IF('Growth profile'!D184&gt;0,1,IF('Growth profile'!D287&gt;0,3,0))</f>
        <v>0</v>
      </c>
      <c r="F109" s="20">
        <f>IF('Growth profile'!E184&gt;0,1,IF('Growth profile'!E287&gt;0,3,0))</f>
        <v>0</v>
      </c>
      <c r="G109" s="20">
        <f>IF('Growth profile'!F184&gt;0,1,IF('Growth profile'!F287&gt;0,3,0))</f>
        <v>1</v>
      </c>
      <c r="H109" s="20">
        <f>IF('Growth profile'!G184&gt;0,1,IF('Growth profile'!G287&gt;0,3,0))</f>
        <v>1</v>
      </c>
      <c r="I109" s="20">
        <f>IF('Growth profile'!H184&gt;0,1,IF('Growth profile'!H287&gt;0,3,0))</f>
        <v>1</v>
      </c>
      <c r="J109" s="20">
        <f>IF('Growth profile'!I184&gt;0,1,IF('Growth profile'!I287&gt;0,3,0))</f>
        <v>1</v>
      </c>
      <c r="K109" s="20">
        <f>IF('Growth profile'!J184&gt;0,1,IF('Growth profile'!J287&gt;0,3,0))</f>
        <v>1</v>
      </c>
      <c r="L109" s="20">
        <f>IF('Growth profile'!K184&gt;0,1,IF('Growth profile'!K287&gt;0,3,0))</f>
        <v>1</v>
      </c>
      <c r="M109" s="20">
        <f>IF('Growth profile'!L184&gt;0,1,IF('Growth profile'!L287&gt;0,3,0))</f>
        <v>1</v>
      </c>
      <c r="N109" s="20">
        <f>IF('Growth profile'!M184&gt;0,1,IF('Growth profile'!M287&gt;0,3,0))</f>
        <v>1</v>
      </c>
      <c r="O109" s="20">
        <f>IF('Growth profile'!N184&gt;0,1,IF('Growth profile'!N287&gt;0,3,0))</f>
        <v>1</v>
      </c>
      <c r="P109" s="20">
        <f>IF('Growth profile'!O184&gt;0,1,IF('Growth profile'!O287&gt;0,3,0))</f>
        <v>1</v>
      </c>
      <c r="Q109" s="20">
        <f>IF('Growth profile'!P184&gt;0,1,IF('Growth profile'!P287&gt;0,3,0))</f>
        <v>1</v>
      </c>
      <c r="R109" s="20">
        <f>IF('Growth profile'!Q184&gt;0,1,IF('Growth profile'!Q287&gt;0,3,0))</f>
        <v>1</v>
      </c>
      <c r="S109" s="20">
        <f>IF('Growth profile'!R184&gt;0,1,IF('Growth profile'!R287&gt;0,3,0))</f>
        <v>1</v>
      </c>
      <c r="T109" s="20">
        <f>IF('Growth profile'!S184&gt;0,1,IF('Growth profile'!S287&gt;0,3,0))</f>
        <v>1</v>
      </c>
      <c r="U109" s="20">
        <f>IF('Growth profile'!T184&gt;0,1,IF('Growth profile'!T287&gt;0,3,0))</f>
        <v>1</v>
      </c>
      <c r="V109" s="20">
        <f>IF('Growth profile'!U184&gt;0,1,IF('Growth profile'!U287&gt;0,3,0))</f>
        <v>1</v>
      </c>
      <c r="W109" s="20">
        <f>IF('Growth profile'!V184&gt;0,1,IF('Growth profile'!V287&gt;0,3,0))</f>
        <v>3</v>
      </c>
      <c r="X109" s="20">
        <f>IF('Growth profile'!W184&gt;0,1,IF('Growth profile'!W287&gt;0,3,0))</f>
        <v>3</v>
      </c>
      <c r="Y109" s="20">
        <f>IF('Growth profile'!X184&gt;0,1,IF('Growth profile'!X287&gt;0,3,0))</f>
        <v>3</v>
      </c>
      <c r="Z109" s="20">
        <f>IF('Growth profile'!Y184&gt;0,1,IF('Growth profile'!Y287&gt;0,3,0))</f>
        <v>3</v>
      </c>
      <c r="AA109" s="20">
        <f>IF('Growth profile'!Z184&gt;0,1,IF('Growth profile'!Z287&gt;0,3,0))</f>
        <v>3</v>
      </c>
      <c r="AB109" s="20">
        <f>IF('Growth profile'!AA184&gt;0,1,IF('Growth profile'!AA287&gt;0,3,0))</f>
        <v>3</v>
      </c>
      <c r="AC109" s="20">
        <f>IF('Growth profile'!AB184&gt;0,1,IF('Growth profile'!AB287&gt;0,3,0))</f>
        <v>3</v>
      </c>
      <c r="AD109" s="20">
        <f>IF('Growth profile'!AC184&gt;0,1,IF('Growth profile'!AC287&gt;0,3,0))</f>
        <v>3</v>
      </c>
      <c r="AE109" s="20">
        <f>IF('Growth profile'!AD184&gt;0,1,IF('Growth profile'!AD287&gt;0,3,0))</f>
        <v>3</v>
      </c>
      <c r="AF109" s="20">
        <f>IF('Growth profile'!AE184&gt;0,1,IF('Growth profile'!AE287&gt;0,3,0))</f>
        <v>3</v>
      </c>
      <c r="AG109" s="20">
        <f>IF('Growth profile'!AF184&gt;0,1,IF('Growth profile'!AF287&gt;0,3,0))</f>
        <v>3</v>
      </c>
      <c r="AH109" s="20">
        <f>IF('Growth profile'!AG184&gt;0,1,IF('Growth profile'!AG287&gt;0,3,0))</f>
        <v>3</v>
      </c>
      <c r="AI109" s="20">
        <f>IF('Growth profile'!AH184&gt;0,1,IF('Growth profile'!AH287&gt;0,3,0))</f>
        <v>3</v>
      </c>
      <c r="AJ109" s="20">
        <f>IF('Growth profile'!AI184&gt;0,1,IF('Growth profile'!AI287&gt;0,3,0))</f>
        <v>3</v>
      </c>
      <c r="AK109" s="20">
        <f>IF('Growth profile'!AJ184&gt;0,1,IF('Growth profile'!AJ287&gt;0,3,0))</f>
        <v>3</v>
      </c>
      <c r="AL109" s="20">
        <f>IF('Growth profile'!AK184&gt;0,1,IF('Growth profile'!AK287&gt;0,3,0))</f>
        <v>3</v>
      </c>
      <c r="AM109" s="20">
        <f>IF('Growth profile'!AL184&gt;0,1,IF('Growth profile'!AL287&gt;0,3,0))</f>
        <v>3</v>
      </c>
      <c r="AN109" s="20">
        <f>IF('Growth profile'!AM184&gt;0,1,IF('Growth profile'!AM287&gt;0,3,0))</f>
        <v>3</v>
      </c>
      <c r="AO109" s="20">
        <f>IF('Growth profile'!AN184&gt;0,1,IF('Growth profile'!AN287&gt;0,3,0))</f>
        <v>3</v>
      </c>
      <c r="AP109" s="20">
        <f>IF('Growth profile'!AO184&gt;0,1,IF('Growth profile'!AO287&gt;0,3,0))</f>
        <v>3</v>
      </c>
      <c r="AQ109" s="20">
        <f>IF('Growth profile'!AP184&gt;0,1,IF('Growth profile'!AP287&gt;0,3,0))</f>
        <v>3</v>
      </c>
      <c r="AR109" s="20">
        <f>IF('Growth profile'!AQ184&gt;0,1,IF('Growth profile'!AQ287&gt;0,3,0))</f>
        <v>3</v>
      </c>
      <c r="AS109" s="20">
        <f>IF('Growth profile'!AR184&gt;0,1,IF('Growth profile'!AR287&gt;0,3,0))</f>
        <v>3</v>
      </c>
      <c r="AT109" s="20">
        <f>IF('Growth profile'!AS184&gt;0,1,IF('Growth profile'!AS287&gt;0,3,0))</f>
        <v>3</v>
      </c>
      <c r="AU109" s="20">
        <f>IF('Growth profile'!AT184&gt;0,1,IF('Growth profile'!AT287&gt;0,3,0))</f>
        <v>3</v>
      </c>
      <c r="AV109" s="20">
        <f>IF('Growth profile'!AU184&gt;0,1,IF('Growth profile'!AU287&gt;0,3,0))</f>
        <v>3</v>
      </c>
      <c r="AW109" s="20">
        <f>IF('Growth profile'!AV184&gt;0,1,IF('Growth profile'!AV287&gt;0,3,0))</f>
        <v>3</v>
      </c>
      <c r="AX109" s="20">
        <f>IF('Growth profile'!AW184&gt;0,1,IF('Growth profile'!AW287&gt;0,3,0))</f>
        <v>3</v>
      </c>
      <c r="AY109" s="20">
        <f>IF('Growth profile'!AX184&gt;0,1,IF('Growth profile'!AX287&gt;0,3,0))</f>
        <v>3</v>
      </c>
      <c r="AZ109" s="20">
        <f>IF('Growth profile'!AY184&gt;0,1,IF('Growth profile'!AY287&gt;0,3,0))</f>
        <v>3</v>
      </c>
      <c r="BA109" s="20">
        <f>IF('Growth profile'!AZ184&gt;0,1,IF('Growth profile'!AZ287&gt;0,3,0))</f>
        <v>3</v>
      </c>
      <c r="BB109" s="20">
        <f>IF('Growth profile'!BA184&gt;0,1,IF('Growth profile'!BA287&gt;0,3,0))</f>
        <v>3</v>
      </c>
      <c r="BC109" s="20">
        <f>IF('Growth profile'!BB184&gt;0,1,IF('Growth profile'!BB287&gt;0,3,0))</f>
        <v>3</v>
      </c>
      <c r="BD109" s="20">
        <f>IF('Growth profile'!BC184&gt;0,1,IF('Growth profile'!BC287&gt;0,3,0))</f>
        <v>3</v>
      </c>
      <c r="BE109" s="20">
        <f>IF('Growth profile'!BD184&gt;0,1,IF('Growth profile'!BD287&gt;0,3,0))</f>
        <v>3</v>
      </c>
      <c r="BF109" s="20">
        <f>IF('Growth profile'!BE184&gt;0,1,IF('Growth profile'!BE287&gt;0,3,0))</f>
        <v>3</v>
      </c>
      <c r="BG109" s="20">
        <f>IF('Growth profile'!BF184&gt;0,1,IF('Growth profile'!BF287&gt;0,3,0))</f>
        <v>3</v>
      </c>
      <c r="BH109" s="20">
        <f>IF('Growth profile'!BG184&gt;0,1,IF('Growth profile'!BG287&gt;0,3,0))</f>
        <v>3</v>
      </c>
      <c r="BI109" s="20">
        <f>IF('Growth profile'!BH184&gt;0,1,IF('Growth profile'!BH287&gt;0,3,0))</f>
        <v>3</v>
      </c>
      <c r="BJ109" s="20">
        <f>IF('Growth profile'!BI184&gt;0,1,IF('Growth profile'!BI287&gt;0,3,0))</f>
        <v>3</v>
      </c>
      <c r="BK109" s="21">
        <f>IF('Growth profile'!BJ184&gt;0,1,IF('Growth profile'!BJ287&gt;0,3,0))</f>
        <v>0</v>
      </c>
    </row>
    <row r="110" spans="1:63" x14ac:dyDescent="0.3">
      <c r="B110" s="13" t="s">
        <v>59</v>
      </c>
      <c r="C110" s="19">
        <f>'Growth (no penalty)'!I76</f>
        <v>2030</v>
      </c>
      <c r="D110" s="22">
        <f>IF('Growth (no penalty)'!C184&gt;0,1,IF('Growth (no penalty)'!C287&gt;0,4,0))</f>
        <v>0</v>
      </c>
      <c r="E110" s="22">
        <f>IF('Growth (no penalty)'!D184&gt;0,1,IF('Growth (no penalty)'!D287&gt;0,4,0))</f>
        <v>0</v>
      </c>
      <c r="F110" s="22">
        <f>IF('Growth (no penalty)'!E184&gt;0,1,IF('Growth (no penalty)'!E287&gt;0,4,0))</f>
        <v>0</v>
      </c>
      <c r="G110" s="22">
        <f>IF('Growth (no penalty)'!F184&gt;0,1,IF('Growth (no penalty)'!F287&gt;0,4,0))</f>
        <v>0</v>
      </c>
      <c r="H110" s="22">
        <f>IF('Growth (no penalty)'!G184&gt;0,1,IF('Growth (no penalty)'!G287&gt;0,4,0))</f>
        <v>1</v>
      </c>
      <c r="I110" s="22">
        <f>IF('Growth (no penalty)'!H184&gt;0,1,IF('Growth (no penalty)'!H287&gt;0,4,0))</f>
        <v>1</v>
      </c>
      <c r="J110" s="22">
        <f>IF('Growth (no penalty)'!I184&gt;0,1,IF('Growth (no penalty)'!I287&gt;0,4,0))</f>
        <v>1</v>
      </c>
      <c r="K110" s="22">
        <f>IF('Growth (no penalty)'!J184&gt;0,1,IF('Growth (no penalty)'!J287&gt;0,4,0))</f>
        <v>1</v>
      </c>
      <c r="L110" s="22">
        <f>IF('Growth (no penalty)'!K184&gt;0,1,IF('Growth (no penalty)'!K287&gt;0,4,0))</f>
        <v>1</v>
      </c>
      <c r="M110" s="22">
        <f>IF('Growth (no penalty)'!L184&gt;0,1,IF('Growth (no penalty)'!L287&gt;0,4,0))</f>
        <v>1</v>
      </c>
      <c r="N110" s="22">
        <f>IF('Growth (no penalty)'!M184&gt;0,1,IF('Growth (no penalty)'!M287&gt;0,4,0))</f>
        <v>1</v>
      </c>
      <c r="O110" s="22">
        <f>IF('Growth (no penalty)'!N184&gt;0,1,IF('Growth (no penalty)'!N287&gt;0,4,0))</f>
        <v>1</v>
      </c>
      <c r="P110" s="22">
        <f>IF('Growth (no penalty)'!O184&gt;0,1,IF('Growth (no penalty)'!O287&gt;0,4,0))</f>
        <v>1</v>
      </c>
      <c r="Q110" s="22">
        <f>IF('Growth (no penalty)'!P184&gt;0,1,IF('Growth (no penalty)'!P287&gt;0,4,0))</f>
        <v>1</v>
      </c>
      <c r="R110" s="22">
        <f>IF('Growth (no penalty)'!Q184&gt;0,1,IF('Growth (no penalty)'!Q287&gt;0,4,0))</f>
        <v>1</v>
      </c>
      <c r="S110" s="22">
        <f>IF('Growth (no penalty)'!R184&gt;0,1,IF('Growth (no penalty)'!R287&gt;0,4,0))</f>
        <v>1</v>
      </c>
      <c r="T110" s="22">
        <f>IF('Growth (no penalty)'!S184&gt;0,1,IF('Growth (no penalty)'!S287&gt;0,4,0))</f>
        <v>1</v>
      </c>
      <c r="U110" s="22">
        <f>IF('Growth (no penalty)'!T184&gt;0,1,IF('Growth (no penalty)'!T287&gt;0,4,0))</f>
        <v>1</v>
      </c>
      <c r="V110" s="22">
        <f>IF('Growth (no penalty)'!U184&gt;0,1,IF('Growth (no penalty)'!U287&gt;0,4,0))</f>
        <v>1</v>
      </c>
      <c r="W110" s="22">
        <f>IF('Growth (no penalty)'!V184&gt;0,1,IF('Growth (no penalty)'!V287&gt;0,4,0))</f>
        <v>1</v>
      </c>
      <c r="X110" s="22">
        <f>IF('Growth (no penalty)'!W184&gt;0,1,IF('Growth (no penalty)'!W287&gt;0,4,0))</f>
        <v>4</v>
      </c>
      <c r="Y110" s="22">
        <f>IF('Growth (no penalty)'!X184&gt;0,1,IF('Growth (no penalty)'!X287&gt;0,4,0))</f>
        <v>4</v>
      </c>
      <c r="Z110" s="22">
        <f>IF('Growth (no penalty)'!Y184&gt;0,1,IF('Growth (no penalty)'!Y287&gt;0,4,0))</f>
        <v>4</v>
      </c>
      <c r="AA110" s="22">
        <f>IF('Growth (no penalty)'!Z184&gt;0,1,IF('Growth (no penalty)'!Z287&gt;0,4,0))</f>
        <v>4</v>
      </c>
      <c r="AB110" s="22">
        <f>IF('Growth (no penalty)'!AA184&gt;0,1,IF('Growth (no penalty)'!AA287&gt;0,4,0))</f>
        <v>4</v>
      </c>
      <c r="AC110" s="22">
        <f>IF('Growth (no penalty)'!AB184&gt;0,1,IF('Growth (no penalty)'!AB287&gt;0,4,0))</f>
        <v>4</v>
      </c>
      <c r="AD110" s="22">
        <f>IF('Growth (no penalty)'!AC184&gt;0,1,IF('Growth (no penalty)'!AC287&gt;0,4,0))</f>
        <v>4</v>
      </c>
      <c r="AE110" s="22">
        <f>IF('Growth (no penalty)'!AD184&gt;0,1,IF('Growth (no penalty)'!AD287&gt;0,4,0))</f>
        <v>4</v>
      </c>
      <c r="AF110" s="22">
        <f>IF('Growth (no penalty)'!AE184&gt;0,1,IF('Growth (no penalty)'!AE287&gt;0,4,0))</f>
        <v>4</v>
      </c>
      <c r="AG110" s="22">
        <f>IF('Growth (no penalty)'!AF184&gt;0,1,IF('Growth (no penalty)'!AF287&gt;0,4,0))</f>
        <v>4</v>
      </c>
      <c r="AH110" s="22">
        <f>IF('Growth (no penalty)'!AG184&gt;0,1,IF('Growth (no penalty)'!AG287&gt;0,4,0))</f>
        <v>4</v>
      </c>
      <c r="AI110" s="22">
        <f>IF('Growth (no penalty)'!AH184&gt;0,1,IF('Growth (no penalty)'!AH287&gt;0,4,0))</f>
        <v>4</v>
      </c>
      <c r="AJ110" s="22">
        <f>IF('Growth (no penalty)'!AI184&gt;0,1,IF('Growth (no penalty)'!AI287&gt;0,4,0))</f>
        <v>4</v>
      </c>
      <c r="AK110" s="22">
        <f>IF('Growth (no penalty)'!AJ184&gt;0,1,IF('Growth (no penalty)'!AJ287&gt;0,4,0))</f>
        <v>4</v>
      </c>
      <c r="AL110" s="22">
        <f>IF('Growth (no penalty)'!AK184&gt;0,1,IF('Growth (no penalty)'!AK287&gt;0,4,0))</f>
        <v>4</v>
      </c>
      <c r="AM110" s="22">
        <f>IF('Growth (no penalty)'!AL184&gt;0,1,IF('Growth (no penalty)'!AL287&gt;0,4,0))</f>
        <v>4</v>
      </c>
      <c r="AN110" s="22">
        <f>IF('Growth (no penalty)'!AM184&gt;0,1,IF('Growth (no penalty)'!AM287&gt;0,4,0))</f>
        <v>4</v>
      </c>
      <c r="AO110" s="22">
        <f>IF('Growth (no penalty)'!AN184&gt;0,1,IF('Growth (no penalty)'!AN287&gt;0,4,0))</f>
        <v>4</v>
      </c>
      <c r="AP110" s="22">
        <f>IF('Growth (no penalty)'!AO184&gt;0,1,IF('Growth (no penalty)'!AO287&gt;0,4,0))</f>
        <v>4</v>
      </c>
      <c r="AQ110" s="22">
        <f>IF('Growth (no penalty)'!AP184&gt;0,1,IF('Growth (no penalty)'!AP287&gt;0,4,0))</f>
        <v>4</v>
      </c>
      <c r="AR110" s="22">
        <f>IF('Growth (no penalty)'!AQ184&gt;0,1,IF('Growth (no penalty)'!AQ287&gt;0,4,0))</f>
        <v>4</v>
      </c>
      <c r="AS110" s="22">
        <f>IF('Growth (no penalty)'!AR184&gt;0,1,IF('Growth (no penalty)'!AR287&gt;0,4,0))</f>
        <v>4</v>
      </c>
      <c r="AT110" s="22">
        <f>IF('Growth (no penalty)'!AS184&gt;0,1,IF('Growth (no penalty)'!AS287&gt;0,4,0))</f>
        <v>4</v>
      </c>
      <c r="AU110" s="22">
        <f>IF('Growth (no penalty)'!AT184&gt;0,1,IF('Growth (no penalty)'!AT287&gt;0,4,0))</f>
        <v>4</v>
      </c>
      <c r="AV110" s="22">
        <f>IF('Growth (no penalty)'!AU184&gt;0,1,IF('Growth (no penalty)'!AU287&gt;0,4,0))</f>
        <v>4</v>
      </c>
      <c r="AW110" s="22">
        <f>IF('Growth (no penalty)'!AV184&gt;0,1,IF('Growth (no penalty)'!AV287&gt;0,4,0))</f>
        <v>4</v>
      </c>
      <c r="AX110" s="22">
        <f>IF('Growth (no penalty)'!AW184&gt;0,1,IF('Growth (no penalty)'!AW287&gt;0,4,0))</f>
        <v>4</v>
      </c>
      <c r="AY110" s="22">
        <f>IF('Growth (no penalty)'!AX184&gt;0,1,IF('Growth (no penalty)'!AX287&gt;0,4,0))</f>
        <v>4</v>
      </c>
      <c r="AZ110" s="22">
        <f>IF('Growth (no penalty)'!AY184&gt;0,1,IF('Growth (no penalty)'!AY287&gt;0,4,0))</f>
        <v>4</v>
      </c>
      <c r="BA110" s="22">
        <f>IF('Growth (no penalty)'!AZ184&gt;0,1,IF('Growth (no penalty)'!AZ287&gt;0,4,0))</f>
        <v>4</v>
      </c>
      <c r="BB110" s="22">
        <f>IF('Growth (no penalty)'!BA184&gt;0,1,IF('Growth (no penalty)'!BA287&gt;0,4,0))</f>
        <v>4</v>
      </c>
      <c r="BC110" s="22">
        <f>IF('Growth (no penalty)'!BB184&gt;0,1,IF('Growth (no penalty)'!BB287&gt;0,4,0))</f>
        <v>4</v>
      </c>
      <c r="BD110" s="22">
        <f>IF('Growth (no penalty)'!BC184&gt;0,1,IF('Growth (no penalty)'!BC287&gt;0,4,0))</f>
        <v>4</v>
      </c>
      <c r="BE110" s="22">
        <f>IF('Growth (no penalty)'!BD184&gt;0,1,IF('Growth (no penalty)'!BD287&gt;0,4,0))</f>
        <v>4</v>
      </c>
      <c r="BF110" s="22">
        <f>IF('Growth (no penalty)'!BE184&gt;0,1,IF('Growth (no penalty)'!BE287&gt;0,4,0))</f>
        <v>4</v>
      </c>
      <c r="BG110" s="22">
        <f>IF('Growth (no penalty)'!BF184&gt;0,1,IF('Growth (no penalty)'!BF287&gt;0,4,0))</f>
        <v>4</v>
      </c>
      <c r="BH110" s="22">
        <f>IF('Growth (no penalty)'!BG184&gt;0,1,IF('Growth (no penalty)'!BG287&gt;0,4,0))</f>
        <v>4</v>
      </c>
      <c r="BI110" s="22">
        <f>IF('Growth (no penalty)'!BH184&gt;0,1,IF('Growth (no penalty)'!BH287&gt;0,4,0))</f>
        <v>4</v>
      </c>
      <c r="BJ110" s="22">
        <f>IF('Growth (no penalty)'!BI184&gt;0,1,IF('Growth (no penalty)'!BI287&gt;0,4,0))</f>
        <v>4</v>
      </c>
      <c r="BK110" s="23">
        <f>IF('Growth (no penalty)'!BJ184&gt;0,1,IF('Growth (no penalty)'!BJ287&gt;0,4,0))</f>
        <v>4</v>
      </c>
    </row>
    <row r="111" spans="1:63" x14ac:dyDescent="0.3">
      <c r="A111" s="4" t="str">
        <f>'Growth profile'!A66</f>
        <v>project 90</v>
      </c>
      <c r="B111" s="13" t="s">
        <v>3</v>
      </c>
      <c r="C111" s="19">
        <f>'Raw profile'!I66</f>
        <v>2030</v>
      </c>
      <c r="D111" s="20">
        <f>IF('Raw profile'!C174&gt;0,1,IF('Raw profile'!C277&gt;0,2,0))</f>
        <v>0</v>
      </c>
      <c r="E111" s="20">
        <f>IF('Raw profile'!D174&gt;0,1,IF('Raw profile'!D277&gt;0,2,0))</f>
        <v>0</v>
      </c>
      <c r="F111" s="20">
        <f>IF('Raw profile'!E174&gt;0,1,IF('Raw profile'!E277&gt;0,2,0))</f>
        <v>0</v>
      </c>
      <c r="G111" s="20">
        <f>IF('Raw profile'!F174&gt;0,1,IF('Raw profile'!F277&gt;0,2,0))</f>
        <v>0</v>
      </c>
      <c r="H111" s="20">
        <f>IF('Raw profile'!G174&gt;0,1,IF('Raw profile'!G277&gt;0,2,0))</f>
        <v>1</v>
      </c>
      <c r="I111" s="20">
        <f>IF('Raw profile'!H174&gt;0,1,IF('Raw profile'!H277&gt;0,2,0))</f>
        <v>1</v>
      </c>
      <c r="J111" s="20">
        <f>IF('Raw profile'!I174&gt;0,1,IF('Raw profile'!I277&gt;0,2,0))</f>
        <v>1</v>
      </c>
      <c r="K111" s="20">
        <f>IF('Raw profile'!J174&gt;0,1,IF('Raw profile'!J277&gt;0,2,0))</f>
        <v>2</v>
      </c>
      <c r="L111" s="20">
        <f>IF('Raw profile'!K174&gt;0,1,IF('Raw profile'!K277&gt;0,2,0))</f>
        <v>2</v>
      </c>
      <c r="M111" s="20">
        <f>IF('Raw profile'!L174&gt;0,1,IF('Raw profile'!L277&gt;0,2,0))</f>
        <v>2</v>
      </c>
      <c r="N111" s="20">
        <f>IF('Raw profile'!M174&gt;0,1,IF('Raw profile'!M277&gt;0,2,0))</f>
        <v>2</v>
      </c>
      <c r="O111" s="20">
        <f>IF('Raw profile'!N174&gt;0,1,IF('Raw profile'!N277&gt;0,2,0))</f>
        <v>2</v>
      </c>
      <c r="P111" s="20">
        <f>IF('Raw profile'!O174&gt;0,1,IF('Raw profile'!O277&gt;0,2,0))</f>
        <v>2</v>
      </c>
      <c r="Q111" s="20">
        <f>IF('Raw profile'!P174&gt;0,1,IF('Raw profile'!P277&gt;0,2,0))</f>
        <v>2</v>
      </c>
      <c r="R111" s="20">
        <f>IF('Raw profile'!Q174&gt;0,1,IF('Raw profile'!Q277&gt;0,2,0))</f>
        <v>2</v>
      </c>
      <c r="S111" s="20">
        <f>IF('Raw profile'!R174&gt;0,1,IF('Raw profile'!R277&gt;0,2,0))</f>
        <v>2</v>
      </c>
      <c r="T111" s="20">
        <f>IF('Raw profile'!S174&gt;0,1,IF('Raw profile'!S277&gt;0,2,0))</f>
        <v>2</v>
      </c>
      <c r="U111" s="20">
        <f>IF('Raw profile'!T174&gt;0,1,IF('Raw profile'!T277&gt;0,2,0))</f>
        <v>2</v>
      </c>
      <c r="V111" s="20">
        <f>IF('Raw profile'!U174&gt;0,1,IF('Raw profile'!U277&gt;0,2,0))</f>
        <v>2</v>
      </c>
      <c r="W111" s="20">
        <f>IF('Raw profile'!V174&gt;0,1,IF('Raw profile'!V277&gt;0,2,0))</f>
        <v>2</v>
      </c>
      <c r="X111" s="20">
        <f>IF('Raw profile'!W174&gt;0,1,IF('Raw profile'!W277&gt;0,2,0))</f>
        <v>2</v>
      </c>
      <c r="Y111" s="20">
        <f>IF('Raw profile'!X174&gt;0,1,IF('Raw profile'!X277&gt;0,2,0))</f>
        <v>2</v>
      </c>
      <c r="Z111" s="20">
        <f>IF('Raw profile'!Y174&gt;0,1,IF('Raw profile'!Y277&gt;0,2,0))</f>
        <v>2</v>
      </c>
      <c r="AA111" s="20">
        <f>IF('Raw profile'!Z174&gt;0,1,IF('Raw profile'!Z277&gt;0,2,0))</f>
        <v>2</v>
      </c>
      <c r="AB111" s="20">
        <f>IF('Raw profile'!AA174&gt;0,1,IF('Raw profile'!AA277&gt;0,2,0))</f>
        <v>2</v>
      </c>
      <c r="AC111" s="20">
        <f>IF('Raw profile'!AB174&gt;0,1,IF('Raw profile'!AB277&gt;0,2,0))</f>
        <v>2</v>
      </c>
      <c r="AD111" s="20">
        <f>IF('Raw profile'!AC174&gt;0,1,IF('Raw profile'!AC277&gt;0,2,0))</f>
        <v>2</v>
      </c>
      <c r="AE111" s="20">
        <f>IF('Raw profile'!AD174&gt;0,1,IF('Raw profile'!AD277&gt;0,2,0))</f>
        <v>2</v>
      </c>
      <c r="AF111" s="20">
        <f>IF('Raw profile'!AE174&gt;0,1,IF('Raw profile'!AE277&gt;0,2,0))</f>
        <v>2</v>
      </c>
      <c r="AG111" s="20">
        <f>IF('Raw profile'!AF174&gt;0,1,IF('Raw profile'!AF277&gt;0,2,0))</f>
        <v>2</v>
      </c>
      <c r="AH111" s="20">
        <f>IF('Raw profile'!AG174&gt;0,1,IF('Raw profile'!AG277&gt;0,2,0))</f>
        <v>2</v>
      </c>
      <c r="AI111" s="20">
        <f>IF('Raw profile'!AH174&gt;0,1,IF('Raw profile'!AH277&gt;0,2,0))</f>
        <v>2</v>
      </c>
      <c r="AJ111" s="20">
        <f>IF('Raw profile'!AI174&gt;0,1,IF('Raw profile'!AI277&gt;0,2,0))</f>
        <v>2</v>
      </c>
      <c r="AK111" s="20">
        <f>IF('Raw profile'!AJ174&gt;0,1,IF('Raw profile'!AJ277&gt;0,2,0))</f>
        <v>2</v>
      </c>
      <c r="AL111" s="20">
        <f>IF('Raw profile'!AK174&gt;0,1,IF('Raw profile'!AK277&gt;0,2,0))</f>
        <v>2</v>
      </c>
      <c r="AM111" s="20">
        <f>IF('Raw profile'!AL174&gt;0,1,IF('Raw profile'!AL277&gt;0,2,0))</f>
        <v>2</v>
      </c>
      <c r="AN111" s="20">
        <f>IF('Raw profile'!AM174&gt;0,1,IF('Raw profile'!AM277&gt;0,2,0))</f>
        <v>2</v>
      </c>
      <c r="AO111" s="20">
        <f>IF('Raw profile'!AN174&gt;0,1,IF('Raw profile'!AN277&gt;0,2,0))</f>
        <v>2</v>
      </c>
      <c r="AP111" s="20">
        <f>IF('Raw profile'!AO174&gt;0,1,IF('Raw profile'!AO277&gt;0,2,0))</f>
        <v>2</v>
      </c>
      <c r="AQ111" s="20">
        <f>IF('Raw profile'!AP174&gt;0,1,IF('Raw profile'!AP277&gt;0,2,0))</f>
        <v>2</v>
      </c>
      <c r="AR111" s="20">
        <f>IF('Raw profile'!AQ174&gt;0,1,IF('Raw profile'!AQ277&gt;0,2,0))</f>
        <v>2</v>
      </c>
      <c r="AS111" s="20">
        <f>IF('Raw profile'!AR174&gt;0,1,IF('Raw profile'!AR277&gt;0,2,0))</f>
        <v>2</v>
      </c>
      <c r="AT111" s="20">
        <f>IF('Raw profile'!AS174&gt;0,1,IF('Raw profile'!AS277&gt;0,2,0))</f>
        <v>2</v>
      </c>
      <c r="AU111" s="20">
        <f>IF('Raw profile'!AT174&gt;0,1,IF('Raw profile'!AT277&gt;0,2,0))</f>
        <v>2</v>
      </c>
      <c r="AV111" s="20">
        <f>IF('Raw profile'!AU174&gt;0,1,IF('Raw profile'!AU277&gt;0,2,0))</f>
        <v>2</v>
      </c>
      <c r="AW111" s="20">
        <f>IF('Raw profile'!AV174&gt;0,1,IF('Raw profile'!AV277&gt;0,2,0))</f>
        <v>2</v>
      </c>
      <c r="AX111" s="20">
        <f>IF('Raw profile'!AW174&gt;0,1,IF('Raw profile'!AW277&gt;0,2,0))</f>
        <v>2</v>
      </c>
      <c r="AY111" s="20">
        <f>IF('Raw profile'!AX174&gt;0,1,IF('Raw profile'!AX277&gt;0,2,0))</f>
        <v>0</v>
      </c>
      <c r="AZ111" s="20">
        <f>IF('Raw profile'!AY174&gt;0,1,IF('Raw profile'!AY277&gt;0,2,0))</f>
        <v>0</v>
      </c>
      <c r="BA111" s="20">
        <f>IF('Raw profile'!AZ174&gt;0,1,IF('Raw profile'!AZ277&gt;0,2,0))</f>
        <v>0</v>
      </c>
      <c r="BB111" s="20">
        <f>IF('Raw profile'!BA174&gt;0,1,IF('Raw profile'!BA277&gt;0,2,0))</f>
        <v>0</v>
      </c>
      <c r="BC111" s="20">
        <f>IF('Raw profile'!BB174&gt;0,1,IF('Raw profile'!BB277&gt;0,2,0))</f>
        <v>0</v>
      </c>
      <c r="BD111" s="20">
        <f>IF('Raw profile'!BC174&gt;0,1,IF('Raw profile'!BC277&gt;0,2,0))</f>
        <v>0</v>
      </c>
      <c r="BE111" s="20">
        <f>IF('Raw profile'!BD174&gt;0,1,IF('Raw profile'!BD277&gt;0,2,0))</f>
        <v>0</v>
      </c>
      <c r="BF111" s="20">
        <f>IF('Raw profile'!BE174&gt;0,1,IF('Raw profile'!BE277&gt;0,2,0))</f>
        <v>0</v>
      </c>
      <c r="BG111" s="20">
        <f>IF('Raw profile'!BF174&gt;0,1,IF('Raw profile'!BF277&gt;0,2,0))</f>
        <v>0</v>
      </c>
      <c r="BH111" s="20">
        <f>IF('Raw profile'!BG174&gt;0,1,IF('Raw profile'!BG277&gt;0,2,0))</f>
        <v>0</v>
      </c>
      <c r="BI111" s="20">
        <f>IF('Raw profile'!BH174&gt;0,1,IF('Raw profile'!BH277&gt;0,2,0))</f>
        <v>0</v>
      </c>
      <c r="BJ111" s="20">
        <f>IF('Raw profile'!BI174&gt;0,1,IF('Raw profile'!BI277&gt;0,2,0))</f>
        <v>0</v>
      </c>
      <c r="BK111" s="21">
        <f>IF('Raw profile'!BJ174&gt;0,1,IF('Raw profile'!BJ277&gt;0,2,0))</f>
        <v>0</v>
      </c>
    </row>
    <row r="112" spans="1:63" x14ac:dyDescent="0.3">
      <c r="B112" s="13" t="s">
        <v>4</v>
      </c>
      <c r="C112" s="19">
        <f>'Growth profile'!I66</f>
        <v>2026</v>
      </c>
      <c r="D112" s="20">
        <f>IF('Growth profile'!C174&gt;0,1,IF('Growth profile'!C277&gt;0,3,0))</f>
        <v>1</v>
      </c>
      <c r="E112" s="20">
        <f>IF('Growth profile'!D174&gt;0,1,IF('Growth profile'!D277&gt;0,3,0))</f>
        <v>1</v>
      </c>
      <c r="F112" s="20">
        <f>IF('Growth profile'!E174&gt;0,1,IF('Growth profile'!E277&gt;0,3,0))</f>
        <v>1</v>
      </c>
      <c r="G112" s="20">
        <f>IF('Growth profile'!F174&gt;0,1,IF('Growth profile'!F277&gt;0,3,0))</f>
        <v>3</v>
      </c>
      <c r="H112" s="20">
        <f>IF('Growth profile'!G174&gt;0,1,IF('Growth profile'!G277&gt;0,3,0))</f>
        <v>3</v>
      </c>
      <c r="I112" s="20">
        <f>IF('Growth profile'!H174&gt;0,1,IF('Growth profile'!H277&gt;0,3,0))</f>
        <v>3</v>
      </c>
      <c r="J112" s="20">
        <f>IF('Growth profile'!I174&gt;0,1,IF('Growth profile'!I277&gt;0,3,0))</f>
        <v>3</v>
      </c>
      <c r="K112" s="20">
        <f>IF('Growth profile'!J174&gt;0,1,IF('Growth profile'!J277&gt;0,3,0))</f>
        <v>3</v>
      </c>
      <c r="L112" s="20">
        <f>IF('Growth profile'!K174&gt;0,1,IF('Growth profile'!K277&gt;0,3,0))</f>
        <v>3</v>
      </c>
      <c r="M112" s="20">
        <f>IF('Growth profile'!L174&gt;0,1,IF('Growth profile'!L277&gt;0,3,0))</f>
        <v>3</v>
      </c>
      <c r="N112" s="20">
        <f>IF('Growth profile'!M174&gt;0,1,IF('Growth profile'!M277&gt;0,3,0))</f>
        <v>3</v>
      </c>
      <c r="O112" s="20">
        <f>IF('Growth profile'!N174&gt;0,1,IF('Growth profile'!N277&gt;0,3,0))</f>
        <v>3</v>
      </c>
      <c r="P112" s="20">
        <f>IF('Growth profile'!O174&gt;0,1,IF('Growth profile'!O277&gt;0,3,0))</f>
        <v>3</v>
      </c>
      <c r="Q112" s="20">
        <f>IF('Growth profile'!P174&gt;0,1,IF('Growth profile'!P277&gt;0,3,0))</f>
        <v>3</v>
      </c>
      <c r="R112" s="20">
        <f>IF('Growth profile'!Q174&gt;0,1,IF('Growth profile'!Q277&gt;0,3,0))</f>
        <v>3</v>
      </c>
      <c r="S112" s="20">
        <f>IF('Growth profile'!R174&gt;0,1,IF('Growth profile'!R277&gt;0,3,0))</f>
        <v>3</v>
      </c>
      <c r="T112" s="20">
        <f>IF('Growth profile'!S174&gt;0,1,IF('Growth profile'!S277&gt;0,3,0))</f>
        <v>3</v>
      </c>
      <c r="U112" s="20">
        <f>IF('Growth profile'!T174&gt;0,1,IF('Growth profile'!T277&gt;0,3,0))</f>
        <v>3</v>
      </c>
      <c r="V112" s="20">
        <f>IF('Growth profile'!U174&gt;0,1,IF('Growth profile'!U277&gt;0,3,0))</f>
        <v>3</v>
      </c>
      <c r="W112" s="20">
        <f>IF('Growth profile'!V174&gt;0,1,IF('Growth profile'!V277&gt;0,3,0))</f>
        <v>3</v>
      </c>
      <c r="X112" s="20">
        <f>IF('Growth profile'!W174&gt;0,1,IF('Growth profile'!W277&gt;0,3,0))</f>
        <v>3</v>
      </c>
      <c r="Y112" s="20">
        <f>IF('Growth profile'!X174&gt;0,1,IF('Growth profile'!X277&gt;0,3,0))</f>
        <v>3</v>
      </c>
      <c r="Z112" s="20">
        <f>IF('Growth profile'!Y174&gt;0,1,IF('Growth profile'!Y277&gt;0,3,0))</f>
        <v>3</v>
      </c>
      <c r="AA112" s="20">
        <f>IF('Growth profile'!Z174&gt;0,1,IF('Growth profile'!Z277&gt;0,3,0))</f>
        <v>3</v>
      </c>
      <c r="AB112" s="20">
        <f>IF('Growth profile'!AA174&gt;0,1,IF('Growth profile'!AA277&gt;0,3,0))</f>
        <v>3</v>
      </c>
      <c r="AC112" s="20">
        <f>IF('Growth profile'!AB174&gt;0,1,IF('Growth profile'!AB277&gt;0,3,0))</f>
        <v>3</v>
      </c>
      <c r="AD112" s="20">
        <f>IF('Growth profile'!AC174&gt;0,1,IF('Growth profile'!AC277&gt;0,3,0))</f>
        <v>3</v>
      </c>
      <c r="AE112" s="20">
        <f>IF('Growth profile'!AD174&gt;0,1,IF('Growth profile'!AD277&gt;0,3,0))</f>
        <v>3</v>
      </c>
      <c r="AF112" s="20">
        <f>IF('Growth profile'!AE174&gt;0,1,IF('Growth profile'!AE277&gt;0,3,0))</f>
        <v>3</v>
      </c>
      <c r="AG112" s="20">
        <f>IF('Growth profile'!AF174&gt;0,1,IF('Growth profile'!AF277&gt;0,3,0))</f>
        <v>3</v>
      </c>
      <c r="AH112" s="20">
        <f>IF('Growth profile'!AG174&gt;0,1,IF('Growth profile'!AG277&gt;0,3,0))</f>
        <v>3</v>
      </c>
      <c r="AI112" s="20">
        <f>IF('Growth profile'!AH174&gt;0,1,IF('Growth profile'!AH277&gt;0,3,0))</f>
        <v>3</v>
      </c>
      <c r="AJ112" s="20">
        <f>IF('Growth profile'!AI174&gt;0,1,IF('Growth profile'!AI277&gt;0,3,0))</f>
        <v>3</v>
      </c>
      <c r="AK112" s="20">
        <f>IF('Growth profile'!AJ174&gt;0,1,IF('Growth profile'!AJ277&gt;0,3,0))</f>
        <v>3</v>
      </c>
      <c r="AL112" s="20">
        <f>IF('Growth profile'!AK174&gt;0,1,IF('Growth profile'!AK277&gt;0,3,0))</f>
        <v>3</v>
      </c>
      <c r="AM112" s="20">
        <f>IF('Growth profile'!AL174&gt;0,1,IF('Growth profile'!AL277&gt;0,3,0))</f>
        <v>3</v>
      </c>
      <c r="AN112" s="20">
        <f>IF('Growth profile'!AM174&gt;0,1,IF('Growth profile'!AM277&gt;0,3,0))</f>
        <v>3</v>
      </c>
      <c r="AO112" s="20">
        <f>IF('Growth profile'!AN174&gt;0,1,IF('Growth profile'!AN277&gt;0,3,0))</f>
        <v>3</v>
      </c>
      <c r="AP112" s="20">
        <f>IF('Growth profile'!AO174&gt;0,1,IF('Growth profile'!AO277&gt;0,3,0))</f>
        <v>3</v>
      </c>
      <c r="AQ112" s="20">
        <f>IF('Growth profile'!AP174&gt;0,1,IF('Growth profile'!AP277&gt;0,3,0))</f>
        <v>3</v>
      </c>
      <c r="AR112" s="20">
        <f>IF('Growth profile'!AQ174&gt;0,1,IF('Growth profile'!AQ277&gt;0,3,0))</f>
        <v>3</v>
      </c>
      <c r="AS112" s="20">
        <f>IF('Growth profile'!AR174&gt;0,1,IF('Growth profile'!AR277&gt;0,3,0))</f>
        <v>3</v>
      </c>
      <c r="AT112" s="20">
        <f>IF('Growth profile'!AS174&gt;0,1,IF('Growth profile'!AS277&gt;0,3,0))</f>
        <v>3</v>
      </c>
      <c r="AU112" s="20">
        <f>IF('Growth profile'!AT174&gt;0,1,IF('Growth profile'!AT277&gt;0,3,0))</f>
        <v>0</v>
      </c>
      <c r="AV112" s="20">
        <f>IF('Growth profile'!AU174&gt;0,1,IF('Growth profile'!AU277&gt;0,3,0))</f>
        <v>0</v>
      </c>
      <c r="AW112" s="20">
        <f>IF('Growth profile'!AV174&gt;0,1,IF('Growth profile'!AV277&gt;0,3,0))</f>
        <v>0</v>
      </c>
      <c r="AX112" s="20">
        <f>IF('Growth profile'!AW174&gt;0,1,IF('Growth profile'!AW277&gt;0,3,0))</f>
        <v>0</v>
      </c>
      <c r="AY112" s="20">
        <f>IF('Growth profile'!AX174&gt;0,1,IF('Growth profile'!AX277&gt;0,3,0))</f>
        <v>0</v>
      </c>
      <c r="AZ112" s="20">
        <f>IF('Growth profile'!AY174&gt;0,1,IF('Growth profile'!AY277&gt;0,3,0))</f>
        <v>0</v>
      </c>
      <c r="BA112" s="20">
        <f>IF('Growth profile'!AZ174&gt;0,1,IF('Growth profile'!AZ277&gt;0,3,0))</f>
        <v>0</v>
      </c>
      <c r="BB112" s="20">
        <f>IF('Growth profile'!BA174&gt;0,1,IF('Growth profile'!BA277&gt;0,3,0))</f>
        <v>0</v>
      </c>
      <c r="BC112" s="20">
        <f>IF('Growth profile'!BB174&gt;0,1,IF('Growth profile'!BB277&gt;0,3,0))</f>
        <v>0</v>
      </c>
      <c r="BD112" s="20">
        <f>IF('Growth profile'!BC174&gt;0,1,IF('Growth profile'!BC277&gt;0,3,0))</f>
        <v>0</v>
      </c>
      <c r="BE112" s="20">
        <f>IF('Growth profile'!BD174&gt;0,1,IF('Growth profile'!BD277&gt;0,3,0))</f>
        <v>0</v>
      </c>
      <c r="BF112" s="20">
        <f>IF('Growth profile'!BE174&gt;0,1,IF('Growth profile'!BE277&gt;0,3,0))</f>
        <v>0</v>
      </c>
      <c r="BG112" s="20">
        <f>IF('Growth profile'!BF174&gt;0,1,IF('Growth profile'!BF277&gt;0,3,0))</f>
        <v>0</v>
      </c>
      <c r="BH112" s="20">
        <f>IF('Growth profile'!BG174&gt;0,1,IF('Growth profile'!BG277&gt;0,3,0))</f>
        <v>0</v>
      </c>
      <c r="BI112" s="20">
        <f>IF('Growth profile'!BH174&gt;0,1,IF('Growth profile'!BH277&gt;0,3,0))</f>
        <v>0</v>
      </c>
      <c r="BJ112" s="20">
        <f>IF('Growth profile'!BI174&gt;0,1,IF('Growth profile'!BI277&gt;0,3,0))</f>
        <v>0</v>
      </c>
      <c r="BK112" s="21">
        <f>IF('Growth profile'!BJ174&gt;0,1,IF('Growth profile'!BJ277&gt;0,3,0))</f>
        <v>0</v>
      </c>
    </row>
    <row r="113" spans="1:63" x14ac:dyDescent="0.3">
      <c r="B113" s="13" t="s">
        <v>59</v>
      </c>
      <c r="C113" s="19">
        <f>'Growth (no penalty)'!I66</f>
        <v>2026</v>
      </c>
      <c r="D113" s="22">
        <f>IF('Growth (no penalty)'!C174&gt;0,1,IF('Growth (no penalty)'!C277&gt;0,4,0))</f>
        <v>1</v>
      </c>
      <c r="E113" s="22">
        <f>IF('Growth (no penalty)'!D174&gt;0,1,IF('Growth (no penalty)'!D277&gt;0,4,0))</f>
        <v>1</v>
      </c>
      <c r="F113" s="22">
        <f>IF('Growth (no penalty)'!E174&gt;0,1,IF('Growth (no penalty)'!E277&gt;0,4,0))</f>
        <v>1</v>
      </c>
      <c r="G113" s="22">
        <f>IF('Growth (no penalty)'!F174&gt;0,1,IF('Growth (no penalty)'!F277&gt;0,4,0))</f>
        <v>4</v>
      </c>
      <c r="H113" s="22">
        <f>IF('Growth (no penalty)'!G174&gt;0,1,IF('Growth (no penalty)'!G277&gt;0,4,0))</f>
        <v>4</v>
      </c>
      <c r="I113" s="22">
        <f>IF('Growth (no penalty)'!H174&gt;0,1,IF('Growth (no penalty)'!H277&gt;0,4,0))</f>
        <v>4</v>
      </c>
      <c r="J113" s="22">
        <f>IF('Growth (no penalty)'!I174&gt;0,1,IF('Growth (no penalty)'!I277&gt;0,4,0))</f>
        <v>4</v>
      </c>
      <c r="K113" s="22">
        <f>IF('Growth (no penalty)'!J174&gt;0,1,IF('Growth (no penalty)'!J277&gt;0,4,0))</f>
        <v>4</v>
      </c>
      <c r="L113" s="22">
        <f>IF('Growth (no penalty)'!K174&gt;0,1,IF('Growth (no penalty)'!K277&gt;0,4,0))</f>
        <v>4</v>
      </c>
      <c r="M113" s="22">
        <f>IF('Growth (no penalty)'!L174&gt;0,1,IF('Growth (no penalty)'!L277&gt;0,4,0))</f>
        <v>4</v>
      </c>
      <c r="N113" s="22">
        <f>IF('Growth (no penalty)'!M174&gt;0,1,IF('Growth (no penalty)'!M277&gt;0,4,0))</f>
        <v>4</v>
      </c>
      <c r="O113" s="22">
        <f>IF('Growth (no penalty)'!N174&gt;0,1,IF('Growth (no penalty)'!N277&gt;0,4,0))</f>
        <v>4</v>
      </c>
      <c r="P113" s="22">
        <f>IF('Growth (no penalty)'!O174&gt;0,1,IF('Growth (no penalty)'!O277&gt;0,4,0))</f>
        <v>4</v>
      </c>
      <c r="Q113" s="22">
        <f>IF('Growth (no penalty)'!P174&gt;0,1,IF('Growth (no penalty)'!P277&gt;0,4,0))</f>
        <v>4</v>
      </c>
      <c r="R113" s="22">
        <f>IF('Growth (no penalty)'!Q174&gt;0,1,IF('Growth (no penalty)'!Q277&gt;0,4,0))</f>
        <v>4</v>
      </c>
      <c r="S113" s="22">
        <f>IF('Growth (no penalty)'!R174&gt;0,1,IF('Growth (no penalty)'!R277&gt;0,4,0))</f>
        <v>4</v>
      </c>
      <c r="T113" s="22">
        <f>IF('Growth (no penalty)'!S174&gt;0,1,IF('Growth (no penalty)'!S277&gt;0,4,0))</f>
        <v>4</v>
      </c>
      <c r="U113" s="22">
        <f>IF('Growth (no penalty)'!T174&gt;0,1,IF('Growth (no penalty)'!T277&gt;0,4,0))</f>
        <v>4</v>
      </c>
      <c r="V113" s="22">
        <f>IF('Growth (no penalty)'!U174&gt;0,1,IF('Growth (no penalty)'!U277&gt;0,4,0))</f>
        <v>4</v>
      </c>
      <c r="W113" s="22">
        <f>IF('Growth (no penalty)'!V174&gt;0,1,IF('Growth (no penalty)'!V277&gt;0,4,0))</f>
        <v>4</v>
      </c>
      <c r="X113" s="22">
        <f>IF('Growth (no penalty)'!W174&gt;0,1,IF('Growth (no penalty)'!W277&gt;0,4,0))</f>
        <v>4</v>
      </c>
      <c r="Y113" s="22">
        <f>IF('Growth (no penalty)'!X174&gt;0,1,IF('Growth (no penalty)'!X277&gt;0,4,0))</f>
        <v>4</v>
      </c>
      <c r="Z113" s="22">
        <f>IF('Growth (no penalty)'!Y174&gt;0,1,IF('Growth (no penalty)'!Y277&gt;0,4,0))</f>
        <v>4</v>
      </c>
      <c r="AA113" s="22">
        <f>IF('Growth (no penalty)'!Z174&gt;0,1,IF('Growth (no penalty)'!Z277&gt;0,4,0))</f>
        <v>4</v>
      </c>
      <c r="AB113" s="22">
        <f>IF('Growth (no penalty)'!AA174&gt;0,1,IF('Growth (no penalty)'!AA277&gt;0,4,0))</f>
        <v>4</v>
      </c>
      <c r="AC113" s="22">
        <f>IF('Growth (no penalty)'!AB174&gt;0,1,IF('Growth (no penalty)'!AB277&gt;0,4,0))</f>
        <v>4</v>
      </c>
      <c r="AD113" s="22">
        <f>IF('Growth (no penalty)'!AC174&gt;0,1,IF('Growth (no penalty)'!AC277&gt;0,4,0))</f>
        <v>4</v>
      </c>
      <c r="AE113" s="22">
        <f>IF('Growth (no penalty)'!AD174&gt;0,1,IF('Growth (no penalty)'!AD277&gt;0,4,0))</f>
        <v>4</v>
      </c>
      <c r="AF113" s="22">
        <f>IF('Growth (no penalty)'!AE174&gt;0,1,IF('Growth (no penalty)'!AE277&gt;0,4,0))</f>
        <v>4</v>
      </c>
      <c r="AG113" s="22">
        <f>IF('Growth (no penalty)'!AF174&gt;0,1,IF('Growth (no penalty)'!AF277&gt;0,4,0))</f>
        <v>4</v>
      </c>
      <c r="AH113" s="22">
        <f>IF('Growth (no penalty)'!AG174&gt;0,1,IF('Growth (no penalty)'!AG277&gt;0,4,0))</f>
        <v>4</v>
      </c>
      <c r="AI113" s="22">
        <f>IF('Growth (no penalty)'!AH174&gt;0,1,IF('Growth (no penalty)'!AH277&gt;0,4,0))</f>
        <v>4</v>
      </c>
      <c r="AJ113" s="22">
        <f>IF('Growth (no penalty)'!AI174&gt;0,1,IF('Growth (no penalty)'!AI277&gt;0,4,0))</f>
        <v>4</v>
      </c>
      <c r="AK113" s="22">
        <f>IF('Growth (no penalty)'!AJ174&gt;0,1,IF('Growth (no penalty)'!AJ277&gt;0,4,0))</f>
        <v>4</v>
      </c>
      <c r="AL113" s="22">
        <f>IF('Growth (no penalty)'!AK174&gt;0,1,IF('Growth (no penalty)'!AK277&gt;0,4,0))</f>
        <v>4</v>
      </c>
      <c r="AM113" s="22">
        <f>IF('Growth (no penalty)'!AL174&gt;0,1,IF('Growth (no penalty)'!AL277&gt;0,4,0))</f>
        <v>4</v>
      </c>
      <c r="AN113" s="22">
        <f>IF('Growth (no penalty)'!AM174&gt;0,1,IF('Growth (no penalty)'!AM277&gt;0,4,0))</f>
        <v>4</v>
      </c>
      <c r="AO113" s="22">
        <f>IF('Growth (no penalty)'!AN174&gt;0,1,IF('Growth (no penalty)'!AN277&gt;0,4,0))</f>
        <v>4</v>
      </c>
      <c r="AP113" s="22">
        <f>IF('Growth (no penalty)'!AO174&gt;0,1,IF('Growth (no penalty)'!AO277&gt;0,4,0))</f>
        <v>4</v>
      </c>
      <c r="AQ113" s="22">
        <f>IF('Growth (no penalty)'!AP174&gt;0,1,IF('Growth (no penalty)'!AP277&gt;0,4,0))</f>
        <v>4</v>
      </c>
      <c r="AR113" s="22">
        <f>IF('Growth (no penalty)'!AQ174&gt;0,1,IF('Growth (no penalty)'!AQ277&gt;0,4,0))</f>
        <v>4</v>
      </c>
      <c r="AS113" s="22">
        <f>IF('Growth (no penalty)'!AR174&gt;0,1,IF('Growth (no penalty)'!AR277&gt;0,4,0))</f>
        <v>4</v>
      </c>
      <c r="AT113" s="22">
        <f>IF('Growth (no penalty)'!AS174&gt;0,1,IF('Growth (no penalty)'!AS277&gt;0,4,0))</f>
        <v>4</v>
      </c>
      <c r="AU113" s="22">
        <f>IF('Growth (no penalty)'!AT174&gt;0,1,IF('Growth (no penalty)'!AT277&gt;0,4,0))</f>
        <v>0</v>
      </c>
      <c r="AV113" s="22">
        <f>IF('Growth (no penalty)'!AU174&gt;0,1,IF('Growth (no penalty)'!AU277&gt;0,4,0))</f>
        <v>0</v>
      </c>
      <c r="AW113" s="22">
        <f>IF('Growth (no penalty)'!AV174&gt;0,1,IF('Growth (no penalty)'!AV277&gt;0,4,0))</f>
        <v>0</v>
      </c>
      <c r="AX113" s="22">
        <f>IF('Growth (no penalty)'!AW174&gt;0,1,IF('Growth (no penalty)'!AW277&gt;0,4,0))</f>
        <v>0</v>
      </c>
      <c r="AY113" s="22">
        <f>IF('Growth (no penalty)'!AX174&gt;0,1,IF('Growth (no penalty)'!AX277&gt;0,4,0))</f>
        <v>0</v>
      </c>
      <c r="AZ113" s="22">
        <f>IF('Growth (no penalty)'!AY174&gt;0,1,IF('Growth (no penalty)'!AY277&gt;0,4,0))</f>
        <v>0</v>
      </c>
      <c r="BA113" s="22">
        <f>IF('Growth (no penalty)'!AZ174&gt;0,1,IF('Growth (no penalty)'!AZ277&gt;0,4,0))</f>
        <v>0</v>
      </c>
      <c r="BB113" s="22">
        <f>IF('Growth (no penalty)'!BA174&gt;0,1,IF('Growth (no penalty)'!BA277&gt;0,4,0))</f>
        <v>0</v>
      </c>
      <c r="BC113" s="22">
        <f>IF('Growth (no penalty)'!BB174&gt;0,1,IF('Growth (no penalty)'!BB277&gt;0,4,0))</f>
        <v>0</v>
      </c>
      <c r="BD113" s="22">
        <f>IF('Growth (no penalty)'!BC174&gt;0,1,IF('Growth (no penalty)'!BC277&gt;0,4,0))</f>
        <v>0</v>
      </c>
      <c r="BE113" s="22">
        <f>IF('Growth (no penalty)'!BD174&gt;0,1,IF('Growth (no penalty)'!BD277&gt;0,4,0))</f>
        <v>0</v>
      </c>
      <c r="BF113" s="22">
        <f>IF('Growth (no penalty)'!BE174&gt;0,1,IF('Growth (no penalty)'!BE277&gt;0,4,0))</f>
        <v>0</v>
      </c>
      <c r="BG113" s="22">
        <f>IF('Growth (no penalty)'!BF174&gt;0,1,IF('Growth (no penalty)'!BF277&gt;0,4,0))</f>
        <v>0</v>
      </c>
      <c r="BH113" s="22">
        <f>IF('Growth (no penalty)'!BG174&gt;0,1,IF('Growth (no penalty)'!BG277&gt;0,4,0))</f>
        <v>0</v>
      </c>
      <c r="BI113" s="22">
        <f>IF('Growth (no penalty)'!BH174&gt;0,1,IF('Growth (no penalty)'!BH277&gt;0,4,0))</f>
        <v>0</v>
      </c>
      <c r="BJ113" s="22">
        <f>IF('Growth (no penalty)'!BI174&gt;0,1,IF('Growth (no penalty)'!BI277&gt;0,4,0))</f>
        <v>0</v>
      </c>
      <c r="BK113" s="23">
        <f>IF('Growth (no penalty)'!BJ174&gt;0,1,IF('Growth (no penalty)'!BJ277&gt;0,4,0))</f>
        <v>0</v>
      </c>
    </row>
    <row r="114" spans="1:63" x14ac:dyDescent="0.3">
      <c r="A114" s="4" t="str">
        <f>'Growth profile'!A65</f>
        <v>project 87</v>
      </c>
      <c r="B114" s="13" t="s">
        <v>3</v>
      </c>
      <c r="C114" s="19">
        <f>'Raw profile'!I65</f>
        <v>2030</v>
      </c>
      <c r="D114" s="20">
        <f>IF('Raw profile'!C173&gt;0,1,IF('Raw profile'!C276&gt;0,2,0))</f>
        <v>0</v>
      </c>
      <c r="E114" s="20">
        <f>IF('Raw profile'!D173&gt;0,1,IF('Raw profile'!D276&gt;0,2,0))</f>
        <v>0</v>
      </c>
      <c r="F114" s="20">
        <f>IF('Raw profile'!E173&gt;0,1,IF('Raw profile'!E276&gt;0,2,0))</f>
        <v>0</v>
      </c>
      <c r="G114" s="20">
        <f>IF('Raw profile'!F173&gt;0,1,IF('Raw profile'!F276&gt;0,2,0))</f>
        <v>0</v>
      </c>
      <c r="H114" s="20">
        <f>IF('Raw profile'!G173&gt;0,1,IF('Raw profile'!G276&gt;0,2,0))</f>
        <v>1</v>
      </c>
      <c r="I114" s="20">
        <f>IF('Raw profile'!H173&gt;0,1,IF('Raw profile'!H276&gt;0,2,0))</f>
        <v>1</v>
      </c>
      <c r="J114" s="20">
        <f>IF('Raw profile'!I173&gt;0,1,IF('Raw profile'!I276&gt;0,2,0))</f>
        <v>1</v>
      </c>
      <c r="K114" s="20">
        <f>IF('Raw profile'!J173&gt;0,1,IF('Raw profile'!J276&gt;0,2,0))</f>
        <v>2</v>
      </c>
      <c r="L114" s="20">
        <f>IF('Raw profile'!K173&gt;0,1,IF('Raw profile'!K276&gt;0,2,0))</f>
        <v>2</v>
      </c>
      <c r="M114" s="20">
        <f>IF('Raw profile'!L173&gt;0,1,IF('Raw profile'!L276&gt;0,2,0))</f>
        <v>2</v>
      </c>
      <c r="N114" s="20">
        <f>IF('Raw profile'!M173&gt;0,1,IF('Raw profile'!M276&gt;0,2,0))</f>
        <v>2</v>
      </c>
      <c r="O114" s="20">
        <f>IF('Raw profile'!N173&gt;0,1,IF('Raw profile'!N276&gt;0,2,0))</f>
        <v>2</v>
      </c>
      <c r="P114" s="20">
        <f>IF('Raw profile'!O173&gt;0,1,IF('Raw profile'!O276&gt;0,2,0))</f>
        <v>2</v>
      </c>
      <c r="Q114" s="20">
        <f>IF('Raw profile'!P173&gt;0,1,IF('Raw profile'!P276&gt;0,2,0))</f>
        <v>2</v>
      </c>
      <c r="R114" s="20">
        <f>IF('Raw profile'!Q173&gt;0,1,IF('Raw profile'!Q276&gt;0,2,0))</f>
        <v>2</v>
      </c>
      <c r="S114" s="20">
        <f>IF('Raw profile'!R173&gt;0,1,IF('Raw profile'!R276&gt;0,2,0))</f>
        <v>2</v>
      </c>
      <c r="T114" s="20">
        <f>IF('Raw profile'!S173&gt;0,1,IF('Raw profile'!S276&gt;0,2,0))</f>
        <v>2</v>
      </c>
      <c r="U114" s="20">
        <f>IF('Raw profile'!T173&gt;0,1,IF('Raw profile'!T276&gt;0,2,0))</f>
        <v>2</v>
      </c>
      <c r="V114" s="20">
        <f>IF('Raw profile'!U173&gt;0,1,IF('Raw profile'!U276&gt;0,2,0))</f>
        <v>2</v>
      </c>
      <c r="W114" s="20">
        <f>IF('Raw profile'!V173&gt;0,1,IF('Raw profile'!V276&gt;0,2,0))</f>
        <v>2</v>
      </c>
      <c r="X114" s="20">
        <f>IF('Raw profile'!W173&gt;0,1,IF('Raw profile'!W276&gt;0,2,0))</f>
        <v>2</v>
      </c>
      <c r="Y114" s="20">
        <f>IF('Raw profile'!X173&gt;0,1,IF('Raw profile'!X276&gt;0,2,0))</f>
        <v>2</v>
      </c>
      <c r="Z114" s="20">
        <f>IF('Raw profile'!Y173&gt;0,1,IF('Raw profile'!Y276&gt;0,2,0))</f>
        <v>2</v>
      </c>
      <c r="AA114" s="20">
        <f>IF('Raw profile'!Z173&gt;0,1,IF('Raw profile'!Z276&gt;0,2,0))</f>
        <v>2</v>
      </c>
      <c r="AB114" s="20">
        <f>IF('Raw profile'!AA173&gt;0,1,IF('Raw profile'!AA276&gt;0,2,0))</f>
        <v>2</v>
      </c>
      <c r="AC114" s="20">
        <f>IF('Raw profile'!AB173&gt;0,1,IF('Raw profile'!AB276&gt;0,2,0))</f>
        <v>2</v>
      </c>
      <c r="AD114" s="20">
        <f>IF('Raw profile'!AC173&gt;0,1,IF('Raw profile'!AC276&gt;0,2,0))</f>
        <v>2</v>
      </c>
      <c r="AE114" s="20">
        <f>IF('Raw profile'!AD173&gt;0,1,IF('Raw profile'!AD276&gt;0,2,0))</f>
        <v>2</v>
      </c>
      <c r="AF114" s="20">
        <f>IF('Raw profile'!AE173&gt;0,1,IF('Raw profile'!AE276&gt;0,2,0))</f>
        <v>2</v>
      </c>
      <c r="AG114" s="20">
        <f>IF('Raw profile'!AF173&gt;0,1,IF('Raw profile'!AF276&gt;0,2,0))</f>
        <v>2</v>
      </c>
      <c r="AH114" s="20">
        <f>IF('Raw profile'!AG173&gt;0,1,IF('Raw profile'!AG276&gt;0,2,0))</f>
        <v>2</v>
      </c>
      <c r="AI114" s="20">
        <f>IF('Raw profile'!AH173&gt;0,1,IF('Raw profile'!AH276&gt;0,2,0))</f>
        <v>2</v>
      </c>
      <c r="AJ114" s="20">
        <f>IF('Raw profile'!AI173&gt;0,1,IF('Raw profile'!AI276&gt;0,2,0))</f>
        <v>2</v>
      </c>
      <c r="AK114" s="20">
        <f>IF('Raw profile'!AJ173&gt;0,1,IF('Raw profile'!AJ276&gt;0,2,0))</f>
        <v>2</v>
      </c>
      <c r="AL114" s="20">
        <f>IF('Raw profile'!AK173&gt;0,1,IF('Raw profile'!AK276&gt;0,2,0))</f>
        <v>2</v>
      </c>
      <c r="AM114" s="20">
        <f>IF('Raw profile'!AL173&gt;0,1,IF('Raw profile'!AL276&gt;0,2,0))</f>
        <v>2</v>
      </c>
      <c r="AN114" s="20">
        <f>IF('Raw profile'!AM173&gt;0,1,IF('Raw profile'!AM276&gt;0,2,0))</f>
        <v>2</v>
      </c>
      <c r="AO114" s="20">
        <f>IF('Raw profile'!AN173&gt;0,1,IF('Raw profile'!AN276&gt;0,2,0))</f>
        <v>2</v>
      </c>
      <c r="AP114" s="20">
        <f>IF('Raw profile'!AO173&gt;0,1,IF('Raw profile'!AO276&gt;0,2,0))</f>
        <v>2</v>
      </c>
      <c r="AQ114" s="20">
        <f>IF('Raw profile'!AP173&gt;0,1,IF('Raw profile'!AP276&gt;0,2,0))</f>
        <v>2</v>
      </c>
      <c r="AR114" s="20">
        <f>IF('Raw profile'!AQ173&gt;0,1,IF('Raw profile'!AQ276&gt;0,2,0))</f>
        <v>2</v>
      </c>
      <c r="AS114" s="20">
        <f>IF('Raw profile'!AR173&gt;0,1,IF('Raw profile'!AR276&gt;0,2,0))</f>
        <v>2</v>
      </c>
      <c r="AT114" s="20">
        <f>IF('Raw profile'!AS173&gt;0,1,IF('Raw profile'!AS276&gt;0,2,0))</f>
        <v>2</v>
      </c>
      <c r="AU114" s="20">
        <f>IF('Raw profile'!AT173&gt;0,1,IF('Raw profile'!AT276&gt;0,2,0))</f>
        <v>2</v>
      </c>
      <c r="AV114" s="20">
        <f>IF('Raw profile'!AU173&gt;0,1,IF('Raw profile'!AU276&gt;0,2,0))</f>
        <v>2</v>
      </c>
      <c r="AW114" s="20">
        <f>IF('Raw profile'!AV173&gt;0,1,IF('Raw profile'!AV276&gt;0,2,0))</f>
        <v>2</v>
      </c>
      <c r="AX114" s="20">
        <f>IF('Raw profile'!AW173&gt;0,1,IF('Raw profile'!AW276&gt;0,2,0))</f>
        <v>2</v>
      </c>
      <c r="AY114" s="20">
        <f>IF('Raw profile'!AX173&gt;0,1,IF('Raw profile'!AX276&gt;0,2,0))</f>
        <v>0</v>
      </c>
      <c r="AZ114" s="20">
        <f>IF('Raw profile'!AY173&gt;0,1,IF('Raw profile'!AY276&gt;0,2,0))</f>
        <v>0</v>
      </c>
      <c r="BA114" s="20">
        <f>IF('Raw profile'!AZ173&gt;0,1,IF('Raw profile'!AZ276&gt;0,2,0))</f>
        <v>0</v>
      </c>
      <c r="BB114" s="20">
        <f>IF('Raw profile'!BA173&gt;0,1,IF('Raw profile'!BA276&gt;0,2,0))</f>
        <v>0</v>
      </c>
      <c r="BC114" s="20">
        <f>IF('Raw profile'!BB173&gt;0,1,IF('Raw profile'!BB276&gt;0,2,0))</f>
        <v>0</v>
      </c>
      <c r="BD114" s="20">
        <f>IF('Raw profile'!BC173&gt;0,1,IF('Raw profile'!BC276&gt;0,2,0))</f>
        <v>0</v>
      </c>
      <c r="BE114" s="20">
        <f>IF('Raw profile'!BD173&gt;0,1,IF('Raw profile'!BD276&gt;0,2,0))</f>
        <v>0</v>
      </c>
      <c r="BF114" s="20">
        <f>IF('Raw profile'!BE173&gt;0,1,IF('Raw profile'!BE276&gt;0,2,0))</f>
        <v>0</v>
      </c>
      <c r="BG114" s="20">
        <f>IF('Raw profile'!BF173&gt;0,1,IF('Raw profile'!BF276&gt;0,2,0))</f>
        <v>0</v>
      </c>
      <c r="BH114" s="20">
        <f>IF('Raw profile'!BG173&gt;0,1,IF('Raw profile'!BG276&gt;0,2,0))</f>
        <v>0</v>
      </c>
      <c r="BI114" s="20">
        <f>IF('Raw profile'!BH173&gt;0,1,IF('Raw profile'!BH276&gt;0,2,0))</f>
        <v>0</v>
      </c>
      <c r="BJ114" s="20">
        <f>IF('Raw profile'!BI173&gt;0,1,IF('Raw profile'!BI276&gt;0,2,0))</f>
        <v>0</v>
      </c>
      <c r="BK114" s="21">
        <f>IF('Raw profile'!BJ173&gt;0,1,IF('Raw profile'!BJ276&gt;0,2,0))</f>
        <v>0</v>
      </c>
    </row>
    <row r="115" spans="1:63" x14ac:dyDescent="0.3">
      <c r="B115" s="13" t="s">
        <v>4</v>
      </c>
      <c r="C115" s="19">
        <f>'Growth profile'!I65</f>
        <v>2037</v>
      </c>
      <c r="D115" s="20">
        <f>IF('Growth profile'!C173&gt;0,1,IF('Growth profile'!C276&gt;0,3,0))</f>
        <v>0</v>
      </c>
      <c r="E115" s="20">
        <f>IF('Growth profile'!D173&gt;0,1,IF('Growth profile'!D276&gt;0,3,0))</f>
        <v>0</v>
      </c>
      <c r="F115" s="20">
        <f>IF('Growth profile'!E173&gt;0,1,IF('Growth profile'!E276&gt;0,3,0))</f>
        <v>0</v>
      </c>
      <c r="G115" s="20">
        <f>IF('Growth profile'!F173&gt;0,1,IF('Growth profile'!F276&gt;0,3,0))</f>
        <v>0</v>
      </c>
      <c r="H115" s="20">
        <f>IF('Growth profile'!G173&gt;0,1,IF('Growth profile'!G276&gt;0,3,0))</f>
        <v>0</v>
      </c>
      <c r="I115" s="20">
        <f>IF('Growth profile'!H173&gt;0,1,IF('Growth profile'!H276&gt;0,3,0))</f>
        <v>0</v>
      </c>
      <c r="J115" s="20">
        <f>IF('Growth profile'!I173&gt;0,1,IF('Growth profile'!I276&gt;0,3,0))</f>
        <v>0</v>
      </c>
      <c r="K115" s="20">
        <f>IF('Growth profile'!J173&gt;0,1,IF('Growth profile'!J276&gt;0,3,0))</f>
        <v>0</v>
      </c>
      <c r="L115" s="20">
        <f>IF('Growth profile'!K173&gt;0,1,IF('Growth profile'!K276&gt;0,3,0))</f>
        <v>0</v>
      </c>
      <c r="M115" s="20">
        <f>IF('Growth profile'!L173&gt;0,1,IF('Growth profile'!L276&gt;0,3,0))</f>
        <v>0</v>
      </c>
      <c r="N115" s="20">
        <f>IF('Growth profile'!M173&gt;0,1,IF('Growth profile'!M276&gt;0,3,0))</f>
        <v>0</v>
      </c>
      <c r="O115" s="20">
        <f>IF('Growth profile'!N173&gt;0,1,IF('Growth profile'!N276&gt;0,3,0))</f>
        <v>1</v>
      </c>
      <c r="P115" s="20">
        <f>IF('Growth profile'!O173&gt;0,1,IF('Growth profile'!O276&gt;0,3,0))</f>
        <v>1</v>
      </c>
      <c r="Q115" s="20">
        <f>IF('Growth profile'!P173&gt;0,1,IF('Growth profile'!P276&gt;0,3,0))</f>
        <v>1</v>
      </c>
      <c r="R115" s="20">
        <f>IF('Growth profile'!Q173&gt;0,1,IF('Growth profile'!Q276&gt;0,3,0))</f>
        <v>3</v>
      </c>
      <c r="S115" s="20">
        <f>IF('Growth profile'!R173&gt;0,1,IF('Growth profile'!R276&gt;0,3,0))</f>
        <v>3</v>
      </c>
      <c r="T115" s="20">
        <f>IF('Growth profile'!S173&gt;0,1,IF('Growth profile'!S276&gt;0,3,0))</f>
        <v>3</v>
      </c>
      <c r="U115" s="20">
        <f>IF('Growth profile'!T173&gt;0,1,IF('Growth profile'!T276&gt;0,3,0))</f>
        <v>3</v>
      </c>
      <c r="V115" s="20">
        <f>IF('Growth profile'!U173&gt;0,1,IF('Growth profile'!U276&gt;0,3,0))</f>
        <v>3</v>
      </c>
      <c r="W115" s="20">
        <f>IF('Growth profile'!V173&gt;0,1,IF('Growth profile'!V276&gt;0,3,0))</f>
        <v>3</v>
      </c>
      <c r="X115" s="20">
        <f>IF('Growth profile'!W173&gt;0,1,IF('Growth profile'!W276&gt;0,3,0))</f>
        <v>3</v>
      </c>
      <c r="Y115" s="20">
        <f>IF('Growth profile'!X173&gt;0,1,IF('Growth profile'!X276&gt;0,3,0))</f>
        <v>3</v>
      </c>
      <c r="Z115" s="20">
        <f>IF('Growth profile'!Y173&gt;0,1,IF('Growth profile'!Y276&gt;0,3,0))</f>
        <v>3</v>
      </c>
      <c r="AA115" s="20">
        <f>IF('Growth profile'!Z173&gt;0,1,IF('Growth profile'!Z276&gt;0,3,0))</f>
        <v>3</v>
      </c>
      <c r="AB115" s="20">
        <f>IF('Growth profile'!AA173&gt;0,1,IF('Growth profile'!AA276&gt;0,3,0))</f>
        <v>3</v>
      </c>
      <c r="AC115" s="20">
        <f>IF('Growth profile'!AB173&gt;0,1,IF('Growth profile'!AB276&gt;0,3,0))</f>
        <v>3</v>
      </c>
      <c r="AD115" s="20">
        <f>IF('Growth profile'!AC173&gt;0,1,IF('Growth profile'!AC276&gt;0,3,0))</f>
        <v>3</v>
      </c>
      <c r="AE115" s="20">
        <f>IF('Growth profile'!AD173&gt;0,1,IF('Growth profile'!AD276&gt;0,3,0))</f>
        <v>3</v>
      </c>
      <c r="AF115" s="20">
        <f>IF('Growth profile'!AE173&gt;0,1,IF('Growth profile'!AE276&gt;0,3,0))</f>
        <v>3</v>
      </c>
      <c r="AG115" s="20">
        <f>IF('Growth profile'!AF173&gt;0,1,IF('Growth profile'!AF276&gt;0,3,0))</f>
        <v>3</v>
      </c>
      <c r="AH115" s="20">
        <f>IF('Growth profile'!AG173&gt;0,1,IF('Growth profile'!AG276&gt;0,3,0))</f>
        <v>3</v>
      </c>
      <c r="AI115" s="20">
        <f>IF('Growth profile'!AH173&gt;0,1,IF('Growth profile'!AH276&gt;0,3,0))</f>
        <v>3</v>
      </c>
      <c r="AJ115" s="20">
        <f>IF('Growth profile'!AI173&gt;0,1,IF('Growth profile'!AI276&gt;0,3,0))</f>
        <v>3</v>
      </c>
      <c r="AK115" s="20">
        <f>IF('Growth profile'!AJ173&gt;0,1,IF('Growth profile'!AJ276&gt;0,3,0))</f>
        <v>3</v>
      </c>
      <c r="AL115" s="20">
        <f>IF('Growth profile'!AK173&gt;0,1,IF('Growth profile'!AK276&gt;0,3,0))</f>
        <v>3</v>
      </c>
      <c r="AM115" s="20">
        <f>IF('Growth profile'!AL173&gt;0,1,IF('Growth profile'!AL276&gt;0,3,0))</f>
        <v>3</v>
      </c>
      <c r="AN115" s="20">
        <f>IF('Growth profile'!AM173&gt;0,1,IF('Growth profile'!AM276&gt;0,3,0))</f>
        <v>3</v>
      </c>
      <c r="AO115" s="20">
        <f>IF('Growth profile'!AN173&gt;0,1,IF('Growth profile'!AN276&gt;0,3,0))</f>
        <v>3</v>
      </c>
      <c r="AP115" s="20">
        <f>IF('Growth profile'!AO173&gt;0,1,IF('Growth profile'!AO276&gt;0,3,0))</f>
        <v>3</v>
      </c>
      <c r="AQ115" s="20">
        <f>IF('Growth profile'!AP173&gt;0,1,IF('Growth profile'!AP276&gt;0,3,0))</f>
        <v>3</v>
      </c>
      <c r="AR115" s="20">
        <f>IF('Growth profile'!AQ173&gt;0,1,IF('Growth profile'!AQ276&gt;0,3,0))</f>
        <v>3</v>
      </c>
      <c r="AS115" s="20">
        <f>IF('Growth profile'!AR173&gt;0,1,IF('Growth profile'!AR276&gt;0,3,0))</f>
        <v>3</v>
      </c>
      <c r="AT115" s="20">
        <f>IF('Growth profile'!AS173&gt;0,1,IF('Growth profile'!AS276&gt;0,3,0))</f>
        <v>3</v>
      </c>
      <c r="AU115" s="20">
        <f>IF('Growth profile'!AT173&gt;0,1,IF('Growth profile'!AT276&gt;0,3,0))</f>
        <v>3</v>
      </c>
      <c r="AV115" s="20">
        <f>IF('Growth profile'!AU173&gt;0,1,IF('Growth profile'!AU276&gt;0,3,0))</f>
        <v>3</v>
      </c>
      <c r="AW115" s="20">
        <f>IF('Growth profile'!AV173&gt;0,1,IF('Growth profile'!AV276&gt;0,3,0))</f>
        <v>3</v>
      </c>
      <c r="AX115" s="20">
        <f>IF('Growth profile'!AW173&gt;0,1,IF('Growth profile'!AW276&gt;0,3,0))</f>
        <v>3</v>
      </c>
      <c r="AY115" s="20">
        <f>IF('Growth profile'!AX173&gt;0,1,IF('Growth profile'!AX276&gt;0,3,0))</f>
        <v>3</v>
      </c>
      <c r="AZ115" s="20">
        <f>IF('Growth profile'!AY173&gt;0,1,IF('Growth profile'!AY276&gt;0,3,0))</f>
        <v>3</v>
      </c>
      <c r="BA115" s="20">
        <f>IF('Growth profile'!AZ173&gt;0,1,IF('Growth profile'!AZ276&gt;0,3,0))</f>
        <v>3</v>
      </c>
      <c r="BB115" s="20">
        <f>IF('Growth profile'!BA173&gt;0,1,IF('Growth profile'!BA276&gt;0,3,0))</f>
        <v>3</v>
      </c>
      <c r="BC115" s="20">
        <f>IF('Growth profile'!BB173&gt;0,1,IF('Growth profile'!BB276&gt;0,3,0))</f>
        <v>3</v>
      </c>
      <c r="BD115" s="20">
        <f>IF('Growth profile'!BC173&gt;0,1,IF('Growth profile'!BC276&gt;0,3,0))</f>
        <v>3</v>
      </c>
      <c r="BE115" s="20">
        <f>IF('Growth profile'!BD173&gt;0,1,IF('Growth profile'!BD276&gt;0,3,0))</f>
        <v>3</v>
      </c>
      <c r="BF115" s="20">
        <f>IF('Growth profile'!BE173&gt;0,1,IF('Growth profile'!BE276&gt;0,3,0))</f>
        <v>0</v>
      </c>
      <c r="BG115" s="20">
        <f>IF('Growth profile'!BF173&gt;0,1,IF('Growth profile'!BF276&gt;0,3,0))</f>
        <v>0</v>
      </c>
      <c r="BH115" s="20">
        <f>IF('Growth profile'!BG173&gt;0,1,IF('Growth profile'!BG276&gt;0,3,0))</f>
        <v>0</v>
      </c>
      <c r="BI115" s="20">
        <f>IF('Growth profile'!BH173&gt;0,1,IF('Growth profile'!BH276&gt;0,3,0))</f>
        <v>0</v>
      </c>
      <c r="BJ115" s="20">
        <f>IF('Growth profile'!BI173&gt;0,1,IF('Growth profile'!BI276&gt;0,3,0))</f>
        <v>0</v>
      </c>
      <c r="BK115" s="21">
        <f>IF('Growth profile'!BJ173&gt;0,1,IF('Growth profile'!BJ276&gt;0,3,0))</f>
        <v>0</v>
      </c>
    </row>
    <row r="116" spans="1:63" x14ac:dyDescent="0.3">
      <c r="B116" s="13" t="s">
        <v>59</v>
      </c>
      <c r="C116" s="19">
        <f>'Growth (no penalty)'!I65</f>
        <v>2043</v>
      </c>
      <c r="D116" s="22">
        <f>IF('Growth (no penalty)'!C173&gt;0,1,IF('Growth (no penalty)'!C276&gt;0,4,0))</f>
        <v>0</v>
      </c>
      <c r="E116" s="22">
        <f>IF('Growth (no penalty)'!D173&gt;0,1,IF('Growth (no penalty)'!D276&gt;0,4,0))</f>
        <v>0</v>
      </c>
      <c r="F116" s="22">
        <f>IF('Growth (no penalty)'!E173&gt;0,1,IF('Growth (no penalty)'!E276&gt;0,4,0))</f>
        <v>0</v>
      </c>
      <c r="G116" s="22">
        <f>IF('Growth (no penalty)'!F173&gt;0,1,IF('Growth (no penalty)'!F276&gt;0,4,0))</f>
        <v>0</v>
      </c>
      <c r="H116" s="22">
        <f>IF('Growth (no penalty)'!G173&gt;0,1,IF('Growth (no penalty)'!G276&gt;0,4,0))</f>
        <v>0</v>
      </c>
      <c r="I116" s="22">
        <f>IF('Growth (no penalty)'!H173&gt;0,1,IF('Growth (no penalty)'!H276&gt;0,4,0))</f>
        <v>0</v>
      </c>
      <c r="J116" s="22">
        <f>IF('Growth (no penalty)'!I173&gt;0,1,IF('Growth (no penalty)'!I276&gt;0,4,0))</f>
        <v>0</v>
      </c>
      <c r="K116" s="22">
        <f>IF('Growth (no penalty)'!J173&gt;0,1,IF('Growth (no penalty)'!J276&gt;0,4,0))</f>
        <v>0</v>
      </c>
      <c r="L116" s="22">
        <f>IF('Growth (no penalty)'!K173&gt;0,1,IF('Growth (no penalty)'!K276&gt;0,4,0))</f>
        <v>0</v>
      </c>
      <c r="M116" s="22">
        <f>IF('Growth (no penalty)'!L173&gt;0,1,IF('Growth (no penalty)'!L276&gt;0,4,0))</f>
        <v>0</v>
      </c>
      <c r="N116" s="22">
        <f>IF('Growth (no penalty)'!M173&gt;0,1,IF('Growth (no penalty)'!M276&gt;0,4,0))</f>
        <v>0</v>
      </c>
      <c r="O116" s="22">
        <f>IF('Growth (no penalty)'!N173&gt;0,1,IF('Growth (no penalty)'!N276&gt;0,4,0))</f>
        <v>0</v>
      </c>
      <c r="P116" s="22">
        <f>IF('Growth (no penalty)'!O173&gt;0,1,IF('Growth (no penalty)'!O276&gt;0,4,0))</f>
        <v>0</v>
      </c>
      <c r="Q116" s="22">
        <f>IF('Growth (no penalty)'!P173&gt;0,1,IF('Growth (no penalty)'!P276&gt;0,4,0))</f>
        <v>0</v>
      </c>
      <c r="R116" s="22">
        <f>IF('Growth (no penalty)'!Q173&gt;0,1,IF('Growth (no penalty)'!Q276&gt;0,4,0))</f>
        <v>0</v>
      </c>
      <c r="S116" s="22">
        <f>IF('Growth (no penalty)'!R173&gt;0,1,IF('Growth (no penalty)'!R276&gt;0,4,0))</f>
        <v>0</v>
      </c>
      <c r="T116" s="22">
        <f>IF('Growth (no penalty)'!S173&gt;0,1,IF('Growth (no penalty)'!S276&gt;0,4,0))</f>
        <v>0</v>
      </c>
      <c r="U116" s="22">
        <f>IF('Growth (no penalty)'!T173&gt;0,1,IF('Growth (no penalty)'!T276&gt;0,4,0))</f>
        <v>1</v>
      </c>
      <c r="V116" s="22">
        <f>IF('Growth (no penalty)'!U173&gt;0,1,IF('Growth (no penalty)'!U276&gt;0,4,0))</f>
        <v>1</v>
      </c>
      <c r="W116" s="22">
        <f>IF('Growth (no penalty)'!V173&gt;0,1,IF('Growth (no penalty)'!V276&gt;0,4,0))</f>
        <v>1</v>
      </c>
      <c r="X116" s="22">
        <f>IF('Growth (no penalty)'!W173&gt;0,1,IF('Growth (no penalty)'!W276&gt;0,4,0))</f>
        <v>4</v>
      </c>
      <c r="Y116" s="22">
        <f>IF('Growth (no penalty)'!X173&gt;0,1,IF('Growth (no penalty)'!X276&gt;0,4,0))</f>
        <v>4</v>
      </c>
      <c r="Z116" s="22">
        <f>IF('Growth (no penalty)'!Y173&gt;0,1,IF('Growth (no penalty)'!Y276&gt;0,4,0))</f>
        <v>4</v>
      </c>
      <c r="AA116" s="22">
        <f>IF('Growth (no penalty)'!Z173&gt;0,1,IF('Growth (no penalty)'!Z276&gt;0,4,0))</f>
        <v>4</v>
      </c>
      <c r="AB116" s="22">
        <f>IF('Growth (no penalty)'!AA173&gt;0,1,IF('Growth (no penalty)'!AA276&gt;0,4,0))</f>
        <v>4</v>
      </c>
      <c r="AC116" s="22">
        <f>IF('Growth (no penalty)'!AB173&gt;0,1,IF('Growth (no penalty)'!AB276&gt;0,4,0))</f>
        <v>4</v>
      </c>
      <c r="AD116" s="22">
        <f>IF('Growth (no penalty)'!AC173&gt;0,1,IF('Growth (no penalty)'!AC276&gt;0,4,0))</f>
        <v>4</v>
      </c>
      <c r="AE116" s="22">
        <f>IF('Growth (no penalty)'!AD173&gt;0,1,IF('Growth (no penalty)'!AD276&gt;0,4,0))</f>
        <v>4</v>
      </c>
      <c r="AF116" s="22">
        <f>IF('Growth (no penalty)'!AE173&gt;0,1,IF('Growth (no penalty)'!AE276&gt;0,4,0))</f>
        <v>4</v>
      </c>
      <c r="AG116" s="22">
        <f>IF('Growth (no penalty)'!AF173&gt;0,1,IF('Growth (no penalty)'!AF276&gt;0,4,0))</f>
        <v>4</v>
      </c>
      <c r="AH116" s="22">
        <f>IF('Growth (no penalty)'!AG173&gt;0,1,IF('Growth (no penalty)'!AG276&gt;0,4,0))</f>
        <v>4</v>
      </c>
      <c r="AI116" s="22">
        <f>IF('Growth (no penalty)'!AH173&gt;0,1,IF('Growth (no penalty)'!AH276&gt;0,4,0))</f>
        <v>4</v>
      </c>
      <c r="AJ116" s="22">
        <f>IF('Growth (no penalty)'!AI173&gt;0,1,IF('Growth (no penalty)'!AI276&gt;0,4,0))</f>
        <v>4</v>
      </c>
      <c r="AK116" s="22">
        <f>IF('Growth (no penalty)'!AJ173&gt;0,1,IF('Growth (no penalty)'!AJ276&gt;0,4,0))</f>
        <v>4</v>
      </c>
      <c r="AL116" s="22">
        <f>IF('Growth (no penalty)'!AK173&gt;0,1,IF('Growth (no penalty)'!AK276&gt;0,4,0))</f>
        <v>4</v>
      </c>
      <c r="AM116" s="22">
        <f>IF('Growth (no penalty)'!AL173&gt;0,1,IF('Growth (no penalty)'!AL276&gt;0,4,0))</f>
        <v>4</v>
      </c>
      <c r="AN116" s="22">
        <f>IF('Growth (no penalty)'!AM173&gt;0,1,IF('Growth (no penalty)'!AM276&gt;0,4,0))</f>
        <v>4</v>
      </c>
      <c r="AO116" s="22">
        <f>IF('Growth (no penalty)'!AN173&gt;0,1,IF('Growth (no penalty)'!AN276&gt;0,4,0))</f>
        <v>4</v>
      </c>
      <c r="AP116" s="22">
        <f>IF('Growth (no penalty)'!AO173&gt;0,1,IF('Growth (no penalty)'!AO276&gt;0,4,0))</f>
        <v>4</v>
      </c>
      <c r="AQ116" s="22">
        <f>IF('Growth (no penalty)'!AP173&gt;0,1,IF('Growth (no penalty)'!AP276&gt;0,4,0))</f>
        <v>4</v>
      </c>
      <c r="AR116" s="22">
        <f>IF('Growth (no penalty)'!AQ173&gt;0,1,IF('Growth (no penalty)'!AQ276&gt;0,4,0))</f>
        <v>4</v>
      </c>
      <c r="AS116" s="22">
        <f>IF('Growth (no penalty)'!AR173&gt;0,1,IF('Growth (no penalty)'!AR276&gt;0,4,0))</f>
        <v>4</v>
      </c>
      <c r="AT116" s="22">
        <f>IF('Growth (no penalty)'!AS173&gt;0,1,IF('Growth (no penalty)'!AS276&gt;0,4,0))</f>
        <v>4</v>
      </c>
      <c r="AU116" s="22">
        <f>IF('Growth (no penalty)'!AT173&gt;0,1,IF('Growth (no penalty)'!AT276&gt;0,4,0))</f>
        <v>4</v>
      </c>
      <c r="AV116" s="22">
        <f>IF('Growth (no penalty)'!AU173&gt;0,1,IF('Growth (no penalty)'!AU276&gt;0,4,0))</f>
        <v>4</v>
      </c>
      <c r="AW116" s="22">
        <f>IF('Growth (no penalty)'!AV173&gt;0,1,IF('Growth (no penalty)'!AV276&gt;0,4,0))</f>
        <v>4</v>
      </c>
      <c r="AX116" s="22">
        <f>IF('Growth (no penalty)'!AW173&gt;0,1,IF('Growth (no penalty)'!AW276&gt;0,4,0))</f>
        <v>4</v>
      </c>
      <c r="AY116" s="22">
        <f>IF('Growth (no penalty)'!AX173&gt;0,1,IF('Growth (no penalty)'!AX276&gt;0,4,0))</f>
        <v>4</v>
      </c>
      <c r="AZ116" s="22">
        <f>IF('Growth (no penalty)'!AY173&gt;0,1,IF('Growth (no penalty)'!AY276&gt;0,4,0))</f>
        <v>4</v>
      </c>
      <c r="BA116" s="22">
        <f>IF('Growth (no penalty)'!AZ173&gt;0,1,IF('Growth (no penalty)'!AZ276&gt;0,4,0))</f>
        <v>4</v>
      </c>
      <c r="BB116" s="22">
        <f>IF('Growth (no penalty)'!BA173&gt;0,1,IF('Growth (no penalty)'!BA276&gt;0,4,0))</f>
        <v>4</v>
      </c>
      <c r="BC116" s="22">
        <f>IF('Growth (no penalty)'!BB173&gt;0,1,IF('Growth (no penalty)'!BB276&gt;0,4,0))</f>
        <v>4</v>
      </c>
      <c r="BD116" s="22">
        <f>IF('Growth (no penalty)'!BC173&gt;0,1,IF('Growth (no penalty)'!BC276&gt;0,4,0))</f>
        <v>4</v>
      </c>
      <c r="BE116" s="22">
        <f>IF('Growth (no penalty)'!BD173&gt;0,1,IF('Growth (no penalty)'!BD276&gt;0,4,0))</f>
        <v>4</v>
      </c>
      <c r="BF116" s="22">
        <f>IF('Growth (no penalty)'!BE173&gt;0,1,IF('Growth (no penalty)'!BE276&gt;0,4,0))</f>
        <v>4</v>
      </c>
      <c r="BG116" s="22">
        <f>IF('Growth (no penalty)'!BF173&gt;0,1,IF('Growth (no penalty)'!BF276&gt;0,4,0))</f>
        <v>4</v>
      </c>
      <c r="BH116" s="22">
        <f>IF('Growth (no penalty)'!BG173&gt;0,1,IF('Growth (no penalty)'!BG276&gt;0,4,0))</f>
        <v>4</v>
      </c>
      <c r="BI116" s="22">
        <f>IF('Growth (no penalty)'!BH173&gt;0,1,IF('Growth (no penalty)'!BH276&gt;0,4,0))</f>
        <v>4</v>
      </c>
      <c r="BJ116" s="22">
        <f>IF('Growth (no penalty)'!BI173&gt;0,1,IF('Growth (no penalty)'!BI276&gt;0,4,0))</f>
        <v>4</v>
      </c>
      <c r="BK116" s="23">
        <f>IF('Growth (no penalty)'!BJ173&gt;0,1,IF('Growth (no penalty)'!BJ276&gt;0,4,0))</f>
        <v>4</v>
      </c>
    </row>
    <row r="117" spans="1:63" x14ac:dyDescent="0.3">
      <c r="A117" s="4" t="str">
        <f>'Growth profile'!A46</f>
        <v>project 41</v>
      </c>
      <c r="B117" s="13" t="s">
        <v>3</v>
      </c>
      <c r="C117" s="19">
        <f>'Raw profile'!I46</f>
        <v>2031</v>
      </c>
      <c r="D117" s="20">
        <f>IF('Raw profile'!C154&gt;0,1,IF('Raw profile'!C257&gt;0,2,0))</f>
        <v>0</v>
      </c>
      <c r="E117" s="20">
        <f>IF('Raw profile'!D154&gt;0,1,IF('Raw profile'!D257&gt;0,2,0))</f>
        <v>0</v>
      </c>
      <c r="F117" s="20">
        <f>IF('Raw profile'!E154&gt;0,1,IF('Raw profile'!E257&gt;0,2,0))</f>
        <v>0</v>
      </c>
      <c r="G117" s="20">
        <f>IF('Raw profile'!F154&gt;0,1,IF('Raw profile'!F257&gt;0,2,0))</f>
        <v>0</v>
      </c>
      <c r="H117" s="20">
        <f>IF('Raw profile'!G154&gt;0,1,IF('Raw profile'!G257&gt;0,2,0))</f>
        <v>0</v>
      </c>
      <c r="I117" s="20">
        <f>IF('Raw profile'!H154&gt;0,1,IF('Raw profile'!H257&gt;0,2,0))</f>
        <v>1</v>
      </c>
      <c r="J117" s="20">
        <f>IF('Raw profile'!I154&gt;0,1,IF('Raw profile'!I257&gt;0,2,0))</f>
        <v>1</v>
      </c>
      <c r="K117" s="20">
        <f>IF('Raw profile'!J154&gt;0,1,IF('Raw profile'!J257&gt;0,2,0))</f>
        <v>2</v>
      </c>
      <c r="L117" s="20">
        <f>IF('Raw profile'!K154&gt;0,1,IF('Raw profile'!K257&gt;0,2,0))</f>
        <v>2</v>
      </c>
      <c r="M117" s="20">
        <f>IF('Raw profile'!L154&gt;0,1,IF('Raw profile'!L257&gt;0,2,0))</f>
        <v>2</v>
      </c>
      <c r="N117" s="20">
        <f>IF('Raw profile'!M154&gt;0,1,IF('Raw profile'!M257&gt;0,2,0))</f>
        <v>2</v>
      </c>
      <c r="O117" s="20">
        <f>IF('Raw profile'!N154&gt;0,1,IF('Raw profile'!N257&gt;0,2,0))</f>
        <v>2</v>
      </c>
      <c r="P117" s="20">
        <f>IF('Raw profile'!O154&gt;0,1,IF('Raw profile'!O257&gt;0,2,0))</f>
        <v>2</v>
      </c>
      <c r="Q117" s="20">
        <f>IF('Raw profile'!P154&gt;0,1,IF('Raw profile'!P257&gt;0,2,0))</f>
        <v>2</v>
      </c>
      <c r="R117" s="20">
        <f>IF('Raw profile'!Q154&gt;0,1,IF('Raw profile'!Q257&gt;0,2,0))</f>
        <v>2</v>
      </c>
      <c r="S117" s="20">
        <f>IF('Raw profile'!R154&gt;0,1,IF('Raw profile'!R257&gt;0,2,0))</f>
        <v>2</v>
      </c>
      <c r="T117" s="20">
        <f>IF('Raw profile'!S154&gt;0,1,IF('Raw profile'!S257&gt;0,2,0))</f>
        <v>2</v>
      </c>
      <c r="U117" s="20">
        <f>IF('Raw profile'!T154&gt;0,1,IF('Raw profile'!T257&gt;0,2,0))</f>
        <v>2</v>
      </c>
      <c r="V117" s="20">
        <f>IF('Raw profile'!U154&gt;0,1,IF('Raw profile'!U257&gt;0,2,0))</f>
        <v>2</v>
      </c>
      <c r="W117" s="20">
        <f>IF('Raw profile'!V154&gt;0,1,IF('Raw profile'!V257&gt;0,2,0))</f>
        <v>2</v>
      </c>
      <c r="X117" s="20">
        <f>IF('Raw profile'!W154&gt;0,1,IF('Raw profile'!W257&gt;0,2,0))</f>
        <v>2</v>
      </c>
      <c r="Y117" s="20">
        <f>IF('Raw profile'!X154&gt;0,1,IF('Raw profile'!X257&gt;0,2,0))</f>
        <v>2</v>
      </c>
      <c r="Z117" s="20">
        <f>IF('Raw profile'!Y154&gt;0,1,IF('Raw profile'!Y257&gt;0,2,0))</f>
        <v>2</v>
      </c>
      <c r="AA117" s="20">
        <f>IF('Raw profile'!Z154&gt;0,1,IF('Raw profile'!Z257&gt;0,2,0))</f>
        <v>2</v>
      </c>
      <c r="AB117" s="20">
        <f>IF('Raw profile'!AA154&gt;0,1,IF('Raw profile'!AA257&gt;0,2,0))</f>
        <v>2</v>
      </c>
      <c r="AC117" s="20">
        <f>IF('Raw profile'!AB154&gt;0,1,IF('Raw profile'!AB257&gt;0,2,0))</f>
        <v>2</v>
      </c>
      <c r="AD117" s="20">
        <f>IF('Raw profile'!AC154&gt;0,1,IF('Raw profile'!AC257&gt;0,2,0))</f>
        <v>2</v>
      </c>
      <c r="AE117" s="20">
        <f>IF('Raw profile'!AD154&gt;0,1,IF('Raw profile'!AD257&gt;0,2,0))</f>
        <v>2</v>
      </c>
      <c r="AF117" s="20">
        <f>IF('Raw profile'!AE154&gt;0,1,IF('Raw profile'!AE257&gt;0,2,0))</f>
        <v>2</v>
      </c>
      <c r="AG117" s="20">
        <f>IF('Raw profile'!AF154&gt;0,1,IF('Raw profile'!AF257&gt;0,2,0))</f>
        <v>2</v>
      </c>
      <c r="AH117" s="20">
        <f>IF('Raw profile'!AG154&gt;0,1,IF('Raw profile'!AG257&gt;0,2,0))</f>
        <v>2</v>
      </c>
      <c r="AI117" s="20">
        <f>IF('Raw profile'!AH154&gt;0,1,IF('Raw profile'!AH257&gt;0,2,0))</f>
        <v>2</v>
      </c>
      <c r="AJ117" s="20">
        <f>IF('Raw profile'!AI154&gt;0,1,IF('Raw profile'!AI257&gt;0,2,0))</f>
        <v>2</v>
      </c>
      <c r="AK117" s="20">
        <f>IF('Raw profile'!AJ154&gt;0,1,IF('Raw profile'!AJ257&gt;0,2,0))</f>
        <v>2</v>
      </c>
      <c r="AL117" s="20">
        <f>IF('Raw profile'!AK154&gt;0,1,IF('Raw profile'!AK257&gt;0,2,0))</f>
        <v>2</v>
      </c>
      <c r="AM117" s="20">
        <f>IF('Raw profile'!AL154&gt;0,1,IF('Raw profile'!AL257&gt;0,2,0))</f>
        <v>2</v>
      </c>
      <c r="AN117" s="20">
        <f>IF('Raw profile'!AM154&gt;0,1,IF('Raw profile'!AM257&gt;0,2,0))</f>
        <v>2</v>
      </c>
      <c r="AO117" s="20">
        <f>IF('Raw profile'!AN154&gt;0,1,IF('Raw profile'!AN257&gt;0,2,0))</f>
        <v>2</v>
      </c>
      <c r="AP117" s="20">
        <f>IF('Raw profile'!AO154&gt;0,1,IF('Raw profile'!AO257&gt;0,2,0))</f>
        <v>2</v>
      </c>
      <c r="AQ117" s="20">
        <f>IF('Raw profile'!AP154&gt;0,1,IF('Raw profile'!AP257&gt;0,2,0))</f>
        <v>2</v>
      </c>
      <c r="AR117" s="20">
        <f>IF('Raw profile'!AQ154&gt;0,1,IF('Raw profile'!AQ257&gt;0,2,0))</f>
        <v>2</v>
      </c>
      <c r="AS117" s="20">
        <f>IF('Raw profile'!AR154&gt;0,1,IF('Raw profile'!AR257&gt;0,2,0))</f>
        <v>2</v>
      </c>
      <c r="AT117" s="20">
        <f>IF('Raw profile'!AS154&gt;0,1,IF('Raw profile'!AS257&gt;0,2,0))</f>
        <v>2</v>
      </c>
      <c r="AU117" s="20">
        <f>IF('Raw profile'!AT154&gt;0,1,IF('Raw profile'!AT257&gt;0,2,0))</f>
        <v>2</v>
      </c>
      <c r="AV117" s="20">
        <f>IF('Raw profile'!AU154&gt;0,1,IF('Raw profile'!AU257&gt;0,2,0))</f>
        <v>2</v>
      </c>
      <c r="AW117" s="20">
        <f>IF('Raw profile'!AV154&gt;0,1,IF('Raw profile'!AV257&gt;0,2,0))</f>
        <v>2</v>
      </c>
      <c r="AX117" s="20">
        <f>IF('Raw profile'!AW154&gt;0,1,IF('Raw profile'!AW257&gt;0,2,0))</f>
        <v>2</v>
      </c>
      <c r="AY117" s="20">
        <f>IF('Raw profile'!AX154&gt;0,1,IF('Raw profile'!AX257&gt;0,2,0))</f>
        <v>0</v>
      </c>
      <c r="AZ117" s="20">
        <f>IF('Raw profile'!AY154&gt;0,1,IF('Raw profile'!AY257&gt;0,2,0))</f>
        <v>0</v>
      </c>
      <c r="BA117" s="20">
        <f>IF('Raw profile'!AZ154&gt;0,1,IF('Raw profile'!AZ257&gt;0,2,0))</f>
        <v>0</v>
      </c>
      <c r="BB117" s="20">
        <f>IF('Raw profile'!BA154&gt;0,1,IF('Raw profile'!BA257&gt;0,2,0))</f>
        <v>0</v>
      </c>
      <c r="BC117" s="20">
        <f>IF('Raw profile'!BB154&gt;0,1,IF('Raw profile'!BB257&gt;0,2,0))</f>
        <v>0</v>
      </c>
      <c r="BD117" s="20">
        <f>IF('Raw profile'!BC154&gt;0,1,IF('Raw profile'!BC257&gt;0,2,0))</f>
        <v>0</v>
      </c>
      <c r="BE117" s="20">
        <f>IF('Raw profile'!BD154&gt;0,1,IF('Raw profile'!BD257&gt;0,2,0))</f>
        <v>0</v>
      </c>
      <c r="BF117" s="20">
        <f>IF('Raw profile'!BE154&gt;0,1,IF('Raw profile'!BE257&gt;0,2,0))</f>
        <v>0</v>
      </c>
      <c r="BG117" s="20">
        <f>IF('Raw profile'!BF154&gt;0,1,IF('Raw profile'!BF257&gt;0,2,0))</f>
        <v>0</v>
      </c>
      <c r="BH117" s="20">
        <f>IF('Raw profile'!BG154&gt;0,1,IF('Raw profile'!BG257&gt;0,2,0))</f>
        <v>0</v>
      </c>
      <c r="BI117" s="20">
        <f>IF('Raw profile'!BH154&gt;0,1,IF('Raw profile'!BH257&gt;0,2,0))</f>
        <v>0</v>
      </c>
      <c r="BJ117" s="20">
        <f>IF('Raw profile'!BI154&gt;0,1,IF('Raw profile'!BI257&gt;0,2,0))</f>
        <v>0</v>
      </c>
      <c r="BK117" s="21">
        <f>IF('Raw profile'!BJ154&gt;0,1,IF('Raw profile'!BJ257&gt;0,2,0))</f>
        <v>0</v>
      </c>
    </row>
    <row r="118" spans="1:63" x14ac:dyDescent="0.3">
      <c r="B118" s="13" t="s">
        <v>4</v>
      </c>
      <c r="C118" s="19">
        <f>'Growth profile'!I46</f>
        <v>2036</v>
      </c>
      <c r="D118" s="20">
        <f>IF('Growth profile'!C154&gt;0,1,IF('Growth profile'!C257&gt;0,3,0))</f>
        <v>0</v>
      </c>
      <c r="E118" s="20">
        <f>IF('Growth profile'!D154&gt;0,1,IF('Growth profile'!D257&gt;0,3,0))</f>
        <v>0</v>
      </c>
      <c r="F118" s="20">
        <f>IF('Growth profile'!E154&gt;0,1,IF('Growth profile'!E257&gt;0,3,0))</f>
        <v>0</v>
      </c>
      <c r="G118" s="20">
        <f>IF('Growth profile'!F154&gt;0,1,IF('Growth profile'!F257&gt;0,3,0))</f>
        <v>0</v>
      </c>
      <c r="H118" s="20">
        <f>IF('Growth profile'!G154&gt;0,1,IF('Growth profile'!G257&gt;0,3,0))</f>
        <v>0</v>
      </c>
      <c r="I118" s="20">
        <f>IF('Growth profile'!H154&gt;0,1,IF('Growth profile'!H257&gt;0,3,0))</f>
        <v>0</v>
      </c>
      <c r="J118" s="20">
        <f>IF('Growth profile'!I154&gt;0,1,IF('Growth profile'!I257&gt;0,3,0))</f>
        <v>0</v>
      </c>
      <c r="K118" s="20">
        <f>IF('Growth profile'!J154&gt;0,1,IF('Growth profile'!J257&gt;0,3,0))</f>
        <v>0</v>
      </c>
      <c r="L118" s="20">
        <f>IF('Growth profile'!K154&gt;0,1,IF('Growth profile'!K257&gt;0,3,0))</f>
        <v>0</v>
      </c>
      <c r="M118" s="20">
        <f>IF('Growth profile'!L154&gt;0,1,IF('Growth profile'!L257&gt;0,3,0))</f>
        <v>0</v>
      </c>
      <c r="N118" s="20">
        <f>IF('Growth profile'!M154&gt;0,1,IF('Growth profile'!M257&gt;0,3,0))</f>
        <v>1</v>
      </c>
      <c r="O118" s="20">
        <f>IF('Growth profile'!N154&gt;0,1,IF('Growth profile'!N257&gt;0,3,0))</f>
        <v>1</v>
      </c>
      <c r="P118" s="20">
        <f>IF('Growth profile'!O154&gt;0,1,IF('Growth profile'!O257&gt;0,3,0))</f>
        <v>3</v>
      </c>
      <c r="Q118" s="20">
        <f>IF('Growth profile'!P154&gt;0,1,IF('Growth profile'!P257&gt;0,3,0))</f>
        <v>3</v>
      </c>
      <c r="R118" s="20">
        <f>IF('Growth profile'!Q154&gt;0,1,IF('Growth profile'!Q257&gt;0,3,0))</f>
        <v>3</v>
      </c>
      <c r="S118" s="20">
        <f>IF('Growth profile'!R154&gt;0,1,IF('Growth profile'!R257&gt;0,3,0))</f>
        <v>3</v>
      </c>
      <c r="T118" s="20">
        <f>IF('Growth profile'!S154&gt;0,1,IF('Growth profile'!S257&gt;0,3,0))</f>
        <v>3</v>
      </c>
      <c r="U118" s="20">
        <f>IF('Growth profile'!T154&gt;0,1,IF('Growth profile'!T257&gt;0,3,0))</f>
        <v>3</v>
      </c>
      <c r="V118" s="20">
        <f>IF('Growth profile'!U154&gt;0,1,IF('Growth profile'!U257&gt;0,3,0))</f>
        <v>3</v>
      </c>
      <c r="W118" s="20">
        <f>IF('Growth profile'!V154&gt;0,1,IF('Growth profile'!V257&gt;0,3,0))</f>
        <v>3</v>
      </c>
      <c r="X118" s="20">
        <f>IF('Growth profile'!W154&gt;0,1,IF('Growth profile'!W257&gt;0,3,0))</f>
        <v>3</v>
      </c>
      <c r="Y118" s="20">
        <f>IF('Growth profile'!X154&gt;0,1,IF('Growth profile'!X257&gt;0,3,0))</f>
        <v>3</v>
      </c>
      <c r="Z118" s="20">
        <f>IF('Growth profile'!Y154&gt;0,1,IF('Growth profile'!Y257&gt;0,3,0))</f>
        <v>3</v>
      </c>
      <c r="AA118" s="20">
        <f>IF('Growth profile'!Z154&gt;0,1,IF('Growth profile'!Z257&gt;0,3,0))</f>
        <v>3</v>
      </c>
      <c r="AB118" s="20">
        <f>IF('Growth profile'!AA154&gt;0,1,IF('Growth profile'!AA257&gt;0,3,0))</f>
        <v>3</v>
      </c>
      <c r="AC118" s="20">
        <f>IF('Growth profile'!AB154&gt;0,1,IF('Growth profile'!AB257&gt;0,3,0))</f>
        <v>3</v>
      </c>
      <c r="AD118" s="20">
        <f>IF('Growth profile'!AC154&gt;0,1,IF('Growth profile'!AC257&gt;0,3,0))</f>
        <v>3</v>
      </c>
      <c r="AE118" s="20">
        <f>IF('Growth profile'!AD154&gt;0,1,IF('Growth profile'!AD257&gt;0,3,0))</f>
        <v>3</v>
      </c>
      <c r="AF118" s="20">
        <f>IF('Growth profile'!AE154&gt;0,1,IF('Growth profile'!AE257&gt;0,3,0))</f>
        <v>3</v>
      </c>
      <c r="AG118" s="20">
        <f>IF('Growth profile'!AF154&gt;0,1,IF('Growth profile'!AF257&gt;0,3,0))</f>
        <v>3</v>
      </c>
      <c r="AH118" s="20">
        <f>IF('Growth profile'!AG154&gt;0,1,IF('Growth profile'!AG257&gt;0,3,0))</f>
        <v>3</v>
      </c>
      <c r="AI118" s="20">
        <f>IF('Growth profile'!AH154&gt;0,1,IF('Growth profile'!AH257&gt;0,3,0))</f>
        <v>3</v>
      </c>
      <c r="AJ118" s="20">
        <f>IF('Growth profile'!AI154&gt;0,1,IF('Growth profile'!AI257&gt;0,3,0))</f>
        <v>3</v>
      </c>
      <c r="AK118" s="20">
        <f>IF('Growth profile'!AJ154&gt;0,1,IF('Growth profile'!AJ257&gt;0,3,0))</f>
        <v>3</v>
      </c>
      <c r="AL118" s="20">
        <f>IF('Growth profile'!AK154&gt;0,1,IF('Growth profile'!AK257&gt;0,3,0))</f>
        <v>3</v>
      </c>
      <c r="AM118" s="20">
        <f>IF('Growth profile'!AL154&gt;0,1,IF('Growth profile'!AL257&gt;0,3,0))</f>
        <v>3</v>
      </c>
      <c r="AN118" s="20">
        <f>IF('Growth profile'!AM154&gt;0,1,IF('Growth profile'!AM257&gt;0,3,0))</f>
        <v>3</v>
      </c>
      <c r="AO118" s="20">
        <f>IF('Growth profile'!AN154&gt;0,1,IF('Growth profile'!AN257&gt;0,3,0))</f>
        <v>3</v>
      </c>
      <c r="AP118" s="20">
        <f>IF('Growth profile'!AO154&gt;0,1,IF('Growth profile'!AO257&gt;0,3,0))</f>
        <v>3</v>
      </c>
      <c r="AQ118" s="20">
        <f>IF('Growth profile'!AP154&gt;0,1,IF('Growth profile'!AP257&gt;0,3,0))</f>
        <v>3</v>
      </c>
      <c r="AR118" s="20">
        <f>IF('Growth profile'!AQ154&gt;0,1,IF('Growth profile'!AQ257&gt;0,3,0))</f>
        <v>3</v>
      </c>
      <c r="AS118" s="20">
        <f>IF('Growth profile'!AR154&gt;0,1,IF('Growth profile'!AR257&gt;0,3,0))</f>
        <v>3</v>
      </c>
      <c r="AT118" s="20">
        <f>IF('Growth profile'!AS154&gt;0,1,IF('Growth profile'!AS257&gt;0,3,0))</f>
        <v>3</v>
      </c>
      <c r="AU118" s="20">
        <f>IF('Growth profile'!AT154&gt;0,1,IF('Growth profile'!AT257&gt;0,3,0))</f>
        <v>3</v>
      </c>
      <c r="AV118" s="20">
        <f>IF('Growth profile'!AU154&gt;0,1,IF('Growth profile'!AU257&gt;0,3,0))</f>
        <v>3</v>
      </c>
      <c r="AW118" s="20">
        <f>IF('Growth profile'!AV154&gt;0,1,IF('Growth profile'!AV257&gt;0,3,0))</f>
        <v>3</v>
      </c>
      <c r="AX118" s="20">
        <f>IF('Growth profile'!AW154&gt;0,1,IF('Growth profile'!AW257&gt;0,3,0))</f>
        <v>3</v>
      </c>
      <c r="AY118" s="20">
        <f>IF('Growth profile'!AX154&gt;0,1,IF('Growth profile'!AX257&gt;0,3,0))</f>
        <v>3</v>
      </c>
      <c r="AZ118" s="20">
        <f>IF('Growth profile'!AY154&gt;0,1,IF('Growth profile'!AY257&gt;0,3,0))</f>
        <v>3</v>
      </c>
      <c r="BA118" s="20">
        <f>IF('Growth profile'!AZ154&gt;0,1,IF('Growth profile'!AZ257&gt;0,3,0))</f>
        <v>3</v>
      </c>
      <c r="BB118" s="20">
        <f>IF('Growth profile'!BA154&gt;0,1,IF('Growth profile'!BA257&gt;0,3,0))</f>
        <v>3</v>
      </c>
      <c r="BC118" s="20">
        <f>IF('Growth profile'!BB154&gt;0,1,IF('Growth profile'!BB257&gt;0,3,0))</f>
        <v>3</v>
      </c>
      <c r="BD118" s="20">
        <f>IF('Growth profile'!BC154&gt;0,1,IF('Growth profile'!BC257&gt;0,3,0))</f>
        <v>0</v>
      </c>
      <c r="BE118" s="20">
        <f>IF('Growth profile'!BD154&gt;0,1,IF('Growth profile'!BD257&gt;0,3,0))</f>
        <v>0</v>
      </c>
      <c r="BF118" s="20">
        <f>IF('Growth profile'!BE154&gt;0,1,IF('Growth profile'!BE257&gt;0,3,0))</f>
        <v>0</v>
      </c>
      <c r="BG118" s="20">
        <f>IF('Growth profile'!BF154&gt;0,1,IF('Growth profile'!BF257&gt;0,3,0))</f>
        <v>0</v>
      </c>
      <c r="BH118" s="20">
        <f>IF('Growth profile'!BG154&gt;0,1,IF('Growth profile'!BG257&gt;0,3,0))</f>
        <v>0</v>
      </c>
      <c r="BI118" s="20">
        <f>IF('Growth profile'!BH154&gt;0,1,IF('Growth profile'!BH257&gt;0,3,0))</f>
        <v>0</v>
      </c>
      <c r="BJ118" s="20">
        <f>IF('Growth profile'!BI154&gt;0,1,IF('Growth profile'!BI257&gt;0,3,0))</f>
        <v>0</v>
      </c>
      <c r="BK118" s="21">
        <f>IF('Growth profile'!BJ154&gt;0,1,IF('Growth profile'!BJ257&gt;0,3,0))</f>
        <v>0</v>
      </c>
    </row>
    <row r="119" spans="1:63" x14ac:dyDescent="0.3">
      <c r="B119" s="13" t="s">
        <v>59</v>
      </c>
      <c r="C119" s="19">
        <f>'Growth (no penalty)'!I46</f>
        <v>2044</v>
      </c>
      <c r="D119" s="22">
        <f>IF('Growth (no penalty)'!C154&gt;0,1,IF('Growth (no penalty)'!C257&gt;0,4,0))</f>
        <v>0</v>
      </c>
      <c r="E119" s="22">
        <f>IF('Growth (no penalty)'!D154&gt;0,1,IF('Growth (no penalty)'!D257&gt;0,4,0))</f>
        <v>0</v>
      </c>
      <c r="F119" s="22">
        <f>IF('Growth (no penalty)'!E154&gt;0,1,IF('Growth (no penalty)'!E257&gt;0,4,0))</f>
        <v>0</v>
      </c>
      <c r="G119" s="22">
        <f>IF('Growth (no penalty)'!F154&gt;0,1,IF('Growth (no penalty)'!F257&gt;0,4,0))</f>
        <v>0</v>
      </c>
      <c r="H119" s="22">
        <f>IF('Growth (no penalty)'!G154&gt;0,1,IF('Growth (no penalty)'!G257&gt;0,4,0))</f>
        <v>0</v>
      </c>
      <c r="I119" s="22">
        <f>IF('Growth (no penalty)'!H154&gt;0,1,IF('Growth (no penalty)'!H257&gt;0,4,0))</f>
        <v>0</v>
      </c>
      <c r="J119" s="22">
        <f>IF('Growth (no penalty)'!I154&gt;0,1,IF('Growth (no penalty)'!I257&gt;0,4,0))</f>
        <v>0</v>
      </c>
      <c r="K119" s="22">
        <f>IF('Growth (no penalty)'!J154&gt;0,1,IF('Growth (no penalty)'!J257&gt;0,4,0))</f>
        <v>0</v>
      </c>
      <c r="L119" s="22">
        <f>IF('Growth (no penalty)'!K154&gt;0,1,IF('Growth (no penalty)'!K257&gt;0,4,0))</f>
        <v>0</v>
      </c>
      <c r="M119" s="22">
        <f>IF('Growth (no penalty)'!L154&gt;0,1,IF('Growth (no penalty)'!L257&gt;0,4,0))</f>
        <v>0</v>
      </c>
      <c r="N119" s="22">
        <f>IF('Growth (no penalty)'!M154&gt;0,1,IF('Growth (no penalty)'!M257&gt;0,4,0))</f>
        <v>0</v>
      </c>
      <c r="O119" s="22">
        <f>IF('Growth (no penalty)'!N154&gt;0,1,IF('Growth (no penalty)'!N257&gt;0,4,0))</f>
        <v>0</v>
      </c>
      <c r="P119" s="22">
        <f>IF('Growth (no penalty)'!O154&gt;0,1,IF('Growth (no penalty)'!O257&gt;0,4,0))</f>
        <v>0</v>
      </c>
      <c r="Q119" s="22">
        <f>IF('Growth (no penalty)'!P154&gt;0,1,IF('Growth (no penalty)'!P257&gt;0,4,0))</f>
        <v>0</v>
      </c>
      <c r="R119" s="22">
        <f>IF('Growth (no penalty)'!Q154&gt;0,1,IF('Growth (no penalty)'!Q257&gt;0,4,0))</f>
        <v>0</v>
      </c>
      <c r="S119" s="22">
        <f>IF('Growth (no penalty)'!R154&gt;0,1,IF('Growth (no penalty)'!R257&gt;0,4,0))</f>
        <v>0</v>
      </c>
      <c r="T119" s="22">
        <f>IF('Growth (no penalty)'!S154&gt;0,1,IF('Growth (no penalty)'!S257&gt;0,4,0))</f>
        <v>0</v>
      </c>
      <c r="U119" s="22">
        <f>IF('Growth (no penalty)'!T154&gt;0,1,IF('Growth (no penalty)'!T257&gt;0,4,0))</f>
        <v>0</v>
      </c>
      <c r="V119" s="22">
        <f>IF('Growth (no penalty)'!U154&gt;0,1,IF('Growth (no penalty)'!U257&gt;0,4,0))</f>
        <v>1</v>
      </c>
      <c r="W119" s="22">
        <f>IF('Growth (no penalty)'!V154&gt;0,1,IF('Growth (no penalty)'!V257&gt;0,4,0))</f>
        <v>1</v>
      </c>
      <c r="X119" s="22">
        <f>IF('Growth (no penalty)'!W154&gt;0,1,IF('Growth (no penalty)'!W257&gt;0,4,0))</f>
        <v>4</v>
      </c>
      <c r="Y119" s="22">
        <f>IF('Growth (no penalty)'!X154&gt;0,1,IF('Growth (no penalty)'!X257&gt;0,4,0))</f>
        <v>4</v>
      </c>
      <c r="Z119" s="22">
        <f>IF('Growth (no penalty)'!Y154&gt;0,1,IF('Growth (no penalty)'!Y257&gt;0,4,0))</f>
        <v>4</v>
      </c>
      <c r="AA119" s="22">
        <f>IF('Growth (no penalty)'!Z154&gt;0,1,IF('Growth (no penalty)'!Z257&gt;0,4,0))</f>
        <v>4</v>
      </c>
      <c r="AB119" s="22">
        <f>IF('Growth (no penalty)'!AA154&gt;0,1,IF('Growth (no penalty)'!AA257&gt;0,4,0))</f>
        <v>4</v>
      </c>
      <c r="AC119" s="22">
        <f>IF('Growth (no penalty)'!AB154&gt;0,1,IF('Growth (no penalty)'!AB257&gt;0,4,0))</f>
        <v>4</v>
      </c>
      <c r="AD119" s="22">
        <f>IF('Growth (no penalty)'!AC154&gt;0,1,IF('Growth (no penalty)'!AC257&gt;0,4,0))</f>
        <v>4</v>
      </c>
      <c r="AE119" s="22">
        <f>IF('Growth (no penalty)'!AD154&gt;0,1,IF('Growth (no penalty)'!AD257&gt;0,4,0))</f>
        <v>4</v>
      </c>
      <c r="AF119" s="22">
        <f>IF('Growth (no penalty)'!AE154&gt;0,1,IF('Growth (no penalty)'!AE257&gt;0,4,0))</f>
        <v>4</v>
      </c>
      <c r="AG119" s="22">
        <f>IF('Growth (no penalty)'!AF154&gt;0,1,IF('Growth (no penalty)'!AF257&gt;0,4,0))</f>
        <v>4</v>
      </c>
      <c r="AH119" s="22">
        <f>IF('Growth (no penalty)'!AG154&gt;0,1,IF('Growth (no penalty)'!AG257&gt;0,4,0))</f>
        <v>4</v>
      </c>
      <c r="AI119" s="22">
        <f>IF('Growth (no penalty)'!AH154&gt;0,1,IF('Growth (no penalty)'!AH257&gt;0,4,0))</f>
        <v>4</v>
      </c>
      <c r="AJ119" s="22">
        <f>IF('Growth (no penalty)'!AI154&gt;0,1,IF('Growth (no penalty)'!AI257&gt;0,4,0))</f>
        <v>4</v>
      </c>
      <c r="AK119" s="22">
        <f>IF('Growth (no penalty)'!AJ154&gt;0,1,IF('Growth (no penalty)'!AJ257&gt;0,4,0))</f>
        <v>4</v>
      </c>
      <c r="AL119" s="22">
        <f>IF('Growth (no penalty)'!AK154&gt;0,1,IF('Growth (no penalty)'!AK257&gt;0,4,0))</f>
        <v>4</v>
      </c>
      <c r="AM119" s="22">
        <f>IF('Growth (no penalty)'!AL154&gt;0,1,IF('Growth (no penalty)'!AL257&gt;0,4,0))</f>
        <v>4</v>
      </c>
      <c r="AN119" s="22">
        <f>IF('Growth (no penalty)'!AM154&gt;0,1,IF('Growth (no penalty)'!AM257&gt;0,4,0))</f>
        <v>4</v>
      </c>
      <c r="AO119" s="22">
        <f>IF('Growth (no penalty)'!AN154&gt;0,1,IF('Growth (no penalty)'!AN257&gt;0,4,0))</f>
        <v>4</v>
      </c>
      <c r="AP119" s="22">
        <f>IF('Growth (no penalty)'!AO154&gt;0,1,IF('Growth (no penalty)'!AO257&gt;0,4,0))</f>
        <v>4</v>
      </c>
      <c r="AQ119" s="22">
        <f>IF('Growth (no penalty)'!AP154&gt;0,1,IF('Growth (no penalty)'!AP257&gt;0,4,0))</f>
        <v>4</v>
      </c>
      <c r="AR119" s="22">
        <f>IF('Growth (no penalty)'!AQ154&gt;0,1,IF('Growth (no penalty)'!AQ257&gt;0,4,0))</f>
        <v>4</v>
      </c>
      <c r="AS119" s="22">
        <f>IF('Growth (no penalty)'!AR154&gt;0,1,IF('Growth (no penalty)'!AR257&gt;0,4,0))</f>
        <v>4</v>
      </c>
      <c r="AT119" s="22">
        <f>IF('Growth (no penalty)'!AS154&gt;0,1,IF('Growth (no penalty)'!AS257&gt;0,4,0))</f>
        <v>4</v>
      </c>
      <c r="AU119" s="22">
        <f>IF('Growth (no penalty)'!AT154&gt;0,1,IF('Growth (no penalty)'!AT257&gt;0,4,0))</f>
        <v>4</v>
      </c>
      <c r="AV119" s="22">
        <f>IF('Growth (no penalty)'!AU154&gt;0,1,IF('Growth (no penalty)'!AU257&gt;0,4,0))</f>
        <v>4</v>
      </c>
      <c r="AW119" s="22">
        <f>IF('Growth (no penalty)'!AV154&gt;0,1,IF('Growth (no penalty)'!AV257&gt;0,4,0))</f>
        <v>4</v>
      </c>
      <c r="AX119" s="22">
        <f>IF('Growth (no penalty)'!AW154&gt;0,1,IF('Growth (no penalty)'!AW257&gt;0,4,0))</f>
        <v>4</v>
      </c>
      <c r="AY119" s="22">
        <f>IF('Growth (no penalty)'!AX154&gt;0,1,IF('Growth (no penalty)'!AX257&gt;0,4,0))</f>
        <v>4</v>
      </c>
      <c r="AZ119" s="22">
        <f>IF('Growth (no penalty)'!AY154&gt;0,1,IF('Growth (no penalty)'!AY257&gt;0,4,0))</f>
        <v>4</v>
      </c>
      <c r="BA119" s="22">
        <f>IF('Growth (no penalty)'!AZ154&gt;0,1,IF('Growth (no penalty)'!AZ257&gt;0,4,0))</f>
        <v>4</v>
      </c>
      <c r="BB119" s="22">
        <f>IF('Growth (no penalty)'!BA154&gt;0,1,IF('Growth (no penalty)'!BA257&gt;0,4,0))</f>
        <v>4</v>
      </c>
      <c r="BC119" s="22">
        <f>IF('Growth (no penalty)'!BB154&gt;0,1,IF('Growth (no penalty)'!BB257&gt;0,4,0))</f>
        <v>4</v>
      </c>
      <c r="BD119" s="22">
        <f>IF('Growth (no penalty)'!BC154&gt;0,1,IF('Growth (no penalty)'!BC257&gt;0,4,0))</f>
        <v>4</v>
      </c>
      <c r="BE119" s="22">
        <f>IF('Growth (no penalty)'!BD154&gt;0,1,IF('Growth (no penalty)'!BD257&gt;0,4,0))</f>
        <v>4</v>
      </c>
      <c r="BF119" s="22">
        <f>IF('Growth (no penalty)'!BE154&gt;0,1,IF('Growth (no penalty)'!BE257&gt;0,4,0))</f>
        <v>4</v>
      </c>
      <c r="BG119" s="22">
        <f>IF('Growth (no penalty)'!BF154&gt;0,1,IF('Growth (no penalty)'!BF257&gt;0,4,0))</f>
        <v>4</v>
      </c>
      <c r="BH119" s="22">
        <f>IF('Growth (no penalty)'!BG154&gt;0,1,IF('Growth (no penalty)'!BG257&gt;0,4,0))</f>
        <v>4</v>
      </c>
      <c r="BI119" s="22">
        <f>IF('Growth (no penalty)'!BH154&gt;0,1,IF('Growth (no penalty)'!BH257&gt;0,4,0))</f>
        <v>4</v>
      </c>
      <c r="BJ119" s="22">
        <f>IF('Growth (no penalty)'!BI154&gt;0,1,IF('Growth (no penalty)'!BI257&gt;0,4,0))</f>
        <v>4</v>
      </c>
      <c r="BK119" s="23">
        <f>IF('Growth (no penalty)'!BJ154&gt;0,1,IF('Growth (no penalty)'!BJ257&gt;0,4,0))</f>
        <v>4</v>
      </c>
    </row>
    <row r="120" spans="1:63" x14ac:dyDescent="0.3">
      <c r="A120" s="4" t="str">
        <f>'Growth profile'!A122</f>
        <v>project 213</v>
      </c>
      <c r="B120" s="13" t="s">
        <v>3</v>
      </c>
      <c r="C120" s="19">
        <f>'Raw profile'!I122</f>
        <v>2031</v>
      </c>
      <c r="D120" s="20">
        <f>IF('Raw profile'!C230&gt;0,1,IF('Raw profile'!C333&gt;0,2,0))</f>
        <v>0</v>
      </c>
      <c r="E120" s="20">
        <f>IF('Raw profile'!D230&gt;0,1,IF('Raw profile'!D333&gt;0,2,0))</f>
        <v>0</v>
      </c>
      <c r="F120" s="20">
        <f>IF('Raw profile'!E230&gt;0,1,IF('Raw profile'!E333&gt;0,2,0))</f>
        <v>0</v>
      </c>
      <c r="G120" s="20">
        <f>IF('Raw profile'!F230&gt;0,1,IF('Raw profile'!F333&gt;0,2,0))</f>
        <v>0</v>
      </c>
      <c r="H120" s="20">
        <f>IF('Raw profile'!G230&gt;0,1,IF('Raw profile'!G333&gt;0,2,0))</f>
        <v>0</v>
      </c>
      <c r="I120" s="20">
        <f>IF('Raw profile'!H230&gt;0,1,IF('Raw profile'!H333&gt;0,2,0))</f>
        <v>1</v>
      </c>
      <c r="J120" s="20">
        <f>IF('Raw profile'!I230&gt;0,1,IF('Raw profile'!I333&gt;0,2,0))</f>
        <v>1</v>
      </c>
      <c r="K120" s="20">
        <f>IF('Raw profile'!J230&gt;0,1,IF('Raw profile'!J333&gt;0,2,0))</f>
        <v>2</v>
      </c>
      <c r="L120" s="20">
        <f>IF('Raw profile'!K230&gt;0,1,IF('Raw profile'!K333&gt;0,2,0))</f>
        <v>2</v>
      </c>
      <c r="M120" s="20">
        <f>IF('Raw profile'!L230&gt;0,1,IF('Raw profile'!L333&gt;0,2,0))</f>
        <v>2</v>
      </c>
      <c r="N120" s="20">
        <f>IF('Raw profile'!M230&gt;0,1,IF('Raw profile'!M333&gt;0,2,0))</f>
        <v>2</v>
      </c>
      <c r="O120" s="20">
        <f>IF('Raw profile'!N230&gt;0,1,IF('Raw profile'!N333&gt;0,2,0))</f>
        <v>2</v>
      </c>
      <c r="P120" s="20">
        <f>IF('Raw profile'!O230&gt;0,1,IF('Raw profile'!O333&gt;0,2,0))</f>
        <v>2</v>
      </c>
      <c r="Q120" s="20">
        <f>IF('Raw profile'!P230&gt;0,1,IF('Raw profile'!P333&gt;0,2,0))</f>
        <v>2</v>
      </c>
      <c r="R120" s="20">
        <f>IF('Raw profile'!Q230&gt;0,1,IF('Raw profile'!Q333&gt;0,2,0))</f>
        <v>2</v>
      </c>
      <c r="S120" s="20">
        <f>IF('Raw profile'!R230&gt;0,1,IF('Raw profile'!R333&gt;0,2,0))</f>
        <v>2</v>
      </c>
      <c r="T120" s="20">
        <f>IF('Raw profile'!S230&gt;0,1,IF('Raw profile'!S333&gt;0,2,0))</f>
        <v>2</v>
      </c>
      <c r="U120" s="20">
        <f>IF('Raw profile'!T230&gt;0,1,IF('Raw profile'!T333&gt;0,2,0))</f>
        <v>2</v>
      </c>
      <c r="V120" s="20">
        <f>IF('Raw profile'!U230&gt;0,1,IF('Raw profile'!U333&gt;0,2,0))</f>
        <v>2</v>
      </c>
      <c r="W120" s="20">
        <f>IF('Raw profile'!V230&gt;0,1,IF('Raw profile'!V333&gt;0,2,0))</f>
        <v>2</v>
      </c>
      <c r="X120" s="20">
        <f>IF('Raw profile'!W230&gt;0,1,IF('Raw profile'!W333&gt;0,2,0))</f>
        <v>2</v>
      </c>
      <c r="Y120" s="20">
        <f>IF('Raw profile'!X230&gt;0,1,IF('Raw profile'!X333&gt;0,2,0))</f>
        <v>2</v>
      </c>
      <c r="Z120" s="20">
        <f>IF('Raw profile'!Y230&gt;0,1,IF('Raw profile'!Y333&gt;0,2,0))</f>
        <v>2</v>
      </c>
      <c r="AA120" s="20">
        <f>IF('Raw profile'!Z230&gt;0,1,IF('Raw profile'!Z333&gt;0,2,0))</f>
        <v>2</v>
      </c>
      <c r="AB120" s="20">
        <f>IF('Raw profile'!AA230&gt;0,1,IF('Raw profile'!AA333&gt;0,2,0))</f>
        <v>2</v>
      </c>
      <c r="AC120" s="20">
        <f>IF('Raw profile'!AB230&gt;0,1,IF('Raw profile'!AB333&gt;0,2,0))</f>
        <v>2</v>
      </c>
      <c r="AD120" s="20">
        <f>IF('Raw profile'!AC230&gt;0,1,IF('Raw profile'!AC333&gt;0,2,0))</f>
        <v>2</v>
      </c>
      <c r="AE120" s="20">
        <f>IF('Raw profile'!AD230&gt;0,1,IF('Raw profile'!AD333&gt;0,2,0))</f>
        <v>2</v>
      </c>
      <c r="AF120" s="20">
        <f>IF('Raw profile'!AE230&gt;0,1,IF('Raw profile'!AE333&gt;0,2,0))</f>
        <v>2</v>
      </c>
      <c r="AG120" s="20">
        <f>IF('Raw profile'!AF230&gt;0,1,IF('Raw profile'!AF333&gt;0,2,0))</f>
        <v>2</v>
      </c>
      <c r="AH120" s="20">
        <f>IF('Raw profile'!AG230&gt;0,1,IF('Raw profile'!AG333&gt;0,2,0))</f>
        <v>2</v>
      </c>
      <c r="AI120" s="20">
        <f>IF('Raw profile'!AH230&gt;0,1,IF('Raw profile'!AH333&gt;0,2,0))</f>
        <v>2</v>
      </c>
      <c r="AJ120" s="20">
        <f>IF('Raw profile'!AI230&gt;0,1,IF('Raw profile'!AI333&gt;0,2,0))</f>
        <v>2</v>
      </c>
      <c r="AK120" s="20">
        <f>IF('Raw profile'!AJ230&gt;0,1,IF('Raw profile'!AJ333&gt;0,2,0))</f>
        <v>2</v>
      </c>
      <c r="AL120" s="20">
        <f>IF('Raw profile'!AK230&gt;0,1,IF('Raw profile'!AK333&gt;0,2,0))</f>
        <v>2</v>
      </c>
      <c r="AM120" s="20">
        <f>IF('Raw profile'!AL230&gt;0,1,IF('Raw profile'!AL333&gt;0,2,0))</f>
        <v>2</v>
      </c>
      <c r="AN120" s="20">
        <f>IF('Raw profile'!AM230&gt;0,1,IF('Raw profile'!AM333&gt;0,2,0))</f>
        <v>2</v>
      </c>
      <c r="AO120" s="20">
        <f>IF('Raw profile'!AN230&gt;0,1,IF('Raw profile'!AN333&gt;0,2,0))</f>
        <v>2</v>
      </c>
      <c r="AP120" s="20">
        <f>IF('Raw profile'!AO230&gt;0,1,IF('Raw profile'!AO333&gt;0,2,0))</f>
        <v>2</v>
      </c>
      <c r="AQ120" s="20">
        <f>IF('Raw profile'!AP230&gt;0,1,IF('Raw profile'!AP333&gt;0,2,0))</f>
        <v>2</v>
      </c>
      <c r="AR120" s="20">
        <f>IF('Raw profile'!AQ230&gt;0,1,IF('Raw profile'!AQ333&gt;0,2,0))</f>
        <v>2</v>
      </c>
      <c r="AS120" s="20">
        <f>IF('Raw profile'!AR230&gt;0,1,IF('Raw profile'!AR333&gt;0,2,0))</f>
        <v>2</v>
      </c>
      <c r="AT120" s="20">
        <f>IF('Raw profile'!AS230&gt;0,1,IF('Raw profile'!AS333&gt;0,2,0))</f>
        <v>2</v>
      </c>
      <c r="AU120" s="20">
        <f>IF('Raw profile'!AT230&gt;0,1,IF('Raw profile'!AT333&gt;0,2,0))</f>
        <v>2</v>
      </c>
      <c r="AV120" s="20">
        <f>IF('Raw profile'!AU230&gt;0,1,IF('Raw profile'!AU333&gt;0,2,0))</f>
        <v>2</v>
      </c>
      <c r="AW120" s="20">
        <f>IF('Raw profile'!AV230&gt;0,1,IF('Raw profile'!AV333&gt;0,2,0))</f>
        <v>2</v>
      </c>
      <c r="AX120" s="20">
        <f>IF('Raw profile'!AW230&gt;0,1,IF('Raw profile'!AW333&gt;0,2,0))</f>
        <v>2</v>
      </c>
      <c r="AY120" s="20">
        <f>IF('Raw profile'!AX230&gt;0,1,IF('Raw profile'!AX333&gt;0,2,0))</f>
        <v>0</v>
      </c>
      <c r="AZ120" s="20">
        <f>IF('Raw profile'!AY230&gt;0,1,IF('Raw profile'!AY333&gt;0,2,0))</f>
        <v>0</v>
      </c>
      <c r="BA120" s="20">
        <f>IF('Raw profile'!AZ230&gt;0,1,IF('Raw profile'!AZ333&gt;0,2,0))</f>
        <v>0</v>
      </c>
      <c r="BB120" s="20">
        <f>IF('Raw profile'!BA230&gt;0,1,IF('Raw profile'!BA333&gt;0,2,0))</f>
        <v>0</v>
      </c>
      <c r="BC120" s="20">
        <f>IF('Raw profile'!BB230&gt;0,1,IF('Raw profile'!BB333&gt;0,2,0))</f>
        <v>0</v>
      </c>
      <c r="BD120" s="20">
        <f>IF('Raw profile'!BC230&gt;0,1,IF('Raw profile'!BC333&gt;0,2,0))</f>
        <v>0</v>
      </c>
      <c r="BE120" s="20">
        <f>IF('Raw profile'!BD230&gt;0,1,IF('Raw profile'!BD333&gt;0,2,0))</f>
        <v>0</v>
      </c>
      <c r="BF120" s="20">
        <f>IF('Raw profile'!BE230&gt;0,1,IF('Raw profile'!BE333&gt;0,2,0))</f>
        <v>0</v>
      </c>
      <c r="BG120" s="20">
        <f>IF('Raw profile'!BF230&gt;0,1,IF('Raw profile'!BF333&gt;0,2,0))</f>
        <v>0</v>
      </c>
      <c r="BH120" s="20">
        <f>IF('Raw profile'!BG230&gt;0,1,IF('Raw profile'!BG333&gt;0,2,0))</f>
        <v>0</v>
      </c>
      <c r="BI120" s="20">
        <f>IF('Raw profile'!BH230&gt;0,1,IF('Raw profile'!BH333&gt;0,2,0))</f>
        <v>0</v>
      </c>
      <c r="BJ120" s="20">
        <f>IF('Raw profile'!BI230&gt;0,1,IF('Raw profile'!BI333&gt;0,2,0))</f>
        <v>0</v>
      </c>
      <c r="BK120" s="21">
        <f>IF('Raw profile'!BJ230&gt;0,1,IF('Raw profile'!BJ333&gt;0,2,0))</f>
        <v>0</v>
      </c>
    </row>
    <row r="121" spans="1:63" x14ac:dyDescent="0.3">
      <c r="B121" s="13" t="s">
        <v>4</v>
      </c>
      <c r="C121" s="19">
        <f>'Growth profile'!I122</f>
        <v>2036</v>
      </c>
      <c r="D121" s="20">
        <f>IF('Growth profile'!C230&gt;0,1,IF('Growth profile'!C333&gt;0,3,0))</f>
        <v>0</v>
      </c>
      <c r="E121" s="20">
        <f>IF('Growth profile'!D230&gt;0,1,IF('Growth profile'!D333&gt;0,3,0))</f>
        <v>0</v>
      </c>
      <c r="F121" s="20">
        <f>IF('Growth profile'!E230&gt;0,1,IF('Growth profile'!E333&gt;0,3,0))</f>
        <v>0</v>
      </c>
      <c r="G121" s="20">
        <f>IF('Growth profile'!F230&gt;0,1,IF('Growth profile'!F333&gt;0,3,0))</f>
        <v>0</v>
      </c>
      <c r="H121" s="20">
        <f>IF('Growth profile'!G230&gt;0,1,IF('Growth profile'!G333&gt;0,3,0))</f>
        <v>0</v>
      </c>
      <c r="I121" s="20">
        <f>IF('Growth profile'!H230&gt;0,1,IF('Growth profile'!H333&gt;0,3,0))</f>
        <v>0</v>
      </c>
      <c r="J121" s="20">
        <f>IF('Growth profile'!I230&gt;0,1,IF('Growth profile'!I333&gt;0,3,0))</f>
        <v>0</v>
      </c>
      <c r="K121" s="20">
        <f>IF('Growth profile'!J230&gt;0,1,IF('Growth profile'!J333&gt;0,3,0))</f>
        <v>0</v>
      </c>
      <c r="L121" s="20">
        <f>IF('Growth profile'!K230&gt;0,1,IF('Growth profile'!K333&gt;0,3,0))</f>
        <v>0</v>
      </c>
      <c r="M121" s="20">
        <f>IF('Growth profile'!L230&gt;0,1,IF('Growth profile'!L333&gt;0,3,0))</f>
        <v>0</v>
      </c>
      <c r="N121" s="20">
        <f>IF('Growth profile'!M230&gt;0,1,IF('Growth profile'!M333&gt;0,3,0))</f>
        <v>1</v>
      </c>
      <c r="O121" s="20">
        <f>IF('Growth profile'!N230&gt;0,1,IF('Growth profile'!N333&gt;0,3,0))</f>
        <v>1</v>
      </c>
      <c r="P121" s="20">
        <f>IF('Growth profile'!O230&gt;0,1,IF('Growth profile'!O333&gt;0,3,0))</f>
        <v>3</v>
      </c>
      <c r="Q121" s="20">
        <f>IF('Growth profile'!P230&gt;0,1,IF('Growth profile'!P333&gt;0,3,0))</f>
        <v>3</v>
      </c>
      <c r="R121" s="20">
        <f>IF('Growth profile'!Q230&gt;0,1,IF('Growth profile'!Q333&gt;0,3,0))</f>
        <v>3</v>
      </c>
      <c r="S121" s="20">
        <f>IF('Growth profile'!R230&gt;0,1,IF('Growth profile'!R333&gt;0,3,0))</f>
        <v>3</v>
      </c>
      <c r="T121" s="20">
        <f>IF('Growth profile'!S230&gt;0,1,IF('Growth profile'!S333&gt;0,3,0))</f>
        <v>3</v>
      </c>
      <c r="U121" s="20">
        <f>IF('Growth profile'!T230&gt;0,1,IF('Growth profile'!T333&gt;0,3,0))</f>
        <v>3</v>
      </c>
      <c r="V121" s="20">
        <f>IF('Growth profile'!U230&gt;0,1,IF('Growth profile'!U333&gt;0,3,0))</f>
        <v>3</v>
      </c>
      <c r="W121" s="20">
        <f>IF('Growth profile'!V230&gt;0,1,IF('Growth profile'!V333&gt;0,3,0))</f>
        <v>3</v>
      </c>
      <c r="X121" s="20">
        <f>IF('Growth profile'!W230&gt;0,1,IF('Growth profile'!W333&gt;0,3,0))</f>
        <v>3</v>
      </c>
      <c r="Y121" s="20">
        <f>IF('Growth profile'!X230&gt;0,1,IF('Growth profile'!X333&gt;0,3,0))</f>
        <v>3</v>
      </c>
      <c r="Z121" s="20">
        <f>IF('Growth profile'!Y230&gt;0,1,IF('Growth profile'!Y333&gt;0,3,0))</f>
        <v>3</v>
      </c>
      <c r="AA121" s="20">
        <f>IF('Growth profile'!Z230&gt;0,1,IF('Growth profile'!Z333&gt;0,3,0))</f>
        <v>3</v>
      </c>
      <c r="AB121" s="20">
        <f>IF('Growth profile'!AA230&gt;0,1,IF('Growth profile'!AA333&gt;0,3,0))</f>
        <v>3</v>
      </c>
      <c r="AC121" s="20">
        <f>IF('Growth profile'!AB230&gt;0,1,IF('Growth profile'!AB333&gt;0,3,0))</f>
        <v>3</v>
      </c>
      <c r="AD121" s="20">
        <f>IF('Growth profile'!AC230&gt;0,1,IF('Growth profile'!AC333&gt;0,3,0))</f>
        <v>3</v>
      </c>
      <c r="AE121" s="20">
        <f>IF('Growth profile'!AD230&gt;0,1,IF('Growth profile'!AD333&gt;0,3,0))</f>
        <v>3</v>
      </c>
      <c r="AF121" s="20">
        <f>IF('Growth profile'!AE230&gt;0,1,IF('Growth profile'!AE333&gt;0,3,0))</f>
        <v>3</v>
      </c>
      <c r="AG121" s="20">
        <f>IF('Growth profile'!AF230&gt;0,1,IF('Growth profile'!AF333&gt;0,3,0))</f>
        <v>3</v>
      </c>
      <c r="AH121" s="20">
        <f>IF('Growth profile'!AG230&gt;0,1,IF('Growth profile'!AG333&gt;0,3,0))</f>
        <v>3</v>
      </c>
      <c r="AI121" s="20">
        <f>IF('Growth profile'!AH230&gt;0,1,IF('Growth profile'!AH333&gt;0,3,0))</f>
        <v>3</v>
      </c>
      <c r="AJ121" s="20">
        <f>IF('Growth profile'!AI230&gt;0,1,IF('Growth profile'!AI333&gt;0,3,0))</f>
        <v>3</v>
      </c>
      <c r="AK121" s="20">
        <f>IF('Growth profile'!AJ230&gt;0,1,IF('Growth profile'!AJ333&gt;0,3,0))</f>
        <v>3</v>
      </c>
      <c r="AL121" s="20">
        <f>IF('Growth profile'!AK230&gt;0,1,IF('Growth profile'!AK333&gt;0,3,0))</f>
        <v>3</v>
      </c>
      <c r="AM121" s="20">
        <f>IF('Growth profile'!AL230&gt;0,1,IF('Growth profile'!AL333&gt;0,3,0))</f>
        <v>3</v>
      </c>
      <c r="AN121" s="20">
        <f>IF('Growth profile'!AM230&gt;0,1,IF('Growth profile'!AM333&gt;0,3,0))</f>
        <v>3</v>
      </c>
      <c r="AO121" s="20">
        <f>IF('Growth profile'!AN230&gt;0,1,IF('Growth profile'!AN333&gt;0,3,0))</f>
        <v>3</v>
      </c>
      <c r="AP121" s="20">
        <f>IF('Growth profile'!AO230&gt;0,1,IF('Growth profile'!AO333&gt;0,3,0))</f>
        <v>3</v>
      </c>
      <c r="AQ121" s="20">
        <f>IF('Growth profile'!AP230&gt;0,1,IF('Growth profile'!AP333&gt;0,3,0))</f>
        <v>3</v>
      </c>
      <c r="AR121" s="20">
        <f>IF('Growth profile'!AQ230&gt;0,1,IF('Growth profile'!AQ333&gt;0,3,0))</f>
        <v>3</v>
      </c>
      <c r="AS121" s="20">
        <f>IF('Growth profile'!AR230&gt;0,1,IF('Growth profile'!AR333&gt;0,3,0))</f>
        <v>3</v>
      </c>
      <c r="AT121" s="20">
        <f>IF('Growth profile'!AS230&gt;0,1,IF('Growth profile'!AS333&gt;0,3,0))</f>
        <v>3</v>
      </c>
      <c r="AU121" s="20">
        <f>IF('Growth profile'!AT230&gt;0,1,IF('Growth profile'!AT333&gt;0,3,0))</f>
        <v>3</v>
      </c>
      <c r="AV121" s="20">
        <f>IF('Growth profile'!AU230&gt;0,1,IF('Growth profile'!AU333&gt;0,3,0))</f>
        <v>3</v>
      </c>
      <c r="AW121" s="20">
        <f>IF('Growth profile'!AV230&gt;0,1,IF('Growth profile'!AV333&gt;0,3,0))</f>
        <v>3</v>
      </c>
      <c r="AX121" s="20">
        <f>IF('Growth profile'!AW230&gt;0,1,IF('Growth profile'!AW333&gt;0,3,0))</f>
        <v>3</v>
      </c>
      <c r="AY121" s="20">
        <f>IF('Growth profile'!AX230&gt;0,1,IF('Growth profile'!AX333&gt;0,3,0))</f>
        <v>3</v>
      </c>
      <c r="AZ121" s="20">
        <f>IF('Growth profile'!AY230&gt;0,1,IF('Growth profile'!AY333&gt;0,3,0))</f>
        <v>3</v>
      </c>
      <c r="BA121" s="20">
        <f>IF('Growth profile'!AZ230&gt;0,1,IF('Growth profile'!AZ333&gt;0,3,0))</f>
        <v>3</v>
      </c>
      <c r="BB121" s="20">
        <f>IF('Growth profile'!BA230&gt;0,1,IF('Growth profile'!BA333&gt;0,3,0))</f>
        <v>3</v>
      </c>
      <c r="BC121" s="20">
        <f>IF('Growth profile'!BB230&gt;0,1,IF('Growth profile'!BB333&gt;0,3,0))</f>
        <v>3</v>
      </c>
      <c r="BD121" s="20">
        <f>IF('Growth profile'!BC230&gt;0,1,IF('Growth profile'!BC333&gt;0,3,0))</f>
        <v>0</v>
      </c>
      <c r="BE121" s="20">
        <f>IF('Growth profile'!BD230&gt;0,1,IF('Growth profile'!BD333&gt;0,3,0))</f>
        <v>0</v>
      </c>
      <c r="BF121" s="20">
        <f>IF('Growth profile'!BE230&gt;0,1,IF('Growth profile'!BE333&gt;0,3,0))</f>
        <v>0</v>
      </c>
      <c r="BG121" s="20">
        <f>IF('Growth profile'!BF230&gt;0,1,IF('Growth profile'!BF333&gt;0,3,0))</f>
        <v>0</v>
      </c>
      <c r="BH121" s="20">
        <f>IF('Growth profile'!BG230&gt;0,1,IF('Growth profile'!BG333&gt;0,3,0))</f>
        <v>0</v>
      </c>
      <c r="BI121" s="20">
        <f>IF('Growth profile'!BH230&gt;0,1,IF('Growth profile'!BH333&gt;0,3,0))</f>
        <v>0</v>
      </c>
      <c r="BJ121" s="20">
        <f>IF('Growth profile'!BI230&gt;0,1,IF('Growth profile'!BI333&gt;0,3,0))</f>
        <v>0</v>
      </c>
      <c r="BK121" s="21">
        <f>IF('Growth profile'!BJ230&gt;0,1,IF('Growth profile'!BJ333&gt;0,3,0))</f>
        <v>0</v>
      </c>
    </row>
    <row r="122" spans="1:63" x14ac:dyDescent="0.3">
      <c r="B122" s="13" t="s">
        <v>59</v>
      </c>
      <c r="C122" s="19">
        <f>'Growth (no penalty)'!I122</f>
        <v>2044</v>
      </c>
      <c r="D122" s="22">
        <f>IF('Growth (no penalty)'!C230&gt;0,1,IF('Growth (no penalty)'!C333&gt;0,4,0))</f>
        <v>0</v>
      </c>
      <c r="E122" s="22">
        <f>IF('Growth (no penalty)'!D230&gt;0,1,IF('Growth (no penalty)'!D333&gt;0,4,0))</f>
        <v>0</v>
      </c>
      <c r="F122" s="22">
        <f>IF('Growth (no penalty)'!E230&gt;0,1,IF('Growth (no penalty)'!E333&gt;0,4,0))</f>
        <v>0</v>
      </c>
      <c r="G122" s="22">
        <f>IF('Growth (no penalty)'!F230&gt;0,1,IF('Growth (no penalty)'!F333&gt;0,4,0))</f>
        <v>0</v>
      </c>
      <c r="H122" s="22">
        <f>IF('Growth (no penalty)'!G230&gt;0,1,IF('Growth (no penalty)'!G333&gt;0,4,0))</f>
        <v>0</v>
      </c>
      <c r="I122" s="22">
        <f>IF('Growth (no penalty)'!H230&gt;0,1,IF('Growth (no penalty)'!H333&gt;0,4,0))</f>
        <v>0</v>
      </c>
      <c r="J122" s="22">
        <f>IF('Growth (no penalty)'!I230&gt;0,1,IF('Growth (no penalty)'!I333&gt;0,4,0))</f>
        <v>0</v>
      </c>
      <c r="K122" s="22">
        <f>IF('Growth (no penalty)'!J230&gt;0,1,IF('Growth (no penalty)'!J333&gt;0,4,0))</f>
        <v>0</v>
      </c>
      <c r="L122" s="22">
        <f>IF('Growth (no penalty)'!K230&gt;0,1,IF('Growth (no penalty)'!K333&gt;0,4,0))</f>
        <v>0</v>
      </c>
      <c r="M122" s="22">
        <f>IF('Growth (no penalty)'!L230&gt;0,1,IF('Growth (no penalty)'!L333&gt;0,4,0))</f>
        <v>0</v>
      </c>
      <c r="N122" s="22">
        <f>IF('Growth (no penalty)'!M230&gt;0,1,IF('Growth (no penalty)'!M333&gt;0,4,0))</f>
        <v>0</v>
      </c>
      <c r="O122" s="22">
        <f>IF('Growth (no penalty)'!N230&gt;0,1,IF('Growth (no penalty)'!N333&gt;0,4,0))</f>
        <v>0</v>
      </c>
      <c r="P122" s="22">
        <f>IF('Growth (no penalty)'!O230&gt;0,1,IF('Growth (no penalty)'!O333&gt;0,4,0))</f>
        <v>0</v>
      </c>
      <c r="Q122" s="22">
        <f>IF('Growth (no penalty)'!P230&gt;0,1,IF('Growth (no penalty)'!P333&gt;0,4,0))</f>
        <v>0</v>
      </c>
      <c r="R122" s="22">
        <f>IF('Growth (no penalty)'!Q230&gt;0,1,IF('Growth (no penalty)'!Q333&gt;0,4,0))</f>
        <v>0</v>
      </c>
      <c r="S122" s="22">
        <f>IF('Growth (no penalty)'!R230&gt;0,1,IF('Growth (no penalty)'!R333&gt;0,4,0))</f>
        <v>0</v>
      </c>
      <c r="T122" s="22">
        <f>IF('Growth (no penalty)'!S230&gt;0,1,IF('Growth (no penalty)'!S333&gt;0,4,0))</f>
        <v>0</v>
      </c>
      <c r="U122" s="22">
        <f>IF('Growth (no penalty)'!T230&gt;0,1,IF('Growth (no penalty)'!T333&gt;0,4,0))</f>
        <v>0</v>
      </c>
      <c r="V122" s="22">
        <f>IF('Growth (no penalty)'!U230&gt;0,1,IF('Growth (no penalty)'!U333&gt;0,4,0))</f>
        <v>1</v>
      </c>
      <c r="W122" s="22">
        <f>IF('Growth (no penalty)'!V230&gt;0,1,IF('Growth (no penalty)'!V333&gt;0,4,0))</f>
        <v>1</v>
      </c>
      <c r="X122" s="22">
        <f>IF('Growth (no penalty)'!W230&gt;0,1,IF('Growth (no penalty)'!W333&gt;0,4,0))</f>
        <v>4</v>
      </c>
      <c r="Y122" s="22">
        <f>IF('Growth (no penalty)'!X230&gt;0,1,IF('Growth (no penalty)'!X333&gt;0,4,0))</f>
        <v>4</v>
      </c>
      <c r="Z122" s="22">
        <f>IF('Growth (no penalty)'!Y230&gt;0,1,IF('Growth (no penalty)'!Y333&gt;0,4,0))</f>
        <v>4</v>
      </c>
      <c r="AA122" s="22">
        <f>IF('Growth (no penalty)'!Z230&gt;0,1,IF('Growth (no penalty)'!Z333&gt;0,4,0))</f>
        <v>4</v>
      </c>
      <c r="AB122" s="22">
        <f>IF('Growth (no penalty)'!AA230&gt;0,1,IF('Growth (no penalty)'!AA333&gt;0,4,0))</f>
        <v>4</v>
      </c>
      <c r="AC122" s="22">
        <f>IF('Growth (no penalty)'!AB230&gt;0,1,IF('Growth (no penalty)'!AB333&gt;0,4,0))</f>
        <v>4</v>
      </c>
      <c r="AD122" s="22">
        <f>IF('Growth (no penalty)'!AC230&gt;0,1,IF('Growth (no penalty)'!AC333&gt;0,4,0))</f>
        <v>4</v>
      </c>
      <c r="AE122" s="22">
        <f>IF('Growth (no penalty)'!AD230&gt;0,1,IF('Growth (no penalty)'!AD333&gt;0,4,0))</f>
        <v>4</v>
      </c>
      <c r="AF122" s="22">
        <f>IF('Growth (no penalty)'!AE230&gt;0,1,IF('Growth (no penalty)'!AE333&gt;0,4,0))</f>
        <v>4</v>
      </c>
      <c r="AG122" s="22">
        <f>IF('Growth (no penalty)'!AF230&gt;0,1,IF('Growth (no penalty)'!AF333&gt;0,4,0))</f>
        <v>4</v>
      </c>
      <c r="AH122" s="22">
        <f>IF('Growth (no penalty)'!AG230&gt;0,1,IF('Growth (no penalty)'!AG333&gt;0,4,0))</f>
        <v>4</v>
      </c>
      <c r="AI122" s="22">
        <f>IF('Growth (no penalty)'!AH230&gt;0,1,IF('Growth (no penalty)'!AH333&gt;0,4,0))</f>
        <v>4</v>
      </c>
      <c r="AJ122" s="22">
        <f>IF('Growth (no penalty)'!AI230&gt;0,1,IF('Growth (no penalty)'!AI333&gt;0,4,0))</f>
        <v>4</v>
      </c>
      <c r="AK122" s="22">
        <f>IF('Growth (no penalty)'!AJ230&gt;0,1,IF('Growth (no penalty)'!AJ333&gt;0,4,0))</f>
        <v>4</v>
      </c>
      <c r="AL122" s="22">
        <f>IF('Growth (no penalty)'!AK230&gt;0,1,IF('Growth (no penalty)'!AK333&gt;0,4,0))</f>
        <v>4</v>
      </c>
      <c r="AM122" s="22">
        <f>IF('Growth (no penalty)'!AL230&gt;0,1,IF('Growth (no penalty)'!AL333&gt;0,4,0))</f>
        <v>4</v>
      </c>
      <c r="AN122" s="22">
        <f>IF('Growth (no penalty)'!AM230&gt;0,1,IF('Growth (no penalty)'!AM333&gt;0,4,0))</f>
        <v>4</v>
      </c>
      <c r="AO122" s="22">
        <f>IF('Growth (no penalty)'!AN230&gt;0,1,IF('Growth (no penalty)'!AN333&gt;0,4,0))</f>
        <v>4</v>
      </c>
      <c r="AP122" s="22">
        <f>IF('Growth (no penalty)'!AO230&gt;0,1,IF('Growth (no penalty)'!AO333&gt;0,4,0))</f>
        <v>4</v>
      </c>
      <c r="AQ122" s="22">
        <f>IF('Growth (no penalty)'!AP230&gt;0,1,IF('Growth (no penalty)'!AP333&gt;0,4,0))</f>
        <v>4</v>
      </c>
      <c r="AR122" s="22">
        <f>IF('Growth (no penalty)'!AQ230&gt;0,1,IF('Growth (no penalty)'!AQ333&gt;0,4,0))</f>
        <v>4</v>
      </c>
      <c r="AS122" s="22">
        <f>IF('Growth (no penalty)'!AR230&gt;0,1,IF('Growth (no penalty)'!AR333&gt;0,4,0))</f>
        <v>4</v>
      </c>
      <c r="AT122" s="22">
        <f>IF('Growth (no penalty)'!AS230&gt;0,1,IF('Growth (no penalty)'!AS333&gt;0,4,0))</f>
        <v>4</v>
      </c>
      <c r="AU122" s="22">
        <f>IF('Growth (no penalty)'!AT230&gt;0,1,IF('Growth (no penalty)'!AT333&gt;0,4,0))</f>
        <v>4</v>
      </c>
      <c r="AV122" s="22">
        <f>IF('Growth (no penalty)'!AU230&gt;0,1,IF('Growth (no penalty)'!AU333&gt;0,4,0))</f>
        <v>4</v>
      </c>
      <c r="AW122" s="22">
        <f>IF('Growth (no penalty)'!AV230&gt;0,1,IF('Growth (no penalty)'!AV333&gt;0,4,0))</f>
        <v>4</v>
      </c>
      <c r="AX122" s="22">
        <f>IF('Growth (no penalty)'!AW230&gt;0,1,IF('Growth (no penalty)'!AW333&gt;0,4,0))</f>
        <v>4</v>
      </c>
      <c r="AY122" s="22">
        <f>IF('Growth (no penalty)'!AX230&gt;0,1,IF('Growth (no penalty)'!AX333&gt;0,4,0))</f>
        <v>4</v>
      </c>
      <c r="AZ122" s="22">
        <f>IF('Growth (no penalty)'!AY230&gt;0,1,IF('Growth (no penalty)'!AY333&gt;0,4,0))</f>
        <v>4</v>
      </c>
      <c r="BA122" s="22">
        <f>IF('Growth (no penalty)'!AZ230&gt;0,1,IF('Growth (no penalty)'!AZ333&gt;0,4,0))</f>
        <v>4</v>
      </c>
      <c r="BB122" s="22">
        <f>IF('Growth (no penalty)'!BA230&gt;0,1,IF('Growth (no penalty)'!BA333&gt;0,4,0))</f>
        <v>4</v>
      </c>
      <c r="BC122" s="22">
        <f>IF('Growth (no penalty)'!BB230&gt;0,1,IF('Growth (no penalty)'!BB333&gt;0,4,0))</f>
        <v>4</v>
      </c>
      <c r="BD122" s="22">
        <f>IF('Growth (no penalty)'!BC230&gt;0,1,IF('Growth (no penalty)'!BC333&gt;0,4,0))</f>
        <v>4</v>
      </c>
      <c r="BE122" s="22">
        <f>IF('Growth (no penalty)'!BD230&gt;0,1,IF('Growth (no penalty)'!BD333&gt;0,4,0))</f>
        <v>4</v>
      </c>
      <c r="BF122" s="22">
        <f>IF('Growth (no penalty)'!BE230&gt;0,1,IF('Growth (no penalty)'!BE333&gt;0,4,0))</f>
        <v>4</v>
      </c>
      <c r="BG122" s="22">
        <f>IF('Growth (no penalty)'!BF230&gt;0,1,IF('Growth (no penalty)'!BF333&gt;0,4,0))</f>
        <v>4</v>
      </c>
      <c r="BH122" s="22">
        <f>IF('Growth (no penalty)'!BG230&gt;0,1,IF('Growth (no penalty)'!BG333&gt;0,4,0))</f>
        <v>4</v>
      </c>
      <c r="BI122" s="22">
        <f>IF('Growth (no penalty)'!BH230&gt;0,1,IF('Growth (no penalty)'!BH333&gt;0,4,0))</f>
        <v>4</v>
      </c>
      <c r="BJ122" s="22">
        <f>IF('Growth (no penalty)'!BI230&gt;0,1,IF('Growth (no penalty)'!BI333&gt;0,4,0))</f>
        <v>4</v>
      </c>
      <c r="BK122" s="23">
        <f>IF('Growth (no penalty)'!BJ230&gt;0,1,IF('Growth (no penalty)'!BJ333&gt;0,4,0))</f>
        <v>4</v>
      </c>
    </row>
    <row r="123" spans="1:63" x14ac:dyDescent="0.3">
      <c r="A123" s="4" t="str">
        <f>'Growth profile'!A47</f>
        <v>project 42</v>
      </c>
      <c r="B123" s="13" t="s">
        <v>3</v>
      </c>
      <c r="C123" s="19">
        <f>'Raw profile'!I47</f>
        <v>2031</v>
      </c>
      <c r="D123" s="20">
        <f>IF('Raw profile'!C155&gt;0,1,IF('Raw profile'!C258&gt;0,2,0))</f>
        <v>0</v>
      </c>
      <c r="E123" s="20">
        <f>IF('Raw profile'!D155&gt;0,1,IF('Raw profile'!D258&gt;0,2,0))</f>
        <v>0</v>
      </c>
      <c r="F123" s="20">
        <f>IF('Raw profile'!E155&gt;0,1,IF('Raw profile'!E258&gt;0,2,0))</f>
        <v>0</v>
      </c>
      <c r="G123" s="20">
        <f>IF('Raw profile'!F155&gt;0,1,IF('Raw profile'!F258&gt;0,2,0))</f>
        <v>0</v>
      </c>
      <c r="H123" s="20">
        <f>IF('Raw profile'!G155&gt;0,1,IF('Raw profile'!G258&gt;0,2,0))</f>
        <v>0</v>
      </c>
      <c r="I123" s="20">
        <f>IF('Raw profile'!H155&gt;0,1,IF('Raw profile'!H258&gt;0,2,0))</f>
        <v>1</v>
      </c>
      <c r="J123" s="20">
        <f>IF('Raw profile'!I155&gt;0,1,IF('Raw profile'!I258&gt;0,2,0))</f>
        <v>2</v>
      </c>
      <c r="K123" s="20">
        <f>IF('Raw profile'!J155&gt;0,1,IF('Raw profile'!J258&gt;0,2,0))</f>
        <v>2</v>
      </c>
      <c r="L123" s="20">
        <f>IF('Raw profile'!K155&gt;0,1,IF('Raw profile'!K258&gt;0,2,0))</f>
        <v>2</v>
      </c>
      <c r="M123" s="20">
        <f>IF('Raw profile'!L155&gt;0,1,IF('Raw profile'!L258&gt;0,2,0))</f>
        <v>2</v>
      </c>
      <c r="N123" s="20">
        <f>IF('Raw profile'!M155&gt;0,1,IF('Raw profile'!M258&gt;0,2,0))</f>
        <v>2</v>
      </c>
      <c r="O123" s="20">
        <f>IF('Raw profile'!N155&gt;0,1,IF('Raw profile'!N258&gt;0,2,0))</f>
        <v>2</v>
      </c>
      <c r="P123" s="20">
        <f>IF('Raw profile'!O155&gt;0,1,IF('Raw profile'!O258&gt;0,2,0))</f>
        <v>2</v>
      </c>
      <c r="Q123" s="20">
        <f>IF('Raw profile'!P155&gt;0,1,IF('Raw profile'!P258&gt;0,2,0))</f>
        <v>2</v>
      </c>
      <c r="R123" s="20">
        <f>IF('Raw profile'!Q155&gt;0,1,IF('Raw profile'!Q258&gt;0,2,0))</f>
        <v>2</v>
      </c>
      <c r="S123" s="20">
        <f>IF('Raw profile'!R155&gt;0,1,IF('Raw profile'!R258&gt;0,2,0))</f>
        <v>2</v>
      </c>
      <c r="T123" s="20">
        <f>IF('Raw profile'!S155&gt;0,1,IF('Raw profile'!S258&gt;0,2,0))</f>
        <v>2</v>
      </c>
      <c r="U123" s="20">
        <f>IF('Raw profile'!T155&gt;0,1,IF('Raw profile'!T258&gt;0,2,0))</f>
        <v>2</v>
      </c>
      <c r="V123" s="20">
        <f>IF('Raw profile'!U155&gt;0,1,IF('Raw profile'!U258&gt;0,2,0))</f>
        <v>2</v>
      </c>
      <c r="W123" s="20">
        <f>IF('Raw profile'!V155&gt;0,1,IF('Raw profile'!V258&gt;0,2,0))</f>
        <v>2</v>
      </c>
      <c r="X123" s="20">
        <f>IF('Raw profile'!W155&gt;0,1,IF('Raw profile'!W258&gt;0,2,0))</f>
        <v>2</v>
      </c>
      <c r="Y123" s="20">
        <f>IF('Raw profile'!X155&gt;0,1,IF('Raw profile'!X258&gt;0,2,0))</f>
        <v>2</v>
      </c>
      <c r="Z123" s="20">
        <f>IF('Raw profile'!Y155&gt;0,1,IF('Raw profile'!Y258&gt;0,2,0))</f>
        <v>2</v>
      </c>
      <c r="AA123" s="20">
        <f>IF('Raw profile'!Z155&gt;0,1,IF('Raw profile'!Z258&gt;0,2,0))</f>
        <v>2</v>
      </c>
      <c r="AB123" s="20">
        <f>IF('Raw profile'!AA155&gt;0,1,IF('Raw profile'!AA258&gt;0,2,0))</f>
        <v>2</v>
      </c>
      <c r="AC123" s="20">
        <f>IF('Raw profile'!AB155&gt;0,1,IF('Raw profile'!AB258&gt;0,2,0))</f>
        <v>2</v>
      </c>
      <c r="AD123" s="20">
        <f>IF('Raw profile'!AC155&gt;0,1,IF('Raw profile'!AC258&gt;0,2,0))</f>
        <v>2</v>
      </c>
      <c r="AE123" s="20">
        <f>IF('Raw profile'!AD155&gt;0,1,IF('Raw profile'!AD258&gt;0,2,0))</f>
        <v>2</v>
      </c>
      <c r="AF123" s="20">
        <f>IF('Raw profile'!AE155&gt;0,1,IF('Raw profile'!AE258&gt;0,2,0))</f>
        <v>2</v>
      </c>
      <c r="AG123" s="20">
        <f>IF('Raw profile'!AF155&gt;0,1,IF('Raw profile'!AF258&gt;0,2,0))</f>
        <v>2</v>
      </c>
      <c r="AH123" s="20">
        <f>IF('Raw profile'!AG155&gt;0,1,IF('Raw profile'!AG258&gt;0,2,0))</f>
        <v>2</v>
      </c>
      <c r="AI123" s="20">
        <f>IF('Raw profile'!AH155&gt;0,1,IF('Raw profile'!AH258&gt;0,2,0))</f>
        <v>2</v>
      </c>
      <c r="AJ123" s="20">
        <f>IF('Raw profile'!AI155&gt;0,1,IF('Raw profile'!AI258&gt;0,2,0))</f>
        <v>2</v>
      </c>
      <c r="AK123" s="20">
        <f>IF('Raw profile'!AJ155&gt;0,1,IF('Raw profile'!AJ258&gt;0,2,0))</f>
        <v>2</v>
      </c>
      <c r="AL123" s="20">
        <f>IF('Raw profile'!AK155&gt;0,1,IF('Raw profile'!AK258&gt;0,2,0))</f>
        <v>2</v>
      </c>
      <c r="AM123" s="20">
        <f>IF('Raw profile'!AL155&gt;0,1,IF('Raw profile'!AL258&gt;0,2,0))</f>
        <v>2</v>
      </c>
      <c r="AN123" s="20">
        <f>IF('Raw profile'!AM155&gt;0,1,IF('Raw profile'!AM258&gt;0,2,0))</f>
        <v>2</v>
      </c>
      <c r="AO123" s="20">
        <f>IF('Raw profile'!AN155&gt;0,1,IF('Raw profile'!AN258&gt;0,2,0))</f>
        <v>2</v>
      </c>
      <c r="AP123" s="20">
        <f>IF('Raw profile'!AO155&gt;0,1,IF('Raw profile'!AO258&gt;0,2,0))</f>
        <v>2</v>
      </c>
      <c r="AQ123" s="20">
        <f>IF('Raw profile'!AP155&gt;0,1,IF('Raw profile'!AP258&gt;0,2,0))</f>
        <v>2</v>
      </c>
      <c r="AR123" s="20">
        <f>IF('Raw profile'!AQ155&gt;0,1,IF('Raw profile'!AQ258&gt;0,2,0))</f>
        <v>2</v>
      </c>
      <c r="AS123" s="20">
        <f>IF('Raw profile'!AR155&gt;0,1,IF('Raw profile'!AR258&gt;0,2,0))</f>
        <v>2</v>
      </c>
      <c r="AT123" s="20">
        <f>IF('Raw profile'!AS155&gt;0,1,IF('Raw profile'!AS258&gt;0,2,0))</f>
        <v>2</v>
      </c>
      <c r="AU123" s="20">
        <f>IF('Raw profile'!AT155&gt;0,1,IF('Raw profile'!AT258&gt;0,2,0))</f>
        <v>2</v>
      </c>
      <c r="AV123" s="20">
        <f>IF('Raw profile'!AU155&gt;0,1,IF('Raw profile'!AU258&gt;0,2,0))</f>
        <v>2</v>
      </c>
      <c r="AW123" s="20">
        <f>IF('Raw profile'!AV155&gt;0,1,IF('Raw profile'!AV258&gt;0,2,0))</f>
        <v>2</v>
      </c>
      <c r="AX123" s="20">
        <f>IF('Raw profile'!AW155&gt;0,1,IF('Raw profile'!AW258&gt;0,2,0))</f>
        <v>0</v>
      </c>
      <c r="AY123" s="20">
        <f>IF('Raw profile'!AX155&gt;0,1,IF('Raw profile'!AX258&gt;0,2,0))</f>
        <v>0</v>
      </c>
      <c r="AZ123" s="20">
        <f>IF('Raw profile'!AY155&gt;0,1,IF('Raw profile'!AY258&gt;0,2,0))</f>
        <v>0</v>
      </c>
      <c r="BA123" s="20">
        <f>IF('Raw profile'!AZ155&gt;0,1,IF('Raw profile'!AZ258&gt;0,2,0))</f>
        <v>0</v>
      </c>
      <c r="BB123" s="20">
        <f>IF('Raw profile'!BA155&gt;0,1,IF('Raw profile'!BA258&gt;0,2,0))</f>
        <v>0</v>
      </c>
      <c r="BC123" s="20">
        <f>IF('Raw profile'!BB155&gt;0,1,IF('Raw profile'!BB258&gt;0,2,0))</f>
        <v>0</v>
      </c>
      <c r="BD123" s="20">
        <f>IF('Raw profile'!BC155&gt;0,1,IF('Raw profile'!BC258&gt;0,2,0))</f>
        <v>0</v>
      </c>
      <c r="BE123" s="20">
        <f>IF('Raw profile'!BD155&gt;0,1,IF('Raw profile'!BD258&gt;0,2,0))</f>
        <v>0</v>
      </c>
      <c r="BF123" s="20">
        <f>IF('Raw profile'!BE155&gt;0,1,IF('Raw profile'!BE258&gt;0,2,0))</f>
        <v>0</v>
      </c>
      <c r="BG123" s="20">
        <f>IF('Raw profile'!BF155&gt;0,1,IF('Raw profile'!BF258&gt;0,2,0))</f>
        <v>0</v>
      </c>
      <c r="BH123" s="20">
        <f>IF('Raw profile'!BG155&gt;0,1,IF('Raw profile'!BG258&gt;0,2,0))</f>
        <v>0</v>
      </c>
      <c r="BI123" s="20">
        <f>IF('Raw profile'!BH155&gt;0,1,IF('Raw profile'!BH258&gt;0,2,0))</f>
        <v>0</v>
      </c>
      <c r="BJ123" s="20">
        <f>IF('Raw profile'!BI155&gt;0,1,IF('Raw profile'!BI258&gt;0,2,0))</f>
        <v>0</v>
      </c>
      <c r="BK123" s="21">
        <f>IF('Raw profile'!BJ155&gt;0,1,IF('Raw profile'!BJ258&gt;0,2,0))</f>
        <v>0</v>
      </c>
    </row>
    <row r="124" spans="1:63" x14ac:dyDescent="0.3">
      <c r="B124" s="13" t="s">
        <v>4</v>
      </c>
      <c r="C124" s="19">
        <f>'Growth profile'!I47</f>
        <v>2037</v>
      </c>
      <c r="D124" s="20">
        <f>IF('Growth profile'!C155&gt;0,1,IF('Growth profile'!C258&gt;0,3,0))</f>
        <v>0</v>
      </c>
      <c r="E124" s="20">
        <f>IF('Growth profile'!D155&gt;0,1,IF('Growth profile'!D258&gt;0,3,0))</f>
        <v>0</v>
      </c>
      <c r="F124" s="20">
        <f>IF('Growth profile'!E155&gt;0,1,IF('Growth profile'!E258&gt;0,3,0))</f>
        <v>0</v>
      </c>
      <c r="G124" s="20">
        <f>IF('Growth profile'!F155&gt;0,1,IF('Growth profile'!F258&gt;0,3,0))</f>
        <v>0</v>
      </c>
      <c r="H124" s="20">
        <f>IF('Growth profile'!G155&gt;0,1,IF('Growth profile'!G258&gt;0,3,0))</f>
        <v>0</v>
      </c>
      <c r="I124" s="20">
        <f>IF('Growth profile'!H155&gt;0,1,IF('Growth profile'!H258&gt;0,3,0))</f>
        <v>0</v>
      </c>
      <c r="J124" s="20">
        <f>IF('Growth profile'!I155&gt;0,1,IF('Growth profile'!I258&gt;0,3,0))</f>
        <v>0</v>
      </c>
      <c r="K124" s="20">
        <f>IF('Growth profile'!J155&gt;0,1,IF('Growth profile'!J258&gt;0,3,0))</f>
        <v>0</v>
      </c>
      <c r="L124" s="20">
        <f>IF('Growth profile'!K155&gt;0,1,IF('Growth profile'!K258&gt;0,3,0))</f>
        <v>0</v>
      </c>
      <c r="M124" s="20">
        <f>IF('Growth profile'!L155&gt;0,1,IF('Growth profile'!L258&gt;0,3,0))</f>
        <v>0</v>
      </c>
      <c r="N124" s="20">
        <f>IF('Growth profile'!M155&gt;0,1,IF('Growth profile'!M258&gt;0,3,0))</f>
        <v>0</v>
      </c>
      <c r="O124" s="20">
        <f>IF('Growth profile'!N155&gt;0,1,IF('Growth profile'!N258&gt;0,3,0))</f>
        <v>1</v>
      </c>
      <c r="P124" s="20">
        <f>IF('Growth profile'!O155&gt;0,1,IF('Growth profile'!O258&gt;0,3,0))</f>
        <v>3</v>
      </c>
      <c r="Q124" s="20">
        <f>IF('Growth profile'!P155&gt;0,1,IF('Growth profile'!P258&gt;0,3,0))</f>
        <v>3</v>
      </c>
      <c r="R124" s="20">
        <f>IF('Growth profile'!Q155&gt;0,1,IF('Growth profile'!Q258&gt;0,3,0))</f>
        <v>3</v>
      </c>
      <c r="S124" s="20">
        <f>IF('Growth profile'!R155&gt;0,1,IF('Growth profile'!R258&gt;0,3,0))</f>
        <v>3</v>
      </c>
      <c r="T124" s="20">
        <f>IF('Growth profile'!S155&gt;0,1,IF('Growth profile'!S258&gt;0,3,0))</f>
        <v>3</v>
      </c>
      <c r="U124" s="20">
        <f>IF('Growth profile'!T155&gt;0,1,IF('Growth profile'!T258&gt;0,3,0))</f>
        <v>3</v>
      </c>
      <c r="V124" s="20">
        <f>IF('Growth profile'!U155&gt;0,1,IF('Growth profile'!U258&gt;0,3,0))</f>
        <v>3</v>
      </c>
      <c r="W124" s="20">
        <f>IF('Growth profile'!V155&gt;0,1,IF('Growth profile'!V258&gt;0,3,0))</f>
        <v>3</v>
      </c>
      <c r="X124" s="20">
        <f>IF('Growth profile'!W155&gt;0,1,IF('Growth profile'!W258&gt;0,3,0))</f>
        <v>3</v>
      </c>
      <c r="Y124" s="20">
        <f>IF('Growth profile'!X155&gt;0,1,IF('Growth profile'!X258&gt;0,3,0))</f>
        <v>3</v>
      </c>
      <c r="Z124" s="20">
        <f>IF('Growth profile'!Y155&gt;0,1,IF('Growth profile'!Y258&gt;0,3,0))</f>
        <v>3</v>
      </c>
      <c r="AA124" s="20">
        <f>IF('Growth profile'!Z155&gt;0,1,IF('Growth profile'!Z258&gt;0,3,0))</f>
        <v>3</v>
      </c>
      <c r="AB124" s="20">
        <f>IF('Growth profile'!AA155&gt;0,1,IF('Growth profile'!AA258&gt;0,3,0))</f>
        <v>3</v>
      </c>
      <c r="AC124" s="20">
        <f>IF('Growth profile'!AB155&gt;0,1,IF('Growth profile'!AB258&gt;0,3,0))</f>
        <v>3</v>
      </c>
      <c r="AD124" s="20">
        <f>IF('Growth profile'!AC155&gt;0,1,IF('Growth profile'!AC258&gt;0,3,0))</f>
        <v>3</v>
      </c>
      <c r="AE124" s="20">
        <f>IF('Growth profile'!AD155&gt;0,1,IF('Growth profile'!AD258&gt;0,3,0))</f>
        <v>3</v>
      </c>
      <c r="AF124" s="20">
        <f>IF('Growth profile'!AE155&gt;0,1,IF('Growth profile'!AE258&gt;0,3,0))</f>
        <v>3</v>
      </c>
      <c r="AG124" s="20">
        <f>IF('Growth profile'!AF155&gt;0,1,IF('Growth profile'!AF258&gt;0,3,0))</f>
        <v>3</v>
      </c>
      <c r="AH124" s="20">
        <f>IF('Growth profile'!AG155&gt;0,1,IF('Growth profile'!AG258&gt;0,3,0))</f>
        <v>3</v>
      </c>
      <c r="AI124" s="20">
        <f>IF('Growth profile'!AH155&gt;0,1,IF('Growth profile'!AH258&gt;0,3,0))</f>
        <v>3</v>
      </c>
      <c r="AJ124" s="20">
        <f>IF('Growth profile'!AI155&gt;0,1,IF('Growth profile'!AI258&gt;0,3,0))</f>
        <v>3</v>
      </c>
      <c r="AK124" s="20">
        <f>IF('Growth profile'!AJ155&gt;0,1,IF('Growth profile'!AJ258&gt;0,3,0))</f>
        <v>3</v>
      </c>
      <c r="AL124" s="20">
        <f>IF('Growth profile'!AK155&gt;0,1,IF('Growth profile'!AK258&gt;0,3,0))</f>
        <v>3</v>
      </c>
      <c r="AM124" s="20">
        <f>IF('Growth profile'!AL155&gt;0,1,IF('Growth profile'!AL258&gt;0,3,0))</f>
        <v>3</v>
      </c>
      <c r="AN124" s="20">
        <f>IF('Growth profile'!AM155&gt;0,1,IF('Growth profile'!AM258&gt;0,3,0))</f>
        <v>3</v>
      </c>
      <c r="AO124" s="20">
        <f>IF('Growth profile'!AN155&gt;0,1,IF('Growth profile'!AN258&gt;0,3,0))</f>
        <v>3</v>
      </c>
      <c r="AP124" s="20">
        <f>IF('Growth profile'!AO155&gt;0,1,IF('Growth profile'!AO258&gt;0,3,0))</f>
        <v>3</v>
      </c>
      <c r="AQ124" s="20">
        <f>IF('Growth profile'!AP155&gt;0,1,IF('Growth profile'!AP258&gt;0,3,0))</f>
        <v>3</v>
      </c>
      <c r="AR124" s="20">
        <f>IF('Growth profile'!AQ155&gt;0,1,IF('Growth profile'!AQ258&gt;0,3,0))</f>
        <v>3</v>
      </c>
      <c r="AS124" s="20">
        <f>IF('Growth profile'!AR155&gt;0,1,IF('Growth profile'!AR258&gt;0,3,0))</f>
        <v>3</v>
      </c>
      <c r="AT124" s="20">
        <f>IF('Growth profile'!AS155&gt;0,1,IF('Growth profile'!AS258&gt;0,3,0))</f>
        <v>3</v>
      </c>
      <c r="AU124" s="20">
        <f>IF('Growth profile'!AT155&gt;0,1,IF('Growth profile'!AT258&gt;0,3,0))</f>
        <v>3</v>
      </c>
      <c r="AV124" s="20">
        <f>IF('Growth profile'!AU155&gt;0,1,IF('Growth profile'!AU258&gt;0,3,0))</f>
        <v>3</v>
      </c>
      <c r="AW124" s="20">
        <f>IF('Growth profile'!AV155&gt;0,1,IF('Growth profile'!AV258&gt;0,3,0))</f>
        <v>3</v>
      </c>
      <c r="AX124" s="20">
        <f>IF('Growth profile'!AW155&gt;0,1,IF('Growth profile'!AW258&gt;0,3,0))</f>
        <v>3</v>
      </c>
      <c r="AY124" s="20">
        <f>IF('Growth profile'!AX155&gt;0,1,IF('Growth profile'!AX258&gt;0,3,0))</f>
        <v>3</v>
      </c>
      <c r="AZ124" s="20">
        <f>IF('Growth profile'!AY155&gt;0,1,IF('Growth profile'!AY258&gt;0,3,0))</f>
        <v>3</v>
      </c>
      <c r="BA124" s="20">
        <f>IF('Growth profile'!AZ155&gt;0,1,IF('Growth profile'!AZ258&gt;0,3,0))</f>
        <v>3</v>
      </c>
      <c r="BB124" s="20">
        <f>IF('Growth profile'!BA155&gt;0,1,IF('Growth profile'!BA258&gt;0,3,0))</f>
        <v>3</v>
      </c>
      <c r="BC124" s="20">
        <f>IF('Growth profile'!BB155&gt;0,1,IF('Growth profile'!BB258&gt;0,3,0))</f>
        <v>3</v>
      </c>
      <c r="BD124" s="20">
        <f>IF('Growth profile'!BC155&gt;0,1,IF('Growth profile'!BC258&gt;0,3,0))</f>
        <v>0</v>
      </c>
      <c r="BE124" s="20">
        <f>IF('Growth profile'!BD155&gt;0,1,IF('Growth profile'!BD258&gt;0,3,0))</f>
        <v>0</v>
      </c>
      <c r="BF124" s="20">
        <f>IF('Growth profile'!BE155&gt;0,1,IF('Growth profile'!BE258&gt;0,3,0))</f>
        <v>0</v>
      </c>
      <c r="BG124" s="20">
        <f>IF('Growth profile'!BF155&gt;0,1,IF('Growth profile'!BF258&gt;0,3,0))</f>
        <v>0</v>
      </c>
      <c r="BH124" s="20">
        <f>IF('Growth profile'!BG155&gt;0,1,IF('Growth profile'!BG258&gt;0,3,0))</f>
        <v>0</v>
      </c>
      <c r="BI124" s="20">
        <f>IF('Growth profile'!BH155&gt;0,1,IF('Growth profile'!BH258&gt;0,3,0))</f>
        <v>0</v>
      </c>
      <c r="BJ124" s="20">
        <f>IF('Growth profile'!BI155&gt;0,1,IF('Growth profile'!BI258&gt;0,3,0))</f>
        <v>0</v>
      </c>
      <c r="BK124" s="21">
        <f>IF('Growth profile'!BJ155&gt;0,1,IF('Growth profile'!BJ258&gt;0,3,0))</f>
        <v>0</v>
      </c>
    </row>
    <row r="125" spans="1:63" x14ac:dyDescent="0.3">
      <c r="B125" s="13" t="s">
        <v>59</v>
      </c>
      <c r="C125" s="19">
        <f>'Growth (no penalty)'!I47</f>
        <v>2045</v>
      </c>
      <c r="D125" s="22">
        <f>IF('Growth (no penalty)'!C155&gt;0,1,IF('Growth (no penalty)'!C258&gt;0,4,0))</f>
        <v>0</v>
      </c>
      <c r="E125" s="22">
        <f>IF('Growth (no penalty)'!D155&gt;0,1,IF('Growth (no penalty)'!D258&gt;0,4,0))</f>
        <v>0</v>
      </c>
      <c r="F125" s="22">
        <f>IF('Growth (no penalty)'!E155&gt;0,1,IF('Growth (no penalty)'!E258&gt;0,4,0))</f>
        <v>0</v>
      </c>
      <c r="G125" s="22">
        <f>IF('Growth (no penalty)'!F155&gt;0,1,IF('Growth (no penalty)'!F258&gt;0,4,0))</f>
        <v>0</v>
      </c>
      <c r="H125" s="22">
        <f>IF('Growth (no penalty)'!G155&gt;0,1,IF('Growth (no penalty)'!G258&gt;0,4,0))</f>
        <v>0</v>
      </c>
      <c r="I125" s="22">
        <f>IF('Growth (no penalty)'!H155&gt;0,1,IF('Growth (no penalty)'!H258&gt;0,4,0))</f>
        <v>0</v>
      </c>
      <c r="J125" s="22">
        <f>IF('Growth (no penalty)'!I155&gt;0,1,IF('Growth (no penalty)'!I258&gt;0,4,0))</f>
        <v>0</v>
      </c>
      <c r="K125" s="22">
        <f>IF('Growth (no penalty)'!J155&gt;0,1,IF('Growth (no penalty)'!J258&gt;0,4,0))</f>
        <v>0</v>
      </c>
      <c r="L125" s="22">
        <f>IF('Growth (no penalty)'!K155&gt;0,1,IF('Growth (no penalty)'!K258&gt;0,4,0))</f>
        <v>0</v>
      </c>
      <c r="M125" s="22">
        <f>IF('Growth (no penalty)'!L155&gt;0,1,IF('Growth (no penalty)'!L258&gt;0,4,0))</f>
        <v>0</v>
      </c>
      <c r="N125" s="22">
        <f>IF('Growth (no penalty)'!M155&gt;0,1,IF('Growth (no penalty)'!M258&gt;0,4,0))</f>
        <v>0</v>
      </c>
      <c r="O125" s="22">
        <f>IF('Growth (no penalty)'!N155&gt;0,1,IF('Growth (no penalty)'!N258&gt;0,4,0))</f>
        <v>0</v>
      </c>
      <c r="P125" s="22">
        <f>IF('Growth (no penalty)'!O155&gt;0,1,IF('Growth (no penalty)'!O258&gt;0,4,0))</f>
        <v>0</v>
      </c>
      <c r="Q125" s="22">
        <f>IF('Growth (no penalty)'!P155&gt;0,1,IF('Growth (no penalty)'!P258&gt;0,4,0))</f>
        <v>0</v>
      </c>
      <c r="R125" s="22">
        <f>IF('Growth (no penalty)'!Q155&gt;0,1,IF('Growth (no penalty)'!Q258&gt;0,4,0))</f>
        <v>0</v>
      </c>
      <c r="S125" s="22">
        <f>IF('Growth (no penalty)'!R155&gt;0,1,IF('Growth (no penalty)'!R258&gt;0,4,0))</f>
        <v>0</v>
      </c>
      <c r="T125" s="22">
        <f>IF('Growth (no penalty)'!S155&gt;0,1,IF('Growth (no penalty)'!S258&gt;0,4,0))</f>
        <v>0</v>
      </c>
      <c r="U125" s="22">
        <f>IF('Growth (no penalty)'!T155&gt;0,1,IF('Growth (no penalty)'!T258&gt;0,4,0))</f>
        <v>0</v>
      </c>
      <c r="V125" s="22">
        <f>IF('Growth (no penalty)'!U155&gt;0,1,IF('Growth (no penalty)'!U258&gt;0,4,0))</f>
        <v>0</v>
      </c>
      <c r="W125" s="22">
        <f>IF('Growth (no penalty)'!V155&gt;0,1,IF('Growth (no penalty)'!V258&gt;0,4,0))</f>
        <v>1</v>
      </c>
      <c r="X125" s="22">
        <f>IF('Growth (no penalty)'!W155&gt;0,1,IF('Growth (no penalty)'!W258&gt;0,4,0))</f>
        <v>4</v>
      </c>
      <c r="Y125" s="22">
        <f>IF('Growth (no penalty)'!X155&gt;0,1,IF('Growth (no penalty)'!X258&gt;0,4,0))</f>
        <v>4</v>
      </c>
      <c r="Z125" s="22">
        <f>IF('Growth (no penalty)'!Y155&gt;0,1,IF('Growth (no penalty)'!Y258&gt;0,4,0))</f>
        <v>4</v>
      </c>
      <c r="AA125" s="22">
        <f>IF('Growth (no penalty)'!Z155&gt;0,1,IF('Growth (no penalty)'!Z258&gt;0,4,0))</f>
        <v>4</v>
      </c>
      <c r="AB125" s="22">
        <f>IF('Growth (no penalty)'!AA155&gt;0,1,IF('Growth (no penalty)'!AA258&gt;0,4,0))</f>
        <v>4</v>
      </c>
      <c r="AC125" s="22">
        <f>IF('Growth (no penalty)'!AB155&gt;0,1,IF('Growth (no penalty)'!AB258&gt;0,4,0))</f>
        <v>4</v>
      </c>
      <c r="AD125" s="22">
        <f>IF('Growth (no penalty)'!AC155&gt;0,1,IF('Growth (no penalty)'!AC258&gt;0,4,0))</f>
        <v>4</v>
      </c>
      <c r="AE125" s="22">
        <f>IF('Growth (no penalty)'!AD155&gt;0,1,IF('Growth (no penalty)'!AD258&gt;0,4,0))</f>
        <v>4</v>
      </c>
      <c r="AF125" s="22">
        <f>IF('Growth (no penalty)'!AE155&gt;0,1,IF('Growth (no penalty)'!AE258&gt;0,4,0))</f>
        <v>4</v>
      </c>
      <c r="AG125" s="22">
        <f>IF('Growth (no penalty)'!AF155&gt;0,1,IF('Growth (no penalty)'!AF258&gt;0,4,0))</f>
        <v>4</v>
      </c>
      <c r="AH125" s="22">
        <f>IF('Growth (no penalty)'!AG155&gt;0,1,IF('Growth (no penalty)'!AG258&gt;0,4,0))</f>
        <v>4</v>
      </c>
      <c r="AI125" s="22">
        <f>IF('Growth (no penalty)'!AH155&gt;0,1,IF('Growth (no penalty)'!AH258&gt;0,4,0))</f>
        <v>4</v>
      </c>
      <c r="AJ125" s="22">
        <f>IF('Growth (no penalty)'!AI155&gt;0,1,IF('Growth (no penalty)'!AI258&gt;0,4,0))</f>
        <v>4</v>
      </c>
      <c r="AK125" s="22">
        <f>IF('Growth (no penalty)'!AJ155&gt;0,1,IF('Growth (no penalty)'!AJ258&gt;0,4,0))</f>
        <v>4</v>
      </c>
      <c r="AL125" s="22">
        <f>IF('Growth (no penalty)'!AK155&gt;0,1,IF('Growth (no penalty)'!AK258&gt;0,4,0))</f>
        <v>4</v>
      </c>
      <c r="AM125" s="22">
        <f>IF('Growth (no penalty)'!AL155&gt;0,1,IF('Growth (no penalty)'!AL258&gt;0,4,0))</f>
        <v>4</v>
      </c>
      <c r="AN125" s="22">
        <f>IF('Growth (no penalty)'!AM155&gt;0,1,IF('Growth (no penalty)'!AM258&gt;0,4,0))</f>
        <v>4</v>
      </c>
      <c r="AO125" s="22">
        <f>IF('Growth (no penalty)'!AN155&gt;0,1,IF('Growth (no penalty)'!AN258&gt;0,4,0))</f>
        <v>4</v>
      </c>
      <c r="AP125" s="22">
        <f>IF('Growth (no penalty)'!AO155&gt;0,1,IF('Growth (no penalty)'!AO258&gt;0,4,0))</f>
        <v>4</v>
      </c>
      <c r="AQ125" s="22">
        <f>IF('Growth (no penalty)'!AP155&gt;0,1,IF('Growth (no penalty)'!AP258&gt;0,4,0))</f>
        <v>4</v>
      </c>
      <c r="AR125" s="22">
        <f>IF('Growth (no penalty)'!AQ155&gt;0,1,IF('Growth (no penalty)'!AQ258&gt;0,4,0))</f>
        <v>4</v>
      </c>
      <c r="AS125" s="22">
        <f>IF('Growth (no penalty)'!AR155&gt;0,1,IF('Growth (no penalty)'!AR258&gt;0,4,0))</f>
        <v>4</v>
      </c>
      <c r="AT125" s="22">
        <f>IF('Growth (no penalty)'!AS155&gt;0,1,IF('Growth (no penalty)'!AS258&gt;0,4,0))</f>
        <v>4</v>
      </c>
      <c r="AU125" s="22">
        <f>IF('Growth (no penalty)'!AT155&gt;0,1,IF('Growth (no penalty)'!AT258&gt;0,4,0))</f>
        <v>4</v>
      </c>
      <c r="AV125" s="22">
        <f>IF('Growth (no penalty)'!AU155&gt;0,1,IF('Growth (no penalty)'!AU258&gt;0,4,0))</f>
        <v>4</v>
      </c>
      <c r="AW125" s="22">
        <f>IF('Growth (no penalty)'!AV155&gt;0,1,IF('Growth (no penalty)'!AV258&gt;0,4,0))</f>
        <v>4</v>
      </c>
      <c r="AX125" s="22">
        <f>IF('Growth (no penalty)'!AW155&gt;0,1,IF('Growth (no penalty)'!AW258&gt;0,4,0))</f>
        <v>4</v>
      </c>
      <c r="AY125" s="22">
        <f>IF('Growth (no penalty)'!AX155&gt;0,1,IF('Growth (no penalty)'!AX258&gt;0,4,0))</f>
        <v>4</v>
      </c>
      <c r="AZ125" s="22">
        <f>IF('Growth (no penalty)'!AY155&gt;0,1,IF('Growth (no penalty)'!AY258&gt;0,4,0))</f>
        <v>4</v>
      </c>
      <c r="BA125" s="22">
        <f>IF('Growth (no penalty)'!AZ155&gt;0,1,IF('Growth (no penalty)'!AZ258&gt;0,4,0))</f>
        <v>4</v>
      </c>
      <c r="BB125" s="22">
        <f>IF('Growth (no penalty)'!BA155&gt;0,1,IF('Growth (no penalty)'!BA258&gt;0,4,0))</f>
        <v>4</v>
      </c>
      <c r="BC125" s="22">
        <f>IF('Growth (no penalty)'!BB155&gt;0,1,IF('Growth (no penalty)'!BB258&gt;0,4,0))</f>
        <v>4</v>
      </c>
      <c r="BD125" s="22">
        <f>IF('Growth (no penalty)'!BC155&gt;0,1,IF('Growth (no penalty)'!BC258&gt;0,4,0))</f>
        <v>4</v>
      </c>
      <c r="BE125" s="22">
        <f>IF('Growth (no penalty)'!BD155&gt;0,1,IF('Growth (no penalty)'!BD258&gt;0,4,0))</f>
        <v>4</v>
      </c>
      <c r="BF125" s="22">
        <f>IF('Growth (no penalty)'!BE155&gt;0,1,IF('Growth (no penalty)'!BE258&gt;0,4,0))</f>
        <v>4</v>
      </c>
      <c r="BG125" s="22">
        <f>IF('Growth (no penalty)'!BF155&gt;0,1,IF('Growth (no penalty)'!BF258&gt;0,4,0))</f>
        <v>4</v>
      </c>
      <c r="BH125" s="22">
        <f>IF('Growth (no penalty)'!BG155&gt;0,1,IF('Growth (no penalty)'!BG258&gt;0,4,0))</f>
        <v>4</v>
      </c>
      <c r="BI125" s="22">
        <f>IF('Growth (no penalty)'!BH155&gt;0,1,IF('Growth (no penalty)'!BH258&gt;0,4,0))</f>
        <v>4</v>
      </c>
      <c r="BJ125" s="22">
        <f>IF('Growth (no penalty)'!BI155&gt;0,1,IF('Growth (no penalty)'!BI258&gt;0,4,0))</f>
        <v>4</v>
      </c>
      <c r="BK125" s="23">
        <f>IF('Growth (no penalty)'!BJ155&gt;0,1,IF('Growth (no penalty)'!BJ258&gt;0,4,0))</f>
        <v>4</v>
      </c>
    </row>
    <row r="126" spans="1:63" x14ac:dyDescent="0.3">
      <c r="A126" s="4" t="str">
        <f>'Growth profile'!A62</f>
        <v>project 77</v>
      </c>
      <c r="B126" s="13" t="s">
        <v>3</v>
      </c>
      <c r="C126" s="19">
        <f>'Raw profile'!I62</f>
        <v>2031</v>
      </c>
      <c r="D126" s="20">
        <f>IF('Raw profile'!C170&gt;0,1,IF('Raw profile'!C273&gt;0,2,0))</f>
        <v>0</v>
      </c>
      <c r="E126" s="20">
        <f>IF('Raw profile'!D170&gt;0,1,IF('Raw profile'!D273&gt;0,2,0))</f>
        <v>0</v>
      </c>
      <c r="F126" s="20">
        <f>IF('Raw profile'!E170&gt;0,1,IF('Raw profile'!E273&gt;0,2,0))</f>
        <v>0</v>
      </c>
      <c r="G126" s="20">
        <f>IF('Raw profile'!F170&gt;0,1,IF('Raw profile'!F273&gt;0,2,0))</f>
        <v>0</v>
      </c>
      <c r="H126" s="20">
        <f>IF('Raw profile'!G170&gt;0,1,IF('Raw profile'!G273&gt;0,2,0))</f>
        <v>0</v>
      </c>
      <c r="I126" s="20">
        <f>IF('Raw profile'!H170&gt;0,1,IF('Raw profile'!H273&gt;0,2,0))</f>
        <v>1</v>
      </c>
      <c r="J126" s="20">
        <f>IF('Raw profile'!I170&gt;0,1,IF('Raw profile'!I273&gt;0,2,0))</f>
        <v>2</v>
      </c>
      <c r="K126" s="20">
        <f>IF('Raw profile'!J170&gt;0,1,IF('Raw profile'!J273&gt;0,2,0))</f>
        <v>2</v>
      </c>
      <c r="L126" s="20">
        <f>IF('Raw profile'!K170&gt;0,1,IF('Raw profile'!K273&gt;0,2,0))</f>
        <v>2</v>
      </c>
      <c r="M126" s="20">
        <f>IF('Raw profile'!L170&gt;0,1,IF('Raw profile'!L273&gt;0,2,0))</f>
        <v>2</v>
      </c>
      <c r="N126" s="20">
        <f>IF('Raw profile'!M170&gt;0,1,IF('Raw profile'!M273&gt;0,2,0))</f>
        <v>2</v>
      </c>
      <c r="O126" s="20">
        <f>IF('Raw profile'!N170&gt;0,1,IF('Raw profile'!N273&gt;0,2,0))</f>
        <v>2</v>
      </c>
      <c r="P126" s="20">
        <f>IF('Raw profile'!O170&gt;0,1,IF('Raw profile'!O273&gt;0,2,0))</f>
        <v>2</v>
      </c>
      <c r="Q126" s="20">
        <f>IF('Raw profile'!P170&gt;0,1,IF('Raw profile'!P273&gt;0,2,0))</f>
        <v>2</v>
      </c>
      <c r="R126" s="20">
        <f>IF('Raw profile'!Q170&gt;0,1,IF('Raw profile'!Q273&gt;0,2,0))</f>
        <v>2</v>
      </c>
      <c r="S126" s="20">
        <f>IF('Raw profile'!R170&gt;0,1,IF('Raw profile'!R273&gt;0,2,0))</f>
        <v>2</v>
      </c>
      <c r="T126" s="20">
        <f>IF('Raw profile'!S170&gt;0,1,IF('Raw profile'!S273&gt;0,2,0))</f>
        <v>2</v>
      </c>
      <c r="U126" s="20">
        <f>IF('Raw profile'!T170&gt;0,1,IF('Raw profile'!T273&gt;0,2,0))</f>
        <v>2</v>
      </c>
      <c r="V126" s="20">
        <f>IF('Raw profile'!U170&gt;0,1,IF('Raw profile'!U273&gt;0,2,0))</f>
        <v>2</v>
      </c>
      <c r="W126" s="20">
        <f>IF('Raw profile'!V170&gt;0,1,IF('Raw profile'!V273&gt;0,2,0))</f>
        <v>2</v>
      </c>
      <c r="X126" s="20">
        <f>IF('Raw profile'!W170&gt;0,1,IF('Raw profile'!W273&gt;0,2,0))</f>
        <v>2</v>
      </c>
      <c r="Y126" s="20">
        <f>IF('Raw profile'!X170&gt;0,1,IF('Raw profile'!X273&gt;0,2,0))</f>
        <v>2</v>
      </c>
      <c r="Z126" s="20">
        <f>IF('Raw profile'!Y170&gt;0,1,IF('Raw profile'!Y273&gt;0,2,0))</f>
        <v>2</v>
      </c>
      <c r="AA126" s="20">
        <f>IF('Raw profile'!Z170&gt;0,1,IF('Raw profile'!Z273&gt;0,2,0))</f>
        <v>2</v>
      </c>
      <c r="AB126" s="20">
        <f>IF('Raw profile'!AA170&gt;0,1,IF('Raw profile'!AA273&gt;0,2,0))</f>
        <v>2</v>
      </c>
      <c r="AC126" s="20">
        <f>IF('Raw profile'!AB170&gt;0,1,IF('Raw profile'!AB273&gt;0,2,0))</f>
        <v>2</v>
      </c>
      <c r="AD126" s="20">
        <f>IF('Raw profile'!AC170&gt;0,1,IF('Raw profile'!AC273&gt;0,2,0))</f>
        <v>2</v>
      </c>
      <c r="AE126" s="20">
        <f>IF('Raw profile'!AD170&gt;0,1,IF('Raw profile'!AD273&gt;0,2,0))</f>
        <v>2</v>
      </c>
      <c r="AF126" s="20">
        <f>IF('Raw profile'!AE170&gt;0,1,IF('Raw profile'!AE273&gt;0,2,0))</f>
        <v>2</v>
      </c>
      <c r="AG126" s="20">
        <f>IF('Raw profile'!AF170&gt;0,1,IF('Raw profile'!AF273&gt;0,2,0))</f>
        <v>2</v>
      </c>
      <c r="AH126" s="20">
        <f>IF('Raw profile'!AG170&gt;0,1,IF('Raw profile'!AG273&gt;0,2,0))</f>
        <v>2</v>
      </c>
      <c r="AI126" s="20">
        <f>IF('Raw profile'!AH170&gt;0,1,IF('Raw profile'!AH273&gt;0,2,0))</f>
        <v>2</v>
      </c>
      <c r="AJ126" s="20">
        <f>IF('Raw profile'!AI170&gt;0,1,IF('Raw profile'!AI273&gt;0,2,0))</f>
        <v>2</v>
      </c>
      <c r="AK126" s="20">
        <f>IF('Raw profile'!AJ170&gt;0,1,IF('Raw profile'!AJ273&gt;0,2,0))</f>
        <v>2</v>
      </c>
      <c r="AL126" s="20">
        <f>IF('Raw profile'!AK170&gt;0,1,IF('Raw profile'!AK273&gt;0,2,0))</f>
        <v>2</v>
      </c>
      <c r="AM126" s="20">
        <f>IF('Raw profile'!AL170&gt;0,1,IF('Raw profile'!AL273&gt;0,2,0))</f>
        <v>2</v>
      </c>
      <c r="AN126" s="20">
        <f>IF('Raw profile'!AM170&gt;0,1,IF('Raw profile'!AM273&gt;0,2,0))</f>
        <v>2</v>
      </c>
      <c r="AO126" s="20">
        <f>IF('Raw profile'!AN170&gt;0,1,IF('Raw profile'!AN273&gt;0,2,0))</f>
        <v>2</v>
      </c>
      <c r="AP126" s="20">
        <f>IF('Raw profile'!AO170&gt;0,1,IF('Raw profile'!AO273&gt;0,2,0))</f>
        <v>2</v>
      </c>
      <c r="AQ126" s="20">
        <f>IF('Raw profile'!AP170&gt;0,1,IF('Raw profile'!AP273&gt;0,2,0))</f>
        <v>2</v>
      </c>
      <c r="AR126" s="20">
        <f>IF('Raw profile'!AQ170&gt;0,1,IF('Raw profile'!AQ273&gt;0,2,0))</f>
        <v>2</v>
      </c>
      <c r="AS126" s="20">
        <f>IF('Raw profile'!AR170&gt;0,1,IF('Raw profile'!AR273&gt;0,2,0))</f>
        <v>2</v>
      </c>
      <c r="AT126" s="20">
        <f>IF('Raw profile'!AS170&gt;0,1,IF('Raw profile'!AS273&gt;0,2,0))</f>
        <v>2</v>
      </c>
      <c r="AU126" s="20">
        <f>IF('Raw profile'!AT170&gt;0,1,IF('Raw profile'!AT273&gt;0,2,0))</f>
        <v>2</v>
      </c>
      <c r="AV126" s="20">
        <f>IF('Raw profile'!AU170&gt;0,1,IF('Raw profile'!AU273&gt;0,2,0))</f>
        <v>2</v>
      </c>
      <c r="AW126" s="20">
        <f>IF('Raw profile'!AV170&gt;0,1,IF('Raw profile'!AV273&gt;0,2,0))</f>
        <v>2</v>
      </c>
      <c r="AX126" s="20">
        <f>IF('Raw profile'!AW170&gt;0,1,IF('Raw profile'!AW273&gt;0,2,0))</f>
        <v>0</v>
      </c>
      <c r="AY126" s="20">
        <f>IF('Raw profile'!AX170&gt;0,1,IF('Raw profile'!AX273&gt;0,2,0))</f>
        <v>0</v>
      </c>
      <c r="AZ126" s="20">
        <f>IF('Raw profile'!AY170&gt;0,1,IF('Raw profile'!AY273&gt;0,2,0))</f>
        <v>0</v>
      </c>
      <c r="BA126" s="20">
        <f>IF('Raw profile'!AZ170&gt;0,1,IF('Raw profile'!AZ273&gt;0,2,0))</f>
        <v>0</v>
      </c>
      <c r="BB126" s="20">
        <f>IF('Raw profile'!BA170&gt;0,1,IF('Raw profile'!BA273&gt;0,2,0))</f>
        <v>0</v>
      </c>
      <c r="BC126" s="20">
        <f>IF('Raw profile'!BB170&gt;0,1,IF('Raw profile'!BB273&gt;0,2,0))</f>
        <v>0</v>
      </c>
      <c r="BD126" s="20">
        <f>IF('Raw profile'!BC170&gt;0,1,IF('Raw profile'!BC273&gt;0,2,0))</f>
        <v>0</v>
      </c>
      <c r="BE126" s="20">
        <f>IF('Raw profile'!BD170&gt;0,1,IF('Raw profile'!BD273&gt;0,2,0))</f>
        <v>0</v>
      </c>
      <c r="BF126" s="20">
        <f>IF('Raw profile'!BE170&gt;0,1,IF('Raw profile'!BE273&gt;0,2,0))</f>
        <v>0</v>
      </c>
      <c r="BG126" s="20">
        <f>IF('Raw profile'!BF170&gt;0,1,IF('Raw profile'!BF273&gt;0,2,0))</f>
        <v>0</v>
      </c>
      <c r="BH126" s="20">
        <f>IF('Raw profile'!BG170&gt;0,1,IF('Raw profile'!BG273&gt;0,2,0))</f>
        <v>0</v>
      </c>
      <c r="BI126" s="20">
        <f>IF('Raw profile'!BH170&gt;0,1,IF('Raw profile'!BH273&gt;0,2,0))</f>
        <v>0</v>
      </c>
      <c r="BJ126" s="20">
        <f>IF('Raw profile'!BI170&gt;0,1,IF('Raw profile'!BI273&gt;0,2,0))</f>
        <v>0</v>
      </c>
      <c r="BK126" s="21">
        <f>IF('Raw profile'!BJ170&gt;0,1,IF('Raw profile'!BJ273&gt;0,2,0))</f>
        <v>0</v>
      </c>
    </row>
    <row r="127" spans="1:63" x14ac:dyDescent="0.3">
      <c r="B127" s="13" t="s">
        <v>4</v>
      </c>
      <c r="C127" s="19">
        <f>'Growth profile'!I62</f>
        <v>2037</v>
      </c>
      <c r="D127" s="20">
        <f>IF('Growth profile'!C170&gt;0,1,IF('Growth profile'!C273&gt;0,3,0))</f>
        <v>0</v>
      </c>
      <c r="E127" s="20">
        <f>IF('Growth profile'!D170&gt;0,1,IF('Growth profile'!D273&gt;0,3,0))</f>
        <v>0</v>
      </c>
      <c r="F127" s="20">
        <f>IF('Growth profile'!E170&gt;0,1,IF('Growth profile'!E273&gt;0,3,0))</f>
        <v>0</v>
      </c>
      <c r="G127" s="20">
        <f>IF('Growth profile'!F170&gt;0,1,IF('Growth profile'!F273&gt;0,3,0))</f>
        <v>0</v>
      </c>
      <c r="H127" s="20">
        <f>IF('Growth profile'!G170&gt;0,1,IF('Growth profile'!G273&gt;0,3,0))</f>
        <v>0</v>
      </c>
      <c r="I127" s="20">
        <f>IF('Growth profile'!H170&gt;0,1,IF('Growth profile'!H273&gt;0,3,0))</f>
        <v>0</v>
      </c>
      <c r="J127" s="20">
        <f>IF('Growth profile'!I170&gt;0,1,IF('Growth profile'!I273&gt;0,3,0))</f>
        <v>0</v>
      </c>
      <c r="K127" s="20">
        <f>IF('Growth profile'!J170&gt;0,1,IF('Growth profile'!J273&gt;0,3,0))</f>
        <v>0</v>
      </c>
      <c r="L127" s="20">
        <f>IF('Growth profile'!K170&gt;0,1,IF('Growth profile'!K273&gt;0,3,0))</f>
        <v>0</v>
      </c>
      <c r="M127" s="20">
        <f>IF('Growth profile'!L170&gt;0,1,IF('Growth profile'!L273&gt;0,3,0))</f>
        <v>0</v>
      </c>
      <c r="N127" s="20">
        <f>IF('Growth profile'!M170&gt;0,1,IF('Growth profile'!M273&gt;0,3,0))</f>
        <v>0</v>
      </c>
      <c r="O127" s="20">
        <f>IF('Growth profile'!N170&gt;0,1,IF('Growth profile'!N273&gt;0,3,0))</f>
        <v>1</v>
      </c>
      <c r="P127" s="20">
        <f>IF('Growth profile'!O170&gt;0,1,IF('Growth profile'!O273&gt;0,3,0))</f>
        <v>3</v>
      </c>
      <c r="Q127" s="20">
        <f>IF('Growth profile'!P170&gt;0,1,IF('Growth profile'!P273&gt;0,3,0))</f>
        <v>3</v>
      </c>
      <c r="R127" s="20">
        <f>IF('Growth profile'!Q170&gt;0,1,IF('Growth profile'!Q273&gt;0,3,0))</f>
        <v>3</v>
      </c>
      <c r="S127" s="20">
        <f>IF('Growth profile'!R170&gt;0,1,IF('Growth profile'!R273&gt;0,3,0))</f>
        <v>3</v>
      </c>
      <c r="T127" s="20">
        <f>IF('Growth profile'!S170&gt;0,1,IF('Growth profile'!S273&gt;0,3,0))</f>
        <v>3</v>
      </c>
      <c r="U127" s="20">
        <f>IF('Growth profile'!T170&gt;0,1,IF('Growth profile'!T273&gt;0,3,0))</f>
        <v>3</v>
      </c>
      <c r="V127" s="20">
        <f>IF('Growth profile'!U170&gt;0,1,IF('Growth profile'!U273&gt;0,3,0))</f>
        <v>3</v>
      </c>
      <c r="W127" s="20">
        <f>IF('Growth profile'!V170&gt;0,1,IF('Growth profile'!V273&gt;0,3,0))</f>
        <v>3</v>
      </c>
      <c r="X127" s="20">
        <f>IF('Growth profile'!W170&gt;0,1,IF('Growth profile'!W273&gt;0,3,0))</f>
        <v>3</v>
      </c>
      <c r="Y127" s="20">
        <f>IF('Growth profile'!X170&gt;0,1,IF('Growth profile'!X273&gt;0,3,0))</f>
        <v>3</v>
      </c>
      <c r="Z127" s="20">
        <f>IF('Growth profile'!Y170&gt;0,1,IF('Growth profile'!Y273&gt;0,3,0))</f>
        <v>3</v>
      </c>
      <c r="AA127" s="20">
        <f>IF('Growth profile'!Z170&gt;0,1,IF('Growth profile'!Z273&gt;0,3,0))</f>
        <v>3</v>
      </c>
      <c r="AB127" s="20">
        <f>IF('Growth profile'!AA170&gt;0,1,IF('Growth profile'!AA273&gt;0,3,0))</f>
        <v>3</v>
      </c>
      <c r="AC127" s="20">
        <f>IF('Growth profile'!AB170&gt;0,1,IF('Growth profile'!AB273&gt;0,3,0))</f>
        <v>3</v>
      </c>
      <c r="AD127" s="20">
        <f>IF('Growth profile'!AC170&gt;0,1,IF('Growth profile'!AC273&gt;0,3,0))</f>
        <v>3</v>
      </c>
      <c r="AE127" s="20">
        <f>IF('Growth profile'!AD170&gt;0,1,IF('Growth profile'!AD273&gt;0,3,0))</f>
        <v>3</v>
      </c>
      <c r="AF127" s="20">
        <f>IF('Growth profile'!AE170&gt;0,1,IF('Growth profile'!AE273&gt;0,3,0))</f>
        <v>3</v>
      </c>
      <c r="AG127" s="20">
        <f>IF('Growth profile'!AF170&gt;0,1,IF('Growth profile'!AF273&gt;0,3,0))</f>
        <v>3</v>
      </c>
      <c r="AH127" s="20">
        <f>IF('Growth profile'!AG170&gt;0,1,IF('Growth profile'!AG273&gt;0,3,0))</f>
        <v>3</v>
      </c>
      <c r="AI127" s="20">
        <f>IF('Growth profile'!AH170&gt;0,1,IF('Growth profile'!AH273&gt;0,3,0))</f>
        <v>3</v>
      </c>
      <c r="AJ127" s="20">
        <f>IF('Growth profile'!AI170&gt;0,1,IF('Growth profile'!AI273&gt;0,3,0))</f>
        <v>3</v>
      </c>
      <c r="AK127" s="20">
        <f>IF('Growth profile'!AJ170&gt;0,1,IF('Growth profile'!AJ273&gt;0,3,0))</f>
        <v>3</v>
      </c>
      <c r="AL127" s="20">
        <f>IF('Growth profile'!AK170&gt;0,1,IF('Growth profile'!AK273&gt;0,3,0))</f>
        <v>3</v>
      </c>
      <c r="AM127" s="20">
        <f>IF('Growth profile'!AL170&gt;0,1,IF('Growth profile'!AL273&gt;0,3,0))</f>
        <v>3</v>
      </c>
      <c r="AN127" s="20">
        <f>IF('Growth profile'!AM170&gt;0,1,IF('Growth profile'!AM273&gt;0,3,0))</f>
        <v>3</v>
      </c>
      <c r="AO127" s="20">
        <f>IF('Growth profile'!AN170&gt;0,1,IF('Growth profile'!AN273&gt;0,3,0))</f>
        <v>3</v>
      </c>
      <c r="AP127" s="20">
        <f>IF('Growth profile'!AO170&gt;0,1,IF('Growth profile'!AO273&gt;0,3,0))</f>
        <v>3</v>
      </c>
      <c r="AQ127" s="20">
        <f>IF('Growth profile'!AP170&gt;0,1,IF('Growth profile'!AP273&gt;0,3,0))</f>
        <v>3</v>
      </c>
      <c r="AR127" s="20">
        <f>IF('Growth profile'!AQ170&gt;0,1,IF('Growth profile'!AQ273&gt;0,3,0))</f>
        <v>3</v>
      </c>
      <c r="AS127" s="20">
        <f>IF('Growth profile'!AR170&gt;0,1,IF('Growth profile'!AR273&gt;0,3,0))</f>
        <v>3</v>
      </c>
      <c r="AT127" s="20">
        <f>IF('Growth profile'!AS170&gt;0,1,IF('Growth profile'!AS273&gt;0,3,0))</f>
        <v>3</v>
      </c>
      <c r="AU127" s="20">
        <f>IF('Growth profile'!AT170&gt;0,1,IF('Growth profile'!AT273&gt;0,3,0))</f>
        <v>3</v>
      </c>
      <c r="AV127" s="20">
        <f>IF('Growth profile'!AU170&gt;0,1,IF('Growth profile'!AU273&gt;0,3,0))</f>
        <v>3</v>
      </c>
      <c r="AW127" s="20">
        <f>IF('Growth profile'!AV170&gt;0,1,IF('Growth profile'!AV273&gt;0,3,0))</f>
        <v>3</v>
      </c>
      <c r="AX127" s="20">
        <f>IF('Growth profile'!AW170&gt;0,1,IF('Growth profile'!AW273&gt;0,3,0))</f>
        <v>3</v>
      </c>
      <c r="AY127" s="20">
        <f>IF('Growth profile'!AX170&gt;0,1,IF('Growth profile'!AX273&gt;0,3,0))</f>
        <v>3</v>
      </c>
      <c r="AZ127" s="20">
        <f>IF('Growth profile'!AY170&gt;0,1,IF('Growth profile'!AY273&gt;0,3,0))</f>
        <v>3</v>
      </c>
      <c r="BA127" s="20">
        <f>IF('Growth profile'!AZ170&gt;0,1,IF('Growth profile'!AZ273&gt;0,3,0))</f>
        <v>3</v>
      </c>
      <c r="BB127" s="20">
        <f>IF('Growth profile'!BA170&gt;0,1,IF('Growth profile'!BA273&gt;0,3,0))</f>
        <v>3</v>
      </c>
      <c r="BC127" s="20">
        <f>IF('Growth profile'!BB170&gt;0,1,IF('Growth profile'!BB273&gt;0,3,0))</f>
        <v>3</v>
      </c>
      <c r="BD127" s="20">
        <f>IF('Growth profile'!BC170&gt;0,1,IF('Growth profile'!BC273&gt;0,3,0))</f>
        <v>0</v>
      </c>
      <c r="BE127" s="20">
        <f>IF('Growth profile'!BD170&gt;0,1,IF('Growth profile'!BD273&gt;0,3,0))</f>
        <v>0</v>
      </c>
      <c r="BF127" s="20">
        <f>IF('Growth profile'!BE170&gt;0,1,IF('Growth profile'!BE273&gt;0,3,0))</f>
        <v>0</v>
      </c>
      <c r="BG127" s="20">
        <f>IF('Growth profile'!BF170&gt;0,1,IF('Growth profile'!BF273&gt;0,3,0))</f>
        <v>0</v>
      </c>
      <c r="BH127" s="20">
        <f>IF('Growth profile'!BG170&gt;0,1,IF('Growth profile'!BG273&gt;0,3,0))</f>
        <v>0</v>
      </c>
      <c r="BI127" s="20">
        <f>IF('Growth profile'!BH170&gt;0,1,IF('Growth profile'!BH273&gt;0,3,0))</f>
        <v>0</v>
      </c>
      <c r="BJ127" s="20">
        <f>IF('Growth profile'!BI170&gt;0,1,IF('Growth profile'!BI273&gt;0,3,0))</f>
        <v>0</v>
      </c>
      <c r="BK127" s="21">
        <f>IF('Growth profile'!BJ170&gt;0,1,IF('Growth profile'!BJ273&gt;0,3,0))</f>
        <v>0</v>
      </c>
    </row>
    <row r="128" spans="1:63" x14ac:dyDescent="0.3">
      <c r="B128" s="13" t="s">
        <v>59</v>
      </c>
      <c r="C128" s="19">
        <f>'Growth (no penalty)'!I62</f>
        <v>2045</v>
      </c>
      <c r="D128" s="22">
        <f>IF('Growth (no penalty)'!C170&gt;0,1,IF('Growth (no penalty)'!C273&gt;0,4,0))</f>
        <v>0</v>
      </c>
      <c r="E128" s="22">
        <f>IF('Growth (no penalty)'!D170&gt;0,1,IF('Growth (no penalty)'!D273&gt;0,4,0))</f>
        <v>0</v>
      </c>
      <c r="F128" s="22">
        <f>IF('Growth (no penalty)'!E170&gt;0,1,IF('Growth (no penalty)'!E273&gt;0,4,0))</f>
        <v>0</v>
      </c>
      <c r="G128" s="22">
        <f>IF('Growth (no penalty)'!F170&gt;0,1,IF('Growth (no penalty)'!F273&gt;0,4,0))</f>
        <v>0</v>
      </c>
      <c r="H128" s="22">
        <f>IF('Growth (no penalty)'!G170&gt;0,1,IF('Growth (no penalty)'!G273&gt;0,4,0))</f>
        <v>0</v>
      </c>
      <c r="I128" s="22">
        <f>IF('Growth (no penalty)'!H170&gt;0,1,IF('Growth (no penalty)'!H273&gt;0,4,0))</f>
        <v>0</v>
      </c>
      <c r="J128" s="22">
        <f>IF('Growth (no penalty)'!I170&gt;0,1,IF('Growth (no penalty)'!I273&gt;0,4,0))</f>
        <v>0</v>
      </c>
      <c r="K128" s="22">
        <f>IF('Growth (no penalty)'!J170&gt;0,1,IF('Growth (no penalty)'!J273&gt;0,4,0))</f>
        <v>0</v>
      </c>
      <c r="L128" s="22">
        <f>IF('Growth (no penalty)'!K170&gt;0,1,IF('Growth (no penalty)'!K273&gt;0,4,0))</f>
        <v>0</v>
      </c>
      <c r="M128" s="22">
        <f>IF('Growth (no penalty)'!L170&gt;0,1,IF('Growth (no penalty)'!L273&gt;0,4,0))</f>
        <v>0</v>
      </c>
      <c r="N128" s="22">
        <f>IF('Growth (no penalty)'!M170&gt;0,1,IF('Growth (no penalty)'!M273&gt;0,4,0))</f>
        <v>0</v>
      </c>
      <c r="O128" s="22">
        <f>IF('Growth (no penalty)'!N170&gt;0,1,IF('Growth (no penalty)'!N273&gt;0,4,0))</f>
        <v>0</v>
      </c>
      <c r="P128" s="22">
        <f>IF('Growth (no penalty)'!O170&gt;0,1,IF('Growth (no penalty)'!O273&gt;0,4,0))</f>
        <v>0</v>
      </c>
      <c r="Q128" s="22">
        <f>IF('Growth (no penalty)'!P170&gt;0,1,IF('Growth (no penalty)'!P273&gt;0,4,0))</f>
        <v>0</v>
      </c>
      <c r="R128" s="22">
        <f>IF('Growth (no penalty)'!Q170&gt;0,1,IF('Growth (no penalty)'!Q273&gt;0,4,0))</f>
        <v>0</v>
      </c>
      <c r="S128" s="22">
        <f>IF('Growth (no penalty)'!R170&gt;0,1,IF('Growth (no penalty)'!R273&gt;0,4,0))</f>
        <v>0</v>
      </c>
      <c r="T128" s="22">
        <f>IF('Growth (no penalty)'!S170&gt;0,1,IF('Growth (no penalty)'!S273&gt;0,4,0))</f>
        <v>0</v>
      </c>
      <c r="U128" s="22">
        <f>IF('Growth (no penalty)'!T170&gt;0,1,IF('Growth (no penalty)'!T273&gt;0,4,0))</f>
        <v>0</v>
      </c>
      <c r="V128" s="22">
        <f>IF('Growth (no penalty)'!U170&gt;0,1,IF('Growth (no penalty)'!U273&gt;0,4,0))</f>
        <v>0</v>
      </c>
      <c r="W128" s="22">
        <f>IF('Growth (no penalty)'!V170&gt;0,1,IF('Growth (no penalty)'!V273&gt;0,4,0))</f>
        <v>1</v>
      </c>
      <c r="X128" s="22">
        <f>IF('Growth (no penalty)'!W170&gt;0,1,IF('Growth (no penalty)'!W273&gt;0,4,0))</f>
        <v>4</v>
      </c>
      <c r="Y128" s="22">
        <f>IF('Growth (no penalty)'!X170&gt;0,1,IF('Growth (no penalty)'!X273&gt;0,4,0))</f>
        <v>4</v>
      </c>
      <c r="Z128" s="22">
        <f>IF('Growth (no penalty)'!Y170&gt;0,1,IF('Growth (no penalty)'!Y273&gt;0,4,0))</f>
        <v>4</v>
      </c>
      <c r="AA128" s="22">
        <f>IF('Growth (no penalty)'!Z170&gt;0,1,IF('Growth (no penalty)'!Z273&gt;0,4,0))</f>
        <v>4</v>
      </c>
      <c r="AB128" s="22">
        <f>IF('Growth (no penalty)'!AA170&gt;0,1,IF('Growth (no penalty)'!AA273&gt;0,4,0))</f>
        <v>4</v>
      </c>
      <c r="AC128" s="22">
        <f>IF('Growth (no penalty)'!AB170&gt;0,1,IF('Growth (no penalty)'!AB273&gt;0,4,0))</f>
        <v>4</v>
      </c>
      <c r="AD128" s="22">
        <f>IF('Growth (no penalty)'!AC170&gt;0,1,IF('Growth (no penalty)'!AC273&gt;0,4,0))</f>
        <v>4</v>
      </c>
      <c r="AE128" s="22">
        <f>IF('Growth (no penalty)'!AD170&gt;0,1,IF('Growth (no penalty)'!AD273&gt;0,4,0))</f>
        <v>4</v>
      </c>
      <c r="AF128" s="22">
        <f>IF('Growth (no penalty)'!AE170&gt;0,1,IF('Growth (no penalty)'!AE273&gt;0,4,0))</f>
        <v>4</v>
      </c>
      <c r="AG128" s="22">
        <f>IF('Growth (no penalty)'!AF170&gt;0,1,IF('Growth (no penalty)'!AF273&gt;0,4,0))</f>
        <v>4</v>
      </c>
      <c r="AH128" s="22">
        <f>IF('Growth (no penalty)'!AG170&gt;0,1,IF('Growth (no penalty)'!AG273&gt;0,4,0))</f>
        <v>4</v>
      </c>
      <c r="AI128" s="22">
        <f>IF('Growth (no penalty)'!AH170&gt;0,1,IF('Growth (no penalty)'!AH273&gt;0,4,0))</f>
        <v>4</v>
      </c>
      <c r="AJ128" s="22">
        <f>IF('Growth (no penalty)'!AI170&gt;0,1,IF('Growth (no penalty)'!AI273&gt;0,4,0))</f>
        <v>4</v>
      </c>
      <c r="AK128" s="22">
        <f>IF('Growth (no penalty)'!AJ170&gt;0,1,IF('Growth (no penalty)'!AJ273&gt;0,4,0))</f>
        <v>4</v>
      </c>
      <c r="AL128" s="22">
        <f>IF('Growth (no penalty)'!AK170&gt;0,1,IF('Growth (no penalty)'!AK273&gt;0,4,0))</f>
        <v>4</v>
      </c>
      <c r="AM128" s="22">
        <f>IF('Growth (no penalty)'!AL170&gt;0,1,IF('Growth (no penalty)'!AL273&gt;0,4,0))</f>
        <v>4</v>
      </c>
      <c r="AN128" s="22">
        <f>IF('Growth (no penalty)'!AM170&gt;0,1,IF('Growth (no penalty)'!AM273&gt;0,4,0))</f>
        <v>4</v>
      </c>
      <c r="AO128" s="22">
        <f>IF('Growth (no penalty)'!AN170&gt;0,1,IF('Growth (no penalty)'!AN273&gt;0,4,0))</f>
        <v>4</v>
      </c>
      <c r="AP128" s="22">
        <f>IF('Growth (no penalty)'!AO170&gt;0,1,IF('Growth (no penalty)'!AO273&gt;0,4,0))</f>
        <v>4</v>
      </c>
      <c r="AQ128" s="22">
        <f>IF('Growth (no penalty)'!AP170&gt;0,1,IF('Growth (no penalty)'!AP273&gt;0,4,0))</f>
        <v>4</v>
      </c>
      <c r="AR128" s="22">
        <f>IF('Growth (no penalty)'!AQ170&gt;0,1,IF('Growth (no penalty)'!AQ273&gt;0,4,0))</f>
        <v>4</v>
      </c>
      <c r="AS128" s="22">
        <f>IF('Growth (no penalty)'!AR170&gt;0,1,IF('Growth (no penalty)'!AR273&gt;0,4,0))</f>
        <v>4</v>
      </c>
      <c r="AT128" s="22">
        <f>IF('Growth (no penalty)'!AS170&gt;0,1,IF('Growth (no penalty)'!AS273&gt;0,4,0))</f>
        <v>4</v>
      </c>
      <c r="AU128" s="22">
        <f>IF('Growth (no penalty)'!AT170&gt;0,1,IF('Growth (no penalty)'!AT273&gt;0,4,0))</f>
        <v>4</v>
      </c>
      <c r="AV128" s="22">
        <f>IF('Growth (no penalty)'!AU170&gt;0,1,IF('Growth (no penalty)'!AU273&gt;0,4,0))</f>
        <v>4</v>
      </c>
      <c r="AW128" s="22">
        <f>IF('Growth (no penalty)'!AV170&gt;0,1,IF('Growth (no penalty)'!AV273&gt;0,4,0))</f>
        <v>4</v>
      </c>
      <c r="AX128" s="22">
        <f>IF('Growth (no penalty)'!AW170&gt;0,1,IF('Growth (no penalty)'!AW273&gt;0,4,0))</f>
        <v>4</v>
      </c>
      <c r="AY128" s="22">
        <f>IF('Growth (no penalty)'!AX170&gt;0,1,IF('Growth (no penalty)'!AX273&gt;0,4,0))</f>
        <v>4</v>
      </c>
      <c r="AZ128" s="22">
        <f>IF('Growth (no penalty)'!AY170&gt;0,1,IF('Growth (no penalty)'!AY273&gt;0,4,0))</f>
        <v>4</v>
      </c>
      <c r="BA128" s="22">
        <f>IF('Growth (no penalty)'!AZ170&gt;0,1,IF('Growth (no penalty)'!AZ273&gt;0,4,0))</f>
        <v>4</v>
      </c>
      <c r="BB128" s="22">
        <f>IF('Growth (no penalty)'!BA170&gt;0,1,IF('Growth (no penalty)'!BA273&gt;0,4,0))</f>
        <v>4</v>
      </c>
      <c r="BC128" s="22">
        <f>IF('Growth (no penalty)'!BB170&gt;0,1,IF('Growth (no penalty)'!BB273&gt;0,4,0))</f>
        <v>4</v>
      </c>
      <c r="BD128" s="22">
        <f>IF('Growth (no penalty)'!BC170&gt;0,1,IF('Growth (no penalty)'!BC273&gt;0,4,0))</f>
        <v>4</v>
      </c>
      <c r="BE128" s="22">
        <f>IF('Growth (no penalty)'!BD170&gt;0,1,IF('Growth (no penalty)'!BD273&gt;0,4,0))</f>
        <v>4</v>
      </c>
      <c r="BF128" s="22">
        <f>IF('Growth (no penalty)'!BE170&gt;0,1,IF('Growth (no penalty)'!BE273&gt;0,4,0))</f>
        <v>4</v>
      </c>
      <c r="BG128" s="22">
        <f>IF('Growth (no penalty)'!BF170&gt;0,1,IF('Growth (no penalty)'!BF273&gt;0,4,0))</f>
        <v>4</v>
      </c>
      <c r="BH128" s="22">
        <f>IF('Growth (no penalty)'!BG170&gt;0,1,IF('Growth (no penalty)'!BG273&gt;0,4,0))</f>
        <v>4</v>
      </c>
      <c r="BI128" s="22">
        <f>IF('Growth (no penalty)'!BH170&gt;0,1,IF('Growth (no penalty)'!BH273&gt;0,4,0))</f>
        <v>4</v>
      </c>
      <c r="BJ128" s="22">
        <f>IF('Growth (no penalty)'!BI170&gt;0,1,IF('Growth (no penalty)'!BI273&gt;0,4,0))</f>
        <v>4</v>
      </c>
      <c r="BK128" s="23">
        <f>IF('Growth (no penalty)'!BJ170&gt;0,1,IF('Growth (no penalty)'!BJ273&gt;0,4,0))</f>
        <v>4</v>
      </c>
    </row>
    <row r="129" spans="1:63" x14ac:dyDescent="0.3">
      <c r="A129" s="4" t="str">
        <f>'Growth profile'!A37</f>
        <v>project 27</v>
      </c>
      <c r="B129" s="13" t="s">
        <v>3</v>
      </c>
      <c r="C129" s="19">
        <f>'Raw profile'!I37</f>
        <v>2031</v>
      </c>
      <c r="D129" s="20">
        <f>IF('Raw profile'!C145&gt;0,1,IF('Raw profile'!C248&gt;0,2,0))</f>
        <v>0</v>
      </c>
      <c r="E129" s="20">
        <f>IF('Raw profile'!D145&gt;0,1,IF('Raw profile'!D248&gt;0,2,0))</f>
        <v>0</v>
      </c>
      <c r="F129" s="20">
        <f>IF('Raw profile'!E145&gt;0,1,IF('Raw profile'!E248&gt;0,2,0))</f>
        <v>0</v>
      </c>
      <c r="G129" s="20">
        <f>IF('Raw profile'!F145&gt;0,1,IF('Raw profile'!F248&gt;0,2,0))</f>
        <v>0</v>
      </c>
      <c r="H129" s="20">
        <f>IF('Raw profile'!G145&gt;0,1,IF('Raw profile'!G248&gt;0,2,0))</f>
        <v>0</v>
      </c>
      <c r="I129" s="20">
        <f>IF('Raw profile'!H145&gt;0,1,IF('Raw profile'!H248&gt;0,2,0))</f>
        <v>1</v>
      </c>
      <c r="J129" s="20">
        <f>IF('Raw profile'!I145&gt;0,1,IF('Raw profile'!I248&gt;0,2,0))</f>
        <v>1</v>
      </c>
      <c r="K129" s="20">
        <f>IF('Raw profile'!J145&gt;0,1,IF('Raw profile'!J248&gt;0,2,0))</f>
        <v>2</v>
      </c>
      <c r="L129" s="20">
        <f>IF('Raw profile'!K145&gt;0,1,IF('Raw profile'!K248&gt;0,2,0))</f>
        <v>2</v>
      </c>
      <c r="M129" s="20">
        <f>IF('Raw profile'!L145&gt;0,1,IF('Raw profile'!L248&gt;0,2,0))</f>
        <v>2</v>
      </c>
      <c r="N129" s="20">
        <f>IF('Raw profile'!M145&gt;0,1,IF('Raw profile'!M248&gt;0,2,0))</f>
        <v>2</v>
      </c>
      <c r="O129" s="20">
        <f>IF('Raw profile'!N145&gt;0,1,IF('Raw profile'!N248&gt;0,2,0))</f>
        <v>2</v>
      </c>
      <c r="P129" s="20">
        <f>IF('Raw profile'!O145&gt;0,1,IF('Raw profile'!O248&gt;0,2,0))</f>
        <v>2</v>
      </c>
      <c r="Q129" s="20">
        <f>IF('Raw profile'!P145&gt;0,1,IF('Raw profile'!P248&gt;0,2,0))</f>
        <v>2</v>
      </c>
      <c r="R129" s="20">
        <f>IF('Raw profile'!Q145&gt;0,1,IF('Raw profile'!Q248&gt;0,2,0))</f>
        <v>2</v>
      </c>
      <c r="S129" s="20">
        <f>IF('Raw profile'!R145&gt;0,1,IF('Raw profile'!R248&gt;0,2,0))</f>
        <v>2</v>
      </c>
      <c r="T129" s="20">
        <f>IF('Raw profile'!S145&gt;0,1,IF('Raw profile'!S248&gt;0,2,0))</f>
        <v>2</v>
      </c>
      <c r="U129" s="20">
        <f>IF('Raw profile'!T145&gt;0,1,IF('Raw profile'!T248&gt;0,2,0))</f>
        <v>2</v>
      </c>
      <c r="V129" s="20">
        <f>IF('Raw profile'!U145&gt;0,1,IF('Raw profile'!U248&gt;0,2,0))</f>
        <v>2</v>
      </c>
      <c r="W129" s="20">
        <f>IF('Raw profile'!V145&gt;0,1,IF('Raw profile'!V248&gt;0,2,0))</f>
        <v>2</v>
      </c>
      <c r="X129" s="20">
        <f>IF('Raw profile'!W145&gt;0,1,IF('Raw profile'!W248&gt;0,2,0))</f>
        <v>2</v>
      </c>
      <c r="Y129" s="20">
        <f>IF('Raw profile'!X145&gt;0,1,IF('Raw profile'!X248&gt;0,2,0))</f>
        <v>2</v>
      </c>
      <c r="Z129" s="20">
        <f>IF('Raw profile'!Y145&gt;0,1,IF('Raw profile'!Y248&gt;0,2,0))</f>
        <v>2</v>
      </c>
      <c r="AA129" s="20">
        <f>IF('Raw profile'!Z145&gt;0,1,IF('Raw profile'!Z248&gt;0,2,0))</f>
        <v>2</v>
      </c>
      <c r="AB129" s="20">
        <f>IF('Raw profile'!AA145&gt;0,1,IF('Raw profile'!AA248&gt;0,2,0))</f>
        <v>2</v>
      </c>
      <c r="AC129" s="20">
        <f>IF('Raw profile'!AB145&gt;0,1,IF('Raw profile'!AB248&gt;0,2,0))</f>
        <v>2</v>
      </c>
      <c r="AD129" s="20">
        <f>IF('Raw profile'!AC145&gt;0,1,IF('Raw profile'!AC248&gt;0,2,0))</f>
        <v>2</v>
      </c>
      <c r="AE129" s="20">
        <f>IF('Raw profile'!AD145&gt;0,1,IF('Raw profile'!AD248&gt;0,2,0))</f>
        <v>2</v>
      </c>
      <c r="AF129" s="20">
        <f>IF('Raw profile'!AE145&gt;0,1,IF('Raw profile'!AE248&gt;0,2,0))</f>
        <v>2</v>
      </c>
      <c r="AG129" s="20">
        <f>IF('Raw profile'!AF145&gt;0,1,IF('Raw profile'!AF248&gt;0,2,0))</f>
        <v>2</v>
      </c>
      <c r="AH129" s="20">
        <f>IF('Raw profile'!AG145&gt;0,1,IF('Raw profile'!AG248&gt;0,2,0))</f>
        <v>2</v>
      </c>
      <c r="AI129" s="20">
        <f>IF('Raw profile'!AH145&gt;0,1,IF('Raw profile'!AH248&gt;0,2,0))</f>
        <v>2</v>
      </c>
      <c r="AJ129" s="20">
        <f>IF('Raw profile'!AI145&gt;0,1,IF('Raw profile'!AI248&gt;0,2,0))</f>
        <v>2</v>
      </c>
      <c r="AK129" s="20">
        <f>IF('Raw profile'!AJ145&gt;0,1,IF('Raw profile'!AJ248&gt;0,2,0))</f>
        <v>2</v>
      </c>
      <c r="AL129" s="20">
        <f>IF('Raw profile'!AK145&gt;0,1,IF('Raw profile'!AK248&gt;0,2,0))</f>
        <v>2</v>
      </c>
      <c r="AM129" s="20">
        <f>IF('Raw profile'!AL145&gt;0,1,IF('Raw profile'!AL248&gt;0,2,0))</f>
        <v>2</v>
      </c>
      <c r="AN129" s="20">
        <f>IF('Raw profile'!AM145&gt;0,1,IF('Raw profile'!AM248&gt;0,2,0))</f>
        <v>2</v>
      </c>
      <c r="AO129" s="20">
        <f>IF('Raw profile'!AN145&gt;0,1,IF('Raw profile'!AN248&gt;0,2,0))</f>
        <v>2</v>
      </c>
      <c r="AP129" s="20">
        <f>IF('Raw profile'!AO145&gt;0,1,IF('Raw profile'!AO248&gt;0,2,0))</f>
        <v>2</v>
      </c>
      <c r="AQ129" s="20">
        <f>IF('Raw profile'!AP145&gt;0,1,IF('Raw profile'!AP248&gt;0,2,0))</f>
        <v>2</v>
      </c>
      <c r="AR129" s="20">
        <f>IF('Raw profile'!AQ145&gt;0,1,IF('Raw profile'!AQ248&gt;0,2,0))</f>
        <v>2</v>
      </c>
      <c r="AS129" s="20">
        <f>IF('Raw profile'!AR145&gt;0,1,IF('Raw profile'!AR248&gt;0,2,0))</f>
        <v>2</v>
      </c>
      <c r="AT129" s="20">
        <f>IF('Raw profile'!AS145&gt;0,1,IF('Raw profile'!AS248&gt;0,2,0))</f>
        <v>2</v>
      </c>
      <c r="AU129" s="20">
        <f>IF('Raw profile'!AT145&gt;0,1,IF('Raw profile'!AT248&gt;0,2,0))</f>
        <v>2</v>
      </c>
      <c r="AV129" s="20">
        <f>IF('Raw profile'!AU145&gt;0,1,IF('Raw profile'!AU248&gt;0,2,0))</f>
        <v>2</v>
      </c>
      <c r="AW129" s="20">
        <f>IF('Raw profile'!AV145&gt;0,1,IF('Raw profile'!AV248&gt;0,2,0))</f>
        <v>2</v>
      </c>
      <c r="AX129" s="20">
        <f>IF('Raw profile'!AW145&gt;0,1,IF('Raw profile'!AW248&gt;0,2,0))</f>
        <v>2</v>
      </c>
      <c r="AY129" s="20">
        <f>IF('Raw profile'!AX145&gt;0,1,IF('Raw profile'!AX248&gt;0,2,0))</f>
        <v>0</v>
      </c>
      <c r="AZ129" s="20">
        <f>IF('Raw profile'!AY145&gt;0,1,IF('Raw profile'!AY248&gt;0,2,0))</f>
        <v>0</v>
      </c>
      <c r="BA129" s="20">
        <f>IF('Raw profile'!AZ145&gt;0,1,IF('Raw profile'!AZ248&gt;0,2,0))</f>
        <v>0</v>
      </c>
      <c r="BB129" s="20">
        <f>IF('Raw profile'!BA145&gt;0,1,IF('Raw profile'!BA248&gt;0,2,0))</f>
        <v>0</v>
      </c>
      <c r="BC129" s="20">
        <f>IF('Raw profile'!BB145&gt;0,1,IF('Raw profile'!BB248&gt;0,2,0))</f>
        <v>0</v>
      </c>
      <c r="BD129" s="20">
        <f>IF('Raw profile'!BC145&gt;0,1,IF('Raw profile'!BC248&gt;0,2,0))</f>
        <v>0</v>
      </c>
      <c r="BE129" s="20">
        <f>IF('Raw profile'!BD145&gt;0,1,IF('Raw profile'!BD248&gt;0,2,0))</f>
        <v>0</v>
      </c>
      <c r="BF129" s="20">
        <f>IF('Raw profile'!BE145&gt;0,1,IF('Raw profile'!BE248&gt;0,2,0))</f>
        <v>0</v>
      </c>
      <c r="BG129" s="20">
        <f>IF('Raw profile'!BF145&gt;0,1,IF('Raw profile'!BF248&gt;0,2,0))</f>
        <v>0</v>
      </c>
      <c r="BH129" s="20">
        <f>IF('Raw profile'!BG145&gt;0,1,IF('Raw profile'!BG248&gt;0,2,0))</f>
        <v>0</v>
      </c>
      <c r="BI129" s="20">
        <f>IF('Raw profile'!BH145&gt;0,1,IF('Raw profile'!BH248&gt;0,2,0))</f>
        <v>0</v>
      </c>
      <c r="BJ129" s="20">
        <f>IF('Raw profile'!BI145&gt;0,1,IF('Raw profile'!BI248&gt;0,2,0))</f>
        <v>0</v>
      </c>
      <c r="BK129" s="21">
        <f>IF('Raw profile'!BJ145&gt;0,1,IF('Raw profile'!BJ248&gt;0,2,0))</f>
        <v>0</v>
      </c>
    </row>
    <row r="130" spans="1:63" x14ac:dyDescent="0.3">
      <c r="B130" s="13" t="s">
        <v>4</v>
      </c>
      <c r="C130" s="19">
        <f>'Growth profile'!I37</f>
        <v>2038</v>
      </c>
      <c r="D130" s="20">
        <f>IF('Growth profile'!C145&gt;0,1,IF('Growth profile'!C248&gt;0,3,0))</f>
        <v>0</v>
      </c>
      <c r="E130" s="20">
        <f>IF('Growth profile'!D145&gt;0,1,IF('Growth profile'!D248&gt;0,3,0))</f>
        <v>0</v>
      </c>
      <c r="F130" s="20">
        <f>IF('Growth profile'!E145&gt;0,1,IF('Growth profile'!E248&gt;0,3,0))</f>
        <v>0</v>
      </c>
      <c r="G130" s="20">
        <f>IF('Growth profile'!F145&gt;0,1,IF('Growth profile'!F248&gt;0,3,0))</f>
        <v>0</v>
      </c>
      <c r="H130" s="20">
        <f>IF('Growth profile'!G145&gt;0,1,IF('Growth profile'!G248&gt;0,3,0))</f>
        <v>0</v>
      </c>
      <c r="I130" s="20">
        <f>IF('Growth profile'!H145&gt;0,1,IF('Growth profile'!H248&gt;0,3,0))</f>
        <v>0</v>
      </c>
      <c r="J130" s="20">
        <f>IF('Growth profile'!I145&gt;0,1,IF('Growth profile'!I248&gt;0,3,0))</f>
        <v>0</v>
      </c>
      <c r="K130" s="20">
        <f>IF('Growth profile'!J145&gt;0,1,IF('Growth profile'!J248&gt;0,3,0))</f>
        <v>0</v>
      </c>
      <c r="L130" s="20">
        <f>IF('Growth profile'!K145&gt;0,1,IF('Growth profile'!K248&gt;0,3,0))</f>
        <v>0</v>
      </c>
      <c r="M130" s="20">
        <f>IF('Growth profile'!L145&gt;0,1,IF('Growth profile'!L248&gt;0,3,0))</f>
        <v>0</v>
      </c>
      <c r="N130" s="20">
        <f>IF('Growth profile'!M145&gt;0,1,IF('Growth profile'!M248&gt;0,3,0))</f>
        <v>0</v>
      </c>
      <c r="O130" s="20">
        <f>IF('Growth profile'!N145&gt;0,1,IF('Growth profile'!N248&gt;0,3,0))</f>
        <v>0</v>
      </c>
      <c r="P130" s="20">
        <f>IF('Growth profile'!O145&gt;0,1,IF('Growth profile'!O248&gt;0,3,0))</f>
        <v>1</v>
      </c>
      <c r="Q130" s="20">
        <f>IF('Growth profile'!P145&gt;0,1,IF('Growth profile'!P248&gt;0,3,0))</f>
        <v>1</v>
      </c>
      <c r="R130" s="20">
        <f>IF('Growth profile'!Q145&gt;0,1,IF('Growth profile'!Q248&gt;0,3,0))</f>
        <v>3</v>
      </c>
      <c r="S130" s="20">
        <f>IF('Growth profile'!R145&gt;0,1,IF('Growth profile'!R248&gt;0,3,0))</f>
        <v>3</v>
      </c>
      <c r="T130" s="20">
        <f>IF('Growth profile'!S145&gt;0,1,IF('Growth profile'!S248&gt;0,3,0))</f>
        <v>3</v>
      </c>
      <c r="U130" s="20">
        <f>IF('Growth profile'!T145&gt;0,1,IF('Growth profile'!T248&gt;0,3,0))</f>
        <v>3</v>
      </c>
      <c r="V130" s="20">
        <f>IF('Growth profile'!U145&gt;0,1,IF('Growth profile'!U248&gt;0,3,0))</f>
        <v>3</v>
      </c>
      <c r="W130" s="20">
        <f>IF('Growth profile'!V145&gt;0,1,IF('Growth profile'!V248&gt;0,3,0))</f>
        <v>3</v>
      </c>
      <c r="X130" s="20">
        <f>IF('Growth profile'!W145&gt;0,1,IF('Growth profile'!W248&gt;0,3,0))</f>
        <v>3</v>
      </c>
      <c r="Y130" s="20">
        <f>IF('Growth profile'!X145&gt;0,1,IF('Growth profile'!X248&gt;0,3,0))</f>
        <v>3</v>
      </c>
      <c r="Z130" s="20">
        <f>IF('Growth profile'!Y145&gt;0,1,IF('Growth profile'!Y248&gt;0,3,0))</f>
        <v>3</v>
      </c>
      <c r="AA130" s="20">
        <f>IF('Growth profile'!Z145&gt;0,1,IF('Growth profile'!Z248&gt;0,3,0))</f>
        <v>3</v>
      </c>
      <c r="AB130" s="20">
        <f>IF('Growth profile'!AA145&gt;0,1,IF('Growth profile'!AA248&gt;0,3,0))</f>
        <v>3</v>
      </c>
      <c r="AC130" s="20">
        <f>IF('Growth profile'!AB145&gt;0,1,IF('Growth profile'!AB248&gt;0,3,0))</f>
        <v>3</v>
      </c>
      <c r="AD130" s="20">
        <f>IF('Growth profile'!AC145&gt;0,1,IF('Growth profile'!AC248&gt;0,3,0))</f>
        <v>3</v>
      </c>
      <c r="AE130" s="20">
        <f>IF('Growth profile'!AD145&gt;0,1,IF('Growth profile'!AD248&gt;0,3,0))</f>
        <v>3</v>
      </c>
      <c r="AF130" s="20">
        <f>IF('Growth profile'!AE145&gt;0,1,IF('Growth profile'!AE248&gt;0,3,0))</f>
        <v>3</v>
      </c>
      <c r="AG130" s="20">
        <f>IF('Growth profile'!AF145&gt;0,1,IF('Growth profile'!AF248&gt;0,3,0))</f>
        <v>3</v>
      </c>
      <c r="AH130" s="20">
        <f>IF('Growth profile'!AG145&gt;0,1,IF('Growth profile'!AG248&gt;0,3,0))</f>
        <v>3</v>
      </c>
      <c r="AI130" s="20">
        <f>IF('Growth profile'!AH145&gt;0,1,IF('Growth profile'!AH248&gt;0,3,0))</f>
        <v>3</v>
      </c>
      <c r="AJ130" s="20">
        <f>IF('Growth profile'!AI145&gt;0,1,IF('Growth profile'!AI248&gt;0,3,0))</f>
        <v>3</v>
      </c>
      <c r="AK130" s="20">
        <f>IF('Growth profile'!AJ145&gt;0,1,IF('Growth profile'!AJ248&gt;0,3,0))</f>
        <v>3</v>
      </c>
      <c r="AL130" s="20">
        <f>IF('Growth profile'!AK145&gt;0,1,IF('Growth profile'!AK248&gt;0,3,0))</f>
        <v>3</v>
      </c>
      <c r="AM130" s="20">
        <f>IF('Growth profile'!AL145&gt;0,1,IF('Growth profile'!AL248&gt;0,3,0))</f>
        <v>3</v>
      </c>
      <c r="AN130" s="20">
        <f>IF('Growth profile'!AM145&gt;0,1,IF('Growth profile'!AM248&gt;0,3,0))</f>
        <v>3</v>
      </c>
      <c r="AO130" s="20">
        <f>IF('Growth profile'!AN145&gt;0,1,IF('Growth profile'!AN248&gt;0,3,0))</f>
        <v>3</v>
      </c>
      <c r="AP130" s="20">
        <f>IF('Growth profile'!AO145&gt;0,1,IF('Growth profile'!AO248&gt;0,3,0))</f>
        <v>3</v>
      </c>
      <c r="AQ130" s="20">
        <f>IF('Growth profile'!AP145&gt;0,1,IF('Growth profile'!AP248&gt;0,3,0))</f>
        <v>3</v>
      </c>
      <c r="AR130" s="20">
        <f>IF('Growth profile'!AQ145&gt;0,1,IF('Growth profile'!AQ248&gt;0,3,0))</f>
        <v>3</v>
      </c>
      <c r="AS130" s="20">
        <f>IF('Growth profile'!AR145&gt;0,1,IF('Growth profile'!AR248&gt;0,3,0))</f>
        <v>3</v>
      </c>
      <c r="AT130" s="20">
        <f>IF('Growth profile'!AS145&gt;0,1,IF('Growth profile'!AS248&gt;0,3,0))</f>
        <v>3</v>
      </c>
      <c r="AU130" s="20">
        <f>IF('Growth profile'!AT145&gt;0,1,IF('Growth profile'!AT248&gt;0,3,0))</f>
        <v>3</v>
      </c>
      <c r="AV130" s="20">
        <f>IF('Growth profile'!AU145&gt;0,1,IF('Growth profile'!AU248&gt;0,3,0))</f>
        <v>3</v>
      </c>
      <c r="AW130" s="20">
        <f>IF('Growth profile'!AV145&gt;0,1,IF('Growth profile'!AV248&gt;0,3,0))</f>
        <v>3</v>
      </c>
      <c r="AX130" s="20">
        <f>IF('Growth profile'!AW145&gt;0,1,IF('Growth profile'!AW248&gt;0,3,0))</f>
        <v>3</v>
      </c>
      <c r="AY130" s="20">
        <f>IF('Growth profile'!AX145&gt;0,1,IF('Growth profile'!AX248&gt;0,3,0))</f>
        <v>3</v>
      </c>
      <c r="AZ130" s="20">
        <f>IF('Growth profile'!AY145&gt;0,1,IF('Growth profile'!AY248&gt;0,3,0))</f>
        <v>3</v>
      </c>
      <c r="BA130" s="20">
        <f>IF('Growth profile'!AZ145&gt;0,1,IF('Growth profile'!AZ248&gt;0,3,0))</f>
        <v>3</v>
      </c>
      <c r="BB130" s="20">
        <f>IF('Growth profile'!BA145&gt;0,1,IF('Growth profile'!BA248&gt;0,3,0))</f>
        <v>3</v>
      </c>
      <c r="BC130" s="20">
        <f>IF('Growth profile'!BB145&gt;0,1,IF('Growth profile'!BB248&gt;0,3,0))</f>
        <v>3</v>
      </c>
      <c r="BD130" s="20">
        <f>IF('Growth profile'!BC145&gt;0,1,IF('Growth profile'!BC248&gt;0,3,0))</f>
        <v>3</v>
      </c>
      <c r="BE130" s="20">
        <f>IF('Growth profile'!BD145&gt;0,1,IF('Growth profile'!BD248&gt;0,3,0))</f>
        <v>3</v>
      </c>
      <c r="BF130" s="20">
        <f>IF('Growth profile'!BE145&gt;0,1,IF('Growth profile'!BE248&gt;0,3,0))</f>
        <v>0</v>
      </c>
      <c r="BG130" s="20">
        <f>IF('Growth profile'!BF145&gt;0,1,IF('Growth profile'!BF248&gt;0,3,0))</f>
        <v>0</v>
      </c>
      <c r="BH130" s="20">
        <f>IF('Growth profile'!BG145&gt;0,1,IF('Growth profile'!BG248&gt;0,3,0))</f>
        <v>0</v>
      </c>
      <c r="BI130" s="20">
        <f>IF('Growth profile'!BH145&gt;0,1,IF('Growth profile'!BH248&gt;0,3,0))</f>
        <v>0</v>
      </c>
      <c r="BJ130" s="20">
        <f>IF('Growth profile'!BI145&gt;0,1,IF('Growth profile'!BI248&gt;0,3,0))</f>
        <v>0</v>
      </c>
      <c r="BK130" s="21">
        <f>IF('Growth profile'!BJ145&gt;0,1,IF('Growth profile'!BJ248&gt;0,3,0))</f>
        <v>0</v>
      </c>
    </row>
    <row r="131" spans="1:63" x14ac:dyDescent="0.3">
      <c r="B131" s="13" t="s">
        <v>59</v>
      </c>
      <c r="C131" s="19">
        <f>'Growth (no penalty)'!I37</f>
        <v>2044</v>
      </c>
      <c r="D131" s="22">
        <f>IF('Growth (no penalty)'!C145&gt;0,1,IF('Growth (no penalty)'!C248&gt;0,4,0))</f>
        <v>0</v>
      </c>
      <c r="E131" s="22">
        <f>IF('Growth (no penalty)'!D145&gt;0,1,IF('Growth (no penalty)'!D248&gt;0,4,0))</f>
        <v>0</v>
      </c>
      <c r="F131" s="22">
        <f>IF('Growth (no penalty)'!E145&gt;0,1,IF('Growth (no penalty)'!E248&gt;0,4,0))</f>
        <v>0</v>
      </c>
      <c r="G131" s="22">
        <f>IF('Growth (no penalty)'!F145&gt;0,1,IF('Growth (no penalty)'!F248&gt;0,4,0))</f>
        <v>0</v>
      </c>
      <c r="H131" s="22">
        <f>IF('Growth (no penalty)'!G145&gt;0,1,IF('Growth (no penalty)'!G248&gt;0,4,0))</f>
        <v>0</v>
      </c>
      <c r="I131" s="22">
        <f>IF('Growth (no penalty)'!H145&gt;0,1,IF('Growth (no penalty)'!H248&gt;0,4,0))</f>
        <v>0</v>
      </c>
      <c r="J131" s="22">
        <f>IF('Growth (no penalty)'!I145&gt;0,1,IF('Growth (no penalty)'!I248&gt;0,4,0))</f>
        <v>0</v>
      </c>
      <c r="K131" s="22">
        <f>IF('Growth (no penalty)'!J145&gt;0,1,IF('Growth (no penalty)'!J248&gt;0,4,0))</f>
        <v>0</v>
      </c>
      <c r="L131" s="22">
        <f>IF('Growth (no penalty)'!K145&gt;0,1,IF('Growth (no penalty)'!K248&gt;0,4,0))</f>
        <v>0</v>
      </c>
      <c r="M131" s="22">
        <f>IF('Growth (no penalty)'!L145&gt;0,1,IF('Growth (no penalty)'!L248&gt;0,4,0))</f>
        <v>0</v>
      </c>
      <c r="N131" s="22">
        <f>IF('Growth (no penalty)'!M145&gt;0,1,IF('Growth (no penalty)'!M248&gt;0,4,0))</f>
        <v>0</v>
      </c>
      <c r="O131" s="22">
        <f>IF('Growth (no penalty)'!N145&gt;0,1,IF('Growth (no penalty)'!N248&gt;0,4,0))</f>
        <v>0</v>
      </c>
      <c r="P131" s="22">
        <f>IF('Growth (no penalty)'!O145&gt;0,1,IF('Growth (no penalty)'!O248&gt;0,4,0))</f>
        <v>0</v>
      </c>
      <c r="Q131" s="22">
        <f>IF('Growth (no penalty)'!P145&gt;0,1,IF('Growth (no penalty)'!P248&gt;0,4,0))</f>
        <v>0</v>
      </c>
      <c r="R131" s="22">
        <f>IF('Growth (no penalty)'!Q145&gt;0,1,IF('Growth (no penalty)'!Q248&gt;0,4,0))</f>
        <v>0</v>
      </c>
      <c r="S131" s="22">
        <f>IF('Growth (no penalty)'!R145&gt;0,1,IF('Growth (no penalty)'!R248&gt;0,4,0))</f>
        <v>0</v>
      </c>
      <c r="T131" s="22">
        <f>IF('Growth (no penalty)'!S145&gt;0,1,IF('Growth (no penalty)'!S248&gt;0,4,0))</f>
        <v>0</v>
      </c>
      <c r="U131" s="22">
        <f>IF('Growth (no penalty)'!T145&gt;0,1,IF('Growth (no penalty)'!T248&gt;0,4,0))</f>
        <v>0</v>
      </c>
      <c r="V131" s="22">
        <f>IF('Growth (no penalty)'!U145&gt;0,1,IF('Growth (no penalty)'!U248&gt;0,4,0))</f>
        <v>1</v>
      </c>
      <c r="W131" s="22">
        <f>IF('Growth (no penalty)'!V145&gt;0,1,IF('Growth (no penalty)'!V248&gt;0,4,0))</f>
        <v>1</v>
      </c>
      <c r="X131" s="22">
        <f>IF('Growth (no penalty)'!W145&gt;0,1,IF('Growth (no penalty)'!W248&gt;0,4,0))</f>
        <v>4</v>
      </c>
      <c r="Y131" s="22">
        <f>IF('Growth (no penalty)'!X145&gt;0,1,IF('Growth (no penalty)'!X248&gt;0,4,0))</f>
        <v>4</v>
      </c>
      <c r="Z131" s="22">
        <f>IF('Growth (no penalty)'!Y145&gt;0,1,IF('Growth (no penalty)'!Y248&gt;0,4,0))</f>
        <v>4</v>
      </c>
      <c r="AA131" s="22">
        <f>IF('Growth (no penalty)'!Z145&gt;0,1,IF('Growth (no penalty)'!Z248&gt;0,4,0))</f>
        <v>4</v>
      </c>
      <c r="AB131" s="22">
        <f>IF('Growth (no penalty)'!AA145&gt;0,1,IF('Growth (no penalty)'!AA248&gt;0,4,0))</f>
        <v>4</v>
      </c>
      <c r="AC131" s="22">
        <f>IF('Growth (no penalty)'!AB145&gt;0,1,IF('Growth (no penalty)'!AB248&gt;0,4,0))</f>
        <v>4</v>
      </c>
      <c r="AD131" s="22">
        <f>IF('Growth (no penalty)'!AC145&gt;0,1,IF('Growth (no penalty)'!AC248&gt;0,4,0))</f>
        <v>4</v>
      </c>
      <c r="AE131" s="22">
        <f>IF('Growth (no penalty)'!AD145&gt;0,1,IF('Growth (no penalty)'!AD248&gt;0,4,0))</f>
        <v>4</v>
      </c>
      <c r="AF131" s="22">
        <f>IF('Growth (no penalty)'!AE145&gt;0,1,IF('Growth (no penalty)'!AE248&gt;0,4,0))</f>
        <v>4</v>
      </c>
      <c r="AG131" s="22">
        <f>IF('Growth (no penalty)'!AF145&gt;0,1,IF('Growth (no penalty)'!AF248&gt;0,4,0))</f>
        <v>4</v>
      </c>
      <c r="AH131" s="22">
        <f>IF('Growth (no penalty)'!AG145&gt;0,1,IF('Growth (no penalty)'!AG248&gt;0,4,0))</f>
        <v>4</v>
      </c>
      <c r="AI131" s="22">
        <f>IF('Growth (no penalty)'!AH145&gt;0,1,IF('Growth (no penalty)'!AH248&gt;0,4,0))</f>
        <v>4</v>
      </c>
      <c r="AJ131" s="22">
        <f>IF('Growth (no penalty)'!AI145&gt;0,1,IF('Growth (no penalty)'!AI248&gt;0,4,0))</f>
        <v>4</v>
      </c>
      <c r="AK131" s="22">
        <f>IF('Growth (no penalty)'!AJ145&gt;0,1,IF('Growth (no penalty)'!AJ248&gt;0,4,0))</f>
        <v>4</v>
      </c>
      <c r="AL131" s="22">
        <f>IF('Growth (no penalty)'!AK145&gt;0,1,IF('Growth (no penalty)'!AK248&gt;0,4,0))</f>
        <v>4</v>
      </c>
      <c r="AM131" s="22">
        <f>IF('Growth (no penalty)'!AL145&gt;0,1,IF('Growth (no penalty)'!AL248&gt;0,4,0))</f>
        <v>4</v>
      </c>
      <c r="AN131" s="22">
        <f>IF('Growth (no penalty)'!AM145&gt;0,1,IF('Growth (no penalty)'!AM248&gt;0,4,0))</f>
        <v>4</v>
      </c>
      <c r="AO131" s="22">
        <f>IF('Growth (no penalty)'!AN145&gt;0,1,IF('Growth (no penalty)'!AN248&gt;0,4,0))</f>
        <v>4</v>
      </c>
      <c r="AP131" s="22">
        <f>IF('Growth (no penalty)'!AO145&gt;0,1,IF('Growth (no penalty)'!AO248&gt;0,4,0))</f>
        <v>4</v>
      </c>
      <c r="AQ131" s="22">
        <f>IF('Growth (no penalty)'!AP145&gt;0,1,IF('Growth (no penalty)'!AP248&gt;0,4,0))</f>
        <v>4</v>
      </c>
      <c r="AR131" s="22">
        <f>IF('Growth (no penalty)'!AQ145&gt;0,1,IF('Growth (no penalty)'!AQ248&gt;0,4,0))</f>
        <v>4</v>
      </c>
      <c r="AS131" s="22">
        <f>IF('Growth (no penalty)'!AR145&gt;0,1,IF('Growth (no penalty)'!AR248&gt;0,4,0))</f>
        <v>4</v>
      </c>
      <c r="AT131" s="22">
        <f>IF('Growth (no penalty)'!AS145&gt;0,1,IF('Growth (no penalty)'!AS248&gt;0,4,0))</f>
        <v>4</v>
      </c>
      <c r="AU131" s="22">
        <f>IF('Growth (no penalty)'!AT145&gt;0,1,IF('Growth (no penalty)'!AT248&gt;0,4,0))</f>
        <v>4</v>
      </c>
      <c r="AV131" s="22">
        <f>IF('Growth (no penalty)'!AU145&gt;0,1,IF('Growth (no penalty)'!AU248&gt;0,4,0))</f>
        <v>4</v>
      </c>
      <c r="AW131" s="22">
        <f>IF('Growth (no penalty)'!AV145&gt;0,1,IF('Growth (no penalty)'!AV248&gt;0,4,0))</f>
        <v>4</v>
      </c>
      <c r="AX131" s="22">
        <f>IF('Growth (no penalty)'!AW145&gt;0,1,IF('Growth (no penalty)'!AW248&gt;0,4,0))</f>
        <v>4</v>
      </c>
      <c r="AY131" s="22">
        <f>IF('Growth (no penalty)'!AX145&gt;0,1,IF('Growth (no penalty)'!AX248&gt;0,4,0))</f>
        <v>4</v>
      </c>
      <c r="AZ131" s="22">
        <f>IF('Growth (no penalty)'!AY145&gt;0,1,IF('Growth (no penalty)'!AY248&gt;0,4,0))</f>
        <v>4</v>
      </c>
      <c r="BA131" s="22">
        <f>IF('Growth (no penalty)'!AZ145&gt;0,1,IF('Growth (no penalty)'!AZ248&gt;0,4,0))</f>
        <v>4</v>
      </c>
      <c r="BB131" s="22">
        <f>IF('Growth (no penalty)'!BA145&gt;0,1,IF('Growth (no penalty)'!BA248&gt;0,4,0))</f>
        <v>4</v>
      </c>
      <c r="BC131" s="22">
        <f>IF('Growth (no penalty)'!BB145&gt;0,1,IF('Growth (no penalty)'!BB248&gt;0,4,0))</f>
        <v>4</v>
      </c>
      <c r="BD131" s="22">
        <f>IF('Growth (no penalty)'!BC145&gt;0,1,IF('Growth (no penalty)'!BC248&gt;0,4,0))</f>
        <v>4</v>
      </c>
      <c r="BE131" s="22">
        <f>IF('Growth (no penalty)'!BD145&gt;0,1,IF('Growth (no penalty)'!BD248&gt;0,4,0))</f>
        <v>4</v>
      </c>
      <c r="BF131" s="22">
        <f>IF('Growth (no penalty)'!BE145&gt;0,1,IF('Growth (no penalty)'!BE248&gt;0,4,0))</f>
        <v>4</v>
      </c>
      <c r="BG131" s="22">
        <f>IF('Growth (no penalty)'!BF145&gt;0,1,IF('Growth (no penalty)'!BF248&gt;0,4,0))</f>
        <v>4</v>
      </c>
      <c r="BH131" s="22">
        <f>IF('Growth (no penalty)'!BG145&gt;0,1,IF('Growth (no penalty)'!BG248&gt;0,4,0))</f>
        <v>4</v>
      </c>
      <c r="BI131" s="22">
        <f>IF('Growth (no penalty)'!BH145&gt;0,1,IF('Growth (no penalty)'!BH248&gt;0,4,0))</f>
        <v>4</v>
      </c>
      <c r="BJ131" s="22">
        <f>IF('Growth (no penalty)'!BI145&gt;0,1,IF('Growth (no penalty)'!BI248&gt;0,4,0))</f>
        <v>4</v>
      </c>
      <c r="BK131" s="23">
        <f>IF('Growth (no penalty)'!BJ145&gt;0,1,IF('Growth (no penalty)'!BJ248&gt;0,4,0))</f>
        <v>4</v>
      </c>
    </row>
    <row r="132" spans="1:63" x14ac:dyDescent="0.3">
      <c r="A132" s="4" t="str">
        <f>'Growth profile'!A63</f>
        <v>project 78</v>
      </c>
      <c r="B132" s="13" t="s">
        <v>3</v>
      </c>
      <c r="C132" s="19">
        <f>'Raw profile'!I63</f>
        <v>2032</v>
      </c>
      <c r="D132" s="20">
        <f>IF('Raw profile'!C171&gt;0,1,IF('Raw profile'!C274&gt;0,2,0))</f>
        <v>0</v>
      </c>
      <c r="E132" s="20">
        <f>IF('Raw profile'!D171&gt;0,1,IF('Raw profile'!D274&gt;0,2,0))</f>
        <v>0</v>
      </c>
      <c r="F132" s="20">
        <f>IF('Raw profile'!E171&gt;0,1,IF('Raw profile'!E274&gt;0,2,0))</f>
        <v>0</v>
      </c>
      <c r="G132" s="20">
        <f>IF('Raw profile'!F171&gt;0,1,IF('Raw profile'!F274&gt;0,2,0))</f>
        <v>0</v>
      </c>
      <c r="H132" s="20">
        <f>IF('Raw profile'!G171&gt;0,1,IF('Raw profile'!G274&gt;0,2,0))</f>
        <v>0</v>
      </c>
      <c r="I132" s="20">
        <f>IF('Raw profile'!H171&gt;0,1,IF('Raw profile'!H274&gt;0,2,0))</f>
        <v>0</v>
      </c>
      <c r="J132" s="20">
        <f>IF('Raw profile'!I171&gt;0,1,IF('Raw profile'!I274&gt;0,2,0))</f>
        <v>1</v>
      </c>
      <c r="K132" s="20">
        <f>IF('Raw profile'!J171&gt;0,1,IF('Raw profile'!J274&gt;0,2,0))</f>
        <v>1</v>
      </c>
      <c r="L132" s="20">
        <f>IF('Raw profile'!K171&gt;0,1,IF('Raw profile'!K274&gt;0,2,0))</f>
        <v>1</v>
      </c>
      <c r="M132" s="20">
        <f>IF('Raw profile'!L171&gt;0,1,IF('Raw profile'!L274&gt;0,2,0))</f>
        <v>2</v>
      </c>
      <c r="N132" s="20">
        <f>IF('Raw profile'!M171&gt;0,1,IF('Raw profile'!M274&gt;0,2,0))</f>
        <v>2</v>
      </c>
      <c r="O132" s="20">
        <f>IF('Raw profile'!N171&gt;0,1,IF('Raw profile'!N274&gt;0,2,0))</f>
        <v>2</v>
      </c>
      <c r="P132" s="20">
        <f>IF('Raw profile'!O171&gt;0,1,IF('Raw profile'!O274&gt;0,2,0))</f>
        <v>2</v>
      </c>
      <c r="Q132" s="20">
        <f>IF('Raw profile'!P171&gt;0,1,IF('Raw profile'!P274&gt;0,2,0))</f>
        <v>2</v>
      </c>
      <c r="R132" s="20">
        <f>IF('Raw profile'!Q171&gt;0,1,IF('Raw profile'!Q274&gt;0,2,0))</f>
        <v>2</v>
      </c>
      <c r="S132" s="20">
        <f>IF('Raw profile'!R171&gt;0,1,IF('Raw profile'!R274&gt;0,2,0))</f>
        <v>2</v>
      </c>
      <c r="T132" s="20">
        <f>IF('Raw profile'!S171&gt;0,1,IF('Raw profile'!S274&gt;0,2,0))</f>
        <v>2</v>
      </c>
      <c r="U132" s="20">
        <f>IF('Raw profile'!T171&gt;0,1,IF('Raw profile'!T274&gt;0,2,0))</f>
        <v>2</v>
      </c>
      <c r="V132" s="20">
        <f>IF('Raw profile'!U171&gt;0,1,IF('Raw profile'!U274&gt;0,2,0))</f>
        <v>2</v>
      </c>
      <c r="W132" s="20">
        <f>IF('Raw profile'!V171&gt;0,1,IF('Raw profile'!V274&gt;0,2,0))</f>
        <v>2</v>
      </c>
      <c r="X132" s="20">
        <f>IF('Raw profile'!W171&gt;0,1,IF('Raw profile'!W274&gt;0,2,0))</f>
        <v>2</v>
      </c>
      <c r="Y132" s="20">
        <f>IF('Raw profile'!X171&gt;0,1,IF('Raw profile'!X274&gt;0,2,0))</f>
        <v>2</v>
      </c>
      <c r="Z132" s="20">
        <f>IF('Raw profile'!Y171&gt;0,1,IF('Raw profile'!Y274&gt;0,2,0))</f>
        <v>2</v>
      </c>
      <c r="AA132" s="20">
        <f>IF('Raw profile'!Z171&gt;0,1,IF('Raw profile'!Z274&gt;0,2,0))</f>
        <v>2</v>
      </c>
      <c r="AB132" s="20">
        <f>IF('Raw profile'!AA171&gt;0,1,IF('Raw profile'!AA274&gt;0,2,0))</f>
        <v>2</v>
      </c>
      <c r="AC132" s="20">
        <f>IF('Raw profile'!AB171&gt;0,1,IF('Raw profile'!AB274&gt;0,2,0))</f>
        <v>2</v>
      </c>
      <c r="AD132" s="20">
        <f>IF('Raw profile'!AC171&gt;0,1,IF('Raw profile'!AC274&gt;0,2,0))</f>
        <v>2</v>
      </c>
      <c r="AE132" s="20">
        <f>IF('Raw profile'!AD171&gt;0,1,IF('Raw profile'!AD274&gt;0,2,0))</f>
        <v>2</v>
      </c>
      <c r="AF132" s="20">
        <f>IF('Raw profile'!AE171&gt;0,1,IF('Raw profile'!AE274&gt;0,2,0))</f>
        <v>2</v>
      </c>
      <c r="AG132" s="20">
        <f>IF('Raw profile'!AF171&gt;0,1,IF('Raw profile'!AF274&gt;0,2,0))</f>
        <v>2</v>
      </c>
      <c r="AH132" s="20">
        <f>IF('Raw profile'!AG171&gt;0,1,IF('Raw profile'!AG274&gt;0,2,0))</f>
        <v>2</v>
      </c>
      <c r="AI132" s="20">
        <f>IF('Raw profile'!AH171&gt;0,1,IF('Raw profile'!AH274&gt;0,2,0))</f>
        <v>2</v>
      </c>
      <c r="AJ132" s="20">
        <f>IF('Raw profile'!AI171&gt;0,1,IF('Raw profile'!AI274&gt;0,2,0))</f>
        <v>2</v>
      </c>
      <c r="AK132" s="20">
        <f>IF('Raw profile'!AJ171&gt;0,1,IF('Raw profile'!AJ274&gt;0,2,0))</f>
        <v>2</v>
      </c>
      <c r="AL132" s="20">
        <f>IF('Raw profile'!AK171&gt;0,1,IF('Raw profile'!AK274&gt;0,2,0))</f>
        <v>2</v>
      </c>
      <c r="AM132" s="20">
        <f>IF('Raw profile'!AL171&gt;0,1,IF('Raw profile'!AL274&gt;0,2,0))</f>
        <v>2</v>
      </c>
      <c r="AN132" s="20">
        <f>IF('Raw profile'!AM171&gt;0,1,IF('Raw profile'!AM274&gt;0,2,0))</f>
        <v>2</v>
      </c>
      <c r="AO132" s="20">
        <f>IF('Raw profile'!AN171&gt;0,1,IF('Raw profile'!AN274&gt;0,2,0))</f>
        <v>2</v>
      </c>
      <c r="AP132" s="20">
        <f>IF('Raw profile'!AO171&gt;0,1,IF('Raw profile'!AO274&gt;0,2,0))</f>
        <v>2</v>
      </c>
      <c r="AQ132" s="20">
        <f>IF('Raw profile'!AP171&gt;0,1,IF('Raw profile'!AP274&gt;0,2,0))</f>
        <v>2</v>
      </c>
      <c r="AR132" s="20">
        <f>IF('Raw profile'!AQ171&gt;0,1,IF('Raw profile'!AQ274&gt;0,2,0))</f>
        <v>2</v>
      </c>
      <c r="AS132" s="20">
        <f>IF('Raw profile'!AR171&gt;0,1,IF('Raw profile'!AR274&gt;0,2,0))</f>
        <v>2</v>
      </c>
      <c r="AT132" s="20">
        <f>IF('Raw profile'!AS171&gt;0,1,IF('Raw profile'!AS274&gt;0,2,0))</f>
        <v>2</v>
      </c>
      <c r="AU132" s="20">
        <f>IF('Raw profile'!AT171&gt;0,1,IF('Raw profile'!AT274&gt;0,2,0))</f>
        <v>2</v>
      </c>
      <c r="AV132" s="20">
        <f>IF('Raw profile'!AU171&gt;0,1,IF('Raw profile'!AU274&gt;0,2,0))</f>
        <v>2</v>
      </c>
      <c r="AW132" s="20">
        <f>IF('Raw profile'!AV171&gt;0,1,IF('Raw profile'!AV274&gt;0,2,0))</f>
        <v>2</v>
      </c>
      <c r="AX132" s="20">
        <f>IF('Raw profile'!AW171&gt;0,1,IF('Raw profile'!AW274&gt;0,2,0))</f>
        <v>2</v>
      </c>
      <c r="AY132" s="20">
        <f>IF('Raw profile'!AX171&gt;0,1,IF('Raw profile'!AX274&gt;0,2,0))</f>
        <v>2</v>
      </c>
      <c r="AZ132" s="20">
        <f>IF('Raw profile'!AY171&gt;0,1,IF('Raw profile'!AY274&gt;0,2,0))</f>
        <v>2</v>
      </c>
      <c r="BA132" s="20">
        <f>IF('Raw profile'!AZ171&gt;0,1,IF('Raw profile'!AZ274&gt;0,2,0))</f>
        <v>0</v>
      </c>
      <c r="BB132" s="20">
        <f>IF('Raw profile'!BA171&gt;0,1,IF('Raw profile'!BA274&gt;0,2,0))</f>
        <v>0</v>
      </c>
      <c r="BC132" s="20">
        <f>IF('Raw profile'!BB171&gt;0,1,IF('Raw profile'!BB274&gt;0,2,0))</f>
        <v>0</v>
      </c>
      <c r="BD132" s="20">
        <f>IF('Raw profile'!BC171&gt;0,1,IF('Raw profile'!BC274&gt;0,2,0))</f>
        <v>0</v>
      </c>
      <c r="BE132" s="20">
        <f>IF('Raw profile'!BD171&gt;0,1,IF('Raw profile'!BD274&gt;0,2,0))</f>
        <v>0</v>
      </c>
      <c r="BF132" s="20">
        <f>IF('Raw profile'!BE171&gt;0,1,IF('Raw profile'!BE274&gt;0,2,0))</f>
        <v>0</v>
      </c>
      <c r="BG132" s="20">
        <f>IF('Raw profile'!BF171&gt;0,1,IF('Raw profile'!BF274&gt;0,2,0))</f>
        <v>0</v>
      </c>
      <c r="BH132" s="20">
        <f>IF('Raw profile'!BG171&gt;0,1,IF('Raw profile'!BG274&gt;0,2,0))</f>
        <v>0</v>
      </c>
      <c r="BI132" s="20">
        <f>IF('Raw profile'!BH171&gt;0,1,IF('Raw profile'!BH274&gt;0,2,0))</f>
        <v>0</v>
      </c>
      <c r="BJ132" s="20">
        <f>IF('Raw profile'!BI171&gt;0,1,IF('Raw profile'!BI274&gt;0,2,0))</f>
        <v>0</v>
      </c>
      <c r="BK132" s="21">
        <f>IF('Raw profile'!BJ171&gt;0,1,IF('Raw profile'!BJ274&gt;0,2,0))</f>
        <v>0</v>
      </c>
    </row>
    <row r="133" spans="1:63" x14ac:dyDescent="0.3">
      <c r="B133" s="13" t="s">
        <v>4</v>
      </c>
      <c r="C133" s="19">
        <f>'Growth profile'!I63</f>
        <v>2032</v>
      </c>
      <c r="D133" s="20">
        <f>IF('Growth profile'!C171&gt;0,1,IF('Growth profile'!C274&gt;0,3,0))</f>
        <v>0</v>
      </c>
      <c r="E133" s="20">
        <f>IF('Growth profile'!D171&gt;0,1,IF('Growth profile'!D274&gt;0,3,0))</f>
        <v>0</v>
      </c>
      <c r="F133" s="20">
        <f>IF('Growth profile'!E171&gt;0,1,IF('Growth profile'!E274&gt;0,3,0))</f>
        <v>0</v>
      </c>
      <c r="G133" s="20">
        <f>IF('Growth profile'!F171&gt;0,1,IF('Growth profile'!F274&gt;0,3,0))</f>
        <v>0</v>
      </c>
      <c r="H133" s="20">
        <f>IF('Growth profile'!G171&gt;0,1,IF('Growth profile'!G274&gt;0,3,0))</f>
        <v>0</v>
      </c>
      <c r="I133" s="20">
        <f>IF('Growth profile'!H171&gt;0,1,IF('Growth profile'!H274&gt;0,3,0))</f>
        <v>0</v>
      </c>
      <c r="J133" s="20">
        <f>IF('Growth profile'!I171&gt;0,1,IF('Growth profile'!I274&gt;0,3,0))</f>
        <v>1</v>
      </c>
      <c r="K133" s="20">
        <f>IF('Growth profile'!J171&gt;0,1,IF('Growth profile'!J274&gt;0,3,0))</f>
        <v>1</v>
      </c>
      <c r="L133" s="20">
        <f>IF('Growth profile'!K171&gt;0,1,IF('Growth profile'!K274&gt;0,3,0))</f>
        <v>1</v>
      </c>
      <c r="M133" s="20">
        <f>IF('Growth profile'!L171&gt;0,1,IF('Growth profile'!L274&gt;0,3,0))</f>
        <v>3</v>
      </c>
      <c r="N133" s="20">
        <f>IF('Growth profile'!M171&gt;0,1,IF('Growth profile'!M274&gt;0,3,0))</f>
        <v>3</v>
      </c>
      <c r="O133" s="20">
        <f>IF('Growth profile'!N171&gt;0,1,IF('Growth profile'!N274&gt;0,3,0))</f>
        <v>3</v>
      </c>
      <c r="P133" s="20">
        <f>IF('Growth profile'!O171&gt;0,1,IF('Growth profile'!O274&gt;0,3,0))</f>
        <v>3</v>
      </c>
      <c r="Q133" s="20">
        <f>IF('Growth profile'!P171&gt;0,1,IF('Growth profile'!P274&gt;0,3,0))</f>
        <v>3</v>
      </c>
      <c r="R133" s="20">
        <f>IF('Growth profile'!Q171&gt;0,1,IF('Growth profile'!Q274&gt;0,3,0))</f>
        <v>3</v>
      </c>
      <c r="S133" s="20">
        <f>IF('Growth profile'!R171&gt;0,1,IF('Growth profile'!R274&gt;0,3,0))</f>
        <v>3</v>
      </c>
      <c r="T133" s="20">
        <f>IF('Growth profile'!S171&gt;0,1,IF('Growth profile'!S274&gt;0,3,0))</f>
        <v>3</v>
      </c>
      <c r="U133" s="20">
        <f>IF('Growth profile'!T171&gt;0,1,IF('Growth profile'!T274&gt;0,3,0))</f>
        <v>3</v>
      </c>
      <c r="V133" s="20">
        <f>IF('Growth profile'!U171&gt;0,1,IF('Growth profile'!U274&gt;0,3,0))</f>
        <v>3</v>
      </c>
      <c r="W133" s="20">
        <f>IF('Growth profile'!V171&gt;0,1,IF('Growth profile'!V274&gt;0,3,0))</f>
        <v>3</v>
      </c>
      <c r="X133" s="20">
        <f>IF('Growth profile'!W171&gt;0,1,IF('Growth profile'!W274&gt;0,3,0))</f>
        <v>3</v>
      </c>
      <c r="Y133" s="20">
        <f>IF('Growth profile'!X171&gt;0,1,IF('Growth profile'!X274&gt;0,3,0))</f>
        <v>3</v>
      </c>
      <c r="Z133" s="20">
        <f>IF('Growth profile'!Y171&gt;0,1,IF('Growth profile'!Y274&gt;0,3,0))</f>
        <v>3</v>
      </c>
      <c r="AA133" s="20">
        <f>IF('Growth profile'!Z171&gt;0,1,IF('Growth profile'!Z274&gt;0,3,0))</f>
        <v>3</v>
      </c>
      <c r="AB133" s="20">
        <f>IF('Growth profile'!AA171&gt;0,1,IF('Growth profile'!AA274&gt;0,3,0))</f>
        <v>3</v>
      </c>
      <c r="AC133" s="20">
        <f>IF('Growth profile'!AB171&gt;0,1,IF('Growth profile'!AB274&gt;0,3,0))</f>
        <v>3</v>
      </c>
      <c r="AD133" s="20">
        <f>IF('Growth profile'!AC171&gt;0,1,IF('Growth profile'!AC274&gt;0,3,0))</f>
        <v>3</v>
      </c>
      <c r="AE133" s="20">
        <f>IF('Growth profile'!AD171&gt;0,1,IF('Growth profile'!AD274&gt;0,3,0))</f>
        <v>3</v>
      </c>
      <c r="AF133" s="20">
        <f>IF('Growth profile'!AE171&gt;0,1,IF('Growth profile'!AE274&gt;0,3,0))</f>
        <v>3</v>
      </c>
      <c r="AG133" s="20">
        <f>IF('Growth profile'!AF171&gt;0,1,IF('Growth profile'!AF274&gt;0,3,0))</f>
        <v>3</v>
      </c>
      <c r="AH133" s="20">
        <f>IF('Growth profile'!AG171&gt;0,1,IF('Growth profile'!AG274&gt;0,3,0))</f>
        <v>3</v>
      </c>
      <c r="AI133" s="20">
        <f>IF('Growth profile'!AH171&gt;0,1,IF('Growth profile'!AH274&gt;0,3,0))</f>
        <v>3</v>
      </c>
      <c r="AJ133" s="20">
        <f>IF('Growth profile'!AI171&gt;0,1,IF('Growth profile'!AI274&gt;0,3,0))</f>
        <v>3</v>
      </c>
      <c r="AK133" s="20">
        <f>IF('Growth profile'!AJ171&gt;0,1,IF('Growth profile'!AJ274&gt;0,3,0))</f>
        <v>3</v>
      </c>
      <c r="AL133" s="20">
        <f>IF('Growth profile'!AK171&gt;0,1,IF('Growth profile'!AK274&gt;0,3,0))</f>
        <v>3</v>
      </c>
      <c r="AM133" s="20">
        <f>IF('Growth profile'!AL171&gt;0,1,IF('Growth profile'!AL274&gt;0,3,0))</f>
        <v>3</v>
      </c>
      <c r="AN133" s="20">
        <f>IF('Growth profile'!AM171&gt;0,1,IF('Growth profile'!AM274&gt;0,3,0))</f>
        <v>3</v>
      </c>
      <c r="AO133" s="20">
        <f>IF('Growth profile'!AN171&gt;0,1,IF('Growth profile'!AN274&gt;0,3,0))</f>
        <v>3</v>
      </c>
      <c r="AP133" s="20">
        <f>IF('Growth profile'!AO171&gt;0,1,IF('Growth profile'!AO274&gt;0,3,0))</f>
        <v>3</v>
      </c>
      <c r="AQ133" s="20">
        <f>IF('Growth profile'!AP171&gt;0,1,IF('Growth profile'!AP274&gt;0,3,0))</f>
        <v>3</v>
      </c>
      <c r="AR133" s="20">
        <f>IF('Growth profile'!AQ171&gt;0,1,IF('Growth profile'!AQ274&gt;0,3,0))</f>
        <v>3</v>
      </c>
      <c r="AS133" s="20">
        <f>IF('Growth profile'!AR171&gt;0,1,IF('Growth profile'!AR274&gt;0,3,0))</f>
        <v>3</v>
      </c>
      <c r="AT133" s="20">
        <f>IF('Growth profile'!AS171&gt;0,1,IF('Growth profile'!AS274&gt;0,3,0))</f>
        <v>3</v>
      </c>
      <c r="AU133" s="20">
        <f>IF('Growth profile'!AT171&gt;0,1,IF('Growth profile'!AT274&gt;0,3,0))</f>
        <v>3</v>
      </c>
      <c r="AV133" s="20">
        <f>IF('Growth profile'!AU171&gt;0,1,IF('Growth profile'!AU274&gt;0,3,0))</f>
        <v>3</v>
      </c>
      <c r="AW133" s="20">
        <f>IF('Growth profile'!AV171&gt;0,1,IF('Growth profile'!AV274&gt;0,3,0))</f>
        <v>3</v>
      </c>
      <c r="AX133" s="20">
        <f>IF('Growth profile'!AW171&gt;0,1,IF('Growth profile'!AW274&gt;0,3,0))</f>
        <v>3</v>
      </c>
      <c r="AY133" s="20">
        <f>IF('Growth profile'!AX171&gt;0,1,IF('Growth profile'!AX274&gt;0,3,0))</f>
        <v>3</v>
      </c>
      <c r="AZ133" s="20">
        <f>IF('Growth profile'!AY171&gt;0,1,IF('Growth profile'!AY274&gt;0,3,0))</f>
        <v>3</v>
      </c>
      <c r="BA133" s="20">
        <f>IF('Growth profile'!AZ171&gt;0,1,IF('Growth profile'!AZ274&gt;0,3,0))</f>
        <v>0</v>
      </c>
      <c r="BB133" s="20">
        <f>IF('Growth profile'!BA171&gt;0,1,IF('Growth profile'!BA274&gt;0,3,0))</f>
        <v>0</v>
      </c>
      <c r="BC133" s="20">
        <f>IF('Growth profile'!BB171&gt;0,1,IF('Growth profile'!BB274&gt;0,3,0))</f>
        <v>0</v>
      </c>
      <c r="BD133" s="20">
        <f>IF('Growth profile'!BC171&gt;0,1,IF('Growth profile'!BC274&gt;0,3,0))</f>
        <v>0</v>
      </c>
      <c r="BE133" s="20">
        <f>IF('Growth profile'!BD171&gt;0,1,IF('Growth profile'!BD274&gt;0,3,0))</f>
        <v>0</v>
      </c>
      <c r="BF133" s="20">
        <f>IF('Growth profile'!BE171&gt;0,1,IF('Growth profile'!BE274&gt;0,3,0))</f>
        <v>0</v>
      </c>
      <c r="BG133" s="20">
        <f>IF('Growth profile'!BF171&gt;0,1,IF('Growth profile'!BF274&gt;0,3,0))</f>
        <v>0</v>
      </c>
      <c r="BH133" s="20">
        <f>IF('Growth profile'!BG171&gt;0,1,IF('Growth profile'!BG274&gt;0,3,0))</f>
        <v>0</v>
      </c>
      <c r="BI133" s="20">
        <f>IF('Growth profile'!BH171&gt;0,1,IF('Growth profile'!BH274&gt;0,3,0))</f>
        <v>0</v>
      </c>
      <c r="BJ133" s="20">
        <f>IF('Growth profile'!BI171&gt;0,1,IF('Growth profile'!BI274&gt;0,3,0))</f>
        <v>0</v>
      </c>
      <c r="BK133" s="21">
        <f>IF('Growth profile'!BJ171&gt;0,1,IF('Growth profile'!BJ274&gt;0,3,0))</f>
        <v>0</v>
      </c>
    </row>
    <row r="134" spans="1:63" x14ac:dyDescent="0.3">
      <c r="B134" s="13" t="s">
        <v>59</v>
      </c>
      <c r="C134" s="19">
        <f>'Growth (no penalty)'!I63</f>
        <v>2043</v>
      </c>
      <c r="D134" s="22">
        <f>IF('Growth (no penalty)'!C171&gt;0,1,IF('Growth (no penalty)'!C274&gt;0,4,0))</f>
        <v>0</v>
      </c>
      <c r="E134" s="22">
        <f>IF('Growth (no penalty)'!D171&gt;0,1,IF('Growth (no penalty)'!D274&gt;0,4,0))</f>
        <v>0</v>
      </c>
      <c r="F134" s="22">
        <f>IF('Growth (no penalty)'!E171&gt;0,1,IF('Growth (no penalty)'!E274&gt;0,4,0))</f>
        <v>0</v>
      </c>
      <c r="G134" s="22">
        <f>IF('Growth (no penalty)'!F171&gt;0,1,IF('Growth (no penalty)'!F274&gt;0,4,0))</f>
        <v>0</v>
      </c>
      <c r="H134" s="22">
        <f>IF('Growth (no penalty)'!G171&gt;0,1,IF('Growth (no penalty)'!G274&gt;0,4,0))</f>
        <v>0</v>
      </c>
      <c r="I134" s="22">
        <f>IF('Growth (no penalty)'!H171&gt;0,1,IF('Growth (no penalty)'!H274&gt;0,4,0))</f>
        <v>0</v>
      </c>
      <c r="J134" s="22">
        <f>IF('Growth (no penalty)'!I171&gt;0,1,IF('Growth (no penalty)'!I274&gt;0,4,0))</f>
        <v>0</v>
      </c>
      <c r="K134" s="22">
        <f>IF('Growth (no penalty)'!J171&gt;0,1,IF('Growth (no penalty)'!J274&gt;0,4,0))</f>
        <v>0</v>
      </c>
      <c r="L134" s="22">
        <f>IF('Growth (no penalty)'!K171&gt;0,1,IF('Growth (no penalty)'!K274&gt;0,4,0))</f>
        <v>0</v>
      </c>
      <c r="M134" s="22">
        <f>IF('Growth (no penalty)'!L171&gt;0,1,IF('Growth (no penalty)'!L274&gt;0,4,0))</f>
        <v>0</v>
      </c>
      <c r="N134" s="22">
        <f>IF('Growth (no penalty)'!M171&gt;0,1,IF('Growth (no penalty)'!M274&gt;0,4,0))</f>
        <v>0</v>
      </c>
      <c r="O134" s="22">
        <f>IF('Growth (no penalty)'!N171&gt;0,1,IF('Growth (no penalty)'!N274&gt;0,4,0))</f>
        <v>0</v>
      </c>
      <c r="P134" s="22">
        <f>IF('Growth (no penalty)'!O171&gt;0,1,IF('Growth (no penalty)'!O274&gt;0,4,0))</f>
        <v>0</v>
      </c>
      <c r="Q134" s="22">
        <f>IF('Growth (no penalty)'!P171&gt;0,1,IF('Growth (no penalty)'!P274&gt;0,4,0))</f>
        <v>0</v>
      </c>
      <c r="R134" s="22">
        <f>IF('Growth (no penalty)'!Q171&gt;0,1,IF('Growth (no penalty)'!Q274&gt;0,4,0))</f>
        <v>0</v>
      </c>
      <c r="S134" s="22">
        <f>IF('Growth (no penalty)'!R171&gt;0,1,IF('Growth (no penalty)'!R274&gt;0,4,0))</f>
        <v>0</v>
      </c>
      <c r="T134" s="22">
        <f>IF('Growth (no penalty)'!S171&gt;0,1,IF('Growth (no penalty)'!S274&gt;0,4,0))</f>
        <v>0</v>
      </c>
      <c r="U134" s="22">
        <f>IF('Growth (no penalty)'!T171&gt;0,1,IF('Growth (no penalty)'!T274&gt;0,4,0))</f>
        <v>1</v>
      </c>
      <c r="V134" s="22">
        <f>IF('Growth (no penalty)'!U171&gt;0,1,IF('Growth (no penalty)'!U274&gt;0,4,0))</f>
        <v>1</v>
      </c>
      <c r="W134" s="22">
        <f>IF('Growth (no penalty)'!V171&gt;0,1,IF('Growth (no penalty)'!V274&gt;0,4,0))</f>
        <v>1</v>
      </c>
      <c r="X134" s="22">
        <f>IF('Growth (no penalty)'!W171&gt;0,1,IF('Growth (no penalty)'!W274&gt;0,4,0))</f>
        <v>4</v>
      </c>
      <c r="Y134" s="22">
        <f>IF('Growth (no penalty)'!X171&gt;0,1,IF('Growth (no penalty)'!X274&gt;0,4,0))</f>
        <v>4</v>
      </c>
      <c r="Z134" s="22">
        <f>IF('Growth (no penalty)'!Y171&gt;0,1,IF('Growth (no penalty)'!Y274&gt;0,4,0))</f>
        <v>4</v>
      </c>
      <c r="AA134" s="22">
        <f>IF('Growth (no penalty)'!Z171&gt;0,1,IF('Growth (no penalty)'!Z274&gt;0,4,0))</f>
        <v>4</v>
      </c>
      <c r="AB134" s="22">
        <f>IF('Growth (no penalty)'!AA171&gt;0,1,IF('Growth (no penalty)'!AA274&gt;0,4,0))</f>
        <v>4</v>
      </c>
      <c r="AC134" s="22">
        <f>IF('Growth (no penalty)'!AB171&gt;0,1,IF('Growth (no penalty)'!AB274&gt;0,4,0))</f>
        <v>4</v>
      </c>
      <c r="AD134" s="22">
        <f>IF('Growth (no penalty)'!AC171&gt;0,1,IF('Growth (no penalty)'!AC274&gt;0,4,0))</f>
        <v>4</v>
      </c>
      <c r="AE134" s="22">
        <f>IF('Growth (no penalty)'!AD171&gt;0,1,IF('Growth (no penalty)'!AD274&gt;0,4,0))</f>
        <v>4</v>
      </c>
      <c r="AF134" s="22">
        <f>IF('Growth (no penalty)'!AE171&gt;0,1,IF('Growth (no penalty)'!AE274&gt;0,4,0))</f>
        <v>4</v>
      </c>
      <c r="AG134" s="22">
        <f>IF('Growth (no penalty)'!AF171&gt;0,1,IF('Growth (no penalty)'!AF274&gt;0,4,0))</f>
        <v>4</v>
      </c>
      <c r="AH134" s="22">
        <f>IF('Growth (no penalty)'!AG171&gt;0,1,IF('Growth (no penalty)'!AG274&gt;0,4,0))</f>
        <v>4</v>
      </c>
      <c r="AI134" s="22">
        <f>IF('Growth (no penalty)'!AH171&gt;0,1,IF('Growth (no penalty)'!AH274&gt;0,4,0))</f>
        <v>4</v>
      </c>
      <c r="AJ134" s="22">
        <f>IF('Growth (no penalty)'!AI171&gt;0,1,IF('Growth (no penalty)'!AI274&gt;0,4,0))</f>
        <v>4</v>
      </c>
      <c r="AK134" s="22">
        <f>IF('Growth (no penalty)'!AJ171&gt;0,1,IF('Growth (no penalty)'!AJ274&gt;0,4,0))</f>
        <v>4</v>
      </c>
      <c r="AL134" s="22">
        <f>IF('Growth (no penalty)'!AK171&gt;0,1,IF('Growth (no penalty)'!AK274&gt;0,4,0))</f>
        <v>4</v>
      </c>
      <c r="AM134" s="22">
        <f>IF('Growth (no penalty)'!AL171&gt;0,1,IF('Growth (no penalty)'!AL274&gt;0,4,0))</f>
        <v>4</v>
      </c>
      <c r="AN134" s="22">
        <f>IF('Growth (no penalty)'!AM171&gt;0,1,IF('Growth (no penalty)'!AM274&gt;0,4,0))</f>
        <v>4</v>
      </c>
      <c r="AO134" s="22">
        <f>IF('Growth (no penalty)'!AN171&gt;0,1,IF('Growth (no penalty)'!AN274&gt;0,4,0))</f>
        <v>4</v>
      </c>
      <c r="AP134" s="22">
        <f>IF('Growth (no penalty)'!AO171&gt;0,1,IF('Growth (no penalty)'!AO274&gt;0,4,0))</f>
        <v>4</v>
      </c>
      <c r="AQ134" s="22">
        <f>IF('Growth (no penalty)'!AP171&gt;0,1,IF('Growth (no penalty)'!AP274&gt;0,4,0))</f>
        <v>4</v>
      </c>
      <c r="AR134" s="22">
        <f>IF('Growth (no penalty)'!AQ171&gt;0,1,IF('Growth (no penalty)'!AQ274&gt;0,4,0))</f>
        <v>4</v>
      </c>
      <c r="AS134" s="22">
        <f>IF('Growth (no penalty)'!AR171&gt;0,1,IF('Growth (no penalty)'!AR274&gt;0,4,0))</f>
        <v>4</v>
      </c>
      <c r="AT134" s="22">
        <f>IF('Growth (no penalty)'!AS171&gt;0,1,IF('Growth (no penalty)'!AS274&gt;0,4,0))</f>
        <v>4</v>
      </c>
      <c r="AU134" s="22">
        <f>IF('Growth (no penalty)'!AT171&gt;0,1,IF('Growth (no penalty)'!AT274&gt;0,4,0))</f>
        <v>4</v>
      </c>
      <c r="AV134" s="22">
        <f>IF('Growth (no penalty)'!AU171&gt;0,1,IF('Growth (no penalty)'!AU274&gt;0,4,0))</f>
        <v>4</v>
      </c>
      <c r="AW134" s="22">
        <f>IF('Growth (no penalty)'!AV171&gt;0,1,IF('Growth (no penalty)'!AV274&gt;0,4,0))</f>
        <v>4</v>
      </c>
      <c r="AX134" s="22">
        <f>IF('Growth (no penalty)'!AW171&gt;0,1,IF('Growth (no penalty)'!AW274&gt;0,4,0))</f>
        <v>4</v>
      </c>
      <c r="AY134" s="22">
        <f>IF('Growth (no penalty)'!AX171&gt;0,1,IF('Growth (no penalty)'!AX274&gt;0,4,0))</f>
        <v>4</v>
      </c>
      <c r="AZ134" s="22">
        <f>IF('Growth (no penalty)'!AY171&gt;0,1,IF('Growth (no penalty)'!AY274&gt;0,4,0))</f>
        <v>4</v>
      </c>
      <c r="BA134" s="22">
        <f>IF('Growth (no penalty)'!AZ171&gt;0,1,IF('Growth (no penalty)'!AZ274&gt;0,4,0))</f>
        <v>4</v>
      </c>
      <c r="BB134" s="22">
        <f>IF('Growth (no penalty)'!BA171&gt;0,1,IF('Growth (no penalty)'!BA274&gt;0,4,0))</f>
        <v>4</v>
      </c>
      <c r="BC134" s="22">
        <f>IF('Growth (no penalty)'!BB171&gt;0,1,IF('Growth (no penalty)'!BB274&gt;0,4,0))</f>
        <v>4</v>
      </c>
      <c r="BD134" s="22">
        <f>IF('Growth (no penalty)'!BC171&gt;0,1,IF('Growth (no penalty)'!BC274&gt;0,4,0))</f>
        <v>4</v>
      </c>
      <c r="BE134" s="22">
        <f>IF('Growth (no penalty)'!BD171&gt;0,1,IF('Growth (no penalty)'!BD274&gt;0,4,0))</f>
        <v>4</v>
      </c>
      <c r="BF134" s="22">
        <f>IF('Growth (no penalty)'!BE171&gt;0,1,IF('Growth (no penalty)'!BE274&gt;0,4,0))</f>
        <v>4</v>
      </c>
      <c r="BG134" s="22">
        <f>IF('Growth (no penalty)'!BF171&gt;0,1,IF('Growth (no penalty)'!BF274&gt;0,4,0))</f>
        <v>4</v>
      </c>
      <c r="BH134" s="22">
        <f>IF('Growth (no penalty)'!BG171&gt;0,1,IF('Growth (no penalty)'!BG274&gt;0,4,0))</f>
        <v>4</v>
      </c>
      <c r="BI134" s="22">
        <f>IF('Growth (no penalty)'!BH171&gt;0,1,IF('Growth (no penalty)'!BH274&gt;0,4,0))</f>
        <v>4</v>
      </c>
      <c r="BJ134" s="22">
        <f>IF('Growth (no penalty)'!BI171&gt;0,1,IF('Growth (no penalty)'!BI274&gt;0,4,0))</f>
        <v>4</v>
      </c>
      <c r="BK134" s="23">
        <f>IF('Growth (no penalty)'!BJ171&gt;0,1,IF('Growth (no penalty)'!BJ274&gt;0,4,0))</f>
        <v>4</v>
      </c>
    </row>
    <row r="135" spans="1:63" x14ac:dyDescent="0.3">
      <c r="A135" s="4" t="str">
        <f>'Growth profile'!A39</f>
        <v>project 29</v>
      </c>
      <c r="B135" s="13" t="s">
        <v>3</v>
      </c>
      <c r="C135" s="19">
        <f>'Raw profile'!I39</f>
        <v>2032</v>
      </c>
      <c r="D135" s="20">
        <f>IF('Raw profile'!C147&gt;0,1,IF('Raw profile'!C250&gt;0,2,0))</f>
        <v>0</v>
      </c>
      <c r="E135" s="20">
        <f>IF('Raw profile'!D147&gt;0,1,IF('Raw profile'!D250&gt;0,2,0))</f>
        <v>0</v>
      </c>
      <c r="F135" s="20">
        <f>IF('Raw profile'!E147&gt;0,1,IF('Raw profile'!E250&gt;0,2,0))</f>
        <v>0</v>
      </c>
      <c r="G135" s="20">
        <f>IF('Raw profile'!F147&gt;0,1,IF('Raw profile'!F250&gt;0,2,0))</f>
        <v>0</v>
      </c>
      <c r="H135" s="20">
        <f>IF('Raw profile'!G147&gt;0,1,IF('Raw profile'!G250&gt;0,2,0))</f>
        <v>0</v>
      </c>
      <c r="I135" s="20">
        <f>IF('Raw profile'!H147&gt;0,1,IF('Raw profile'!H250&gt;0,2,0))</f>
        <v>0</v>
      </c>
      <c r="J135" s="20">
        <f>IF('Raw profile'!I147&gt;0,1,IF('Raw profile'!I250&gt;0,2,0))</f>
        <v>1</v>
      </c>
      <c r="K135" s="20">
        <f>IF('Raw profile'!J147&gt;0,1,IF('Raw profile'!J250&gt;0,2,0))</f>
        <v>1</v>
      </c>
      <c r="L135" s="20">
        <f>IF('Raw profile'!K147&gt;0,1,IF('Raw profile'!K250&gt;0,2,0))</f>
        <v>2</v>
      </c>
      <c r="M135" s="20">
        <f>IF('Raw profile'!L147&gt;0,1,IF('Raw profile'!L250&gt;0,2,0))</f>
        <v>2</v>
      </c>
      <c r="N135" s="20">
        <f>IF('Raw profile'!M147&gt;0,1,IF('Raw profile'!M250&gt;0,2,0))</f>
        <v>2</v>
      </c>
      <c r="O135" s="20">
        <f>IF('Raw profile'!N147&gt;0,1,IF('Raw profile'!N250&gt;0,2,0))</f>
        <v>2</v>
      </c>
      <c r="P135" s="20">
        <f>IF('Raw profile'!O147&gt;0,1,IF('Raw profile'!O250&gt;0,2,0))</f>
        <v>2</v>
      </c>
      <c r="Q135" s="20">
        <f>IF('Raw profile'!P147&gt;0,1,IF('Raw profile'!P250&gt;0,2,0))</f>
        <v>2</v>
      </c>
      <c r="R135" s="20">
        <f>IF('Raw profile'!Q147&gt;0,1,IF('Raw profile'!Q250&gt;0,2,0))</f>
        <v>2</v>
      </c>
      <c r="S135" s="20">
        <f>IF('Raw profile'!R147&gt;0,1,IF('Raw profile'!R250&gt;0,2,0))</f>
        <v>2</v>
      </c>
      <c r="T135" s="20">
        <f>IF('Raw profile'!S147&gt;0,1,IF('Raw profile'!S250&gt;0,2,0))</f>
        <v>2</v>
      </c>
      <c r="U135" s="20">
        <f>IF('Raw profile'!T147&gt;0,1,IF('Raw profile'!T250&gt;0,2,0))</f>
        <v>2</v>
      </c>
      <c r="V135" s="20">
        <f>IF('Raw profile'!U147&gt;0,1,IF('Raw profile'!U250&gt;0,2,0))</f>
        <v>2</v>
      </c>
      <c r="W135" s="20">
        <f>IF('Raw profile'!V147&gt;0,1,IF('Raw profile'!V250&gt;0,2,0))</f>
        <v>2</v>
      </c>
      <c r="X135" s="20">
        <f>IF('Raw profile'!W147&gt;0,1,IF('Raw profile'!W250&gt;0,2,0))</f>
        <v>2</v>
      </c>
      <c r="Y135" s="20">
        <f>IF('Raw profile'!X147&gt;0,1,IF('Raw profile'!X250&gt;0,2,0))</f>
        <v>2</v>
      </c>
      <c r="Z135" s="20">
        <f>IF('Raw profile'!Y147&gt;0,1,IF('Raw profile'!Y250&gt;0,2,0))</f>
        <v>2</v>
      </c>
      <c r="AA135" s="20">
        <f>IF('Raw profile'!Z147&gt;0,1,IF('Raw profile'!Z250&gt;0,2,0))</f>
        <v>2</v>
      </c>
      <c r="AB135" s="20">
        <f>IF('Raw profile'!AA147&gt;0,1,IF('Raw profile'!AA250&gt;0,2,0))</f>
        <v>2</v>
      </c>
      <c r="AC135" s="20">
        <f>IF('Raw profile'!AB147&gt;0,1,IF('Raw profile'!AB250&gt;0,2,0))</f>
        <v>2</v>
      </c>
      <c r="AD135" s="20">
        <f>IF('Raw profile'!AC147&gt;0,1,IF('Raw profile'!AC250&gt;0,2,0))</f>
        <v>2</v>
      </c>
      <c r="AE135" s="20">
        <f>IF('Raw profile'!AD147&gt;0,1,IF('Raw profile'!AD250&gt;0,2,0))</f>
        <v>2</v>
      </c>
      <c r="AF135" s="20">
        <f>IF('Raw profile'!AE147&gt;0,1,IF('Raw profile'!AE250&gt;0,2,0))</f>
        <v>2</v>
      </c>
      <c r="AG135" s="20">
        <f>IF('Raw profile'!AF147&gt;0,1,IF('Raw profile'!AF250&gt;0,2,0))</f>
        <v>2</v>
      </c>
      <c r="AH135" s="20">
        <f>IF('Raw profile'!AG147&gt;0,1,IF('Raw profile'!AG250&gt;0,2,0))</f>
        <v>2</v>
      </c>
      <c r="AI135" s="20">
        <f>IF('Raw profile'!AH147&gt;0,1,IF('Raw profile'!AH250&gt;0,2,0))</f>
        <v>2</v>
      </c>
      <c r="AJ135" s="20">
        <f>IF('Raw profile'!AI147&gt;0,1,IF('Raw profile'!AI250&gt;0,2,0))</f>
        <v>2</v>
      </c>
      <c r="AK135" s="20">
        <f>IF('Raw profile'!AJ147&gt;0,1,IF('Raw profile'!AJ250&gt;0,2,0))</f>
        <v>2</v>
      </c>
      <c r="AL135" s="20">
        <f>IF('Raw profile'!AK147&gt;0,1,IF('Raw profile'!AK250&gt;0,2,0))</f>
        <v>2</v>
      </c>
      <c r="AM135" s="20">
        <f>IF('Raw profile'!AL147&gt;0,1,IF('Raw profile'!AL250&gt;0,2,0))</f>
        <v>2</v>
      </c>
      <c r="AN135" s="20">
        <f>IF('Raw profile'!AM147&gt;0,1,IF('Raw profile'!AM250&gt;0,2,0))</f>
        <v>2</v>
      </c>
      <c r="AO135" s="20">
        <f>IF('Raw profile'!AN147&gt;0,1,IF('Raw profile'!AN250&gt;0,2,0))</f>
        <v>2</v>
      </c>
      <c r="AP135" s="20">
        <f>IF('Raw profile'!AO147&gt;0,1,IF('Raw profile'!AO250&gt;0,2,0))</f>
        <v>2</v>
      </c>
      <c r="AQ135" s="20">
        <f>IF('Raw profile'!AP147&gt;0,1,IF('Raw profile'!AP250&gt;0,2,0))</f>
        <v>2</v>
      </c>
      <c r="AR135" s="20">
        <f>IF('Raw profile'!AQ147&gt;0,1,IF('Raw profile'!AQ250&gt;0,2,0))</f>
        <v>2</v>
      </c>
      <c r="AS135" s="20">
        <f>IF('Raw profile'!AR147&gt;0,1,IF('Raw profile'!AR250&gt;0,2,0))</f>
        <v>2</v>
      </c>
      <c r="AT135" s="20">
        <f>IF('Raw profile'!AS147&gt;0,1,IF('Raw profile'!AS250&gt;0,2,0))</f>
        <v>2</v>
      </c>
      <c r="AU135" s="20">
        <f>IF('Raw profile'!AT147&gt;0,1,IF('Raw profile'!AT250&gt;0,2,0))</f>
        <v>2</v>
      </c>
      <c r="AV135" s="20">
        <f>IF('Raw profile'!AU147&gt;0,1,IF('Raw profile'!AU250&gt;0,2,0))</f>
        <v>2</v>
      </c>
      <c r="AW135" s="20">
        <f>IF('Raw profile'!AV147&gt;0,1,IF('Raw profile'!AV250&gt;0,2,0))</f>
        <v>2</v>
      </c>
      <c r="AX135" s="20">
        <f>IF('Raw profile'!AW147&gt;0,1,IF('Raw profile'!AW250&gt;0,2,0))</f>
        <v>2</v>
      </c>
      <c r="AY135" s="20">
        <f>IF('Raw profile'!AX147&gt;0,1,IF('Raw profile'!AX250&gt;0,2,0))</f>
        <v>2</v>
      </c>
      <c r="AZ135" s="20">
        <f>IF('Raw profile'!AY147&gt;0,1,IF('Raw profile'!AY250&gt;0,2,0))</f>
        <v>0</v>
      </c>
      <c r="BA135" s="20">
        <f>IF('Raw profile'!AZ147&gt;0,1,IF('Raw profile'!AZ250&gt;0,2,0))</f>
        <v>0</v>
      </c>
      <c r="BB135" s="20">
        <f>IF('Raw profile'!BA147&gt;0,1,IF('Raw profile'!BA250&gt;0,2,0))</f>
        <v>0</v>
      </c>
      <c r="BC135" s="20">
        <f>IF('Raw profile'!BB147&gt;0,1,IF('Raw profile'!BB250&gt;0,2,0))</f>
        <v>0</v>
      </c>
      <c r="BD135" s="20">
        <f>IF('Raw profile'!BC147&gt;0,1,IF('Raw profile'!BC250&gt;0,2,0))</f>
        <v>0</v>
      </c>
      <c r="BE135" s="20">
        <f>IF('Raw profile'!BD147&gt;0,1,IF('Raw profile'!BD250&gt;0,2,0))</f>
        <v>0</v>
      </c>
      <c r="BF135" s="20">
        <f>IF('Raw profile'!BE147&gt;0,1,IF('Raw profile'!BE250&gt;0,2,0))</f>
        <v>0</v>
      </c>
      <c r="BG135" s="20">
        <f>IF('Raw profile'!BF147&gt;0,1,IF('Raw profile'!BF250&gt;0,2,0))</f>
        <v>0</v>
      </c>
      <c r="BH135" s="20">
        <f>IF('Raw profile'!BG147&gt;0,1,IF('Raw profile'!BG250&gt;0,2,0))</f>
        <v>0</v>
      </c>
      <c r="BI135" s="20">
        <f>IF('Raw profile'!BH147&gt;0,1,IF('Raw profile'!BH250&gt;0,2,0))</f>
        <v>0</v>
      </c>
      <c r="BJ135" s="20">
        <f>IF('Raw profile'!BI147&gt;0,1,IF('Raw profile'!BI250&gt;0,2,0))</f>
        <v>0</v>
      </c>
      <c r="BK135" s="21">
        <f>IF('Raw profile'!BJ147&gt;0,1,IF('Raw profile'!BJ250&gt;0,2,0))</f>
        <v>0</v>
      </c>
    </row>
    <row r="136" spans="1:63" x14ac:dyDescent="0.3">
      <c r="B136" s="13" t="s">
        <v>4</v>
      </c>
      <c r="C136" s="19">
        <f>'Growth profile'!I39</f>
        <v>2034</v>
      </c>
      <c r="D136" s="20">
        <f>IF('Growth profile'!C147&gt;0,1,IF('Growth profile'!C250&gt;0,3,0))</f>
        <v>0</v>
      </c>
      <c r="E136" s="20">
        <f>IF('Growth profile'!D147&gt;0,1,IF('Growth profile'!D250&gt;0,3,0))</f>
        <v>0</v>
      </c>
      <c r="F136" s="20">
        <f>IF('Growth profile'!E147&gt;0,1,IF('Growth profile'!E250&gt;0,3,0))</f>
        <v>0</v>
      </c>
      <c r="G136" s="20">
        <f>IF('Growth profile'!F147&gt;0,1,IF('Growth profile'!F250&gt;0,3,0))</f>
        <v>0</v>
      </c>
      <c r="H136" s="20">
        <f>IF('Growth profile'!G147&gt;0,1,IF('Growth profile'!G250&gt;0,3,0))</f>
        <v>0</v>
      </c>
      <c r="I136" s="20">
        <f>IF('Growth profile'!H147&gt;0,1,IF('Growth profile'!H250&gt;0,3,0))</f>
        <v>0</v>
      </c>
      <c r="J136" s="20">
        <f>IF('Growth profile'!I147&gt;0,1,IF('Growth profile'!I250&gt;0,3,0))</f>
        <v>0</v>
      </c>
      <c r="K136" s="20">
        <f>IF('Growth profile'!J147&gt;0,1,IF('Growth profile'!J250&gt;0,3,0))</f>
        <v>0</v>
      </c>
      <c r="L136" s="20">
        <f>IF('Growth profile'!K147&gt;0,1,IF('Growth profile'!K250&gt;0,3,0))</f>
        <v>1</v>
      </c>
      <c r="M136" s="20">
        <f>IF('Growth profile'!L147&gt;0,1,IF('Growth profile'!L250&gt;0,3,0))</f>
        <v>1</v>
      </c>
      <c r="N136" s="20">
        <f>IF('Growth profile'!M147&gt;0,1,IF('Growth profile'!M250&gt;0,3,0))</f>
        <v>3</v>
      </c>
      <c r="O136" s="20">
        <f>IF('Growth profile'!N147&gt;0,1,IF('Growth profile'!N250&gt;0,3,0))</f>
        <v>3</v>
      </c>
      <c r="P136" s="20">
        <f>IF('Growth profile'!O147&gt;0,1,IF('Growth profile'!O250&gt;0,3,0))</f>
        <v>3</v>
      </c>
      <c r="Q136" s="20">
        <f>IF('Growth profile'!P147&gt;0,1,IF('Growth profile'!P250&gt;0,3,0))</f>
        <v>3</v>
      </c>
      <c r="R136" s="20">
        <f>IF('Growth profile'!Q147&gt;0,1,IF('Growth profile'!Q250&gt;0,3,0))</f>
        <v>3</v>
      </c>
      <c r="S136" s="20">
        <f>IF('Growth profile'!R147&gt;0,1,IF('Growth profile'!R250&gt;0,3,0))</f>
        <v>3</v>
      </c>
      <c r="T136" s="20">
        <f>IF('Growth profile'!S147&gt;0,1,IF('Growth profile'!S250&gt;0,3,0))</f>
        <v>3</v>
      </c>
      <c r="U136" s="20">
        <f>IF('Growth profile'!T147&gt;0,1,IF('Growth profile'!T250&gt;0,3,0))</f>
        <v>3</v>
      </c>
      <c r="V136" s="20">
        <f>IF('Growth profile'!U147&gt;0,1,IF('Growth profile'!U250&gt;0,3,0))</f>
        <v>3</v>
      </c>
      <c r="W136" s="20">
        <f>IF('Growth profile'!V147&gt;0,1,IF('Growth profile'!V250&gt;0,3,0))</f>
        <v>3</v>
      </c>
      <c r="X136" s="20">
        <f>IF('Growth profile'!W147&gt;0,1,IF('Growth profile'!W250&gt;0,3,0))</f>
        <v>3</v>
      </c>
      <c r="Y136" s="20">
        <f>IF('Growth profile'!X147&gt;0,1,IF('Growth profile'!X250&gt;0,3,0))</f>
        <v>3</v>
      </c>
      <c r="Z136" s="20">
        <f>IF('Growth profile'!Y147&gt;0,1,IF('Growth profile'!Y250&gt;0,3,0))</f>
        <v>3</v>
      </c>
      <c r="AA136" s="20">
        <f>IF('Growth profile'!Z147&gt;0,1,IF('Growth profile'!Z250&gt;0,3,0))</f>
        <v>3</v>
      </c>
      <c r="AB136" s="20">
        <f>IF('Growth profile'!AA147&gt;0,1,IF('Growth profile'!AA250&gt;0,3,0))</f>
        <v>3</v>
      </c>
      <c r="AC136" s="20">
        <f>IF('Growth profile'!AB147&gt;0,1,IF('Growth profile'!AB250&gt;0,3,0))</f>
        <v>3</v>
      </c>
      <c r="AD136" s="20">
        <f>IF('Growth profile'!AC147&gt;0,1,IF('Growth profile'!AC250&gt;0,3,0))</f>
        <v>3</v>
      </c>
      <c r="AE136" s="20">
        <f>IF('Growth profile'!AD147&gt;0,1,IF('Growth profile'!AD250&gt;0,3,0))</f>
        <v>3</v>
      </c>
      <c r="AF136" s="20">
        <f>IF('Growth profile'!AE147&gt;0,1,IF('Growth profile'!AE250&gt;0,3,0))</f>
        <v>3</v>
      </c>
      <c r="AG136" s="20">
        <f>IF('Growth profile'!AF147&gt;0,1,IF('Growth profile'!AF250&gt;0,3,0))</f>
        <v>3</v>
      </c>
      <c r="AH136" s="20">
        <f>IF('Growth profile'!AG147&gt;0,1,IF('Growth profile'!AG250&gt;0,3,0))</f>
        <v>3</v>
      </c>
      <c r="AI136" s="20">
        <f>IF('Growth profile'!AH147&gt;0,1,IF('Growth profile'!AH250&gt;0,3,0))</f>
        <v>3</v>
      </c>
      <c r="AJ136" s="20">
        <f>IF('Growth profile'!AI147&gt;0,1,IF('Growth profile'!AI250&gt;0,3,0))</f>
        <v>3</v>
      </c>
      <c r="AK136" s="20">
        <f>IF('Growth profile'!AJ147&gt;0,1,IF('Growth profile'!AJ250&gt;0,3,0))</f>
        <v>3</v>
      </c>
      <c r="AL136" s="20">
        <f>IF('Growth profile'!AK147&gt;0,1,IF('Growth profile'!AK250&gt;0,3,0))</f>
        <v>3</v>
      </c>
      <c r="AM136" s="20">
        <f>IF('Growth profile'!AL147&gt;0,1,IF('Growth profile'!AL250&gt;0,3,0))</f>
        <v>3</v>
      </c>
      <c r="AN136" s="20">
        <f>IF('Growth profile'!AM147&gt;0,1,IF('Growth profile'!AM250&gt;0,3,0))</f>
        <v>3</v>
      </c>
      <c r="AO136" s="20">
        <f>IF('Growth profile'!AN147&gt;0,1,IF('Growth profile'!AN250&gt;0,3,0))</f>
        <v>3</v>
      </c>
      <c r="AP136" s="20">
        <f>IF('Growth profile'!AO147&gt;0,1,IF('Growth profile'!AO250&gt;0,3,0))</f>
        <v>3</v>
      </c>
      <c r="AQ136" s="20">
        <f>IF('Growth profile'!AP147&gt;0,1,IF('Growth profile'!AP250&gt;0,3,0))</f>
        <v>3</v>
      </c>
      <c r="AR136" s="20">
        <f>IF('Growth profile'!AQ147&gt;0,1,IF('Growth profile'!AQ250&gt;0,3,0))</f>
        <v>3</v>
      </c>
      <c r="AS136" s="20">
        <f>IF('Growth profile'!AR147&gt;0,1,IF('Growth profile'!AR250&gt;0,3,0))</f>
        <v>3</v>
      </c>
      <c r="AT136" s="20">
        <f>IF('Growth profile'!AS147&gt;0,1,IF('Growth profile'!AS250&gt;0,3,0))</f>
        <v>3</v>
      </c>
      <c r="AU136" s="20">
        <f>IF('Growth profile'!AT147&gt;0,1,IF('Growth profile'!AT250&gt;0,3,0))</f>
        <v>3</v>
      </c>
      <c r="AV136" s="20">
        <f>IF('Growth profile'!AU147&gt;0,1,IF('Growth profile'!AU250&gt;0,3,0))</f>
        <v>3</v>
      </c>
      <c r="AW136" s="20">
        <f>IF('Growth profile'!AV147&gt;0,1,IF('Growth profile'!AV250&gt;0,3,0))</f>
        <v>3</v>
      </c>
      <c r="AX136" s="20">
        <f>IF('Growth profile'!AW147&gt;0,1,IF('Growth profile'!AW250&gt;0,3,0))</f>
        <v>3</v>
      </c>
      <c r="AY136" s="20">
        <f>IF('Growth profile'!AX147&gt;0,1,IF('Growth profile'!AX250&gt;0,3,0))</f>
        <v>3</v>
      </c>
      <c r="AZ136" s="20">
        <f>IF('Growth profile'!AY147&gt;0,1,IF('Growth profile'!AY250&gt;0,3,0))</f>
        <v>3</v>
      </c>
      <c r="BA136" s="20">
        <f>IF('Growth profile'!AZ147&gt;0,1,IF('Growth profile'!AZ250&gt;0,3,0))</f>
        <v>3</v>
      </c>
      <c r="BB136" s="20">
        <f>IF('Growth profile'!BA147&gt;0,1,IF('Growth profile'!BA250&gt;0,3,0))</f>
        <v>0</v>
      </c>
      <c r="BC136" s="20">
        <f>IF('Growth profile'!BB147&gt;0,1,IF('Growth profile'!BB250&gt;0,3,0))</f>
        <v>0</v>
      </c>
      <c r="BD136" s="20">
        <f>IF('Growth profile'!BC147&gt;0,1,IF('Growth profile'!BC250&gt;0,3,0))</f>
        <v>0</v>
      </c>
      <c r="BE136" s="20">
        <f>IF('Growth profile'!BD147&gt;0,1,IF('Growth profile'!BD250&gt;0,3,0))</f>
        <v>0</v>
      </c>
      <c r="BF136" s="20">
        <f>IF('Growth profile'!BE147&gt;0,1,IF('Growth profile'!BE250&gt;0,3,0))</f>
        <v>0</v>
      </c>
      <c r="BG136" s="20">
        <f>IF('Growth profile'!BF147&gt;0,1,IF('Growth profile'!BF250&gt;0,3,0))</f>
        <v>0</v>
      </c>
      <c r="BH136" s="20">
        <f>IF('Growth profile'!BG147&gt;0,1,IF('Growth profile'!BG250&gt;0,3,0))</f>
        <v>0</v>
      </c>
      <c r="BI136" s="20">
        <f>IF('Growth profile'!BH147&gt;0,1,IF('Growth profile'!BH250&gt;0,3,0))</f>
        <v>0</v>
      </c>
      <c r="BJ136" s="20">
        <f>IF('Growth profile'!BI147&gt;0,1,IF('Growth profile'!BI250&gt;0,3,0))</f>
        <v>0</v>
      </c>
      <c r="BK136" s="21">
        <f>IF('Growth profile'!BJ147&gt;0,1,IF('Growth profile'!BJ250&gt;0,3,0))</f>
        <v>0</v>
      </c>
    </row>
    <row r="137" spans="1:63" x14ac:dyDescent="0.3">
      <c r="B137" s="13" t="s">
        <v>59</v>
      </c>
      <c r="C137" s="19">
        <f>'Growth (no penalty)'!I39</f>
        <v>2044</v>
      </c>
      <c r="D137" s="22">
        <f>IF('Growth (no penalty)'!C147&gt;0,1,IF('Growth (no penalty)'!C250&gt;0,4,0))</f>
        <v>0</v>
      </c>
      <c r="E137" s="22">
        <f>IF('Growth (no penalty)'!D147&gt;0,1,IF('Growth (no penalty)'!D250&gt;0,4,0))</f>
        <v>0</v>
      </c>
      <c r="F137" s="22">
        <f>IF('Growth (no penalty)'!E147&gt;0,1,IF('Growth (no penalty)'!E250&gt;0,4,0))</f>
        <v>0</v>
      </c>
      <c r="G137" s="22">
        <f>IF('Growth (no penalty)'!F147&gt;0,1,IF('Growth (no penalty)'!F250&gt;0,4,0))</f>
        <v>0</v>
      </c>
      <c r="H137" s="22">
        <f>IF('Growth (no penalty)'!G147&gt;0,1,IF('Growth (no penalty)'!G250&gt;0,4,0))</f>
        <v>0</v>
      </c>
      <c r="I137" s="22">
        <f>IF('Growth (no penalty)'!H147&gt;0,1,IF('Growth (no penalty)'!H250&gt;0,4,0))</f>
        <v>0</v>
      </c>
      <c r="J137" s="22">
        <f>IF('Growth (no penalty)'!I147&gt;0,1,IF('Growth (no penalty)'!I250&gt;0,4,0))</f>
        <v>0</v>
      </c>
      <c r="K137" s="22">
        <f>IF('Growth (no penalty)'!J147&gt;0,1,IF('Growth (no penalty)'!J250&gt;0,4,0))</f>
        <v>0</v>
      </c>
      <c r="L137" s="22">
        <f>IF('Growth (no penalty)'!K147&gt;0,1,IF('Growth (no penalty)'!K250&gt;0,4,0))</f>
        <v>0</v>
      </c>
      <c r="M137" s="22">
        <f>IF('Growth (no penalty)'!L147&gt;0,1,IF('Growth (no penalty)'!L250&gt;0,4,0))</f>
        <v>0</v>
      </c>
      <c r="N137" s="22">
        <f>IF('Growth (no penalty)'!M147&gt;0,1,IF('Growth (no penalty)'!M250&gt;0,4,0))</f>
        <v>0</v>
      </c>
      <c r="O137" s="22">
        <f>IF('Growth (no penalty)'!N147&gt;0,1,IF('Growth (no penalty)'!N250&gt;0,4,0))</f>
        <v>0</v>
      </c>
      <c r="P137" s="22">
        <f>IF('Growth (no penalty)'!O147&gt;0,1,IF('Growth (no penalty)'!O250&gt;0,4,0))</f>
        <v>0</v>
      </c>
      <c r="Q137" s="22">
        <f>IF('Growth (no penalty)'!P147&gt;0,1,IF('Growth (no penalty)'!P250&gt;0,4,0))</f>
        <v>0</v>
      </c>
      <c r="R137" s="22">
        <f>IF('Growth (no penalty)'!Q147&gt;0,1,IF('Growth (no penalty)'!Q250&gt;0,4,0))</f>
        <v>0</v>
      </c>
      <c r="S137" s="22">
        <f>IF('Growth (no penalty)'!R147&gt;0,1,IF('Growth (no penalty)'!R250&gt;0,4,0))</f>
        <v>0</v>
      </c>
      <c r="T137" s="22">
        <f>IF('Growth (no penalty)'!S147&gt;0,1,IF('Growth (no penalty)'!S250&gt;0,4,0))</f>
        <v>0</v>
      </c>
      <c r="U137" s="22">
        <f>IF('Growth (no penalty)'!T147&gt;0,1,IF('Growth (no penalty)'!T250&gt;0,4,0))</f>
        <v>0</v>
      </c>
      <c r="V137" s="22">
        <f>IF('Growth (no penalty)'!U147&gt;0,1,IF('Growth (no penalty)'!U250&gt;0,4,0))</f>
        <v>1</v>
      </c>
      <c r="W137" s="22">
        <f>IF('Growth (no penalty)'!V147&gt;0,1,IF('Growth (no penalty)'!V250&gt;0,4,0))</f>
        <v>1</v>
      </c>
      <c r="X137" s="22">
        <f>IF('Growth (no penalty)'!W147&gt;0,1,IF('Growth (no penalty)'!W250&gt;0,4,0))</f>
        <v>4</v>
      </c>
      <c r="Y137" s="22">
        <f>IF('Growth (no penalty)'!X147&gt;0,1,IF('Growth (no penalty)'!X250&gt;0,4,0))</f>
        <v>4</v>
      </c>
      <c r="Z137" s="22">
        <f>IF('Growth (no penalty)'!Y147&gt;0,1,IF('Growth (no penalty)'!Y250&gt;0,4,0))</f>
        <v>4</v>
      </c>
      <c r="AA137" s="22">
        <f>IF('Growth (no penalty)'!Z147&gt;0,1,IF('Growth (no penalty)'!Z250&gt;0,4,0))</f>
        <v>4</v>
      </c>
      <c r="AB137" s="22">
        <f>IF('Growth (no penalty)'!AA147&gt;0,1,IF('Growth (no penalty)'!AA250&gt;0,4,0))</f>
        <v>4</v>
      </c>
      <c r="AC137" s="22">
        <f>IF('Growth (no penalty)'!AB147&gt;0,1,IF('Growth (no penalty)'!AB250&gt;0,4,0))</f>
        <v>4</v>
      </c>
      <c r="AD137" s="22">
        <f>IF('Growth (no penalty)'!AC147&gt;0,1,IF('Growth (no penalty)'!AC250&gt;0,4,0))</f>
        <v>4</v>
      </c>
      <c r="AE137" s="22">
        <f>IF('Growth (no penalty)'!AD147&gt;0,1,IF('Growth (no penalty)'!AD250&gt;0,4,0))</f>
        <v>4</v>
      </c>
      <c r="AF137" s="22">
        <f>IF('Growth (no penalty)'!AE147&gt;0,1,IF('Growth (no penalty)'!AE250&gt;0,4,0))</f>
        <v>4</v>
      </c>
      <c r="AG137" s="22">
        <f>IF('Growth (no penalty)'!AF147&gt;0,1,IF('Growth (no penalty)'!AF250&gt;0,4,0))</f>
        <v>4</v>
      </c>
      <c r="AH137" s="22">
        <f>IF('Growth (no penalty)'!AG147&gt;0,1,IF('Growth (no penalty)'!AG250&gt;0,4,0))</f>
        <v>4</v>
      </c>
      <c r="AI137" s="22">
        <f>IF('Growth (no penalty)'!AH147&gt;0,1,IF('Growth (no penalty)'!AH250&gt;0,4,0))</f>
        <v>4</v>
      </c>
      <c r="AJ137" s="22">
        <f>IF('Growth (no penalty)'!AI147&gt;0,1,IF('Growth (no penalty)'!AI250&gt;0,4,0))</f>
        <v>4</v>
      </c>
      <c r="AK137" s="22">
        <f>IF('Growth (no penalty)'!AJ147&gt;0,1,IF('Growth (no penalty)'!AJ250&gt;0,4,0))</f>
        <v>4</v>
      </c>
      <c r="AL137" s="22">
        <f>IF('Growth (no penalty)'!AK147&gt;0,1,IF('Growth (no penalty)'!AK250&gt;0,4,0))</f>
        <v>4</v>
      </c>
      <c r="AM137" s="22">
        <f>IF('Growth (no penalty)'!AL147&gt;0,1,IF('Growth (no penalty)'!AL250&gt;0,4,0))</f>
        <v>4</v>
      </c>
      <c r="AN137" s="22">
        <f>IF('Growth (no penalty)'!AM147&gt;0,1,IF('Growth (no penalty)'!AM250&gt;0,4,0))</f>
        <v>4</v>
      </c>
      <c r="AO137" s="22">
        <f>IF('Growth (no penalty)'!AN147&gt;0,1,IF('Growth (no penalty)'!AN250&gt;0,4,0))</f>
        <v>4</v>
      </c>
      <c r="AP137" s="22">
        <f>IF('Growth (no penalty)'!AO147&gt;0,1,IF('Growth (no penalty)'!AO250&gt;0,4,0))</f>
        <v>4</v>
      </c>
      <c r="AQ137" s="22">
        <f>IF('Growth (no penalty)'!AP147&gt;0,1,IF('Growth (no penalty)'!AP250&gt;0,4,0))</f>
        <v>4</v>
      </c>
      <c r="AR137" s="22">
        <f>IF('Growth (no penalty)'!AQ147&gt;0,1,IF('Growth (no penalty)'!AQ250&gt;0,4,0))</f>
        <v>4</v>
      </c>
      <c r="AS137" s="22">
        <f>IF('Growth (no penalty)'!AR147&gt;0,1,IF('Growth (no penalty)'!AR250&gt;0,4,0))</f>
        <v>4</v>
      </c>
      <c r="AT137" s="22">
        <f>IF('Growth (no penalty)'!AS147&gt;0,1,IF('Growth (no penalty)'!AS250&gt;0,4,0))</f>
        <v>4</v>
      </c>
      <c r="AU137" s="22">
        <f>IF('Growth (no penalty)'!AT147&gt;0,1,IF('Growth (no penalty)'!AT250&gt;0,4,0))</f>
        <v>4</v>
      </c>
      <c r="AV137" s="22">
        <f>IF('Growth (no penalty)'!AU147&gt;0,1,IF('Growth (no penalty)'!AU250&gt;0,4,0))</f>
        <v>4</v>
      </c>
      <c r="AW137" s="22">
        <f>IF('Growth (no penalty)'!AV147&gt;0,1,IF('Growth (no penalty)'!AV250&gt;0,4,0))</f>
        <v>4</v>
      </c>
      <c r="AX137" s="22">
        <f>IF('Growth (no penalty)'!AW147&gt;0,1,IF('Growth (no penalty)'!AW250&gt;0,4,0))</f>
        <v>4</v>
      </c>
      <c r="AY137" s="22">
        <f>IF('Growth (no penalty)'!AX147&gt;0,1,IF('Growth (no penalty)'!AX250&gt;0,4,0))</f>
        <v>4</v>
      </c>
      <c r="AZ137" s="22">
        <f>IF('Growth (no penalty)'!AY147&gt;0,1,IF('Growth (no penalty)'!AY250&gt;0,4,0))</f>
        <v>4</v>
      </c>
      <c r="BA137" s="22">
        <f>IF('Growth (no penalty)'!AZ147&gt;0,1,IF('Growth (no penalty)'!AZ250&gt;0,4,0))</f>
        <v>4</v>
      </c>
      <c r="BB137" s="22">
        <f>IF('Growth (no penalty)'!BA147&gt;0,1,IF('Growth (no penalty)'!BA250&gt;0,4,0))</f>
        <v>4</v>
      </c>
      <c r="BC137" s="22">
        <f>IF('Growth (no penalty)'!BB147&gt;0,1,IF('Growth (no penalty)'!BB250&gt;0,4,0))</f>
        <v>4</v>
      </c>
      <c r="BD137" s="22">
        <f>IF('Growth (no penalty)'!BC147&gt;0,1,IF('Growth (no penalty)'!BC250&gt;0,4,0))</f>
        <v>4</v>
      </c>
      <c r="BE137" s="22">
        <f>IF('Growth (no penalty)'!BD147&gt;0,1,IF('Growth (no penalty)'!BD250&gt;0,4,0))</f>
        <v>4</v>
      </c>
      <c r="BF137" s="22">
        <f>IF('Growth (no penalty)'!BE147&gt;0,1,IF('Growth (no penalty)'!BE250&gt;0,4,0))</f>
        <v>4</v>
      </c>
      <c r="BG137" s="22">
        <f>IF('Growth (no penalty)'!BF147&gt;0,1,IF('Growth (no penalty)'!BF250&gt;0,4,0))</f>
        <v>4</v>
      </c>
      <c r="BH137" s="22">
        <f>IF('Growth (no penalty)'!BG147&gt;0,1,IF('Growth (no penalty)'!BG250&gt;0,4,0))</f>
        <v>4</v>
      </c>
      <c r="BI137" s="22">
        <f>IF('Growth (no penalty)'!BH147&gt;0,1,IF('Growth (no penalty)'!BH250&gt;0,4,0))</f>
        <v>4</v>
      </c>
      <c r="BJ137" s="22">
        <f>IF('Growth (no penalty)'!BI147&gt;0,1,IF('Growth (no penalty)'!BI250&gt;0,4,0))</f>
        <v>4</v>
      </c>
      <c r="BK137" s="23">
        <f>IF('Growth (no penalty)'!BJ147&gt;0,1,IF('Growth (no penalty)'!BJ250&gt;0,4,0))</f>
        <v>4</v>
      </c>
    </row>
    <row r="138" spans="1:63" x14ac:dyDescent="0.3">
      <c r="A138" s="4" t="str">
        <f>'Growth profile'!A78</f>
        <v>project 112</v>
      </c>
      <c r="B138" s="13" t="s">
        <v>3</v>
      </c>
      <c r="C138" s="19">
        <f>'Raw profile'!I78</f>
        <v>2032</v>
      </c>
      <c r="D138" s="20">
        <f>IF('Raw profile'!C186&gt;0,1,IF('Raw profile'!C289&gt;0,2,0))</f>
        <v>0</v>
      </c>
      <c r="E138" s="20">
        <f>IF('Raw profile'!D186&gt;0,1,IF('Raw profile'!D289&gt;0,2,0))</f>
        <v>0</v>
      </c>
      <c r="F138" s="20">
        <f>IF('Raw profile'!E186&gt;0,1,IF('Raw profile'!E289&gt;0,2,0))</f>
        <v>0</v>
      </c>
      <c r="G138" s="20">
        <f>IF('Raw profile'!F186&gt;0,1,IF('Raw profile'!F289&gt;0,2,0))</f>
        <v>0</v>
      </c>
      <c r="H138" s="20">
        <f>IF('Raw profile'!G186&gt;0,1,IF('Raw profile'!G289&gt;0,2,0))</f>
        <v>0</v>
      </c>
      <c r="I138" s="20">
        <f>IF('Raw profile'!H186&gt;0,1,IF('Raw profile'!H289&gt;0,2,0))</f>
        <v>0</v>
      </c>
      <c r="J138" s="20">
        <f>IF('Raw profile'!I186&gt;0,1,IF('Raw profile'!I289&gt;0,2,0))</f>
        <v>1</v>
      </c>
      <c r="K138" s="20">
        <f>IF('Raw profile'!J186&gt;0,1,IF('Raw profile'!J289&gt;0,2,0))</f>
        <v>1</v>
      </c>
      <c r="L138" s="20">
        <f>IF('Raw profile'!K186&gt;0,1,IF('Raw profile'!K289&gt;0,2,0))</f>
        <v>1</v>
      </c>
      <c r="M138" s="20">
        <f>IF('Raw profile'!L186&gt;0,1,IF('Raw profile'!L289&gt;0,2,0))</f>
        <v>2</v>
      </c>
      <c r="N138" s="20">
        <f>IF('Raw profile'!M186&gt;0,1,IF('Raw profile'!M289&gt;0,2,0))</f>
        <v>2</v>
      </c>
      <c r="O138" s="20">
        <f>IF('Raw profile'!N186&gt;0,1,IF('Raw profile'!N289&gt;0,2,0))</f>
        <v>2</v>
      </c>
      <c r="P138" s="20">
        <f>IF('Raw profile'!O186&gt;0,1,IF('Raw profile'!O289&gt;0,2,0))</f>
        <v>2</v>
      </c>
      <c r="Q138" s="20">
        <f>IF('Raw profile'!P186&gt;0,1,IF('Raw profile'!P289&gt;0,2,0))</f>
        <v>2</v>
      </c>
      <c r="R138" s="20">
        <f>IF('Raw profile'!Q186&gt;0,1,IF('Raw profile'!Q289&gt;0,2,0))</f>
        <v>2</v>
      </c>
      <c r="S138" s="20">
        <f>IF('Raw profile'!R186&gt;0,1,IF('Raw profile'!R289&gt;0,2,0))</f>
        <v>2</v>
      </c>
      <c r="T138" s="20">
        <f>IF('Raw profile'!S186&gt;0,1,IF('Raw profile'!S289&gt;0,2,0))</f>
        <v>2</v>
      </c>
      <c r="U138" s="20">
        <f>IF('Raw profile'!T186&gt;0,1,IF('Raw profile'!T289&gt;0,2,0))</f>
        <v>2</v>
      </c>
      <c r="V138" s="20">
        <f>IF('Raw profile'!U186&gt;0,1,IF('Raw profile'!U289&gt;0,2,0))</f>
        <v>2</v>
      </c>
      <c r="W138" s="20">
        <f>IF('Raw profile'!V186&gt;0,1,IF('Raw profile'!V289&gt;0,2,0))</f>
        <v>2</v>
      </c>
      <c r="X138" s="20">
        <f>IF('Raw profile'!W186&gt;0,1,IF('Raw profile'!W289&gt;0,2,0))</f>
        <v>2</v>
      </c>
      <c r="Y138" s="20">
        <f>IF('Raw profile'!X186&gt;0,1,IF('Raw profile'!X289&gt;0,2,0))</f>
        <v>2</v>
      </c>
      <c r="Z138" s="20">
        <f>IF('Raw profile'!Y186&gt;0,1,IF('Raw profile'!Y289&gt;0,2,0))</f>
        <v>2</v>
      </c>
      <c r="AA138" s="20">
        <f>IF('Raw profile'!Z186&gt;0,1,IF('Raw profile'!Z289&gt;0,2,0))</f>
        <v>2</v>
      </c>
      <c r="AB138" s="20">
        <f>IF('Raw profile'!AA186&gt;0,1,IF('Raw profile'!AA289&gt;0,2,0))</f>
        <v>2</v>
      </c>
      <c r="AC138" s="20">
        <f>IF('Raw profile'!AB186&gt;0,1,IF('Raw profile'!AB289&gt;0,2,0))</f>
        <v>2</v>
      </c>
      <c r="AD138" s="20">
        <f>IF('Raw profile'!AC186&gt;0,1,IF('Raw profile'!AC289&gt;0,2,0))</f>
        <v>2</v>
      </c>
      <c r="AE138" s="20">
        <f>IF('Raw profile'!AD186&gt;0,1,IF('Raw profile'!AD289&gt;0,2,0))</f>
        <v>2</v>
      </c>
      <c r="AF138" s="20">
        <f>IF('Raw profile'!AE186&gt;0,1,IF('Raw profile'!AE289&gt;0,2,0))</f>
        <v>2</v>
      </c>
      <c r="AG138" s="20">
        <f>IF('Raw profile'!AF186&gt;0,1,IF('Raw profile'!AF289&gt;0,2,0))</f>
        <v>2</v>
      </c>
      <c r="AH138" s="20">
        <f>IF('Raw profile'!AG186&gt;0,1,IF('Raw profile'!AG289&gt;0,2,0))</f>
        <v>2</v>
      </c>
      <c r="AI138" s="20">
        <f>IF('Raw profile'!AH186&gt;0,1,IF('Raw profile'!AH289&gt;0,2,0))</f>
        <v>2</v>
      </c>
      <c r="AJ138" s="20">
        <f>IF('Raw profile'!AI186&gt;0,1,IF('Raw profile'!AI289&gt;0,2,0))</f>
        <v>2</v>
      </c>
      <c r="AK138" s="20">
        <f>IF('Raw profile'!AJ186&gt;0,1,IF('Raw profile'!AJ289&gt;0,2,0))</f>
        <v>2</v>
      </c>
      <c r="AL138" s="20">
        <f>IF('Raw profile'!AK186&gt;0,1,IF('Raw profile'!AK289&gt;0,2,0))</f>
        <v>2</v>
      </c>
      <c r="AM138" s="20">
        <f>IF('Raw profile'!AL186&gt;0,1,IF('Raw profile'!AL289&gt;0,2,0))</f>
        <v>2</v>
      </c>
      <c r="AN138" s="20">
        <f>IF('Raw profile'!AM186&gt;0,1,IF('Raw profile'!AM289&gt;0,2,0))</f>
        <v>2</v>
      </c>
      <c r="AO138" s="20">
        <f>IF('Raw profile'!AN186&gt;0,1,IF('Raw profile'!AN289&gt;0,2,0))</f>
        <v>2</v>
      </c>
      <c r="AP138" s="20">
        <f>IF('Raw profile'!AO186&gt;0,1,IF('Raw profile'!AO289&gt;0,2,0))</f>
        <v>2</v>
      </c>
      <c r="AQ138" s="20">
        <f>IF('Raw profile'!AP186&gt;0,1,IF('Raw profile'!AP289&gt;0,2,0))</f>
        <v>2</v>
      </c>
      <c r="AR138" s="20">
        <f>IF('Raw profile'!AQ186&gt;0,1,IF('Raw profile'!AQ289&gt;0,2,0))</f>
        <v>2</v>
      </c>
      <c r="AS138" s="20">
        <f>IF('Raw profile'!AR186&gt;0,1,IF('Raw profile'!AR289&gt;0,2,0))</f>
        <v>2</v>
      </c>
      <c r="AT138" s="20">
        <f>IF('Raw profile'!AS186&gt;0,1,IF('Raw profile'!AS289&gt;0,2,0))</f>
        <v>2</v>
      </c>
      <c r="AU138" s="20">
        <f>IF('Raw profile'!AT186&gt;0,1,IF('Raw profile'!AT289&gt;0,2,0))</f>
        <v>2</v>
      </c>
      <c r="AV138" s="20">
        <f>IF('Raw profile'!AU186&gt;0,1,IF('Raw profile'!AU289&gt;0,2,0))</f>
        <v>2</v>
      </c>
      <c r="AW138" s="20">
        <f>IF('Raw profile'!AV186&gt;0,1,IF('Raw profile'!AV289&gt;0,2,0))</f>
        <v>2</v>
      </c>
      <c r="AX138" s="20">
        <f>IF('Raw profile'!AW186&gt;0,1,IF('Raw profile'!AW289&gt;0,2,0))</f>
        <v>2</v>
      </c>
      <c r="AY138" s="20">
        <f>IF('Raw profile'!AX186&gt;0,1,IF('Raw profile'!AX289&gt;0,2,0))</f>
        <v>2</v>
      </c>
      <c r="AZ138" s="20">
        <f>IF('Raw profile'!AY186&gt;0,1,IF('Raw profile'!AY289&gt;0,2,0))</f>
        <v>2</v>
      </c>
      <c r="BA138" s="20">
        <f>IF('Raw profile'!AZ186&gt;0,1,IF('Raw profile'!AZ289&gt;0,2,0))</f>
        <v>0</v>
      </c>
      <c r="BB138" s="20">
        <f>IF('Raw profile'!BA186&gt;0,1,IF('Raw profile'!BA289&gt;0,2,0))</f>
        <v>0</v>
      </c>
      <c r="BC138" s="20">
        <f>IF('Raw profile'!BB186&gt;0,1,IF('Raw profile'!BB289&gt;0,2,0))</f>
        <v>0</v>
      </c>
      <c r="BD138" s="20">
        <f>IF('Raw profile'!BC186&gt;0,1,IF('Raw profile'!BC289&gt;0,2,0))</f>
        <v>0</v>
      </c>
      <c r="BE138" s="20">
        <f>IF('Raw profile'!BD186&gt;0,1,IF('Raw profile'!BD289&gt;0,2,0))</f>
        <v>0</v>
      </c>
      <c r="BF138" s="20">
        <f>IF('Raw profile'!BE186&gt;0,1,IF('Raw profile'!BE289&gt;0,2,0))</f>
        <v>0</v>
      </c>
      <c r="BG138" s="20">
        <f>IF('Raw profile'!BF186&gt;0,1,IF('Raw profile'!BF289&gt;0,2,0))</f>
        <v>0</v>
      </c>
      <c r="BH138" s="20">
        <f>IF('Raw profile'!BG186&gt;0,1,IF('Raw profile'!BG289&gt;0,2,0))</f>
        <v>0</v>
      </c>
      <c r="BI138" s="20">
        <f>IF('Raw profile'!BH186&gt;0,1,IF('Raw profile'!BH289&gt;0,2,0))</f>
        <v>0</v>
      </c>
      <c r="BJ138" s="20">
        <f>IF('Raw profile'!BI186&gt;0,1,IF('Raw profile'!BI289&gt;0,2,0))</f>
        <v>0</v>
      </c>
      <c r="BK138" s="21">
        <f>IF('Raw profile'!BJ186&gt;0,1,IF('Raw profile'!BJ289&gt;0,2,0))</f>
        <v>0</v>
      </c>
    </row>
    <row r="139" spans="1:63" x14ac:dyDescent="0.3">
      <c r="B139" s="13" t="s">
        <v>4</v>
      </c>
      <c r="C139" s="19">
        <f>'Growth profile'!I78</f>
        <v>2035</v>
      </c>
      <c r="D139" s="20">
        <f>IF('Growth profile'!C186&gt;0,1,IF('Growth profile'!C289&gt;0,3,0))</f>
        <v>0</v>
      </c>
      <c r="E139" s="20">
        <f>IF('Growth profile'!D186&gt;0,1,IF('Growth profile'!D289&gt;0,3,0))</f>
        <v>0</v>
      </c>
      <c r="F139" s="20">
        <f>IF('Growth profile'!E186&gt;0,1,IF('Growth profile'!E289&gt;0,3,0))</f>
        <v>0</v>
      </c>
      <c r="G139" s="20">
        <f>IF('Growth profile'!F186&gt;0,1,IF('Growth profile'!F289&gt;0,3,0))</f>
        <v>0</v>
      </c>
      <c r="H139" s="20">
        <f>IF('Growth profile'!G186&gt;0,1,IF('Growth profile'!G289&gt;0,3,0))</f>
        <v>0</v>
      </c>
      <c r="I139" s="20">
        <f>IF('Growth profile'!H186&gt;0,1,IF('Growth profile'!H289&gt;0,3,0))</f>
        <v>0</v>
      </c>
      <c r="J139" s="20">
        <f>IF('Growth profile'!I186&gt;0,1,IF('Growth profile'!I289&gt;0,3,0))</f>
        <v>0</v>
      </c>
      <c r="K139" s="20">
        <f>IF('Growth profile'!J186&gt;0,1,IF('Growth profile'!J289&gt;0,3,0))</f>
        <v>0</v>
      </c>
      <c r="L139" s="20">
        <f>IF('Growth profile'!K186&gt;0,1,IF('Growth profile'!K289&gt;0,3,0))</f>
        <v>0</v>
      </c>
      <c r="M139" s="20">
        <f>IF('Growth profile'!L186&gt;0,1,IF('Growth profile'!L289&gt;0,3,0))</f>
        <v>1</v>
      </c>
      <c r="N139" s="20">
        <f>IF('Growth profile'!M186&gt;0,1,IF('Growth profile'!M289&gt;0,3,0))</f>
        <v>1</v>
      </c>
      <c r="O139" s="20">
        <f>IF('Growth profile'!N186&gt;0,1,IF('Growth profile'!N289&gt;0,3,0))</f>
        <v>1</v>
      </c>
      <c r="P139" s="20">
        <f>IF('Growth profile'!O186&gt;0,1,IF('Growth profile'!O289&gt;0,3,0))</f>
        <v>3</v>
      </c>
      <c r="Q139" s="20">
        <f>IF('Growth profile'!P186&gt;0,1,IF('Growth profile'!P289&gt;0,3,0))</f>
        <v>3</v>
      </c>
      <c r="R139" s="20">
        <f>IF('Growth profile'!Q186&gt;0,1,IF('Growth profile'!Q289&gt;0,3,0))</f>
        <v>3</v>
      </c>
      <c r="S139" s="20">
        <f>IF('Growth profile'!R186&gt;0,1,IF('Growth profile'!R289&gt;0,3,0))</f>
        <v>3</v>
      </c>
      <c r="T139" s="20">
        <f>IF('Growth profile'!S186&gt;0,1,IF('Growth profile'!S289&gt;0,3,0))</f>
        <v>3</v>
      </c>
      <c r="U139" s="20">
        <f>IF('Growth profile'!T186&gt;0,1,IF('Growth profile'!T289&gt;0,3,0))</f>
        <v>3</v>
      </c>
      <c r="V139" s="20">
        <f>IF('Growth profile'!U186&gt;0,1,IF('Growth profile'!U289&gt;0,3,0))</f>
        <v>3</v>
      </c>
      <c r="W139" s="20">
        <f>IF('Growth profile'!V186&gt;0,1,IF('Growth profile'!V289&gt;0,3,0))</f>
        <v>3</v>
      </c>
      <c r="X139" s="20">
        <f>IF('Growth profile'!W186&gt;0,1,IF('Growth profile'!W289&gt;0,3,0))</f>
        <v>3</v>
      </c>
      <c r="Y139" s="20">
        <f>IF('Growth profile'!X186&gt;0,1,IF('Growth profile'!X289&gt;0,3,0))</f>
        <v>3</v>
      </c>
      <c r="Z139" s="20">
        <f>IF('Growth profile'!Y186&gt;0,1,IF('Growth profile'!Y289&gt;0,3,0))</f>
        <v>3</v>
      </c>
      <c r="AA139" s="20">
        <f>IF('Growth profile'!Z186&gt;0,1,IF('Growth profile'!Z289&gt;0,3,0))</f>
        <v>3</v>
      </c>
      <c r="AB139" s="20">
        <f>IF('Growth profile'!AA186&gt;0,1,IF('Growth profile'!AA289&gt;0,3,0))</f>
        <v>3</v>
      </c>
      <c r="AC139" s="20">
        <f>IF('Growth profile'!AB186&gt;0,1,IF('Growth profile'!AB289&gt;0,3,0))</f>
        <v>3</v>
      </c>
      <c r="AD139" s="20">
        <f>IF('Growth profile'!AC186&gt;0,1,IF('Growth profile'!AC289&gt;0,3,0))</f>
        <v>3</v>
      </c>
      <c r="AE139" s="20">
        <f>IF('Growth profile'!AD186&gt;0,1,IF('Growth profile'!AD289&gt;0,3,0))</f>
        <v>3</v>
      </c>
      <c r="AF139" s="20">
        <f>IF('Growth profile'!AE186&gt;0,1,IF('Growth profile'!AE289&gt;0,3,0))</f>
        <v>3</v>
      </c>
      <c r="AG139" s="20">
        <f>IF('Growth profile'!AF186&gt;0,1,IF('Growth profile'!AF289&gt;0,3,0))</f>
        <v>3</v>
      </c>
      <c r="AH139" s="20">
        <f>IF('Growth profile'!AG186&gt;0,1,IF('Growth profile'!AG289&gt;0,3,0))</f>
        <v>3</v>
      </c>
      <c r="AI139" s="20">
        <f>IF('Growth profile'!AH186&gt;0,1,IF('Growth profile'!AH289&gt;0,3,0))</f>
        <v>3</v>
      </c>
      <c r="AJ139" s="20">
        <f>IF('Growth profile'!AI186&gt;0,1,IF('Growth profile'!AI289&gt;0,3,0))</f>
        <v>3</v>
      </c>
      <c r="AK139" s="20">
        <f>IF('Growth profile'!AJ186&gt;0,1,IF('Growth profile'!AJ289&gt;0,3,0))</f>
        <v>3</v>
      </c>
      <c r="AL139" s="20">
        <f>IF('Growth profile'!AK186&gt;0,1,IF('Growth profile'!AK289&gt;0,3,0))</f>
        <v>3</v>
      </c>
      <c r="AM139" s="20">
        <f>IF('Growth profile'!AL186&gt;0,1,IF('Growth profile'!AL289&gt;0,3,0))</f>
        <v>3</v>
      </c>
      <c r="AN139" s="20">
        <f>IF('Growth profile'!AM186&gt;0,1,IF('Growth profile'!AM289&gt;0,3,0))</f>
        <v>3</v>
      </c>
      <c r="AO139" s="20">
        <f>IF('Growth profile'!AN186&gt;0,1,IF('Growth profile'!AN289&gt;0,3,0))</f>
        <v>3</v>
      </c>
      <c r="AP139" s="20">
        <f>IF('Growth profile'!AO186&gt;0,1,IF('Growth profile'!AO289&gt;0,3,0))</f>
        <v>3</v>
      </c>
      <c r="AQ139" s="20">
        <f>IF('Growth profile'!AP186&gt;0,1,IF('Growth profile'!AP289&gt;0,3,0))</f>
        <v>3</v>
      </c>
      <c r="AR139" s="20">
        <f>IF('Growth profile'!AQ186&gt;0,1,IF('Growth profile'!AQ289&gt;0,3,0))</f>
        <v>3</v>
      </c>
      <c r="AS139" s="20">
        <f>IF('Growth profile'!AR186&gt;0,1,IF('Growth profile'!AR289&gt;0,3,0))</f>
        <v>3</v>
      </c>
      <c r="AT139" s="20">
        <f>IF('Growth profile'!AS186&gt;0,1,IF('Growth profile'!AS289&gt;0,3,0))</f>
        <v>3</v>
      </c>
      <c r="AU139" s="20">
        <f>IF('Growth profile'!AT186&gt;0,1,IF('Growth profile'!AT289&gt;0,3,0))</f>
        <v>3</v>
      </c>
      <c r="AV139" s="20">
        <f>IF('Growth profile'!AU186&gt;0,1,IF('Growth profile'!AU289&gt;0,3,0))</f>
        <v>3</v>
      </c>
      <c r="AW139" s="20">
        <f>IF('Growth profile'!AV186&gt;0,1,IF('Growth profile'!AV289&gt;0,3,0))</f>
        <v>3</v>
      </c>
      <c r="AX139" s="20">
        <f>IF('Growth profile'!AW186&gt;0,1,IF('Growth profile'!AW289&gt;0,3,0))</f>
        <v>3</v>
      </c>
      <c r="AY139" s="20">
        <f>IF('Growth profile'!AX186&gt;0,1,IF('Growth profile'!AX289&gt;0,3,0))</f>
        <v>3</v>
      </c>
      <c r="AZ139" s="20">
        <f>IF('Growth profile'!AY186&gt;0,1,IF('Growth profile'!AY289&gt;0,3,0))</f>
        <v>3</v>
      </c>
      <c r="BA139" s="20">
        <f>IF('Growth profile'!AZ186&gt;0,1,IF('Growth profile'!AZ289&gt;0,3,0))</f>
        <v>3</v>
      </c>
      <c r="BB139" s="20">
        <f>IF('Growth profile'!BA186&gt;0,1,IF('Growth profile'!BA289&gt;0,3,0))</f>
        <v>3</v>
      </c>
      <c r="BC139" s="20">
        <f>IF('Growth profile'!BB186&gt;0,1,IF('Growth profile'!BB289&gt;0,3,0))</f>
        <v>3</v>
      </c>
      <c r="BD139" s="20">
        <f>IF('Growth profile'!BC186&gt;0,1,IF('Growth profile'!BC289&gt;0,3,0))</f>
        <v>0</v>
      </c>
      <c r="BE139" s="20">
        <f>IF('Growth profile'!BD186&gt;0,1,IF('Growth profile'!BD289&gt;0,3,0))</f>
        <v>0</v>
      </c>
      <c r="BF139" s="20">
        <f>IF('Growth profile'!BE186&gt;0,1,IF('Growth profile'!BE289&gt;0,3,0))</f>
        <v>0</v>
      </c>
      <c r="BG139" s="20">
        <f>IF('Growth profile'!BF186&gt;0,1,IF('Growth profile'!BF289&gt;0,3,0))</f>
        <v>0</v>
      </c>
      <c r="BH139" s="20">
        <f>IF('Growth profile'!BG186&gt;0,1,IF('Growth profile'!BG289&gt;0,3,0))</f>
        <v>0</v>
      </c>
      <c r="BI139" s="20">
        <f>IF('Growth profile'!BH186&gt;0,1,IF('Growth profile'!BH289&gt;0,3,0))</f>
        <v>0</v>
      </c>
      <c r="BJ139" s="20">
        <f>IF('Growth profile'!BI186&gt;0,1,IF('Growth profile'!BI289&gt;0,3,0))</f>
        <v>0</v>
      </c>
      <c r="BK139" s="21">
        <f>IF('Growth profile'!BJ186&gt;0,1,IF('Growth profile'!BJ289&gt;0,3,0))</f>
        <v>0</v>
      </c>
    </row>
    <row r="140" spans="1:63" x14ac:dyDescent="0.3">
      <c r="B140" s="13" t="s">
        <v>59</v>
      </c>
      <c r="C140" s="19">
        <f>'Growth (no penalty)'!I78</f>
        <v>2043</v>
      </c>
      <c r="D140" s="22">
        <f>IF('Growth (no penalty)'!C186&gt;0,1,IF('Growth (no penalty)'!C289&gt;0,4,0))</f>
        <v>0</v>
      </c>
      <c r="E140" s="22">
        <f>IF('Growth (no penalty)'!D186&gt;0,1,IF('Growth (no penalty)'!D289&gt;0,4,0))</f>
        <v>0</v>
      </c>
      <c r="F140" s="22">
        <f>IF('Growth (no penalty)'!E186&gt;0,1,IF('Growth (no penalty)'!E289&gt;0,4,0))</f>
        <v>0</v>
      </c>
      <c r="G140" s="22">
        <f>IF('Growth (no penalty)'!F186&gt;0,1,IF('Growth (no penalty)'!F289&gt;0,4,0))</f>
        <v>0</v>
      </c>
      <c r="H140" s="22">
        <f>IF('Growth (no penalty)'!G186&gt;0,1,IF('Growth (no penalty)'!G289&gt;0,4,0))</f>
        <v>0</v>
      </c>
      <c r="I140" s="22">
        <f>IF('Growth (no penalty)'!H186&gt;0,1,IF('Growth (no penalty)'!H289&gt;0,4,0))</f>
        <v>0</v>
      </c>
      <c r="J140" s="22">
        <f>IF('Growth (no penalty)'!I186&gt;0,1,IF('Growth (no penalty)'!I289&gt;0,4,0))</f>
        <v>0</v>
      </c>
      <c r="K140" s="22">
        <f>IF('Growth (no penalty)'!J186&gt;0,1,IF('Growth (no penalty)'!J289&gt;0,4,0))</f>
        <v>0</v>
      </c>
      <c r="L140" s="22">
        <f>IF('Growth (no penalty)'!K186&gt;0,1,IF('Growth (no penalty)'!K289&gt;0,4,0))</f>
        <v>0</v>
      </c>
      <c r="M140" s="22">
        <f>IF('Growth (no penalty)'!L186&gt;0,1,IF('Growth (no penalty)'!L289&gt;0,4,0))</f>
        <v>0</v>
      </c>
      <c r="N140" s="22">
        <f>IF('Growth (no penalty)'!M186&gt;0,1,IF('Growth (no penalty)'!M289&gt;0,4,0))</f>
        <v>0</v>
      </c>
      <c r="O140" s="22">
        <f>IF('Growth (no penalty)'!N186&gt;0,1,IF('Growth (no penalty)'!N289&gt;0,4,0))</f>
        <v>0</v>
      </c>
      <c r="P140" s="22">
        <f>IF('Growth (no penalty)'!O186&gt;0,1,IF('Growth (no penalty)'!O289&gt;0,4,0))</f>
        <v>0</v>
      </c>
      <c r="Q140" s="22">
        <f>IF('Growth (no penalty)'!P186&gt;0,1,IF('Growth (no penalty)'!P289&gt;0,4,0))</f>
        <v>0</v>
      </c>
      <c r="R140" s="22">
        <f>IF('Growth (no penalty)'!Q186&gt;0,1,IF('Growth (no penalty)'!Q289&gt;0,4,0))</f>
        <v>0</v>
      </c>
      <c r="S140" s="22">
        <f>IF('Growth (no penalty)'!R186&gt;0,1,IF('Growth (no penalty)'!R289&gt;0,4,0))</f>
        <v>0</v>
      </c>
      <c r="T140" s="22">
        <f>IF('Growth (no penalty)'!S186&gt;0,1,IF('Growth (no penalty)'!S289&gt;0,4,0))</f>
        <v>0</v>
      </c>
      <c r="U140" s="22">
        <f>IF('Growth (no penalty)'!T186&gt;0,1,IF('Growth (no penalty)'!T289&gt;0,4,0))</f>
        <v>1</v>
      </c>
      <c r="V140" s="22">
        <f>IF('Growth (no penalty)'!U186&gt;0,1,IF('Growth (no penalty)'!U289&gt;0,4,0))</f>
        <v>1</v>
      </c>
      <c r="W140" s="22">
        <f>IF('Growth (no penalty)'!V186&gt;0,1,IF('Growth (no penalty)'!V289&gt;0,4,0))</f>
        <v>1</v>
      </c>
      <c r="X140" s="22">
        <f>IF('Growth (no penalty)'!W186&gt;0,1,IF('Growth (no penalty)'!W289&gt;0,4,0))</f>
        <v>4</v>
      </c>
      <c r="Y140" s="22">
        <f>IF('Growth (no penalty)'!X186&gt;0,1,IF('Growth (no penalty)'!X289&gt;0,4,0))</f>
        <v>4</v>
      </c>
      <c r="Z140" s="22">
        <f>IF('Growth (no penalty)'!Y186&gt;0,1,IF('Growth (no penalty)'!Y289&gt;0,4,0))</f>
        <v>4</v>
      </c>
      <c r="AA140" s="22">
        <f>IF('Growth (no penalty)'!Z186&gt;0,1,IF('Growth (no penalty)'!Z289&gt;0,4,0))</f>
        <v>4</v>
      </c>
      <c r="AB140" s="22">
        <f>IF('Growth (no penalty)'!AA186&gt;0,1,IF('Growth (no penalty)'!AA289&gt;0,4,0))</f>
        <v>4</v>
      </c>
      <c r="AC140" s="22">
        <f>IF('Growth (no penalty)'!AB186&gt;0,1,IF('Growth (no penalty)'!AB289&gt;0,4,0))</f>
        <v>4</v>
      </c>
      <c r="AD140" s="22">
        <f>IF('Growth (no penalty)'!AC186&gt;0,1,IF('Growth (no penalty)'!AC289&gt;0,4,0))</f>
        <v>4</v>
      </c>
      <c r="AE140" s="22">
        <f>IF('Growth (no penalty)'!AD186&gt;0,1,IF('Growth (no penalty)'!AD289&gt;0,4,0))</f>
        <v>4</v>
      </c>
      <c r="AF140" s="22">
        <f>IF('Growth (no penalty)'!AE186&gt;0,1,IF('Growth (no penalty)'!AE289&gt;0,4,0))</f>
        <v>4</v>
      </c>
      <c r="AG140" s="22">
        <f>IF('Growth (no penalty)'!AF186&gt;0,1,IF('Growth (no penalty)'!AF289&gt;0,4,0))</f>
        <v>4</v>
      </c>
      <c r="AH140" s="22">
        <f>IF('Growth (no penalty)'!AG186&gt;0,1,IF('Growth (no penalty)'!AG289&gt;0,4,0))</f>
        <v>4</v>
      </c>
      <c r="AI140" s="22">
        <f>IF('Growth (no penalty)'!AH186&gt;0,1,IF('Growth (no penalty)'!AH289&gt;0,4,0))</f>
        <v>4</v>
      </c>
      <c r="AJ140" s="22">
        <f>IF('Growth (no penalty)'!AI186&gt;0,1,IF('Growth (no penalty)'!AI289&gt;0,4,0))</f>
        <v>4</v>
      </c>
      <c r="AK140" s="22">
        <f>IF('Growth (no penalty)'!AJ186&gt;0,1,IF('Growth (no penalty)'!AJ289&gt;0,4,0))</f>
        <v>4</v>
      </c>
      <c r="AL140" s="22">
        <f>IF('Growth (no penalty)'!AK186&gt;0,1,IF('Growth (no penalty)'!AK289&gt;0,4,0))</f>
        <v>4</v>
      </c>
      <c r="AM140" s="22">
        <f>IF('Growth (no penalty)'!AL186&gt;0,1,IF('Growth (no penalty)'!AL289&gt;0,4,0))</f>
        <v>4</v>
      </c>
      <c r="AN140" s="22">
        <f>IF('Growth (no penalty)'!AM186&gt;0,1,IF('Growth (no penalty)'!AM289&gt;0,4,0))</f>
        <v>4</v>
      </c>
      <c r="AO140" s="22">
        <f>IF('Growth (no penalty)'!AN186&gt;0,1,IF('Growth (no penalty)'!AN289&gt;0,4,0))</f>
        <v>4</v>
      </c>
      <c r="AP140" s="22">
        <f>IF('Growth (no penalty)'!AO186&gt;0,1,IF('Growth (no penalty)'!AO289&gt;0,4,0))</f>
        <v>4</v>
      </c>
      <c r="AQ140" s="22">
        <f>IF('Growth (no penalty)'!AP186&gt;0,1,IF('Growth (no penalty)'!AP289&gt;0,4,0))</f>
        <v>4</v>
      </c>
      <c r="AR140" s="22">
        <f>IF('Growth (no penalty)'!AQ186&gt;0,1,IF('Growth (no penalty)'!AQ289&gt;0,4,0))</f>
        <v>4</v>
      </c>
      <c r="AS140" s="22">
        <f>IF('Growth (no penalty)'!AR186&gt;0,1,IF('Growth (no penalty)'!AR289&gt;0,4,0))</f>
        <v>4</v>
      </c>
      <c r="AT140" s="22">
        <f>IF('Growth (no penalty)'!AS186&gt;0,1,IF('Growth (no penalty)'!AS289&gt;0,4,0))</f>
        <v>4</v>
      </c>
      <c r="AU140" s="22">
        <f>IF('Growth (no penalty)'!AT186&gt;0,1,IF('Growth (no penalty)'!AT289&gt;0,4,0))</f>
        <v>4</v>
      </c>
      <c r="AV140" s="22">
        <f>IF('Growth (no penalty)'!AU186&gt;0,1,IF('Growth (no penalty)'!AU289&gt;0,4,0))</f>
        <v>4</v>
      </c>
      <c r="AW140" s="22">
        <f>IF('Growth (no penalty)'!AV186&gt;0,1,IF('Growth (no penalty)'!AV289&gt;0,4,0))</f>
        <v>4</v>
      </c>
      <c r="AX140" s="22">
        <f>IF('Growth (no penalty)'!AW186&gt;0,1,IF('Growth (no penalty)'!AW289&gt;0,4,0))</f>
        <v>4</v>
      </c>
      <c r="AY140" s="22">
        <f>IF('Growth (no penalty)'!AX186&gt;0,1,IF('Growth (no penalty)'!AX289&gt;0,4,0))</f>
        <v>4</v>
      </c>
      <c r="AZ140" s="22">
        <f>IF('Growth (no penalty)'!AY186&gt;0,1,IF('Growth (no penalty)'!AY289&gt;0,4,0))</f>
        <v>4</v>
      </c>
      <c r="BA140" s="22">
        <f>IF('Growth (no penalty)'!AZ186&gt;0,1,IF('Growth (no penalty)'!AZ289&gt;0,4,0))</f>
        <v>4</v>
      </c>
      <c r="BB140" s="22">
        <f>IF('Growth (no penalty)'!BA186&gt;0,1,IF('Growth (no penalty)'!BA289&gt;0,4,0))</f>
        <v>4</v>
      </c>
      <c r="BC140" s="22">
        <f>IF('Growth (no penalty)'!BB186&gt;0,1,IF('Growth (no penalty)'!BB289&gt;0,4,0))</f>
        <v>4</v>
      </c>
      <c r="BD140" s="22">
        <f>IF('Growth (no penalty)'!BC186&gt;0,1,IF('Growth (no penalty)'!BC289&gt;0,4,0))</f>
        <v>4</v>
      </c>
      <c r="BE140" s="22">
        <f>IF('Growth (no penalty)'!BD186&gt;0,1,IF('Growth (no penalty)'!BD289&gt;0,4,0))</f>
        <v>4</v>
      </c>
      <c r="BF140" s="22">
        <f>IF('Growth (no penalty)'!BE186&gt;0,1,IF('Growth (no penalty)'!BE289&gt;0,4,0))</f>
        <v>4</v>
      </c>
      <c r="BG140" s="22">
        <f>IF('Growth (no penalty)'!BF186&gt;0,1,IF('Growth (no penalty)'!BF289&gt;0,4,0))</f>
        <v>4</v>
      </c>
      <c r="BH140" s="22">
        <f>IF('Growth (no penalty)'!BG186&gt;0,1,IF('Growth (no penalty)'!BG289&gt;0,4,0))</f>
        <v>4</v>
      </c>
      <c r="BI140" s="22">
        <f>IF('Growth (no penalty)'!BH186&gt;0,1,IF('Growth (no penalty)'!BH289&gt;0,4,0))</f>
        <v>4</v>
      </c>
      <c r="BJ140" s="22">
        <f>IF('Growth (no penalty)'!BI186&gt;0,1,IF('Growth (no penalty)'!BI289&gt;0,4,0))</f>
        <v>4</v>
      </c>
      <c r="BK140" s="23">
        <f>IF('Growth (no penalty)'!BJ186&gt;0,1,IF('Growth (no penalty)'!BJ289&gt;0,4,0))</f>
        <v>4</v>
      </c>
    </row>
    <row r="141" spans="1:63" x14ac:dyDescent="0.3">
      <c r="A141" s="4" t="str">
        <f>'Growth profile'!A53</f>
        <v>project 51</v>
      </c>
      <c r="B141" s="13" t="s">
        <v>3</v>
      </c>
      <c r="C141" s="19">
        <f>'Raw profile'!I53</f>
        <v>2032</v>
      </c>
      <c r="D141" s="20">
        <f>IF('Raw profile'!C161&gt;0,1,IF('Raw profile'!C264&gt;0,2,0))</f>
        <v>0</v>
      </c>
      <c r="E141" s="20">
        <f>IF('Raw profile'!D161&gt;0,1,IF('Raw profile'!D264&gt;0,2,0))</f>
        <v>0</v>
      </c>
      <c r="F141" s="20">
        <f>IF('Raw profile'!E161&gt;0,1,IF('Raw profile'!E264&gt;0,2,0))</f>
        <v>0</v>
      </c>
      <c r="G141" s="20">
        <f>IF('Raw profile'!F161&gt;0,1,IF('Raw profile'!F264&gt;0,2,0))</f>
        <v>0</v>
      </c>
      <c r="H141" s="20">
        <f>IF('Raw profile'!G161&gt;0,1,IF('Raw profile'!G264&gt;0,2,0))</f>
        <v>0</v>
      </c>
      <c r="I141" s="20">
        <f>IF('Raw profile'!H161&gt;0,1,IF('Raw profile'!H264&gt;0,2,0))</f>
        <v>0</v>
      </c>
      <c r="J141" s="20">
        <f>IF('Raw profile'!I161&gt;0,1,IF('Raw profile'!I264&gt;0,2,0))</f>
        <v>1</v>
      </c>
      <c r="K141" s="20">
        <f>IF('Raw profile'!J161&gt;0,1,IF('Raw profile'!J264&gt;0,2,0))</f>
        <v>1</v>
      </c>
      <c r="L141" s="20">
        <f>IF('Raw profile'!K161&gt;0,1,IF('Raw profile'!K264&gt;0,2,0))</f>
        <v>1</v>
      </c>
      <c r="M141" s="20">
        <f>IF('Raw profile'!L161&gt;0,1,IF('Raw profile'!L264&gt;0,2,0))</f>
        <v>1</v>
      </c>
      <c r="N141" s="20">
        <f>IF('Raw profile'!M161&gt;0,1,IF('Raw profile'!M264&gt;0,2,0))</f>
        <v>1</v>
      </c>
      <c r="O141" s="20">
        <f>IF('Raw profile'!N161&gt;0,1,IF('Raw profile'!N264&gt;0,2,0))</f>
        <v>2</v>
      </c>
      <c r="P141" s="20">
        <f>IF('Raw profile'!O161&gt;0,1,IF('Raw profile'!O264&gt;0,2,0))</f>
        <v>2</v>
      </c>
      <c r="Q141" s="20">
        <f>IF('Raw profile'!P161&gt;0,1,IF('Raw profile'!P264&gt;0,2,0))</f>
        <v>2</v>
      </c>
      <c r="R141" s="20">
        <f>IF('Raw profile'!Q161&gt;0,1,IF('Raw profile'!Q264&gt;0,2,0))</f>
        <v>2</v>
      </c>
      <c r="S141" s="20">
        <f>IF('Raw profile'!R161&gt;0,1,IF('Raw profile'!R264&gt;0,2,0))</f>
        <v>2</v>
      </c>
      <c r="T141" s="20">
        <f>IF('Raw profile'!S161&gt;0,1,IF('Raw profile'!S264&gt;0,2,0))</f>
        <v>2</v>
      </c>
      <c r="U141" s="20">
        <f>IF('Raw profile'!T161&gt;0,1,IF('Raw profile'!T264&gt;0,2,0))</f>
        <v>2</v>
      </c>
      <c r="V141" s="20">
        <f>IF('Raw profile'!U161&gt;0,1,IF('Raw profile'!U264&gt;0,2,0))</f>
        <v>2</v>
      </c>
      <c r="W141" s="20">
        <f>IF('Raw profile'!V161&gt;0,1,IF('Raw profile'!V264&gt;0,2,0))</f>
        <v>2</v>
      </c>
      <c r="X141" s="20">
        <f>IF('Raw profile'!W161&gt;0,1,IF('Raw profile'!W264&gt;0,2,0))</f>
        <v>2</v>
      </c>
      <c r="Y141" s="20">
        <f>IF('Raw profile'!X161&gt;0,1,IF('Raw profile'!X264&gt;0,2,0))</f>
        <v>2</v>
      </c>
      <c r="Z141" s="20">
        <f>IF('Raw profile'!Y161&gt;0,1,IF('Raw profile'!Y264&gt;0,2,0))</f>
        <v>2</v>
      </c>
      <c r="AA141" s="20">
        <f>IF('Raw profile'!Z161&gt;0,1,IF('Raw profile'!Z264&gt;0,2,0))</f>
        <v>2</v>
      </c>
      <c r="AB141" s="20">
        <f>IF('Raw profile'!AA161&gt;0,1,IF('Raw profile'!AA264&gt;0,2,0))</f>
        <v>2</v>
      </c>
      <c r="AC141" s="20">
        <f>IF('Raw profile'!AB161&gt;0,1,IF('Raw profile'!AB264&gt;0,2,0))</f>
        <v>2</v>
      </c>
      <c r="AD141" s="20">
        <f>IF('Raw profile'!AC161&gt;0,1,IF('Raw profile'!AC264&gt;0,2,0))</f>
        <v>2</v>
      </c>
      <c r="AE141" s="20">
        <f>IF('Raw profile'!AD161&gt;0,1,IF('Raw profile'!AD264&gt;0,2,0))</f>
        <v>2</v>
      </c>
      <c r="AF141" s="20">
        <f>IF('Raw profile'!AE161&gt;0,1,IF('Raw profile'!AE264&gt;0,2,0))</f>
        <v>2</v>
      </c>
      <c r="AG141" s="20">
        <f>IF('Raw profile'!AF161&gt;0,1,IF('Raw profile'!AF264&gt;0,2,0))</f>
        <v>2</v>
      </c>
      <c r="AH141" s="20">
        <f>IF('Raw profile'!AG161&gt;0,1,IF('Raw profile'!AG264&gt;0,2,0))</f>
        <v>2</v>
      </c>
      <c r="AI141" s="20">
        <f>IF('Raw profile'!AH161&gt;0,1,IF('Raw profile'!AH264&gt;0,2,0))</f>
        <v>2</v>
      </c>
      <c r="AJ141" s="20">
        <f>IF('Raw profile'!AI161&gt;0,1,IF('Raw profile'!AI264&gt;0,2,0))</f>
        <v>2</v>
      </c>
      <c r="AK141" s="20">
        <f>IF('Raw profile'!AJ161&gt;0,1,IF('Raw profile'!AJ264&gt;0,2,0))</f>
        <v>2</v>
      </c>
      <c r="AL141" s="20">
        <f>IF('Raw profile'!AK161&gt;0,1,IF('Raw profile'!AK264&gt;0,2,0))</f>
        <v>2</v>
      </c>
      <c r="AM141" s="20">
        <f>IF('Raw profile'!AL161&gt;0,1,IF('Raw profile'!AL264&gt;0,2,0))</f>
        <v>2</v>
      </c>
      <c r="AN141" s="20">
        <f>IF('Raw profile'!AM161&gt;0,1,IF('Raw profile'!AM264&gt;0,2,0))</f>
        <v>2</v>
      </c>
      <c r="AO141" s="20">
        <f>IF('Raw profile'!AN161&gt;0,1,IF('Raw profile'!AN264&gt;0,2,0))</f>
        <v>2</v>
      </c>
      <c r="AP141" s="20">
        <f>IF('Raw profile'!AO161&gt;0,1,IF('Raw profile'!AO264&gt;0,2,0))</f>
        <v>2</v>
      </c>
      <c r="AQ141" s="20">
        <f>IF('Raw profile'!AP161&gt;0,1,IF('Raw profile'!AP264&gt;0,2,0))</f>
        <v>2</v>
      </c>
      <c r="AR141" s="20">
        <f>IF('Raw profile'!AQ161&gt;0,1,IF('Raw profile'!AQ264&gt;0,2,0))</f>
        <v>2</v>
      </c>
      <c r="AS141" s="20">
        <f>IF('Raw profile'!AR161&gt;0,1,IF('Raw profile'!AR264&gt;0,2,0))</f>
        <v>2</v>
      </c>
      <c r="AT141" s="20">
        <f>IF('Raw profile'!AS161&gt;0,1,IF('Raw profile'!AS264&gt;0,2,0))</f>
        <v>2</v>
      </c>
      <c r="AU141" s="20">
        <f>IF('Raw profile'!AT161&gt;0,1,IF('Raw profile'!AT264&gt;0,2,0))</f>
        <v>2</v>
      </c>
      <c r="AV141" s="20">
        <f>IF('Raw profile'!AU161&gt;0,1,IF('Raw profile'!AU264&gt;0,2,0))</f>
        <v>2</v>
      </c>
      <c r="AW141" s="20">
        <f>IF('Raw profile'!AV161&gt;0,1,IF('Raw profile'!AV264&gt;0,2,0))</f>
        <v>2</v>
      </c>
      <c r="AX141" s="20">
        <f>IF('Raw profile'!AW161&gt;0,1,IF('Raw profile'!AW264&gt;0,2,0))</f>
        <v>2</v>
      </c>
      <c r="AY141" s="20">
        <f>IF('Raw profile'!AX161&gt;0,1,IF('Raw profile'!AX264&gt;0,2,0))</f>
        <v>2</v>
      </c>
      <c r="AZ141" s="20">
        <f>IF('Raw profile'!AY161&gt;0,1,IF('Raw profile'!AY264&gt;0,2,0))</f>
        <v>2</v>
      </c>
      <c r="BA141" s="20">
        <f>IF('Raw profile'!AZ161&gt;0,1,IF('Raw profile'!AZ264&gt;0,2,0))</f>
        <v>2</v>
      </c>
      <c r="BB141" s="20">
        <f>IF('Raw profile'!BA161&gt;0,1,IF('Raw profile'!BA264&gt;0,2,0))</f>
        <v>2</v>
      </c>
      <c r="BC141" s="20">
        <f>IF('Raw profile'!BB161&gt;0,1,IF('Raw profile'!BB264&gt;0,2,0))</f>
        <v>0</v>
      </c>
      <c r="BD141" s="20">
        <f>IF('Raw profile'!BC161&gt;0,1,IF('Raw profile'!BC264&gt;0,2,0))</f>
        <v>0</v>
      </c>
      <c r="BE141" s="20">
        <f>IF('Raw profile'!BD161&gt;0,1,IF('Raw profile'!BD264&gt;0,2,0))</f>
        <v>0</v>
      </c>
      <c r="BF141" s="20">
        <f>IF('Raw profile'!BE161&gt;0,1,IF('Raw profile'!BE264&gt;0,2,0))</f>
        <v>0</v>
      </c>
      <c r="BG141" s="20">
        <f>IF('Raw profile'!BF161&gt;0,1,IF('Raw profile'!BF264&gt;0,2,0))</f>
        <v>0</v>
      </c>
      <c r="BH141" s="20">
        <f>IF('Raw profile'!BG161&gt;0,1,IF('Raw profile'!BG264&gt;0,2,0))</f>
        <v>0</v>
      </c>
      <c r="BI141" s="20">
        <f>IF('Raw profile'!BH161&gt;0,1,IF('Raw profile'!BH264&gt;0,2,0))</f>
        <v>0</v>
      </c>
      <c r="BJ141" s="20">
        <f>IF('Raw profile'!BI161&gt;0,1,IF('Raw profile'!BI264&gt;0,2,0))</f>
        <v>0</v>
      </c>
      <c r="BK141" s="21">
        <f>IF('Raw profile'!BJ161&gt;0,1,IF('Raw profile'!BJ264&gt;0,2,0))</f>
        <v>0</v>
      </c>
    </row>
    <row r="142" spans="1:63" x14ac:dyDescent="0.3">
      <c r="B142" s="13" t="s">
        <v>4</v>
      </c>
      <c r="C142" s="19">
        <f>'Growth profile'!I53</f>
        <v>2040</v>
      </c>
      <c r="D142" s="20">
        <f>IF('Growth profile'!C161&gt;0,1,IF('Growth profile'!C264&gt;0,3,0))</f>
        <v>0</v>
      </c>
      <c r="E142" s="20">
        <f>IF('Growth profile'!D161&gt;0,1,IF('Growth profile'!D264&gt;0,3,0))</f>
        <v>0</v>
      </c>
      <c r="F142" s="20">
        <f>IF('Growth profile'!E161&gt;0,1,IF('Growth profile'!E264&gt;0,3,0))</f>
        <v>0</v>
      </c>
      <c r="G142" s="20">
        <f>IF('Growth profile'!F161&gt;0,1,IF('Growth profile'!F264&gt;0,3,0))</f>
        <v>0</v>
      </c>
      <c r="H142" s="20">
        <f>IF('Growth profile'!G161&gt;0,1,IF('Growth profile'!G264&gt;0,3,0))</f>
        <v>0</v>
      </c>
      <c r="I142" s="20">
        <f>IF('Growth profile'!H161&gt;0,1,IF('Growth profile'!H264&gt;0,3,0))</f>
        <v>0</v>
      </c>
      <c r="J142" s="20">
        <f>IF('Growth profile'!I161&gt;0,1,IF('Growth profile'!I264&gt;0,3,0))</f>
        <v>0</v>
      </c>
      <c r="K142" s="20">
        <f>IF('Growth profile'!J161&gt;0,1,IF('Growth profile'!J264&gt;0,3,0))</f>
        <v>0</v>
      </c>
      <c r="L142" s="20">
        <f>IF('Growth profile'!K161&gt;0,1,IF('Growth profile'!K264&gt;0,3,0))</f>
        <v>0</v>
      </c>
      <c r="M142" s="20">
        <f>IF('Growth profile'!L161&gt;0,1,IF('Growth profile'!L264&gt;0,3,0))</f>
        <v>0</v>
      </c>
      <c r="N142" s="20">
        <f>IF('Growth profile'!M161&gt;0,1,IF('Growth profile'!M264&gt;0,3,0))</f>
        <v>0</v>
      </c>
      <c r="O142" s="20">
        <f>IF('Growth profile'!N161&gt;0,1,IF('Growth profile'!N264&gt;0,3,0))</f>
        <v>0</v>
      </c>
      <c r="P142" s="20">
        <f>IF('Growth profile'!O161&gt;0,1,IF('Growth profile'!O264&gt;0,3,0))</f>
        <v>0</v>
      </c>
      <c r="Q142" s="20">
        <f>IF('Growth profile'!P161&gt;0,1,IF('Growth profile'!P264&gt;0,3,0))</f>
        <v>0</v>
      </c>
      <c r="R142" s="20">
        <f>IF('Growth profile'!Q161&gt;0,1,IF('Growth profile'!Q264&gt;0,3,0))</f>
        <v>1</v>
      </c>
      <c r="S142" s="20">
        <f>IF('Growth profile'!R161&gt;0,1,IF('Growth profile'!R264&gt;0,3,0))</f>
        <v>1</v>
      </c>
      <c r="T142" s="20">
        <f>IF('Growth profile'!S161&gt;0,1,IF('Growth profile'!S264&gt;0,3,0))</f>
        <v>1</v>
      </c>
      <c r="U142" s="20">
        <f>IF('Growth profile'!T161&gt;0,1,IF('Growth profile'!T264&gt;0,3,0))</f>
        <v>1</v>
      </c>
      <c r="V142" s="20">
        <f>IF('Growth profile'!U161&gt;0,1,IF('Growth profile'!U264&gt;0,3,0))</f>
        <v>1</v>
      </c>
      <c r="W142" s="20">
        <f>IF('Growth profile'!V161&gt;0,1,IF('Growth profile'!V264&gt;0,3,0))</f>
        <v>3</v>
      </c>
      <c r="X142" s="20">
        <f>IF('Growth profile'!W161&gt;0,1,IF('Growth profile'!W264&gt;0,3,0))</f>
        <v>3</v>
      </c>
      <c r="Y142" s="20">
        <f>IF('Growth profile'!X161&gt;0,1,IF('Growth profile'!X264&gt;0,3,0))</f>
        <v>3</v>
      </c>
      <c r="Z142" s="20">
        <f>IF('Growth profile'!Y161&gt;0,1,IF('Growth profile'!Y264&gt;0,3,0))</f>
        <v>3</v>
      </c>
      <c r="AA142" s="20">
        <f>IF('Growth profile'!Z161&gt;0,1,IF('Growth profile'!Z264&gt;0,3,0))</f>
        <v>3</v>
      </c>
      <c r="AB142" s="20">
        <f>IF('Growth profile'!AA161&gt;0,1,IF('Growth profile'!AA264&gt;0,3,0))</f>
        <v>3</v>
      </c>
      <c r="AC142" s="20">
        <f>IF('Growth profile'!AB161&gt;0,1,IF('Growth profile'!AB264&gt;0,3,0))</f>
        <v>3</v>
      </c>
      <c r="AD142" s="20">
        <f>IF('Growth profile'!AC161&gt;0,1,IF('Growth profile'!AC264&gt;0,3,0))</f>
        <v>3</v>
      </c>
      <c r="AE142" s="20">
        <f>IF('Growth profile'!AD161&gt;0,1,IF('Growth profile'!AD264&gt;0,3,0))</f>
        <v>3</v>
      </c>
      <c r="AF142" s="20">
        <f>IF('Growth profile'!AE161&gt;0,1,IF('Growth profile'!AE264&gt;0,3,0))</f>
        <v>3</v>
      </c>
      <c r="AG142" s="20">
        <f>IF('Growth profile'!AF161&gt;0,1,IF('Growth profile'!AF264&gt;0,3,0))</f>
        <v>3</v>
      </c>
      <c r="AH142" s="20">
        <f>IF('Growth profile'!AG161&gt;0,1,IF('Growth profile'!AG264&gt;0,3,0))</f>
        <v>3</v>
      </c>
      <c r="AI142" s="20">
        <f>IF('Growth profile'!AH161&gt;0,1,IF('Growth profile'!AH264&gt;0,3,0))</f>
        <v>3</v>
      </c>
      <c r="AJ142" s="20">
        <f>IF('Growth profile'!AI161&gt;0,1,IF('Growth profile'!AI264&gt;0,3,0))</f>
        <v>3</v>
      </c>
      <c r="AK142" s="20">
        <f>IF('Growth profile'!AJ161&gt;0,1,IF('Growth profile'!AJ264&gt;0,3,0))</f>
        <v>3</v>
      </c>
      <c r="AL142" s="20">
        <f>IF('Growth profile'!AK161&gt;0,1,IF('Growth profile'!AK264&gt;0,3,0))</f>
        <v>3</v>
      </c>
      <c r="AM142" s="20">
        <f>IF('Growth profile'!AL161&gt;0,1,IF('Growth profile'!AL264&gt;0,3,0))</f>
        <v>3</v>
      </c>
      <c r="AN142" s="20">
        <f>IF('Growth profile'!AM161&gt;0,1,IF('Growth profile'!AM264&gt;0,3,0))</f>
        <v>3</v>
      </c>
      <c r="AO142" s="20">
        <f>IF('Growth profile'!AN161&gt;0,1,IF('Growth profile'!AN264&gt;0,3,0))</f>
        <v>3</v>
      </c>
      <c r="AP142" s="20">
        <f>IF('Growth profile'!AO161&gt;0,1,IF('Growth profile'!AO264&gt;0,3,0))</f>
        <v>3</v>
      </c>
      <c r="AQ142" s="20">
        <f>IF('Growth profile'!AP161&gt;0,1,IF('Growth profile'!AP264&gt;0,3,0))</f>
        <v>3</v>
      </c>
      <c r="AR142" s="20">
        <f>IF('Growth profile'!AQ161&gt;0,1,IF('Growth profile'!AQ264&gt;0,3,0))</f>
        <v>3</v>
      </c>
      <c r="AS142" s="20">
        <f>IF('Growth profile'!AR161&gt;0,1,IF('Growth profile'!AR264&gt;0,3,0))</f>
        <v>3</v>
      </c>
      <c r="AT142" s="20">
        <f>IF('Growth profile'!AS161&gt;0,1,IF('Growth profile'!AS264&gt;0,3,0))</f>
        <v>3</v>
      </c>
      <c r="AU142" s="20">
        <f>IF('Growth profile'!AT161&gt;0,1,IF('Growth profile'!AT264&gt;0,3,0))</f>
        <v>3</v>
      </c>
      <c r="AV142" s="20">
        <f>IF('Growth profile'!AU161&gt;0,1,IF('Growth profile'!AU264&gt;0,3,0))</f>
        <v>3</v>
      </c>
      <c r="AW142" s="20">
        <f>IF('Growth profile'!AV161&gt;0,1,IF('Growth profile'!AV264&gt;0,3,0))</f>
        <v>3</v>
      </c>
      <c r="AX142" s="20">
        <f>IF('Growth profile'!AW161&gt;0,1,IF('Growth profile'!AW264&gt;0,3,0))</f>
        <v>3</v>
      </c>
      <c r="AY142" s="20">
        <f>IF('Growth profile'!AX161&gt;0,1,IF('Growth profile'!AX264&gt;0,3,0))</f>
        <v>3</v>
      </c>
      <c r="AZ142" s="20">
        <f>IF('Growth profile'!AY161&gt;0,1,IF('Growth profile'!AY264&gt;0,3,0))</f>
        <v>3</v>
      </c>
      <c r="BA142" s="20">
        <f>IF('Growth profile'!AZ161&gt;0,1,IF('Growth profile'!AZ264&gt;0,3,0))</f>
        <v>3</v>
      </c>
      <c r="BB142" s="20">
        <f>IF('Growth profile'!BA161&gt;0,1,IF('Growth profile'!BA264&gt;0,3,0))</f>
        <v>3</v>
      </c>
      <c r="BC142" s="20">
        <f>IF('Growth profile'!BB161&gt;0,1,IF('Growth profile'!BB264&gt;0,3,0))</f>
        <v>3</v>
      </c>
      <c r="BD142" s="20">
        <f>IF('Growth profile'!BC161&gt;0,1,IF('Growth profile'!BC264&gt;0,3,0))</f>
        <v>3</v>
      </c>
      <c r="BE142" s="20">
        <f>IF('Growth profile'!BD161&gt;0,1,IF('Growth profile'!BD264&gt;0,3,0))</f>
        <v>3</v>
      </c>
      <c r="BF142" s="20">
        <f>IF('Growth profile'!BE161&gt;0,1,IF('Growth profile'!BE264&gt;0,3,0))</f>
        <v>3</v>
      </c>
      <c r="BG142" s="20">
        <f>IF('Growth profile'!BF161&gt;0,1,IF('Growth profile'!BF264&gt;0,3,0))</f>
        <v>3</v>
      </c>
      <c r="BH142" s="20">
        <f>IF('Growth profile'!BG161&gt;0,1,IF('Growth profile'!BG264&gt;0,3,0))</f>
        <v>3</v>
      </c>
      <c r="BI142" s="20">
        <f>IF('Growth profile'!BH161&gt;0,1,IF('Growth profile'!BH264&gt;0,3,0))</f>
        <v>3</v>
      </c>
      <c r="BJ142" s="20">
        <f>IF('Growth profile'!BI161&gt;0,1,IF('Growth profile'!BI264&gt;0,3,0))</f>
        <v>3</v>
      </c>
      <c r="BK142" s="21">
        <f>IF('Growth profile'!BJ161&gt;0,1,IF('Growth profile'!BJ264&gt;0,3,0))</f>
        <v>0</v>
      </c>
    </row>
    <row r="143" spans="1:63" x14ac:dyDescent="0.3">
      <c r="B143" s="13" t="s">
        <v>59</v>
      </c>
      <c r="C143" s="19">
        <f>'Growth (no penalty)'!I53</f>
        <v>2041</v>
      </c>
      <c r="D143" s="22">
        <f>IF('Growth (no penalty)'!C161&gt;0,1,IF('Growth (no penalty)'!C264&gt;0,4,0))</f>
        <v>0</v>
      </c>
      <c r="E143" s="22">
        <f>IF('Growth (no penalty)'!D161&gt;0,1,IF('Growth (no penalty)'!D264&gt;0,4,0))</f>
        <v>0</v>
      </c>
      <c r="F143" s="22">
        <f>IF('Growth (no penalty)'!E161&gt;0,1,IF('Growth (no penalty)'!E264&gt;0,4,0))</f>
        <v>0</v>
      </c>
      <c r="G143" s="22">
        <f>IF('Growth (no penalty)'!F161&gt;0,1,IF('Growth (no penalty)'!F264&gt;0,4,0))</f>
        <v>0</v>
      </c>
      <c r="H143" s="22">
        <f>IF('Growth (no penalty)'!G161&gt;0,1,IF('Growth (no penalty)'!G264&gt;0,4,0))</f>
        <v>0</v>
      </c>
      <c r="I143" s="22">
        <f>IF('Growth (no penalty)'!H161&gt;0,1,IF('Growth (no penalty)'!H264&gt;0,4,0))</f>
        <v>0</v>
      </c>
      <c r="J143" s="22">
        <f>IF('Growth (no penalty)'!I161&gt;0,1,IF('Growth (no penalty)'!I264&gt;0,4,0))</f>
        <v>0</v>
      </c>
      <c r="K143" s="22">
        <f>IF('Growth (no penalty)'!J161&gt;0,1,IF('Growth (no penalty)'!J264&gt;0,4,0))</f>
        <v>0</v>
      </c>
      <c r="L143" s="22">
        <f>IF('Growth (no penalty)'!K161&gt;0,1,IF('Growth (no penalty)'!K264&gt;0,4,0))</f>
        <v>0</v>
      </c>
      <c r="M143" s="22">
        <f>IF('Growth (no penalty)'!L161&gt;0,1,IF('Growth (no penalty)'!L264&gt;0,4,0))</f>
        <v>0</v>
      </c>
      <c r="N143" s="22">
        <f>IF('Growth (no penalty)'!M161&gt;0,1,IF('Growth (no penalty)'!M264&gt;0,4,0))</f>
        <v>0</v>
      </c>
      <c r="O143" s="22">
        <f>IF('Growth (no penalty)'!N161&gt;0,1,IF('Growth (no penalty)'!N264&gt;0,4,0))</f>
        <v>0</v>
      </c>
      <c r="P143" s="22">
        <f>IF('Growth (no penalty)'!O161&gt;0,1,IF('Growth (no penalty)'!O264&gt;0,4,0))</f>
        <v>0</v>
      </c>
      <c r="Q143" s="22">
        <f>IF('Growth (no penalty)'!P161&gt;0,1,IF('Growth (no penalty)'!P264&gt;0,4,0))</f>
        <v>0</v>
      </c>
      <c r="R143" s="22">
        <f>IF('Growth (no penalty)'!Q161&gt;0,1,IF('Growth (no penalty)'!Q264&gt;0,4,0))</f>
        <v>0</v>
      </c>
      <c r="S143" s="22">
        <f>IF('Growth (no penalty)'!R161&gt;0,1,IF('Growth (no penalty)'!R264&gt;0,4,0))</f>
        <v>1</v>
      </c>
      <c r="T143" s="22">
        <f>IF('Growth (no penalty)'!S161&gt;0,1,IF('Growth (no penalty)'!S264&gt;0,4,0))</f>
        <v>1</v>
      </c>
      <c r="U143" s="22">
        <f>IF('Growth (no penalty)'!T161&gt;0,1,IF('Growth (no penalty)'!T264&gt;0,4,0))</f>
        <v>1</v>
      </c>
      <c r="V143" s="22">
        <f>IF('Growth (no penalty)'!U161&gt;0,1,IF('Growth (no penalty)'!U264&gt;0,4,0))</f>
        <v>1</v>
      </c>
      <c r="W143" s="22">
        <f>IF('Growth (no penalty)'!V161&gt;0,1,IF('Growth (no penalty)'!V264&gt;0,4,0))</f>
        <v>1</v>
      </c>
      <c r="X143" s="22">
        <f>IF('Growth (no penalty)'!W161&gt;0,1,IF('Growth (no penalty)'!W264&gt;0,4,0))</f>
        <v>4</v>
      </c>
      <c r="Y143" s="22">
        <f>IF('Growth (no penalty)'!X161&gt;0,1,IF('Growth (no penalty)'!X264&gt;0,4,0))</f>
        <v>4</v>
      </c>
      <c r="Z143" s="22">
        <f>IF('Growth (no penalty)'!Y161&gt;0,1,IF('Growth (no penalty)'!Y264&gt;0,4,0))</f>
        <v>4</v>
      </c>
      <c r="AA143" s="22">
        <f>IF('Growth (no penalty)'!Z161&gt;0,1,IF('Growth (no penalty)'!Z264&gt;0,4,0))</f>
        <v>4</v>
      </c>
      <c r="AB143" s="22">
        <f>IF('Growth (no penalty)'!AA161&gt;0,1,IF('Growth (no penalty)'!AA264&gt;0,4,0))</f>
        <v>4</v>
      </c>
      <c r="AC143" s="22">
        <f>IF('Growth (no penalty)'!AB161&gt;0,1,IF('Growth (no penalty)'!AB264&gt;0,4,0))</f>
        <v>4</v>
      </c>
      <c r="AD143" s="22">
        <f>IF('Growth (no penalty)'!AC161&gt;0,1,IF('Growth (no penalty)'!AC264&gt;0,4,0))</f>
        <v>4</v>
      </c>
      <c r="AE143" s="22">
        <f>IF('Growth (no penalty)'!AD161&gt;0,1,IF('Growth (no penalty)'!AD264&gt;0,4,0))</f>
        <v>4</v>
      </c>
      <c r="AF143" s="22">
        <f>IF('Growth (no penalty)'!AE161&gt;0,1,IF('Growth (no penalty)'!AE264&gt;0,4,0))</f>
        <v>4</v>
      </c>
      <c r="AG143" s="22">
        <f>IF('Growth (no penalty)'!AF161&gt;0,1,IF('Growth (no penalty)'!AF264&gt;0,4,0))</f>
        <v>4</v>
      </c>
      <c r="AH143" s="22">
        <f>IF('Growth (no penalty)'!AG161&gt;0,1,IF('Growth (no penalty)'!AG264&gt;0,4,0))</f>
        <v>4</v>
      </c>
      <c r="AI143" s="22">
        <f>IF('Growth (no penalty)'!AH161&gt;0,1,IF('Growth (no penalty)'!AH264&gt;0,4,0))</f>
        <v>4</v>
      </c>
      <c r="AJ143" s="22">
        <f>IF('Growth (no penalty)'!AI161&gt;0,1,IF('Growth (no penalty)'!AI264&gt;0,4,0))</f>
        <v>4</v>
      </c>
      <c r="AK143" s="22">
        <f>IF('Growth (no penalty)'!AJ161&gt;0,1,IF('Growth (no penalty)'!AJ264&gt;0,4,0))</f>
        <v>4</v>
      </c>
      <c r="AL143" s="22">
        <f>IF('Growth (no penalty)'!AK161&gt;0,1,IF('Growth (no penalty)'!AK264&gt;0,4,0))</f>
        <v>4</v>
      </c>
      <c r="AM143" s="22">
        <f>IF('Growth (no penalty)'!AL161&gt;0,1,IF('Growth (no penalty)'!AL264&gt;0,4,0))</f>
        <v>4</v>
      </c>
      <c r="AN143" s="22">
        <f>IF('Growth (no penalty)'!AM161&gt;0,1,IF('Growth (no penalty)'!AM264&gt;0,4,0))</f>
        <v>4</v>
      </c>
      <c r="AO143" s="22">
        <f>IF('Growth (no penalty)'!AN161&gt;0,1,IF('Growth (no penalty)'!AN264&gt;0,4,0))</f>
        <v>4</v>
      </c>
      <c r="AP143" s="22">
        <f>IF('Growth (no penalty)'!AO161&gt;0,1,IF('Growth (no penalty)'!AO264&gt;0,4,0))</f>
        <v>4</v>
      </c>
      <c r="AQ143" s="22">
        <f>IF('Growth (no penalty)'!AP161&gt;0,1,IF('Growth (no penalty)'!AP264&gt;0,4,0))</f>
        <v>4</v>
      </c>
      <c r="AR143" s="22">
        <f>IF('Growth (no penalty)'!AQ161&gt;0,1,IF('Growth (no penalty)'!AQ264&gt;0,4,0))</f>
        <v>4</v>
      </c>
      <c r="AS143" s="22">
        <f>IF('Growth (no penalty)'!AR161&gt;0,1,IF('Growth (no penalty)'!AR264&gt;0,4,0))</f>
        <v>4</v>
      </c>
      <c r="AT143" s="22">
        <f>IF('Growth (no penalty)'!AS161&gt;0,1,IF('Growth (no penalty)'!AS264&gt;0,4,0))</f>
        <v>4</v>
      </c>
      <c r="AU143" s="22">
        <f>IF('Growth (no penalty)'!AT161&gt;0,1,IF('Growth (no penalty)'!AT264&gt;0,4,0))</f>
        <v>4</v>
      </c>
      <c r="AV143" s="22">
        <f>IF('Growth (no penalty)'!AU161&gt;0,1,IF('Growth (no penalty)'!AU264&gt;0,4,0))</f>
        <v>4</v>
      </c>
      <c r="AW143" s="22">
        <f>IF('Growth (no penalty)'!AV161&gt;0,1,IF('Growth (no penalty)'!AV264&gt;0,4,0))</f>
        <v>4</v>
      </c>
      <c r="AX143" s="22">
        <f>IF('Growth (no penalty)'!AW161&gt;0,1,IF('Growth (no penalty)'!AW264&gt;0,4,0))</f>
        <v>4</v>
      </c>
      <c r="AY143" s="22">
        <f>IF('Growth (no penalty)'!AX161&gt;0,1,IF('Growth (no penalty)'!AX264&gt;0,4,0))</f>
        <v>4</v>
      </c>
      <c r="AZ143" s="22">
        <f>IF('Growth (no penalty)'!AY161&gt;0,1,IF('Growth (no penalty)'!AY264&gt;0,4,0))</f>
        <v>4</v>
      </c>
      <c r="BA143" s="22">
        <f>IF('Growth (no penalty)'!AZ161&gt;0,1,IF('Growth (no penalty)'!AZ264&gt;0,4,0))</f>
        <v>4</v>
      </c>
      <c r="BB143" s="22">
        <f>IF('Growth (no penalty)'!BA161&gt;0,1,IF('Growth (no penalty)'!BA264&gt;0,4,0))</f>
        <v>4</v>
      </c>
      <c r="BC143" s="22">
        <f>IF('Growth (no penalty)'!BB161&gt;0,1,IF('Growth (no penalty)'!BB264&gt;0,4,0))</f>
        <v>4</v>
      </c>
      <c r="BD143" s="22">
        <f>IF('Growth (no penalty)'!BC161&gt;0,1,IF('Growth (no penalty)'!BC264&gt;0,4,0))</f>
        <v>4</v>
      </c>
      <c r="BE143" s="22">
        <f>IF('Growth (no penalty)'!BD161&gt;0,1,IF('Growth (no penalty)'!BD264&gt;0,4,0))</f>
        <v>4</v>
      </c>
      <c r="BF143" s="22">
        <f>IF('Growth (no penalty)'!BE161&gt;0,1,IF('Growth (no penalty)'!BE264&gt;0,4,0))</f>
        <v>4</v>
      </c>
      <c r="BG143" s="22">
        <f>IF('Growth (no penalty)'!BF161&gt;0,1,IF('Growth (no penalty)'!BF264&gt;0,4,0))</f>
        <v>4</v>
      </c>
      <c r="BH143" s="22">
        <f>IF('Growth (no penalty)'!BG161&gt;0,1,IF('Growth (no penalty)'!BG264&gt;0,4,0))</f>
        <v>4</v>
      </c>
      <c r="BI143" s="22">
        <f>IF('Growth (no penalty)'!BH161&gt;0,1,IF('Growth (no penalty)'!BH264&gt;0,4,0))</f>
        <v>4</v>
      </c>
      <c r="BJ143" s="22">
        <f>IF('Growth (no penalty)'!BI161&gt;0,1,IF('Growth (no penalty)'!BI264&gt;0,4,0))</f>
        <v>4</v>
      </c>
      <c r="BK143" s="23">
        <f>IF('Growth (no penalty)'!BJ161&gt;0,1,IF('Growth (no penalty)'!BJ264&gt;0,4,0))</f>
        <v>4</v>
      </c>
    </row>
    <row r="144" spans="1:63" x14ac:dyDescent="0.3">
      <c r="A144" s="4" t="str">
        <f>'Growth profile'!A118</f>
        <v>project 195</v>
      </c>
      <c r="B144" s="13" t="s">
        <v>3</v>
      </c>
      <c r="C144" s="19">
        <f>'Raw profile'!I118</f>
        <v>2032</v>
      </c>
      <c r="D144" s="20">
        <f>IF('Raw profile'!C226&gt;0,1,IF('Raw profile'!C329&gt;0,2,0))</f>
        <v>0</v>
      </c>
      <c r="E144" s="20">
        <f>IF('Raw profile'!D226&gt;0,1,IF('Raw profile'!D329&gt;0,2,0))</f>
        <v>0</v>
      </c>
      <c r="F144" s="20">
        <f>IF('Raw profile'!E226&gt;0,1,IF('Raw profile'!E329&gt;0,2,0))</f>
        <v>0</v>
      </c>
      <c r="G144" s="20">
        <f>IF('Raw profile'!F226&gt;0,1,IF('Raw profile'!F329&gt;0,2,0))</f>
        <v>0</v>
      </c>
      <c r="H144" s="20">
        <f>IF('Raw profile'!G226&gt;0,1,IF('Raw profile'!G329&gt;0,2,0))</f>
        <v>0</v>
      </c>
      <c r="I144" s="20">
        <f>IF('Raw profile'!H226&gt;0,1,IF('Raw profile'!H329&gt;0,2,0))</f>
        <v>0</v>
      </c>
      <c r="J144" s="20">
        <f>IF('Raw profile'!I226&gt;0,1,IF('Raw profile'!I329&gt;0,2,0))</f>
        <v>1</v>
      </c>
      <c r="K144" s="20">
        <f>IF('Raw profile'!J226&gt;0,1,IF('Raw profile'!J329&gt;0,2,0))</f>
        <v>1</v>
      </c>
      <c r="L144" s="20">
        <f>IF('Raw profile'!K226&gt;0,1,IF('Raw profile'!K329&gt;0,2,0))</f>
        <v>2</v>
      </c>
      <c r="M144" s="20">
        <f>IF('Raw profile'!L226&gt;0,1,IF('Raw profile'!L329&gt;0,2,0))</f>
        <v>2</v>
      </c>
      <c r="N144" s="20">
        <f>IF('Raw profile'!M226&gt;0,1,IF('Raw profile'!M329&gt;0,2,0))</f>
        <v>2</v>
      </c>
      <c r="O144" s="20">
        <f>IF('Raw profile'!N226&gt;0,1,IF('Raw profile'!N329&gt;0,2,0))</f>
        <v>2</v>
      </c>
      <c r="P144" s="20">
        <f>IF('Raw profile'!O226&gt;0,1,IF('Raw profile'!O329&gt;0,2,0))</f>
        <v>2</v>
      </c>
      <c r="Q144" s="20">
        <f>IF('Raw profile'!P226&gt;0,1,IF('Raw profile'!P329&gt;0,2,0))</f>
        <v>2</v>
      </c>
      <c r="R144" s="20">
        <f>IF('Raw profile'!Q226&gt;0,1,IF('Raw profile'!Q329&gt;0,2,0))</f>
        <v>2</v>
      </c>
      <c r="S144" s="20">
        <f>IF('Raw profile'!R226&gt;0,1,IF('Raw profile'!R329&gt;0,2,0))</f>
        <v>2</v>
      </c>
      <c r="T144" s="20">
        <f>IF('Raw profile'!S226&gt;0,1,IF('Raw profile'!S329&gt;0,2,0))</f>
        <v>2</v>
      </c>
      <c r="U144" s="20">
        <f>IF('Raw profile'!T226&gt;0,1,IF('Raw profile'!T329&gt;0,2,0))</f>
        <v>2</v>
      </c>
      <c r="V144" s="20">
        <f>IF('Raw profile'!U226&gt;0,1,IF('Raw profile'!U329&gt;0,2,0))</f>
        <v>2</v>
      </c>
      <c r="W144" s="20">
        <f>IF('Raw profile'!V226&gt;0,1,IF('Raw profile'!V329&gt;0,2,0))</f>
        <v>2</v>
      </c>
      <c r="X144" s="20">
        <f>IF('Raw profile'!W226&gt;0,1,IF('Raw profile'!W329&gt;0,2,0))</f>
        <v>2</v>
      </c>
      <c r="Y144" s="20">
        <f>IF('Raw profile'!X226&gt;0,1,IF('Raw profile'!X329&gt;0,2,0))</f>
        <v>2</v>
      </c>
      <c r="Z144" s="20">
        <f>IF('Raw profile'!Y226&gt;0,1,IF('Raw profile'!Y329&gt;0,2,0))</f>
        <v>2</v>
      </c>
      <c r="AA144" s="20">
        <f>IF('Raw profile'!Z226&gt;0,1,IF('Raw profile'!Z329&gt;0,2,0))</f>
        <v>2</v>
      </c>
      <c r="AB144" s="20">
        <f>IF('Raw profile'!AA226&gt;0,1,IF('Raw profile'!AA329&gt;0,2,0))</f>
        <v>2</v>
      </c>
      <c r="AC144" s="20">
        <f>IF('Raw profile'!AB226&gt;0,1,IF('Raw profile'!AB329&gt;0,2,0))</f>
        <v>2</v>
      </c>
      <c r="AD144" s="20">
        <f>IF('Raw profile'!AC226&gt;0,1,IF('Raw profile'!AC329&gt;0,2,0))</f>
        <v>2</v>
      </c>
      <c r="AE144" s="20">
        <f>IF('Raw profile'!AD226&gt;0,1,IF('Raw profile'!AD329&gt;0,2,0))</f>
        <v>2</v>
      </c>
      <c r="AF144" s="20">
        <f>IF('Raw profile'!AE226&gt;0,1,IF('Raw profile'!AE329&gt;0,2,0))</f>
        <v>2</v>
      </c>
      <c r="AG144" s="20">
        <f>IF('Raw profile'!AF226&gt;0,1,IF('Raw profile'!AF329&gt;0,2,0))</f>
        <v>2</v>
      </c>
      <c r="AH144" s="20">
        <f>IF('Raw profile'!AG226&gt;0,1,IF('Raw profile'!AG329&gt;0,2,0))</f>
        <v>2</v>
      </c>
      <c r="AI144" s="20">
        <f>IF('Raw profile'!AH226&gt;0,1,IF('Raw profile'!AH329&gt;0,2,0))</f>
        <v>2</v>
      </c>
      <c r="AJ144" s="20">
        <f>IF('Raw profile'!AI226&gt;0,1,IF('Raw profile'!AI329&gt;0,2,0))</f>
        <v>2</v>
      </c>
      <c r="AK144" s="20">
        <f>IF('Raw profile'!AJ226&gt;0,1,IF('Raw profile'!AJ329&gt;0,2,0))</f>
        <v>2</v>
      </c>
      <c r="AL144" s="20">
        <f>IF('Raw profile'!AK226&gt;0,1,IF('Raw profile'!AK329&gt;0,2,0))</f>
        <v>2</v>
      </c>
      <c r="AM144" s="20">
        <f>IF('Raw profile'!AL226&gt;0,1,IF('Raw profile'!AL329&gt;0,2,0))</f>
        <v>2</v>
      </c>
      <c r="AN144" s="20">
        <f>IF('Raw profile'!AM226&gt;0,1,IF('Raw profile'!AM329&gt;0,2,0))</f>
        <v>2</v>
      </c>
      <c r="AO144" s="20">
        <f>IF('Raw profile'!AN226&gt;0,1,IF('Raw profile'!AN329&gt;0,2,0))</f>
        <v>2</v>
      </c>
      <c r="AP144" s="20">
        <f>IF('Raw profile'!AO226&gt;0,1,IF('Raw profile'!AO329&gt;0,2,0))</f>
        <v>2</v>
      </c>
      <c r="AQ144" s="20">
        <f>IF('Raw profile'!AP226&gt;0,1,IF('Raw profile'!AP329&gt;0,2,0))</f>
        <v>2</v>
      </c>
      <c r="AR144" s="20">
        <f>IF('Raw profile'!AQ226&gt;0,1,IF('Raw profile'!AQ329&gt;0,2,0))</f>
        <v>2</v>
      </c>
      <c r="AS144" s="20">
        <f>IF('Raw profile'!AR226&gt;0,1,IF('Raw profile'!AR329&gt;0,2,0))</f>
        <v>2</v>
      </c>
      <c r="AT144" s="20">
        <f>IF('Raw profile'!AS226&gt;0,1,IF('Raw profile'!AS329&gt;0,2,0))</f>
        <v>2</v>
      </c>
      <c r="AU144" s="20">
        <f>IF('Raw profile'!AT226&gt;0,1,IF('Raw profile'!AT329&gt;0,2,0))</f>
        <v>2</v>
      </c>
      <c r="AV144" s="20">
        <f>IF('Raw profile'!AU226&gt;0,1,IF('Raw profile'!AU329&gt;0,2,0))</f>
        <v>2</v>
      </c>
      <c r="AW144" s="20">
        <f>IF('Raw profile'!AV226&gt;0,1,IF('Raw profile'!AV329&gt;0,2,0))</f>
        <v>2</v>
      </c>
      <c r="AX144" s="20">
        <f>IF('Raw profile'!AW226&gt;0,1,IF('Raw profile'!AW329&gt;0,2,0))</f>
        <v>2</v>
      </c>
      <c r="AY144" s="20">
        <f>IF('Raw profile'!AX226&gt;0,1,IF('Raw profile'!AX329&gt;0,2,0))</f>
        <v>2</v>
      </c>
      <c r="AZ144" s="20">
        <f>IF('Raw profile'!AY226&gt;0,1,IF('Raw profile'!AY329&gt;0,2,0))</f>
        <v>0</v>
      </c>
      <c r="BA144" s="20">
        <f>IF('Raw profile'!AZ226&gt;0,1,IF('Raw profile'!AZ329&gt;0,2,0))</f>
        <v>0</v>
      </c>
      <c r="BB144" s="20">
        <f>IF('Raw profile'!BA226&gt;0,1,IF('Raw profile'!BA329&gt;0,2,0))</f>
        <v>0</v>
      </c>
      <c r="BC144" s="20">
        <f>IF('Raw profile'!BB226&gt;0,1,IF('Raw profile'!BB329&gt;0,2,0))</f>
        <v>0</v>
      </c>
      <c r="BD144" s="20">
        <f>IF('Raw profile'!BC226&gt;0,1,IF('Raw profile'!BC329&gt;0,2,0))</f>
        <v>0</v>
      </c>
      <c r="BE144" s="20">
        <f>IF('Raw profile'!BD226&gt;0,1,IF('Raw profile'!BD329&gt;0,2,0))</f>
        <v>0</v>
      </c>
      <c r="BF144" s="20">
        <f>IF('Raw profile'!BE226&gt;0,1,IF('Raw profile'!BE329&gt;0,2,0))</f>
        <v>0</v>
      </c>
      <c r="BG144" s="20">
        <f>IF('Raw profile'!BF226&gt;0,1,IF('Raw profile'!BF329&gt;0,2,0))</f>
        <v>0</v>
      </c>
      <c r="BH144" s="20">
        <f>IF('Raw profile'!BG226&gt;0,1,IF('Raw profile'!BG329&gt;0,2,0))</f>
        <v>0</v>
      </c>
      <c r="BI144" s="20">
        <f>IF('Raw profile'!BH226&gt;0,1,IF('Raw profile'!BH329&gt;0,2,0))</f>
        <v>0</v>
      </c>
      <c r="BJ144" s="20">
        <f>IF('Raw profile'!BI226&gt;0,1,IF('Raw profile'!BI329&gt;0,2,0))</f>
        <v>0</v>
      </c>
      <c r="BK144" s="21">
        <f>IF('Raw profile'!BJ226&gt;0,1,IF('Raw profile'!BJ329&gt;0,2,0))</f>
        <v>0</v>
      </c>
    </row>
    <row r="145" spans="1:63" x14ac:dyDescent="0.3">
      <c r="B145" s="13" t="s">
        <v>4</v>
      </c>
      <c r="C145" s="19">
        <f>'Growth profile'!I118</f>
        <v>2042</v>
      </c>
      <c r="D145" s="20">
        <f>IF('Growth profile'!C226&gt;0,1,IF('Growth profile'!C329&gt;0,3,0))</f>
        <v>0</v>
      </c>
      <c r="E145" s="20">
        <f>IF('Growth profile'!D226&gt;0,1,IF('Growth profile'!D329&gt;0,3,0))</f>
        <v>0</v>
      </c>
      <c r="F145" s="20">
        <f>IF('Growth profile'!E226&gt;0,1,IF('Growth profile'!E329&gt;0,3,0))</f>
        <v>0</v>
      </c>
      <c r="G145" s="20">
        <f>IF('Growth profile'!F226&gt;0,1,IF('Growth profile'!F329&gt;0,3,0))</f>
        <v>0</v>
      </c>
      <c r="H145" s="20">
        <f>IF('Growth profile'!G226&gt;0,1,IF('Growth profile'!G329&gt;0,3,0))</f>
        <v>0</v>
      </c>
      <c r="I145" s="20">
        <f>IF('Growth profile'!H226&gt;0,1,IF('Growth profile'!H329&gt;0,3,0))</f>
        <v>0</v>
      </c>
      <c r="J145" s="20">
        <f>IF('Growth profile'!I226&gt;0,1,IF('Growth profile'!I329&gt;0,3,0))</f>
        <v>0</v>
      </c>
      <c r="K145" s="20">
        <f>IF('Growth profile'!J226&gt;0,1,IF('Growth profile'!J329&gt;0,3,0))</f>
        <v>0</v>
      </c>
      <c r="L145" s="20">
        <f>IF('Growth profile'!K226&gt;0,1,IF('Growth profile'!K329&gt;0,3,0))</f>
        <v>0</v>
      </c>
      <c r="M145" s="20">
        <f>IF('Growth profile'!L226&gt;0,1,IF('Growth profile'!L329&gt;0,3,0))</f>
        <v>0</v>
      </c>
      <c r="N145" s="20">
        <f>IF('Growth profile'!M226&gt;0,1,IF('Growth profile'!M329&gt;0,3,0))</f>
        <v>0</v>
      </c>
      <c r="O145" s="20">
        <f>IF('Growth profile'!N226&gt;0,1,IF('Growth profile'!N329&gt;0,3,0))</f>
        <v>0</v>
      </c>
      <c r="P145" s="20">
        <f>IF('Growth profile'!O226&gt;0,1,IF('Growth profile'!O329&gt;0,3,0))</f>
        <v>0</v>
      </c>
      <c r="Q145" s="20">
        <f>IF('Growth profile'!P226&gt;0,1,IF('Growth profile'!P329&gt;0,3,0))</f>
        <v>0</v>
      </c>
      <c r="R145" s="20">
        <f>IF('Growth profile'!Q226&gt;0,1,IF('Growth profile'!Q329&gt;0,3,0))</f>
        <v>0</v>
      </c>
      <c r="S145" s="20">
        <f>IF('Growth profile'!R226&gt;0,1,IF('Growth profile'!R329&gt;0,3,0))</f>
        <v>0</v>
      </c>
      <c r="T145" s="20">
        <f>IF('Growth profile'!S226&gt;0,1,IF('Growth profile'!S329&gt;0,3,0))</f>
        <v>1</v>
      </c>
      <c r="U145" s="20">
        <f>IF('Growth profile'!T226&gt;0,1,IF('Growth profile'!T329&gt;0,3,0))</f>
        <v>1</v>
      </c>
      <c r="V145" s="20">
        <f>IF('Growth profile'!U226&gt;0,1,IF('Growth profile'!U329&gt;0,3,0))</f>
        <v>3</v>
      </c>
      <c r="W145" s="20">
        <f>IF('Growth profile'!V226&gt;0,1,IF('Growth profile'!V329&gt;0,3,0))</f>
        <v>3</v>
      </c>
      <c r="X145" s="20">
        <f>IF('Growth profile'!W226&gt;0,1,IF('Growth profile'!W329&gt;0,3,0))</f>
        <v>3</v>
      </c>
      <c r="Y145" s="20">
        <f>IF('Growth profile'!X226&gt;0,1,IF('Growth profile'!X329&gt;0,3,0))</f>
        <v>3</v>
      </c>
      <c r="Z145" s="20">
        <f>IF('Growth profile'!Y226&gt;0,1,IF('Growth profile'!Y329&gt;0,3,0))</f>
        <v>3</v>
      </c>
      <c r="AA145" s="20">
        <f>IF('Growth profile'!Z226&gt;0,1,IF('Growth profile'!Z329&gt;0,3,0))</f>
        <v>3</v>
      </c>
      <c r="AB145" s="20">
        <f>IF('Growth profile'!AA226&gt;0,1,IF('Growth profile'!AA329&gt;0,3,0))</f>
        <v>3</v>
      </c>
      <c r="AC145" s="20">
        <f>IF('Growth profile'!AB226&gt;0,1,IF('Growth profile'!AB329&gt;0,3,0))</f>
        <v>3</v>
      </c>
      <c r="AD145" s="20">
        <f>IF('Growth profile'!AC226&gt;0,1,IF('Growth profile'!AC329&gt;0,3,0))</f>
        <v>3</v>
      </c>
      <c r="AE145" s="20">
        <f>IF('Growth profile'!AD226&gt;0,1,IF('Growth profile'!AD329&gt;0,3,0))</f>
        <v>3</v>
      </c>
      <c r="AF145" s="20">
        <f>IF('Growth profile'!AE226&gt;0,1,IF('Growth profile'!AE329&gt;0,3,0))</f>
        <v>3</v>
      </c>
      <c r="AG145" s="20">
        <f>IF('Growth profile'!AF226&gt;0,1,IF('Growth profile'!AF329&gt;0,3,0))</f>
        <v>3</v>
      </c>
      <c r="AH145" s="20">
        <f>IF('Growth profile'!AG226&gt;0,1,IF('Growth profile'!AG329&gt;0,3,0))</f>
        <v>3</v>
      </c>
      <c r="AI145" s="20">
        <f>IF('Growth profile'!AH226&gt;0,1,IF('Growth profile'!AH329&gt;0,3,0))</f>
        <v>3</v>
      </c>
      <c r="AJ145" s="20">
        <f>IF('Growth profile'!AI226&gt;0,1,IF('Growth profile'!AI329&gt;0,3,0))</f>
        <v>3</v>
      </c>
      <c r="AK145" s="20">
        <f>IF('Growth profile'!AJ226&gt;0,1,IF('Growth profile'!AJ329&gt;0,3,0))</f>
        <v>3</v>
      </c>
      <c r="AL145" s="20">
        <f>IF('Growth profile'!AK226&gt;0,1,IF('Growth profile'!AK329&gt;0,3,0))</f>
        <v>3</v>
      </c>
      <c r="AM145" s="20">
        <f>IF('Growth profile'!AL226&gt;0,1,IF('Growth profile'!AL329&gt;0,3,0))</f>
        <v>3</v>
      </c>
      <c r="AN145" s="20">
        <f>IF('Growth profile'!AM226&gt;0,1,IF('Growth profile'!AM329&gt;0,3,0))</f>
        <v>3</v>
      </c>
      <c r="AO145" s="20">
        <f>IF('Growth profile'!AN226&gt;0,1,IF('Growth profile'!AN329&gt;0,3,0))</f>
        <v>3</v>
      </c>
      <c r="AP145" s="20">
        <f>IF('Growth profile'!AO226&gt;0,1,IF('Growth profile'!AO329&gt;0,3,0))</f>
        <v>3</v>
      </c>
      <c r="AQ145" s="20">
        <f>IF('Growth profile'!AP226&gt;0,1,IF('Growth profile'!AP329&gt;0,3,0))</f>
        <v>3</v>
      </c>
      <c r="AR145" s="20">
        <f>IF('Growth profile'!AQ226&gt;0,1,IF('Growth profile'!AQ329&gt;0,3,0))</f>
        <v>3</v>
      </c>
      <c r="AS145" s="20">
        <f>IF('Growth profile'!AR226&gt;0,1,IF('Growth profile'!AR329&gt;0,3,0))</f>
        <v>3</v>
      </c>
      <c r="AT145" s="20">
        <f>IF('Growth profile'!AS226&gt;0,1,IF('Growth profile'!AS329&gt;0,3,0))</f>
        <v>3</v>
      </c>
      <c r="AU145" s="20">
        <f>IF('Growth profile'!AT226&gt;0,1,IF('Growth profile'!AT329&gt;0,3,0))</f>
        <v>3</v>
      </c>
      <c r="AV145" s="20">
        <f>IF('Growth profile'!AU226&gt;0,1,IF('Growth profile'!AU329&gt;0,3,0))</f>
        <v>3</v>
      </c>
      <c r="AW145" s="20">
        <f>IF('Growth profile'!AV226&gt;0,1,IF('Growth profile'!AV329&gt;0,3,0))</f>
        <v>3</v>
      </c>
      <c r="AX145" s="20">
        <f>IF('Growth profile'!AW226&gt;0,1,IF('Growth profile'!AW329&gt;0,3,0))</f>
        <v>3</v>
      </c>
      <c r="AY145" s="20">
        <f>IF('Growth profile'!AX226&gt;0,1,IF('Growth profile'!AX329&gt;0,3,0))</f>
        <v>3</v>
      </c>
      <c r="AZ145" s="20">
        <f>IF('Growth profile'!AY226&gt;0,1,IF('Growth profile'!AY329&gt;0,3,0))</f>
        <v>3</v>
      </c>
      <c r="BA145" s="20">
        <f>IF('Growth profile'!AZ226&gt;0,1,IF('Growth profile'!AZ329&gt;0,3,0))</f>
        <v>3</v>
      </c>
      <c r="BB145" s="20">
        <f>IF('Growth profile'!BA226&gt;0,1,IF('Growth profile'!BA329&gt;0,3,0))</f>
        <v>3</v>
      </c>
      <c r="BC145" s="20">
        <f>IF('Growth profile'!BB226&gt;0,1,IF('Growth profile'!BB329&gt;0,3,0))</f>
        <v>3</v>
      </c>
      <c r="BD145" s="20">
        <f>IF('Growth profile'!BC226&gt;0,1,IF('Growth profile'!BC329&gt;0,3,0))</f>
        <v>3</v>
      </c>
      <c r="BE145" s="20">
        <f>IF('Growth profile'!BD226&gt;0,1,IF('Growth profile'!BD329&gt;0,3,0))</f>
        <v>3</v>
      </c>
      <c r="BF145" s="20">
        <f>IF('Growth profile'!BE226&gt;0,1,IF('Growth profile'!BE329&gt;0,3,0))</f>
        <v>3</v>
      </c>
      <c r="BG145" s="20">
        <f>IF('Growth profile'!BF226&gt;0,1,IF('Growth profile'!BF329&gt;0,3,0))</f>
        <v>3</v>
      </c>
      <c r="BH145" s="20">
        <f>IF('Growth profile'!BG226&gt;0,1,IF('Growth profile'!BG329&gt;0,3,0))</f>
        <v>3</v>
      </c>
      <c r="BI145" s="20">
        <f>IF('Growth profile'!BH226&gt;0,1,IF('Growth profile'!BH329&gt;0,3,0))</f>
        <v>3</v>
      </c>
      <c r="BJ145" s="20">
        <f>IF('Growth profile'!BI226&gt;0,1,IF('Growth profile'!BI329&gt;0,3,0))</f>
        <v>0</v>
      </c>
      <c r="BK145" s="21">
        <f>IF('Growth profile'!BJ226&gt;0,1,IF('Growth profile'!BJ329&gt;0,3,0))</f>
        <v>0</v>
      </c>
    </row>
    <row r="146" spans="1:63" x14ac:dyDescent="0.3">
      <c r="B146" s="13" t="s">
        <v>59</v>
      </c>
      <c r="C146" s="19">
        <f>'Growth (no penalty)'!I118</f>
        <v>2044</v>
      </c>
      <c r="D146" s="22">
        <f>IF('Growth (no penalty)'!C226&gt;0,1,IF('Growth (no penalty)'!C329&gt;0,4,0))</f>
        <v>0</v>
      </c>
      <c r="E146" s="22">
        <f>IF('Growth (no penalty)'!D226&gt;0,1,IF('Growth (no penalty)'!D329&gt;0,4,0))</f>
        <v>0</v>
      </c>
      <c r="F146" s="22">
        <f>IF('Growth (no penalty)'!E226&gt;0,1,IF('Growth (no penalty)'!E329&gt;0,4,0))</f>
        <v>0</v>
      </c>
      <c r="G146" s="22">
        <f>IF('Growth (no penalty)'!F226&gt;0,1,IF('Growth (no penalty)'!F329&gt;0,4,0))</f>
        <v>0</v>
      </c>
      <c r="H146" s="22">
        <f>IF('Growth (no penalty)'!G226&gt;0,1,IF('Growth (no penalty)'!G329&gt;0,4,0))</f>
        <v>0</v>
      </c>
      <c r="I146" s="22">
        <f>IF('Growth (no penalty)'!H226&gt;0,1,IF('Growth (no penalty)'!H329&gt;0,4,0))</f>
        <v>0</v>
      </c>
      <c r="J146" s="22">
        <f>IF('Growth (no penalty)'!I226&gt;0,1,IF('Growth (no penalty)'!I329&gt;0,4,0))</f>
        <v>0</v>
      </c>
      <c r="K146" s="22">
        <f>IF('Growth (no penalty)'!J226&gt;0,1,IF('Growth (no penalty)'!J329&gt;0,4,0))</f>
        <v>0</v>
      </c>
      <c r="L146" s="22">
        <f>IF('Growth (no penalty)'!K226&gt;0,1,IF('Growth (no penalty)'!K329&gt;0,4,0))</f>
        <v>0</v>
      </c>
      <c r="M146" s="22">
        <f>IF('Growth (no penalty)'!L226&gt;0,1,IF('Growth (no penalty)'!L329&gt;0,4,0))</f>
        <v>0</v>
      </c>
      <c r="N146" s="22">
        <f>IF('Growth (no penalty)'!M226&gt;0,1,IF('Growth (no penalty)'!M329&gt;0,4,0))</f>
        <v>0</v>
      </c>
      <c r="O146" s="22">
        <f>IF('Growth (no penalty)'!N226&gt;0,1,IF('Growth (no penalty)'!N329&gt;0,4,0))</f>
        <v>0</v>
      </c>
      <c r="P146" s="22">
        <f>IF('Growth (no penalty)'!O226&gt;0,1,IF('Growth (no penalty)'!O329&gt;0,4,0))</f>
        <v>0</v>
      </c>
      <c r="Q146" s="22">
        <f>IF('Growth (no penalty)'!P226&gt;0,1,IF('Growth (no penalty)'!P329&gt;0,4,0))</f>
        <v>0</v>
      </c>
      <c r="R146" s="22">
        <f>IF('Growth (no penalty)'!Q226&gt;0,1,IF('Growth (no penalty)'!Q329&gt;0,4,0))</f>
        <v>0</v>
      </c>
      <c r="S146" s="22">
        <f>IF('Growth (no penalty)'!R226&gt;0,1,IF('Growth (no penalty)'!R329&gt;0,4,0))</f>
        <v>0</v>
      </c>
      <c r="T146" s="22">
        <f>IF('Growth (no penalty)'!S226&gt;0,1,IF('Growth (no penalty)'!S329&gt;0,4,0))</f>
        <v>0</v>
      </c>
      <c r="U146" s="22">
        <f>IF('Growth (no penalty)'!T226&gt;0,1,IF('Growth (no penalty)'!T329&gt;0,4,0))</f>
        <v>0</v>
      </c>
      <c r="V146" s="22">
        <f>IF('Growth (no penalty)'!U226&gt;0,1,IF('Growth (no penalty)'!U329&gt;0,4,0))</f>
        <v>1</v>
      </c>
      <c r="W146" s="22">
        <f>IF('Growth (no penalty)'!V226&gt;0,1,IF('Growth (no penalty)'!V329&gt;0,4,0))</f>
        <v>1</v>
      </c>
      <c r="X146" s="22">
        <f>IF('Growth (no penalty)'!W226&gt;0,1,IF('Growth (no penalty)'!W329&gt;0,4,0))</f>
        <v>4</v>
      </c>
      <c r="Y146" s="22">
        <f>IF('Growth (no penalty)'!X226&gt;0,1,IF('Growth (no penalty)'!X329&gt;0,4,0))</f>
        <v>4</v>
      </c>
      <c r="Z146" s="22">
        <f>IF('Growth (no penalty)'!Y226&gt;0,1,IF('Growth (no penalty)'!Y329&gt;0,4,0))</f>
        <v>4</v>
      </c>
      <c r="AA146" s="22">
        <f>IF('Growth (no penalty)'!Z226&gt;0,1,IF('Growth (no penalty)'!Z329&gt;0,4,0))</f>
        <v>4</v>
      </c>
      <c r="AB146" s="22">
        <f>IF('Growth (no penalty)'!AA226&gt;0,1,IF('Growth (no penalty)'!AA329&gt;0,4,0))</f>
        <v>4</v>
      </c>
      <c r="AC146" s="22">
        <f>IF('Growth (no penalty)'!AB226&gt;0,1,IF('Growth (no penalty)'!AB329&gt;0,4,0))</f>
        <v>4</v>
      </c>
      <c r="AD146" s="22">
        <f>IF('Growth (no penalty)'!AC226&gt;0,1,IF('Growth (no penalty)'!AC329&gt;0,4,0))</f>
        <v>4</v>
      </c>
      <c r="AE146" s="22">
        <f>IF('Growth (no penalty)'!AD226&gt;0,1,IF('Growth (no penalty)'!AD329&gt;0,4,0))</f>
        <v>4</v>
      </c>
      <c r="AF146" s="22">
        <f>IF('Growth (no penalty)'!AE226&gt;0,1,IF('Growth (no penalty)'!AE329&gt;0,4,0))</f>
        <v>4</v>
      </c>
      <c r="AG146" s="22">
        <f>IF('Growth (no penalty)'!AF226&gt;0,1,IF('Growth (no penalty)'!AF329&gt;0,4,0))</f>
        <v>4</v>
      </c>
      <c r="AH146" s="22">
        <f>IF('Growth (no penalty)'!AG226&gt;0,1,IF('Growth (no penalty)'!AG329&gt;0,4,0))</f>
        <v>4</v>
      </c>
      <c r="AI146" s="22">
        <f>IF('Growth (no penalty)'!AH226&gt;0,1,IF('Growth (no penalty)'!AH329&gt;0,4,0))</f>
        <v>4</v>
      </c>
      <c r="AJ146" s="22">
        <f>IF('Growth (no penalty)'!AI226&gt;0,1,IF('Growth (no penalty)'!AI329&gt;0,4,0))</f>
        <v>4</v>
      </c>
      <c r="AK146" s="22">
        <f>IF('Growth (no penalty)'!AJ226&gt;0,1,IF('Growth (no penalty)'!AJ329&gt;0,4,0))</f>
        <v>4</v>
      </c>
      <c r="AL146" s="22">
        <f>IF('Growth (no penalty)'!AK226&gt;0,1,IF('Growth (no penalty)'!AK329&gt;0,4,0))</f>
        <v>4</v>
      </c>
      <c r="AM146" s="22">
        <f>IF('Growth (no penalty)'!AL226&gt;0,1,IF('Growth (no penalty)'!AL329&gt;0,4,0))</f>
        <v>4</v>
      </c>
      <c r="AN146" s="22">
        <f>IF('Growth (no penalty)'!AM226&gt;0,1,IF('Growth (no penalty)'!AM329&gt;0,4,0))</f>
        <v>4</v>
      </c>
      <c r="AO146" s="22">
        <f>IF('Growth (no penalty)'!AN226&gt;0,1,IF('Growth (no penalty)'!AN329&gt;0,4,0))</f>
        <v>4</v>
      </c>
      <c r="AP146" s="22">
        <f>IF('Growth (no penalty)'!AO226&gt;0,1,IF('Growth (no penalty)'!AO329&gt;0,4,0))</f>
        <v>4</v>
      </c>
      <c r="AQ146" s="22">
        <f>IF('Growth (no penalty)'!AP226&gt;0,1,IF('Growth (no penalty)'!AP329&gt;0,4,0))</f>
        <v>4</v>
      </c>
      <c r="AR146" s="22">
        <f>IF('Growth (no penalty)'!AQ226&gt;0,1,IF('Growth (no penalty)'!AQ329&gt;0,4,0))</f>
        <v>4</v>
      </c>
      <c r="AS146" s="22">
        <f>IF('Growth (no penalty)'!AR226&gt;0,1,IF('Growth (no penalty)'!AR329&gt;0,4,0))</f>
        <v>4</v>
      </c>
      <c r="AT146" s="22">
        <f>IF('Growth (no penalty)'!AS226&gt;0,1,IF('Growth (no penalty)'!AS329&gt;0,4,0))</f>
        <v>4</v>
      </c>
      <c r="AU146" s="22">
        <f>IF('Growth (no penalty)'!AT226&gt;0,1,IF('Growth (no penalty)'!AT329&gt;0,4,0))</f>
        <v>4</v>
      </c>
      <c r="AV146" s="22">
        <f>IF('Growth (no penalty)'!AU226&gt;0,1,IF('Growth (no penalty)'!AU329&gt;0,4,0))</f>
        <v>4</v>
      </c>
      <c r="AW146" s="22">
        <f>IF('Growth (no penalty)'!AV226&gt;0,1,IF('Growth (no penalty)'!AV329&gt;0,4,0))</f>
        <v>4</v>
      </c>
      <c r="AX146" s="22">
        <f>IF('Growth (no penalty)'!AW226&gt;0,1,IF('Growth (no penalty)'!AW329&gt;0,4,0))</f>
        <v>4</v>
      </c>
      <c r="AY146" s="22">
        <f>IF('Growth (no penalty)'!AX226&gt;0,1,IF('Growth (no penalty)'!AX329&gt;0,4,0))</f>
        <v>4</v>
      </c>
      <c r="AZ146" s="22">
        <f>IF('Growth (no penalty)'!AY226&gt;0,1,IF('Growth (no penalty)'!AY329&gt;0,4,0))</f>
        <v>4</v>
      </c>
      <c r="BA146" s="22">
        <f>IF('Growth (no penalty)'!AZ226&gt;0,1,IF('Growth (no penalty)'!AZ329&gt;0,4,0))</f>
        <v>4</v>
      </c>
      <c r="BB146" s="22">
        <f>IF('Growth (no penalty)'!BA226&gt;0,1,IF('Growth (no penalty)'!BA329&gt;0,4,0))</f>
        <v>4</v>
      </c>
      <c r="BC146" s="22">
        <f>IF('Growth (no penalty)'!BB226&gt;0,1,IF('Growth (no penalty)'!BB329&gt;0,4,0))</f>
        <v>4</v>
      </c>
      <c r="BD146" s="22">
        <f>IF('Growth (no penalty)'!BC226&gt;0,1,IF('Growth (no penalty)'!BC329&gt;0,4,0))</f>
        <v>4</v>
      </c>
      <c r="BE146" s="22">
        <f>IF('Growth (no penalty)'!BD226&gt;0,1,IF('Growth (no penalty)'!BD329&gt;0,4,0))</f>
        <v>4</v>
      </c>
      <c r="BF146" s="22">
        <f>IF('Growth (no penalty)'!BE226&gt;0,1,IF('Growth (no penalty)'!BE329&gt;0,4,0))</f>
        <v>4</v>
      </c>
      <c r="BG146" s="22">
        <f>IF('Growth (no penalty)'!BF226&gt;0,1,IF('Growth (no penalty)'!BF329&gt;0,4,0))</f>
        <v>4</v>
      </c>
      <c r="BH146" s="22">
        <f>IF('Growth (no penalty)'!BG226&gt;0,1,IF('Growth (no penalty)'!BG329&gt;0,4,0))</f>
        <v>4</v>
      </c>
      <c r="BI146" s="22">
        <f>IF('Growth (no penalty)'!BH226&gt;0,1,IF('Growth (no penalty)'!BH329&gt;0,4,0))</f>
        <v>4</v>
      </c>
      <c r="BJ146" s="22">
        <f>IF('Growth (no penalty)'!BI226&gt;0,1,IF('Growth (no penalty)'!BI329&gt;0,4,0))</f>
        <v>4</v>
      </c>
      <c r="BK146" s="23">
        <f>IF('Growth (no penalty)'!BJ226&gt;0,1,IF('Growth (no penalty)'!BJ329&gt;0,4,0))</f>
        <v>4</v>
      </c>
    </row>
    <row r="147" spans="1:63" x14ac:dyDescent="0.3">
      <c r="A147" s="4" t="str">
        <f>'Growth profile'!A77</f>
        <v>project 110</v>
      </c>
      <c r="B147" s="13" t="s">
        <v>3</v>
      </c>
      <c r="C147" s="19">
        <f>'Raw profile'!I77</f>
        <v>2033</v>
      </c>
      <c r="D147" s="20">
        <f>IF('Raw profile'!C185&gt;0,1,IF('Raw profile'!C288&gt;0,2,0))</f>
        <v>0</v>
      </c>
      <c r="E147" s="20">
        <f>IF('Raw profile'!D185&gt;0,1,IF('Raw profile'!D288&gt;0,2,0))</f>
        <v>0</v>
      </c>
      <c r="F147" s="20">
        <f>IF('Raw profile'!E185&gt;0,1,IF('Raw profile'!E288&gt;0,2,0))</f>
        <v>0</v>
      </c>
      <c r="G147" s="20">
        <f>IF('Raw profile'!F185&gt;0,1,IF('Raw profile'!F288&gt;0,2,0))</f>
        <v>0</v>
      </c>
      <c r="H147" s="20">
        <f>IF('Raw profile'!G185&gt;0,1,IF('Raw profile'!G288&gt;0,2,0))</f>
        <v>0</v>
      </c>
      <c r="I147" s="20">
        <f>IF('Raw profile'!H185&gt;0,1,IF('Raw profile'!H288&gt;0,2,0))</f>
        <v>0</v>
      </c>
      <c r="J147" s="20">
        <f>IF('Raw profile'!I185&gt;0,1,IF('Raw profile'!I288&gt;0,2,0))</f>
        <v>0</v>
      </c>
      <c r="K147" s="20">
        <f>IF('Raw profile'!J185&gt;0,1,IF('Raw profile'!J288&gt;0,2,0))</f>
        <v>1</v>
      </c>
      <c r="L147" s="20">
        <f>IF('Raw profile'!K185&gt;0,1,IF('Raw profile'!K288&gt;0,2,0))</f>
        <v>0</v>
      </c>
      <c r="M147" s="20">
        <f>IF('Raw profile'!L185&gt;0,1,IF('Raw profile'!L288&gt;0,2,0))</f>
        <v>1</v>
      </c>
      <c r="N147" s="20">
        <f>IF('Raw profile'!M185&gt;0,1,IF('Raw profile'!M288&gt;0,2,0))</f>
        <v>0</v>
      </c>
      <c r="O147" s="20">
        <f>IF('Raw profile'!N185&gt;0,1,IF('Raw profile'!N288&gt;0,2,0))</f>
        <v>1</v>
      </c>
      <c r="P147" s="20">
        <f>IF('Raw profile'!O185&gt;0,1,IF('Raw profile'!O288&gt;0,2,0))</f>
        <v>1</v>
      </c>
      <c r="Q147" s="20">
        <f>IF('Raw profile'!P185&gt;0,1,IF('Raw profile'!P288&gt;0,2,0))</f>
        <v>1</v>
      </c>
      <c r="R147" s="20">
        <f>IF('Raw profile'!Q185&gt;0,1,IF('Raw profile'!Q288&gt;0,2,0))</f>
        <v>1</v>
      </c>
      <c r="S147" s="20">
        <f>IF('Raw profile'!R185&gt;0,1,IF('Raw profile'!R288&gt;0,2,0))</f>
        <v>2</v>
      </c>
      <c r="T147" s="20">
        <f>IF('Raw profile'!S185&gt;0,1,IF('Raw profile'!S288&gt;0,2,0))</f>
        <v>2</v>
      </c>
      <c r="U147" s="20">
        <f>IF('Raw profile'!T185&gt;0,1,IF('Raw profile'!T288&gt;0,2,0))</f>
        <v>2</v>
      </c>
      <c r="V147" s="20">
        <f>IF('Raw profile'!U185&gt;0,1,IF('Raw profile'!U288&gt;0,2,0))</f>
        <v>2</v>
      </c>
      <c r="W147" s="20">
        <f>IF('Raw profile'!V185&gt;0,1,IF('Raw profile'!V288&gt;0,2,0))</f>
        <v>2</v>
      </c>
      <c r="X147" s="20">
        <f>IF('Raw profile'!W185&gt;0,1,IF('Raw profile'!W288&gt;0,2,0))</f>
        <v>2</v>
      </c>
      <c r="Y147" s="20">
        <f>IF('Raw profile'!X185&gt;0,1,IF('Raw profile'!X288&gt;0,2,0))</f>
        <v>2</v>
      </c>
      <c r="Z147" s="20">
        <f>IF('Raw profile'!Y185&gt;0,1,IF('Raw profile'!Y288&gt;0,2,0))</f>
        <v>2</v>
      </c>
      <c r="AA147" s="20">
        <f>IF('Raw profile'!Z185&gt;0,1,IF('Raw profile'!Z288&gt;0,2,0))</f>
        <v>2</v>
      </c>
      <c r="AB147" s="20">
        <f>IF('Raw profile'!AA185&gt;0,1,IF('Raw profile'!AA288&gt;0,2,0))</f>
        <v>2</v>
      </c>
      <c r="AC147" s="20">
        <f>IF('Raw profile'!AB185&gt;0,1,IF('Raw profile'!AB288&gt;0,2,0))</f>
        <v>2</v>
      </c>
      <c r="AD147" s="20">
        <f>IF('Raw profile'!AC185&gt;0,1,IF('Raw profile'!AC288&gt;0,2,0))</f>
        <v>2</v>
      </c>
      <c r="AE147" s="20">
        <f>IF('Raw profile'!AD185&gt;0,1,IF('Raw profile'!AD288&gt;0,2,0))</f>
        <v>2</v>
      </c>
      <c r="AF147" s="20">
        <f>IF('Raw profile'!AE185&gt;0,1,IF('Raw profile'!AE288&gt;0,2,0))</f>
        <v>2</v>
      </c>
      <c r="AG147" s="20">
        <f>IF('Raw profile'!AF185&gt;0,1,IF('Raw profile'!AF288&gt;0,2,0))</f>
        <v>2</v>
      </c>
      <c r="AH147" s="20">
        <f>IF('Raw profile'!AG185&gt;0,1,IF('Raw profile'!AG288&gt;0,2,0))</f>
        <v>2</v>
      </c>
      <c r="AI147" s="20">
        <f>IF('Raw profile'!AH185&gt;0,1,IF('Raw profile'!AH288&gt;0,2,0))</f>
        <v>2</v>
      </c>
      <c r="AJ147" s="20">
        <f>IF('Raw profile'!AI185&gt;0,1,IF('Raw profile'!AI288&gt;0,2,0))</f>
        <v>2</v>
      </c>
      <c r="AK147" s="20">
        <f>IF('Raw profile'!AJ185&gt;0,1,IF('Raw profile'!AJ288&gt;0,2,0))</f>
        <v>2</v>
      </c>
      <c r="AL147" s="20">
        <f>IF('Raw profile'!AK185&gt;0,1,IF('Raw profile'!AK288&gt;0,2,0))</f>
        <v>2</v>
      </c>
      <c r="AM147" s="20">
        <f>IF('Raw profile'!AL185&gt;0,1,IF('Raw profile'!AL288&gt;0,2,0))</f>
        <v>2</v>
      </c>
      <c r="AN147" s="20">
        <f>IF('Raw profile'!AM185&gt;0,1,IF('Raw profile'!AM288&gt;0,2,0))</f>
        <v>2</v>
      </c>
      <c r="AO147" s="20">
        <f>IF('Raw profile'!AN185&gt;0,1,IF('Raw profile'!AN288&gt;0,2,0))</f>
        <v>2</v>
      </c>
      <c r="AP147" s="20">
        <f>IF('Raw profile'!AO185&gt;0,1,IF('Raw profile'!AO288&gt;0,2,0))</f>
        <v>2</v>
      </c>
      <c r="AQ147" s="20">
        <f>IF('Raw profile'!AP185&gt;0,1,IF('Raw profile'!AP288&gt;0,2,0))</f>
        <v>2</v>
      </c>
      <c r="AR147" s="20">
        <f>IF('Raw profile'!AQ185&gt;0,1,IF('Raw profile'!AQ288&gt;0,2,0))</f>
        <v>2</v>
      </c>
      <c r="AS147" s="20">
        <f>IF('Raw profile'!AR185&gt;0,1,IF('Raw profile'!AR288&gt;0,2,0))</f>
        <v>2</v>
      </c>
      <c r="AT147" s="20">
        <f>IF('Raw profile'!AS185&gt;0,1,IF('Raw profile'!AS288&gt;0,2,0))</f>
        <v>2</v>
      </c>
      <c r="AU147" s="20">
        <f>IF('Raw profile'!AT185&gt;0,1,IF('Raw profile'!AT288&gt;0,2,0))</f>
        <v>2</v>
      </c>
      <c r="AV147" s="20">
        <f>IF('Raw profile'!AU185&gt;0,1,IF('Raw profile'!AU288&gt;0,2,0))</f>
        <v>2</v>
      </c>
      <c r="AW147" s="20">
        <f>IF('Raw profile'!AV185&gt;0,1,IF('Raw profile'!AV288&gt;0,2,0))</f>
        <v>2</v>
      </c>
      <c r="AX147" s="20">
        <f>IF('Raw profile'!AW185&gt;0,1,IF('Raw profile'!AW288&gt;0,2,0))</f>
        <v>2</v>
      </c>
      <c r="AY147" s="20">
        <f>IF('Raw profile'!AX185&gt;0,1,IF('Raw profile'!AX288&gt;0,2,0))</f>
        <v>2</v>
      </c>
      <c r="AZ147" s="20">
        <f>IF('Raw profile'!AY185&gt;0,1,IF('Raw profile'!AY288&gt;0,2,0))</f>
        <v>2</v>
      </c>
      <c r="BA147" s="20">
        <f>IF('Raw profile'!AZ185&gt;0,1,IF('Raw profile'!AZ288&gt;0,2,0))</f>
        <v>2</v>
      </c>
      <c r="BB147" s="20">
        <f>IF('Raw profile'!BA185&gt;0,1,IF('Raw profile'!BA288&gt;0,2,0))</f>
        <v>2</v>
      </c>
      <c r="BC147" s="20">
        <f>IF('Raw profile'!BB185&gt;0,1,IF('Raw profile'!BB288&gt;0,2,0))</f>
        <v>2</v>
      </c>
      <c r="BD147" s="20">
        <f>IF('Raw profile'!BC185&gt;0,1,IF('Raw profile'!BC288&gt;0,2,0))</f>
        <v>2</v>
      </c>
      <c r="BE147" s="20">
        <f>IF('Raw profile'!BD185&gt;0,1,IF('Raw profile'!BD288&gt;0,2,0))</f>
        <v>2</v>
      </c>
      <c r="BF147" s="20">
        <f>IF('Raw profile'!BE185&gt;0,1,IF('Raw profile'!BE288&gt;0,2,0))</f>
        <v>2</v>
      </c>
      <c r="BG147" s="20">
        <f>IF('Raw profile'!BF185&gt;0,1,IF('Raw profile'!BF288&gt;0,2,0))</f>
        <v>0</v>
      </c>
      <c r="BH147" s="20">
        <f>IF('Raw profile'!BG185&gt;0,1,IF('Raw profile'!BG288&gt;0,2,0))</f>
        <v>0</v>
      </c>
      <c r="BI147" s="20">
        <f>IF('Raw profile'!BH185&gt;0,1,IF('Raw profile'!BH288&gt;0,2,0))</f>
        <v>0</v>
      </c>
      <c r="BJ147" s="20">
        <f>IF('Raw profile'!BI185&gt;0,1,IF('Raw profile'!BI288&gt;0,2,0))</f>
        <v>0</v>
      </c>
      <c r="BK147" s="21">
        <f>IF('Raw profile'!BJ185&gt;0,1,IF('Raw profile'!BJ288&gt;0,2,0))</f>
        <v>0</v>
      </c>
    </row>
    <row r="148" spans="1:63" x14ac:dyDescent="0.3">
      <c r="B148" s="13" t="s">
        <v>4</v>
      </c>
      <c r="C148" s="19">
        <f>'Growth profile'!I77</f>
        <v>2032</v>
      </c>
      <c r="D148" s="20">
        <f>IF('Growth profile'!C185&gt;0,1,IF('Growth profile'!C288&gt;0,3,0))</f>
        <v>0</v>
      </c>
      <c r="E148" s="20">
        <f>IF('Growth profile'!D185&gt;0,1,IF('Growth profile'!D288&gt;0,3,0))</f>
        <v>0</v>
      </c>
      <c r="F148" s="20">
        <f>IF('Growth profile'!E185&gt;0,1,IF('Growth profile'!E288&gt;0,3,0))</f>
        <v>0</v>
      </c>
      <c r="G148" s="20">
        <f>IF('Growth profile'!F185&gt;0,1,IF('Growth profile'!F288&gt;0,3,0))</f>
        <v>0</v>
      </c>
      <c r="H148" s="20">
        <f>IF('Growth profile'!G185&gt;0,1,IF('Growth profile'!G288&gt;0,3,0))</f>
        <v>0</v>
      </c>
      <c r="I148" s="20">
        <f>IF('Growth profile'!H185&gt;0,1,IF('Growth profile'!H288&gt;0,3,0))</f>
        <v>0</v>
      </c>
      <c r="J148" s="20">
        <f>IF('Growth profile'!I185&gt;0,1,IF('Growth profile'!I288&gt;0,3,0))</f>
        <v>1</v>
      </c>
      <c r="K148" s="20">
        <f>IF('Growth profile'!J185&gt;0,1,IF('Growth profile'!J288&gt;0,3,0))</f>
        <v>0</v>
      </c>
      <c r="L148" s="20">
        <f>IF('Growth profile'!K185&gt;0,1,IF('Growth profile'!K288&gt;0,3,0))</f>
        <v>1</v>
      </c>
      <c r="M148" s="20">
        <f>IF('Growth profile'!L185&gt;0,1,IF('Growth profile'!L288&gt;0,3,0))</f>
        <v>0</v>
      </c>
      <c r="N148" s="20">
        <f>IF('Growth profile'!M185&gt;0,1,IF('Growth profile'!M288&gt;0,3,0))</f>
        <v>1</v>
      </c>
      <c r="O148" s="20">
        <f>IF('Growth profile'!N185&gt;0,1,IF('Growth profile'!N288&gt;0,3,0))</f>
        <v>1</v>
      </c>
      <c r="P148" s="20">
        <f>IF('Growth profile'!O185&gt;0,1,IF('Growth profile'!O288&gt;0,3,0))</f>
        <v>1</v>
      </c>
      <c r="Q148" s="20">
        <f>IF('Growth profile'!P185&gt;0,1,IF('Growth profile'!P288&gt;0,3,0))</f>
        <v>1</v>
      </c>
      <c r="R148" s="20">
        <f>IF('Growth profile'!Q185&gt;0,1,IF('Growth profile'!Q288&gt;0,3,0))</f>
        <v>3</v>
      </c>
      <c r="S148" s="20">
        <f>IF('Growth profile'!R185&gt;0,1,IF('Growth profile'!R288&gt;0,3,0))</f>
        <v>3</v>
      </c>
      <c r="T148" s="20">
        <f>IF('Growth profile'!S185&gt;0,1,IF('Growth profile'!S288&gt;0,3,0))</f>
        <v>3</v>
      </c>
      <c r="U148" s="20">
        <f>IF('Growth profile'!T185&gt;0,1,IF('Growth profile'!T288&gt;0,3,0))</f>
        <v>3</v>
      </c>
      <c r="V148" s="20">
        <f>IF('Growth profile'!U185&gt;0,1,IF('Growth profile'!U288&gt;0,3,0))</f>
        <v>3</v>
      </c>
      <c r="W148" s="20">
        <f>IF('Growth profile'!V185&gt;0,1,IF('Growth profile'!V288&gt;0,3,0))</f>
        <v>3</v>
      </c>
      <c r="X148" s="20">
        <f>IF('Growth profile'!W185&gt;0,1,IF('Growth profile'!W288&gt;0,3,0))</f>
        <v>3</v>
      </c>
      <c r="Y148" s="20">
        <f>IF('Growth profile'!X185&gt;0,1,IF('Growth profile'!X288&gt;0,3,0))</f>
        <v>3</v>
      </c>
      <c r="Z148" s="20">
        <f>IF('Growth profile'!Y185&gt;0,1,IF('Growth profile'!Y288&gt;0,3,0))</f>
        <v>3</v>
      </c>
      <c r="AA148" s="20">
        <f>IF('Growth profile'!Z185&gt;0,1,IF('Growth profile'!Z288&gt;0,3,0))</f>
        <v>3</v>
      </c>
      <c r="AB148" s="20">
        <f>IF('Growth profile'!AA185&gt;0,1,IF('Growth profile'!AA288&gt;0,3,0))</f>
        <v>3</v>
      </c>
      <c r="AC148" s="20">
        <f>IF('Growth profile'!AB185&gt;0,1,IF('Growth profile'!AB288&gt;0,3,0))</f>
        <v>3</v>
      </c>
      <c r="AD148" s="20">
        <f>IF('Growth profile'!AC185&gt;0,1,IF('Growth profile'!AC288&gt;0,3,0))</f>
        <v>3</v>
      </c>
      <c r="AE148" s="20">
        <f>IF('Growth profile'!AD185&gt;0,1,IF('Growth profile'!AD288&gt;0,3,0))</f>
        <v>3</v>
      </c>
      <c r="AF148" s="20">
        <f>IF('Growth profile'!AE185&gt;0,1,IF('Growth profile'!AE288&gt;0,3,0))</f>
        <v>3</v>
      </c>
      <c r="AG148" s="20">
        <f>IF('Growth profile'!AF185&gt;0,1,IF('Growth profile'!AF288&gt;0,3,0))</f>
        <v>3</v>
      </c>
      <c r="AH148" s="20">
        <f>IF('Growth profile'!AG185&gt;0,1,IF('Growth profile'!AG288&gt;0,3,0))</f>
        <v>3</v>
      </c>
      <c r="AI148" s="20">
        <f>IF('Growth profile'!AH185&gt;0,1,IF('Growth profile'!AH288&gt;0,3,0))</f>
        <v>3</v>
      </c>
      <c r="AJ148" s="20">
        <f>IF('Growth profile'!AI185&gt;0,1,IF('Growth profile'!AI288&gt;0,3,0))</f>
        <v>3</v>
      </c>
      <c r="AK148" s="20">
        <f>IF('Growth profile'!AJ185&gt;0,1,IF('Growth profile'!AJ288&gt;0,3,0))</f>
        <v>3</v>
      </c>
      <c r="AL148" s="20">
        <f>IF('Growth profile'!AK185&gt;0,1,IF('Growth profile'!AK288&gt;0,3,0))</f>
        <v>3</v>
      </c>
      <c r="AM148" s="20">
        <f>IF('Growth profile'!AL185&gt;0,1,IF('Growth profile'!AL288&gt;0,3,0))</f>
        <v>3</v>
      </c>
      <c r="AN148" s="20">
        <f>IF('Growth profile'!AM185&gt;0,1,IF('Growth profile'!AM288&gt;0,3,0))</f>
        <v>3</v>
      </c>
      <c r="AO148" s="20">
        <f>IF('Growth profile'!AN185&gt;0,1,IF('Growth profile'!AN288&gt;0,3,0))</f>
        <v>3</v>
      </c>
      <c r="AP148" s="20">
        <f>IF('Growth profile'!AO185&gt;0,1,IF('Growth profile'!AO288&gt;0,3,0))</f>
        <v>3</v>
      </c>
      <c r="AQ148" s="20">
        <f>IF('Growth profile'!AP185&gt;0,1,IF('Growth profile'!AP288&gt;0,3,0))</f>
        <v>3</v>
      </c>
      <c r="AR148" s="20">
        <f>IF('Growth profile'!AQ185&gt;0,1,IF('Growth profile'!AQ288&gt;0,3,0))</f>
        <v>3</v>
      </c>
      <c r="AS148" s="20">
        <f>IF('Growth profile'!AR185&gt;0,1,IF('Growth profile'!AR288&gt;0,3,0))</f>
        <v>3</v>
      </c>
      <c r="AT148" s="20">
        <f>IF('Growth profile'!AS185&gt;0,1,IF('Growth profile'!AS288&gt;0,3,0))</f>
        <v>3</v>
      </c>
      <c r="AU148" s="20">
        <f>IF('Growth profile'!AT185&gt;0,1,IF('Growth profile'!AT288&gt;0,3,0))</f>
        <v>3</v>
      </c>
      <c r="AV148" s="20">
        <f>IF('Growth profile'!AU185&gt;0,1,IF('Growth profile'!AU288&gt;0,3,0))</f>
        <v>3</v>
      </c>
      <c r="AW148" s="20">
        <f>IF('Growth profile'!AV185&gt;0,1,IF('Growth profile'!AV288&gt;0,3,0))</f>
        <v>3</v>
      </c>
      <c r="AX148" s="20">
        <f>IF('Growth profile'!AW185&gt;0,1,IF('Growth profile'!AW288&gt;0,3,0))</f>
        <v>3</v>
      </c>
      <c r="AY148" s="20">
        <f>IF('Growth profile'!AX185&gt;0,1,IF('Growth profile'!AX288&gt;0,3,0))</f>
        <v>3</v>
      </c>
      <c r="AZ148" s="20">
        <f>IF('Growth profile'!AY185&gt;0,1,IF('Growth profile'!AY288&gt;0,3,0))</f>
        <v>3</v>
      </c>
      <c r="BA148" s="20">
        <f>IF('Growth profile'!AZ185&gt;0,1,IF('Growth profile'!AZ288&gt;0,3,0))</f>
        <v>3</v>
      </c>
      <c r="BB148" s="20">
        <f>IF('Growth profile'!BA185&gt;0,1,IF('Growth profile'!BA288&gt;0,3,0))</f>
        <v>3</v>
      </c>
      <c r="BC148" s="20">
        <f>IF('Growth profile'!BB185&gt;0,1,IF('Growth profile'!BB288&gt;0,3,0))</f>
        <v>3</v>
      </c>
      <c r="BD148" s="20">
        <f>IF('Growth profile'!BC185&gt;0,1,IF('Growth profile'!BC288&gt;0,3,0))</f>
        <v>3</v>
      </c>
      <c r="BE148" s="20">
        <f>IF('Growth profile'!BD185&gt;0,1,IF('Growth profile'!BD288&gt;0,3,0))</f>
        <v>3</v>
      </c>
      <c r="BF148" s="20">
        <f>IF('Growth profile'!BE185&gt;0,1,IF('Growth profile'!BE288&gt;0,3,0))</f>
        <v>0</v>
      </c>
      <c r="BG148" s="20">
        <f>IF('Growth profile'!BF185&gt;0,1,IF('Growth profile'!BF288&gt;0,3,0))</f>
        <v>0</v>
      </c>
      <c r="BH148" s="20">
        <f>IF('Growth profile'!BG185&gt;0,1,IF('Growth profile'!BG288&gt;0,3,0))</f>
        <v>0</v>
      </c>
      <c r="BI148" s="20">
        <f>IF('Growth profile'!BH185&gt;0,1,IF('Growth profile'!BH288&gt;0,3,0))</f>
        <v>0</v>
      </c>
      <c r="BJ148" s="20">
        <f>IF('Growth profile'!BI185&gt;0,1,IF('Growth profile'!BI288&gt;0,3,0))</f>
        <v>0</v>
      </c>
      <c r="BK148" s="21">
        <f>IF('Growth profile'!BJ185&gt;0,1,IF('Growth profile'!BJ288&gt;0,3,0))</f>
        <v>0</v>
      </c>
    </row>
    <row r="149" spans="1:63" x14ac:dyDescent="0.3">
      <c r="B149" s="13" t="s">
        <v>59</v>
      </c>
      <c r="C149" s="19">
        <f>'Growth (no penalty)'!I77</f>
        <v>2038</v>
      </c>
      <c r="D149" s="22">
        <f>IF('Growth (no penalty)'!C185&gt;0,1,IF('Growth (no penalty)'!C288&gt;0,4,0))</f>
        <v>0</v>
      </c>
      <c r="E149" s="22">
        <f>IF('Growth (no penalty)'!D185&gt;0,1,IF('Growth (no penalty)'!D288&gt;0,4,0))</f>
        <v>0</v>
      </c>
      <c r="F149" s="22">
        <f>IF('Growth (no penalty)'!E185&gt;0,1,IF('Growth (no penalty)'!E288&gt;0,4,0))</f>
        <v>0</v>
      </c>
      <c r="G149" s="22">
        <f>IF('Growth (no penalty)'!F185&gt;0,1,IF('Growth (no penalty)'!F288&gt;0,4,0))</f>
        <v>0</v>
      </c>
      <c r="H149" s="22">
        <f>IF('Growth (no penalty)'!G185&gt;0,1,IF('Growth (no penalty)'!G288&gt;0,4,0))</f>
        <v>0</v>
      </c>
      <c r="I149" s="22">
        <f>IF('Growth (no penalty)'!H185&gt;0,1,IF('Growth (no penalty)'!H288&gt;0,4,0))</f>
        <v>0</v>
      </c>
      <c r="J149" s="22">
        <f>IF('Growth (no penalty)'!I185&gt;0,1,IF('Growth (no penalty)'!I288&gt;0,4,0))</f>
        <v>0</v>
      </c>
      <c r="K149" s="22">
        <f>IF('Growth (no penalty)'!J185&gt;0,1,IF('Growth (no penalty)'!J288&gt;0,4,0))</f>
        <v>0</v>
      </c>
      <c r="L149" s="22">
        <f>IF('Growth (no penalty)'!K185&gt;0,1,IF('Growth (no penalty)'!K288&gt;0,4,0))</f>
        <v>0</v>
      </c>
      <c r="M149" s="22">
        <f>IF('Growth (no penalty)'!L185&gt;0,1,IF('Growth (no penalty)'!L288&gt;0,4,0))</f>
        <v>0</v>
      </c>
      <c r="N149" s="22">
        <f>IF('Growth (no penalty)'!M185&gt;0,1,IF('Growth (no penalty)'!M288&gt;0,4,0))</f>
        <v>0</v>
      </c>
      <c r="O149" s="22">
        <f>IF('Growth (no penalty)'!N185&gt;0,1,IF('Growth (no penalty)'!N288&gt;0,4,0))</f>
        <v>0</v>
      </c>
      <c r="P149" s="22">
        <f>IF('Growth (no penalty)'!O185&gt;0,1,IF('Growth (no penalty)'!O288&gt;0,4,0))</f>
        <v>1</v>
      </c>
      <c r="Q149" s="22">
        <f>IF('Growth (no penalty)'!P185&gt;0,1,IF('Growth (no penalty)'!P288&gt;0,4,0))</f>
        <v>0</v>
      </c>
      <c r="R149" s="22">
        <f>IF('Growth (no penalty)'!Q185&gt;0,1,IF('Growth (no penalty)'!Q288&gt;0,4,0))</f>
        <v>1</v>
      </c>
      <c r="S149" s="22">
        <f>IF('Growth (no penalty)'!R185&gt;0,1,IF('Growth (no penalty)'!R288&gt;0,4,0))</f>
        <v>0</v>
      </c>
      <c r="T149" s="22">
        <f>IF('Growth (no penalty)'!S185&gt;0,1,IF('Growth (no penalty)'!S288&gt;0,4,0))</f>
        <v>1</v>
      </c>
      <c r="U149" s="22">
        <f>IF('Growth (no penalty)'!T185&gt;0,1,IF('Growth (no penalty)'!T288&gt;0,4,0))</f>
        <v>1</v>
      </c>
      <c r="V149" s="22">
        <f>IF('Growth (no penalty)'!U185&gt;0,1,IF('Growth (no penalty)'!U288&gt;0,4,0))</f>
        <v>1</v>
      </c>
      <c r="W149" s="22">
        <f>IF('Growth (no penalty)'!V185&gt;0,1,IF('Growth (no penalty)'!V288&gt;0,4,0))</f>
        <v>1</v>
      </c>
      <c r="X149" s="22">
        <f>IF('Growth (no penalty)'!W185&gt;0,1,IF('Growth (no penalty)'!W288&gt;0,4,0))</f>
        <v>4</v>
      </c>
      <c r="Y149" s="22">
        <f>IF('Growth (no penalty)'!X185&gt;0,1,IF('Growth (no penalty)'!X288&gt;0,4,0))</f>
        <v>4</v>
      </c>
      <c r="Z149" s="22">
        <f>IF('Growth (no penalty)'!Y185&gt;0,1,IF('Growth (no penalty)'!Y288&gt;0,4,0))</f>
        <v>4</v>
      </c>
      <c r="AA149" s="22">
        <f>IF('Growth (no penalty)'!Z185&gt;0,1,IF('Growth (no penalty)'!Z288&gt;0,4,0))</f>
        <v>4</v>
      </c>
      <c r="AB149" s="22">
        <f>IF('Growth (no penalty)'!AA185&gt;0,1,IF('Growth (no penalty)'!AA288&gt;0,4,0))</f>
        <v>4</v>
      </c>
      <c r="AC149" s="22">
        <f>IF('Growth (no penalty)'!AB185&gt;0,1,IF('Growth (no penalty)'!AB288&gt;0,4,0))</f>
        <v>4</v>
      </c>
      <c r="AD149" s="22">
        <f>IF('Growth (no penalty)'!AC185&gt;0,1,IF('Growth (no penalty)'!AC288&gt;0,4,0))</f>
        <v>4</v>
      </c>
      <c r="AE149" s="22">
        <f>IF('Growth (no penalty)'!AD185&gt;0,1,IF('Growth (no penalty)'!AD288&gt;0,4,0))</f>
        <v>4</v>
      </c>
      <c r="AF149" s="22">
        <f>IF('Growth (no penalty)'!AE185&gt;0,1,IF('Growth (no penalty)'!AE288&gt;0,4,0))</f>
        <v>4</v>
      </c>
      <c r="AG149" s="22">
        <f>IF('Growth (no penalty)'!AF185&gt;0,1,IF('Growth (no penalty)'!AF288&gt;0,4,0))</f>
        <v>4</v>
      </c>
      <c r="AH149" s="22">
        <f>IF('Growth (no penalty)'!AG185&gt;0,1,IF('Growth (no penalty)'!AG288&gt;0,4,0))</f>
        <v>4</v>
      </c>
      <c r="AI149" s="22">
        <f>IF('Growth (no penalty)'!AH185&gt;0,1,IF('Growth (no penalty)'!AH288&gt;0,4,0))</f>
        <v>4</v>
      </c>
      <c r="AJ149" s="22">
        <f>IF('Growth (no penalty)'!AI185&gt;0,1,IF('Growth (no penalty)'!AI288&gt;0,4,0))</f>
        <v>4</v>
      </c>
      <c r="AK149" s="22">
        <f>IF('Growth (no penalty)'!AJ185&gt;0,1,IF('Growth (no penalty)'!AJ288&gt;0,4,0))</f>
        <v>4</v>
      </c>
      <c r="AL149" s="22">
        <f>IF('Growth (no penalty)'!AK185&gt;0,1,IF('Growth (no penalty)'!AK288&gt;0,4,0))</f>
        <v>4</v>
      </c>
      <c r="AM149" s="22">
        <f>IF('Growth (no penalty)'!AL185&gt;0,1,IF('Growth (no penalty)'!AL288&gt;0,4,0))</f>
        <v>4</v>
      </c>
      <c r="AN149" s="22">
        <f>IF('Growth (no penalty)'!AM185&gt;0,1,IF('Growth (no penalty)'!AM288&gt;0,4,0))</f>
        <v>4</v>
      </c>
      <c r="AO149" s="22">
        <f>IF('Growth (no penalty)'!AN185&gt;0,1,IF('Growth (no penalty)'!AN288&gt;0,4,0))</f>
        <v>4</v>
      </c>
      <c r="AP149" s="22">
        <f>IF('Growth (no penalty)'!AO185&gt;0,1,IF('Growth (no penalty)'!AO288&gt;0,4,0))</f>
        <v>4</v>
      </c>
      <c r="AQ149" s="22">
        <f>IF('Growth (no penalty)'!AP185&gt;0,1,IF('Growth (no penalty)'!AP288&gt;0,4,0))</f>
        <v>4</v>
      </c>
      <c r="AR149" s="22">
        <f>IF('Growth (no penalty)'!AQ185&gt;0,1,IF('Growth (no penalty)'!AQ288&gt;0,4,0))</f>
        <v>4</v>
      </c>
      <c r="AS149" s="22">
        <f>IF('Growth (no penalty)'!AR185&gt;0,1,IF('Growth (no penalty)'!AR288&gt;0,4,0))</f>
        <v>4</v>
      </c>
      <c r="AT149" s="22">
        <f>IF('Growth (no penalty)'!AS185&gt;0,1,IF('Growth (no penalty)'!AS288&gt;0,4,0))</f>
        <v>4</v>
      </c>
      <c r="AU149" s="22">
        <f>IF('Growth (no penalty)'!AT185&gt;0,1,IF('Growth (no penalty)'!AT288&gt;0,4,0))</f>
        <v>4</v>
      </c>
      <c r="AV149" s="22">
        <f>IF('Growth (no penalty)'!AU185&gt;0,1,IF('Growth (no penalty)'!AU288&gt;0,4,0))</f>
        <v>4</v>
      </c>
      <c r="AW149" s="22">
        <f>IF('Growth (no penalty)'!AV185&gt;0,1,IF('Growth (no penalty)'!AV288&gt;0,4,0))</f>
        <v>4</v>
      </c>
      <c r="AX149" s="22">
        <f>IF('Growth (no penalty)'!AW185&gt;0,1,IF('Growth (no penalty)'!AW288&gt;0,4,0))</f>
        <v>4</v>
      </c>
      <c r="AY149" s="22">
        <f>IF('Growth (no penalty)'!AX185&gt;0,1,IF('Growth (no penalty)'!AX288&gt;0,4,0))</f>
        <v>4</v>
      </c>
      <c r="AZ149" s="22">
        <f>IF('Growth (no penalty)'!AY185&gt;0,1,IF('Growth (no penalty)'!AY288&gt;0,4,0))</f>
        <v>4</v>
      </c>
      <c r="BA149" s="22">
        <f>IF('Growth (no penalty)'!AZ185&gt;0,1,IF('Growth (no penalty)'!AZ288&gt;0,4,0))</f>
        <v>4</v>
      </c>
      <c r="BB149" s="22">
        <f>IF('Growth (no penalty)'!BA185&gt;0,1,IF('Growth (no penalty)'!BA288&gt;0,4,0))</f>
        <v>4</v>
      </c>
      <c r="BC149" s="22">
        <f>IF('Growth (no penalty)'!BB185&gt;0,1,IF('Growth (no penalty)'!BB288&gt;0,4,0))</f>
        <v>4</v>
      </c>
      <c r="BD149" s="22">
        <f>IF('Growth (no penalty)'!BC185&gt;0,1,IF('Growth (no penalty)'!BC288&gt;0,4,0))</f>
        <v>4</v>
      </c>
      <c r="BE149" s="22">
        <f>IF('Growth (no penalty)'!BD185&gt;0,1,IF('Growth (no penalty)'!BD288&gt;0,4,0))</f>
        <v>4</v>
      </c>
      <c r="BF149" s="22">
        <f>IF('Growth (no penalty)'!BE185&gt;0,1,IF('Growth (no penalty)'!BE288&gt;0,4,0))</f>
        <v>4</v>
      </c>
      <c r="BG149" s="22">
        <f>IF('Growth (no penalty)'!BF185&gt;0,1,IF('Growth (no penalty)'!BF288&gt;0,4,0))</f>
        <v>4</v>
      </c>
      <c r="BH149" s="22">
        <f>IF('Growth (no penalty)'!BG185&gt;0,1,IF('Growth (no penalty)'!BG288&gt;0,4,0))</f>
        <v>4</v>
      </c>
      <c r="BI149" s="22">
        <f>IF('Growth (no penalty)'!BH185&gt;0,1,IF('Growth (no penalty)'!BH288&gt;0,4,0))</f>
        <v>4</v>
      </c>
      <c r="BJ149" s="22">
        <f>IF('Growth (no penalty)'!BI185&gt;0,1,IF('Growth (no penalty)'!BI288&gt;0,4,0))</f>
        <v>4</v>
      </c>
      <c r="BK149" s="23">
        <f>IF('Growth (no penalty)'!BJ185&gt;0,1,IF('Growth (no penalty)'!BJ288&gt;0,4,0))</f>
        <v>4</v>
      </c>
    </row>
    <row r="150" spans="1:63" x14ac:dyDescent="0.3">
      <c r="A150" s="4" t="str">
        <f>'Growth profile'!A86</f>
        <v>project 130</v>
      </c>
      <c r="B150" s="13" t="s">
        <v>3</v>
      </c>
      <c r="C150" s="19">
        <f>'Raw profile'!I86</f>
        <v>2035</v>
      </c>
      <c r="D150" s="20">
        <f>IF('Raw profile'!C194&gt;0,1,IF('Raw profile'!C297&gt;0,2,0))</f>
        <v>0</v>
      </c>
      <c r="E150" s="20">
        <f>IF('Raw profile'!D194&gt;0,1,IF('Raw profile'!D297&gt;0,2,0))</f>
        <v>0</v>
      </c>
      <c r="F150" s="20">
        <f>IF('Raw profile'!E194&gt;0,1,IF('Raw profile'!E297&gt;0,2,0))</f>
        <v>0</v>
      </c>
      <c r="G150" s="20">
        <f>IF('Raw profile'!F194&gt;0,1,IF('Raw profile'!F297&gt;0,2,0))</f>
        <v>0</v>
      </c>
      <c r="H150" s="20">
        <f>IF('Raw profile'!G194&gt;0,1,IF('Raw profile'!G297&gt;0,2,0))</f>
        <v>0</v>
      </c>
      <c r="I150" s="20">
        <f>IF('Raw profile'!H194&gt;0,1,IF('Raw profile'!H297&gt;0,2,0))</f>
        <v>0</v>
      </c>
      <c r="J150" s="20">
        <f>IF('Raw profile'!I194&gt;0,1,IF('Raw profile'!I297&gt;0,2,0))</f>
        <v>0</v>
      </c>
      <c r="K150" s="20">
        <f>IF('Raw profile'!J194&gt;0,1,IF('Raw profile'!J297&gt;0,2,0))</f>
        <v>0</v>
      </c>
      <c r="L150" s="20">
        <f>IF('Raw profile'!K194&gt;0,1,IF('Raw profile'!K297&gt;0,2,0))</f>
        <v>0</v>
      </c>
      <c r="M150" s="20">
        <f>IF('Raw profile'!L194&gt;0,1,IF('Raw profile'!L297&gt;0,2,0))</f>
        <v>1</v>
      </c>
      <c r="N150" s="20">
        <f>IF('Raw profile'!M194&gt;0,1,IF('Raw profile'!M297&gt;0,2,0))</f>
        <v>1</v>
      </c>
      <c r="O150" s="20">
        <f>IF('Raw profile'!N194&gt;0,1,IF('Raw profile'!N297&gt;0,2,0))</f>
        <v>1</v>
      </c>
      <c r="P150" s="20">
        <f>IF('Raw profile'!O194&gt;0,1,IF('Raw profile'!O297&gt;0,2,0))</f>
        <v>1</v>
      </c>
      <c r="Q150" s="20">
        <f>IF('Raw profile'!P194&gt;0,1,IF('Raw profile'!P297&gt;0,2,0))</f>
        <v>1</v>
      </c>
      <c r="R150" s="20">
        <f>IF('Raw profile'!Q194&gt;0,1,IF('Raw profile'!Q297&gt;0,2,0))</f>
        <v>1</v>
      </c>
      <c r="S150" s="20">
        <f>IF('Raw profile'!R194&gt;0,1,IF('Raw profile'!R297&gt;0,2,0))</f>
        <v>1</v>
      </c>
      <c r="T150" s="20">
        <f>IF('Raw profile'!S194&gt;0,1,IF('Raw profile'!S297&gt;0,2,0))</f>
        <v>1</v>
      </c>
      <c r="U150" s="20">
        <f>IF('Raw profile'!T194&gt;0,1,IF('Raw profile'!T297&gt;0,2,0))</f>
        <v>2</v>
      </c>
      <c r="V150" s="20">
        <f>IF('Raw profile'!U194&gt;0,1,IF('Raw profile'!U297&gt;0,2,0))</f>
        <v>2</v>
      </c>
      <c r="W150" s="20">
        <f>IF('Raw profile'!V194&gt;0,1,IF('Raw profile'!V297&gt;0,2,0))</f>
        <v>2</v>
      </c>
      <c r="X150" s="20">
        <f>IF('Raw profile'!W194&gt;0,1,IF('Raw profile'!W297&gt;0,2,0))</f>
        <v>2</v>
      </c>
      <c r="Y150" s="20">
        <f>IF('Raw profile'!X194&gt;0,1,IF('Raw profile'!X297&gt;0,2,0))</f>
        <v>2</v>
      </c>
      <c r="Z150" s="20">
        <f>IF('Raw profile'!Y194&gt;0,1,IF('Raw profile'!Y297&gt;0,2,0))</f>
        <v>2</v>
      </c>
      <c r="AA150" s="20">
        <f>IF('Raw profile'!Z194&gt;0,1,IF('Raw profile'!Z297&gt;0,2,0))</f>
        <v>2</v>
      </c>
      <c r="AB150" s="20">
        <f>IF('Raw profile'!AA194&gt;0,1,IF('Raw profile'!AA297&gt;0,2,0))</f>
        <v>2</v>
      </c>
      <c r="AC150" s="20">
        <f>IF('Raw profile'!AB194&gt;0,1,IF('Raw profile'!AB297&gt;0,2,0))</f>
        <v>2</v>
      </c>
      <c r="AD150" s="20">
        <f>IF('Raw profile'!AC194&gt;0,1,IF('Raw profile'!AC297&gt;0,2,0))</f>
        <v>2</v>
      </c>
      <c r="AE150" s="20">
        <f>IF('Raw profile'!AD194&gt;0,1,IF('Raw profile'!AD297&gt;0,2,0))</f>
        <v>2</v>
      </c>
      <c r="AF150" s="20">
        <f>IF('Raw profile'!AE194&gt;0,1,IF('Raw profile'!AE297&gt;0,2,0))</f>
        <v>2</v>
      </c>
      <c r="AG150" s="20">
        <f>IF('Raw profile'!AF194&gt;0,1,IF('Raw profile'!AF297&gt;0,2,0))</f>
        <v>2</v>
      </c>
      <c r="AH150" s="20">
        <f>IF('Raw profile'!AG194&gt;0,1,IF('Raw profile'!AG297&gt;0,2,0))</f>
        <v>2</v>
      </c>
      <c r="AI150" s="20">
        <f>IF('Raw profile'!AH194&gt;0,1,IF('Raw profile'!AH297&gt;0,2,0))</f>
        <v>2</v>
      </c>
      <c r="AJ150" s="20">
        <f>IF('Raw profile'!AI194&gt;0,1,IF('Raw profile'!AI297&gt;0,2,0))</f>
        <v>2</v>
      </c>
      <c r="AK150" s="20">
        <f>IF('Raw profile'!AJ194&gt;0,1,IF('Raw profile'!AJ297&gt;0,2,0))</f>
        <v>2</v>
      </c>
      <c r="AL150" s="20">
        <f>IF('Raw profile'!AK194&gt;0,1,IF('Raw profile'!AK297&gt;0,2,0))</f>
        <v>2</v>
      </c>
      <c r="AM150" s="20">
        <f>IF('Raw profile'!AL194&gt;0,1,IF('Raw profile'!AL297&gt;0,2,0))</f>
        <v>2</v>
      </c>
      <c r="AN150" s="20">
        <f>IF('Raw profile'!AM194&gt;0,1,IF('Raw profile'!AM297&gt;0,2,0))</f>
        <v>2</v>
      </c>
      <c r="AO150" s="20">
        <f>IF('Raw profile'!AN194&gt;0,1,IF('Raw profile'!AN297&gt;0,2,0))</f>
        <v>2</v>
      </c>
      <c r="AP150" s="20">
        <f>IF('Raw profile'!AO194&gt;0,1,IF('Raw profile'!AO297&gt;0,2,0))</f>
        <v>2</v>
      </c>
      <c r="AQ150" s="20">
        <f>IF('Raw profile'!AP194&gt;0,1,IF('Raw profile'!AP297&gt;0,2,0))</f>
        <v>2</v>
      </c>
      <c r="AR150" s="20">
        <f>IF('Raw profile'!AQ194&gt;0,1,IF('Raw profile'!AQ297&gt;0,2,0))</f>
        <v>2</v>
      </c>
      <c r="AS150" s="20">
        <f>IF('Raw profile'!AR194&gt;0,1,IF('Raw profile'!AR297&gt;0,2,0))</f>
        <v>2</v>
      </c>
      <c r="AT150" s="20">
        <f>IF('Raw profile'!AS194&gt;0,1,IF('Raw profile'!AS297&gt;0,2,0))</f>
        <v>2</v>
      </c>
      <c r="AU150" s="20">
        <f>IF('Raw profile'!AT194&gt;0,1,IF('Raw profile'!AT297&gt;0,2,0))</f>
        <v>2</v>
      </c>
      <c r="AV150" s="20">
        <f>IF('Raw profile'!AU194&gt;0,1,IF('Raw profile'!AU297&gt;0,2,0))</f>
        <v>2</v>
      </c>
      <c r="AW150" s="20">
        <f>IF('Raw profile'!AV194&gt;0,1,IF('Raw profile'!AV297&gt;0,2,0))</f>
        <v>2</v>
      </c>
      <c r="AX150" s="20">
        <f>IF('Raw profile'!AW194&gt;0,1,IF('Raw profile'!AW297&gt;0,2,0))</f>
        <v>2</v>
      </c>
      <c r="AY150" s="20">
        <f>IF('Raw profile'!AX194&gt;0,1,IF('Raw profile'!AX297&gt;0,2,0))</f>
        <v>2</v>
      </c>
      <c r="AZ150" s="20">
        <f>IF('Raw profile'!AY194&gt;0,1,IF('Raw profile'!AY297&gt;0,2,0))</f>
        <v>2</v>
      </c>
      <c r="BA150" s="20">
        <f>IF('Raw profile'!AZ194&gt;0,1,IF('Raw profile'!AZ297&gt;0,2,0))</f>
        <v>2</v>
      </c>
      <c r="BB150" s="20">
        <f>IF('Raw profile'!BA194&gt;0,1,IF('Raw profile'!BA297&gt;0,2,0))</f>
        <v>2</v>
      </c>
      <c r="BC150" s="20">
        <f>IF('Raw profile'!BB194&gt;0,1,IF('Raw profile'!BB297&gt;0,2,0))</f>
        <v>2</v>
      </c>
      <c r="BD150" s="20">
        <f>IF('Raw profile'!BC194&gt;0,1,IF('Raw profile'!BC297&gt;0,2,0))</f>
        <v>2</v>
      </c>
      <c r="BE150" s="20">
        <f>IF('Raw profile'!BD194&gt;0,1,IF('Raw profile'!BD297&gt;0,2,0))</f>
        <v>2</v>
      </c>
      <c r="BF150" s="20">
        <f>IF('Raw profile'!BE194&gt;0,1,IF('Raw profile'!BE297&gt;0,2,0))</f>
        <v>2</v>
      </c>
      <c r="BG150" s="20">
        <f>IF('Raw profile'!BF194&gt;0,1,IF('Raw profile'!BF297&gt;0,2,0))</f>
        <v>2</v>
      </c>
      <c r="BH150" s="20">
        <f>IF('Raw profile'!BG194&gt;0,1,IF('Raw profile'!BG297&gt;0,2,0))</f>
        <v>2</v>
      </c>
      <c r="BI150" s="20">
        <f>IF('Raw profile'!BH194&gt;0,1,IF('Raw profile'!BH297&gt;0,2,0))</f>
        <v>0</v>
      </c>
      <c r="BJ150" s="20">
        <f>IF('Raw profile'!BI194&gt;0,1,IF('Raw profile'!BI297&gt;0,2,0))</f>
        <v>0</v>
      </c>
      <c r="BK150" s="21">
        <f>IF('Raw profile'!BJ194&gt;0,1,IF('Raw profile'!BJ297&gt;0,2,0))</f>
        <v>0</v>
      </c>
    </row>
    <row r="151" spans="1:63" x14ac:dyDescent="0.3">
      <c r="B151" s="13" t="s">
        <v>4</v>
      </c>
      <c r="C151" s="19">
        <f>'Growth profile'!I86</f>
        <v>2026</v>
      </c>
      <c r="D151" s="20">
        <f>IF('Growth profile'!C194&gt;0,1,IF('Growth profile'!C297&gt;0,3,0))</f>
        <v>1</v>
      </c>
      <c r="E151" s="20">
        <f>IF('Growth profile'!D194&gt;0,1,IF('Growth profile'!D297&gt;0,3,0))</f>
        <v>1</v>
      </c>
      <c r="F151" s="20">
        <f>IF('Growth profile'!E194&gt;0,1,IF('Growth profile'!E297&gt;0,3,0))</f>
        <v>1</v>
      </c>
      <c r="G151" s="20">
        <f>IF('Growth profile'!F194&gt;0,1,IF('Growth profile'!F297&gt;0,3,0))</f>
        <v>1</v>
      </c>
      <c r="H151" s="20">
        <f>IF('Growth profile'!G194&gt;0,1,IF('Growth profile'!G297&gt;0,3,0))</f>
        <v>1</v>
      </c>
      <c r="I151" s="20">
        <f>IF('Growth profile'!H194&gt;0,1,IF('Growth profile'!H297&gt;0,3,0))</f>
        <v>1</v>
      </c>
      <c r="J151" s="20">
        <f>IF('Growth profile'!I194&gt;0,1,IF('Growth profile'!I297&gt;0,3,0))</f>
        <v>1</v>
      </c>
      <c r="K151" s="20">
        <f>IF('Growth profile'!J194&gt;0,1,IF('Growth profile'!J297&gt;0,3,0))</f>
        <v>1</v>
      </c>
      <c r="L151" s="20">
        <f>IF('Growth profile'!K194&gt;0,1,IF('Growth profile'!K297&gt;0,3,0))</f>
        <v>3</v>
      </c>
      <c r="M151" s="20">
        <f>IF('Growth profile'!L194&gt;0,1,IF('Growth profile'!L297&gt;0,3,0))</f>
        <v>3</v>
      </c>
      <c r="N151" s="20">
        <f>IF('Growth profile'!M194&gt;0,1,IF('Growth profile'!M297&gt;0,3,0))</f>
        <v>3</v>
      </c>
      <c r="O151" s="20">
        <f>IF('Growth profile'!N194&gt;0,1,IF('Growth profile'!N297&gt;0,3,0))</f>
        <v>3</v>
      </c>
      <c r="P151" s="20">
        <f>IF('Growth profile'!O194&gt;0,1,IF('Growth profile'!O297&gt;0,3,0))</f>
        <v>3</v>
      </c>
      <c r="Q151" s="20">
        <f>IF('Growth profile'!P194&gt;0,1,IF('Growth profile'!P297&gt;0,3,0))</f>
        <v>3</v>
      </c>
      <c r="R151" s="20">
        <f>IF('Growth profile'!Q194&gt;0,1,IF('Growth profile'!Q297&gt;0,3,0))</f>
        <v>3</v>
      </c>
      <c r="S151" s="20">
        <f>IF('Growth profile'!R194&gt;0,1,IF('Growth profile'!R297&gt;0,3,0))</f>
        <v>3</v>
      </c>
      <c r="T151" s="20">
        <f>IF('Growth profile'!S194&gt;0,1,IF('Growth profile'!S297&gt;0,3,0))</f>
        <v>3</v>
      </c>
      <c r="U151" s="20">
        <f>IF('Growth profile'!T194&gt;0,1,IF('Growth profile'!T297&gt;0,3,0))</f>
        <v>3</v>
      </c>
      <c r="V151" s="20">
        <f>IF('Growth profile'!U194&gt;0,1,IF('Growth profile'!U297&gt;0,3,0))</f>
        <v>3</v>
      </c>
      <c r="W151" s="20">
        <f>IF('Growth profile'!V194&gt;0,1,IF('Growth profile'!V297&gt;0,3,0))</f>
        <v>3</v>
      </c>
      <c r="X151" s="20">
        <f>IF('Growth profile'!W194&gt;0,1,IF('Growth profile'!W297&gt;0,3,0))</f>
        <v>3</v>
      </c>
      <c r="Y151" s="20">
        <f>IF('Growth profile'!X194&gt;0,1,IF('Growth profile'!X297&gt;0,3,0))</f>
        <v>3</v>
      </c>
      <c r="Z151" s="20">
        <f>IF('Growth profile'!Y194&gt;0,1,IF('Growth profile'!Y297&gt;0,3,0))</f>
        <v>3</v>
      </c>
      <c r="AA151" s="20">
        <f>IF('Growth profile'!Z194&gt;0,1,IF('Growth profile'!Z297&gt;0,3,0))</f>
        <v>3</v>
      </c>
      <c r="AB151" s="20">
        <f>IF('Growth profile'!AA194&gt;0,1,IF('Growth profile'!AA297&gt;0,3,0))</f>
        <v>3</v>
      </c>
      <c r="AC151" s="20">
        <f>IF('Growth profile'!AB194&gt;0,1,IF('Growth profile'!AB297&gt;0,3,0))</f>
        <v>3</v>
      </c>
      <c r="AD151" s="20">
        <f>IF('Growth profile'!AC194&gt;0,1,IF('Growth profile'!AC297&gt;0,3,0))</f>
        <v>3</v>
      </c>
      <c r="AE151" s="20">
        <f>IF('Growth profile'!AD194&gt;0,1,IF('Growth profile'!AD297&gt;0,3,0))</f>
        <v>3</v>
      </c>
      <c r="AF151" s="20">
        <f>IF('Growth profile'!AE194&gt;0,1,IF('Growth profile'!AE297&gt;0,3,0))</f>
        <v>3</v>
      </c>
      <c r="AG151" s="20">
        <f>IF('Growth profile'!AF194&gt;0,1,IF('Growth profile'!AF297&gt;0,3,0))</f>
        <v>3</v>
      </c>
      <c r="AH151" s="20">
        <f>IF('Growth profile'!AG194&gt;0,1,IF('Growth profile'!AG297&gt;0,3,0))</f>
        <v>3</v>
      </c>
      <c r="AI151" s="20">
        <f>IF('Growth profile'!AH194&gt;0,1,IF('Growth profile'!AH297&gt;0,3,0))</f>
        <v>3</v>
      </c>
      <c r="AJ151" s="20">
        <f>IF('Growth profile'!AI194&gt;0,1,IF('Growth profile'!AI297&gt;0,3,0))</f>
        <v>3</v>
      </c>
      <c r="AK151" s="20">
        <f>IF('Growth profile'!AJ194&gt;0,1,IF('Growth profile'!AJ297&gt;0,3,0))</f>
        <v>3</v>
      </c>
      <c r="AL151" s="20">
        <f>IF('Growth profile'!AK194&gt;0,1,IF('Growth profile'!AK297&gt;0,3,0))</f>
        <v>3</v>
      </c>
      <c r="AM151" s="20">
        <f>IF('Growth profile'!AL194&gt;0,1,IF('Growth profile'!AL297&gt;0,3,0))</f>
        <v>3</v>
      </c>
      <c r="AN151" s="20">
        <f>IF('Growth profile'!AM194&gt;0,1,IF('Growth profile'!AM297&gt;0,3,0))</f>
        <v>3</v>
      </c>
      <c r="AO151" s="20">
        <f>IF('Growth profile'!AN194&gt;0,1,IF('Growth profile'!AN297&gt;0,3,0))</f>
        <v>3</v>
      </c>
      <c r="AP151" s="20">
        <f>IF('Growth profile'!AO194&gt;0,1,IF('Growth profile'!AO297&gt;0,3,0))</f>
        <v>3</v>
      </c>
      <c r="AQ151" s="20">
        <f>IF('Growth profile'!AP194&gt;0,1,IF('Growth profile'!AP297&gt;0,3,0))</f>
        <v>3</v>
      </c>
      <c r="AR151" s="20">
        <f>IF('Growth profile'!AQ194&gt;0,1,IF('Growth profile'!AQ297&gt;0,3,0))</f>
        <v>3</v>
      </c>
      <c r="AS151" s="20">
        <f>IF('Growth profile'!AR194&gt;0,1,IF('Growth profile'!AR297&gt;0,3,0))</f>
        <v>3</v>
      </c>
      <c r="AT151" s="20">
        <f>IF('Growth profile'!AS194&gt;0,1,IF('Growth profile'!AS297&gt;0,3,0))</f>
        <v>3</v>
      </c>
      <c r="AU151" s="20">
        <f>IF('Growth profile'!AT194&gt;0,1,IF('Growth profile'!AT297&gt;0,3,0))</f>
        <v>3</v>
      </c>
      <c r="AV151" s="20">
        <f>IF('Growth profile'!AU194&gt;0,1,IF('Growth profile'!AU297&gt;0,3,0))</f>
        <v>3</v>
      </c>
      <c r="AW151" s="20">
        <f>IF('Growth profile'!AV194&gt;0,1,IF('Growth profile'!AV297&gt;0,3,0))</f>
        <v>3</v>
      </c>
      <c r="AX151" s="20">
        <f>IF('Growth profile'!AW194&gt;0,1,IF('Growth profile'!AW297&gt;0,3,0))</f>
        <v>3</v>
      </c>
      <c r="AY151" s="20">
        <f>IF('Growth profile'!AX194&gt;0,1,IF('Growth profile'!AX297&gt;0,3,0))</f>
        <v>3</v>
      </c>
      <c r="AZ151" s="20">
        <f>IF('Growth profile'!AY194&gt;0,1,IF('Growth profile'!AY297&gt;0,3,0))</f>
        <v>0</v>
      </c>
      <c r="BA151" s="20">
        <f>IF('Growth profile'!AZ194&gt;0,1,IF('Growth profile'!AZ297&gt;0,3,0))</f>
        <v>0</v>
      </c>
      <c r="BB151" s="20">
        <f>IF('Growth profile'!BA194&gt;0,1,IF('Growth profile'!BA297&gt;0,3,0))</f>
        <v>0</v>
      </c>
      <c r="BC151" s="20">
        <f>IF('Growth profile'!BB194&gt;0,1,IF('Growth profile'!BB297&gt;0,3,0))</f>
        <v>0</v>
      </c>
      <c r="BD151" s="20">
        <f>IF('Growth profile'!BC194&gt;0,1,IF('Growth profile'!BC297&gt;0,3,0))</f>
        <v>0</v>
      </c>
      <c r="BE151" s="20">
        <f>IF('Growth profile'!BD194&gt;0,1,IF('Growth profile'!BD297&gt;0,3,0))</f>
        <v>0</v>
      </c>
      <c r="BF151" s="20">
        <f>IF('Growth profile'!BE194&gt;0,1,IF('Growth profile'!BE297&gt;0,3,0))</f>
        <v>0</v>
      </c>
      <c r="BG151" s="20">
        <f>IF('Growth profile'!BF194&gt;0,1,IF('Growth profile'!BF297&gt;0,3,0))</f>
        <v>0</v>
      </c>
      <c r="BH151" s="20">
        <f>IF('Growth profile'!BG194&gt;0,1,IF('Growth profile'!BG297&gt;0,3,0))</f>
        <v>0</v>
      </c>
      <c r="BI151" s="20">
        <f>IF('Growth profile'!BH194&gt;0,1,IF('Growth profile'!BH297&gt;0,3,0))</f>
        <v>0</v>
      </c>
      <c r="BJ151" s="20">
        <f>IF('Growth profile'!BI194&gt;0,1,IF('Growth profile'!BI297&gt;0,3,0))</f>
        <v>0</v>
      </c>
      <c r="BK151" s="21">
        <f>IF('Growth profile'!BJ194&gt;0,1,IF('Growth profile'!BJ297&gt;0,3,0))</f>
        <v>0</v>
      </c>
    </row>
    <row r="152" spans="1:63" x14ac:dyDescent="0.3">
      <c r="B152" s="13" t="s">
        <v>59</v>
      </c>
      <c r="C152" s="19">
        <f>'Growth (no penalty)'!I86</f>
        <v>2026</v>
      </c>
      <c r="D152" s="22">
        <f>IF('Growth (no penalty)'!C194&gt;0,1,IF('Growth (no penalty)'!C297&gt;0,4,0))</f>
        <v>1</v>
      </c>
      <c r="E152" s="22">
        <f>IF('Growth (no penalty)'!D194&gt;0,1,IF('Growth (no penalty)'!D297&gt;0,4,0))</f>
        <v>1</v>
      </c>
      <c r="F152" s="22">
        <f>IF('Growth (no penalty)'!E194&gt;0,1,IF('Growth (no penalty)'!E297&gt;0,4,0))</f>
        <v>1</v>
      </c>
      <c r="G152" s="22">
        <f>IF('Growth (no penalty)'!F194&gt;0,1,IF('Growth (no penalty)'!F297&gt;0,4,0))</f>
        <v>1</v>
      </c>
      <c r="H152" s="22">
        <f>IF('Growth (no penalty)'!G194&gt;0,1,IF('Growth (no penalty)'!G297&gt;0,4,0))</f>
        <v>1</v>
      </c>
      <c r="I152" s="22">
        <f>IF('Growth (no penalty)'!H194&gt;0,1,IF('Growth (no penalty)'!H297&gt;0,4,0))</f>
        <v>1</v>
      </c>
      <c r="J152" s="22">
        <f>IF('Growth (no penalty)'!I194&gt;0,1,IF('Growth (no penalty)'!I297&gt;0,4,0))</f>
        <v>1</v>
      </c>
      <c r="K152" s="22">
        <f>IF('Growth (no penalty)'!J194&gt;0,1,IF('Growth (no penalty)'!J297&gt;0,4,0))</f>
        <v>1</v>
      </c>
      <c r="L152" s="22">
        <f>IF('Growth (no penalty)'!K194&gt;0,1,IF('Growth (no penalty)'!K297&gt;0,4,0))</f>
        <v>4</v>
      </c>
      <c r="M152" s="22">
        <f>IF('Growth (no penalty)'!L194&gt;0,1,IF('Growth (no penalty)'!L297&gt;0,4,0))</f>
        <v>4</v>
      </c>
      <c r="N152" s="22">
        <f>IF('Growth (no penalty)'!M194&gt;0,1,IF('Growth (no penalty)'!M297&gt;0,4,0))</f>
        <v>4</v>
      </c>
      <c r="O152" s="22">
        <f>IF('Growth (no penalty)'!N194&gt;0,1,IF('Growth (no penalty)'!N297&gt;0,4,0))</f>
        <v>4</v>
      </c>
      <c r="P152" s="22">
        <f>IF('Growth (no penalty)'!O194&gt;0,1,IF('Growth (no penalty)'!O297&gt;0,4,0))</f>
        <v>4</v>
      </c>
      <c r="Q152" s="22">
        <f>IF('Growth (no penalty)'!P194&gt;0,1,IF('Growth (no penalty)'!P297&gt;0,4,0))</f>
        <v>4</v>
      </c>
      <c r="R152" s="22">
        <f>IF('Growth (no penalty)'!Q194&gt;0,1,IF('Growth (no penalty)'!Q297&gt;0,4,0))</f>
        <v>4</v>
      </c>
      <c r="S152" s="22">
        <f>IF('Growth (no penalty)'!R194&gt;0,1,IF('Growth (no penalty)'!R297&gt;0,4,0))</f>
        <v>4</v>
      </c>
      <c r="T152" s="22">
        <f>IF('Growth (no penalty)'!S194&gt;0,1,IF('Growth (no penalty)'!S297&gt;0,4,0))</f>
        <v>4</v>
      </c>
      <c r="U152" s="22">
        <f>IF('Growth (no penalty)'!T194&gt;0,1,IF('Growth (no penalty)'!T297&gt;0,4,0))</f>
        <v>4</v>
      </c>
      <c r="V152" s="22">
        <f>IF('Growth (no penalty)'!U194&gt;0,1,IF('Growth (no penalty)'!U297&gt;0,4,0))</f>
        <v>4</v>
      </c>
      <c r="W152" s="22">
        <f>IF('Growth (no penalty)'!V194&gt;0,1,IF('Growth (no penalty)'!V297&gt;0,4,0))</f>
        <v>4</v>
      </c>
      <c r="X152" s="22">
        <f>IF('Growth (no penalty)'!W194&gt;0,1,IF('Growth (no penalty)'!W297&gt;0,4,0))</f>
        <v>4</v>
      </c>
      <c r="Y152" s="22">
        <f>IF('Growth (no penalty)'!X194&gt;0,1,IF('Growth (no penalty)'!X297&gt;0,4,0))</f>
        <v>4</v>
      </c>
      <c r="Z152" s="22">
        <f>IF('Growth (no penalty)'!Y194&gt;0,1,IF('Growth (no penalty)'!Y297&gt;0,4,0))</f>
        <v>4</v>
      </c>
      <c r="AA152" s="22">
        <f>IF('Growth (no penalty)'!Z194&gt;0,1,IF('Growth (no penalty)'!Z297&gt;0,4,0))</f>
        <v>4</v>
      </c>
      <c r="AB152" s="22">
        <f>IF('Growth (no penalty)'!AA194&gt;0,1,IF('Growth (no penalty)'!AA297&gt;0,4,0))</f>
        <v>4</v>
      </c>
      <c r="AC152" s="22">
        <f>IF('Growth (no penalty)'!AB194&gt;0,1,IF('Growth (no penalty)'!AB297&gt;0,4,0))</f>
        <v>4</v>
      </c>
      <c r="AD152" s="22">
        <f>IF('Growth (no penalty)'!AC194&gt;0,1,IF('Growth (no penalty)'!AC297&gt;0,4,0))</f>
        <v>4</v>
      </c>
      <c r="AE152" s="22">
        <f>IF('Growth (no penalty)'!AD194&gt;0,1,IF('Growth (no penalty)'!AD297&gt;0,4,0))</f>
        <v>4</v>
      </c>
      <c r="AF152" s="22">
        <f>IF('Growth (no penalty)'!AE194&gt;0,1,IF('Growth (no penalty)'!AE297&gt;0,4,0))</f>
        <v>4</v>
      </c>
      <c r="AG152" s="22">
        <f>IF('Growth (no penalty)'!AF194&gt;0,1,IF('Growth (no penalty)'!AF297&gt;0,4,0))</f>
        <v>4</v>
      </c>
      <c r="AH152" s="22">
        <f>IF('Growth (no penalty)'!AG194&gt;0,1,IF('Growth (no penalty)'!AG297&gt;0,4,0))</f>
        <v>4</v>
      </c>
      <c r="AI152" s="22">
        <f>IF('Growth (no penalty)'!AH194&gt;0,1,IF('Growth (no penalty)'!AH297&gt;0,4,0))</f>
        <v>4</v>
      </c>
      <c r="AJ152" s="22">
        <f>IF('Growth (no penalty)'!AI194&gt;0,1,IF('Growth (no penalty)'!AI297&gt;0,4,0))</f>
        <v>4</v>
      </c>
      <c r="AK152" s="22">
        <f>IF('Growth (no penalty)'!AJ194&gt;0,1,IF('Growth (no penalty)'!AJ297&gt;0,4,0))</f>
        <v>4</v>
      </c>
      <c r="AL152" s="22">
        <f>IF('Growth (no penalty)'!AK194&gt;0,1,IF('Growth (no penalty)'!AK297&gt;0,4,0))</f>
        <v>4</v>
      </c>
      <c r="AM152" s="22">
        <f>IF('Growth (no penalty)'!AL194&gt;0,1,IF('Growth (no penalty)'!AL297&gt;0,4,0))</f>
        <v>4</v>
      </c>
      <c r="AN152" s="22">
        <f>IF('Growth (no penalty)'!AM194&gt;0,1,IF('Growth (no penalty)'!AM297&gt;0,4,0))</f>
        <v>4</v>
      </c>
      <c r="AO152" s="22">
        <f>IF('Growth (no penalty)'!AN194&gt;0,1,IF('Growth (no penalty)'!AN297&gt;0,4,0))</f>
        <v>4</v>
      </c>
      <c r="AP152" s="22">
        <f>IF('Growth (no penalty)'!AO194&gt;0,1,IF('Growth (no penalty)'!AO297&gt;0,4,0))</f>
        <v>4</v>
      </c>
      <c r="AQ152" s="22">
        <f>IF('Growth (no penalty)'!AP194&gt;0,1,IF('Growth (no penalty)'!AP297&gt;0,4,0))</f>
        <v>4</v>
      </c>
      <c r="AR152" s="22">
        <f>IF('Growth (no penalty)'!AQ194&gt;0,1,IF('Growth (no penalty)'!AQ297&gt;0,4,0))</f>
        <v>4</v>
      </c>
      <c r="AS152" s="22">
        <f>IF('Growth (no penalty)'!AR194&gt;0,1,IF('Growth (no penalty)'!AR297&gt;0,4,0))</f>
        <v>4</v>
      </c>
      <c r="AT152" s="22">
        <f>IF('Growth (no penalty)'!AS194&gt;0,1,IF('Growth (no penalty)'!AS297&gt;0,4,0))</f>
        <v>4</v>
      </c>
      <c r="AU152" s="22">
        <f>IF('Growth (no penalty)'!AT194&gt;0,1,IF('Growth (no penalty)'!AT297&gt;0,4,0))</f>
        <v>4</v>
      </c>
      <c r="AV152" s="22">
        <f>IF('Growth (no penalty)'!AU194&gt;0,1,IF('Growth (no penalty)'!AU297&gt;0,4,0))</f>
        <v>4</v>
      </c>
      <c r="AW152" s="22">
        <f>IF('Growth (no penalty)'!AV194&gt;0,1,IF('Growth (no penalty)'!AV297&gt;0,4,0))</f>
        <v>4</v>
      </c>
      <c r="AX152" s="22">
        <f>IF('Growth (no penalty)'!AW194&gt;0,1,IF('Growth (no penalty)'!AW297&gt;0,4,0))</f>
        <v>4</v>
      </c>
      <c r="AY152" s="22">
        <f>IF('Growth (no penalty)'!AX194&gt;0,1,IF('Growth (no penalty)'!AX297&gt;0,4,0))</f>
        <v>4</v>
      </c>
      <c r="AZ152" s="22">
        <f>IF('Growth (no penalty)'!AY194&gt;0,1,IF('Growth (no penalty)'!AY297&gt;0,4,0))</f>
        <v>0</v>
      </c>
      <c r="BA152" s="22">
        <f>IF('Growth (no penalty)'!AZ194&gt;0,1,IF('Growth (no penalty)'!AZ297&gt;0,4,0))</f>
        <v>0</v>
      </c>
      <c r="BB152" s="22">
        <f>IF('Growth (no penalty)'!BA194&gt;0,1,IF('Growth (no penalty)'!BA297&gt;0,4,0))</f>
        <v>0</v>
      </c>
      <c r="BC152" s="22">
        <f>IF('Growth (no penalty)'!BB194&gt;0,1,IF('Growth (no penalty)'!BB297&gt;0,4,0))</f>
        <v>0</v>
      </c>
      <c r="BD152" s="22">
        <f>IF('Growth (no penalty)'!BC194&gt;0,1,IF('Growth (no penalty)'!BC297&gt;0,4,0))</f>
        <v>0</v>
      </c>
      <c r="BE152" s="22">
        <f>IF('Growth (no penalty)'!BD194&gt;0,1,IF('Growth (no penalty)'!BD297&gt;0,4,0))</f>
        <v>0</v>
      </c>
      <c r="BF152" s="22">
        <f>IF('Growth (no penalty)'!BE194&gt;0,1,IF('Growth (no penalty)'!BE297&gt;0,4,0))</f>
        <v>0</v>
      </c>
      <c r="BG152" s="22">
        <f>IF('Growth (no penalty)'!BF194&gt;0,1,IF('Growth (no penalty)'!BF297&gt;0,4,0))</f>
        <v>0</v>
      </c>
      <c r="BH152" s="22">
        <f>IF('Growth (no penalty)'!BG194&gt;0,1,IF('Growth (no penalty)'!BG297&gt;0,4,0))</f>
        <v>0</v>
      </c>
      <c r="BI152" s="22">
        <f>IF('Growth (no penalty)'!BH194&gt;0,1,IF('Growth (no penalty)'!BH297&gt;0,4,0))</f>
        <v>0</v>
      </c>
      <c r="BJ152" s="22">
        <f>IF('Growth (no penalty)'!BI194&gt;0,1,IF('Growth (no penalty)'!BI297&gt;0,4,0))</f>
        <v>0</v>
      </c>
      <c r="BK152" s="23">
        <f>IF('Growth (no penalty)'!BJ194&gt;0,1,IF('Growth (no penalty)'!BJ297&gt;0,4,0))</f>
        <v>0</v>
      </c>
    </row>
    <row r="153" spans="1:63" x14ac:dyDescent="0.3">
      <c r="A153" s="4" t="str">
        <f>'Growth profile'!A67</f>
        <v>project 91</v>
      </c>
      <c r="B153" s="13" t="s">
        <v>3</v>
      </c>
      <c r="C153" s="19">
        <f>'Raw profile'!I67</f>
        <v>2035</v>
      </c>
      <c r="D153" s="20">
        <f>IF('Raw profile'!C175&gt;0,1,IF('Raw profile'!C278&gt;0,2,0))</f>
        <v>0</v>
      </c>
      <c r="E153" s="20">
        <f>IF('Raw profile'!D175&gt;0,1,IF('Raw profile'!D278&gt;0,2,0))</f>
        <v>0</v>
      </c>
      <c r="F153" s="20">
        <f>IF('Raw profile'!E175&gt;0,1,IF('Raw profile'!E278&gt;0,2,0))</f>
        <v>0</v>
      </c>
      <c r="G153" s="20">
        <f>IF('Raw profile'!F175&gt;0,1,IF('Raw profile'!F278&gt;0,2,0))</f>
        <v>0</v>
      </c>
      <c r="H153" s="20">
        <f>IF('Raw profile'!G175&gt;0,1,IF('Raw profile'!G278&gt;0,2,0))</f>
        <v>0</v>
      </c>
      <c r="I153" s="20">
        <f>IF('Raw profile'!H175&gt;0,1,IF('Raw profile'!H278&gt;0,2,0))</f>
        <v>0</v>
      </c>
      <c r="J153" s="20">
        <f>IF('Raw profile'!I175&gt;0,1,IF('Raw profile'!I278&gt;0,2,0))</f>
        <v>0</v>
      </c>
      <c r="K153" s="20">
        <f>IF('Raw profile'!J175&gt;0,1,IF('Raw profile'!J278&gt;0,2,0))</f>
        <v>0</v>
      </c>
      <c r="L153" s="20">
        <f>IF('Raw profile'!K175&gt;0,1,IF('Raw profile'!K278&gt;0,2,0))</f>
        <v>0</v>
      </c>
      <c r="M153" s="20">
        <f>IF('Raw profile'!L175&gt;0,1,IF('Raw profile'!L278&gt;0,2,0))</f>
        <v>1</v>
      </c>
      <c r="N153" s="20">
        <f>IF('Raw profile'!M175&gt;0,1,IF('Raw profile'!M278&gt;0,2,0))</f>
        <v>0</v>
      </c>
      <c r="O153" s="20">
        <f>IF('Raw profile'!N175&gt;0,1,IF('Raw profile'!N278&gt;0,2,0))</f>
        <v>1</v>
      </c>
      <c r="P153" s="20">
        <f>IF('Raw profile'!O175&gt;0,1,IF('Raw profile'!O278&gt;0,2,0))</f>
        <v>1</v>
      </c>
      <c r="Q153" s="20">
        <f>IF('Raw profile'!P175&gt;0,1,IF('Raw profile'!P278&gt;0,2,0))</f>
        <v>2</v>
      </c>
      <c r="R153" s="20">
        <f>IF('Raw profile'!Q175&gt;0,1,IF('Raw profile'!Q278&gt;0,2,0))</f>
        <v>2</v>
      </c>
      <c r="S153" s="20">
        <f>IF('Raw profile'!R175&gt;0,1,IF('Raw profile'!R278&gt;0,2,0))</f>
        <v>2</v>
      </c>
      <c r="T153" s="20">
        <f>IF('Raw profile'!S175&gt;0,1,IF('Raw profile'!S278&gt;0,2,0))</f>
        <v>2</v>
      </c>
      <c r="U153" s="20">
        <f>IF('Raw profile'!T175&gt;0,1,IF('Raw profile'!T278&gt;0,2,0))</f>
        <v>2</v>
      </c>
      <c r="V153" s="20">
        <f>IF('Raw profile'!U175&gt;0,1,IF('Raw profile'!U278&gt;0,2,0))</f>
        <v>2</v>
      </c>
      <c r="W153" s="20">
        <f>IF('Raw profile'!V175&gt;0,1,IF('Raw profile'!V278&gt;0,2,0))</f>
        <v>2</v>
      </c>
      <c r="X153" s="20">
        <f>IF('Raw profile'!W175&gt;0,1,IF('Raw profile'!W278&gt;0,2,0))</f>
        <v>2</v>
      </c>
      <c r="Y153" s="20">
        <f>IF('Raw profile'!X175&gt;0,1,IF('Raw profile'!X278&gt;0,2,0))</f>
        <v>2</v>
      </c>
      <c r="Z153" s="20">
        <f>IF('Raw profile'!Y175&gt;0,1,IF('Raw profile'!Y278&gt;0,2,0))</f>
        <v>2</v>
      </c>
      <c r="AA153" s="20">
        <f>IF('Raw profile'!Z175&gt;0,1,IF('Raw profile'!Z278&gt;0,2,0))</f>
        <v>2</v>
      </c>
      <c r="AB153" s="20">
        <f>IF('Raw profile'!AA175&gt;0,1,IF('Raw profile'!AA278&gt;0,2,0))</f>
        <v>2</v>
      </c>
      <c r="AC153" s="20">
        <f>IF('Raw profile'!AB175&gt;0,1,IF('Raw profile'!AB278&gt;0,2,0))</f>
        <v>2</v>
      </c>
      <c r="AD153" s="20">
        <f>IF('Raw profile'!AC175&gt;0,1,IF('Raw profile'!AC278&gt;0,2,0))</f>
        <v>2</v>
      </c>
      <c r="AE153" s="20">
        <f>IF('Raw profile'!AD175&gt;0,1,IF('Raw profile'!AD278&gt;0,2,0))</f>
        <v>2</v>
      </c>
      <c r="AF153" s="20">
        <f>IF('Raw profile'!AE175&gt;0,1,IF('Raw profile'!AE278&gt;0,2,0))</f>
        <v>2</v>
      </c>
      <c r="AG153" s="20">
        <f>IF('Raw profile'!AF175&gt;0,1,IF('Raw profile'!AF278&gt;0,2,0))</f>
        <v>2</v>
      </c>
      <c r="AH153" s="20">
        <f>IF('Raw profile'!AG175&gt;0,1,IF('Raw profile'!AG278&gt;0,2,0))</f>
        <v>2</v>
      </c>
      <c r="AI153" s="20">
        <f>IF('Raw profile'!AH175&gt;0,1,IF('Raw profile'!AH278&gt;0,2,0))</f>
        <v>2</v>
      </c>
      <c r="AJ153" s="20">
        <f>IF('Raw profile'!AI175&gt;0,1,IF('Raw profile'!AI278&gt;0,2,0))</f>
        <v>2</v>
      </c>
      <c r="AK153" s="20">
        <f>IF('Raw profile'!AJ175&gt;0,1,IF('Raw profile'!AJ278&gt;0,2,0))</f>
        <v>2</v>
      </c>
      <c r="AL153" s="20">
        <f>IF('Raw profile'!AK175&gt;0,1,IF('Raw profile'!AK278&gt;0,2,0))</f>
        <v>2</v>
      </c>
      <c r="AM153" s="20">
        <f>IF('Raw profile'!AL175&gt;0,1,IF('Raw profile'!AL278&gt;0,2,0))</f>
        <v>2</v>
      </c>
      <c r="AN153" s="20">
        <f>IF('Raw profile'!AM175&gt;0,1,IF('Raw profile'!AM278&gt;0,2,0))</f>
        <v>2</v>
      </c>
      <c r="AO153" s="20">
        <f>IF('Raw profile'!AN175&gt;0,1,IF('Raw profile'!AN278&gt;0,2,0))</f>
        <v>2</v>
      </c>
      <c r="AP153" s="20">
        <f>IF('Raw profile'!AO175&gt;0,1,IF('Raw profile'!AO278&gt;0,2,0))</f>
        <v>2</v>
      </c>
      <c r="AQ153" s="20">
        <f>IF('Raw profile'!AP175&gt;0,1,IF('Raw profile'!AP278&gt;0,2,0))</f>
        <v>2</v>
      </c>
      <c r="AR153" s="20">
        <f>IF('Raw profile'!AQ175&gt;0,1,IF('Raw profile'!AQ278&gt;0,2,0))</f>
        <v>2</v>
      </c>
      <c r="AS153" s="20">
        <f>IF('Raw profile'!AR175&gt;0,1,IF('Raw profile'!AR278&gt;0,2,0))</f>
        <v>2</v>
      </c>
      <c r="AT153" s="20">
        <f>IF('Raw profile'!AS175&gt;0,1,IF('Raw profile'!AS278&gt;0,2,0))</f>
        <v>2</v>
      </c>
      <c r="AU153" s="20">
        <f>IF('Raw profile'!AT175&gt;0,1,IF('Raw profile'!AT278&gt;0,2,0))</f>
        <v>2</v>
      </c>
      <c r="AV153" s="20">
        <f>IF('Raw profile'!AU175&gt;0,1,IF('Raw profile'!AU278&gt;0,2,0))</f>
        <v>2</v>
      </c>
      <c r="AW153" s="20">
        <f>IF('Raw profile'!AV175&gt;0,1,IF('Raw profile'!AV278&gt;0,2,0))</f>
        <v>2</v>
      </c>
      <c r="AX153" s="20">
        <f>IF('Raw profile'!AW175&gt;0,1,IF('Raw profile'!AW278&gt;0,2,0))</f>
        <v>2</v>
      </c>
      <c r="AY153" s="20">
        <f>IF('Raw profile'!AX175&gt;0,1,IF('Raw profile'!AX278&gt;0,2,0))</f>
        <v>2</v>
      </c>
      <c r="AZ153" s="20">
        <f>IF('Raw profile'!AY175&gt;0,1,IF('Raw profile'!AY278&gt;0,2,0))</f>
        <v>2</v>
      </c>
      <c r="BA153" s="20">
        <f>IF('Raw profile'!AZ175&gt;0,1,IF('Raw profile'!AZ278&gt;0,2,0))</f>
        <v>2</v>
      </c>
      <c r="BB153" s="20">
        <f>IF('Raw profile'!BA175&gt;0,1,IF('Raw profile'!BA278&gt;0,2,0))</f>
        <v>2</v>
      </c>
      <c r="BC153" s="20">
        <f>IF('Raw profile'!BB175&gt;0,1,IF('Raw profile'!BB278&gt;0,2,0))</f>
        <v>2</v>
      </c>
      <c r="BD153" s="20">
        <f>IF('Raw profile'!BC175&gt;0,1,IF('Raw profile'!BC278&gt;0,2,0))</f>
        <v>2</v>
      </c>
      <c r="BE153" s="20">
        <f>IF('Raw profile'!BD175&gt;0,1,IF('Raw profile'!BD278&gt;0,2,0))</f>
        <v>0</v>
      </c>
      <c r="BF153" s="20">
        <f>IF('Raw profile'!BE175&gt;0,1,IF('Raw profile'!BE278&gt;0,2,0))</f>
        <v>0</v>
      </c>
      <c r="BG153" s="20">
        <f>IF('Raw profile'!BF175&gt;0,1,IF('Raw profile'!BF278&gt;0,2,0))</f>
        <v>0</v>
      </c>
      <c r="BH153" s="20">
        <f>IF('Raw profile'!BG175&gt;0,1,IF('Raw profile'!BG278&gt;0,2,0))</f>
        <v>0</v>
      </c>
      <c r="BI153" s="20">
        <f>IF('Raw profile'!BH175&gt;0,1,IF('Raw profile'!BH278&gt;0,2,0))</f>
        <v>0</v>
      </c>
      <c r="BJ153" s="20">
        <f>IF('Raw profile'!BI175&gt;0,1,IF('Raw profile'!BI278&gt;0,2,0))</f>
        <v>0</v>
      </c>
      <c r="BK153" s="21">
        <f>IF('Raw profile'!BJ175&gt;0,1,IF('Raw profile'!BJ278&gt;0,2,0))</f>
        <v>0</v>
      </c>
    </row>
    <row r="154" spans="1:63" x14ac:dyDescent="0.3">
      <c r="B154" s="13" t="s">
        <v>4</v>
      </c>
      <c r="C154" s="19">
        <f>'Growth profile'!I67</f>
        <v>2032</v>
      </c>
      <c r="D154" s="20">
        <f>IF('Growth profile'!C175&gt;0,1,IF('Growth profile'!C278&gt;0,3,0))</f>
        <v>0</v>
      </c>
      <c r="E154" s="20">
        <f>IF('Growth profile'!D175&gt;0,1,IF('Growth profile'!D278&gt;0,3,0))</f>
        <v>0</v>
      </c>
      <c r="F154" s="20">
        <f>IF('Growth profile'!E175&gt;0,1,IF('Growth profile'!E278&gt;0,3,0))</f>
        <v>0</v>
      </c>
      <c r="G154" s="20">
        <f>IF('Growth profile'!F175&gt;0,1,IF('Growth profile'!F278&gt;0,3,0))</f>
        <v>0</v>
      </c>
      <c r="H154" s="20">
        <f>IF('Growth profile'!G175&gt;0,1,IF('Growth profile'!G278&gt;0,3,0))</f>
        <v>0</v>
      </c>
      <c r="I154" s="20">
        <f>IF('Growth profile'!H175&gt;0,1,IF('Growth profile'!H278&gt;0,3,0))</f>
        <v>0</v>
      </c>
      <c r="J154" s="20">
        <f>IF('Growth profile'!I175&gt;0,1,IF('Growth profile'!I278&gt;0,3,0))</f>
        <v>1</v>
      </c>
      <c r="K154" s="20">
        <f>IF('Growth profile'!J175&gt;0,1,IF('Growth profile'!J278&gt;0,3,0))</f>
        <v>0</v>
      </c>
      <c r="L154" s="20">
        <f>IF('Growth profile'!K175&gt;0,1,IF('Growth profile'!K278&gt;0,3,0))</f>
        <v>1</v>
      </c>
      <c r="M154" s="20">
        <f>IF('Growth profile'!L175&gt;0,1,IF('Growth profile'!L278&gt;0,3,0))</f>
        <v>1</v>
      </c>
      <c r="N154" s="20">
        <f>IF('Growth profile'!M175&gt;0,1,IF('Growth profile'!M278&gt;0,3,0))</f>
        <v>3</v>
      </c>
      <c r="O154" s="20">
        <f>IF('Growth profile'!N175&gt;0,1,IF('Growth profile'!N278&gt;0,3,0))</f>
        <v>3</v>
      </c>
      <c r="P154" s="20">
        <f>IF('Growth profile'!O175&gt;0,1,IF('Growth profile'!O278&gt;0,3,0))</f>
        <v>3</v>
      </c>
      <c r="Q154" s="20">
        <f>IF('Growth profile'!P175&gt;0,1,IF('Growth profile'!P278&gt;0,3,0))</f>
        <v>3</v>
      </c>
      <c r="R154" s="20">
        <f>IF('Growth profile'!Q175&gt;0,1,IF('Growth profile'!Q278&gt;0,3,0))</f>
        <v>3</v>
      </c>
      <c r="S154" s="20">
        <f>IF('Growth profile'!R175&gt;0,1,IF('Growth profile'!R278&gt;0,3,0))</f>
        <v>3</v>
      </c>
      <c r="T154" s="20">
        <f>IF('Growth profile'!S175&gt;0,1,IF('Growth profile'!S278&gt;0,3,0))</f>
        <v>3</v>
      </c>
      <c r="U154" s="20">
        <f>IF('Growth profile'!T175&gt;0,1,IF('Growth profile'!T278&gt;0,3,0))</f>
        <v>3</v>
      </c>
      <c r="V154" s="20">
        <f>IF('Growth profile'!U175&gt;0,1,IF('Growth profile'!U278&gt;0,3,0))</f>
        <v>3</v>
      </c>
      <c r="W154" s="20">
        <f>IF('Growth profile'!V175&gt;0,1,IF('Growth profile'!V278&gt;0,3,0))</f>
        <v>3</v>
      </c>
      <c r="X154" s="20">
        <f>IF('Growth profile'!W175&gt;0,1,IF('Growth profile'!W278&gt;0,3,0))</f>
        <v>3</v>
      </c>
      <c r="Y154" s="20">
        <f>IF('Growth profile'!X175&gt;0,1,IF('Growth profile'!X278&gt;0,3,0))</f>
        <v>3</v>
      </c>
      <c r="Z154" s="20">
        <f>IF('Growth profile'!Y175&gt;0,1,IF('Growth profile'!Y278&gt;0,3,0))</f>
        <v>3</v>
      </c>
      <c r="AA154" s="20">
        <f>IF('Growth profile'!Z175&gt;0,1,IF('Growth profile'!Z278&gt;0,3,0))</f>
        <v>3</v>
      </c>
      <c r="AB154" s="20">
        <f>IF('Growth profile'!AA175&gt;0,1,IF('Growth profile'!AA278&gt;0,3,0))</f>
        <v>3</v>
      </c>
      <c r="AC154" s="20">
        <f>IF('Growth profile'!AB175&gt;0,1,IF('Growth profile'!AB278&gt;0,3,0))</f>
        <v>3</v>
      </c>
      <c r="AD154" s="20">
        <f>IF('Growth profile'!AC175&gt;0,1,IF('Growth profile'!AC278&gt;0,3,0))</f>
        <v>3</v>
      </c>
      <c r="AE154" s="20">
        <f>IF('Growth profile'!AD175&gt;0,1,IF('Growth profile'!AD278&gt;0,3,0))</f>
        <v>3</v>
      </c>
      <c r="AF154" s="20">
        <f>IF('Growth profile'!AE175&gt;0,1,IF('Growth profile'!AE278&gt;0,3,0))</f>
        <v>3</v>
      </c>
      <c r="AG154" s="20">
        <f>IF('Growth profile'!AF175&gt;0,1,IF('Growth profile'!AF278&gt;0,3,0))</f>
        <v>3</v>
      </c>
      <c r="AH154" s="20">
        <f>IF('Growth profile'!AG175&gt;0,1,IF('Growth profile'!AG278&gt;0,3,0))</f>
        <v>3</v>
      </c>
      <c r="AI154" s="20">
        <f>IF('Growth profile'!AH175&gt;0,1,IF('Growth profile'!AH278&gt;0,3,0))</f>
        <v>3</v>
      </c>
      <c r="AJ154" s="20">
        <f>IF('Growth profile'!AI175&gt;0,1,IF('Growth profile'!AI278&gt;0,3,0))</f>
        <v>3</v>
      </c>
      <c r="AK154" s="20">
        <f>IF('Growth profile'!AJ175&gt;0,1,IF('Growth profile'!AJ278&gt;0,3,0))</f>
        <v>3</v>
      </c>
      <c r="AL154" s="20">
        <f>IF('Growth profile'!AK175&gt;0,1,IF('Growth profile'!AK278&gt;0,3,0))</f>
        <v>3</v>
      </c>
      <c r="AM154" s="20">
        <f>IF('Growth profile'!AL175&gt;0,1,IF('Growth profile'!AL278&gt;0,3,0))</f>
        <v>3</v>
      </c>
      <c r="AN154" s="20">
        <f>IF('Growth profile'!AM175&gt;0,1,IF('Growth profile'!AM278&gt;0,3,0))</f>
        <v>3</v>
      </c>
      <c r="AO154" s="20">
        <f>IF('Growth profile'!AN175&gt;0,1,IF('Growth profile'!AN278&gt;0,3,0))</f>
        <v>3</v>
      </c>
      <c r="AP154" s="20">
        <f>IF('Growth profile'!AO175&gt;0,1,IF('Growth profile'!AO278&gt;0,3,0))</f>
        <v>3</v>
      </c>
      <c r="AQ154" s="20">
        <f>IF('Growth profile'!AP175&gt;0,1,IF('Growth profile'!AP278&gt;0,3,0))</f>
        <v>3</v>
      </c>
      <c r="AR154" s="20">
        <f>IF('Growth profile'!AQ175&gt;0,1,IF('Growth profile'!AQ278&gt;0,3,0))</f>
        <v>3</v>
      </c>
      <c r="AS154" s="20">
        <f>IF('Growth profile'!AR175&gt;0,1,IF('Growth profile'!AR278&gt;0,3,0))</f>
        <v>3</v>
      </c>
      <c r="AT154" s="20">
        <f>IF('Growth profile'!AS175&gt;0,1,IF('Growth profile'!AS278&gt;0,3,0))</f>
        <v>3</v>
      </c>
      <c r="AU154" s="20">
        <f>IF('Growth profile'!AT175&gt;0,1,IF('Growth profile'!AT278&gt;0,3,0))</f>
        <v>3</v>
      </c>
      <c r="AV154" s="20">
        <f>IF('Growth profile'!AU175&gt;0,1,IF('Growth profile'!AU278&gt;0,3,0))</f>
        <v>3</v>
      </c>
      <c r="AW154" s="20">
        <f>IF('Growth profile'!AV175&gt;0,1,IF('Growth profile'!AV278&gt;0,3,0))</f>
        <v>3</v>
      </c>
      <c r="AX154" s="20">
        <f>IF('Growth profile'!AW175&gt;0,1,IF('Growth profile'!AW278&gt;0,3,0))</f>
        <v>3</v>
      </c>
      <c r="AY154" s="20">
        <f>IF('Growth profile'!AX175&gt;0,1,IF('Growth profile'!AX278&gt;0,3,0))</f>
        <v>3</v>
      </c>
      <c r="AZ154" s="20">
        <f>IF('Growth profile'!AY175&gt;0,1,IF('Growth profile'!AY278&gt;0,3,0))</f>
        <v>3</v>
      </c>
      <c r="BA154" s="20">
        <f>IF('Growth profile'!AZ175&gt;0,1,IF('Growth profile'!AZ278&gt;0,3,0))</f>
        <v>3</v>
      </c>
      <c r="BB154" s="20">
        <f>IF('Growth profile'!BA175&gt;0,1,IF('Growth profile'!BA278&gt;0,3,0))</f>
        <v>0</v>
      </c>
      <c r="BC154" s="20">
        <f>IF('Growth profile'!BB175&gt;0,1,IF('Growth profile'!BB278&gt;0,3,0))</f>
        <v>0</v>
      </c>
      <c r="BD154" s="20">
        <f>IF('Growth profile'!BC175&gt;0,1,IF('Growth profile'!BC278&gt;0,3,0))</f>
        <v>0</v>
      </c>
      <c r="BE154" s="20">
        <f>IF('Growth profile'!BD175&gt;0,1,IF('Growth profile'!BD278&gt;0,3,0))</f>
        <v>0</v>
      </c>
      <c r="BF154" s="20">
        <f>IF('Growth profile'!BE175&gt;0,1,IF('Growth profile'!BE278&gt;0,3,0))</f>
        <v>0</v>
      </c>
      <c r="BG154" s="20">
        <f>IF('Growth profile'!BF175&gt;0,1,IF('Growth profile'!BF278&gt;0,3,0))</f>
        <v>0</v>
      </c>
      <c r="BH154" s="20">
        <f>IF('Growth profile'!BG175&gt;0,1,IF('Growth profile'!BG278&gt;0,3,0))</f>
        <v>0</v>
      </c>
      <c r="BI154" s="20">
        <f>IF('Growth profile'!BH175&gt;0,1,IF('Growth profile'!BH278&gt;0,3,0))</f>
        <v>0</v>
      </c>
      <c r="BJ154" s="20">
        <f>IF('Growth profile'!BI175&gt;0,1,IF('Growth profile'!BI278&gt;0,3,0))</f>
        <v>0</v>
      </c>
      <c r="BK154" s="21">
        <f>IF('Growth profile'!BJ175&gt;0,1,IF('Growth profile'!BJ278&gt;0,3,0))</f>
        <v>0</v>
      </c>
    </row>
    <row r="155" spans="1:63" x14ac:dyDescent="0.3">
      <c r="B155" s="13" t="s">
        <v>59</v>
      </c>
      <c r="C155" s="19">
        <f>'Growth (no penalty)'!I67</f>
        <v>2042</v>
      </c>
      <c r="D155" s="22">
        <f>IF('Growth (no penalty)'!C175&gt;0,1,IF('Growth (no penalty)'!C278&gt;0,4,0))</f>
        <v>0</v>
      </c>
      <c r="E155" s="22">
        <f>IF('Growth (no penalty)'!D175&gt;0,1,IF('Growth (no penalty)'!D278&gt;0,4,0))</f>
        <v>0</v>
      </c>
      <c r="F155" s="22">
        <f>IF('Growth (no penalty)'!E175&gt;0,1,IF('Growth (no penalty)'!E278&gt;0,4,0))</f>
        <v>0</v>
      </c>
      <c r="G155" s="22">
        <f>IF('Growth (no penalty)'!F175&gt;0,1,IF('Growth (no penalty)'!F278&gt;0,4,0))</f>
        <v>0</v>
      </c>
      <c r="H155" s="22">
        <f>IF('Growth (no penalty)'!G175&gt;0,1,IF('Growth (no penalty)'!G278&gt;0,4,0))</f>
        <v>0</v>
      </c>
      <c r="I155" s="22">
        <f>IF('Growth (no penalty)'!H175&gt;0,1,IF('Growth (no penalty)'!H278&gt;0,4,0))</f>
        <v>0</v>
      </c>
      <c r="J155" s="22">
        <f>IF('Growth (no penalty)'!I175&gt;0,1,IF('Growth (no penalty)'!I278&gt;0,4,0))</f>
        <v>0</v>
      </c>
      <c r="K155" s="22">
        <f>IF('Growth (no penalty)'!J175&gt;0,1,IF('Growth (no penalty)'!J278&gt;0,4,0))</f>
        <v>0</v>
      </c>
      <c r="L155" s="22">
        <f>IF('Growth (no penalty)'!K175&gt;0,1,IF('Growth (no penalty)'!K278&gt;0,4,0))</f>
        <v>0</v>
      </c>
      <c r="M155" s="22">
        <f>IF('Growth (no penalty)'!L175&gt;0,1,IF('Growth (no penalty)'!L278&gt;0,4,0))</f>
        <v>0</v>
      </c>
      <c r="N155" s="22">
        <f>IF('Growth (no penalty)'!M175&gt;0,1,IF('Growth (no penalty)'!M278&gt;0,4,0))</f>
        <v>0</v>
      </c>
      <c r="O155" s="22">
        <f>IF('Growth (no penalty)'!N175&gt;0,1,IF('Growth (no penalty)'!N278&gt;0,4,0))</f>
        <v>0</v>
      </c>
      <c r="P155" s="22">
        <f>IF('Growth (no penalty)'!O175&gt;0,1,IF('Growth (no penalty)'!O278&gt;0,4,0))</f>
        <v>0</v>
      </c>
      <c r="Q155" s="22">
        <f>IF('Growth (no penalty)'!P175&gt;0,1,IF('Growth (no penalty)'!P278&gt;0,4,0))</f>
        <v>0</v>
      </c>
      <c r="R155" s="22">
        <f>IF('Growth (no penalty)'!Q175&gt;0,1,IF('Growth (no penalty)'!Q278&gt;0,4,0))</f>
        <v>0</v>
      </c>
      <c r="S155" s="22">
        <f>IF('Growth (no penalty)'!R175&gt;0,1,IF('Growth (no penalty)'!R278&gt;0,4,0))</f>
        <v>0</v>
      </c>
      <c r="T155" s="22">
        <f>IF('Growth (no penalty)'!S175&gt;0,1,IF('Growth (no penalty)'!S278&gt;0,4,0))</f>
        <v>1</v>
      </c>
      <c r="U155" s="22">
        <f>IF('Growth (no penalty)'!T175&gt;0,1,IF('Growth (no penalty)'!T278&gt;0,4,0))</f>
        <v>0</v>
      </c>
      <c r="V155" s="22">
        <f>IF('Growth (no penalty)'!U175&gt;0,1,IF('Growth (no penalty)'!U278&gt;0,4,0))</f>
        <v>1</v>
      </c>
      <c r="W155" s="22">
        <f>IF('Growth (no penalty)'!V175&gt;0,1,IF('Growth (no penalty)'!V278&gt;0,4,0))</f>
        <v>1</v>
      </c>
      <c r="X155" s="22">
        <f>IF('Growth (no penalty)'!W175&gt;0,1,IF('Growth (no penalty)'!W278&gt;0,4,0))</f>
        <v>4</v>
      </c>
      <c r="Y155" s="22">
        <f>IF('Growth (no penalty)'!X175&gt;0,1,IF('Growth (no penalty)'!X278&gt;0,4,0))</f>
        <v>4</v>
      </c>
      <c r="Z155" s="22">
        <f>IF('Growth (no penalty)'!Y175&gt;0,1,IF('Growth (no penalty)'!Y278&gt;0,4,0))</f>
        <v>4</v>
      </c>
      <c r="AA155" s="22">
        <f>IF('Growth (no penalty)'!Z175&gt;0,1,IF('Growth (no penalty)'!Z278&gt;0,4,0))</f>
        <v>4</v>
      </c>
      <c r="AB155" s="22">
        <f>IF('Growth (no penalty)'!AA175&gt;0,1,IF('Growth (no penalty)'!AA278&gt;0,4,0))</f>
        <v>4</v>
      </c>
      <c r="AC155" s="22">
        <f>IF('Growth (no penalty)'!AB175&gt;0,1,IF('Growth (no penalty)'!AB278&gt;0,4,0))</f>
        <v>4</v>
      </c>
      <c r="AD155" s="22">
        <f>IF('Growth (no penalty)'!AC175&gt;0,1,IF('Growth (no penalty)'!AC278&gt;0,4,0))</f>
        <v>4</v>
      </c>
      <c r="AE155" s="22">
        <f>IF('Growth (no penalty)'!AD175&gt;0,1,IF('Growth (no penalty)'!AD278&gt;0,4,0))</f>
        <v>4</v>
      </c>
      <c r="AF155" s="22">
        <f>IF('Growth (no penalty)'!AE175&gt;0,1,IF('Growth (no penalty)'!AE278&gt;0,4,0))</f>
        <v>4</v>
      </c>
      <c r="AG155" s="22">
        <f>IF('Growth (no penalty)'!AF175&gt;0,1,IF('Growth (no penalty)'!AF278&gt;0,4,0))</f>
        <v>4</v>
      </c>
      <c r="AH155" s="22">
        <f>IF('Growth (no penalty)'!AG175&gt;0,1,IF('Growth (no penalty)'!AG278&gt;0,4,0))</f>
        <v>4</v>
      </c>
      <c r="AI155" s="22">
        <f>IF('Growth (no penalty)'!AH175&gt;0,1,IF('Growth (no penalty)'!AH278&gt;0,4,0))</f>
        <v>4</v>
      </c>
      <c r="AJ155" s="22">
        <f>IF('Growth (no penalty)'!AI175&gt;0,1,IF('Growth (no penalty)'!AI278&gt;0,4,0))</f>
        <v>4</v>
      </c>
      <c r="AK155" s="22">
        <f>IF('Growth (no penalty)'!AJ175&gt;0,1,IF('Growth (no penalty)'!AJ278&gt;0,4,0))</f>
        <v>4</v>
      </c>
      <c r="AL155" s="22">
        <f>IF('Growth (no penalty)'!AK175&gt;0,1,IF('Growth (no penalty)'!AK278&gt;0,4,0))</f>
        <v>4</v>
      </c>
      <c r="AM155" s="22">
        <f>IF('Growth (no penalty)'!AL175&gt;0,1,IF('Growth (no penalty)'!AL278&gt;0,4,0))</f>
        <v>4</v>
      </c>
      <c r="AN155" s="22">
        <f>IF('Growth (no penalty)'!AM175&gt;0,1,IF('Growth (no penalty)'!AM278&gt;0,4,0))</f>
        <v>4</v>
      </c>
      <c r="AO155" s="22">
        <f>IF('Growth (no penalty)'!AN175&gt;0,1,IF('Growth (no penalty)'!AN278&gt;0,4,0))</f>
        <v>4</v>
      </c>
      <c r="AP155" s="22">
        <f>IF('Growth (no penalty)'!AO175&gt;0,1,IF('Growth (no penalty)'!AO278&gt;0,4,0))</f>
        <v>4</v>
      </c>
      <c r="AQ155" s="22">
        <f>IF('Growth (no penalty)'!AP175&gt;0,1,IF('Growth (no penalty)'!AP278&gt;0,4,0))</f>
        <v>4</v>
      </c>
      <c r="AR155" s="22">
        <f>IF('Growth (no penalty)'!AQ175&gt;0,1,IF('Growth (no penalty)'!AQ278&gt;0,4,0))</f>
        <v>4</v>
      </c>
      <c r="AS155" s="22">
        <f>IF('Growth (no penalty)'!AR175&gt;0,1,IF('Growth (no penalty)'!AR278&gt;0,4,0))</f>
        <v>4</v>
      </c>
      <c r="AT155" s="22">
        <f>IF('Growth (no penalty)'!AS175&gt;0,1,IF('Growth (no penalty)'!AS278&gt;0,4,0))</f>
        <v>4</v>
      </c>
      <c r="AU155" s="22">
        <f>IF('Growth (no penalty)'!AT175&gt;0,1,IF('Growth (no penalty)'!AT278&gt;0,4,0))</f>
        <v>4</v>
      </c>
      <c r="AV155" s="22">
        <f>IF('Growth (no penalty)'!AU175&gt;0,1,IF('Growth (no penalty)'!AU278&gt;0,4,0))</f>
        <v>4</v>
      </c>
      <c r="AW155" s="22">
        <f>IF('Growth (no penalty)'!AV175&gt;0,1,IF('Growth (no penalty)'!AV278&gt;0,4,0))</f>
        <v>4</v>
      </c>
      <c r="AX155" s="22">
        <f>IF('Growth (no penalty)'!AW175&gt;0,1,IF('Growth (no penalty)'!AW278&gt;0,4,0))</f>
        <v>4</v>
      </c>
      <c r="AY155" s="22">
        <f>IF('Growth (no penalty)'!AX175&gt;0,1,IF('Growth (no penalty)'!AX278&gt;0,4,0))</f>
        <v>4</v>
      </c>
      <c r="AZ155" s="22">
        <f>IF('Growth (no penalty)'!AY175&gt;0,1,IF('Growth (no penalty)'!AY278&gt;0,4,0))</f>
        <v>4</v>
      </c>
      <c r="BA155" s="22">
        <f>IF('Growth (no penalty)'!AZ175&gt;0,1,IF('Growth (no penalty)'!AZ278&gt;0,4,0))</f>
        <v>4</v>
      </c>
      <c r="BB155" s="22">
        <f>IF('Growth (no penalty)'!BA175&gt;0,1,IF('Growth (no penalty)'!BA278&gt;0,4,0))</f>
        <v>4</v>
      </c>
      <c r="BC155" s="22">
        <f>IF('Growth (no penalty)'!BB175&gt;0,1,IF('Growth (no penalty)'!BB278&gt;0,4,0))</f>
        <v>4</v>
      </c>
      <c r="BD155" s="22">
        <f>IF('Growth (no penalty)'!BC175&gt;0,1,IF('Growth (no penalty)'!BC278&gt;0,4,0))</f>
        <v>4</v>
      </c>
      <c r="BE155" s="22">
        <f>IF('Growth (no penalty)'!BD175&gt;0,1,IF('Growth (no penalty)'!BD278&gt;0,4,0))</f>
        <v>4</v>
      </c>
      <c r="BF155" s="22">
        <f>IF('Growth (no penalty)'!BE175&gt;0,1,IF('Growth (no penalty)'!BE278&gt;0,4,0))</f>
        <v>4</v>
      </c>
      <c r="BG155" s="22">
        <f>IF('Growth (no penalty)'!BF175&gt;0,1,IF('Growth (no penalty)'!BF278&gt;0,4,0))</f>
        <v>4</v>
      </c>
      <c r="BH155" s="22">
        <f>IF('Growth (no penalty)'!BG175&gt;0,1,IF('Growth (no penalty)'!BG278&gt;0,4,0))</f>
        <v>4</v>
      </c>
      <c r="BI155" s="22">
        <f>IF('Growth (no penalty)'!BH175&gt;0,1,IF('Growth (no penalty)'!BH278&gt;0,4,0))</f>
        <v>4</v>
      </c>
      <c r="BJ155" s="22">
        <f>IF('Growth (no penalty)'!BI175&gt;0,1,IF('Growth (no penalty)'!BI278&gt;0,4,0))</f>
        <v>4</v>
      </c>
      <c r="BK155" s="23">
        <f>IF('Growth (no penalty)'!BJ175&gt;0,1,IF('Growth (no penalty)'!BJ278&gt;0,4,0))</f>
        <v>4</v>
      </c>
    </row>
    <row r="156" spans="1:63" x14ac:dyDescent="0.3">
      <c r="A156" s="4" t="str">
        <f>'Growth profile'!A43</f>
        <v>project 38</v>
      </c>
      <c r="B156" s="13" t="s">
        <v>3</v>
      </c>
      <c r="C156" s="19">
        <f>'Raw profile'!I43</f>
        <v>2036</v>
      </c>
      <c r="D156" s="20">
        <f>IF('Raw profile'!C151&gt;0,1,IF('Raw profile'!C254&gt;0,2,0))</f>
        <v>0</v>
      </c>
      <c r="E156" s="20">
        <f>IF('Raw profile'!D151&gt;0,1,IF('Raw profile'!D254&gt;0,2,0))</f>
        <v>0</v>
      </c>
      <c r="F156" s="20">
        <f>IF('Raw profile'!E151&gt;0,1,IF('Raw profile'!E254&gt;0,2,0))</f>
        <v>0</v>
      </c>
      <c r="G156" s="20">
        <f>IF('Raw profile'!F151&gt;0,1,IF('Raw profile'!F254&gt;0,2,0))</f>
        <v>0</v>
      </c>
      <c r="H156" s="20">
        <f>IF('Raw profile'!G151&gt;0,1,IF('Raw profile'!G254&gt;0,2,0))</f>
        <v>0</v>
      </c>
      <c r="I156" s="20">
        <f>IF('Raw profile'!H151&gt;0,1,IF('Raw profile'!H254&gt;0,2,0))</f>
        <v>0</v>
      </c>
      <c r="J156" s="20">
        <f>IF('Raw profile'!I151&gt;0,1,IF('Raw profile'!I254&gt;0,2,0))</f>
        <v>0</v>
      </c>
      <c r="K156" s="20">
        <f>IF('Raw profile'!J151&gt;0,1,IF('Raw profile'!J254&gt;0,2,0))</f>
        <v>0</v>
      </c>
      <c r="L156" s="20">
        <f>IF('Raw profile'!K151&gt;0,1,IF('Raw profile'!K254&gt;0,2,0))</f>
        <v>0</v>
      </c>
      <c r="M156" s="20">
        <f>IF('Raw profile'!L151&gt;0,1,IF('Raw profile'!L254&gt;0,2,0))</f>
        <v>0</v>
      </c>
      <c r="N156" s="20">
        <f>IF('Raw profile'!M151&gt;0,1,IF('Raw profile'!M254&gt;0,2,0))</f>
        <v>1</v>
      </c>
      <c r="O156" s="20">
        <f>IF('Raw profile'!N151&gt;0,1,IF('Raw profile'!N254&gt;0,2,0))</f>
        <v>1</v>
      </c>
      <c r="P156" s="20">
        <f>IF('Raw profile'!O151&gt;0,1,IF('Raw profile'!O254&gt;0,2,0))</f>
        <v>1</v>
      </c>
      <c r="Q156" s="20">
        <f>IF('Raw profile'!P151&gt;0,1,IF('Raw profile'!P254&gt;0,2,0))</f>
        <v>1</v>
      </c>
      <c r="R156" s="20">
        <f>IF('Raw profile'!Q151&gt;0,1,IF('Raw profile'!Q254&gt;0,2,0))</f>
        <v>2</v>
      </c>
      <c r="S156" s="20">
        <f>IF('Raw profile'!R151&gt;0,1,IF('Raw profile'!R254&gt;0,2,0))</f>
        <v>2</v>
      </c>
      <c r="T156" s="20">
        <f>IF('Raw profile'!S151&gt;0,1,IF('Raw profile'!S254&gt;0,2,0))</f>
        <v>2</v>
      </c>
      <c r="U156" s="20">
        <f>IF('Raw profile'!T151&gt;0,1,IF('Raw profile'!T254&gt;0,2,0))</f>
        <v>2</v>
      </c>
      <c r="V156" s="20">
        <f>IF('Raw profile'!U151&gt;0,1,IF('Raw profile'!U254&gt;0,2,0))</f>
        <v>2</v>
      </c>
      <c r="W156" s="20">
        <f>IF('Raw profile'!V151&gt;0,1,IF('Raw profile'!V254&gt;0,2,0))</f>
        <v>2</v>
      </c>
      <c r="X156" s="20">
        <f>IF('Raw profile'!W151&gt;0,1,IF('Raw profile'!W254&gt;0,2,0))</f>
        <v>2</v>
      </c>
      <c r="Y156" s="20">
        <f>IF('Raw profile'!X151&gt;0,1,IF('Raw profile'!X254&gt;0,2,0))</f>
        <v>2</v>
      </c>
      <c r="Z156" s="20">
        <f>IF('Raw profile'!Y151&gt;0,1,IF('Raw profile'!Y254&gt;0,2,0))</f>
        <v>2</v>
      </c>
      <c r="AA156" s="20">
        <f>IF('Raw profile'!Z151&gt;0,1,IF('Raw profile'!Z254&gt;0,2,0))</f>
        <v>2</v>
      </c>
      <c r="AB156" s="20">
        <f>IF('Raw profile'!AA151&gt;0,1,IF('Raw profile'!AA254&gt;0,2,0))</f>
        <v>2</v>
      </c>
      <c r="AC156" s="20">
        <f>IF('Raw profile'!AB151&gt;0,1,IF('Raw profile'!AB254&gt;0,2,0))</f>
        <v>2</v>
      </c>
      <c r="AD156" s="20">
        <f>IF('Raw profile'!AC151&gt;0,1,IF('Raw profile'!AC254&gt;0,2,0))</f>
        <v>2</v>
      </c>
      <c r="AE156" s="20">
        <f>IF('Raw profile'!AD151&gt;0,1,IF('Raw profile'!AD254&gt;0,2,0))</f>
        <v>2</v>
      </c>
      <c r="AF156" s="20">
        <f>IF('Raw profile'!AE151&gt;0,1,IF('Raw profile'!AE254&gt;0,2,0))</f>
        <v>2</v>
      </c>
      <c r="AG156" s="20">
        <f>IF('Raw profile'!AF151&gt;0,1,IF('Raw profile'!AF254&gt;0,2,0))</f>
        <v>2</v>
      </c>
      <c r="AH156" s="20">
        <f>IF('Raw profile'!AG151&gt;0,1,IF('Raw profile'!AG254&gt;0,2,0))</f>
        <v>2</v>
      </c>
      <c r="AI156" s="20">
        <f>IF('Raw profile'!AH151&gt;0,1,IF('Raw profile'!AH254&gt;0,2,0))</f>
        <v>2</v>
      </c>
      <c r="AJ156" s="20">
        <f>IF('Raw profile'!AI151&gt;0,1,IF('Raw profile'!AI254&gt;0,2,0))</f>
        <v>2</v>
      </c>
      <c r="AK156" s="20">
        <f>IF('Raw profile'!AJ151&gt;0,1,IF('Raw profile'!AJ254&gt;0,2,0))</f>
        <v>2</v>
      </c>
      <c r="AL156" s="20">
        <f>IF('Raw profile'!AK151&gt;0,1,IF('Raw profile'!AK254&gt;0,2,0))</f>
        <v>2</v>
      </c>
      <c r="AM156" s="20">
        <f>IF('Raw profile'!AL151&gt;0,1,IF('Raw profile'!AL254&gt;0,2,0))</f>
        <v>2</v>
      </c>
      <c r="AN156" s="20">
        <f>IF('Raw profile'!AM151&gt;0,1,IF('Raw profile'!AM254&gt;0,2,0))</f>
        <v>2</v>
      </c>
      <c r="AO156" s="20">
        <f>IF('Raw profile'!AN151&gt;0,1,IF('Raw profile'!AN254&gt;0,2,0))</f>
        <v>2</v>
      </c>
      <c r="AP156" s="20">
        <f>IF('Raw profile'!AO151&gt;0,1,IF('Raw profile'!AO254&gt;0,2,0))</f>
        <v>2</v>
      </c>
      <c r="AQ156" s="20">
        <f>IF('Raw profile'!AP151&gt;0,1,IF('Raw profile'!AP254&gt;0,2,0))</f>
        <v>2</v>
      </c>
      <c r="AR156" s="20">
        <f>IF('Raw profile'!AQ151&gt;0,1,IF('Raw profile'!AQ254&gt;0,2,0))</f>
        <v>2</v>
      </c>
      <c r="AS156" s="20">
        <f>IF('Raw profile'!AR151&gt;0,1,IF('Raw profile'!AR254&gt;0,2,0))</f>
        <v>2</v>
      </c>
      <c r="AT156" s="20">
        <f>IF('Raw profile'!AS151&gt;0,1,IF('Raw profile'!AS254&gt;0,2,0))</f>
        <v>2</v>
      </c>
      <c r="AU156" s="20">
        <f>IF('Raw profile'!AT151&gt;0,1,IF('Raw profile'!AT254&gt;0,2,0))</f>
        <v>2</v>
      </c>
      <c r="AV156" s="20">
        <f>IF('Raw profile'!AU151&gt;0,1,IF('Raw profile'!AU254&gt;0,2,0))</f>
        <v>2</v>
      </c>
      <c r="AW156" s="20">
        <f>IF('Raw profile'!AV151&gt;0,1,IF('Raw profile'!AV254&gt;0,2,0))</f>
        <v>2</v>
      </c>
      <c r="AX156" s="20">
        <f>IF('Raw profile'!AW151&gt;0,1,IF('Raw profile'!AW254&gt;0,2,0))</f>
        <v>2</v>
      </c>
      <c r="AY156" s="20">
        <f>IF('Raw profile'!AX151&gt;0,1,IF('Raw profile'!AX254&gt;0,2,0))</f>
        <v>2</v>
      </c>
      <c r="AZ156" s="20">
        <f>IF('Raw profile'!AY151&gt;0,1,IF('Raw profile'!AY254&gt;0,2,0))</f>
        <v>2</v>
      </c>
      <c r="BA156" s="20">
        <f>IF('Raw profile'!AZ151&gt;0,1,IF('Raw profile'!AZ254&gt;0,2,0))</f>
        <v>2</v>
      </c>
      <c r="BB156" s="20">
        <f>IF('Raw profile'!BA151&gt;0,1,IF('Raw profile'!BA254&gt;0,2,0))</f>
        <v>2</v>
      </c>
      <c r="BC156" s="20">
        <f>IF('Raw profile'!BB151&gt;0,1,IF('Raw profile'!BB254&gt;0,2,0))</f>
        <v>2</v>
      </c>
      <c r="BD156" s="20">
        <f>IF('Raw profile'!BC151&gt;0,1,IF('Raw profile'!BC254&gt;0,2,0))</f>
        <v>2</v>
      </c>
      <c r="BE156" s="20">
        <f>IF('Raw profile'!BD151&gt;0,1,IF('Raw profile'!BD254&gt;0,2,0))</f>
        <v>2</v>
      </c>
      <c r="BF156" s="20">
        <f>IF('Raw profile'!BE151&gt;0,1,IF('Raw profile'!BE254&gt;0,2,0))</f>
        <v>0</v>
      </c>
      <c r="BG156" s="20">
        <f>IF('Raw profile'!BF151&gt;0,1,IF('Raw profile'!BF254&gt;0,2,0))</f>
        <v>0</v>
      </c>
      <c r="BH156" s="20">
        <f>IF('Raw profile'!BG151&gt;0,1,IF('Raw profile'!BG254&gt;0,2,0))</f>
        <v>0</v>
      </c>
      <c r="BI156" s="20">
        <f>IF('Raw profile'!BH151&gt;0,1,IF('Raw profile'!BH254&gt;0,2,0))</f>
        <v>0</v>
      </c>
      <c r="BJ156" s="20">
        <f>IF('Raw profile'!BI151&gt;0,1,IF('Raw profile'!BI254&gt;0,2,0))</f>
        <v>0</v>
      </c>
      <c r="BK156" s="21">
        <f>IF('Raw profile'!BJ151&gt;0,1,IF('Raw profile'!BJ254&gt;0,2,0))</f>
        <v>0</v>
      </c>
    </row>
    <row r="157" spans="1:63" x14ac:dyDescent="0.3">
      <c r="B157" s="13" t="s">
        <v>4</v>
      </c>
      <c r="C157" s="19">
        <f>'Growth profile'!I43</f>
        <v>2026</v>
      </c>
      <c r="D157" s="20">
        <f>IF('Growth profile'!C151&gt;0,1,IF('Growth profile'!C254&gt;0,3,0))</f>
        <v>1</v>
      </c>
      <c r="E157" s="20">
        <f>IF('Growth profile'!D151&gt;0,1,IF('Growth profile'!D254&gt;0,3,0))</f>
        <v>1</v>
      </c>
      <c r="F157" s="20">
        <f>IF('Growth profile'!E151&gt;0,1,IF('Growth profile'!E254&gt;0,3,0))</f>
        <v>1</v>
      </c>
      <c r="G157" s="20">
        <f>IF('Growth profile'!F151&gt;0,1,IF('Growth profile'!F254&gt;0,3,0))</f>
        <v>1</v>
      </c>
      <c r="H157" s="20">
        <f>IF('Growth profile'!G151&gt;0,1,IF('Growth profile'!G254&gt;0,3,0))</f>
        <v>3</v>
      </c>
      <c r="I157" s="20">
        <f>IF('Growth profile'!H151&gt;0,1,IF('Growth profile'!H254&gt;0,3,0))</f>
        <v>3</v>
      </c>
      <c r="J157" s="20">
        <f>IF('Growth profile'!I151&gt;0,1,IF('Growth profile'!I254&gt;0,3,0))</f>
        <v>3</v>
      </c>
      <c r="K157" s="20">
        <f>IF('Growth profile'!J151&gt;0,1,IF('Growth profile'!J254&gt;0,3,0))</f>
        <v>3</v>
      </c>
      <c r="L157" s="20">
        <f>IF('Growth profile'!K151&gt;0,1,IF('Growth profile'!K254&gt;0,3,0))</f>
        <v>3</v>
      </c>
      <c r="M157" s="20">
        <f>IF('Growth profile'!L151&gt;0,1,IF('Growth profile'!L254&gt;0,3,0))</f>
        <v>3</v>
      </c>
      <c r="N157" s="20">
        <f>IF('Growth profile'!M151&gt;0,1,IF('Growth profile'!M254&gt;0,3,0))</f>
        <v>3</v>
      </c>
      <c r="O157" s="20">
        <f>IF('Growth profile'!N151&gt;0,1,IF('Growth profile'!N254&gt;0,3,0))</f>
        <v>3</v>
      </c>
      <c r="P157" s="20">
        <f>IF('Growth profile'!O151&gt;0,1,IF('Growth profile'!O254&gt;0,3,0))</f>
        <v>3</v>
      </c>
      <c r="Q157" s="20">
        <f>IF('Growth profile'!P151&gt;0,1,IF('Growth profile'!P254&gt;0,3,0))</f>
        <v>3</v>
      </c>
      <c r="R157" s="20">
        <f>IF('Growth profile'!Q151&gt;0,1,IF('Growth profile'!Q254&gt;0,3,0))</f>
        <v>3</v>
      </c>
      <c r="S157" s="20">
        <f>IF('Growth profile'!R151&gt;0,1,IF('Growth profile'!R254&gt;0,3,0))</f>
        <v>3</v>
      </c>
      <c r="T157" s="20">
        <f>IF('Growth profile'!S151&gt;0,1,IF('Growth profile'!S254&gt;0,3,0))</f>
        <v>3</v>
      </c>
      <c r="U157" s="20">
        <f>IF('Growth profile'!T151&gt;0,1,IF('Growth profile'!T254&gt;0,3,0))</f>
        <v>3</v>
      </c>
      <c r="V157" s="20">
        <f>IF('Growth profile'!U151&gt;0,1,IF('Growth profile'!U254&gt;0,3,0))</f>
        <v>3</v>
      </c>
      <c r="W157" s="20">
        <f>IF('Growth profile'!V151&gt;0,1,IF('Growth profile'!V254&gt;0,3,0))</f>
        <v>3</v>
      </c>
      <c r="X157" s="20">
        <f>IF('Growth profile'!W151&gt;0,1,IF('Growth profile'!W254&gt;0,3,0))</f>
        <v>3</v>
      </c>
      <c r="Y157" s="20">
        <f>IF('Growth profile'!X151&gt;0,1,IF('Growth profile'!X254&gt;0,3,0))</f>
        <v>3</v>
      </c>
      <c r="Z157" s="20">
        <f>IF('Growth profile'!Y151&gt;0,1,IF('Growth profile'!Y254&gt;0,3,0))</f>
        <v>3</v>
      </c>
      <c r="AA157" s="20">
        <f>IF('Growth profile'!Z151&gt;0,1,IF('Growth profile'!Z254&gt;0,3,0))</f>
        <v>3</v>
      </c>
      <c r="AB157" s="20">
        <f>IF('Growth profile'!AA151&gt;0,1,IF('Growth profile'!AA254&gt;0,3,0))</f>
        <v>3</v>
      </c>
      <c r="AC157" s="20">
        <f>IF('Growth profile'!AB151&gt;0,1,IF('Growth profile'!AB254&gt;0,3,0))</f>
        <v>3</v>
      </c>
      <c r="AD157" s="20">
        <f>IF('Growth profile'!AC151&gt;0,1,IF('Growth profile'!AC254&gt;0,3,0))</f>
        <v>3</v>
      </c>
      <c r="AE157" s="20">
        <f>IF('Growth profile'!AD151&gt;0,1,IF('Growth profile'!AD254&gt;0,3,0))</f>
        <v>3</v>
      </c>
      <c r="AF157" s="20">
        <f>IF('Growth profile'!AE151&gt;0,1,IF('Growth profile'!AE254&gt;0,3,0))</f>
        <v>3</v>
      </c>
      <c r="AG157" s="20">
        <f>IF('Growth profile'!AF151&gt;0,1,IF('Growth profile'!AF254&gt;0,3,0))</f>
        <v>3</v>
      </c>
      <c r="AH157" s="20">
        <f>IF('Growth profile'!AG151&gt;0,1,IF('Growth profile'!AG254&gt;0,3,0))</f>
        <v>3</v>
      </c>
      <c r="AI157" s="20">
        <f>IF('Growth profile'!AH151&gt;0,1,IF('Growth profile'!AH254&gt;0,3,0))</f>
        <v>3</v>
      </c>
      <c r="AJ157" s="20">
        <f>IF('Growth profile'!AI151&gt;0,1,IF('Growth profile'!AI254&gt;0,3,0))</f>
        <v>3</v>
      </c>
      <c r="AK157" s="20">
        <f>IF('Growth profile'!AJ151&gt;0,1,IF('Growth profile'!AJ254&gt;0,3,0))</f>
        <v>3</v>
      </c>
      <c r="AL157" s="20">
        <f>IF('Growth profile'!AK151&gt;0,1,IF('Growth profile'!AK254&gt;0,3,0))</f>
        <v>3</v>
      </c>
      <c r="AM157" s="20">
        <f>IF('Growth profile'!AL151&gt;0,1,IF('Growth profile'!AL254&gt;0,3,0))</f>
        <v>3</v>
      </c>
      <c r="AN157" s="20">
        <f>IF('Growth profile'!AM151&gt;0,1,IF('Growth profile'!AM254&gt;0,3,0))</f>
        <v>3</v>
      </c>
      <c r="AO157" s="20">
        <f>IF('Growth profile'!AN151&gt;0,1,IF('Growth profile'!AN254&gt;0,3,0))</f>
        <v>3</v>
      </c>
      <c r="AP157" s="20">
        <f>IF('Growth profile'!AO151&gt;0,1,IF('Growth profile'!AO254&gt;0,3,0))</f>
        <v>3</v>
      </c>
      <c r="AQ157" s="20">
        <f>IF('Growth profile'!AP151&gt;0,1,IF('Growth profile'!AP254&gt;0,3,0))</f>
        <v>3</v>
      </c>
      <c r="AR157" s="20">
        <f>IF('Growth profile'!AQ151&gt;0,1,IF('Growth profile'!AQ254&gt;0,3,0))</f>
        <v>3</v>
      </c>
      <c r="AS157" s="20">
        <f>IF('Growth profile'!AR151&gt;0,1,IF('Growth profile'!AR254&gt;0,3,0))</f>
        <v>3</v>
      </c>
      <c r="AT157" s="20">
        <f>IF('Growth profile'!AS151&gt;0,1,IF('Growth profile'!AS254&gt;0,3,0))</f>
        <v>3</v>
      </c>
      <c r="AU157" s="20">
        <f>IF('Growth profile'!AT151&gt;0,1,IF('Growth profile'!AT254&gt;0,3,0))</f>
        <v>3</v>
      </c>
      <c r="AV157" s="20">
        <f>IF('Growth profile'!AU151&gt;0,1,IF('Growth profile'!AU254&gt;0,3,0))</f>
        <v>0</v>
      </c>
      <c r="AW157" s="20">
        <f>IF('Growth profile'!AV151&gt;0,1,IF('Growth profile'!AV254&gt;0,3,0))</f>
        <v>0</v>
      </c>
      <c r="AX157" s="20">
        <f>IF('Growth profile'!AW151&gt;0,1,IF('Growth profile'!AW254&gt;0,3,0))</f>
        <v>0</v>
      </c>
      <c r="AY157" s="20">
        <f>IF('Growth profile'!AX151&gt;0,1,IF('Growth profile'!AX254&gt;0,3,0))</f>
        <v>0</v>
      </c>
      <c r="AZ157" s="20">
        <f>IF('Growth profile'!AY151&gt;0,1,IF('Growth profile'!AY254&gt;0,3,0))</f>
        <v>0</v>
      </c>
      <c r="BA157" s="20">
        <f>IF('Growth profile'!AZ151&gt;0,1,IF('Growth profile'!AZ254&gt;0,3,0))</f>
        <v>0</v>
      </c>
      <c r="BB157" s="20">
        <f>IF('Growth profile'!BA151&gt;0,1,IF('Growth profile'!BA254&gt;0,3,0))</f>
        <v>0</v>
      </c>
      <c r="BC157" s="20">
        <f>IF('Growth profile'!BB151&gt;0,1,IF('Growth profile'!BB254&gt;0,3,0))</f>
        <v>0</v>
      </c>
      <c r="BD157" s="20">
        <f>IF('Growth profile'!BC151&gt;0,1,IF('Growth profile'!BC254&gt;0,3,0))</f>
        <v>0</v>
      </c>
      <c r="BE157" s="20">
        <f>IF('Growth profile'!BD151&gt;0,1,IF('Growth profile'!BD254&gt;0,3,0))</f>
        <v>0</v>
      </c>
      <c r="BF157" s="20">
        <f>IF('Growth profile'!BE151&gt;0,1,IF('Growth profile'!BE254&gt;0,3,0))</f>
        <v>0</v>
      </c>
      <c r="BG157" s="20">
        <f>IF('Growth profile'!BF151&gt;0,1,IF('Growth profile'!BF254&gt;0,3,0))</f>
        <v>0</v>
      </c>
      <c r="BH157" s="20">
        <f>IF('Growth profile'!BG151&gt;0,1,IF('Growth profile'!BG254&gt;0,3,0))</f>
        <v>0</v>
      </c>
      <c r="BI157" s="20">
        <f>IF('Growth profile'!BH151&gt;0,1,IF('Growth profile'!BH254&gt;0,3,0))</f>
        <v>0</v>
      </c>
      <c r="BJ157" s="20">
        <f>IF('Growth profile'!BI151&gt;0,1,IF('Growth profile'!BI254&gt;0,3,0))</f>
        <v>0</v>
      </c>
      <c r="BK157" s="21">
        <f>IF('Growth profile'!BJ151&gt;0,1,IF('Growth profile'!BJ254&gt;0,3,0))</f>
        <v>0</v>
      </c>
    </row>
    <row r="158" spans="1:63" x14ac:dyDescent="0.3">
      <c r="B158" s="13" t="s">
        <v>59</v>
      </c>
      <c r="C158" s="19">
        <f>'Growth (no penalty)'!I43</f>
        <v>2026</v>
      </c>
      <c r="D158" s="22">
        <f>IF('Growth (no penalty)'!C151&gt;0,1,IF('Growth (no penalty)'!C254&gt;0,4,0))</f>
        <v>1</v>
      </c>
      <c r="E158" s="22">
        <f>IF('Growth (no penalty)'!D151&gt;0,1,IF('Growth (no penalty)'!D254&gt;0,4,0))</f>
        <v>1</v>
      </c>
      <c r="F158" s="22">
        <f>IF('Growth (no penalty)'!E151&gt;0,1,IF('Growth (no penalty)'!E254&gt;0,4,0))</f>
        <v>1</v>
      </c>
      <c r="G158" s="22">
        <f>IF('Growth (no penalty)'!F151&gt;0,1,IF('Growth (no penalty)'!F254&gt;0,4,0))</f>
        <v>1</v>
      </c>
      <c r="H158" s="22">
        <f>IF('Growth (no penalty)'!G151&gt;0,1,IF('Growth (no penalty)'!G254&gt;0,4,0))</f>
        <v>4</v>
      </c>
      <c r="I158" s="22">
        <f>IF('Growth (no penalty)'!H151&gt;0,1,IF('Growth (no penalty)'!H254&gt;0,4,0))</f>
        <v>4</v>
      </c>
      <c r="J158" s="22">
        <f>IF('Growth (no penalty)'!I151&gt;0,1,IF('Growth (no penalty)'!I254&gt;0,4,0))</f>
        <v>4</v>
      </c>
      <c r="K158" s="22">
        <f>IF('Growth (no penalty)'!J151&gt;0,1,IF('Growth (no penalty)'!J254&gt;0,4,0))</f>
        <v>4</v>
      </c>
      <c r="L158" s="22">
        <f>IF('Growth (no penalty)'!K151&gt;0,1,IF('Growth (no penalty)'!K254&gt;0,4,0))</f>
        <v>4</v>
      </c>
      <c r="M158" s="22">
        <f>IF('Growth (no penalty)'!L151&gt;0,1,IF('Growth (no penalty)'!L254&gt;0,4,0))</f>
        <v>4</v>
      </c>
      <c r="N158" s="22">
        <f>IF('Growth (no penalty)'!M151&gt;0,1,IF('Growth (no penalty)'!M254&gt;0,4,0))</f>
        <v>4</v>
      </c>
      <c r="O158" s="22">
        <f>IF('Growth (no penalty)'!N151&gt;0,1,IF('Growth (no penalty)'!N254&gt;0,4,0))</f>
        <v>4</v>
      </c>
      <c r="P158" s="22">
        <f>IF('Growth (no penalty)'!O151&gt;0,1,IF('Growth (no penalty)'!O254&gt;0,4,0))</f>
        <v>4</v>
      </c>
      <c r="Q158" s="22">
        <f>IF('Growth (no penalty)'!P151&gt;0,1,IF('Growth (no penalty)'!P254&gt;0,4,0))</f>
        <v>4</v>
      </c>
      <c r="R158" s="22">
        <f>IF('Growth (no penalty)'!Q151&gt;0,1,IF('Growth (no penalty)'!Q254&gt;0,4,0))</f>
        <v>4</v>
      </c>
      <c r="S158" s="22">
        <f>IF('Growth (no penalty)'!R151&gt;0,1,IF('Growth (no penalty)'!R254&gt;0,4,0))</f>
        <v>4</v>
      </c>
      <c r="T158" s="22">
        <f>IF('Growth (no penalty)'!S151&gt;0,1,IF('Growth (no penalty)'!S254&gt;0,4,0))</f>
        <v>4</v>
      </c>
      <c r="U158" s="22">
        <f>IF('Growth (no penalty)'!T151&gt;0,1,IF('Growth (no penalty)'!T254&gt;0,4,0))</f>
        <v>4</v>
      </c>
      <c r="V158" s="22">
        <f>IF('Growth (no penalty)'!U151&gt;0,1,IF('Growth (no penalty)'!U254&gt;0,4,0))</f>
        <v>4</v>
      </c>
      <c r="W158" s="22">
        <f>IF('Growth (no penalty)'!V151&gt;0,1,IF('Growth (no penalty)'!V254&gt;0,4,0))</f>
        <v>4</v>
      </c>
      <c r="X158" s="22">
        <f>IF('Growth (no penalty)'!W151&gt;0,1,IF('Growth (no penalty)'!W254&gt;0,4,0))</f>
        <v>4</v>
      </c>
      <c r="Y158" s="22">
        <f>IF('Growth (no penalty)'!X151&gt;0,1,IF('Growth (no penalty)'!X254&gt;0,4,0))</f>
        <v>4</v>
      </c>
      <c r="Z158" s="22">
        <f>IF('Growth (no penalty)'!Y151&gt;0,1,IF('Growth (no penalty)'!Y254&gt;0,4,0))</f>
        <v>4</v>
      </c>
      <c r="AA158" s="22">
        <f>IF('Growth (no penalty)'!Z151&gt;0,1,IF('Growth (no penalty)'!Z254&gt;0,4,0))</f>
        <v>4</v>
      </c>
      <c r="AB158" s="22">
        <f>IF('Growth (no penalty)'!AA151&gt;0,1,IF('Growth (no penalty)'!AA254&gt;0,4,0))</f>
        <v>4</v>
      </c>
      <c r="AC158" s="22">
        <f>IF('Growth (no penalty)'!AB151&gt;0,1,IF('Growth (no penalty)'!AB254&gt;0,4,0))</f>
        <v>4</v>
      </c>
      <c r="AD158" s="22">
        <f>IF('Growth (no penalty)'!AC151&gt;0,1,IF('Growth (no penalty)'!AC254&gt;0,4,0))</f>
        <v>4</v>
      </c>
      <c r="AE158" s="22">
        <f>IF('Growth (no penalty)'!AD151&gt;0,1,IF('Growth (no penalty)'!AD254&gt;0,4,0))</f>
        <v>4</v>
      </c>
      <c r="AF158" s="22">
        <f>IF('Growth (no penalty)'!AE151&gt;0,1,IF('Growth (no penalty)'!AE254&gt;0,4,0))</f>
        <v>4</v>
      </c>
      <c r="AG158" s="22">
        <f>IF('Growth (no penalty)'!AF151&gt;0,1,IF('Growth (no penalty)'!AF254&gt;0,4,0))</f>
        <v>4</v>
      </c>
      <c r="AH158" s="22">
        <f>IF('Growth (no penalty)'!AG151&gt;0,1,IF('Growth (no penalty)'!AG254&gt;0,4,0))</f>
        <v>4</v>
      </c>
      <c r="AI158" s="22">
        <f>IF('Growth (no penalty)'!AH151&gt;0,1,IF('Growth (no penalty)'!AH254&gt;0,4,0))</f>
        <v>4</v>
      </c>
      <c r="AJ158" s="22">
        <f>IF('Growth (no penalty)'!AI151&gt;0,1,IF('Growth (no penalty)'!AI254&gt;0,4,0))</f>
        <v>4</v>
      </c>
      <c r="AK158" s="22">
        <f>IF('Growth (no penalty)'!AJ151&gt;0,1,IF('Growth (no penalty)'!AJ254&gt;0,4,0))</f>
        <v>4</v>
      </c>
      <c r="AL158" s="22">
        <f>IF('Growth (no penalty)'!AK151&gt;0,1,IF('Growth (no penalty)'!AK254&gt;0,4,0))</f>
        <v>4</v>
      </c>
      <c r="AM158" s="22">
        <f>IF('Growth (no penalty)'!AL151&gt;0,1,IF('Growth (no penalty)'!AL254&gt;0,4,0))</f>
        <v>4</v>
      </c>
      <c r="AN158" s="22">
        <f>IF('Growth (no penalty)'!AM151&gt;0,1,IF('Growth (no penalty)'!AM254&gt;0,4,0))</f>
        <v>4</v>
      </c>
      <c r="AO158" s="22">
        <f>IF('Growth (no penalty)'!AN151&gt;0,1,IF('Growth (no penalty)'!AN254&gt;0,4,0))</f>
        <v>4</v>
      </c>
      <c r="AP158" s="22">
        <f>IF('Growth (no penalty)'!AO151&gt;0,1,IF('Growth (no penalty)'!AO254&gt;0,4,0))</f>
        <v>4</v>
      </c>
      <c r="AQ158" s="22">
        <f>IF('Growth (no penalty)'!AP151&gt;0,1,IF('Growth (no penalty)'!AP254&gt;0,4,0))</f>
        <v>4</v>
      </c>
      <c r="AR158" s="22">
        <f>IF('Growth (no penalty)'!AQ151&gt;0,1,IF('Growth (no penalty)'!AQ254&gt;0,4,0))</f>
        <v>4</v>
      </c>
      <c r="AS158" s="22">
        <f>IF('Growth (no penalty)'!AR151&gt;0,1,IF('Growth (no penalty)'!AR254&gt;0,4,0))</f>
        <v>4</v>
      </c>
      <c r="AT158" s="22">
        <f>IF('Growth (no penalty)'!AS151&gt;0,1,IF('Growth (no penalty)'!AS254&gt;0,4,0))</f>
        <v>4</v>
      </c>
      <c r="AU158" s="22">
        <f>IF('Growth (no penalty)'!AT151&gt;0,1,IF('Growth (no penalty)'!AT254&gt;0,4,0))</f>
        <v>4</v>
      </c>
      <c r="AV158" s="22">
        <f>IF('Growth (no penalty)'!AU151&gt;0,1,IF('Growth (no penalty)'!AU254&gt;0,4,0))</f>
        <v>0</v>
      </c>
      <c r="AW158" s="22">
        <f>IF('Growth (no penalty)'!AV151&gt;0,1,IF('Growth (no penalty)'!AV254&gt;0,4,0))</f>
        <v>0</v>
      </c>
      <c r="AX158" s="22">
        <f>IF('Growth (no penalty)'!AW151&gt;0,1,IF('Growth (no penalty)'!AW254&gt;0,4,0))</f>
        <v>0</v>
      </c>
      <c r="AY158" s="22">
        <f>IF('Growth (no penalty)'!AX151&gt;0,1,IF('Growth (no penalty)'!AX254&gt;0,4,0))</f>
        <v>0</v>
      </c>
      <c r="AZ158" s="22">
        <f>IF('Growth (no penalty)'!AY151&gt;0,1,IF('Growth (no penalty)'!AY254&gt;0,4,0))</f>
        <v>0</v>
      </c>
      <c r="BA158" s="22">
        <f>IF('Growth (no penalty)'!AZ151&gt;0,1,IF('Growth (no penalty)'!AZ254&gt;0,4,0))</f>
        <v>0</v>
      </c>
      <c r="BB158" s="22">
        <f>IF('Growth (no penalty)'!BA151&gt;0,1,IF('Growth (no penalty)'!BA254&gt;0,4,0))</f>
        <v>0</v>
      </c>
      <c r="BC158" s="22">
        <f>IF('Growth (no penalty)'!BB151&gt;0,1,IF('Growth (no penalty)'!BB254&gt;0,4,0))</f>
        <v>0</v>
      </c>
      <c r="BD158" s="22">
        <f>IF('Growth (no penalty)'!BC151&gt;0,1,IF('Growth (no penalty)'!BC254&gt;0,4,0))</f>
        <v>0</v>
      </c>
      <c r="BE158" s="22">
        <f>IF('Growth (no penalty)'!BD151&gt;0,1,IF('Growth (no penalty)'!BD254&gt;0,4,0))</f>
        <v>0</v>
      </c>
      <c r="BF158" s="22">
        <f>IF('Growth (no penalty)'!BE151&gt;0,1,IF('Growth (no penalty)'!BE254&gt;0,4,0))</f>
        <v>0</v>
      </c>
      <c r="BG158" s="22">
        <f>IF('Growth (no penalty)'!BF151&gt;0,1,IF('Growth (no penalty)'!BF254&gt;0,4,0))</f>
        <v>0</v>
      </c>
      <c r="BH158" s="22">
        <f>IF('Growth (no penalty)'!BG151&gt;0,1,IF('Growth (no penalty)'!BG254&gt;0,4,0))</f>
        <v>0</v>
      </c>
      <c r="BI158" s="22">
        <f>IF('Growth (no penalty)'!BH151&gt;0,1,IF('Growth (no penalty)'!BH254&gt;0,4,0))</f>
        <v>0</v>
      </c>
      <c r="BJ158" s="22">
        <f>IF('Growth (no penalty)'!BI151&gt;0,1,IF('Growth (no penalty)'!BI254&gt;0,4,0))</f>
        <v>0</v>
      </c>
      <c r="BK158" s="23">
        <f>IF('Growth (no penalty)'!BJ151&gt;0,1,IF('Growth (no penalty)'!BJ254&gt;0,4,0))</f>
        <v>0</v>
      </c>
    </row>
    <row r="159" spans="1:63" x14ac:dyDescent="0.3">
      <c r="A159" s="4" t="str">
        <f>'Growth profile'!A95</f>
        <v>project 149</v>
      </c>
      <c r="B159" s="13" t="s">
        <v>3</v>
      </c>
      <c r="C159" s="19">
        <f>'Raw profile'!I95</f>
        <v>2036</v>
      </c>
      <c r="D159" s="20">
        <f>IF('Raw profile'!C203&gt;0,1,IF('Raw profile'!C306&gt;0,2,0))</f>
        <v>0</v>
      </c>
      <c r="E159" s="20">
        <f>IF('Raw profile'!D203&gt;0,1,IF('Raw profile'!D306&gt;0,2,0))</f>
        <v>0</v>
      </c>
      <c r="F159" s="20">
        <f>IF('Raw profile'!E203&gt;0,1,IF('Raw profile'!E306&gt;0,2,0))</f>
        <v>0</v>
      </c>
      <c r="G159" s="20">
        <f>IF('Raw profile'!F203&gt;0,1,IF('Raw profile'!F306&gt;0,2,0))</f>
        <v>0</v>
      </c>
      <c r="H159" s="20">
        <f>IF('Raw profile'!G203&gt;0,1,IF('Raw profile'!G306&gt;0,2,0))</f>
        <v>0</v>
      </c>
      <c r="I159" s="20">
        <f>IF('Raw profile'!H203&gt;0,1,IF('Raw profile'!H306&gt;0,2,0))</f>
        <v>0</v>
      </c>
      <c r="J159" s="20">
        <f>IF('Raw profile'!I203&gt;0,1,IF('Raw profile'!I306&gt;0,2,0))</f>
        <v>0</v>
      </c>
      <c r="K159" s="20">
        <f>IF('Raw profile'!J203&gt;0,1,IF('Raw profile'!J306&gt;0,2,0))</f>
        <v>0</v>
      </c>
      <c r="L159" s="20">
        <f>IF('Raw profile'!K203&gt;0,1,IF('Raw profile'!K306&gt;0,2,0))</f>
        <v>0</v>
      </c>
      <c r="M159" s="20">
        <f>IF('Raw profile'!L203&gt;0,1,IF('Raw profile'!L306&gt;0,2,0))</f>
        <v>0</v>
      </c>
      <c r="N159" s="20">
        <f>IF('Raw profile'!M203&gt;0,1,IF('Raw profile'!M306&gt;0,2,0))</f>
        <v>1</v>
      </c>
      <c r="O159" s="20">
        <f>IF('Raw profile'!N203&gt;0,1,IF('Raw profile'!N306&gt;0,2,0))</f>
        <v>1</v>
      </c>
      <c r="P159" s="20">
        <f>IF('Raw profile'!O203&gt;0,1,IF('Raw profile'!O306&gt;0,2,0))</f>
        <v>1</v>
      </c>
      <c r="Q159" s="20">
        <f>IF('Raw profile'!P203&gt;0,1,IF('Raw profile'!P306&gt;0,2,0))</f>
        <v>2</v>
      </c>
      <c r="R159" s="20">
        <f>IF('Raw profile'!Q203&gt;0,1,IF('Raw profile'!Q306&gt;0,2,0))</f>
        <v>2</v>
      </c>
      <c r="S159" s="20">
        <f>IF('Raw profile'!R203&gt;0,1,IF('Raw profile'!R306&gt;0,2,0))</f>
        <v>2</v>
      </c>
      <c r="T159" s="20">
        <f>IF('Raw profile'!S203&gt;0,1,IF('Raw profile'!S306&gt;0,2,0))</f>
        <v>2</v>
      </c>
      <c r="U159" s="20">
        <f>IF('Raw profile'!T203&gt;0,1,IF('Raw profile'!T306&gt;0,2,0))</f>
        <v>2</v>
      </c>
      <c r="V159" s="20">
        <f>IF('Raw profile'!U203&gt;0,1,IF('Raw profile'!U306&gt;0,2,0))</f>
        <v>2</v>
      </c>
      <c r="W159" s="20">
        <f>IF('Raw profile'!V203&gt;0,1,IF('Raw profile'!V306&gt;0,2,0))</f>
        <v>2</v>
      </c>
      <c r="X159" s="20">
        <f>IF('Raw profile'!W203&gt;0,1,IF('Raw profile'!W306&gt;0,2,0))</f>
        <v>2</v>
      </c>
      <c r="Y159" s="20">
        <f>IF('Raw profile'!X203&gt;0,1,IF('Raw profile'!X306&gt;0,2,0))</f>
        <v>2</v>
      </c>
      <c r="Z159" s="20">
        <f>IF('Raw profile'!Y203&gt;0,1,IF('Raw profile'!Y306&gt;0,2,0))</f>
        <v>2</v>
      </c>
      <c r="AA159" s="20">
        <f>IF('Raw profile'!Z203&gt;0,1,IF('Raw profile'!Z306&gt;0,2,0))</f>
        <v>2</v>
      </c>
      <c r="AB159" s="20">
        <f>IF('Raw profile'!AA203&gt;0,1,IF('Raw profile'!AA306&gt;0,2,0))</f>
        <v>2</v>
      </c>
      <c r="AC159" s="20">
        <f>IF('Raw profile'!AB203&gt;0,1,IF('Raw profile'!AB306&gt;0,2,0))</f>
        <v>2</v>
      </c>
      <c r="AD159" s="20">
        <f>IF('Raw profile'!AC203&gt;0,1,IF('Raw profile'!AC306&gt;0,2,0))</f>
        <v>2</v>
      </c>
      <c r="AE159" s="20">
        <f>IF('Raw profile'!AD203&gt;0,1,IF('Raw profile'!AD306&gt;0,2,0))</f>
        <v>2</v>
      </c>
      <c r="AF159" s="20">
        <f>IF('Raw profile'!AE203&gt;0,1,IF('Raw profile'!AE306&gt;0,2,0))</f>
        <v>2</v>
      </c>
      <c r="AG159" s="20">
        <f>IF('Raw profile'!AF203&gt;0,1,IF('Raw profile'!AF306&gt;0,2,0))</f>
        <v>2</v>
      </c>
      <c r="AH159" s="20">
        <f>IF('Raw profile'!AG203&gt;0,1,IF('Raw profile'!AG306&gt;0,2,0))</f>
        <v>2</v>
      </c>
      <c r="AI159" s="20">
        <f>IF('Raw profile'!AH203&gt;0,1,IF('Raw profile'!AH306&gt;0,2,0))</f>
        <v>2</v>
      </c>
      <c r="AJ159" s="20">
        <f>IF('Raw profile'!AI203&gt;0,1,IF('Raw profile'!AI306&gt;0,2,0))</f>
        <v>2</v>
      </c>
      <c r="AK159" s="20">
        <f>IF('Raw profile'!AJ203&gt;0,1,IF('Raw profile'!AJ306&gt;0,2,0))</f>
        <v>2</v>
      </c>
      <c r="AL159" s="20">
        <f>IF('Raw profile'!AK203&gt;0,1,IF('Raw profile'!AK306&gt;0,2,0))</f>
        <v>2</v>
      </c>
      <c r="AM159" s="20">
        <f>IF('Raw profile'!AL203&gt;0,1,IF('Raw profile'!AL306&gt;0,2,0))</f>
        <v>2</v>
      </c>
      <c r="AN159" s="20">
        <f>IF('Raw profile'!AM203&gt;0,1,IF('Raw profile'!AM306&gt;0,2,0))</f>
        <v>2</v>
      </c>
      <c r="AO159" s="20">
        <f>IF('Raw profile'!AN203&gt;0,1,IF('Raw profile'!AN306&gt;0,2,0))</f>
        <v>2</v>
      </c>
      <c r="AP159" s="20">
        <f>IF('Raw profile'!AO203&gt;0,1,IF('Raw profile'!AO306&gt;0,2,0))</f>
        <v>2</v>
      </c>
      <c r="AQ159" s="20">
        <f>IF('Raw profile'!AP203&gt;0,1,IF('Raw profile'!AP306&gt;0,2,0))</f>
        <v>2</v>
      </c>
      <c r="AR159" s="20">
        <f>IF('Raw profile'!AQ203&gt;0,1,IF('Raw profile'!AQ306&gt;0,2,0))</f>
        <v>2</v>
      </c>
      <c r="AS159" s="20">
        <f>IF('Raw profile'!AR203&gt;0,1,IF('Raw profile'!AR306&gt;0,2,0))</f>
        <v>2</v>
      </c>
      <c r="AT159" s="20">
        <f>IF('Raw profile'!AS203&gt;0,1,IF('Raw profile'!AS306&gt;0,2,0))</f>
        <v>2</v>
      </c>
      <c r="AU159" s="20">
        <f>IF('Raw profile'!AT203&gt;0,1,IF('Raw profile'!AT306&gt;0,2,0))</f>
        <v>2</v>
      </c>
      <c r="AV159" s="20">
        <f>IF('Raw profile'!AU203&gt;0,1,IF('Raw profile'!AU306&gt;0,2,0))</f>
        <v>2</v>
      </c>
      <c r="AW159" s="20">
        <f>IF('Raw profile'!AV203&gt;0,1,IF('Raw profile'!AV306&gt;0,2,0))</f>
        <v>2</v>
      </c>
      <c r="AX159" s="20">
        <f>IF('Raw profile'!AW203&gt;0,1,IF('Raw profile'!AW306&gt;0,2,0))</f>
        <v>2</v>
      </c>
      <c r="AY159" s="20">
        <f>IF('Raw profile'!AX203&gt;0,1,IF('Raw profile'!AX306&gt;0,2,0))</f>
        <v>2</v>
      </c>
      <c r="AZ159" s="20">
        <f>IF('Raw profile'!AY203&gt;0,1,IF('Raw profile'!AY306&gt;0,2,0))</f>
        <v>2</v>
      </c>
      <c r="BA159" s="20">
        <f>IF('Raw profile'!AZ203&gt;0,1,IF('Raw profile'!AZ306&gt;0,2,0))</f>
        <v>2</v>
      </c>
      <c r="BB159" s="20">
        <f>IF('Raw profile'!BA203&gt;0,1,IF('Raw profile'!BA306&gt;0,2,0))</f>
        <v>2</v>
      </c>
      <c r="BC159" s="20">
        <f>IF('Raw profile'!BB203&gt;0,1,IF('Raw profile'!BB306&gt;0,2,0))</f>
        <v>2</v>
      </c>
      <c r="BD159" s="20">
        <f>IF('Raw profile'!BC203&gt;0,1,IF('Raw profile'!BC306&gt;0,2,0))</f>
        <v>2</v>
      </c>
      <c r="BE159" s="20">
        <f>IF('Raw profile'!BD203&gt;0,1,IF('Raw profile'!BD306&gt;0,2,0))</f>
        <v>0</v>
      </c>
      <c r="BF159" s="20">
        <f>IF('Raw profile'!BE203&gt;0,1,IF('Raw profile'!BE306&gt;0,2,0))</f>
        <v>0</v>
      </c>
      <c r="BG159" s="20">
        <f>IF('Raw profile'!BF203&gt;0,1,IF('Raw profile'!BF306&gt;0,2,0))</f>
        <v>0</v>
      </c>
      <c r="BH159" s="20">
        <f>IF('Raw profile'!BG203&gt;0,1,IF('Raw profile'!BG306&gt;0,2,0))</f>
        <v>0</v>
      </c>
      <c r="BI159" s="20">
        <f>IF('Raw profile'!BH203&gt;0,1,IF('Raw profile'!BH306&gt;0,2,0))</f>
        <v>0</v>
      </c>
      <c r="BJ159" s="20">
        <f>IF('Raw profile'!BI203&gt;0,1,IF('Raw profile'!BI306&gt;0,2,0))</f>
        <v>0</v>
      </c>
      <c r="BK159" s="21">
        <f>IF('Raw profile'!BJ203&gt;0,1,IF('Raw profile'!BJ306&gt;0,2,0))</f>
        <v>0</v>
      </c>
    </row>
    <row r="160" spans="1:63" x14ac:dyDescent="0.3">
      <c r="B160" s="13" t="s">
        <v>4</v>
      </c>
      <c r="C160" s="19">
        <f>'Growth profile'!I95</f>
        <v>2033</v>
      </c>
      <c r="D160" s="20">
        <f>IF('Growth profile'!C203&gt;0,1,IF('Growth profile'!C306&gt;0,3,0))</f>
        <v>0</v>
      </c>
      <c r="E160" s="20">
        <f>IF('Growth profile'!D203&gt;0,1,IF('Growth profile'!D306&gt;0,3,0))</f>
        <v>0</v>
      </c>
      <c r="F160" s="20">
        <f>IF('Growth profile'!E203&gt;0,1,IF('Growth profile'!E306&gt;0,3,0))</f>
        <v>0</v>
      </c>
      <c r="G160" s="20">
        <f>IF('Growth profile'!F203&gt;0,1,IF('Growth profile'!F306&gt;0,3,0))</f>
        <v>0</v>
      </c>
      <c r="H160" s="20">
        <f>IF('Growth profile'!G203&gt;0,1,IF('Growth profile'!G306&gt;0,3,0))</f>
        <v>0</v>
      </c>
      <c r="I160" s="20">
        <f>IF('Growth profile'!H203&gt;0,1,IF('Growth profile'!H306&gt;0,3,0))</f>
        <v>0</v>
      </c>
      <c r="J160" s="20">
        <f>IF('Growth profile'!I203&gt;0,1,IF('Growth profile'!I306&gt;0,3,0))</f>
        <v>0</v>
      </c>
      <c r="K160" s="20">
        <f>IF('Growth profile'!J203&gt;0,1,IF('Growth profile'!J306&gt;0,3,0))</f>
        <v>1</v>
      </c>
      <c r="L160" s="20">
        <f>IF('Growth profile'!K203&gt;0,1,IF('Growth profile'!K306&gt;0,3,0))</f>
        <v>1</v>
      </c>
      <c r="M160" s="20">
        <f>IF('Growth profile'!L203&gt;0,1,IF('Growth profile'!L306&gt;0,3,0))</f>
        <v>1</v>
      </c>
      <c r="N160" s="20">
        <f>IF('Growth profile'!M203&gt;0,1,IF('Growth profile'!M306&gt;0,3,0))</f>
        <v>3</v>
      </c>
      <c r="O160" s="20">
        <f>IF('Growth profile'!N203&gt;0,1,IF('Growth profile'!N306&gt;0,3,0))</f>
        <v>3</v>
      </c>
      <c r="P160" s="20">
        <f>IF('Growth profile'!O203&gt;0,1,IF('Growth profile'!O306&gt;0,3,0))</f>
        <v>3</v>
      </c>
      <c r="Q160" s="20">
        <f>IF('Growth profile'!P203&gt;0,1,IF('Growth profile'!P306&gt;0,3,0))</f>
        <v>3</v>
      </c>
      <c r="R160" s="20">
        <f>IF('Growth profile'!Q203&gt;0,1,IF('Growth profile'!Q306&gt;0,3,0))</f>
        <v>3</v>
      </c>
      <c r="S160" s="20">
        <f>IF('Growth profile'!R203&gt;0,1,IF('Growth profile'!R306&gt;0,3,0))</f>
        <v>3</v>
      </c>
      <c r="T160" s="20">
        <f>IF('Growth profile'!S203&gt;0,1,IF('Growth profile'!S306&gt;0,3,0))</f>
        <v>3</v>
      </c>
      <c r="U160" s="20">
        <f>IF('Growth profile'!T203&gt;0,1,IF('Growth profile'!T306&gt;0,3,0))</f>
        <v>3</v>
      </c>
      <c r="V160" s="20">
        <f>IF('Growth profile'!U203&gt;0,1,IF('Growth profile'!U306&gt;0,3,0))</f>
        <v>3</v>
      </c>
      <c r="W160" s="20">
        <f>IF('Growth profile'!V203&gt;0,1,IF('Growth profile'!V306&gt;0,3,0))</f>
        <v>3</v>
      </c>
      <c r="X160" s="20">
        <f>IF('Growth profile'!W203&gt;0,1,IF('Growth profile'!W306&gt;0,3,0))</f>
        <v>3</v>
      </c>
      <c r="Y160" s="20">
        <f>IF('Growth profile'!X203&gt;0,1,IF('Growth profile'!X306&gt;0,3,0))</f>
        <v>3</v>
      </c>
      <c r="Z160" s="20">
        <f>IF('Growth profile'!Y203&gt;0,1,IF('Growth profile'!Y306&gt;0,3,0))</f>
        <v>3</v>
      </c>
      <c r="AA160" s="20">
        <f>IF('Growth profile'!Z203&gt;0,1,IF('Growth profile'!Z306&gt;0,3,0))</f>
        <v>3</v>
      </c>
      <c r="AB160" s="20">
        <f>IF('Growth profile'!AA203&gt;0,1,IF('Growth profile'!AA306&gt;0,3,0))</f>
        <v>3</v>
      </c>
      <c r="AC160" s="20">
        <f>IF('Growth profile'!AB203&gt;0,1,IF('Growth profile'!AB306&gt;0,3,0))</f>
        <v>3</v>
      </c>
      <c r="AD160" s="20">
        <f>IF('Growth profile'!AC203&gt;0,1,IF('Growth profile'!AC306&gt;0,3,0))</f>
        <v>3</v>
      </c>
      <c r="AE160" s="20">
        <f>IF('Growth profile'!AD203&gt;0,1,IF('Growth profile'!AD306&gt;0,3,0))</f>
        <v>3</v>
      </c>
      <c r="AF160" s="20">
        <f>IF('Growth profile'!AE203&gt;0,1,IF('Growth profile'!AE306&gt;0,3,0))</f>
        <v>3</v>
      </c>
      <c r="AG160" s="20">
        <f>IF('Growth profile'!AF203&gt;0,1,IF('Growth profile'!AF306&gt;0,3,0))</f>
        <v>3</v>
      </c>
      <c r="AH160" s="20">
        <f>IF('Growth profile'!AG203&gt;0,1,IF('Growth profile'!AG306&gt;0,3,0))</f>
        <v>3</v>
      </c>
      <c r="AI160" s="20">
        <f>IF('Growth profile'!AH203&gt;0,1,IF('Growth profile'!AH306&gt;0,3,0))</f>
        <v>3</v>
      </c>
      <c r="AJ160" s="20">
        <f>IF('Growth profile'!AI203&gt;0,1,IF('Growth profile'!AI306&gt;0,3,0))</f>
        <v>3</v>
      </c>
      <c r="AK160" s="20">
        <f>IF('Growth profile'!AJ203&gt;0,1,IF('Growth profile'!AJ306&gt;0,3,0))</f>
        <v>3</v>
      </c>
      <c r="AL160" s="20">
        <f>IF('Growth profile'!AK203&gt;0,1,IF('Growth profile'!AK306&gt;0,3,0))</f>
        <v>3</v>
      </c>
      <c r="AM160" s="20">
        <f>IF('Growth profile'!AL203&gt;0,1,IF('Growth profile'!AL306&gt;0,3,0))</f>
        <v>3</v>
      </c>
      <c r="AN160" s="20">
        <f>IF('Growth profile'!AM203&gt;0,1,IF('Growth profile'!AM306&gt;0,3,0))</f>
        <v>3</v>
      </c>
      <c r="AO160" s="20">
        <f>IF('Growth profile'!AN203&gt;0,1,IF('Growth profile'!AN306&gt;0,3,0))</f>
        <v>3</v>
      </c>
      <c r="AP160" s="20">
        <f>IF('Growth profile'!AO203&gt;0,1,IF('Growth profile'!AO306&gt;0,3,0))</f>
        <v>3</v>
      </c>
      <c r="AQ160" s="20">
        <f>IF('Growth profile'!AP203&gt;0,1,IF('Growth profile'!AP306&gt;0,3,0))</f>
        <v>3</v>
      </c>
      <c r="AR160" s="20">
        <f>IF('Growth profile'!AQ203&gt;0,1,IF('Growth profile'!AQ306&gt;0,3,0))</f>
        <v>3</v>
      </c>
      <c r="AS160" s="20">
        <f>IF('Growth profile'!AR203&gt;0,1,IF('Growth profile'!AR306&gt;0,3,0))</f>
        <v>3</v>
      </c>
      <c r="AT160" s="20">
        <f>IF('Growth profile'!AS203&gt;0,1,IF('Growth profile'!AS306&gt;0,3,0))</f>
        <v>3</v>
      </c>
      <c r="AU160" s="20">
        <f>IF('Growth profile'!AT203&gt;0,1,IF('Growth profile'!AT306&gt;0,3,0))</f>
        <v>3</v>
      </c>
      <c r="AV160" s="20">
        <f>IF('Growth profile'!AU203&gt;0,1,IF('Growth profile'!AU306&gt;0,3,0))</f>
        <v>3</v>
      </c>
      <c r="AW160" s="20">
        <f>IF('Growth profile'!AV203&gt;0,1,IF('Growth profile'!AV306&gt;0,3,0))</f>
        <v>3</v>
      </c>
      <c r="AX160" s="20">
        <f>IF('Growth profile'!AW203&gt;0,1,IF('Growth profile'!AW306&gt;0,3,0))</f>
        <v>3</v>
      </c>
      <c r="AY160" s="20">
        <f>IF('Growth profile'!AX203&gt;0,1,IF('Growth profile'!AX306&gt;0,3,0))</f>
        <v>3</v>
      </c>
      <c r="AZ160" s="20">
        <f>IF('Growth profile'!AY203&gt;0,1,IF('Growth profile'!AY306&gt;0,3,0))</f>
        <v>3</v>
      </c>
      <c r="BA160" s="20">
        <f>IF('Growth profile'!AZ203&gt;0,1,IF('Growth profile'!AZ306&gt;0,3,0))</f>
        <v>3</v>
      </c>
      <c r="BB160" s="20">
        <f>IF('Growth profile'!BA203&gt;0,1,IF('Growth profile'!BA306&gt;0,3,0))</f>
        <v>0</v>
      </c>
      <c r="BC160" s="20">
        <f>IF('Growth profile'!BB203&gt;0,1,IF('Growth profile'!BB306&gt;0,3,0))</f>
        <v>0</v>
      </c>
      <c r="BD160" s="20">
        <f>IF('Growth profile'!BC203&gt;0,1,IF('Growth profile'!BC306&gt;0,3,0))</f>
        <v>0</v>
      </c>
      <c r="BE160" s="20">
        <f>IF('Growth profile'!BD203&gt;0,1,IF('Growth profile'!BD306&gt;0,3,0))</f>
        <v>0</v>
      </c>
      <c r="BF160" s="20">
        <f>IF('Growth profile'!BE203&gt;0,1,IF('Growth profile'!BE306&gt;0,3,0))</f>
        <v>0</v>
      </c>
      <c r="BG160" s="20">
        <f>IF('Growth profile'!BF203&gt;0,1,IF('Growth profile'!BF306&gt;0,3,0))</f>
        <v>0</v>
      </c>
      <c r="BH160" s="20">
        <f>IF('Growth profile'!BG203&gt;0,1,IF('Growth profile'!BG306&gt;0,3,0))</f>
        <v>0</v>
      </c>
      <c r="BI160" s="20">
        <f>IF('Growth profile'!BH203&gt;0,1,IF('Growth profile'!BH306&gt;0,3,0))</f>
        <v>0</v>
      </c>
      <c r="BJ160" s="20">
        <f>IF('Growth profile'!BI203&gt;0,1,IF('Growth profile'!BI306&gt;0,3,0))</f>
        <v>0</v>
      </c>
      <c r="BK160" s="21">
        <f>IF('Growth profile'!BJ203&gt;0,1,IF('Growth profile'!BJ306&gt;0,3,0))</f>
        <v>0</v>
      </c>
    </row>
    <row r="161" spans="1:63" x14ac:dyDescent="0.3">
      <c r="B161" s="13" t="s">
        <v>59</v>
      </c>
      <c r="C161" s="19">
        <f>'Growth (no penalty)'!I95</f>
        <v>2043</v>
      </c>
      <c r="D161" s="22">
        <f>IF('Growth (no penalty)'!C203&gt;0,1,IF('Growth (no penalty)'!C306&gt;0,4,0))</f>
        <v>0</v>
      </c>
      <c r="E161" s="22">
        <f>IF('Growth (no penalty)'!D203&gt;0,1,IF('Growth (no penalty)'!D306&gt;0,4,0))</f>
        <v>0</v>
      </c>
      <c r="F161" s="22">
        <f>IF('Growth (no penalty)'!E203&gt;0,1,IF('Growth (no penalty)'!E306&gt;0,4,0))</f>
        <v>0</v>
      </c>
      <c r="G161" s="22">
        <f>IF('Growth (no penalty)'!F203&gt;0,1,IF('Growth (no penalty)'!F306&gt;0,4,0))</f>
        <v>0</v>
      </c>
      <c r="H161" s="22">
        <f>IF('Growth (no penalty)'!G203&gt;0,1,IF('Growth (no penalty)'!G306&gt;0,4,0))</f>
        <v>0</v>
      </c>
      <c r="I161" s="22">
        <f>IF('Growth (no penalty)'!H203&gt;0,1,IF('Growth (no penalty)'!H306&gt;0,4,0))</f>
        <v>0</v>
      </c>
      <c r="J161" s="22">
        <f>IF('Growth (no penalty)'!I203&gt;0,1,IF('Growth (no penalty)'!I306&gt;0,4,0))</f>
        <v>0</v>
      </c>
      <c r="K161" s="22">
        <f>IF('Growth (no penalty)'!J203&gt;0,1,IF('Growth (no penalty)'!J306&gt;0,4,0))</f>
        <v>0</v>
      </c>
      <c r="L161" s="22">
        <f>IF('Growth (no penalty)'!K203&gt;0,1,IF('Growth (no penalty)'!K306&gt;0,4,0))</f>
        <v>0</v>
      </c>
      <c r="M161" s="22">
        <f>IF('Growth (no penalty)'!L203&gt;0,1,IF('Growth (no penalty)'!L306&gt;0,4,0))</f>
        <v>0</v>
      </c>
      <c r="N161" s="22">
        <f>IF('Growth (no penalty)'!M203&gt;0,1,IF('Growth (no penalty)'!M306&gt;0,4,0))</f>
        <v>0</v>
      </c>
      <c r="O161" s="22">
        <f>IF('Growth (no penalty)'!N203&gt;0,1,IF('Growth (no penalty)'!N306&gt;0,4,0))</f>
        <v>0</v>
      </c>
      <c r="P161" s="22">
        <f>IF('Growth (no penalty)'!O203&gt;0,1,IF('Growth (no penalty)'!O306&gt;0,4,0))</f>
        <v>0</v>
      </c>
      <c r="Q161" s="22">
        <f>IF('Growth (no penalty)'!P203&gt;0,1,IF('Growth (no penalty)'!P306&gt;0,4,0))</f>
        <v>0</v>
      </c>
      <c r="R161" s="22">
        <f>IF('Growth (no penalty)'!Q203&gt;0,1,IF('Growth (no penalty)'!Q306&gt;0,4,0))</f>
        <v>0</v>
      </c>
      <c r="S161" s="22">
        <f>IF('Growth (no penalty)'!R203&gt;0,1,IF('Growth (no penalty)'!R306&gt;0,4,0))</f>
        <v>0</v>
      </c>
      <c r="T161" s="22">
        <f>IF('Growth (no penalty)'!S203&gt;0,1,IF('Growth (no penalty)'!S306&gt;0,4,0))</f>
        <v>0</v>
      </c>
      <c r="U161" s="22">
        <f>IF('Growth (no penalty)'!T203&gt;0,1,IF('Growth (no penalty)'!T306&gt;0,4,0))</f>
        <v>1</v>
      </c>
      <c r="V161" s="22">
        <f>IF('Growth (no penalty)'!U203&gt;0,1,IF('Growth (no penalty)'!U306&gt;0,4,0))</f>
        <v>1</v>
      </c>
      <c r="W161" s="22">
        <f>IF('Growth (no penalty)'!V203&gt;0,1,IF('Growth (no penalty)'!V306&gt;0,4,0))</f>
        <v>1</v>
      </c>
      <c r="X161" s="22">
        <f>IF('Growth (no penalty)'!W203&gt;0,1,IF('Growth (no penalty)'!W306&gt;0,4,0))</f>
        <v>4</v>
      </c>
      <c r="Y161" s="22">
        <f>IF('Growth (no penalty)'!X203&gt;0,1,IF('Growth (no penalty)'!X306&gt;0,4,0))</f>
        <v>4</v>
      </c>
      <c r="Z161" s="22">
        <f>IF('Growth (no penalty)'!Y203&gt;0,1,IF('Growth (no penalty)'!Y306&gt;0,4,0))</f>
        <v>4</v>
      </c>
      <c r="AA161" s="22">
        <f>IF('Growth (no penalty)'!Z203&gt;0,1,IF('Growth (no penalty)'!Z306&gt;0,4,0))</f>
        <v>4</v>
      </c>
      <c r="AB161" s="22">
        <f>IF('Growth (no penalty)'!AA203&gt;0,1,IF('Growth (no penalty)'!AA306&gt;0,4,0))</f>
        <v>4</v>
      </c>
      <c r="AC161" s="22">
        <f>IF('Growth (no penalty)'!AB203&gt;0,1,IF('Growth (no penalty)'!AB306&gt;0,4,0))</f>
        <v>4</v>
      </c>
      <c r="AD161" s="22">
        <f>IF('Growth (no penalty)'!AC203&gt;0,1,IF('Growth (no penalty)'!AC306&gt;0,4,0))</f>
        <v>4</v>
      </c>
      <c r="AE161" s="22">
        <f>IF('Growth (no penalty)'!AD203&gt;0,1,IF('Growth (no penalty)'!AD306&gt;0,4,0))</f>
        <v>4</v>
      </c>
      <c r="AF161" s="22">
        <f>IF('Growth (no penalty)'!AE203&gt;0,1,IF('Growth (no penalty)'!AE306&gt;0,4,0))</f>
        <v>4</v>
      </c>
      <c r="AG161" s="22">
        <f>IF('Growth (no penalty)'!AF203&gt;0,1,IF('Growth (no penalty)'!AF306&gt;0,4,0))</f>
        <v>4</v>
      </c>
      <c r="AH161" s="22">
        <f>IF('Growth (no penalty)'!AG203&gt;0,1,IF('Growth (no penalty)'!AG306&gt;0,4,0))</f>
        <v>4</v>
      </c>
      <c r="AI161" s="22">
        <f>IF('Growth (no penalty)'!AH203&gt;0,1,IF('Growth (no penalty)'!AH306&gt;0,4,0))</f>
        <v>4</v>
      </c>
      <c r="AJ161" s="22">
        <f>IF('Growth (no penalty)'!AI203&gt;0,1,IF('Growth (no penalty)'!AI306&gt;0,4,0))</f>
        <v>4</v>
      </c>
      <c r="AK161" s="22">
        <f>IF('Growth (no penalty)'!AJ203&gt;0,1,IF('Growth (no penalty)'!AJ306&gt;0,4,0))</f>
        <v>4</v>
      </c>
      <c r="AL161" s="22">
        <f>IF('Growth (no penalty)'!AK203&gt;0,1,IF('Growth (no penalty)'!AK306&gt;0,4,0))</f>
        <v>4</v>
      </c>
      <c r="AM161" s="22">
        <f>IF('Growth (no penalty)'!AL203&gt;0,1,IF('Growth (no penalty)'!AL306&gt;0,4,0))</f>
        <v>4</v>
      </c>
      <c r="AN161" s="22">
        <f>IF('Growth (no penalty)'!AM203&gt;0,1,IF('Growth (no penalty)'!AM306&gt;0,4,0))</f>
        <v>4</v>
      </c>
      <c r="AO161" s="22">
        <f>IF('Growth (no penalty)'!AN203&gt;0,1,IF('Growth (no penalty)'!AN306&gt;0,4,0))</f>
        <v>4</v>
      </c>
      <c r="AP161" s="22">
        <f>IF('Growth (no penalty)'!AO203&gt;0,1,IF('Growth (no penalty)'!AO306&gt;0,4,0))</f>
        <v>4</v>
      </c>
      <c r="AQ161" s="22">
        <f>IF('Growth (no penalty)'!AP203&gt;0,1,IF('Growth (no penalty)'!AP306&gt;0,4,0))</f>
        <v>4</v>
      </c>
      <c r="AR161" s="22">
        <f>IF('Growth (no penalty)'!AQ203&gt;0,1,IF('Growth (no penalty)'!AQ306&gt;0,4,0))</f>
        <v>4</v>
      </c>
      <c r="AS161" s="22">
        <f>IF('Growth (no penalty)'!AR203&gt;0,1,IF('Growth (no penalty)'!AR306&gt;0,4,0))</f>
        <v>4</v>
      </c>
      <c r="AT161" s="22">
        <f>IF('Growth (no penalty)'!AS203&gt;0,1,IF('Growth (no penalty)'!AS306&gt;0,4,0))</f>
        <v>4</v>
      </c>
      <c r="AU161" s="22">
        <f>IF('Growth (no penalty)'!AT203&gt;0,1,IF('Growth (no penalty)'!AT306&gt;0,4,0))</f>
        <v>4</v>
      </c>
      <c r="AV161" s="22">
        <f>IF('Growth (no penalty)'!AU203&gt;0,1,IF('Growth (no penalty)'!AU306&gt;0,4,0))</f>
        <v>4</v>
      </c>
      <c r="AW161" s="22">
        <f>IF('Growth (no penalty)'!AV203&gt;0,1,IF('Growth (no penalty)'!AV306&gt;0,4,0))</f>
        <v>4</v>
      </c>
      <c r="AX161" s="22">
        <f>IF('Growth (no penalty)'!AW203&gt;0,1,IF('Growth (no penalty)'!AW306&gt;0,4,0))</f>
        <v>4</v>
      </c>
      <c r="AY161" s="22">
        <f>IF('Growth (no penalty)'!AX203&gt;0,1,IF('Growth (no penalty)'!AX306&gt;0,4,0))</f>
        <v>4</v>
      </c>
      <c r="AZ161" s="22">
        <f>IF('Growth (no penalty)'!AY203&gt;0,1,IF('Growth (no penalty)'!AY306&gt;0,4,0))</f>
        <v>4</v>
      </c>
      <c r="BA161" s="22">
        <f>IF('Growth (no penalty)'!AZ203&gt;0,1,IF('Growth (no penalty)'!AZ306&gt;0,4,0))</f>
        <v>4</v>
      </c>
      <c r="BB161" s="22">
        <f>IF('Growth (no penalty)'!BA203&gt;0,1,IF('Growth (no penalty)'!BA306&gt;0,4,0))</f>
        <v>4</v>
      </c>
      <c r="BC161" s="22">
        <f>IF('Growth (no penalty)'!BB203&gt;0,1,IF('Growth (no penalty)'!BB306&gt;0,4,0))</f>
        <v>4</v>
      </c>
      <c r="BD161" s="22">
        <f>IF('Growth (no penalty)'!BC203&gt;0,1,IF('Growth (no penalty)'!BC306&gt;0,4,0))</f>
        <v>4</v>
      </c>
      <c r="BE161" s="22">
        <f>IF('Growth (no penalty)'!BD203&gt;0,1,IF('Growth (no penalty)'!BD306&gt;0,4,0))</f>
        <v>4</v>
      </c>
      <c r="BF161" s="22">
        <f>IF('Growth (no penalty)'!BE203&gt;0,1,IF('Growth (no penalty)'!BE306&gt;0,4,0))</f>
        <v>4</v>
      </c>
      <c r="BG161" s="22">
        <f>IF('Growth (no penalty)'!BF203&gt;0,1,IF('Growth (no penalty)'!BF306&gt;0,4,0))</f>
        <v>4</v>
      </c>
      <c r="BH161" s="22">
        <f>IF('Growth (no penalty)'!BG203&gt;0,1,IF('Growth (no penalty)'!BG306&gt;0,4,0))</f>
        <v>4</v>
      </c>
      <c r="BI161" s="22">
        <f>IF('Growth (no penalty)'!BH203&gt;0,1,IF('Growth (no penalty)'!BH306&gt;0,4,0))</f>
        <v>4</v>
      </c>
      <c r="BJ161" s="22">
        <f>IF('Growth (no penalty)'!BI203&gt;0,1,IF('Growth (no penalty)'!BI306&gt;0,4,0))</f>
        <v>4</v>
      </c>
      <c r="BK161" s="23">
        <f>IF('Growth (no penalty)'!BJ203&gt;0,1,IF('Growth (no penalty)'!BJ306&gt;0,4,0))</f>
        <v>4</v>
      </c>
    </row>
    <row r="162" spans="1:63" x14ac:dyDescent="0.3">
      <c r="A162" s="4" t="str">
        <f>'Growth profile'!A99</f>
        <v>project 157</v>
      </c>
      <c r="B162" s="13" t="s">
        <v>3</v>
      </c>
      <c r="C162" s="19">
        <f>'Raw profile'!I99</f>
        <v>2036</v>
      </c>
      <c r="D162" s="20">
        <f>IF('Raw profile'!C207&gt;0,1,IF('Raw profile'!C310&gt;0,2,0))</f>
        <v>0</v>
      </c>
      <c r="E162" s="20">
        <f>IF('Raw profile'!D207&gt;0,1,IF('Raw profile'!D310&gt;0,2,0))</f>
        <v>0</v>
      </c>
      <c r="F162" s="20">
        <f>IF('Raw profile'!E207&gt;0,1,IF('Raw profile'!E310&gt;0,2,0))</f>
        <v>0</v>
      </c>
      <c r="G162" s="20">
        <f>IF('Raw profile'!F207&gt;0,1,IF('Raw profile'!F310&gt;0,2,0))</f>
        <v>0</v>
      </c>
      <c r="H162" s="20">
        <f>IF('Raw profile'!G207&gt;0,1,IF('Raw profile'!G310&gt;0,2,0))</f>
        <v>0</v>
      </c>
      <c r="I162" s="20">
        <f>IF('Raw profile'!H207&gt;0,1,IF('Raw profile'!H310&gt;0,2,0))</f>
        <v>0</v>
      </c>
      <c r="J162" s="20">
        <f>IF('Raw profile'!I207&gt;0,1,IF('Raw profile'!I310&gt;0,2,0))</f>
        <v>0</v>
      </c>
      <c r="K162" s="20">
        <f>IF('Raw profile'!J207&gt;0,1,IF('Raw profile'!J310&gt;0,2,0))</f>
        <v>0</v>
      </c>
      <c r="L162" s="20">
        <f>IF('Raw profile'!K207&gt;0,1,IF('Raw profile'!K310&gt;0,2,0))</f>
        <v>0</v>
      </c>
      <c r="M162" s="20">
        <f>IF('Raw profile'!L207&gt;0,1,IF('Raw profile'!L310&gt;0,2,0))</f>
        <v>0</v>
      </c>
      <c r="N162" s="20">
        <f>IF('Raw profile'!M207&gt;0,1,IF('Raw profile'!M310&gt;0,2,0))</f>
        <v>1</v>
      </c>
      <c r="O162" s="20">
        <f>IF('Raw profile'!N207&gt;0,1,IF('Raw profile'!N310&gt;0,2,0))</f>
        <v>1</v>
      </c>
      <c r="P162" s="20">
        <f>IF('Raw profile'!O207&gt;0,1,IF('Raw profile'!O310&gt;0,2,0))</f>
        <v>1</v>
      </c>
      <c r="Q162" s="20">
        <f>IF('Raw profile'!P207&gt;0,1,IF('Raw profile'!P310&gt;0,2,0))</f>
        <v>2</v>
      </c>
      <c r="R162" s="20">
        <f>IF('Raw profile'!Q207&gt;0,1,IF('Raw profile'!Q310&gt;0,2,0))</f>
        <v>2</v>
      </c>
      <c r="S162" s="20">
        <f>IF('Raw profile'!R207&gt;0,1,IF('Raw profile'!R310&gt;0,2,0))</f>
        <v>2</v>
      </c>
      <c r="T162" s="20">
        <f>IF('Raw profile'!S207&gt;0,1,IF('Raw profile'!S310&gt;0,2,0))</f>
        <v>2</v>
      </c>
      <c r="U162" s="20">
        <f>IF('Raw profile'!T207&gt;0,1,IF('Raw profile'!T310&gt;0,2,0))</f>
        <v>2</v>
      </c>
      <c r="V162" s="20">
        <f>IF('Raw profile'!U207&gt;0,1,IF('Raw profile'!U310&gt;0,2,0))</f>
        <v>2</v>
      </c>
      <c r="W162" s="20">
        <f>IF('Raw profile'!V207&gt;0,1,IF('Raw profile'!V310&gt;0,2,0))</f>
        <v>2</v>
      </c>
      <c r="X162" s="20">
        <f>IF('Raw profile'!W207&gt;0,1,IF('Raw profile'!W310&gt;0,2,0))</f>
        <v>2</v>
      </c>
      <c r="Y162" s="20">
        <f>IF('Raw profile'!X207&gt;0,1,IF('Raw profile'!X310&gt;0,2,0))</f>
        <v>2</v>
      </c>
      <c r="Z162" s="20">
        <f>IF('Raw profile'!Y207&gt;0,1,IF('Raw profile'!Y310&gt;0,2,0))</f>
        <v>2</v>
      </c>
      <c r="AA162" s="20">
        <f>IF('Raw profile'!Z207&gt;0,1,IF('Raw profile'!Z310&gt;0,2,0))</f>
        <v>2</v>
      </c>
      <c r="AB162" s="20">
        <f>IF('Raw profile'!AA207&gt;0,1,IF('Raw profile'!AA310&gt;0,2,0))</f>
        <v>2</v>
      </c>
      <c r="AC162" s="20">
        <f>IF('Raw profile'!AB207&gt;0,1,IF('Raw profile'!AB310&gt;0,2,0))</f>
        <v>2</v>
      </c>
      <c r="AD162" s="20">
        <f>IF('Raw profile'!AC207&gt;0,1,IF('Raw profile'!AC310&gt;0,2,0))</f>
        <v>2</v>
      </c>
      <c r="AE162" s="20">
        <f>IF('Raw profile'!AD207&gt;0,1,IF('Raw profile'!AD310&gt;0,2,0))</f>
        <v>2</v>
      </c>
      <c r="AF162" s="20">
        <f>IF('Raw profile'!AE207&gt;0,1,IF('Raw profile'!AE310&gt;0,2,0))</f>
        <v>2</v>
      </c>
      <c r="AG162" s="20">
        <f>IF('Raw profile'!AF207&gt;0,1,IF('Raw profile'!AF310&gt;0,2,0))</f>
        <v>2</v>
      </c>
      <c r="AH162" s="20">
        <f>IF('Raw profile'!AG207&gt;0,1,IF('Raw profile'!AG310&gt;0,2,0))</f>
        <v>2</v>
      </c>
      <c r="AI162" s="20">
        <f>IF('Raw profile'!AH207&gt;0,1,IF('Raw profile'!AH310&gt;0,2,0))</f>
        <v>2</v>
      </c>
      <c r="AJ162" s="20">
        <f>IF('Raw profile'!AI207&gt;0,1,IF('Raw profile'!AI310&gt;0,2,0))</f>
        <v>2</v>
      </c>
      <c r="AK162" s="20">
        <f>IF('Raw profile'!AJ207&gt;0,1,IF('Raw profile'!AJ310&gt;0,2,0))</f>
        <v>2</v>
      </c>
      <c r="AL162" s="20">
        <f>IF('Raw profile'!AK207&gt;0,1,IF('Raw profile'!AK310&gt;0,2,0))</f>
        <v>2</v>
      </c>
      <c r="AM162" s="20">
        <f>IF('Raw profile'!AL207&gt;0,1,IF('Raw profile'!AL310&gt;0,2,0))</f>
        <v>2</v>
      </c>
      <c r="AN162" s="20">
        <f>IF('Raw profile'!AM207&gt;0,1,IF('Raw profile'!AM310&gt;0,2,0))</f>
        <v>2</v>
      </c>
      <c r="AO162" s="20">
        <f>IF('Raw profile'!AN207&gt;0,1,IF('Raw profile'!AN310&gt;0,2,0))</f>
        <v>2</v>
      </c>
      <c r="AP162" s="20">
        <f>IF('Raw profile'!AO207&gt;0,1,IF('Raw profile'!AO310&gt;0,2,0))</f>
        <v>2</v>
      </c>
      <c r="AQ162" s="20">
        <f>IF('Raw profile'!AP207&gt;0,1,IF('Raw profile'!AP310&gt;0,2,0))</f>
        <v>2</v>
      </c>
      <c r="AR162" s="20">
        <f>IF('Raw profile'!AQ207&gt;0,1,IF('Raw profile'!AQ310&gt;0,2,0))</f>
        <v>2</v>
      </c>
      <c r="AS162" s="20">
        <f>IF('Raw profile'!AR207&gt;0,1,IF('Raw profile'!AR310&gt;0,2,0))</f>
        <v>2</v>
      </c>
      <c r="AT162" s="20">
        <f>IF('Raw profile'!AS207&gt;0,1,IF('Raw profile'!AS310&gt;0,2,0))</f>
        <v>2</v>
      </c>
      <c r="AU162" s="20">
        <f>IF('Raw profile'!AT207&gt;0,1,IF('Raw profile'!AT310&gt;0,2,0))</f>
        <v>2</v>
      </c>
      <c r="AV162" s="20">
        <f>IF('Raw profile'!AU207&gt;0,1,IF('Raw profile'!AU310&gt;0,2,0))</f>
        <v>2</v>
      </c>
      <c r="AW162" s="20">
        <f>IF('Raw profile'!AV207&gt;0,1,IF('Raw profile'!AV310&gt;0,2,0))</f>
        <v>2</v>
      </c>
      <c r="AX162" s="20">
        <f>IF('Raw profile'!AW207&gt;0,1,IF('Raw profile'!AW310&gt;0,2,0))</f>
        <v>2</v>
      </c>
      <c r="AY162" s="20">
        <f>IF('Raw profile'!AX207&gt;0,1,IF('Raw profile'!AX310&gt;0,2,0))</f>
        <v>2</v>
      </c>
      <c r="AZ162" s="20">
        <f>IF('Raw profile'!AY207&gt;0,1,IF('Raw profile'!AY310&gt;0,2,0))</f>
        <v>2</v>
      </c>
      <c r="BA162" s="20">
        <f>IF('Raw profile'!AZ207&gt;0,1,IF('Raw profile'!AZ310&gt;0,2,0))</f>
        <v>2</v>
      </c>
      <c r="BB162" s="20">
        <f>IF('Raw profile'!BA207&gt;0,1,IF('Raw profile'!BA310&gt;0,2,0))</f>
        <v>2</v>
      </c>
      <c r="BC162" s="20">
        <f>IF('Raw profile'!BB207&gt;0,1,IF('Raw profile'!BB310&gt;0,2,0))</f>
        <v>2</v>
      </c>
      <c r="BD162" s="20">
        <f>IF('Raw profile'!BC207&gt;0,1,IF('Raw profile'!BC310&gt;0,2,0))</f>
        <v>2</v>
      </c>
      <c r="BE162" s="20">
        <f>IF('Raw profile'!BD207&gt;0,1,IF('Raw profile'!BD310&gt;0,2,0))</f>
        <v>0</v>
      </c>
      <c r="BF162" s="20">
        <f>IF('Raw profile'!BE207&gt;0,1,IF('Raw profile'!BE310&gt;0,2,0))</f>
        <v>0</v>
      </c>
      <c r="BG162" s="20">
        <f>IF('Raw profile'!BF207&gt;0,1,IF('Raw profile'!BF310&gt;0,2,0))</f>
        <v>0</v>
      </c>
      <c r="BH162" s="20">
        <f>IF('Raw profile'!BG207&gt;0,1,IF('Raw profile'!BG310&gt;0,2,0))</f>
        <v>0</v>
      </c>
      <c r="BI162" s="20">
        <f>IF('Raw profile'!BH207&gt;0,1,IF('Raw profile'!BH310&gt;0,2,0))</f>
        <v>0</v>
      </c>
      <c r="BJ162" s="20">
        <f>IF('Raw profile'!BI207&gt;0,1,IF('Raw profile'!BI310&gt;0,2,0))</f>
        <v>0</v>
      </c>
      <c r="BK162" s="21">
        <f>IF('Raw profile'!BJ207&gt;0,1,IF('Raw profile'!BJ310&gt;0,2,0))</f>
        <v>0</v>
      </c>
    </row>
    <row r="163" spans="1:63" x14ac:dyDescent="0.3">
      <c r="B163" s="13" t="s">
        <v>4</v>
      </c>
      <c r="C163" s="19">
        <f>'Growth profile'!I99</f>
        <v>2033</v>
      </c>
      <c r="D163" s="20">
        <f>IF('Growth profile'!C207&gt;0,1,IF('Growth profile'!C310&gt;0,3,0))</f>
        <v>0</v>
      </c>
      <c r="E163" s="20">
        <f>IF('Growth profile'!D207&gt;0,1,IF('Growth profile'!D310&gt;0,3,0))</f>
        <v>0</v>
      </c>
      <c r="F163" s="20">
        <f>IF('Growth profile'!E207&gt;0,1,IF('Growth profile'!E310&gt;0,3,0))</f>
        <v>0</v>
      </c>
      <c r="G163" s="20">
        <f>IF('Growth profile'!F207&gt;0,1,IF('Growth profile'!F310&gt;0,3,0))</f>
        <v>0</v>
      </c>
      <c r="H163" s="20">
        <f>IF('Growth profile'!G207&gt;0,1,IF('Growth profile'!G310&gt;0,3,0))</f>
        <v>0</v>
      </c>
      <c r="I163" s="20">
        <f>IF('Growth profile'!H207&gt;0,1,IF('Growth profile'!H310&gt;0,3,0))</f>
        <v>0</v>
      </c>
      <c r="J163" s="20">
        <f>IF('Growth profile'!I207&gt;0,1,IF('Growth profile'!I310&gt;0,3,0))</f>
        <v>0</v>
      </c>
      <c r="K163" s="20">
        <f>IF('Growth profile'!J207&gt;0,1,IF('Growth profile'!J310&gt;0,3,0))</f>
        <v>1</v>
      </c>
      <c r="L163" s="20">
        <f>IF('Growth profile'!K207&gt;0,1,IF('Growth profile'!K310&gt;0,3,0))</f>
        <v>1</v>
      </c>
      <c r="M163" s="20">
        <f>IF('Growth profile'!L207&gt;0,1,IF('Growth profile'!L310&gt;0,3,0))</f>
        <v>1</v>
      </c>
      <c r="N163" s="20">
        <f>IF('Growth profile'!M207&gt;0,1,IF('Growth profile'!M310&gt;0,3,0))</f>
        <v>3</v>
      </c>
      <c r="O163" s="20">
        <f>IF('Growth profile'!N207&gt;0,1,IF('Growth profile'!N310&gt;0,3,0))</f>
        <v>3</v>
      </c>
      <c r="P163" s="20">
        <f>IF('Growth profile'!O207&gt;0,1,IF('Growth profile'!O310&gt;0,3,0))</f>
        <v>3</v>
      </c>
      <c r="Q163" s="20">
        <f>IF('Growth profile'!P207&gt;0,1,IF('Growth profile'!P310&gt;0,3,0))</f>
        <v>3</v>
      </c>
      <c r="R163" s="20">
        <f>IF('Growth profile'!Q207&gt;0,1,IF('Growth profile'!Q310&gt;0,3,0))</f>
        <v>3</v>
      </c>
      <c r="S163" s="20">
        <f>IF('Growth profile'!R207&gt;0,1,IF('Growth profile'!R310&gt;0,3,0))</f>
        <v>3</v>
      </c>
      <c r="T163" s="20">
        <f>IF('Growth profile'!S207&gt;0,1,IF('Growth profile'!S310&gt;0,3,0))</f>
        <v>3</v>
      </c>
      <c r="U163" s="20">
        <f>IF('Growth profile'!T207&gt;0,1,IF('Growth profile'!T310&gt;0,3,0))</f>
        <v>3</v>
      </c>
      <c r="V163" s="20">
        <f>IF('Growth profile'!U207&gt;0,1,IF('Growth profile'!U310&gt;0,3,0))</f>
        <v>3</v>
      </c>
      <c r="W163" s="20">
        <f>IF('Growth profile'!V207&gt;0,1,IF('Growth profile'!V310&gt;0,3,0))</f>
        <v>3</v>
      </c>
      <c r="X163" s="20">
        <f>IF('Growth profile'!W207&gt;0,1,IF('Growth profile'!W310&gt;0,3,0))</f>
        <v>3</v>
      </c>
      <c r="Y163" s="20">
        <f>IF('Growth profile'!X207&gt;0,1,IF('Growth profile'!X310&gt;0,3,0))</f>
        <v>3</v>
      </c>
      <c r="Z163" s="20">
        <f>IF('Growth profile'!Y207&gt;0,1,IF('Growth profile'!Y310&gt;0,3,0))</f>
        <v>3</v>
      </c>
      <c r="AA163" s="20">
        <f>IF('Growth profile'!Z207&gt;0,1,IF('Growth profile'!Z310&gt;0,3,0))</f>
        <v>3</v>
      </c>
      <c r="AB163" s="20">
        <f>IF('Growth profile'!AA207&gt;0,1,IF('Growth profile'!AA310&gt;0,3,0))</f>
        <v>3</v>
      </c>
      <c r="AC163" s="20">
        <f>IF('Growth profile'!AB207&gt;0,1,IF('Growth profile'!AB310&gt;0,3,0))</f>
        <v>3</v>
      </c>
      <c r="AD163" s="20">
        <f>IF('Growth profile'!AC207&gt;0,1,IF('Growth profile'!AC310&gt;0,3,0))</f>
        <v>3</v>
      </c>
      <c r="AE163" s="20">
        <f>IF('Growth profile'!AD207&gt;0,1,IF('Growth profile'!AD310&gt;0,3,0))</f>
        <v>3</v>
      </c>
      <c r="AF163" s="20">
        <f>IF('Growth profile'!AE207&gt;0,1,IF('Growth profile'!AE310&gt;0,3,0))</f>
        <v>3</v>
      </c>
      <c r="AG163" s="20">
        <f>IF('Growth profile'!AF207&gt;0,1,IF('Growth profile'!AF310&gt;0,3,0))</f>
        <v>3</v>
      </c>
      <c r="AH163" s="20">
        <f>IF('Growth profile'!AG207&gt;0,1,IF('Growth profile'!AG310&gt;0,3,0))</f>
        <v>3</v>
      </c>
      <c r="AI163" s="20">
        <f>IF('Growth profile'!AH207&gt;0,1,IF('Growth profile'!AH310&gt;0,3,0))</f>
        <v>3</v>
      </c>
      <c r="AJ163" s="20">
        <f>IF('Growth profile'!AI207&gt;0,1,IF('Growth profile'!AI310&gt;0,3,0))</f>
        <v>3</v>
      </c>
      <c r="AK163" s="20">
        <f>IF('Growth profile'!AJ207&gt;0,1,IF('Growth profile'!AJ310&gt;0,3,0))</f>
        <v>3</v>
      </c>
      <c r="AL163" s="20">
        <f>IF('Growth profile'!AK207&gt;0,1,IF('Growth profile'!AK310&gt;0,3,0))</f>
        <v>3</v>
      </c>
      <c r="AM163" s="20">
        <f>IF('Growth profile'!AL207&gt;0,1,IF('Growth profile'!AL310&gt;0,3,0))</f>
        <v>3</v>
      </c>
      <c r="AN163" s="20">
        <f>IF('Growth profile'!AM207&gt;0,1,IF('Growth profile'!AM310&gt;0,3,0))</f>
        <v>3</v>
      </c>
      <c r="AO163" s="20">
        <f>IF('Growth profile'!AN207&gt;0,1,IF('Growth profile'!AN310&gt;0,3,0))</f>
        <v>3</v>
      </c>
      <c r="AP163" s="20">
        <f>IF('Growth profile'!AO207&gt;0,1,IF('Growth profile'!AO310&gt;0,3,0))</f>
        <v>3</v>
      </c>
      <c r="AQ163" s="20">
        <f>IF('Growth profile'!AP207&gt;0,1,IF('Growth profile'!AP310&gt;0,3,0))</f>
        <v>3</v>
      </c>
      <c r="AR163" s="20">
        <f>IF('Growth profile'!AQ207&gt;0,1,IF('Growth profile'!AQ310&gt;0,3,0))</f>
        <v>3</v>
      </c>
      <c r="AS163" s="20">
        <f>IF('Growth profile'!AR207&gt;0,1,IF('Growth profile'!AR310&gt;0,3,0))</f>
        <v>3</v>
      </c>
      <c r="AT163" s="20">
        <f>IF('Growth profile'!AS207&gt;0,1,IF('Growth profile'!AS310&gt;0,3,0))</f>
        <v>3</v>
      </c>
      <c r="AU163" s="20">
        <f>IF('Growth profile'!AT207&gt;0,1,IF('Growth profile'!AT310&gt;0,3,0))</f>
        <v>3</v>
      </c>
      <c r="AV163" s="20">
        <f>IF('Growth profile'!AU207&gt;0,1,IF('Growth profile'!AU310&gt;0,3,0))</f>
        <v>3</v>
      </c>
      <c r="AW163" s="20">
        <f>IF('Growth profile'!AV207&gt;0,1,IF('Growth profile'!AV310&gt;0,3,0))</f>
        <v>3</v>
      </c>
      <c r="AX163" s="20">
        <f>IF('Growth profile'!AW207&gt;0,1,IF('Growth profile'!AW310&gt;0,3,0))</f>
        <v>3</v>
      </c>
      <c r="AY163" s="20">
        <f>IF('Growth profile'!AX207&gt;0,1,IF('Growth profile'!AX310&gt;0,3,0))</f>
        <v>3</v>
      </c>
      <c r="AZ163" s="20">
        <f>IF('Growth profile'!AY207&gt;0,1,IF('Growth profile'!AY310&gt;0,3,0))</f>
        <v>3</v>
      </c>
      <c r="BA163" s="20">
        <f>IF('Growth profile'!AZ207&gt;0,1,IF('Growth profile'!AZ310&gt;0,3,0))</f>
        <v>3</v>
      </c>
      <c r="BB163" s="20">
        <f>IF('Growth profile'!BA207&gt;0,1,IF('Growth profile'!BA310&gt;0,3,0))</f>
        <v>0</v>
      </c>
      <c r="BC163" s="20">
        <f>IF('Growth profile'!BB207&gt;0,1,IF('Growth profile'!BB310&gt;0,3,0))</f>
        <v>0</v>
      </c>
      <c r="BD163" s="20">
        <f>IF('Growth profile'!BC207&gt;0,1,IF('Growth profile'!BC310&gt;0,3,0))</f>
        <v>0</v>
      </c>
      <c r="BE163" s="20">
        <f>IF('Growth profile'!BD207&gt;0,1,IF('Growth profile'!BD310&gt;0,3,0))</f>
        <v>0</v>
      </c>
      <c r="BF163" s="20">
        <f>IF('Growth profile'!BE207&gt;0,1,IF('Growth profile'!BE310&gt;0,3,0))</f>
        <v>0</v>
      </c>
      <c r="BG163" s="20">
        <f>IF('Growth profile'!BF207&gt;0,1,IF('Growth profile'!BF310&gt;0,3,0))</f>
        <v>0</v>
      </c>
      <c r="BH163" s="20">
        <f>IF('Growth profile'!BG207&gt;0,1,IF('Growth profile'!BG310&gt;0,3,0))</f>
        <v>0</v>
      </c>
      <c r="BI163" s="20">
        <f>IF('Growth profile'!BH207&gt;0,1,IF('Growth profile'!BH310&gt;0,3,0))</f>
        <v>0</v>
      </c>
      <c r="BJ163" s="20">
        <f>IF('Growth profile'!BI207&gt;0,1,IF('Growth profile'!BI310&gt;0,3,0))</f>
        <v>0</v>
      </c>
      <c r="BK163" s="21">
        <f>IF('Growth profile'!BJ207&gt;0,1,IF('Growth profile'!BJ310&gt;0,3,0))</f>
        <v>0</v>
      </c>
    </row>
    <row r="164" spans="1:63" x14ac:dyDescent="0.3">
      <c r="B164" s="13" t="s">
        <v>59</v>
      </c>
      <c r="C164" s="19">
        <f>'Growth (no penalty)'!I99</f>
        <v>2043</v>
      </c>
      <c r="D164" s="22">
        <f>IF('Growth (no penalty)'!C207&gt;0,1,IF('Growth (no penalty)'!C310&gt;0,4,0))</f>
        <v>0</v>
      </c>
      <c r="E164" s="22">
        <f>IF('Growth (no penalty)'!D207&gt;0,1,IF('Growth (no penalty)'!D310&gt;0,4,0))</f>
        <v>0</v>
      </c>
      <c r="F164" s="22">
        <f>IF('Growth (no penalty)'!E207&gt;0,1,IF('Growth (no penalty)'!E310&gt;0,4,0))</f>
        <v>0</v>
      </c>
      <c r="G164" s="22">
        <f>IF('Growth (no penalty)'!F207&gt;0,1,IF('Growth (no penalty)'!F310&gt;0,4,0))</f>
        <v>0</v>
      </c>
      <c r="H164" s="22">
        <f>IF('Growth (no penalty)'!G207&gt;0,1,IF('Growth (no penalty)'!G310&gt;0,4,0))</f>
        <v>0</v>
      </c>
      <c r="I164" s="22">
        <f>IF('Growth (no penalty)'!H207&gt;0,1,IF('Growth (no penalty)'!H310&gt;0,4,0))</f>
        <v>0</v>
      </c>
      <c r="J164" s="22">
        <f>IF('Growth (no penalty)'!I207&gt;0,1,IF('Growth (no penalty)'!I310&gt;0,4,0))</f>
        <v>0</v>
      </c>
      <c r="K164" s="22">
        <f>IF('Growth (no penalty)'!J207&gt;0,1,IF('Growth (no penalty)'!J310&gt;0,4,0))</f>
        <v>0</v>
      </c>
      <c r="L164" s="22">
        <f>IF('Growth (no penalty)'!K207&gt;0,1,IF('Growth (no penalty)'!K310&gt;0,4,0))</f>
        <v>0</v>
      </c>
      <c r="M164" s="22">
        <f>IF('Growth (no penalty)'!L207&gt;0,1,IF('Growth (no penalty)'!L310&gt;0,4,0))</f>
        <v>0</v>
      </c>
      <c r="N164" s="22">
        <f>IF('Growth (no penalty)'!M207&gt;0,1,IF('Growth (no penalty)'!M310&gt;0,4,0))</f>
        <v>0</v>
      </c>
      <c r="O164" s="22">
        <f>IF('Growth (no penalty)'!N207&gt;0,1,IF('Growth (no penalty)'!N310&gt;0,4,0))</f>
        <v>0</v>
      </c>
      <c r="P164" s="22">
        <f>IF('Growth (no penalty)'!O207&gt;0,1,IF('Growth (no penalty)'!O310&gt;0,4,0))</f>
        <v>0</v>
      </c>
      <c r="Q164" s="22">
        <f>IF('Growth (no penalty)'!P207&gt;0,1,IF('Growth (no penalty)'!P310&gt;0,4,0))</f>
        <v>0</v>
      </c>
      <c r="R164" s="22">
        <f>IF('Growth (no penalty)'!Q207&gt;0,1,IF('Growth (no penalty)'!Q310&gt;0,4,0))</f>
        <v>0</v>
      </c>
      <c r="S164" s="22">
        <f>IF('Growth (no penalty)'!R207&gt;0,1,IF('Growth (no penalty)'!R310&gt;0,4,0))</f>
        <v>0</v>
      </c>
      <c r="T164" s="22">
        <f>IF('Growth (no penalty)'!S207&gt;0,1,IF('Growth (no penalty)'!S310&gt;0,4,0))</f>
        <v>0</v>
      </c>
      <c r="U164" s="22">
        <f>IF('Growth (no penalty)'!T207&gt;0,1,IF('Growth (no penalty)'!T310&gt;0,4,0))</f>
        <v>1</v>
      </c>
      <c r="V164" s="22">
        <f>IF('Growth (no penalty)'!U207&gt;0,1,IF('Growth (no penalty)'!U310&gt;0,4,0))</f>
        <v>1</v>
      </c>
      <c r="W164" s="22">
        <f>IF('Growth (no penalty)'!V207&gt;0,1,IF('Growth (no penalty)'!V310&gt;0,4,0))</f>
        <v>1</v>
      </c>
      <c r="X164" s="22">
        <f>IF('Growth (no penalty)'!W207&gt;0,1,IF('Growth (no penalty)'!W310&gt;0,4,0))</f>
        <v>4</v>
      </c>
      <c r="Y164" s="22">
        <f>IF('Growth (no penalty)'!X207&gt;0,1,IF('Growth (no penalty)'!X310&gt;0,4,0))</f>
        <v>4</v>
      </c>
      <c r="Z164" s="22">
        <f>IF('Growth (no penalty)'!Y207&gt;0,1,IF('Growth (no penalty)'!Y310&gt;0,4,0))</f>
        <v>4</v>
      </c>
      <c r="AA164" s="22">
        <f>IF('Growth (no penalty)'!Z207&gt;0,1,IF('Growth (no penalty)'!Z310&gt;0,4,0))</f>
        <v>4</v>
      </c>
      <c r="AB164" s="22">
        <f>IF('Growth (no penalty)'!AA207&gt;0,1,IF('Growth (no penalty)'!AA310&gt;0,4,0))</f>
        <v>4</v>
      </c>
      <c r="AC164" s="22">
        <f>IF('Growth (no penalty)'!AB207&gt;0,1,IF('Growth (no penalty)'!AB310&gt;0,4,0))</f>
        <v>4</v>
      </c>
      <c r="AD164" s="22">
        <f>IF('Growth (no penalty)'!AC207&gt;0,1,IF('Growth (no penalty)'!AC310&gt;0,4,0))</f>
        <v>4</v>
      </c>
      <c r="AE164" s="22">
        <f>IF('Growth (no penalty)'!AD207&gt;0,1,IF('Growth (no penalty)'!AD310&gt;0,4,0))</f>
        <v>4</v>
      </c>
      <c r="AF164" s="22">
        <f>IF('Growth (no penalty)'!AE207&gt;0,1,IF('Growth (no penalty)'!AE310&gt;0,4,0))</f>
        <v>4</v>
      </c>
      <c r="AG164" s="22">
        <f>IF('Growth (no penalty)'!AF207&gt;0,1,IF('Growth (no penalty)'!AF310&gt;0,4,0))</f>
        <v>4</v>
      </c>
      <c r="AH164" s="22">
        <f>IF('Growth (no penalty)'!AG207&gt;0,1,IF('Growth (no penalty)'!AG310&gt;0,4,0))</f>
        <v>4</v>
      </c>
      <c r="AI164" s="22">
        <f>IF('Growth (no penalty)'!AH207&gt;0,1,IF('Growth (no penalty)'!AH310&gt;0,4,0))</f>
        <v>4</v>
      </c>
      <c r="AJ164" s="22">
        <f>IF('Growth (no penalty)'!AI207&gt;0,1,IF('Growth (no penalty)'!AI310&gt;0,4,0))</f>
        <v>4</v>
      </c>
      <c r="AK164" s="22">
        <f>IF('Growth (no penalty)'!AJ207&gt;0,1,IF('Growth (no penalty)'!AJ310&gt;0,4,0))</f>
        <v>4</v>
      </c>
      <c r="AL164" s="22">
        <f>IF('Growth (no penalty)'!AK207&gt;0,1,IF('Growth (no penalty)'!AK310&gt;0,4,0))</f>
        <v>4</v>
      </c>
      <c r="AM164" s="22">
        <f>IF('Growth (no penalty)'!AL207&gt;0,1,IF('Growth (no penalty)'!AL310&gt;0,4,0))</f>
        <v>4</v>
      </c>
      <c r="AN164" s="22">
        <f>IF('Growth (no penalty)'!AM207&gt;0,1,IF('Growth (no penalty)'!AM310&gt;0,4,0))</f>
        <v>4</v>
      </c>
      <c r="AO164" s="22">
        <f>IF('Growth (no penalty)'!AN207&gt;0,1,IF('Growth (no penalty)'!AN310&gt;0,4,0))</f>
        <v>4</v>
      </c>
      <c r="AP164" s="22">
        <f>IF('Growth (no penalty)'!AO207&gt;0,1,IF('Growth (no penalty)'!AO310&gt;0,4,0))</f>
        <v>4</v>
      </c>
      <c r="AQ164" s="22">
        <f>IF('Growth (no penalty)'!AP207&gt;0,1,IF('Growth (no penalty)'!AP310&gt;0,4,0))</f>
        <v>4</v>
      </c>
      <c r="AR164" s="22">
        <f>IF('Growth (no penalty)'!AQ207&gt;0,1,IF('Growth (no penalty)'!AQ310&gt;0,4,0))</f>
        <v>4</v>
      </c>
      <c r="AS164" s="22">
        <f>IF('Growth (no penalty)'!AR207&gt;0,1,IF('Growth (no penalty)'!AR310&gt;0,4,0))</f>
        <v>4</v>
      </c>
      <c r="AT164" s="22">
        <f>IF('Growth (no penalty)'!AS207&gt;0,1,IF('Growth (no penalty)'!AS310&gt;0,4,0))</f>
        <v>4</v>
      </c>
      <c r="AU164" s="22">
        <f>IF('Growth (no penalty)'!AT207&gt;0,1,IF('Growth (no penalty)'!AT310&gt;0,4,0))</f>
        <v>4</v>
      </c>
      <c r="AV164" s="22">
        <f>IF('Growth (no penalty)'!AU207&gt;0,1,IF('Growth (no penalty)'!AU310&gt;0,4,0))</f>
        <v>4</v>
      </c>
      <c r="AW164" s="22">
        <f>IF('Growth (no penalty)'!AV207&gt;0,1,IF('Growth (no penalty)'!AV310&gt;0,4,0))</f>
        <v>4</v>
      </c>
      <c r="AX164" s="22">
        <f>IF('Growth (no penalty)'!AW207&gt;0,1,IF('Growth (no penalty)'!AW310&gt;0,4,0))</f>
        <v>4</v>
      </c>
      <c r="AY164" s="22">
        <f>IF('Growth (no penalty)'!AX207&gt;0,1,IF('Growth (no penalty)'!AX310&gt;0,4,0))</f>
        <v>4</v>
      </c>
      <c r="AZ164" s="22">
        <f>IF('Growth (no penalty)'!AY207&gt;0,1,IF('Growth (no penalty)'!AY310&gt;0,4,0))</f>
        <v>4</v>
      </c>
      <c r="BA164" s="22">
        <f>IF('Growth (no penalty)'!AZ207&gt;0,1,IF('Growth (no penalty)'!AZ310&gt;0,4,0))</f>
        <v>4</v>
      </c>
      <c r="BB164" s="22">
        <f>IF('Growth (no penalty)'!BA207&gt;0,1,IF('Growth (no penalty)'!BA310&gt;0,4,0))</f>
        <v>4</v>
      </c>
      <c r="BC164" s="22">
        <f>IF('Growth (no penalty)'!BB207&gt;0,1,IF('Growth (no penalty)'!BB310&gt;0,4,0))</f>
        <v>4</v>
      </c>
      <c r="BD164" s="22">
        <f>IF('Growth (no penalty)'!BC207&gt;0,1,IF('Growth (no penalty)'!BC310&gt;0,4,0))</f>
        <v>4</v>
      </c>
      <c r="BE164" s="22">
        <f>IF('Growth (no penalty)'!BD207&gt;0,1,IF('Growth (no penalty)'!BD310&gt;0,4,0))</f>
        <v>4</v>
      </c>
      <c r="BF164" s="22">
        <f>IF('Growth (no penalty)'!BE207&gt;0,1,IF('Growth (no penalty)'!BE310&gt;0,4,0))</f>
        <v>4</v>
      </c>
      <c r="BG164" s="22">
        <f>IF('Growth (no penalty)'!BF207&gt;0,1,IF('Growth (no penalty)'!BF310&gt;0,4,0))</f>
        <v>4</v>
      </c>
      <c r="BH164" s="22">
        <f>IF('Growth (no penalty)'!BG207&gt;0,1,IF('Growth (no penalty)'!BG310&gt;0,4,0))</f>
        <v>4</v>
      </c>
      <c r="BI164" s="22">
        <f>IF('Growth (no penalty)'!BH207&gt;0,1,IF('Growth (no penalty)'!BH310&gt;0,4,0))</f>
        <v>4</v>
      </c>
      <c r="BJ164" s="22">
        <f>IF('Growth (no penalty)'!BI207&gt;0,1,IF('Growth (no penalty)'!BI310&gt;0,4,0))</f>
        <v>4</v>
      </c>
      <c r="BK164" s="23">
        <f>IF('Growth (no penalty)'!BJ207&gt;0,1,IF('Growth (no penalty)'!BJ310&gt;0,4,0))</f>
        <v>4</v>
      </c>
    </row>
    <row r="165" spans="1:63" x14ac:dyDescent="0.3">
      <c r="A165" s="4" t="str">
        <f>'Growth profile'!A30</f>
        <v>project 16</v>
      </c>
      <c r="B165" s="13" t="s">
        <v>3</v>
      </c>
      <c r="C165" s="19">
        <f>'Raw profile'!I30</f>
        <v>2037</v>
      </c>
      <c r="D165" s="20">
        <f>IF('Raw profile'!C138&gt;0,1,IF('Raw profile'!C241&gt;0,2,0))</f>
        <v>0</v>
      </c>
      <c r="E165" s="20">
        <f>IF('Raw profile'!D138&gt;0,1,IF('Raw profile'!D241&gt;0,2,0))</f>
        <v>0</v>
      </c>
      <c r="F165" s="20">
        <f>IF('Raw profile'!E138&gt;0,1,IF('Raw profile'!E241&gt;0,2,0))</f>
        <v>0</v>
      </c>
      <c r="G165" s="20">
        <f>IF('Raw profile'!F138&gt;0,1,IF('Raw profile'!F241&gt;0,2,0))</f>
        <v>0</v>
      </c>
      <c r="H165" s="20">
        <f>IF('Raw profile'!G138&gt;0,1,IF('Raw profile'!G241&gt;0,2,0))</f>
        <v>0</v>
      </c>
      <c r="I165" s="20">
        <f>IF('Raw profile'!H138&gt;0,1,IF('Raw profile'!H241&gt;0,2,0))</f>
        <v>0</v>
      </c>
      <c r="J165" s="20">
        <f>IF('Raw profile'!I138&gt;0,1,IF('Raw profile'!I241&gt;0,2,0))</f>
        <v>0</v>
      </c>
      <c r="K165" s="20">
        <f>IF('Raw profile'!J138&gt;0,1,IF('Raw profile'!J241&gt;0,2,0))</f>
        <v>0</v>
      </c>
      <c r="L165" s="20">
        <f>IF('Raw profile'!K138&gt;0,1,IF('Raw profile'!K241&gt;0,2,0))</f>
        <v>0</v>
      </c>
      <c r="M165" s="20">
        <f>IF('Raw profile'!L138&gt;0,1,IF('Raw profile'!L241&gt;0,2,0))</f>
        <v>0</v>
      </c>
      <c r="N165" s="20">
        <f>IF('Raw profile'!M138&gt;0,1,IF('Raw profile'!M241&gt;0,2,0))</f>
        <v>0</v>
      </c>
      <c r="O165" s="20">
        <f>IF('Raw profile'!N138&gt;0,1,IF('Raw profile'!N241&gt;0,2,0))</f>
        <v>1</v>
      </c>
      <c r="P165" s="20">
        <f>IF('Raw profile'!O138&gt;0,1,IF('Raw profile'!O241&gt;0,2,0))</f>
        <v>2</v>
      </c>
      <c r="Q165" s="20">
        <f>IF('Raw profile'!P138&gt;0,1,IF('Raw profile'!P241&gt;0,2,0))</f>
        <v>2</v>
      </c>
      <c r="R165" s="20">
        <f>IF('Raw profile'!Q138&gt;0,1,IF('Raw profile'!Q241&gt;0,2,0))</f>
        <v>2</v>
      </c>
      <c r="S165" s="20">
        <f>IF('Raw profile'!R138&gt;0,1,IF('Raw profile'!R241&gt;0,2,0))</f>
        <v>2</v>
      </c>
      <c r="T165" s="20">
        <f>IF('Raw profile'!S138&gt;0,1,IF('Raw profile'!S241&gt;0,2,0))</f>
        <v>2</v>
      </c>
      <c r="U165" s="20">
        <f>IF('Raw profile'!T138&gt;0,1,IF('Raw profile'!T241&gt;0,2,0))</f>
        <v>2</v>
      </c>
      <c r="V165" s="20">
        <f>IF('Raw profile'!U138&gt;0,1,IF('Raw profile'!U241&gt;0,2,0))</f>
        <v>2</v>
      </c>
      <c r="W165" s="20">
        <f>IF('Raw profile'!V138&gt;0,1,IF('Raw profile'!V241&gt;0,2,0))</f>
        <v>2</v>
      </c>
      <c r="X165" s="20">
        <f>IF('Raw profile'!W138&gt;0,1,IF('Raw profile'!W241&gt;0,2,0))</f>
        <v>2</v>
      </c>
      <c r="Y165" s="20">
        <f>IF('Raw profile'!X138&gt;0,1,IF('Raw profile'!X241&gt;0,2,0))</f>
        <v>2</v>
      </c>
      <c r="Z165" s="20">
        <f>IF('Raw profile'!Y138&gt;0,1,IF('Raw profile'!Y241&gt;0,2,0))</f>
        <v>2</v>
      </c>
      <c r="AA165" s="20">
        <f>IF('Raw profile'!Z138&gt;0,1,IF('Raw profile'!Z241&gt;0,2,0))</f>
        <v>2</v>
      </c>
      <c r="AB165" s="20">
        <f>IF('Raw profile'!AA138&gt;0,1,IF('Raw profile'!AA241&gt;0,2,0))</f>
        <v>2</v>
      </c>
      <c r="AC165" s="20">
        <f>IF('Raw profile'!AB138&gt;0,1,IF('Raw profile'!AB241&gt;0,2,0))</f>
        <v>2</v>
      </c>
      <c r="AD165" s="20">
        <f>IF('Raw profile'!AC138&gt;0,1,IF('Raw profile'!AC241&gt;0,2,0))</f>
        <v>2</v>
      </c>
      <c r="AE165" s="20">
        <f>IF('Raw profile'!AD138&gt;0,1,IF('Raw profile'!AD241&gt;0,2,0))</f>
        <v>2</v>
      </c>
      <c r="AF165" s="20">
        <f>IF('Raw profile'!AE138&gt;0,1,IF('Raw profile'!AE241&gt;0,2,0))</f>
        <v>2</v>
      </c>
      <c r="AG165" s="20">
        <f>IF('Raw profile'!AF138&gt;0,1,IF('Raw profile'!AF241&gt;0,2,0))</f>
        <v>2</v>
      </c>
      <c r="AH165" s="20">
        <f>IF('Raw profile'!AG138&gt;0,1,IF('Raw profile'!AG241&gt;0,2,0))</f>
        <v>2</v>
      </c>
      <c r="AI165" s="20">
        <f>IF('Raw profile'!AH138&gt;0,1,IF('Raw profile'!AH241&gt;0,2,0))</f>
        <v>2</v>
      </c>
      <c r="AJ165" s="20">
        <f>IF('Raw profile'!AI138&gt;0,1,IF('Raw profile'!AI241&gt;0,2,0))</f>
        <v>2</v>
      </c>
      <c r="AK165" s="20">
        <f>IF('Raw profile'!AJ138&gt;0,1,IF('Raw profile'!AJ241&gt;0,2,0))</f>
        <v>2</v>
      </c>
      <c r="AL165" s="20">
        <f>IF('Raw profile'!AK138&gt;0,1,IF('Raw profile'!AK241&gt;0,2,0))</f>
        <v>2</v>
      </c>
      <c r="AM165" s="20">
        <f>IF('Raw profile'!AL138&gt;0,1,IF('Raw profile'!AL241&gt;0,2,0))</f>
        <v>2</v>
      </c>
      <c r="AN165" s="20">
        <f>IF('Raw profile'!AM138&gt;0,1,IF('Raw profile'!AM241&gt;0,2,0))</f>
        <v>2</v>
      </c>
      <c r="AO165" s="20">
        <f>IF('Raw profile'!AN138&gt;0,1,IF('Raw profile'!AN241&gt;0,2,0))</f>
        <v>2</v>
      </c>
      <c r="AP165" s="20">
        <f>IF('Raw profile'!AO138&gt;0,1,IF('Raw profile'!AO241&gt;0,2,0))</f>
        <v>2</v>
      </c>
      <c r="AQ165" s="20">
        <f>IF('Raw profile'!AP138&gt;0,1,IF('Raw profile'!AP241&gt;0,2,0))</f>
        <v>2</v>
      </c>
      <c r="AR165" s="20">
        <f>IF('Raw profile'!AQ138&gt;0,1,IF('Raw profile'!AQ241&gt;0,2,0))</f>
        <v>2</v>
      </c>
      <c r="AS165" s="20">
        <f>IF('Raw profile'!AR138&gt;0,1,IF('Raw profile'!AR241&gt;0,2,0))</f>
        <v>2</v>
      </c>
      <c r="AT165" s="20">
        <f>IF('Raw profile'!AS138&gt;0,1,IF('Raw profile'!AS241&gt;0,2,0))</f>
        <v>2</v>
      </c>
      <c r="AU165" s="20">
        <f>IF('Raw profile'!AT138&gt;0,1,IF('Raw profile'!AT241&gt;0,2,0))</f>
        <v>2</v>
      </c>
      <c r="AV165" s="20">
        <f>IF('Raw profile'!AU138&gt;0,1,IF('Raw profile'!AU241&gt;0,2,0))</f>
        <v>2</v>
      </c>
      <c r="AW165" s="20">
        <f>IF('Raw profile'!AV138&gt;0,1,IF('Raw profile'!AV241&gt;0,2,0))</f>
        <v>2</v>
      </c>
      <c r="AX165" s="20">
        <f>IF('Raw profile'!AW138&gt;0,1,IF('Raw profile'!AW241&gt;0,2,0))</f>
        <v>2</v>
      </c>
      <c r="AY165" s="20">
        <f>IF('Raw profile'!AX138&gt;0,1,IF('Raw profile'!AX241&gt;0,2,0))</f>
        <v>2</v>
      </c>
      <c r="AZ165" s="20">
        <f>IF('Raw profile'!AY138&gt;0,1,IF('Raw profile'!AY241&gt;0,2,0))</f>
        <v>2</v>
      </c>
      <c r="BA165" s="20">
        <f>IF('Raw profile'!AZ138&gt;0,1,IF('Raw profile'!AZ241&gt;0,2,0))</f>
        <v>2</v>
      </c>
      <c r="BB165" s="20">
        <f>IF('Raw profile'!BA138&gt;0,1,IF('Raw profile'!BA241&gt;0,2,0))</f>
        <v>2</v>
      </c>
      <c r="BC165" s="20">
        <f>IF('Raw profile'!BB138&gt;0,1,IF('Raw profile'!BB241&gt;0,2,0))</f>
        <v>2</v>
      </c>
      <c r="BD165" s="20">
        <f>IF('Raw profile'!BC138&gt;0,1,IF('Raw profile'!BC241&gt;0,2,0))</f>
        <v>0</v>
      </c>
      <c r="BE165" s="20">
        <f>IF('Raw profile'!BD138&gt;0,1,IF('Raw profile'!BD241&gt;0,2,0))</f>
        <v>0</v>
      </c>
      <c r="BF165" s="20">
        <f>IF('Raw profile'!BE138&gt;0,1,IF('Raw profile'!BE241&gt;0,2,0))</f>
        <v>0</v>
      </c>
      <c r="BG165" s="20">
        <f>IF('Raw profile'!BF138&gt;0,1,IF('Raw profile'!BF241&gt;0,2,0))</f>
        <v>0</v>
      </c>
      <c r="BH165" s="20">
        <f>IF('Raw profile'!BG138&gt;0,1,IF('Raw profile'!BG241&gt;0,2,0))</f>
        <v>0</v>
      </c>
      <c r="BI165" s="20">
        <f>IF('Raw profile'!BH138&gt;0,1,IF('Raw profile'!BH241&gt;0,2,0))</f>
        <v>0</v>
      </c>
      <c r="BJ165" s="20">
        <f>IF('Raw profile'!BI138&gt;0,1,IF('Raw profile'!BI241&gt;0,2,0))</f>
        <v>0</v>
      </c>
      <c r="BK165" s="21">
        <f>IF('Raw profile'!BJ138&gt;0,1,IF('Raw profile'!BJ241&gt;0,2,0))</f>
        <v>0</v>
      </c>
    </row>
    <row r="166" spans="1:63" x14ac:dyDescent="0.3">
      <c r="B166" s="13" t="s">
        <v>4</v>
      </c>
      <c r="C166" s="19">
        <f>'Growth profile'!I30</f>
        <v>2026</v>
      </c>
      <c r="D166" s="20">
        <f>IF('Growth profile'!C138&gt;0,1,IF('Growth profile'!C241&gt;0,3,0))</f>
        <v>1</v>
      </c>
      <c r="E166" s="20">
        <f>IF('Growth profile'!D138&gt;0,1,IF('Growth profile'!D241&gt;0,3,0))</f>
        <v>3</v>
      </c>
      <c r="F166" s="20">
        <f>IF('Growth profile'!E138&gt;0,1,IF('Growth profile'!E241&gt;0,3,0))</f>
        <v>3</v>
      </c>
      <c r="G166" s="20">
        <f>IF('Growth profile'!F138&gt;0,1,IF('Growth profile'!F241&gt;0,3,0))</f>
        <v>3</v>
      </c>
      <c r="H166" s="20">
        <f>IF('Growth profile'!G138&gt;0,1,IF('Growth profile'!G241&gt;0,3,0))</f>
        <v>3</v>
      </c>
      <c r="I166" s="20">
        <f>IF('Growth profile'!H138&gt;0,1,IF('Growth profile'!H241&gt;0,3,0))</f>
        <v>3</v>
      </c>
      <c r="J166" s="20">
        <f>IF('Growth profile'!I138&gt;0,1,IF('Growth profile'!I241&gt;0,3,0))</f>
        <v>3</v>
      </c>
      <c r="K166" s="20">
        <f>IF('Growth profile'!J138&gt;0,1,IF('Growth profile'!J241&gt;0,3,0))</f>
        <v>3</v>
      </c>
      <c r="L166" s="20">
        <f>IF('Growth profile'!K138&gt;0,1,IF('Growth profile'!K241&gt;0,3,0))</f>
        <v>3</v>
      </c>
      <c r="M166" s="20">
        <f>IF('Growth profile'!L138&gt;0,1,IF('Growth profile'!L241&gt;0,3,0))</f>
        <v>3</v>
      </c>
      <c r="N166" s="20">
        <f>IF('Growth profile'!M138&gt;0,1,IF('Growth profile'!M241&gt;0,3,0))</f>
        <v>3</v>
      </c>
      <c r="O166" s="20">
        <f>IF('Growth profile'!N138&gt;0,1,IF('Growth profile'!N241&gt;0,3,0))</f>
        <v>3</v>
      </c>
      <c r="P166" s="20">
        <f>IF('Growth profile'!O138&gt;0,1,IF('Growth profile'!O241&gt;0,3,0))</f>
        <v>3</v>
      </c>
      <c r="Q166" s="20">
        <f>IF('Growth profile'!P138&gt;0,1,IF('Growth profile'!P241&gt;0,3,0))</f>
        <v>3</v>
      </c>
      <c r="R166" s="20">
        <f>IF('Growth profile'!Q138&gt;0,1,IF('Growth profile'!Q241&gt;0,3,0))</f>
        <v>3</v>
      </c>
      <c r="S166" s="20">
        <f>IF('Growth profile'!R138&gt;0,1,IF('Growth profile'!R241&gt;0,3,0))</f>
        <v>3</v>
      </c>
      <c r="T166" s="20">
        <f>IF('Growth profile'!S138&gt;0,1,IF('Growth profile'!S241&gt;0,3,0))</f>
        <v>3</v>
      </c>
      <c r="U166" s="20">
        <f>IF('Growth profile'!T138&gt;0,1,IF('Growth profile'!T241&gt;0,3,0))</f>
        <v>3</v>
      </c>
      <c r="V166" s="20">
        <f>IF('Growth profile'!U138&gt;0,1,IF('Growth profile'!U241&gt;0,3,0))</f>
        <v>3</v>
      </c>
      <c r="W166" s="20">
        <f>IF('Growth profile'!V138&gt;0,1,IF('Growth profile'!V241&gt;0,3,0))</f>
        <v>3</v>
      </c>
      <c r="X166" s="20">
        <f>IF('Growth profile'!W138&gt;0,1,IF('Growth profile'!W241&gt;0,3,0))</f>
        <v>3</v>
      </c>
      <c r="Y166" s="20">
        <f>IF('Growth profile'!X138&gt;0,1,IF('Growth profile'!X241&gt;0,3,0))</f>
        <v>3</v>
      </c>
      <c r="Z166" s="20">
        <f>IF('Growth profile'!Y138&gt;0,1,IF('Growth profile'!Y241&gt;0,3,0))</f>
        <v>3</v>
      </c>
      <c r="AA166" s="20">
        <f>IF('Growth profile'!Z138&gt;0,1,IF('Growth profile'!Z241&gt;0,3,0))</f>
        <v>3</v>
      </c>
      <c r="AB166" s="20">
        <f>IF('Growth profile'!AA138&gt;0,1,IF('Growth profile'!AA241&gt;0,3,0))</f>
        <v>3</v>
      </c>
      <c r="AC166" s="20">
        <f>IF('Growth profile'!AB138&gt;0,1,IF('Growth profile'!AB241&gt;0,3,0))</f>
        <v>3</v>
      </c>
      <c r="AD166" s="20">
        <f>IF('Growth profile'!AC138&gt;0,1,IF('Growth profile'!AC241&gt;0,3,0))</f>
        <v>3</v>
      </c>
      <c r="AE166" s="20">
        <f>IF('Growth profile'!AD138&gt;0,1,IF('Growth profile'!AD241&gt;0,3,0))</f>
        <v>3</v>
      </c>
      <c r="AF166" s="20">
        <f>IF('Growth profile'!AE138&gt;0,1,IF('Growth profile'!AE241&gt;0,3,0))</f>
        <v>3</v>
      </c>
      <c r="AG166" s="20">
        <f>IF('Growth profile'!AF138&gt;0,1,IF('Growth profile'!AF241&gt;0,3,0))</f>
        <v>3</v>
      </c>
      <c r="AH166" s="20">
        <f>IF('Growth profile'!AG138&gt;0,1,IF('Growth profile'!AG241&gt;0,3,0))</f>
        <v>3</v>
      </c>
      <c r="AI166" s="20">
        <f>IF('Growth profile'!AH138&gt;0,1,IF('Growth profile'!AH241&gt;0,3,0))</f>
        <v>3</v>
      </c>
      <c r="AJ166" s="20">
        <f>IF('Growth profile'!AI138&gt;0,1,IF('Growth profile'!AI241&gt;0,3,0))</f>
        <v>3</v>
      </c>
      <c r="AK166" s="20">
        <f>IF('Growth profile'!AJ138&gt;0,1,IF('Growth profile'!AJ241&gt;0,3,0))</f>
        <v>3</v>
      </c>
      <c r="AL166" s="20">
        <f>IF('Growth profile'!AK138&gt;0,1,IF('Growth profile'!AK241&gt;0,3,0))</f>
        <v>3</v>
      </c>
      <c r="AM166" s="20">
        <f>IF('Growth profile'!AL138&gt;0,1,IF('Growth profile'!AL241&gt;0,3,0))</f>
        <v>3</v>
      </c>
      <c r="AN166" s="20">
        <f>IF('Growth profile'!AM138&gt;0,1,IF('Growth profile'!AM241&gt;0,3,0))</f>
        <v>3</v>
      </c>
      <c r="AO166" s="20">
        <f>IF('Growth profile'!AN138&gt;0,1,IF('Growth profile'!AN241&gt;0,3,0))</f>
        <v>3</v>
      </c>
      <c r="AP166" s="20">
        <f>IF('Growth profile'!AO138&gt;0,1,IF('Growth profile'!AO241&gt;0,3,0))</f>
        <v>3</v>
      </c>
      <c r="AQ166" s="20">
        <f>IF('Growth profile'!AP138&gt;0,1,IF('Growth profile'!AP241&gt;0,3,0))</f>
        <v>3</v>
      </c>
      <c r="AR166" s="20">
        <f>IF('Growth profile'!AQ138&gt;0,1,IF('Growth profile'!AQ241&gt;0,3,0))</f>
        <v>3</v>
      </c>
      <c r="AS166" s="20">
        <f>IF('Growth profile'!AR138&gt;0,1,IF('Growth profile'!AR241&gt;0,3,0))</f>
        <v>0</v>
      </c>
      <c r="AT166" s="20">
        <f>IF('Growth profile'!AS138&gt;0,1,IF('Growth profile'!AS241&gt;0,3,0))</f>
        <v>0</v>
      </c>
      <c r="AU166" s="20">
        <f>IF('Growth profile'!AT138&gt;0,1,IF('Growth profile'!AT241&gt;0,3,0))</f>
        <v>0</v>
      </c>
      <c r="AV166" s="20">
        <f>IF('Growth profile'!AU138&gt;0,1,IF('Growth profile'!AU241&gt;0,3,0))</f>
        <v>0</v>
      </c>
      <c r="AW166" s="20">
        <f>IF('Growth profile'!AV138&gt;0,1,IF('Growth profile'!AV241&gt;0,3,0))</f>
        <v>0</v>
      </c>
      <c r="AX166" s="20">
        <f>IF('Growth profile'!AW138&gt;0,1,IF('Growth profile'!AW241&gt;0,3,0))</f>
        <v>0</v>
      </c>
      <c r="AY166" s="20">
        <f>IF('Growth profile'!AX138&gt;0,1,IF('Growth profile'!AX241&gt;0,3,0))</f>
        <v>0</v>
      </c>
      <c r="AZ166" s="20">
        <f>IF('Growth profile'!AY138&gt;0,1,IF('Growth profile'!AY241&gt;0,3,0))</f>
        <v>0</v>
      </c>
      <c r="BA166" s="20">
        <f>IF('Growth profile'!AZ138&gt;0,1,IF('Growth profile'!AZ241&gt;0,3,0))</f>
        <v>0</v>
      </c>
      <c r="BB166" s="20">
        <f>IF('Growth profile'!BA138&gt;0,1,IF('Growth profile'!BA241&gt;0,3,0))</f>
        <v>0</v>
      </c>
      <c r="BC166" s="20">
        <f>IF('Growth profile'!BB138&gt;0,1,IF('Growth profile'!BB241&gt;0,3,0))</f>
        <v>0</v>
      </c>
      <c r="BD166" s="20">
        <f>IF('Growth profile'!BC138&gt;0,1,IF('Growth profile'!BC241&gt;0,3,0))</f>
        <v>0</v>
      </c>
      <c r="BE166" s="20">
        <f>IF('Growth profile'!BD138&gt;0,1,IF('Growth profile'!BD241&gt;0,3,0))</f>
        <v>0</v>
      </c>
      <c r="BF166" s="20">
        <f>IF('Growth profile'!BE138&gt;0,1,IF('Growth profile'!BE241&gt;0,3,0))</f>
        <v>0</v>
      </c>
      <c r="BG166" s="20">
        <f>IF('Growth profile'!BF138&gt;0,1,IF('Growth profile'!BF241&gt;0,3,0))</f>
        <v>0</v>
      </c>
      <c r="BH166" s="20">
        <f>IF('Growth profile'!BG138&gt;0,1,IF('Growth profile'!BG241&gt;0,3,0))</f>
        <v>0</v>
      </c>
      <c r="BI166" s="20">
        <f>IF('Growth profile'!BH138&gt;0,1,IF('Growth profile'!BH241&gt;0,3,0))</f>
        <v>0</v>
      </c>
      <c r="BJ166" s="20">
        <f>IF('Growth profile'!BI138&gt;0,1,IF('Growth profile'!BI241&gt;0,3,0))</f>
        <v>0</v>
      </c>
      <c r="BK166" s="21">
        <f>IF('Growth profile'!BJ138&gt;0,1,IF('Growth profile'!BJ241&gt;0,3,0))</f>
        <v>0</v>
      </c>
    </row>
    <row r="167" spans="1:63" x14ac:dyDescent="0.3">
      <c r="B167" s="13" t="s">
        <v>59</v>
      </c>
      <c r="C167" s="19">
        <f>'Growth (no penalty)'!I30</f>
        <v>2045</v>
      </c>
      <c r="D167" s="22">
        <f>IF('Growth (no penalty)'!C138&gt;0,1,IF('Growth (no penalty)'!C241&gt;0,4,0))</f>
        <v>0</v>
      </c>
      <c r="E167" s="22">
        <f>IF('Growth (no penalty)'!D138&gt;0,1,IF('Growth (no penalty)'!D241&gt;0,4,0))</f>
        <v>0</v>
      </c>
      <c r="F167" s="22">
        <f>IF('Growth (no penalty)'!E138&gt;0,1,IF('Growth (no penalty)'!E241&gt;0,4,0))</f>
        <v>0</v>
      </c>
      <c r="G167" s="22">
        <f>IF('Growth (no penalty)'!F138&gt;0,1,IF('Growth (no penalty)'!F241&gt;0,4,0))</f>
        <v>0</v>
      </c>
      <c r="H167" s="22">
        <f>IF('Growth (no penalty)'!G138&gt;0,1,IF('Growth (no penalty)'!G241&gt;0,4,0))</f>
        <v>0</v>
      </c>
      <c r="I167" s="22">
        <f>IF('Growth (no penalty)'!H138&gt;0,1,IF('Growth (no penalty)'!H241&gt;0,4,0))</f>
        <v>0</v>
      </c>
      <c r="J167" s="22">
        <f>IF('Growth (no penalty)'!I138&gt;0,1,IF('Growth (no penalty)'!I241&gt;0,4,0))</f>
        <v>0</v>
      </c>
      <c r="K167" s="22">
        <f>IF('Growth (no penalty)'!J138&gt;0,1,IF('Growth (no penalty)'!J241&gt;0,4,0))</f>
        <v>0</v>
      </c>
      <c r="L167" s="22">
        <f>IF('Growth (no penalty)'!K138&gt;0,1,IF('Growth (no penalty)'!K241&gt;0,4,0))</f>
        <v>0</v>
      </c>
      <c r="M167" s="22">
        <f>IF('Growth (no penalty)'!L138&gt;0,1,IF('Growth (no penalty)'!L241&gt;0,4,0))</f>
        <v>0</v>
      </c>
      <c r="N167" s="22">
        <f>IF('Growth (no penalty)'!M138&gt;0,1,IF('Growth (no penalty)'!M241&gt;0,4,0))</f>
        <v>0</v>
      </c>
      <c r="O167" s="22">
        <f>IF('Growth (no penalty)'!N138&gt;0,1,IF('Growth (no penalty)'!N241&gt;0,4,0))</f>
        <v>0</v>
      </c>
      <c r="P167" s="22">
        <f>IF('Growth (no penalty)'!O138&gt;0,1,IF('Growth (no penalty)'!O241&gt;0,4,0))</f>
        <v>0</v>
      </c>
      <c r="Q167" s="22">
        <f>IF('Growth (no penalty)'!P138&gt;0,1,IF('Growth (no penalty)'!P241&gt;0,4,0))</f>
        <v>0</v>
      </c>
      <c r="R167" s="22">
        <f>IF('Growth (no penalty)'!Q138&gt;0,1,IF('Growth (no penalty)'!Q241&gt;0,4,0))</f>
        <v>0</v>
      </c>
      <c r="S167" s="22">
        <f>IF('Growth (no penalty)'!R138&gt;0,1,IF('Growth (no penalty)'!R241&gt;0,4,0))</f>
        <v>0</v>
      </c>
      <c r="T167" s="22">
        <f>IF('Growth (no penalty)'!S138&gt;0,1,IF('Growth (no penalty)'!S241&gt;0,4,0))</f>
        <v>0</v>
      </c>
      <c r="U167" s="22">
        <f>IF('Growth (no penalty)'!T138&gt;0,1,IF('Growth (no penalty)'!T241&gt;0,4,0))</f>
        <v>0</v>
      </c>
      <c r="V167" s="22">
        <f>IF('Growth (no penalty)'!U138&gt;0,1,IF('Growth (no penalty)'!U241&gt;0,4,0))</f>
        <v>0</v>
      </c>
      <c r="W167" s="22">
        <f>IF('Growth (no penalty)'!V138&gt;0,1,IF('Growth (no penalty)'!V241&gt;0,4,0))</f>
        <v>1</v>
      </c>
      <c r="X167" s="22">
        <f>IF('Growth (no penalty)'!W138&gt;0,1,IF('Growth (no penalty)'!W241&gt;0,4,0))</f>
        <v>4</v>
      </c>
      <c r="Y167" s="22">
        <f>IF('Growth (no penalty)'!X138&gt;0,1,IF('Growth (no penalty)'!X241&gt;0,4,0))</f>
        <v>4</v>
      </c>
      <c r="Z167" s="22">
        <f>IF('Growth (no penalty)'!Y138&gt;0,1,IF('Growth (no penalty)'!Y241&gt;0,4,0))</f>
        <v>4</v>
      </c>
      <c r="AA167" s="22">
        <f>IF('Growth (no penalty)'!Z138&gt;0,1,IF('Growth (no penalty)'!Z241&gt;0,4,0))</f>
        <v>4</v>
      </c>
      <c r="AB167" s="22">
        <f>IF('Growth (no penalty)'!AA138&gt;0,1,IF('Growth (no penalty)'!AA241&gt;0,4,0))</f>
        <v>4</v>
      </c>
      <c r="AC167" s="22">
        <f>IF('Growth (no penalty)'!AB138&gt;0,1,IF('Growth (no penalty)'!AB241&gt;0,4,0))</f>
        <v>4</v>
      </c>
      <c r="AD167" s="22">
        <f>IF('Growth (no penalty)'!AC138&gt;0,1,IF('Growth (no penalty)'!AC241&gt;0,4,0))</f>
        <v>4</v>
      </c>
      <c r="AE167" s="22">
        <f>IF('Growth (no penalty)'!AD138&gt;0,1,IF('Growth (no penalty)'!AD241&gt;0,4,0))</f>
        <v>4</v>
      </c>
      <c r="AF167" s="22">
        <f>IF('Growth (no penalty)'!AE138&gt;0,1,IF('Growth (no penalty)'!AE241&gt;0,4,0))</f>
        <v>4</v>
      </c>
      <c r="AG167" s="22">
        <f>IF('Growth (no penalty)'!AF138&gt;0,1,IF('Growth (no penalty)'!AF241&gt;0,4,0))</f>
        <v>4</v>
      </c>
      <c r="AH167" s="22">
        <f>IF('Growth (no penalty)'!AG138&gt;0,1,IF('Growth (no penalty)'!AG241&gt;0,4,0))</f>
        <v>4</v>
      </c>
      <c r="AI167" s="22">
        <f>IF('Growth (no penalty)'!AH138&gt;0,1,IF('Growth (no penalty)'!AH241&gt;0,4,0))</f>
        <v>4</v>
      </c>
      <c r="AJ167" s="22">
        <f>IF('Growth (no penalty)'!AI138&gt;0,1,IF('Growth (no penalty)'!AI241&gt;0,4,0))</f>
        <v>4</v>
      </c>
      <c r="AK167" s="22">
        <f>IF('Growth (no penalty)'!AJ138&gt;0,1,IF('Growth (no penalty)'!AJ241&gt;0,4,0))</f>
        <v>4</v>
      </c>
      <c r="AL167" s="22">
        <f>IF('Growth (no penalty)'!AK138&gt;0,1,IF('Growth (no penalty)'!AK241&gt;0,4,0))</f>
        <v>4</v>
      </c>
      <c r="AM167" s="22">
        <f>IF('Growth (no penalty)'!AL138&gt;0,1,IF('Growth (no penalty)'!AL241&gt;0,4,0))</f>
        <v>4</v>
      </c>
      <c r="AN167" s="22">
        <f>IF('Growth (no penalty)'!AM138&gt;0,1,IF('Growth (no penalty)'!AM241&gt;0,4,0))</f>
        <v>4</v>
      </c>
      <c r="AO167" s="22">
        <f>IF('Growth (no penalty)'!AN138&gt;0,1,IF('Growth (no penalty)'!AN241&gt;0,4,0))</f>
        <v>4</v>
      </c>
      <c r="AP167" s="22">
        <f>IF('Growth (no penalty)'!AO138&gt;0,1,IF('Growth (no penalty)'!AO241&gt;0,4,0))</f>
        <v>4</v>
      </c>
      <c r="AQ167" s="22">
        <f>IF('Growth (no penalty)'!AP138&gt;0,1,IF('Growth (no penalty)'!AP241&gt;0,4,0))</f>
        <v>4</v>
      </c>
      <c r="AR167" s="22">
        <f>IF('Growth (no penalty)'!AQ138&gt;0,1,IF('Growth (no penalty)'!AQ241&gt;0,4,0))</f>
        <v>4</v>
      </c>
      <c r="AS167" s="22">
        <f>IF('Growth (no penalty)'!AR138&gt;0,1,IF('Growth (no penalty)'!AR241&gt;0,4,0))</f>
        <v>4</v>
      </c>
      <c r="AT167" s="22">
        <f>IF('Growth (no penalty)'!AS138&gt;0,1,IF('Growth (no penalty)'!AS241&gt;0,4,0))</f>
        <v>4</v>
      </c>
      <c r="AU167" s="22">
        <f>IF('Growth (no penalty)'!AT138&gt;0,1,IF('Growth (no penalty)'!AT241&gt;0,4,0))</f>
        <v>4</v>
      </c>
      <c r="AV167" s="22">
        <f>IF('Growth (no penalty)'!AU138&gt;0,1,IF('Growth (no penalty)'!AU241&gt;0,4,0))</f>
        <v>4</v>
      </c>
      <c r="AW167" s="22">
        <f>IF('Growth (no penalty)'!AV138&gt;0,1,IF('Growth (no penalty)'!AV241&gt;0,4,0))</f>
        <v>4</v>
      </c>
      <c r="AX167" s="22">
        <f>IF('Growth (no penalty)'!AW138&gt;0,1,IF('Growth (no penalty)'!AW241&gt;0,4,0))</f>
        <v>4</v>
      </c>
      <c r="AY167" s="22">
        <f>IF('Growth (no penalty)'!AX138&gt;0,1,IF('Growth (no penalty)'!AX241&gt;0,4,0))</f>
        <v>4</v>
      </c>
      <c r="AZ167" s="22">
        <f>IF('Growth (no penalty)'!AY138&gt;0,1,IF('Growth (no penalty)'!AY241&gt;0,4,0))</f>
        <v>4</v>
      </c>
      <c r="BA167" s="22">
        <f>IF('Growth (no penalty)'!AZ138&gt;0,1,IF('Growth (no penalty)'!AZ241&gt;0,4,0))</f>
        <v>4</v>
      </c>
      <c r="BB167" s="22">
        <f>IF('Growth (no penalty)'!BA138&gt;0,1,IF('Growth (no penalty)'!BA241&gt;0,4,0))</f>
        <v>4</v>
      </c>
      <c r="BC167" s="22">
        <f>IF('Growth (no penalty)'!BB138&gt;0,1,IF('Growth (no penalty)'!BB241&gt;0,4,0))</f>
        <v>4</v>
      </c>
      <c r="BD167" s="22">
        <f>IF('Growth (no penalty)'!BC138&gt;0,1,IF('Growth (no penalty)'!BC241&gt;0,4,0))</f>
        <v>4</v>
      </c>
      <c r="BE167" s="22">
        <f>IF('Growth (no penalty)'!BD138&gt;0,1,IF('Growth (no penalty)'!BD241&gt;0,4,0))</f>
        <v>4</v>
      </c>
      <c r="BF167" s="22">
        <f>IF('Growth (no penalty)'!BE138&gt;0,1,IF('Growth (no penalty)'!BE241&gt;0,4,0))</f>
        <v>4</v>
      </c>
      <c r="BG167" s="22">
        <f>IF('Growth (no penalty)'!BF138&gt;0,1,IF('Growth (no penalty)'!BF241&gt;0,4,0))</f>
        <v>4</v>
      </c>
      <c r="BH167" s="22">
        <f>IF('Growth (no penalty)'!BG138&gt;0,1,IF('Growth (no penalty)'!BG241&gt;0,4,0))</f>
        <v>4</v>
      </c>
      <c r="BI167" s="22">
        <f>IF('Growth (no penalty)'!BH138&gt;0,1,IF('Growth (no penalty)'!BH241&gt;0,4,0))</f>
        <v>4</v>
      </c>
      <c r="BJ167" s="22">
        <f>IF('Growth (no penalty)'!BI138&gt;0,1,IF('Growth (no penalty)'!BI241&gt;0,4,0))</f>
        <v>4</v>
      </c>
      <c r="BK167" s="23">
        <f>IF('Growth (no penalty)'!BJ138&gt;0,1,IF('Growth (no penalty)'!BJ241&gt;0,4,0))</f>
        <v>4</v>
      </c>
    </row>
    <row r="168" spans="1:63" x14ac:dyDescent="0.3">
      <c r="A168" s="4" t="str">
        <f>'Growth profile'!A34</f>
        <v>project 23</v>
      </c>
      <c r="B168" s="13" t="s">
        <v>3</v>
      </c>
      <c r="C168" s="19">
        <f>'Raw profile'!I34</f>
        <v>2037</v>
      </c>
      <c r="D168" s="20">
        <f>IF('Raw profile'!C142&gt;0,1,IF('Raw profile'!C245&gt;0,2,0))</f>
        <v>0</v>
      </c>
      <c r="E168" s="20">
        <f>IF('Raw profile'!D142&gt;0,1,IF('Raw profile'!D245&gt;0,2,0))</f>
        <v>0</v>
      </c>
      <c r="F168" s="20">
        <f>IF('Raw profile'!E142&gt;0,1,IF('Raw profile'!E245&gt;0,2,0))</f>
        <v>0</v>
      </c>
      <c r="G168" s="20">
        <f>IF('Raw profile'!F142&gt;0,1,IF('Raw profile'!F245&gt;0,2,0))</f>
        <v>0</v>
      </c>
      <c r="H168" s="20">
        <f>IF('Raw profile'!G142&gt;0,1,IF('Raw profile'!G245&gt;0,2,0))</f>
        <v>0</v>
      </c>
      <c r="I168" s="20">
        <f>IF('Raw profile'!H142&gt;0,1,IF('Raw profile'!H245&gt;0,2,0))</f>
        <v>0</v>
      </c>
      <c r="J168" s="20">
        <f>IF('Raw profile'!I142&gt;0,1,IF('Raw profile'!I245&gt;0,2,0))</f>
        <v>0</v>
      </c>
      <c r="K168" s="20">
        <f>IF('Raw profile'!J142&gt;0,1,IF('Raw profile'!J245&gt;0,2,0))</f>
        <v>0</v>
      </c>
      <c r="L168" s="20">
        <f>IF('Raw profile'!K142&gt;0,1,IF('Raw profile'!K245&gt;0,2,0))</f>
        <v>0</v>
      </c>
      <c r="M168" s="20">
        <f>IF('Raw profile'!L142&gt;0,1,IF('Raw profile'!L245&gt;0,2,0))</f>
        <v>0</v>
      </c>
      <c r="N168" s="20">
        <f>IF('Raw profile'!M142&gt;0,1,IF('Raw profile'!M245&gt;0,2,0))</f>
        <v>0</v>
      </c>
      <c r="O168" s="20">
        <f>IF('Raw profile'!N142&gt;0,1,IF('Raw profile'!N245&gt;0,2,0))</f>
        <v>1</v>
      </c>
      <c r="P168" s="20">
        <f>IF('Raw profile'!O142&gt;0,1,IF('Raw profile'!O245&gt;0,2,0))</f>
        <v>2</v>
      </c>
      <c r="Q168" s="20">
        <f>IF('Raw profile'!P142&gt;0,1,IF('Raw profile'!P245&gt;0,2,0))</f>
        <v>2</v>
      </c>
      <c r="R168" s="20">
        <f>IF('Raw profile'!Q142&gt;0,1,IF('Raw profile'!Q245&gt;0,2,0))</f>
        <v>2</v>
      </c>
      <c r="S168" s="20">
        <f>IF('Raw profile'!R142&gt;0,1,IF('Raw profile'!R245&gt;0,2,0))</f>
        <v>2</v>
      </c>
      <c r="T168" s="20">
        <f>IF('Raw profile'!S142&gt;0,1,IF('Raw profile'!S245&gt;0,2,0))</f>
        <v>2</v>
      </c>
      <c r="U168" s="20">
        <f>IF('Raw profile'!T142&gt;0,1,IF('Raw profile'!T245&gt;0,2,0))</f>
        <v>2</v>
      </c>
      <c r="V168" s="20">
        <f>IF('Raw profile'!U142&gt;0,1,IF('Raw profile'!U245&gt;0,2,0))</f>
        <v>2</v>
      </c>
      <c r="W168" s="20">
        <f>IF('Raw profile'!V142&gt;0,1,IF('Raw profile'!V245&gt;0,2,0))</f>
        <v>2</v>
      </c>
      <c r="X168" s="20">
        <f>IF('Raw profile'!W142&gt;0,1,IF('Raw profile'!W245&gt;0,2,0))</f>
        <v>2</v>
      </c>
      <c r="Y168" s="20">
        <f>IF('Raw profile'!X142&gt;0,1,IF('Raw profile'!X245&gt;0,2,0))</f>
        <v>2</v>
      </c>
      <c r="Z168" s="20">
        <f>IF('Raw profile'!Y142&gt;0,1,IF('Raw profile'!Y245&gt;0,2,0))</f>
        <v>2</v>
      </c>
      <c r="AA168" s="20">
        <f>IF('Raw profile'!Z142&gt;0,1,IF('Raw profile'!Z245&gt;0,2,0))</f>
        <v>2</v>
      </c>
      <c r="AB168" s="20">
        <f>IF('Raw profile'!AA142&gt;0,1,IF('Raw profile'!AA245&gt;0,2,0))</f>
        <v>2</v>
      </c>
      <c r="AC168" s="20">
        <f>IF('Raw profile'!AB142&gt;0,1,IF('Raw profile'!AB245&gt;0,2,0))</f>
        <v>2</v>
      </c>
      <c r="AD168" s="20">
        <f>IF('Raw profile'!AC142&gt;0,1,IF('Raw profile'!AC245&gt;0,2,0))</f>
        <v>2</v>
      </c>
      <c r="AE168" s="20">
        <f>IF('Raw profile'!AD142&gt;0,1,IF('Raw profile'!AD245&gt;0,2,0))</f>
        <v>2</v>
      </c>
      <c r="AF168" s="20">
        <f>IF('Raw profile'!AE142&gt;0,1,IF('Raw profile'!AE245&gt;0,2,0))</f>
        <v>2</v>
      </c>
      <c r="AG168" s="20">
        <f>IF('Raw profile'!AF142&gt;0,1,IF('Raw profile'!AF245&gt;0,2,0))</f>
        <v>2</v>
      </c>
      <c r="AH168" s="20">
        <f>IF('Raw profile'!AG142&gt;0,1,IF('Raw profile'!AG245&gt;0,2,0))</f>
        <v>2</v>
      </c>
      <c r="AI168" s="20">
        <f>IF('Raw profile'!AH142&gt;0,1,IF('Raw profile'!AH245&gt;0,2,0))</f>
        <v>2</v>
      </c>
      <c r="AJ168" s="20">
        <f>IF('Raw profile'!AI142&gt;0,1,IF('Raw profile'!AI245&gt;0,2,0))</f>
        <v>2</v>
      </c>
      <c r="AK168" s="20">
        <f>IF('Raw profile'!AJ142&gt;0,1,IF('Raw profile'!AJ245&gt;0,2,0))</f>
        <v>2</v>
      </c>
      <c r="AL168" s="20">
        <f>IF('Raw profile'!AK142&gt;0,1,IF('Raw profile'!AK245&gt;0,2,0))</f>
        <v>2</v>
      </c>
      <c r="AM168" s="20">
        <f>IF('Raw profile'!AL142&gt;0,1,IF('Raw profile'!AL245&gt;0,2,0))</f>
        <v>2</v>
      </c>
      <c r="AN168" s="20">
        <f>IF('Raw profile'!AM142&gt;0,1,IF('Raw profile'!AM245&gt;0,2,0))</f>
        <v>2</v>
      </c>
      <c r="AO168" s="20">
        <f>IF('Raw profile'!AN142&gt;0,1,IF('Raw profile'!AN245&gt;0,2,0))</f>
        <v>2</v>
      </c>
      <c r="AP168" s="20">
        <f>IF('Raw profile'!AO142&gt;0,1,IF('Raw profile'!AO245&gt;0,2,0))</f>
        <v>2</v>
      </c>
      <c r="AQ168" s="20">
        <f>IF('Raw profile'!AP142&gt;0,1,IF('Raw profile'!AP245&gt;0,2,0))</f>
        <v>2</v>
      </c>
      <c r="AR168" s="20">
        <f>IF('Raw profile'!AQ142&gt;0,1,IF('Raw profile'!AQ245&gt;0,2,0))</f>
        <v>2</v>
      </c>
      <c r="AS168" s="20">
        <f>IF('Raw profile'!AR142&gt;0,1,IF('Raw profile'!AR245&gt;0,2,0))</f>
        <v>2</v>
      </c>
      <c r="AT168" s="20">
        <f>IF('Raw profile'!AS142&gt;0,1,IF('Raw profile'!AS245&gt;0,2,0))</f>
        <v>2</v>
      </c>
      <c r="AU168" s="20">
        <f>IF('Raw profile'!AT142&gt;0,1,IF('Raw profile'!AT245&gt;0,2,0))</f>
        <v>2</v>
      </c>
      <c r="AV168" s="20">
        <f>IF('Raw profile'!AU142&gt;0,1,IF('Raw profile'!AU245&gt;0,2,0))</f>
        <v>2</v>
      </c>
      <c r="AW168" s="20">
        <f>IF('Raw profile'!AV142&gt;0,1,IF('Raw profile'!AV245&gt;0,2,0))</f>
        <v>2</v>
      </c>
      <c r="AX168" s="20">
        <f>IF('Raw profile'!AW142&gt;0,1,IF('Raw profile'!AW245&gt;0,2,0))</f>
        <v>2</v>
      </c>
      <c r="AY168" s="20">
        <f>IF('Raw profile'!AX142&gt;0,1,IF('Raw profile'!AX245&gt;0,2,0))</f>
        <v>2</v>
      </c>
      <c r="AZ168" s="20">
        <f>IF('Raw profile'!AY142&gt;0,1,IF('Raw profile'!AY245&gt;0,2,0))</f>
        <v>2</v>
      </c>
      <c r="BA168" s="20">
        <f>IF('Raw profile'!AZ142&gt;0,1,IF('Raw profile'!AZ245&gt;0,2,0))</f>
        <v>2</v>
      </c>
      <c r="BB168" s="20">
        <f>IF('Raw profile'!BA142&gt;0,1,IF('Raw profile'!BA245&gt;0,2,0))</f>
        <v>2</v>
      </c>
      <c r="BC168" s="20">
        <f>IF('Raw profile'!BB142&gt;0,1,IF('Raw profile'!BB245&gt;0,2,0))</f>
        <v>2</v>
      </c>
      <c r="BD168" s="20">
        <f>IF('Raw profile'!BC142&gt;0,1,IF('Raw profile'!BC245&gt;0,2,0))</f>
        <v>0</v>
      </c>
      <c r="BE168" s="20">
        <f>IF('Raw profile'!BD142&gt;0,1,IF('Raw profile'!BD245&gt;0,2,0))</f>
        <v>0</v>
      </c>
      <c r="BF168" s="20">
        <f>IF('Raw profile'!BE142&gt;0,1,IF('Raw profile'!BE245&gt;0,2,0))</f>
        <v>0</v>
      </c>
      <c r="BG168" s="20">
        <f>IF('Raw profile'!BF142&gt;0,1,IF('Raw profile'!BF245&gt;0,2,0))</f>
        <v>0</v>
      </c>
      <c r="BH168" s="20">
        <f>IF('Raw profile'!BG142&gt;0,1,IF('Raw profile'!BG245&gt;0,2,0))</f>
        <v>0</v>
      </c>
      <c r="BI168" s="20">
        <f>IF('Raw profile'!BH142&gt;0,1,IF('Raw profile'!BH245&gt;0,2,0))</f>
        <v>0</v>
      </c>
      <c r="BJ168" s="20">
        <f>IF('Raw profile'!BI142&gt;0,1,IF('Raw profile'!BI245&gt;0,2,0))</f>
        <v>0</v>
      </c>
      <c r="BK168" s="21">
        <f>IF('Raw profile'!BJ142&gt;0,1,IF('Raw profile'!BJ245&gt;0,2,0))</f>
        <v>0</v>
      </c>
    </row>
    <row r="169" spans="1:63" x14ac:dyDescent="0.3">
      <c r="B169" s="13" t="s">
        <v>4</v>
      </c>
      <c r="C169" s="19">
        <f>'Growth profile'!I34</f>
        <v>2026</v>
      </c>
      <c r="D169" s="20">
        <f>IF('Growth profile'!C142&gt;0,1,IF('Growth profile'!C245&gt;0,3,0))</f>
        <v>1</v>
      </c>
      <c r="E169" s="20">
        <f>IF('Growth profile'!D142&gt;0,1,IF('Growth profile'!D245&gt;0,3,0))</f>
        <v>3</v>
      </c>
      <c r="F169" s="20">
        <f>IF('Growth profile'!E142&gt;0,1,IF('Growth profile'!E245&gt;0,3,0))</f>
        <v>3</v>
      </c>
      <c r="G169" s="20">
        <f>IF('Growth profile'!F142&gt;0,1,IF('Growth profile'!F245&gt;0,3,0))</f>
        <v>3</v>
      </c>
      <c r="H169" s="20">
        <f>IF('Growth profile'!G142&gt;0,1,IF('Growth profile'!G245&gt;0,3,0))</f>
        <v>3</v>
      </c>
      <c r="I169" s="20">
        <f>IF('Growth profile'!H142&gt;0,1,IF('Growth profile'!H245&gt;0,3,0))</f>
        <v>3</v>
      </c>
      <c r="J169" s="20">
        <f>IF('Growth profile'!I142&gt;0,1,IF('Growth profile'!I245&gt;0,3,0))</f>
        <v>3</v>
      </c>
      <c r="K169" s="20">
        <f>IF('Growth profile'!J142&gt;0,1,IF('Growth profile'!J245&gt;0,3,0))</f>
        <v>3</v>
      </c>
      <c r="L169" s="20">
        <f>IF('Growth profile'!K142&gt;0,1,IF('Growth profile'!K245&gt;0,3,0))</f>
        <v>3</v>
      </c>
      <c r="M169" s="20">
        <f>IF('Growth profile'!L142&gt;0,1,IF('Growth profile'!L245&gt;0,3,0))</f>
        <v>3</v>
      </c>
      <c r="N169" s="20">
        <f>IF('Growth profile'!M142&gt;0,1,IF('Growth profile'!M245&gt;0,3,0))</f>
        <v>3</v>
      </c>
      <c r="O169" s="20">
        <f>IF('Growth profile'!N142&gt;0,1,IF('Growth profile'!N245&gt;0,3,0))</f>
        <v>3</v>
      </c>
      <c r="P169" s="20">
        <f>IF('Growth profile'!O142&gt;0,1,IF('Growth profile'!O245&gt;0,3,0))</f>
        <v>3</v>
      </c>
      <c r="Q169" s="20">
        <f>IF('Growth profile'!P142&gt;0,1,IF('Growth profile'!P245&gt;0,3,0))</f>
        <v>3</v>
      </c>
      <c r="R169" s="20">
        <f>IF('Growth profile'!Q142&gt;0,1,IF('Growth profile'!Q245&gt;0,3,0))</f>
        <v>3</v>
      </c>
      <c r="S169" s="20">
        <f>IF('Growth profile'!R142&gt;0,1,IF('Growth profile'!R245&gt;0,3,0))</f>
        <v>3</v>
      </c>
      <c r="T169" s="20">
        <f>IF('Growth profile'!S142&gt;0,1,IF('Growth profile'!S245&gt;0,3,0))</f>
        <v>3</v>
      </c>
      <c r="U169" s="20">
        <f>IF('Growth profile'!T142&gt;0,1,IF('Growth profile'!T245&gt;0,3,0))</f>
        <v>3</v>
      </c>
      <c r="V169" s="20">
        <f>IF('Growth profile'!U142&gt;0,1,IF('Growth profile'!U245&gt;0,3,0))</f>
        <v>3</v>
      </c>
      <c r="W169" s="20">
        <f>IF('Growth profile'!V142&gt;0,1,IF('Growth profile'!V245&gt;0,3,0))</f>
        <v>3</v>
      </c>
      <c r="X169" s="20">
        <f>IF('Growth profile'!W142&gt;0,1,IF('Growth profile'!W245&gt;0,3,0))</f>
        <v>3</v>
      </c>
      <c r="Y169" s="20">
        <f>IF('Growth profile'!X142&gt;0,1,IF('Growth profile'!X245&gt;0,3,0))</f>
        <v>3</v>
      </c>
      <c r="Z169" s="20">
        <f>IF('Growth profile'!Y142&gt;0,1,IF('Growth profile'!Y245&gt;0,3,0))</f>
        <v>3</v>
      </c>
      <c r="AA169" s="20">
        <f>IF('Growth profile'!Z142&gt;0,1,IF('Growth profile'!Z245&gt;0,3,0))</f>
        <v>3</v>
      </c>
      <c r="AB169" s="20">
        <f>IF('Growth profile'!AA142&gt;0,1,IF('Growth profile'!AA245&gt;0,3,0))</f>
        <v>3</v>
      </c>
      <c r="AC169" s="20">
        <f>IF('Growth profile'!AB142&gt;0,1,IF('Growth profile'!AB245&gt;0,3,0))</f>
        <v>3</v>
      </c>
      <c r="AD169" s="20">
        <f>IF('Growth profile'!AC142&gt;0,1,IF('Growth profile'!AC245&gt;0,3,0))</f>
        <v>3</v>
      </c>
      <c r="AE169" s="20">
        <f>IF('Growth profile'!AD142&gt;0,1,IF('Growth profile'!AD245&gt;0,3,0))</f>
        <v>3</v>
      </c>
      <c r="AF169" s="20">
        <f>IF('Growth profile'!AE142&gt;0,1,IF('Growth profile'!AE245&gt;0,3,0))</f>
        <v>3</v>
      </c>
      <c r="AG169" s="20">
        <f>IF('Growth profile'!AF142&gt;0,1,IF('Growth profile'!AF245&gt;0,3,0))</f>
        <v>3</v>
      </c>
      <c r="AH169" s="20">
        <f>IF('Growth profile'!AG142&gt;0,1,IF('Growth profile'!AG245&gt;0,3,0))</f>
        <v>3</v>
      </c>
      <c r="AI169" s="20">
        <f>IF('Growth profile'!AH142&gt;0,1,IF('Growth profile'!AH245&gt;0,3,0))</f>
        <v>3</v>
      </c>
      <c r="AJ169" s="20">
        <f>IF('Growth profile'!AI142&gt;0,1,IF('Growth profile'!AI245&gt;0,3,0))</f>
        <v>3</v>
      </c>
      <c r="AK169" s="20">
        <f>IF('Growth profile'!AJ142&gt;0,1,IF('Growth profile'!AJ245&gt;0,3,0))</f>
        <v>3</v>
      </c>
      <c r="AL169" s="20">
        <f>IF('Growth profile'!AK142&gt;0,1,IF('Growth profile'!AK245&gt;0,3,0))</f>
        <v>3</v>
      </c>
      <c r="AM169" s="20">
        <f>IF('Growth profile'!AL142&gt;0,1,IF('Growth profile'!AL245&gt;0,3,0))</f>
        <v>3</v>
      </c>
      <c r="AN169" s="20">
        <f>IF('Growth profile'!AM142&gt;0,1,IF('Growth profile'!AM245&gt;0,3,0))</f>
        <v>3</v>
      </c>
      <c r="AO169" s="20">
        <f>IF('Growth profile'!AN142&gt;0,1,IF('Growth profile'!AN245&gt;0,3,0))</f>
        <v>3</v>
      </c>
      <c r="AP169" s="20">
        <f>IF('Growth profile'!AO142&gt;0,1,IF('Growth profile'!AO245&gt;0,3,0))</f>
        <v>3</v>
      </c>
      <c r="AQ169" s="20">
        <f>IF('Growth profile'!AP142&gt;0,1,IF('Growth profile'!AP245&gt;0,3,0))</f>
        <v>3</v>
      </c>
      <c r="AR169" s="20">
        <f>IF('Growth profile'!AQ142&gt;0,1,IF('Growth profile'!AQ245&gt;0,3,0))</f>
        <v>3</v>
      </c>
      <c r="AS169" s="20">
        <f>IF('Growth profile'!AR142&gt;0,1,IF('Growth profile'!AR245&gt;0,3,0))</f>
        <v>0</v>
      </c>
      <c r="AT169" s="20">
        <f>IF('Growth profile'!AS142&gt;0,1,IF('Growth profile'!AS245&gt;0,3,0))</f>
        <v>0</v>
      </c>
      <c r="AU169" s="20">
        <f>IF('Growth profile'!AT142&gt;0,1,IF('Growth profile'!AT245&gt;0,3,0))</f>
        <v>0</v>
      </c>
      <c r="AV169" s="20">
        <f>IF('Growth profile'!AU142&gt;0,1,IF('Growth profile'!AU245&gt;0,3,0))</f>
        <v>0</v>
      </c>
      <c r="AW169" s="20">
        <f>IF('Growth profile'!AV142&gt;0,1,IF('Growth profile'!AV245&gt;0,3,0))</f>
        <v>0</v>
      </c>
      <c r="AX169" s="20">
        <f>IF('Growth profile'!AW142&gt;0,1,IF('Growth profile'!AW245&gt;0,3,0))</f>
        <v>0</v>
      </c>
      <c r="AY169" s="20">
        <f>IF('Growth profile'!AX142&gt;0,1,IF('Growth profile'!AX245&gt;0,3,0))</f>
        <v>0</v>
      </c>
      <c r="AZ169" s="20">
        <f>IF('Growth profile'!AY142&gt;0,1,IF('Growth profile'!AY245&gt;0,3,0))</f>
        <v>0</v>
      </c>
      <c r="BA169" s="20">
        <f>IF('Growth profile'!AZ142&gt;0,1,IF('Growth profile'!AZ245&gt;0,3,0))</f>
        <v>0</v>
      </c>
      <c r="BB169" s="20">
        <f>IF('Growth profile'!BA142&gt;0,1,IF('Growth profile'!BA245&gt;0,3,0))</f>
        <v>0</v>
      </c>
      <c r="BC169" s="20">
        <f>IF('Growth profile'!BB142&gt;0,1,IF('Growth profile'!BB245&gt;0,3,0))</f>
        <v>0</v>
      </c>
      <c r="BD169" s="20">
        <f>IF('Growth profile'!BC142&gt;0,1,IF('Growth profile'!BC245&gt;0,3,0))</f>
        <v>0</v>
      </c>
      <c r="BE169" s="20">
        <f>IF('Growth profile'!BD142&gt;0,1,IF('Growth profile'!BD245&gt;0,3,0))</f>
        <v>0</v>
      </c>
      <c r="BF169" s="20">
        <f>IF('Growth profile'!BE142&gt;0,1,IF('Growth profile'!BE245&gt;0,3,0))</f>
        <v>0</v>
      </c>
      <c r="BG169" s="20">
        <f>IF('Growth profile'!BF142&gt;0,1,IF('Growth profile'!BF245&gt;0,3,0))</f>
        <v>0</v>
      </c>
      <c r="BH169" s="20">
        <f>IF('Growth profile'!BG142&gt;0,1,IF('Growth profile'!BG245&gt;0,3,0))</f>
        <v>0</v>
      </c>
      <c r="BI169" s="20">
        <f>IF('Growth profile'!BH142&gt;0,1,IF('Growth profile'!BH245&gt;0,3,0))</f>
        <v>0</v>
      </c>
      <c r="BJ169" s="20">
        <f>IF('Growth profile'!BI142&gt;0,1,IF('Growth profile'!BI245&gt;0,3,0))</f>
        <v>0</v>
      </c>
      <c r="BK169" s="21">
        <f>IF('Growth profile'!BJ142&gt;0,1,IF('Growth profile'!BJ245&gt;0,3,0))</f>
        <v>0</v>
      </c>
    </row>
    <row r="170" spans="1:63" x14ac:dyDescent="0.3">
      <c r="B170" s="13" t="s">
        <v>59</v>
      </c>
      <c r="C170" s="19">
        <f>'Growth (no penalty)'!I34</f>
        <v>2026</v>
      </c>
      <c r="D170" s="22">
        <f>IF('Growth (no penalty)'!C142&gt;0,1,IF('Growth (no penalty)'!C245&gt;0,4,0))</f>
        <v>1</v>
      </c>
      <c r="E170" s="22">
        <f>IF('Growth (no penalty)'!D142&gt;0,1,IF('Growth (no penalty)'!D245&gt;0,4,0))</f>
        <v>4</v>
      </c>
      <c r="F170" s="22">
        <f>IF('Growth (no penalty)'!E142&gt;0,1,IF('Growth (no penalty)'!E245&gt;0,4,0))</f>
        <v>4</v>
      </c>
      <c r="G170" s="22">
        <f>IF('Growth (no penalty)'!F142&gt;0,1,IF('Growth (no penalty)'!F245&gt;0,4,0))</f>
        <v>4</v>
      </c>
      <c r="H170" s="22">
        <f>IF('Growth (no penalty)'!G142&gt;0,1,IF('Growth (no penalty)'!G245&gt;0,4,0))</f>
        <v>4</v>
      </c>
      <c r="I170" s="22">
        <f>IF('Growth (no penalty)'!H142&gt;0,1,IF('Growth (no penalty)'!H245&gt;0,4,0))</f>
        <v>4</v>
      </c>
      <c r="J170" s="22">
        <f>IF('Growth (no penalty)'!I142&gt;0,1,IF('Growth (no penalty)'!I245&gt;0,4,0))</f>
        <v>4</v>
      </c>
      <c r="K170" s="22">
        <f>IF('Growth (no penalty)'!J142&gt;0,1,IF('Growth (no penalty)'!J245&gt;0,4,0))</f>
        <v>4</v>
      </c>
      <c r="L170" s="22">
        <f>IF('Growth (no penalty)'!K142&gt;0,1,IF('Growth (no penalty)'!K245&gt;0,4,0))</f>
        <v>4</v>
      </c>
      <c r="M170" s="22">
        <f>IF('Growth (no penalty)'!L142&gt;0,1,IF('Growth (no penalty)'!L245&gt;0,4,0))</f>
        <v>4</v>
      </c>
      <c r="N170" s="22">
        <f>IF('Growth (no penalty)'!M142&gt;0,1,IF('Growth (no penalty)'!M245&gt;0,4,0))</f>
        <v>4</v>
      </c>
      <c r="O170" s="22">
        <f>IF('Growth (no penalty)'!N142&gt;0,1,IF('Growth (no penalty)'!N245&gt;0,4,0))</f>
        <v>4</v>
      </c>
      <c r="P170" s="22">
        <f>IF('Growth (no penalty)'!O142&gt;0,1,IF('Growth (no penalty)'!O245&gt;0,4,0))</f>
        <v>4</v>
      </c>
      <c r="Q170" s="22">
        <f>IF('Growth (no penalty)'!P142&gt;0,1,IF('Growth (no penalty)'!P245&gt;0,4,0))</f>
        <v>4</v>
      </c>
      <c r="R170" s="22">
        <f>IF('Growth (no penalty)'!Q142&gt;0,1,IF('Growth (no penalty)'!Q245&gt;0,4,0))</f>
        <v>4</v>
      </c>
      <c r="S170" s="22">
        <f>IF('Growth (no penalty)'!R142&gt;0,1,IF('Growth (no penalty)'!R245&gt;0,4,0))</f>
        <v>4</v>
      </c>
      <c r="T170" s="22">
        <f>IF('Growth (no penalty)'!S142&gt;0,1,IF('Growth (no penalty)'!S245&gt;0,4,0))</f>
        <v>4</v>
      </c>
      <c r="U170" s="22">
        <f>IF('Growth (no penalty)'!T142&gt;0,1,IF('Growth (no penalty)'!T245&gt;0,4,0))</f>
        <v>4</v>
      </c>
      <c r="V170" s="22">
        <f>IF('Growth (no penalty)'!U142&gt;0,1,IF('Growth (no penalty)'!U245&gt;0,4,0))</f>
        <v>4</v>
      </c>
      <c r="W170" s="22">
        <f>IF('Growth (no penalty)'!V142&gt;0,1,IF('Growth (no penalty)'!V245&gt;0,4,0))</f>
        <v>4</v>
      </c>
      <c r="X170" s="22">
        <f>IF('Growth (no penalty)'!W142&gt;0,1,IF('Growth (no penalty)'!W245&gt;0,4,0))</f>
        <v>4</v>
      </c>
      <c r="Y170" s="22">
        <f>IF('Growth (no penalty)'!X142&gt;0,1,IF('Growth (no penalty)'!X245&gt;0,4,0))</f>
        <v>4</v>
      </c>
      <c r="Z170" s="22">
        <f>IF('Growth (no penalty)'!Y142&gt;0,1,IF('Growth (no penalty)'!Y245&gt;0,4,0))</f>
        <v>4</v>
      </c>
      <c r="AA170" s="22">
        <f>IF('Growth (no penalty)'!Z142&gt;0,1,IF('Growth (no penalty)'!Z245&gt;0,4,0))</f>
        <v>4</v>
      </c>
      <c r="AB170" s="22">
        <f>IF('Growth (no penalty)'!AA142&gt;0,1,IF('Growth (no penalty)'!AA245&gt;0,4,0))</f>
        <v>4</v>
      </c>
      <c r="AC170" s="22">
        <f>IF('Growth (no penalty)'!AB142&gt;0,1,IF('Growth (no penalty)'!AB245&gt;0,4,0))</f>
        <v>4</v>
      </c>
      <c r="AD170" s="22">
        <f>IF('Growth (no penalty)'!AC142&gt;0,1,IF('Growth (no penalty)'!AC245&gt;0,4,0))</f>
        <v>4</v>
      </c>
      <c r="AE170" s="22">
        <f>IF('Growth (no penalty)'!AD142&gt;0,1,IF('Growth (no penalty)'!AD245&gt;0,4,0))</f>
        <v>4</v>
      </c>
      <c r="AF170" s="22">
        <f>IF('Growth (no penalty)'!AE142&gt;0,1,IF('Growth (no penalty)'!AE245&gt;0,4,0))</f>
        <v>4</v>
      </c>
      <c r="AG170" s="22">
        <f>IF('Growth (no penalty)'!AF142&gt;0,1,IF('Growth (no penalty)'!AF245&gt;0,4,0))</f>
        <v>4</v>
      </c>
      <c r="AH170" s="22">
        <f>IF('Growth (no penalty)'!AG142&gt;0,1,IF('Growth (no penalty)'!AG245&gt;0,4,0))</f>
        <v>4</v>
      </c>
      <c r="AI170" s="22">
        <f>IF('Growth (no penalty)'!AH142&gt;0,1,IF('Growth (no penalty)'!AH245&gt;0,4,0))</f>
        <v>4</v>
      </c>
      <c r="AJ170" s="22">
        <f>IF('Growth (no penalty)'!AI142&gt;0,1,IF('Growth (no penalty)'!AI245&gt;0,4,0))</f>
        <v>4</v>
      </c>
      <c r="AK170" s="22">
        <f>IF('Growth (no penalty)'!AJ142&gt;0,1,IF('Growth (no penalty)'!AJ245&gt;0,4,0))</f>
        <v>4</v>
      </c>
      <c r="AL170" s="22">
        <f>IF('Growth (no penalty)'!AK142&gt;0,1,IF('Growth (no penalty)'!AK245&gt;0,4,0))</f>
        <v>4</v>
      </c>
      <c r="AM170" s="22">
        <f>IF('Growth (no penalty)'!AL142&gt;0,1,IF('Growth (no penalty)'!AL245&gt;0,4,0))</f>
        <v>4</v>
      </c>
      <c r="AN170" s="22">
        <f>IF('Growth (no penalty)'!AM142&gt;0,1,IF('Growth (no penalty)'!AM245&gt;0,4,0))</f>
        <v>4</v>
      </c>
      <c r="AO170" s="22">
        <f>IF('Growth (no penalty)'!AN142&gt;0,1,IF('Growth (no penalty)'!AN245&gt;0,4,0))</f>
        <v>4</v>
      </c>
      <c r="AP170" s="22">
        <f>IF('Growth (no penalty)'!AO142&gt;0,1,IF('Growth (no penalty)'!AO245&gt;0,4,0))</f>
        <v>4</v>
      </c>
      <c r="AQ170" s="22">
        <f>IF('Growth (no penalty)'!AP142&gt;0,1,IF('Growth (no penalty)'!AP245&gt;0,4,0))</f>
        <v>4</v>
      </c>
      <c r="AR170" s="22">
        <f>IF('Growth (no penalty)'!AQ142&gt;0,1,IF('Growth (no penalty)'!AQ245&gt;0,4,0))</f>
        <v>4</v>
      </c>
      <c r="AS170" s="22">
        <f>IF('Growth (no penalty)'!AR142&gt;0,1,IF('Growth (no penalty)'!AR245&gt;0,4,0))</f>
        <v>0</v>
      </c>
      <c r="AT170" s="22">
        <f>IF('Growth (no penalty)'!AS142&gt;0,1,IF('Growth (no penalty)'!AS245&gt;0,4,0))</f>
        <v>0</v>
      </c>
      <c r="AU170" s="22">
        <f>IF('Growth (no penalty)'!AT142&gt;0,1,IF('Growth (no penalty)'!AT245&gt;0,4,0))</f>
        <v>0</v>
      </c>
      <c r="AV170" s="22">
        <f>IF('Growth (no penalty)'!AU142&gt;0,1,IF('Growth (no penalty)'!AU245&gt;0,4,0))</f>
        <v>0</v>
      </c>
      <c r="AW170" s="22">
        <f>IF('Growth (no penalty)'!AV142&gt;0,1,IF('Growth (no penalty)'!AV245&gt;0,4,0))</f>
        <v>0</v>
      </c>
      <c r="AX170" s="22">
        <f>IF('Growth (no penalty)'!AW142&gt;0,1,IF('Growth (no penalty)'!AW245&gt;0,4,0))</f>
        <v>0</v>
      </c>
      <c r="AY170" s="22">
        <f>IF('Growth (no penalty)'!AX142&gt;0,1,IF('Growth (no penalty)'!AX245&gt;0,4,0))</f>
        <v>0</v>
      </c>
      <c r="AZ170" s="22">
        <f>IF('Growth (no penalty)'!AY142&gt;0,1,IF('Growth (no penalty)'!AY245&gt;0,4,0))</f>
        <v>0</v>
      </c>
      <c r="BA170" s="22">
        <f>IF('Growth (no penalty)'!AZ142&gt;0,1,IF('Growth (no penalty)'!AZ245&gt;0,4,0))</f>
        <v>0</v>
      </c>
      <c r="BB170" s="22">
        <f>IF('Growth (no penalty)'!BA142&gt;0,1,IF('Growth (no penalty)'!BA245&gt;0,4,0))</f>
        <v>0</v>
      </c>
      <c r="BC170" s="22">
        <f>IF('Growth (no penalty)'!BB142&gt;0,1,IF('Growth (no penalty)'!BB245&gt;0,4,0))</f>
        <v>0</v>
      </c>
      <c r="BD170" s="22">
        <f>IF('Growth (no penalty)'!BC142&gt;0,1,IF('Growth (no penalty)'!BC245&gt;0,4,0))</f>
        <v>0</v>
      </c>
      <c r="BE170" s="22">
        <f>IF('Growth (no penalty)'!BD142&gt;0,1,IF('Growth (no penalty)'!BD245&gt;0,4,0))</f>
        <v>0</v>
      </c>
      <c r="BF170" s="22">
        <f>IF('Growth (no penalty)'!BE142&gt;0,1,IF('Growth (no penalty)'!BE245&gt;0,4,0))</f>
        <v>0</v>
      </c>
      <c r="BG170" s="22">
        <f>IF('Growth (no penalty)'!BF142&gt;0,1,IF('Growth (no penalty)'!BF245&gt;0,4,0))</f>
        <v>0</v>
      </c>
      <c r="BH170" s="22">
        <f>IF('Growth (no penalty)'!BG142&gt;0,1,IF('Growth (no penalty)'!BG245&gt;0,4,0))</f>
        <v>0</v>
      </c>
      <c r="BI170" s="22">
        <f>IF('Growth (no penalty)'!BH142&gt;0,1,IF('Growth (no penalty)'!BH245&gt;0,4,0))</f>
        <v>0</v>
      </c>
      <c r="BJ170" s="22">
        <f>IF('Growth (no penalty)'!BI142&gt;0,1,IF('Growth (no penalty)'!BI245&gt;0,4,0))</f>
        <v>0</v>
      </c>
      <c r="BK170" s="23">
        <f>IF('Growth (no penalty)'!BJ142&gt;0,1,IF('Growth (no penalty)'!BJ245&gt;0,4,0))</f>
        <v>0</v>
      </c>
    </row>
    <row r="171" spans="1:63" x14ac:dyDescent="0.3">
      <c r="A171" s="4" t="str">
        <f>'Growth profile'!A55</f>
        <v>project 55</v>
      </c>
      <c r="B171" s="13" t="s">
        <v>3</v>
      </c>
      <c r="C171" s="19">
        <f>'Raw profile'!I55</f>
        <v>2037</v>
      </c>
      <c r="D171" s="20">
        <f>IF('Raw profile'!C163&gt;0,1,IF('Raw profile'!C266&gt;0,2,0))</f>
        <v>0</v>
      </c>
      <c r="E171" s="20">
        <f>IF('Raw profile'!D163&gt;0,1,IF('Raw profile'!D266&gt;0,2,0))</f>
        <v>0</v>
      </c>
      <c r="F171" s="20">
        <f>IF('Raw profile'!E163&gt;0,1,IF('Raw profile'!E266&gt;0,2,0))</f>
        <v>0</v>
      </c>
      <c r="G171" s="20">
        <f>IF('Raw profile'!F163&gt;0,1,IF('Raw profile'!F266&gt;0,2,0))</f>
        <v>0</v>
      </c>
      <c r="H171" s="20">
        <f>IF('Raw profile'!G163&gt;0,1,IF('Raw profile'!G266&gt;0,2,0))</f>
        <v>0</v>
      </c>
      <c r="I171" s="20">
        <f>IF('Raw profile'!H163&gt;0,1,IF('Raw profile'!H266&gt;0,2,0))</f>
        <v>0</v>
      </c>
      <c r="J171" s="20">
        <f>IF('Raw profile'!I163&gt;0,1,IF('Raw profile'!I266&gt;0,2,0))</f>
        <v>0</v>
      </c>
      <c r="K171" s="20">
        <f>IF('Raw profile'!J163&gt;0,1,IF('Raw profile'!J266&gt;0,2,0))</f>
        <v>0</v>
      </c>
      <c r="L171" s="20">
        <f>IF('Raw profile'!K163&gt;0,1,IF('Raw profile'!K266&gt;0,2,0))</f>
        <v>0</v>
      </c>
      <c r="M171" s="20">
        <f>IF('Raw profile'!L163&gt;0,1,IF('Raw profile'!L266&gt;0,2,0))</f>
        <v>0</v>
      </c>
      <c r="N171" s="20">
        <f>IF('Raw profile'!M163&gt;0,1,IF('Raw profile'!M266&gt;0,2,0))</f>
        <v>0</v>
      </c>
      <c r="O171" s="20">
        <f>IF('Raw profile'!N163&gt;0,1,IF('Raw profile'!N266&gt;0,2,0))</f>
        <v>1</v>
      </c>
      <c r="P171" s="20">
        <f>IF('Raw profile'!O163&gt;0,1,IF('Raw profile'!O266&gt;0,2,0))</f>
        <v>1</v>
      </c>
      <c r="Q171" s="20">
        <f>IF('Raw profile'!P163&gt;0,1,IF('Raw profile'!P266&gt;0,2,0))</f>
        <v>2</v>
      </c>
      <c r="R171" s="20">
        <f>IF('Raw profile'!Q163&gt;0,1,IF('Raw profile'!Q266&gt;0,2,0))</f>
        <v>2</v>
      </c>
      <c r="S171" s="20">
        <f>IF('Raw profile'!R163&gt;0,1,IF('Raw profile'!R266&gt;0,2,0))</f>
        <v>2</v>
      </c>
      <c r="T171" s="20">
        <f>IF('Raw profile'!S163&gt;0,1,IF('Raw profile'!S266&gt;0,2,0))</f>
        <v>2</v>
      </c>
      <c r="U171" s="20">
        <f>IF('Raw profile'!T163&gt;0,1,IF('Raw profile'!T266&gt;0,2,0))</f>
        <v>2</v>
      </c>
      <c r="V171" s="20">
        <f>IF('Raw profile'!U163&gt;0,1,IF('Raw profile'!U266&gt;0,2,0))</f>
        <v>2</v>
      </c>
      <c r="W171" s="20">
        <f>IF('Raw profile'!V163&gt;0,1,IF('Raw profile'!V266&gt;0,2,0))</f>
        <v>2</v>
      </c>
      <c r="X171" s="20">
        <f>IF('Raw profile'!W163&gt;0,1,IF('Raw profile'!W266&gt;0,2,0))</f>
        <v>2</v>
      </c>
      <c r="Y171" s="20">
        <f>IF('Raw profile'!X163&gt;0,1,IF('Raw profile'!X266&gt;0,2,0))</f>
        <v>2</v>
      </c>
      <c r="Z171" s="20">
        <f>IF('Raw profile'!Y163&gt;0,1,IF('Raw profile'!Y266&gt;0,2,0))</f>
        <v>2</v>
      </c>
      <c r="AA171" s="20">
        <f>IF('Raw profile'!Z163&gt;0,1,IF('Raw profile'!Z266&gt;0,2,0))</f>
        <v>2</v>
      </c>
      <c r="AB171" s="20">
        <f>IF('Raw profile'!AA163&gt;0,1,IF('Raw profile'!AA266&gt;0,2,0))</f>
        <v>2</v>
      </c>
      <c r="AC171" s="20">
        <f>IF('Raw profile'!AB163&gt;0,1,IF('Raw profile'!AB266&gt;0,2,0))</f>
        <v>2</v>
      </c>
      <c r="AD171" s="20">
        <f>IF('Raw profile'!AC163&gt;0,1,IF('Raw profile'!AC266&gt;0,2,0))</f>
        <v>2</v>
      </c>
      <c r="AE171" s="20">
        <f>IF('Raw profile'!AD163&gt;0,1,IF('Raw profile'!AD266&gt;0,2,0))</f>
        <v>2</v>
      </c>
      <c r="AF171" s="20">
        <f>IF('Raw profile'!AE163&gt;0,1,IF('Raw profile'!AE266&gt;0,2,0))</f>
        <v>2</v>
      </c>
      <c r="AG171" s="20">
        <f>IF('Raw profile'!AF163&gt;0,1,IF('Raw profile'!AF266&gt;0,2,0))</f>
        <v>2</v>
      </c>
      <c r="AH171" s="20">
        <f>IF('Raw profile'!AG163&gt;0,1,IF('Raw profile'!AG266&gt;0,2,0))</f>
        <v>2</v>
      </c>
      <c r="AI171" s="20">
        <f>IF('Raw profile'!AH163&gt;0,1,IF('Raw profile'!AH266&gt;0,2,0))</f>
        <v>2</v>
      </c>
      <c r="AJ171" s="20">
        <f>IF('Raw profile'!AI163&gt;0,1,IF('Raw profile'!AI266&gt;0,2,0))</f>
        <v>2</v>
      </c>
      <c r="AK171" s="20">
        <f>IF('Raw profile'!AJ163&gt;0,1,IF('Raw profile'!AJ266&gt;0,2,0))</f>
        <v>2</v>
      </c>
      <c r="AL171" s="20">
        <f>IF('Raw profile'!AK163&gt;0,1,IF('Raw profile'!AK266&gt;0,2,0))</f>
        <v>2</v>
      </c>
      <c r="AM171" s="20">
        <f>IF('Raw profile'!AL163&gt;0,1,IF('Raw profile'!AL266&gt;0,2,0))</f>
        <v>2</v>
      </c>
      <c r="AN171" s="20">
        <f>IF('Raw profile'!AM163&gt;0,1,IF('Raw profile'!AM266&gt;0,2,0))</f>
        <v>2</v>
      </c>
      <c r="AO171" s="20">
        <f>IF('Raw profile'!AN163&gt;0,1,IF('Raw profile'!AN266&gt;0,2,0))</f>
        <v>2</v>
      </c>
      <c r="AP171" s="20">
        <f>IF('Raw profile'!AO163&gt;0,1,IF('Raw profile'!AO266&gt;0,2,0))</f>
        <v>2</v>
      </c>
      <c r="AQ171" s="20">
        <f>IF('Raw profile'!AP163&gt;0,1,IF('Raw profile'!AP266&gt;0,2,0))</f>
        <v>2</v>
      </c>
      <c r="AR171" s="20">
        <f>IF('Raw profile'!AQ163&gt;0,1,IF('Raw profile'!AQ266&gt;0,2,0))</f>
        <v>2</v>
      </c>
      <c r="AS171" s="20">
        <f>IF('Raw profile'!AR163&gt;0,1,IF('Raw profile'!AR266&gt;0,2,0))</f>
        <v>2</v>
      </c>
      <c r="AT171" s="20">
        <f>IF('Raw profile'!AS163&gt;0,1,IF('Raw profile'!AS266&gt;0,2,0))</f>
        <v>2</v>
      </c>
      <c r="AU171" s="20">
        <f>IF('Raw profile'!AT163&gt;0,1,IF('Raw profile'!AT266&gt;0,2,0))</f>
        <v>2</v>
      </c>
      <c r="AV171" s="20">
        <f>IF('Raw profile'!AU163&gt;0,1,IF('Raw profile'!AU266&gt;0,2,0))</f>
        <v>2</v>
      </c>
      <c r="AW171" s="20">
        <f>IF('Raw profile'!AV163&gt;0,1,IF('Raw profile'!AV266&gt;0,2,0))</f>
        <v>2</v>
      </c>
      <c r="AX171" s="20">
        <f>IF('Raw profile'!AW163&gt;0,1,IF('Raw profile'!AW266&gt;0,2,0))</f>
        <v>2</v>
      </c>
      <c r="AY171" s="20">
        <f>IF('Raw profile'!AX163&gt;0,1,IF('Raw profile'!AX266&gt;0,2,0))</f>
        <v>2</v>
      </c>
      <c r="AZ171" s="20">
        <f>IF('Raw profile'!AY163&gt;0,1,IF('Raw profile'!AY266&gt;0,2,0))</f>
        <v>2</v>
      </c>
      <c r="BA171" s="20">
        <f>IF('Raw profile'!AZ163&gt;0,1,IF('Raw profile'!AZ266&gt;0,2,0))</f>
        <v>2</v>
      </c>
      <c r="BB171" s="20">
        <f>IF('Raw profile'!BA163&gt;0,1,IF('Raw profile'!BA266&gt;0,2,0))</f>
        <v>2</v>
      </c>
      <c r="BC171" s="20">
        <f>IF('Raw profile'!BB163&gt;0,1,IF('Raw profile'!BB266&gt;0,2,0))</f>
        <v>2</v>
      </c>
      <c r="BD171" s="20">
        <f>IF('Raw profile'!BC163&gt;0,1,IF('Raw profile'!BC266&gt;0,2,0))</f>
        <v>2</v>
      </c>
      <c r="BE171" s="20">
        <f>IF('Raw profile'!BD163&gt;0,1,IF('Raw profile'!BD266&gt;0,2,0))</f>
        <v>0</v>
      </c>
      <c r="BF171" s="20">
        <f>IF('Raw profile'!BE163&gt;0,1,IF('Raw profile'!BE266&gt;0,2,0))</f>
        <v>0</v>
      </c>
      <c r="BG171" s="20">
        <f>IF('Raw profile'!BF163&gt;0,1,IF('Raw profile'!BF266&gt;0,2,0))</f>
        <v>0</v>
      </c>
      <c r="BH171" s="20">
        <f>IF('Raw profile'!BG163&gt;0,1,IF('Raw profile'!BG266&gt;0,2,0))</f>
        <v>0</v>
      </c>
      <c r="BI171" s="20">
        <f>IF('Raw profile'!BH163&gt;0,1,IF('Raw profile'!BH266&gt;0,2,0))</f>
        <v>0</v>
      </c>
      <c r="BJ171" s="20">
        <f>IF('Raw profile'!BI163&gt;0,1,IF('Raw profile'!BI266&gt;0,2,0))</f>
        <v>0</v>
      </c>
      <c r="BK171" s="21">
        <f>IF('Raw profile'!BJ163&gt;0,1,IF('Raw profile'!BJ266&gt;0,2,0))</f>
        <v>0</v>
      </c>
    </row>
    <row r="172" spans="1:63" x14ac:dyDescent="0.3">
      <c r="B172" s="13" t="s">
        <v>4</v>
      </c>
      <c r="C172" s="19">
        <f>'Growth profile'!I55</f>
        <v>2026</v>
      </c>
      <c r="D172" s="20">
        <f>IF('Growth profile'!C163&gt;0,1,IF('Growth profile'!C266&gt;0,3,0))</f>
        <v>1</v>
      </c>
      <c r="E172" s="20">
        <f>IF('Growth profile'!D163&gt;0,1,IF('Growth profile'!D266&gt;0,3,0))</f>
        <v>1</v>
      </c>
      <c r="F172" s="20">
        <f>IF('Growth profile'!E163&gt;0,1,IF('Growth profile'!E266&gt;0,3,0))</f>
        <v>3</v>
      </c>
      <c r="G172" s="20">
        <f>IF('Growth profile'!F163&gt;0,1,IF('Growth profile'!F266&gt;0,3,0))</f>
        <v>3</v>
      </c>
      <c r="H172" s="20">
        <f>IF('Growth profile'!G163&gt;0,1,IF('Growth profile'!G266&gt;0,3,0))</f>
        <v>3</v>
      </c>
      <c r="I172" s="20">
        <f>IF('Growth profile'!H163&gt;0,1,IF('Growth profile'!H266&gt;0,3,0))</f>
        <v>3</v>
      </c>
      <c r="J172" s="20">
        <f>IF('Growth profile'!I163&gt;0,1,IF('Growth profile'!I266&gt;0,3,0))</f>
        <v>3</v>
      </c>
      <c r="K172" s="20">
        <f>IF('Growth profile'!J163&gt;0,1,IF('Growth profile'!J266&gt;0,3,0))</f>
        <v>3</v>
      </c>
      <c r="L172" s="20">
        <f>IF('Growth profile'!K163&gt;0,1,IF('Growth profile'!K266&gt;0,3,0))</f>
        <v>3</v>
      </c>
      <c r="M172" s="20">
        <f>IF('Growth profile'!L163&gt;0,1,IF('Growth profile'!L266&gt;0,3,0))</f>
        <v>3</v>
      </c>
      <c r="N172" s="20">
        <f>IF('Growth profile'!M163&gt;0,1,IF('Growth profile'!M266&gt;0,3,0))</f>
        <v>3</v>
      </c>
      <c r="O172" s="20">
        <f>IF('Growth profile'!N163&gt;0,1,IF('Growth profile'!N266&gt;0,3,0))</f>
        <v>3</v>
      </c>
      <c r="P172" s="20">
        <f>IF('Growth profile'!O163&gt;0,1,IF('Growth profile'!O266&gt;0,3,0))</f>
        <v>3</v>
      </c>
      <c r="Q172" s="20">
        <f>IF('Growth profile'!P163&gt;0,1,IF('Growth profile'!P266&gt;0,3,0))</f>
        <v>3</v>
      </c>
      <c r="R172" s="20">
        <f>IF('Growth profile'!Q163&gt;0,1,IF('Growth profile'!Q266&gt;0,3,0))</f>
        <v>3</v>
      </c>
      <c r="S172" s="20">
        <f>IF('Growth profile'!R163&gt;0,1,IF('Growth profile'!R266&gt;0,3,0))</f>
        <v>3</v>
      </c>
      <c r="T172" s="20">
        <f>IF('Growth profile'!S163&gt;0,1,IF('Growth profile'!S266&gt;0,3,0))</f>
        <v>3</v>
      </c>
      <c r="U172" s="20">
        <f>IF('Growth profile'!T163&gt;0,1,IF('Growth profile'!T266&gt;0,3,0))</f>
        <v>3</v>
      </c>
      <c r="V172" s="20">
        <f>IF('Growth profile'!U163&gt;0,1,IF('Growth profile'!U266&gt;0,3,0))</f>
        <v>3</v>
      </c>
      <c r="W172" s="20">
        <f>IF('Growth profile'!V163&gt;0,1,IF('Growth profile'!V266&gt;0,3,0))</f>
        <v>3</v>
      </c>
      <c r="X172" s="20">
        <f>IF('Growth profile'!W163&gt;0,1,IF('Growth profile'!W266&gt;0,3,0))</f>
        <v>3</v>
      </c>
      <c r="Y172" s="20">
        <f>IF('Growth profile'!X163&gt;0,1,IF('Growth profile'!X266&gt;0,3,0))</f>
        <v>3</v>
      </c>
      <c r="Z172" s="20">
        <f>IF('Growth profile'!Y163&gt;0,1,IF('Growth profile'!Y266&gt;0,3,0))</f>
        <v>3</v>
      </c>
      <c r="AA172" s="20">
        <f>IF('Growth profile'!Z163&gt;0,1,IF('Growth profile'!Z266&gt;0,3,0))</f>
        <v>3</v>
      </c>
      <c r="AB172" s="20">
        <f>IF('Growth profile'!AA163&gt;0,1,IF('Growth profile'!AA266&gt;0,3,0))</f>
        <v>3</v>
      </c>
      <c r="AC172" s="20">
        <f>IF('Growth profile'!AB163&gt;0,1,IF('Growth profile'!AB266&gt;0,3,0))</f>
        <v>3</v>
      </c>
      <c r="AD172" s="20">
        <f>IF('Growth profile'!AC163&gt;0,1,IF('Growth profile'!AC266&gt;0,3,0))</f>
        <v>3</v>
      </c>
      <c r="AE172" s="20">
        <f>IF('Growth profile'!AD163&gt;0,1,IF('Growth profile'!AD266&gt;0,3,0))</f>
        <v>3</v>
      </c>
      <c r="AF172" s="20">
        <f>IF('Growth profile'!AE163&gt;0,1,IF('Growth profile'!AE266&gt;0,3,0))</f>
        <v>3</v>
      </c>
      <c r="AG172" s="20">
        <f>IF('Growth profile'!AF163&gt;0,1,IF('Growth profile'!AF266&gt;0,3,0))</f>
        <v>3</v>
      </c>
      <c r="AH172" s="20">
        <f>IF('Growth profile'!AG163&gt;0,1,IF('Growth profile'!AG266&gt;0,3,0))</f>
        <v>3</v>
      </c>
      <c r="AI172" s="20">
        <f>IF('Growth profile'!AH163&gt;0,1,IF('Growth profile'!AH266&gt;0,3,0))</f>
        <v>3</v>
      </c>
      <c r="AJ172" s="20">
        <f>IF('Growth profile'!AI163&gt;0,1,IF('Growth profile'!AI266&gt;0,3,0))</f>
        <v>3</v>
      </c>
      <c r="AK172" s="20">
        <f>IF('Growth profile'!AJ163&gt;0,1,IF('Growth profile'!AJ266&gt;0,3,0))</f>
        <v>3</v>
      </c>
      <c r="AL172" s="20">
        <f>IF('Growth profile'!AK163&gt;0,1,IF('Growth profile'!AK266&gt;0,3,0))</f>
        <v>3</v>
      </c>
      <c r="AM172" s="20">
        <f>IF('Growth profile'!AL163&gt;0,1,IF('Growth profile'!AL266&gt;0,3,0))</f>
        <v>3</v>
      </c>
      <c r="AN172" s="20">
        <f>IF('Growth profile'!AM163&gt;0,1,IF('Growth profile'!AM266&gt;0,3,0))</f>
        <v>3</v>
      </c>
      <c r="AO172" s="20">
        <f>IF('Growth profile'!AN163&gt;0,1,IF('Growth profile'!AN266&gt;0,3,0))</f>
        <v>3</v>
      </c>
      <c r="AP172" s="20">
        <f>IF('Growth profile'!AO163&gt;0,1,IF('Growth profile'!AO266&gt;0,3,0))</f>
        <v>3</v>
      </c>
      <c r="AQ172" s="20">
        <f>IF('Growth profile'!AP163&gt;0,1,IF('Growth profile'!AP266&gt;0,3,0))</f>
        <v>3</v>
      </c>
      <c r="AR172" s="20">
        <f>IF('Growth profile'!AQ163&gt;0,1,IF('Growth profile'!AQ266&gt;0,3,0))</f>
        <v>3</v>
      </c>
      <c r="AS172" s="20">
        <f>IF('Growth profile'!AR163&gt;0,1,IF('Growth profile'!AR266&gt;0,3,0))</f>
        <v>3</v>
      </c>
      <c r="AT172" s="20">
        <f>IF('Growth profile'!AS163&gt;0,1,IF('Growth profile'!AS266&gt;0,3,0))</f>
        <v>0</v>
      </c>
      <c r="AU172" s="20">
        <f>IF('Growth profile'!AT163&gt;0,1,IF('Growth profile'!AT266&gt;0,3,0))</f>
        <v>0</v>
      </c>
      <c r="AV172" s="20">
        <f>IF('Growth profile'!AU163&gt;0,1,IF('Growth profile'!AU266&gt;0,3,0))</f>
        <v>0</v>
      </c>
      <c r="AW172" s="20">
        <f>IF('Growth profile'!AV163&gt;0,1,IF('Growth profile'!AV266&gt;0,3,0))</f>
        <v>0</v>
      </c>
      <c r="AX172" s="20">
        <f>IF('Growth profile'!AW163&gt;0,1,IF('Growth profile'!AW266&gt;0,3,0))</f>
        <v>0</v>
      </c>
      <c r="AY172" s="20">
        <f>IF('Growth profile'!AX163&gt;0,1,IF('Growth profile'!AX266&gt;0,3,0))</f>
        <v>0</v>
      </c>
      <c r="AZ172" s="20">
        <f>IF('Growth profile'!AY163&gt;0,1,IF('Growth profile'!AY266&gt;0,3,0))</f>
        <v>0</v>
      </c>
      <c r="BA172" s="20">
        <f>IF('Growth profile'!AZ163&gt;0,1,IF('Growth profile'!AZ266&gt;0,3,0))</f>
        <v>0</v>
      </c>
      <c r="BB172" s="20">
        <f>IF('Growth profile'!BA163&gt;0,1,IF('Growth profile'!BA266&gt;0,3,0))</f>
        <v>0</v>
      </c>
      <c r="BC172" s="20">
        <f>IF('Growth profile'!BB163&gt;0,1,IF('Growth profile'!BB266&gt;0,3,0))</f>
        <v>0</v>
      </c>
      <c r="BD172" s="20">
        <f>IF('Growth profile'!BC163&gt;0,1,IF('Growth profile'!BC266&gt;0,3,0))</f>
        <v>0</v>
      </c>
      <c r="BE172" s="20">
        <f>IF('Growth profile'!BD163&gt;0,1,IF('Growth profile'!BD266&gt;0,3,0))</f>
        <v>0</v>
      </c>
      <c r="BF172" s="20">
        <f>IF('Growth profile'!BE163&gt;0,1,IF('Growth profile'!BE266&gt;0,3,0))</f>
        <v>0</v>
      </c>
      <c r="BG172" s="20">
        <f>IF('Growth profile'!BF163&gt;0,1,IF('Growth profile'!BF266&gt;0,3,0))</f>
        <v>0</v>
      </c>
      <c r="BH172" s="20">
        <f>IF('Growth profile'!BG163&gt;0,1,IF('Growth profile'!BG266&gt;0,3,0))</f>
        <v>0</v>
      </c>
      <c r="BI172" s="20">
        <f>IF('Growth profile'!BH163&gt;0,1,IF('Growth profile'!BH266&gt;0,3,0))</f>
        <v>0</v>
      </c>
      <c r="BJ172" s="20">
        <f>IF('Growth profile'!BI163&gt;0,1,IF('Growth profile'!BI266&gt;0,3,0))</f>
        <v>0</v>
      </c>
      <c r="BK172" s="21">
        <f>IF('Growth profile'!BJ163&gt;0,1,IF('Growth profile'!BJ266&gt;0,3,0))</f>
        <v>0</v>
      </c>
    </row>
    <row r="173" spans="1:63" x14ac:dyDescent="0.3">
      <c r="B173" s="13" t="s">
        <v>59</v>
      </c>
      <c r="C173" s="19">
        <f>'Growth (no penalty)'!I55</f>
        <v>2026</v>
      </c>
      <c r="D173" s="22">
        <f>IF('Growth (no penalty)'!C163&gt;0,1,IF('Growth (no penalty)'!C266&gt;0,4,0))</f>
        <v>1</v>
      </c>
      <c r="E173" s="22">
        <f>IF('Growth (no penalty)'!D163&gt;0,1,IF('Growth (no penalty)'!D266&gt;0,4,0))</f>
        <v>1</v>
      </c>
      <c r="F173" s="22">
        <f>IF('Growth (no penalty)'!E163&gt;0,1,IF('Growth (no penalty)'!E266&gt;0,4,0))</f>
        <v>4</v>
      </c>
      <c r="G173" s="22">
        <f>IF('Growth (no penalty)'!F163&gt;0,1,IF('Growth (no penalty)'!F266&gt;0,4,0))</f>
        <v>4</v>
      </c>
      <c r="H173" s="22">
        <f>IF('Growth (no penalty)'!G163&gt;0,1,IF('Growth (no penalty)'!G266&gt;0,4,0))</f>
        <v>4</v>
      </c>
      <c r="I173" s="22">
        <f>IF('Growth (no penalty)'!H163&gt;0,1,IF('Growth (no penalty)'!H266&gt;0,4,0))</f>
        <v>4</v>
      </c>
      <c r="J173" s="22">
        <f>IF('Growth (no penalty)'!I163&gt;0,1,IF('Growth (no penalty)'!I266&gt;0,4,0))</f>
        <v>4</v>
      </c>
      <c r="K173" s="22">
        <f>IF('Growth (no penalty)'!J163&gt;0,1,IF('Growth (no penalty)'!J266&gt;0,4,0))</f>
        <v>4</v>
      </c>
      <c r="L173" s="22">
        <f>IF('Growth (no penalty)'!K163&gt;0,1,IF('Growth (no penalty)'!K266&gt;0,4,0))</f>
        <v>4</v>
      </c>
      <c r="M173" s="22">
        <f>IF('Growth (no penalty)'!L163&gt;0,1,IF('Growth (no penalty)'!L266&gt;0,4,0))</f>
        <v>4</v>
      </c>
      <c r="N173" s="22">
        <f>IF('Growth (no penalty)'!M163&gt;0,1,IF('Growth (no penalty)'!M266&gt;0,4,0))</f>
        <v>4</v>
      </c>
      <c r="O173" s="22">
        <f>IF('Growth (no penalty)'!N163&gt;0,1,IF('Growth (no penalty)'!N266&gt;0,4,0))</f>
        <v>4</v>
      </c>
      <c r="P173" s="22">
        <f>IF('Growth (no penalty)'!O163&gt;0,1,IF('Growth (no penalty)'!O266&gt;0,4,0))</f>
        <v>4</v>
      </c>
      <c r="Q173" s="22">
        <f>IF('Growth (no penalty)'!P163&gt;0,1,IF('Growth (no penalty)'!P266&gt;0,4,0))</f>
        <v>4</v>
      </c>
      <c r="R173" s="22">
        <f>IF('Growth (no penalty)'!Q163&gt;0,1,IF('Growth (no penalty)'!Q266&gt;0,4,0))</f>
        <v>4</v>
      </c>
      <c r="S173" s="22">
        <f>IF('Growth (no penalty)'!R163&gt;0,1,IF('Growth (no penalty)'!R266&gt;0,4,0))</f>
        <v>4</v>
      </c>
      <c r="T173" s="22">
        <f>IF('Growth (no penalty)'!S163&gt;0,1,IF('Growth (no penalty)'!S266&gt;0,4,0))</f>
        <v>4</v>
      </c>
      <c r="U173" s="22">
        <f>IF('Growth (no penalty)'!T163&gt;0,1,IF('Growth (no penalty)'!T266&gt;0,4,0))</f>
        <v>4</v>
      </c>
      <c r="V173" s="22">
        <f>IF('Growth (no penalty)'!U163&gt;0,1,IF('Growth (no penalty)'!U266&gt;0,4,0))</f>
        <v>4</v>
      </c>
      <c r="W173" s="22">
        <f>IF('Growth (no penalty)'!V163&gt;0,1,IF('Growth (no penalty)'!V266&gt;0,4,0))</f>
        <v>4</v>
      </c>
      <c r="X173" s="22">
        <f>IF('Growth (no penalty)'!W163&gt;0,1,IF('Growth (no penalty)'!W266&gt;0,4,0))</f>
        <v>4</v>
      </c>
      <c r="Y173" s="22">
        <f>IF('Growth (no penalty)'!X163&gt;0,1,IF('Growth (no penalty)'!X266&gt;0,4,0))</f>
        <v>4</v>
      </c>
      <c r="Z173" s="22">
        <f>IF('Growth (no penalty)'!Y163&gt;0,1,IF('Growth (no penalty)'!Y266&gt;0,4,0))</f>
        <v>4</v>
      </c>
      <c r="AA173" s="22">
        <f>IF('Growth (no penalty)'!Z163&gt;0,1,IF('Growth (no penalty)'!Z266&gt;0,4,0))</f>
        <v>4</v>
      </c>
      <c r="AB173" s="22">
        <f>IF('Growth (no penalty)'!AA163&gt;0,1,IF('Growth (no penalty)'!AA266&gt;0,4,0))</f>
        <v>4</v>
      </c>
      <c r="AC173" s="22">
        <f>IF('Growth (no penalty)'!AB163&gt;0,1,IF('Growth (no penalty)'!AB266&gt;0,4,0))</f>
        <v>4</v>
      </c>
      <c r="AD173" s="22">
        <f>IF('Growth (no penalty)'!AC163&gt;0,1,IF('Growth (no penalty)'!AC266&gt;0,4,0))</f>
        <v>4</v>
      </c>
      <c r="AE173" s="22">
        <f>IF('Growth (no penalty)'!AD163&gt;0,1,IF('Growth (no penalty)'!AD266&gt;0,4,0))</f>
        <v>4</v>
      </c>
      <c r="AF173" s="22">
        <f>IF('Growth (no penalty)'!AE163&gt;0,1,IF('Growth (no penalty)'!AE266&gt;0,4,0))</f>
        <v>4</v>
      </c>
      <c r="AG173" s="22">
        <f>IF('Growth (no penalty)'!AF163&gt;0,1,IF('Growth (no penalty)'!AF266&gt;0,4,0))</f>
        <v>4</v>
      </c>
      <c r="AH173" s="22">
        <f>IF('Growth (no penalty)'!AG163&gt;0,1,IF('Growth (no penalty)'!AG266&gt;0,4,0))</f>
        <v>4</v>
      </c>
      <c r="AI173" s="22">
        <f>IF('Growth (no penalty)'!AH163&gt;0,1,IF('Growth (no penalty)'!AH266&gt;0,4,0))</f>
        <v>4</v>
      </c>
      <c r="AJ173" s="22">
        <f>IF('Growth (no penalty)'!AI163&gt;0,1,IF('Growth (no penalty)'!AI266&gt;0,4,0))</f>
        <v>4</v>
      </c>
      <c r="AK173" s="22">
        <f>IF('Growth (no penalty)'!AJ163&gt;0,1,IF('Growth (no penalty)'!AJ266&gt;0,4,0))</f>
        <v>4</v>
      </c>
      <c r="AL173" s="22">
        <f>IF('Growth (no penalty)'!AK163&gt;0,1,IF('Growth (no penalty)'!AK266&gt;0,4,0))</f>
        <v>4</v>
      </c>
      <c r="AM173" s="22">
        <f>IF('Growth (no penalty)'!AL163&gt;0,1,IF('Growth (no penalty)'!AL266&gt;0,4,0))</f>
        <v>4</v>
      </c>
      <c r="AN173" s="22">
        <f>IF('Growth (no penalty)'!AM163&gt;0,1,IF('Growth (no penalty)'!AM266&gt;0,4,0))</f>
        <v>4</v>
      </c>
      <c r="AO173" s="22">
        <f>IF('Growth (no penalty)'!AN163&gt;0,1,IF('Growth (no penalty)'!AN266&gt;0,4,0))</f>
        <v>4</v>
      </c>
      <c r="AP173" s="22">
        <f>IF('Growth (no penalty)'!AO163&gt;0,1,IF('Growth (no penalty)'!AO266&gt;0,4,0))</f>
        <v>4</v>
      </c>
      <c r="AQ173" s="22">
        <f>IF('Growth (no penalty)'!AP163&gt;0,1,IF('Growth (no penalty)'!AP266&gt;0,4,0))</f>
        <v>4</v>
      </c>
      <c r="AR173" s="22">
        <f>IF('Growth (no penalty)'!AQ163&gt;0,1,IF('Growth (no penalty)'!AQ266&gt;0,4,0))</f>
        <v>4</v>
      </c>
      <c r="AS173" s="22">
        <f>IF('Growth (no penalty)'!AR163&gt;0,1,IF('Growth (no penalty)'!AR266&gt;0,4,0))</f>
        <v>4</v>
      </c>
      <c r="AT173" s="22">
        <f>IF('Growth (no penalty)'!AS163&gt;0,1,IF('Growth (no penalty)'!AS266&gt;0,4,0))</f>
        <v>0</v>
      </c>
      <c r="AU173" s="22">
        <f>IF('Growth (no penalty)'!AT163&gt;0,1,IF('Growth (no penalty)'!AT266&gt;0,4,0))</f>
        <v>0</v>
      </c>
      <c r="AV173" s="22">
        <f>IF('Growth (no penalty)'!AU163&gt;0,1,IF('Growth (no penalty)'!AU266&gt;0,4,0))</f>
        <v>0</v>
      </c>
      <c r="AW173" s="22">
        <f>IF('Growth (no penalty)'!AV163&gt;0,1,IF('Growth (no penalty)'!AV266&gt;0,4,0))</f>
        <v>0</v>
      </c>
      <c r="AX173" s="22">
        <f>IF('Growth (no penalty)'!AW163&gt;0,1,IF('Growth (no penalty)'!AW266&gt;0,4,0))</f>
        <v>0</v>
      </c>
      <c r="AY173" s="22">
        <f>IF('Growth (no penalty)'!AX163&gt;0,1,IF('Growth (no penalty)'!AX266&gt;0,4,0))</f>
        <v>0</v>
      </c>
      <c r="AZ173" s="22">
        <f>IF('Growth (no penalty)'!AY163&gt;0,1,IF('Growth (no penalty)'!AY266&gt;0,4,0))</f>
        <v>0</v>
      </c>
      <c r="BA173" s="22">
        <f>IF('Growth (no penalty)'!AZ163&gt;0,1,IF('Growth (no penalty)'!AZ266&gt;0,4,0))</f>
        <v>0</v>
      </c>
      <c r="BB173" s="22">
        <f>IF('Growth (no penalty)'!BA163&gt;0,1,IF('Growth (no penalty)'!BA266&gt;0,4,0))</f>
        <v>0</v>
      </c>
      <c r="BC173" s="22">
        <f>IF('Growth (no penalty)'!BB163&gt;0,1,IF('Growth (no penalty)'!BB266&gt;0,4,0))</f>
        <v>0</v>
      </c>
      <c r="BD173" s="22">
        <f>IF('Growth (no penalty)'!BC163&gt;0,1,IF('Growth (no penalty)'!BC266&gt;0,4,0))</f>
        <v>0</v>
      </c>
      <c r="BE173" s="22">
        <f>IF('Growth (no penalty)'!BD163&gt;0,1,IF('Growth (no penalty)'!BD266&gt;0,4,0))</f>
        <v>0</v>
      </c>
      <c r="BF173" s="22">
        <f>IF('Growth (no penalty)'!BE163&gt;0,1,IF('Growth (no penalty)'!BE266&gt;0,4,0))</f>
        <v>0</v>
      </c>
      <c r="BG173" s="22">
        <f>IF('Growth (no penalty)'!BF163&gt;0,1,IF('Growth (no penalty)'!BF266&gt;0,4,0))</f>
        <v>0</v>
      </c>
      <c r="BH173" s="22">
        <f>IF('Growth (no penalty)'!BG163&gt;0,1,IF('Growth (no penalty)'!BG266&gt;0,4,0))</f>
        <v>0</v>
      </c>
      <c r="BI173" s="22">
        <f>IF('Growth (no penalty)'!BH163&gt;0,1,IF('Growth (no penalty)'!BH266&gt;0,4,0))</f>
        <v>0</v>
      </c>
      <c r="BJ173" s="22">
        <f>IF('Growth (no penalty)'!BI163&gt;0,1,IF('Growth (no penalty)'!BI266&gt;0,4,0))</f>
        <v>0</v>
      </c>
      <c r="BK173" s="23">
        <f>IF('Growth (no penalty)'!BJ163&gt;0,1,IF('Growth (no penalty)'!BJ266&gt;0,4,0))</f>
        <v>0</v>
      </c>
    </row>
    <row r="174" spans="1:63" x14ac:dyDescent="0.3">
      <c r="A174" s="4" t="str">
        <f>'Growth profile'!A115</f>
        <v>project 190</v>
      </c>
      <c r="B174" s="13" t="s">
        <v>3</v>
      </c>
      <c r="C174" s="19">
        <f>'Raw profile'!I115</f>
        <v>2037</v>
      </c>
      <c r="D174" s="20">
        <f>IF('Raw profile'!C223&gt;0,1,IF('Raw profile'!C326&gt;0,2,0))</f>
        <v>0</v>
      </c>
      <c r="E174" s="20">
        <f>IF('Raw profile'!D223&gt;0,1,IF('Raw profile'!D326&gt;0,2,0))</f>
        <v>0</v>
      </c>
      <c r="F174" s="20">
        <f>IF('Raw profile'!E223&gt;0,1,IF('Raw profile'!E326&gt;0,2,0))</f>
        <v>0</v>
      </c>
      <c r="G174" s="20">
        <f>IF('Raw profile'!F223&gt;0,1,IF('Raw profile'!F326&gt;0,2,0))</f>
        <v>0</v>
      </c>
      <c r="H174" s="20">
        <f>IF('Raw profile'!G223&gt;0,1,IF('Raw profile'!G326&gt;0,2,0))</f>
        <v>0</v>
      </c>
      <c r="I174" s="20">
        <f>IF('Raw profile'!H223&gt;0,1,IF('Raw profile'!H326&gt;0,2,0))</f>
        <v>0</v>
      </c>
      <c r="J174" s="20">
        <f>IF('Raw profile'!I223&gt;0,1,IF('Raw profile'!I326&gt;0,2,0))</f>
        <v>0</v>
      </c>
      <c r="K174" s="20">
        <f>IF('Raw profile'!J223&gt;0,1,IF('Raw profile'!J326&gt;0,2,0))</f>
        <v>0</v>
      </c>
      <c r="L174" s="20">
        <f>IF('Raw profile'!K223&gt;0,1,IF('Raw profile'!K326&gt;0,2,0))</f>
        <v>0</v>
      </c>
      <c r="M174" s="20">
        <f>IF('Raw profile'!L223&gt;0,1,IF('Raw profile'!L326&gt;0,2,0))</f>
        <v>0</v>
      </c>
      <c r="N174" s="20">
        <f>IF('Raw profile'!M223&gt;0,1,IF('Raw profile'!M326&gt;0,2,0))</f>
        <v>0</v>
      </c>
      <c r="O174" s="20">
        <f>IF('Raw profile'!N223&gt;0,1,IF('Raw profile'!N326&gt;0,2,0))</f>
        <v>1</v>
      </c>
      <c r="P174" s="20">
        <f>IF('Raw profile'!O223&gt;0,1,IF('Raw profile'!O326&gt;0,2,0))</f>
        <v>2</v>
      </c>
      <c r="Q174" s="20">
        <f>IF('Raw profile'!P223&gt;0,1,IF('Raw profile'!P326&gt;0,2,0))</f>
        <v>2</v>
      </c>
      <c r="R174" s="20">
        <f>IF('Raw profile'!Q223&gt;0,1,IF('Raw profile'!Q326&gt;0,2,0))</f>
        <v>2</v>
      </c>
      <c r="S174" s="20">
        <f>IF('Raw profile'!R223&gt;0,1,IF('Raw profile'!R326&gt;0,2,0))</f>
        <v>2</v>
      </c>
      <c r="T174" s="20">
        <f>IF('Raw profile'!S223&gt;0,1,IF('Raw profile'!S326&gt;0,2,0))</f>
        <v>2</v>
      </c>
      <c r="U174" s="20">
        <f>IF('Raw profile'!T223&gt;0,1,IF('Raw profile'!T326&gt;0,2,0))</f>
        <v>2</v>
      </c>
      <c r="V174" s="20">
        <f>IF('Raw profile'!U223&gt;0,1,IF('Raw profile'!U326&gt;0,2,0))</f>
        <v>2</v>
      </c>
      <c r="W174" s="20">
        <f>IF('Raw profile'!V223&gt;0,1,IF('Raw profile'!V326&gt;0,2,0))</f>
        <v>2</v>
      </c>
      <c r="X174" s="20">
        <f>IF('Raw profile'!W223&gt;0,1,IF('Raw profile'!W326&gt;0,2,0))</f>
        <v>2</v>
      </c>
      <c r="Y174" s="20">
        <f>IF('Raw profile'!X223&gt;0,1,IF('Raw profile'!X326&gt;0,2,0))</f>
        <v>2</v>
      </c>
      <c r="Z174" s="20">
        <f>IF('Raw profile'!Y223&gt;0,1,IF('Raw profile'!Y326&gt;0,2,0))</f>
        <v>2</v>
      </c>
      <c r="AA174" s="20">
        <f>IF('Raw profile'!Z223&gt;0,1,IF('Raw profile'!Z326&gt;0,2,0))</f>
        <v>2</v>
      </c>
      <c r="AB174" s="20">
        <f>IF('Raw profile'!AA223&gt;0,1,IF('Raw profile'!AA326&gt;0,2,0))</f>
        <v>2</v>
      </c>
      <c r="AC174" s="20">
        <f>IF('Raw profile'!AB223&gt;0,1,IF('Raw profile'!AB326&gt;0,2,0))</f>
        <v>2</v>
      </c>
      <c r="AD174" s="20">
        <f>IF('Raw profile'!AC223&gt;0,1,IF('Raw profile'!AC326&gt;0,2,0))</f>
        <v>2</v>
      </c>
      <c r="AE174" s="20">
        <f>IF('Raw profile'!AD223&gt;0,1,IF('Raw profile'!AD326&gt;0,2,0))</f>
        <v>2</v>
      </c>
      <c r="AF174" s="20">
        <f>IF('Raw profile'!AE223&gt;0,1,IF('Raw profile'!AE326&gt;0,2,0))</f>
        <v>2</v>
      </c>
      <c r="AG174" s="20">
        <f>IF('Raw profile'!AF223&gt;0,1,IF('Raw profile'!AF326&gt;0,2,0))</f>
        <v>2</v>
      </c>
      <c r="AH174" s="20">
        <f>IF('Raw profile'!AG223&gt;0,1,IF('Raw profile'!AG326&gt;0,2,0))</f>
        <v>2</v>
      </c>
      <c r="AI174" s="20">
        <f>IF('Raw profile'!AH223&gt;0,1,IF('Raw profile'!AH326&gt;0,2,0))</f>
        <v>2</v>
      </c>
      <c r="AJ174" s="20">
        <f>IF('Raw profile'!AI223&gt;0,1,IF('Raw profile'!AI326&gt;0,2,0))</f>
        <v>2</v>
      </c>
      <c r="AK174" s="20">
        <f>IF('Raw profile'!AJ223&gt;0,1,IF('Raw profile'!AJ326&gt;0,2,0))</f>
        <v>2</v>
      </c>
      <c r="AL174" s="20">
        <f>IF('Raw profile'!AK223&gt;0,1,IF('Raw profile'!AK326&gt;0,2,0))</f>
        <v>2</v>
      </c>
      <c r="AM174" s="20">
        <f>IF('Raw profile'!AL223&gt;0,1,IF('Raw profile'!AL326&gt;0,2,0))</f>
        <v>2</v>
      </c>
      <c r="AN174" s="20">
        <f>IF('Raw profile'!AM223&gt;0,1,IF('Raw profile'!AM326&gt;0,2,0))</f>
        <v>2</v>
      </c>
      <c r="AO174" s="20">
        <f>IF('Raw profile'!AN223&gt;0,1,IF('Raw profile'!AN326&gt;0,2,0))</f>
        <v>2</v>
      </c>
      <c r="AP174" s="20">
        <f>IF('Raw profile'!AO223&gt;0,1,IF('Raw profile'!AO326&gt;0,2,0))</f>
        <v>2</v>
      </c>
      <c r="AQ174" s="20">
        <f>IF('Raw profile'!AP223&gt;0,1,IF('Raw profile'!AP326&gt;0,2,0))</f>
        <v>2</v>
      </c>
      <c r="AR174" s="20">
        <f>IF('Raw profile'!AQ223&gt;0,1,IF('Raw profile'!AQ326&gt;0,2,0))</f>
        <v>2</v>
      </c>
      <c r="AS174" s="20">
        <f>IF('Raw profile'!AR223&gt;0,1,IF('Raw profile'!AR326&gt;0,2,0))</f>
        <v>2</v>
      </c>
      <c r="AT174" s="20">
        <f>IF('Raw profile'!AS223&gt;0,1,IF('Raw profile'!AS326&gt;0,2,0))</f>
        <v>2</v>
      </c>
      <c r="AU174" s="20">
        <f>IF('Raw profile'!AT223&gt;0,1,IF('Raw profile'!AT326&gt;0,2,0))</f>
        <v>2</v>
      </c>
      <c r="AV174" s="20">
        <f>IF('Raw profile'!AU223&gt;0,1,IF('Raw profile'!AU326&gt;0,2,0))</f>
        <v>2</v>
      </c>
      <c r="AW174" s="20">
        <f>IF('Raw profile'!AV223&gt;0,1,IF('Raw profile'!AV326&gt;0,2,0))</f>
        <v>2</v>
      </c>
      <c r="AX174" s="20">
        <f>IF('Raw profile'!AW223&gt;0,1,IF('Raw profile'!AW326&gt;0,2,0))</f>
        <v>2</v>
      </c>
      <c r="AY174" s="20">
        <f>IF('Raw profile'!AX223&gt;0,1,IF('Raw profile'!AX326&gt;0,2,0))</f>
        <v>2</v>
      </c>
      <c r="AZ174" s="20">
        <f>IF('Raw profile'!AY223&gt;0,1,IF('Raw profile'!AY326&gt;0,2,0))</f>
        <v>2</v>
      </c>
      <c r="BA174" s="20">
        <f>IF('Raw profile'!AZ223&gt;0,1,IF('Raw profile'!AZ326&gt;0,2,0))</f>
        <v>2</v>
      </c>
      <c r="BB174" s="20">
        <f>IF('Raw profile'!BA223&gt;0,1,IF('Raw profile'!BA326&gt;0,2,0))</f>
        <v>2</v>
      </c>
      <c r="BC174" s="20">
        <f>IF('Raw profile'!BB223&gt;0,1,IF('Raw profile'!BB326&gt;0,2,0))</f>
        <v>2</v>
      </c>
      <c r="BD174" s="20">
        <f>IF('Raw profile'!BC223&gt;0,1,IF('Raw profile'!BC326&gt;0,2,0))</f>
        <v>0</v>
      </c>
      <c r="BE174" s="20">
        <f>IF('Raw profile'!BD223&gt;0,1,IF('Raw profile'!BD326&gt;0,2,0))</f>
        <v>0</v>
      </c>
      <c r="BF174" s="20">
        <f>IF('Raw profile'!BE223&gt;0,1,IF('Raw profile'!BE326&gt;0,2,0))</f>
        <v>0</v>
      </c>
      <c r="BG174" s="20">
        <f>IF('Raw profile'!BF223&gt;0,1,IF('Raw profile'!BF326&gt;0,2,0))</f>
        <v>0</v>
      </c>
      <c r="BH174" s="20">
        <f>IF('Raw profile'!BG223&gt;0,1,IF('Raw profile'!BG326&gt;0,2,0))</f>
        <v>0</v>
      </c>
      <c r="BI174" s="20">
        <f>IF('Raw profile'!BH223&gt;0,1,IF('Raw profile'!BH326&gt;0,2,0))</f>
        <v>0</v>
      </c>
      <c r="BJ174" s="20">
        <f>IF('Raw profile'!BI223&gt;0,1,IF('Raw profile'!BI326&gt;0,2,0))</f>
        <v>0</v>
      </c>
      <c r="BK174" s="21">
        <f>IF('Raw profile'!BJ223&gt;0,1,IF('Raw profile'!BJ326&gt;0,2,0))</f>
        <v>0</v>
      </c>
    </row>
    <row r="175" spans="1:63" x14ac:dyDescent="0.3">
      <c r="B175" s="13" t="s">
        <v>4</v>
      </c>
      <c r="C175" s="19">
        <f>'Growth profile'!I115</f>
        <v>2026</v>
      </c>
      <c r="D175" s="20">
        <f>IF('Growth profile'!C223&gt;0,1,IF('Growth profile'!C326&gt;0,3,0))</f>
        <v>1</v>
      </c>
      <c r="E175" s="20">
        <f>IF('Growth profile'!D223&gt;0,1,IF('Growth profile'!D326&gt;0,3,0))</f>
        <v>3</v>
      </c>
      <c r="F175" s="20">
        <f>IF('Growth profile'!E223&gt;0,1,IF('Growth profile'!E326&gt;0,3,0))</f>
        <v>3</v>
      </c>
      <c r="G175" s="20">
        <f>IF('Growth profile'!F223&gt;0,1,IF('Growth profile'!F326&gt;0,3,0))</f>
        <v>3</v>
      </c>
      <c r="H175" s="20">
        <f>IF('Growth profile'!G223&gt;0,1,IF('Growth profile'!G326&gt;0,3,0))</f>
        <v>3</v>
      </c>
      <c r="I175" s="20">
        <f>IF('Growth profile'!H223&gt;0,1,IF('Growth profile'!H326&gt;0,3,0))</f>
        <v>3</v>
      </c>
      <c r="J175" s="20">
        <f>IF('Growth profile'!I223&gt;0,1,IF('Growth profile'!I326&gt;0,3,0))</f>
        <v>3</v>
      </c>
      <c r="K175" s="20">
        <f>IF('Growth profile'!J223&gt;0,1,IF('Growth profile'!J326&gt;0,3,0))</f>
        <v>3</v>
      </c>
      <c r="L175" s="20">
        <f>IF('Growth profile'!K223&gt;0,1,IF('Growth profile'!K326&gt;0,3,0))</f>
        <v>3</v>
      </c>
      <c r="M175" s="20">
        <f>IF('Growth profile'!L223&gt;0,1,IF('Growth profile'!L326&gt;0,3,0))</f>
        <v>3</v>
      </c>
      <c r="N175" s="20">
        <f>IF('Growth profile'!M223&gt;0,1,IF('Growth profile'!M326&gt;0,3,0))</f>
        <v>3</v>
      </c>
      <c r="O175" s="20">
        <f>IF('Growth profile'!N223&gt;0,1,IF('Growth profile'!N326&gt;0,3,0))</f>
        <v>3</v>
      </c>
      <c r="P175" s="20">
        <f>IF('Growth profile'!O223&gt;0,1,IF('Growth profile'!O326&gt;0,3,0))</f>
        <v>3</v>
      </c>
      <c r="Q175" s="20">
        <f>IF('Growth profile'!P223&gt;0,1,IF('Growth profile'!P326&gt;0,3,0))</f>
        <v>3</v>
      </c>
      <c r="R175" s="20">
        <f>IF('Growth profile'!Q223&gt;0,1,IF('Growth profile'!Q326&gt;0,3,0))</f>
        <v>3</v>
      </c>
      <c r="S175" s="20">
        <f>IF('Growth profile'!R223&gt;0,1,IF('Growth profile'!R326&gt;0,3,0))</f>
        <v>3</v>
      </c>
      <c r="T175" s="20">
        <f>IF('Growth profile'!S223&gt;0,1,IF('Growth profile'!S326&gt;0,3,0))</f>
        <v>3</v>
      </c>
      <c r="U175" s="20">
        <f>IF('Growth profile'!T223&gt;0,1,IF('Growth profile'!T326&gt;0,3,0))</f>
        <v>3</v>
      </c>
      <c r="V175" s="20">
        <f>IF('Growth profile'!U223&gt;0,1,IF('Growth profile'!U326&gt;0,3,0))</f>
        <v>3</v>
      </c>
      <c r="W175" s="20">
        <f>IF('Growth profile'!V223&gt;0,1,IF('Growth profile'!V326&gt;0,3,0))</f>
        <v>3</v>
      </c>
      <c r="X175" s="20">
        <f>IF('Growth profile'!W223&gt;0,1,IF('Growth profile'!W326&gt;0,3,0))</f>
        <v>3</v>
      </c>
      <c r="Y175" s="20">
        <f>IF('Growth profile'!X223&gt;0,1,IF('Growth profile'!X326&gt;0,3,0))</f>
        <v>3</v>
      </c>
      <c r="Z175" s="20">
        <f>IF('Growth profile'!Y223&gt;0,1,IF('Growth profile'!Y326&gt;0,3,0))</f>
        <v>3</v>
      </c>
      <c r="AA175" s="20">
        <f>IF('Growth profile'!Z223&gt;0,1,IF('Growth profile'!Z326&gt;0,3,0))</f>
        <v>3</v>
      </c>
      <c r="AB175" s="20">
        <f>IF('Growth profile'!AA223&gt;0,1,IF('Growth profile'!AA326&gt;0,3,0))</f>
        <v>3</v>
      </c>
      <c r="AC175" s="20">
        <f>IF('Growth profile'!AB223&gt;0,1,IF('Growth profile'!AB326&gt;0,3,0))</f>
        <v>3</v>
      </c>
      <c r="AD175" s="20">
        <f>IF('Growth profile'!AC223&gt;0,1,IF('Growth profile'!AC326&gt;0,3,0))</f>
        <v>3</v>
      </c>
      <c r="AE175" s="20">
        <f>IF('Growth profile'!AD223&gt;0,1,IF('Growth profile'!AD326&gt;0,3,0))</f>
        <v>3</v>
      </c>
      <c r="AF175" s="20">
        <f>IF('Growth profile'!AE223&gt;0,1,IF('Growth profile'!AE326&gt;0,3,0))</f>
        <v>3</v>
      </c>
      <c r="AG175" s="20">
        <f>IF('Growth profile'!AF223&gt;0,1,IF('Growth profile'!AF326&gt;0,3,0))</f>
        <v>3</v>
      </c>
      <c r="AH175" s="20">
        <f>IF('Growth profile'!AG223&gt;0,1,IF('Growth profile'!AG326&gt;0,3,0))</f>
        <v>3</v>
      </c>
      <c r="AI175" s="20">
        <f>IF('Growth profile'!AH223&gt;0,1,IF('Growth profile'!AH326&gt;0,3,0))</f>
        <v>3</v>
      </c>
      <c r="AJ175" s="20">
        <f>IF('Growth profile'!AI223&gt;0,1,IF('Growth profile'!AI326&gt;0,3,0))</f>
        <v>3</v>
      </c>
      <c r="AK175" s="20">
        <f>IF('Growth profile'!AJ223&gt;0,1,IF('Growth profile'!AJ326&gt;0,3,0))</f>
        <v>3</v>
      </c>
      <c r="AL175" s="20">
        <f>IF('Growth profile'!AK223&gt;0,1,IF('Growth profile'!AK326&gt;0,3,0))</f>
        <v>3</v>
      </c>
      <c r="AM175" s="20">
        <f>IF('Growth profile'!AL223&gt;0,1,IF('Growth profile'!AL326&gt;0,3,0))</f>
        <v>3</v>
      </c>
      <c r="AN175" s="20">
        <f>IF('Growth profile'!AM223&gt;0,1,IF('Growth profile'!AM326&gt;0,3,0))</f>
        <v>3</v>
      </c>
      <c r="AO175" s="20">
        <f>IF('Growth profile'!AN223&gt;0,1,IF('Growth profile'!AN326&gt;0,3,0))</f>
        <v>3</v>
      </c>
      <c r="AP175" s="20">
        <f>IF('Growth profile'!AO223&gt;0,1,IF('Growth profile'!AO326&gt;0,3,0))</f>
        <v>3</v>
      </c>
      <c r="AQ175" s="20">
        <f>IF('Growth profile'!AP223&gt;0,1,IF('Growth profile'!AP326&gt;0,3,0))</f>
        <v>3</v>
      </c>
      <c r="AR175" s="20">
        <f>IF('Growth profile'!AQ223&gt;0,1,IF('Growth profile'!AQ326&gt;0,3,0))</f>
        <v>3</v>
      </c>
      <c r="AS175" s="20">
        <f>IF('Growth profile'!AR223&gt;0,1,IF('Growth profile'!AR326&gt;0,3,0))</f>
        <v>0</v>
      </c>
      <c r="AT175" s="20">
        <f>IF('Growth profile'!AS223&gt;0,1,IF('Growth profile'!AS326&gt;0,3,0))</f>
        <v>0</v>
      </c>
      <c r="AU175" s="20">
        <f>IF('Growth profile'!AT223&gt;0,1,IF('Growth profile'!AT326&gt;0,3,0))</f>
        <v>0</v>
      </c>
      <c r="AV175" s="20">
        <f>IF('Growth profile'!AU223&gt;0,1,IF('Growth profile'!AU326&gt;0,3,0))</f>
        <v>0</v>
      </c>
      <c r="AW175" s="20">
        <f>IF('Growth profile'!AV223&gt;0,1,IF('Growth profile'!AV326&gt;0,3,0))</f>
        <v>0</v>
      </c>
      <c r="AX175" s="20">
        <f>IF('Growth profile'!AW223&gt;0,1,IF('Growth profile'!AW326&gt;0,3,0))</f>
        <v>0</v>
      </c>
      <c r="AY175" s="20">
        <f>IF('Growth profile'!AX223&gt;0,1,IF('Growth profile'!AX326&gt;0,3,0))</f>
        <v>0</v>
      </c>
      <c r="AZ175" s="20">
        <f>IF('Growth profile'!AY223&gt;0,1,IF('Growth profile'!AY326&gt;0,3,0))</f>
        <v>0</v>
      </c>
      <c r="BA175" s="20">
        <f>IF('Growth profile'!AZ223&gt;0,1,IF('Growth profile'!AZ326&gt;0,3,0))</f>
        <v>0</v>
      </c>
      <c r="BB175" s="20">
        <f>IF('Growth profile'!BA223&gt;0,1,IF('Growth profile'!BA326&gt;0,3,0))</f>
        <v>0</v>
      </c>
      <c r="BC175" s="20">
        <f>IF('Growth profile'!BB223&gt;0,1,IF('Growth profile'!BB326&gt;0,3,0))</f>
        <v>0</v>
      </c>
      <c r="BD175" s="20">
        <f>IF('Growth profile'!BC223&gt;0,1,IF('Growth profile'!BC326&gt;0,3,0))</f>
        <v>0</v>
      </c>
      <c r="BE175" s="20">
        <f>IF('Growth profile'!BD223&gt;0,1,IF('Growth profile'!BD326&gt;0,3,0))</f>
        <v>0</v>
      </c>
      <c r="BF175" s="20">
        <f>IF('Growth profile'!BE223&gt;0,1,IF('Growth profile'!BE326&gt;0,3,0))</f>
        <v>0</v>
      </c>
      <c r="BG175" s="20">
        <f>IF('Growth profile'!BF223&gt;0,1,IF('Growth profile'!BF326&gt;0,3,0))</f>
        <v>0</v>
      </c>
      <c r="BH175" s="20">
        <f>IF('Growth profile'!BG223&gt;0,1,IF('Growth profile'!BG326&gt;0,3,0))</f>
        <v>0</v>
      </c>
      <c r="BI175" s="20">
        <f>IF('Growth profile'!BH223&gt;0,1,IF('Growth profile'!BH326&gt;0,3,0))</f>
        <v>0</v>
      </c>
      <c r="BJ175" s="20">
        <f>IF('Growth profile'!BI223&gt;0,1,IF('Growth profile'!BI326&gt;0,3,0))</f>
        <v>0</v>
      </c>
      <c r="BK175" s="21">
        <f>IF('Growth profile'!BJ223&gt;0,1,IF('Growth profile'!BJ326&gt;0,3,0))</f>
        <v>0</v>
      </c>
    </row>
    <row r="176" spans="1:63" x14ac:dyDescent="0.3">
      <c r="B176" s="13" t="s">
        <v>59</v>
      </c>
      <c r="C176" s="19">
        <f>'Growth (no penalty)'!I115</f>
        <v>2026</v>
      </c>
      <c r="D176" s="22">
        <f>IF('Growth (no penalty)'!C223&gt;0,1,IF('Growth (no penalty)'!C326&gt;0,4,0))</f>
        <v>1</v>
      </c>
      <c r="E176" s="22">
        <f>IF('Growth (no penalty)'!D223&gt;0,1,IF('Growth (no penalty)'!D326&gt;0,4,0))</f>
        <v>4</v>
      </c>
      <c r="F176" s="22">
        <f>IF('Growth (no penalty)'!E223&gt;0,1,IF('Growth (no penalty)'!E326&gt;0,4,0))</f>
        <v>4</v>
      </c>
      <c r="G176" s="22">
        <f>IF('Growth (no penalty)'!F223&gt;0,1,IF('Growth (no penalty)'!F326&gt;0,4,0))</f>
        <v>4</v>
      </c>
      <c r="H176" s="22">
        <f>IF('Growth (no penalty)'!G223&gt;0,1,IF('Growth (no penalty)'!G326&gt;0,4,0))</f>
        <v>4</v>
      </c>
      <c r="I176" s="22">
        <f>IF('Growth (no penalty)'!H223&gt;0,1,IF('Growth (no penalty)'!H326&gt;0,4,0))</f>
        <v>4</v>
      </c>
      <c r="J176" s="22">
        <f>IF('Growth (no penalty)'!I223&gt;0,1,IF('Growth (no penalty)'!I326&gt;0,4,0))</f>
        <v>4</v>
      </c>
      <c r="K176" s="22">
        <f>IF('Growth (no penalty)'!J223&gt;0,1,IF('Growth (no penalty)'!J326&gt;0,4,0))</f>
        <v>4</v>
      </c>
      <c r="L176" s="22">
        <f>IF('Growth (no penalty)'!K223&gt;0,1,IF('Growth (no penalty)'!K326&gt;0,4,0))</f>
        <v>4</v>
      </c>
      <c r="M176" s="22">
        <f>IF('Growth (no penalty)'!L223&gt;0,1,IF('Growth (no penalty)'!L326&gt;0,4,0))</f>
        <v>4</v>
      </c>
      <c r="N176" s="22">
        <f>IF('Growth (no penalty)'!M223&gt;0,1,IF('Growth (no penalty)'!M326&gt;0,4,0))</f>
        <v>4</v>
      </c>
      <c r="O176" s="22">
        <f>IF('Growth (no penalty)'!N223&gt;0,1,IF('Growth (no penalty)'!N326&gt;0,4,0))</f>
        <v>4</v>
      </c>
      <c r="P176" s="22">
        <f>IF('Growth (no penalty)'!O223&gt;0,1,IF('Growth (no penalty)'!O326&gt;0,4,0))</f>
        <v>4</v>
      </c>
      <c r="Q176" s="22">
        <f>IF('Growth (no penalty)'!P223&gt;0,1,IF('Growth (no penalty)'!P326&gt;0,4,0))</f>
        <v>4</v>
      </c>
      <c r="R176" s="22">
        <f>IF('Growth (no penalty)'!Q223&gt;0,1,IF('Growth (no penalty)'!Q326&gt;0,4,0))</f>
        <v>4</v>
      </c>
      <c r="S176" s="22">
        <f>IF('Growth (no penalty)'!R223&gt;0,1,IF('Growth (no penalty)'!R326&gt;0,4,0))</f>
        <v>4</v>
      </c>
      <c r="T176" s="22">
        <f>IF('Growth (no penalty)'!S223&gt;0,1,IF('Growth (no penalty)'!S326&gt;0,4,0))</f>
        <v>4</v>
      </c>
      <c r="U176" s="22">
        <f>IF('Growth (no penalty)'!T223&gt;0,1,IF('Growth (no penalty)'!T326&gt;0,4,0))</f>
        <v>4</v>
      </c>
      <c r="V176" s="22">
        <f>IF('Growth (no penalty)'!U223&gt;0,1,IF('Growth (no penalty)'!U326&gt;0,4,0))</f>
        <v>4</v>
      </c>
      <c r="W176" s="22">
        <f>IF('Growth (no penalty)'!V223&gt;0,1,IF('Growth (no penalty)'!V326&gt;0,4,0))</f>
        <v>4</v>
      </c>
      <c r="X176" s="22">
        <f>IF('Growth (no penalty)'!W223&gt;0,1,IF('Growth (no penalty)'!W326&gt;0,4,0))</f>
        <v>4</v>
      </c>
      <c r="Y176" s="22">
        <f>IF('Growth (no penalty)'!X223&gt;0,1,IF('Growth (no penalty)'!X326&gt;0,4,0))</f>
        <v>4</v>
      </c>
      <c r="Z176" s="22">
        <f>IF('Growth (no penalty)'!Y223&gt;0,1,IF('Growth (no penalty)'!Y326&gt;0,4,0))</f>
        <v>4</v>
      </c>
      <c r="AA176" s="22">
        <f>IF('Growth (no penalty)'!Z223&gt;0,1,IF('Growth (no penalty)'!Z326&gt;0,4,0))</f>
        <v>4</v>
      </c>
      <c r="AB176" s="22">
        <f>IF('Growth (no penalty)'!AA223&gt;0,1,IF('Growth (no penalty)'!AA326&gt;0,4,0))</f>
        <v>4</v>
      </c>
      <c r="AC176" s="22">
        <f>IF('Growth (no penalty)'!AB223&gt;0,1,IF('Growth (no penalty)'!AB326&gt;0,4,0))</f>
        <v>4</v>
      </c>
      <c r="AD176" s="22">
        <f>IF('Growth (no penalty)'!AC223&gt;0,1,IF('Growth (no penalty)'!AC326&gt;0,4,0))</f>
        <v>4</v>
      </c>
      <c r="AE176" s="22">
        <f>IF('Growth (no penalty)'!AD223&gt;0,1,IF('Growth (no penalty)'!AD326&gt;0,4,0))</f>
        <v>4</v>
      </c>
      <c r="AF176" s="22">
        <f>IF('Growth (no penalty)'!AE223&gt;0,1,IF('Growth (no penalty)'!AE326&gt;0,4,0))</f>
        <v>4</v>
      </c>
      <c r="AG176" s="22">
        <f>IF('Growth (no penalty)'!AF223&gt;0,1,IF('Growth (no penalty)'!AF326&gt;0,4,0))</f>
        <v>4</v>
      </c>
      <c r="AH176" s="22">
        <f>IF('Growth (no penalty)'!AG223&gt;0,1,IF('Growth (no penalty)'!AG326&gt;0,4,0))</f>
        <v>4</v>
      </c>
      <c r="AI176" s="22">
        <f>IF('Growth (no penalty)'!AH223&gt;0,1,IF('Growth (no penalty)'!AH326&gt;0,4,0))</f>
        <v>4</v>
      </c>
      <c r="AJ176" s="22">
        <f>IF('Growth (no penalty)'!AI223&gt;0,1,IF('Growth (no penalty)'!AI326&gt;0,4,0))</f>
        <v>4</v>
      </c>
      <c r="AK176" s="22">
        <f>IF('Growth (no penalty)'!AJ223&gt;0,1,IF('Growth (no penalty)'!AJ326&gt;0,4,0))</f>
        <v>4</v>
      </c>
      <c r="AL176" s="22">
        <f>IF('Growth (no penalty)'!AK223&gt;0,1,IF('Growth (no penalty)'!AK326&gt;0,4,0))</f>
        <v>4</v>
      </c>
      <c r="AM176" s="22">
        <f>IF('Growth (no penalty)'!AL223&gt;0,1,IF('Growth (no penalty)'!AL326&gt;0,4,0))</f>
        <v>4</v>
      </c>
      <c r="AN176" s="22">
        <f>IF('Growth (no penalty)'!AM223&gt;0,1,IF('Growth (no penalty)'!AM326&gt;0,4,0))</f>
        <v>4</v>
      </c>
      <c r="AO176" s="22">
        <f>IF('Growth (no penalty)'!AN223&gt;0,1,IF('Growth (no penalty)'!AN326&gt;0,4,0))</f>
        <v>4</v>
      </c>
      <c r="AP176" s="22">
        <f>IF('Growth (no penalty)'!AO223&gt;0,1,IF('Growth (no penalty)'!AO326&gt;0,4,0))</f>
        <v>4</v>
      </c>
      <c r="AQ176" s="22">
        <f>IF('Growth (no penalty)'!AP223&gt;0,1,IF('Growth (no penalty)'!AP326&gt;0,4,0))</f>
        <v>4</v>
      </c>
      <c r="AR176" s="22">
        <f>IF('Growth (no penalty)'!AQ223&gt;0,1,IF('Growth (no penalty)'!AQ326&gt;0,4,0))</f>
        <v>4</v>
      </c>
      <c r="AS176" s="22">
        <f>IF('Growth (no penalty)'!AR223&gt;0,1,IF('Growth (no penalty)'!AR326&gt;0,4,0))</f>
        <v>0</v>
      </c>
      <c r="AT176" s="22">
        <f>IF('Growth (no penalty)'!AS223&gt;0,1,IF('Growth (no penalty)'!AS326&gt;0,4,0))</f>
        <v>0</v>
      </c>
      <c r="AU176" s="22">
        <f>IF('Growth (no penalty)'!AT223&gt;0,1,IF('Growth (no penalty)'!AT326&gt;0,4,0))</f>
        <v>0</v>
      </c>
      <c r="AV176" s="22">
        <f>IF('Growth (no penalty)'!AU223&gt;0,1,IF('Growth (no penalty)'!AU326&gt;0,4,0))</f>
        <v>0</v>
      </c>
      <c r="AW176" s="22">
        <f>IF('Growth (no penalty)'!AV223&gt;0,1,IF('Growth (no penalty)'!AV326&gt;0,4,0))</f>
        <v>0</v>
      </c>
      <c r="AX176" s="22">
        <f>IF('Growth (no penalty)'!AW223&gt;0,1,IF('Growth (no penalty)'!AW326&gt;0,4,0))</f>
        <v>0</v>
      </c>
      <c r="AY176" s="22">
        <f>IF('Growth (no penalty)'!AX223&gt;0,1,IF('Growth (no penalty)'!AX326&gt;0,4,0))</f>
        <v>0</v>
      </c>
      <c r="AZ176" s="22">
        <f>IF('Growth (no penalty)'!AY223&gt;0,1,IF('Growth (no penalty)'!AY326&gt;0,4,0))</f>
        <v>0</v>
      </c>
      <c r="BA176" s="22">
        <f>IF('Growth (no penalty)'!AZ223&gt;0,1,IF('Growth (no penalty)'!AZ326&gt;0,4,0))</f>
        <v>0</v>
      </c>
      <c r="BB176" s="22">
        <f>IF('Growth (no penalty)'!BA223&gt;0,1,IF('Growth (no penalty)'!BA326&gt;0,4,0))</f>
        <v>0</v>
      </c>
      <c r="BC176" s="22">
        <f>IF('Growth (no penalty)'!BB223&gt;0,1,IF('Growth (no penalty)'!BB326&gt;0,4,0))</f>
        <v>0</v>
      </c>
      <c r="BD176" s="22">
        <f>IF('Growth (no penalty)'!BC223&gt;0,1,IF('Growth (no penalty)'!BC326&gt;0,4,0))</f>
        <v>0</v>
      </c>
      <c r="BE176" s="22">
        <f>IF('Growth (no penalty)'!BD223&gt;0,1,IF('Growth (no penalty)'!BD326&gt;0,4,0))</f>
        <v>0</v>
      </c>
      <c r="BF176" s="22">
        <f>IF('Growth (no penalty)'!BE223&gt;0,1,IF('Growth (no penalty)'!BE326&gt;0,4,0))</f>
        <v>0</v>
      </c>
      <c r="BG176" s="22">
        <f>IF('Growth (no penalty)'!BF223&gt;0,1,IF('Growth (no penalty)'!BF326&gt;0,4,0))</f>
        <v>0</v>
      </c>
      <c r="BH176" s="22">
        <f>IF('Growth (no penalty)'!BG223&gt;0,1,IF('Growth (no penalty)'!BG326&gt;0,4,0))</f>
        <v>0</v>
      </c>
      <c r="BI176" s="22">
        <f>IF('Growth (no penalty)'!BH223&gt;0,1,IF('Growth (no penalty)'!BH326&gt;0,4,0))</f>
        <v>0</v>
      </c>
      <c r="BJ176" s="22">
        <f>IF('Growth (no penalty)'!BI223&gt;0,1,IF('Growth (no penalty)'!BI326&gt;0,4,0))</f>
        <v>0</v>
      </c>
      <c r="BK176" s="23">
        <f>IF('Growth (no penalty)'!BJ223&gt;0,1,IF('Growth (no penalty)'!BJ326&gt;0,4,0))</f>
        <v>0</v>
      </c>
    </row>
    <row r="177" spans="1:63" x14ac:dyDescent="0.3">
      <c r="A177" s="4" t="str">
        <f>'Growth profile'!A117</f>
        <v>project 193</v>
      </c>
      <c r="B177" s="13" t="s">
        <v>3</v>
      </c>
      <c r="C177" s="19">
        <f>'Raw profile'!I117</f>
        <v>2037</v>
      </c>
      <c r="D177" s="20">
        <f>IF('Raw profile'!C225&gt;0,1,IF('Raw profile'!C328&gt;0,2,0))</f>
        <v>0</v>
      </c>
      <c r="E177" s="20">
        <f>IF('Raw profile'!D225&gt;0,1,IF('Raw profile'!D328&gt;0,2,0))</f>
        <v>0</v>
      </c>
      <c r="F177" s="20">
        <f>IF('Raw profile'!E225&gt;0,1,IF('Raw profile'!E328&gt;0,2,0))</f>
        <v>0</v>
      </c>
      <c r="G177" s="20">
        <f>IF('Raw profile'!F225&gt;0,1,IF('Raw profile'!F328&gt;0,2,0))</f>
        <v>0</v>
      </c>
      <c r="H177" s="20">
        <f>IF('Raw profile'!G225&gt;0,1,IF('Raw profile'!G328&gt;0,2,0))</f>
        <v>0</v>
      </c>
      <c r="I177" s="20">
        <f>IF('Raw profile'!H225&gt;0,1,IF('Raw profile'!H328&gt;0,2,0))</f>
        <v>0</v>
      </c>
      <c r="J177" s="20">
        <f>IF('Raw profile'!I225&gt;0,1,IF('Raw profile'!I328&gt;0,2,0))</f>
        <v>0</v>
      </c>
      <c r="K177" s="20">
        <f>IF('Raw profile'!J225&gt;0,1,IF('Raw profile'!J328&gt;0,2,0))</f>
        <v>0</v>
      </c>
      <c r="L177" s="20">
        <f>IF('Raw profile'!K225&gt;0,1,IF('Raw profile'!K328&gt;0,2,0))</f>
        <v>0</v>
      </c>
      <c r="M177" s="20">
        <f>IF('Raw profile'!L225&gt;0,1,IF('Raw profile'!L328&gt;0,2,0))</f>
        <v>0</v>
      </c>
      <c r="N177" s="20">
        <f>IF('Raw profile'!M225&gt;0,1,IF('Raw profile'!M328&gt;0,2,0))</f>
        <v>0</v>
      </c>
      <c r="O177" s="20">
        <f>IF('Raw profile'!N225&gt;0,1,IF('Raw profile'!N328&gt;0,2,0))</f>
        <v>1</v>
      </c>
      <c r="P177" s="20">
        <f>IF('Raw profile'!O225&gt;0,1,IF('Raw profile'!O328&gt;0,2,0))</f>
        <v>2</v>
      </c>
      <c r="Q177" s="20">
        <f>IF('Raw profile'!P225&gt;0,1,IF('Raw profile'!P328&gt;0,2,0))</f>
        <v>2</v>
      </c>
      <c r="R177" s="20">
        <f>IF('Raw profile'!Q225&gt;0,1,IF('Raw profile'!Q328&gt;0,2,0))</f>
        <v>2</v>
      </c>
      <c r="S177" s="20">
        <f>IF('Raw profile'!R225&gt;0,1,IF('Raw profile'!R328&gt;0,2,0))</f>
        <v>2</v>
      </c>
      <c r="T177" s="20">
        <f>IF('Raw profile'!S225&gt;0,1,IF('Raw profile'!S328&gt;0,2,0))</f>
        <v>2</v>
      </c>
      <c r="U177" s="20">
        <f>IF('Raw profile'!T225&gt;0,1,IF('Raw profile'!T328&gt;0,2,0))</f>
        <v>2</v>
      </c>
      <c r="V177" s="20">
        <f>IF('Raw profile'!U225&gt;0,1,IF('Raw profile'!U328&gt;0,2,0))</f>
        <v>2</v>
      </c>
      <c r="W177" s="20">
        <f>IF('Raw profile'!V225&gt;0,1,IF('Raw profile'!V328&gt;0,2,0))</f>
        <v>2</v>
      </c>
      <c r="X177" s="20">
        <f>IF('Raw profile'!W225&gt;0,1,IF('Raw profile'!W328&gt;0,2,0))</f>
        <v>2</v>
      </c>
      <c r="Y177" s="20">
        <f>IF('Raw profile'!X225&gt;0,1,IF('Raw profile'!X328&gt;0,2,0))</f>
        <v>2</v>
      </c>
      <c r="Z177" s="20">
        <f>IF('Raw profile'!Y225&gt;0,1,IF('Raw profile'!Y328&gt;0,2,0))</f>
        <v>2</v>
      </c>
      <c r="AA177" s="20">
        <f>IF('Raw profile'!Z225&gt;0,1,IF('Raw profile'!Z328&gt;0,2,0))</f>
        <v>2</v>
      </c>
      <c r="AB177" s="20">
        <f>IF('Raw profile'!AA225&gt;0,1,IF('Raw profile'!AA328&gt;0,2,0))</f>
        <v>2</v>
      </c>
      <c r="AC177" s="20">
        <f>IF('Raw profile'!AB225&gt;0,1,IF('Raw profile'!AB328&gt;0,2,0))</f>
        <v>2</v>
      </c>
      <c r="AD177" s="20">
        <f>IF('Raw profile'!AC225&gt;0,1,IF('Raw profile'!AC328&gt;0,2,0))</f>
        <v>2</v>
      </c>
      <c r="AE177" s="20">
        <f>IF('Raw profile'!AD225&gt;0,1,IF('Raw profile'!AD328&gt;0,2,0))</f>
        <v>2</v>
      </c>
      <c r="AF177" s="20">
        <f>IF('Raw profile'!AE225&gt;0,1,IF('Raw profile'!AE328&gt;0,2,0))</f>
        <v>2</v>
      </c>
      <c r="AG177" s="20">
        <f>IF('Raw profile'!AF225&gt;0,1,IF('Raw profile'!AF328&gt;0,2,0))</f>
        <v>2</v>
      </c>
      <c r="AH177" s="20">
        <f>IF('Raw profile'!AG225&gt;0,1,IF('Raw profile'!AG328&gt;0,2,0))</f>
        <v>2</v>
      </c>
      <c r="AI177" s="20">
        <f>IF('Raw profile'!AH225&gt;0,1,IF('Raw profile'!AH328&gt;0,2,0))</f>
        <v>2</v>
      </c>
      <c r="AJ177" s="20">
        <f>IF('Raw profile'!AI225&gt;0,1,IF('Raw profile'!AI328&gt;0,2,0))</f>
        <v>2</v>
      </c>
      <c r="AK177" s="20">
        <f>IF('Raw profile'!AJ225&gt;0,1,IF('Raw profile'!AJ328&gt;0,2,0))</f>
        <v>2</v>
      </c>
      <c r="AL177" s="20">
        <f>IF('Raw profile'!AK225&gt;0,1,IF('Raw profile'!AK328&gt;0,2,0))</f>
        <v>2</v>
      </c>
      <c r="AM177" s="20">
        <f>IF('Raw profile'!AL225&gt;0,1,IF('Raw profile'!AL328&gt;0,2,0))</f>
        <v>2</v>
      </c>
      <c r="AN177" s="20">
        <f>IF('Raw profile'!AM225&gt;0,1,IF('Raw profile'!AM328&gt;0,2,0))</f>
        <v>2</v>
      </c>
      <c r="AO177" s="20">
        <f>IF('Raw profile'!AN225&gt;0,1,IF('Raw profile'!AN328&gt;0,2,0))</f>
        <v>2</v>
      </c>
      <c r="AP177" s="20">
        <f>IF('Raw profile'!AO225&gt;0,1,IF('Raw profile'!AO328&gt;0,2,0))</f>
        <v>2</v>
      </c>
      <c r="AQ177" s="20">
        <f>IF('Raw profile'!AP225&gt;0,1,IF('Raw profile'!AP328&gt;0,2,0))</f>
        <v>2</v>
      </c>
      <c r="AR177" s="20">
        <f>IF('Raw profile'!AQ225&gt;0,1,IF('Raw profile'!AQ328&gt;0,2,0))</f>
        <v>2</v>
      </c>
      <c r="AS177" s="20">
        <f>IF('Raw profile'!AR225&gt;0,1,IF('Raw profile'!AR328&gt;0,2,0))</f>
        <v>2</v>
      </c>
      <c r="AT177" s="20">
        <f>IF('Raw profile'!AS225&gt;0,1,IF('Raw profile'!AS328&gt;0,2,0))</f>
        <v>2</v>
      </c>
      <c r="AU177" s="20">
        <f>IF('Raw profile'!AT225&gt;0,1,IF('Raw profile'!AT328&gt;0,2,0))</f>
        <v>2</v>
      </c>
      <c r="AV177" s="20">
        <f>IF('Raw profile'!AU225&gt;0,1,IF('Raw profile'!AU328&gt;0,2,0))</f>
        <v>2</v>
      </c>
      <c r="AW177" s="20">
        <f>IF('Raw profile'!AV225&gt;0,1,IF('Raw profile'!AV328&gt;0,2,0))</f>
        <v>2</v>
      </c>
      <c r="AX177" s="20">
        <f>IF('Raw profile'!AW225&gt;0,1,IF('Raw profile'!AW328&gt;0,2,0))</f>
        <v>2</v>
      </c>
      <c r="AY177" s="20">
        <f>IF('Raw profile'!AX225&gt;0,1,IF('Raw profile'!AX328&gt;0,2,0))</f>
        <v>2</v>
      </c>
      <c r="AZ177" s="20">
        <f>IF('Raw profile'!AY225&gt;0,1,IF('Raw profile'!AY328&gt;0,2,0))</f>
        <v>2</v>
      </c>
      <c r="BA177" s="20">
        <f>IF('Raw profile'!AZ225&gt;0,1,IF('Raw profile'!AZ328&gt;0,2,0))</f>
        <v>2</v>
      </c>
      <c r="BB177" s="20">
        <f>IF('Raw profile'!BA225&gt;0,1,IF('Raw profile'!BA328&gt;0,2,0))</f>
        <v>2</v>
      </c>
      <c r="BC177" s="20">
        <f>IF('Raw profile'!BB225&gt;0,1,IF('Raw profile'!BB328&gt;0,2,0))</f>
        <v>2</v>
      </c>
      <c r="BD177" s="20">
        <f>IF('Raw profile'!BC225&gt;0,1,IF('Raw profile'!BC328&gt;0,2,0))</f>
        <v>0</v>
      </c>
      <c r="BE177" s="20">
        <f>IF('Raw profile'!BD225&gt;0,1,IF('Raw profile'!BD328&gt;0,2,0))</f>
        <v>0</v>
      </c>
      <c r="BF177" s="20">
        <f>IF('Raw profile'!BE225&gt;0,1,IF('Raw profile'!BE328&gt;0,2,0))</f>
        <v>0</v>
      </c>
      <c r="BG177" s="20">
        <f>IF('Raw profile'!BF225&gt;0,1,IF('Raw profile'!BF328&gt;0,2,0))</f>
        <v>0</v>
      </c>
      <c r="BH177" s="20">
        <f>IF('Raw profile'!BG225&gt;0,1,IF('Raw profile'!BG328&gt;0,2,0))</f>
        <v>0</v>
      </c>
      <c r="BI177" s="20">
        <f>IF('Raw profile'!BH225&gt;0,1,IF('Raw profile'!BH328&gt;0,2,0))</f>
        <v>0</v>
      </c>
      <c r="BJ177" s="20">
        <f>IF('Raw profile'!BI225&gt;0,1,IF('Raw profile'!BI328&gt;0,2,0))</f>
        <v>0</v>
      </c>
      <c r="BK177" s="21">
        <f>IF('Raw profile'!BJ225&gt;0,1,IF('Raw profile'!BJ328&gt;0,2,0))</f>
        <v>0</v>
      </c>
    </row>
    <row r="178" spans="1:63" x14ac:dyDescent="0.3">
      <c r="B178" s="13" t="s">
        <v>4</v>
      </c>
      <c r="C178" s="19">
        <f>'Growth profile'!I117</f>
        <v>2026</v>
      </c>
      <c r="D178" s="20">
        <f>IF('Growth profile'!C225&gt;0,1,IF('Growth profile'!C328&gt;0,3,0))</f>
        <v>1</v>
      </c>
      <c r="E178" s="20">
        <f>IF('Growth profile'!D225&gt;0,1,IF('Growth profile'!D328&gt;0,3,0))</f>
        <v>3</v>
      </c>
      <c r="F178" s="20">
        <f>IF('Growth profile'!E225&gt;0,1,IF('Growth profile'!E328&gt;0,3,0))</f>
        <v>3</v>
      </c>
      <c r="G178" s="20">
        <f>IF('Growth profile'!F225&gt;0,1,IF('Growth profile'!F328&gt;0,3,0))</f>
        <v>3</v>
      </c>
      <c r="H178" s="20">
        <f>IF('Growth profile'!G225&gt;0,1,IF('Growth profile'!G328&gt;0,3,0))</f>
        <v>3</v>
      </c>
      <c r="I178" s="20">
        <f>IF('Growth profile'!H225&gt;0,1,IF('Growth profile'!H328&gt;0,3,0))</f>
        <v>3</v>
      </c>
      <c r="J178" s="20">
        <f>IF('Growth profile'!I225&gt;0,1,IF('Growth profile'!I328&gt;0,3,0))</f>
        <v>3</v>
      </c>
      <c r="K178" s="20">
        <f>IF('Growth profile'!J225&gt;0,1,IF('Growth profile'!J328&gt;0,3,0))</f>
        <v>3</v>
      </c>
      <c r="L178" s="20">
        <f>IF('Growth profile'!K225&gt;0,1,IF('Growth profile'!K328&gt;0,3,0))</f>
        <v>3</v>
      </c>
      <c r="M178" s="20">
        <f>IF('Growth profile'!L225&gt;0,1,IF('Growth profile'!L328&gt;0,3,0))</f>
        <v>3</v>
      </c>
      <c r="N178" s="20">
        <f>IF('Growth profile'!M225&gt;0,1,IF('Growth profile'!M328&gt;0,3,0))</f>
        <v>3</v>
      </c>
      <c r="O178" s="20">
        <f>IF('Growth profile'!N225&gt;0,1,IF('Growth profile'!N328&gt;0,3,0))</f>
        <v>3</v>
      </c>
      <c r="P178" s="20">
        <f>IF('Growth profile'!O225&gt;0,1,IF('Growth profile'!O328&gt;0,3,0))</f>
        <v>3</v>
      </c>
      <c r="Q178" s="20">
        <f>IF('Growth profile'!P225&gt;0,1,IF('Growth profile'!P328&gt;0,3,0))</f>
        <v>3</v>
      </c>
      <c r="R178" s="20">
        <f>IF('Growth profile'!Q225&gt;0,1,IF('Growth profile'!Q328&gt;0,3,0))</f>
        <v>3</v>
      </c>
      <c r="S178" s="20">
        <f>IF('Growth profile'!R225&gt;0,1,IF('Growth profile'!R328&gt;0,3,0))</f>
        <v>3</v>
      </c>
      <c r="T178" s="20">
        <f>IF('Growth profile'!S225&gt;0,1,IF('Growth profile'!S328&gt;0,3,0))</f>
        <v>3</v>
      </c>
      <c r="U178" s="20">
        <f>IF('Growth profile'!T225&gt;0,1,IF('Growth profile'!T328&gt;0,3,0))</f>
        <v>3</v>
      </c>
      <c r="V178" s="20">
        <f>IF('Growth profile'!U225&gt;0,1,IF('Growth profile'!U328&gt;0,3,0))</f>
        <v>3</v>
      </c>
      <c r="W178" s="20">
        <f>IF('Growth profile'!V225&gt;0,1,IF('Growth profile'!V328&gt;0,3,0))</f>
        <v>3</v>
      </c>
      <c r="X178" s="20">
        <f>IF('Growth profile'!W225&gt;0,1,IF('Growth profile'!W328&gt;0,3,0))</f>
        <v>3</v>
      </c>
      <c r="Y178" s="20">
        <f>IF('Growth profile'!X225&gt;0,1,IF('Growth profile'!X328&gt;0,3,0))</f>
        <v>3</v>
      </c>
      <c r="Z178" s="20">
        <f>IF('Growth profile'!Y225&gt;0,1,IF('Growth profile'!Y328&gt;0,3,0))</f>
        <v>3</v>
      </c>
      <c r="AA178" s="20">
        <f>IF('Growth profile'!Z225&gt;0,1,IF('Growth profile'!Z328&gt;0,3,0))</f>
        <v>3</v>
      </c>
      <c r="AB178" s="20">
        <f>IF('Growth profile'!AA225&gt;0,1,IF('Growth profile'!AA328&gt;0,3,0))</f>
        <v>3</v>
      </c>
      <c r="AC178" s="20">
        <f>IF('Growth profile'!AB225&gt;0,1,IF('Growth profile'!AB328&gt;0,3,0))</f>
        <v>3</v>
      </c>
      <c r="AD178" s="20">
        <f>IF('Growth profile'!AC225&gt;0,1,IF('Growth profile'!AC328&gt;0,3,0))</f>
        <v>3</v>
      </c>
      <c r="AE178" s="20">
        <f>IF('Growth profile'!AD225&gt;0,1,IF('Growth profile'!AD328&gt;0,3,0))</f>
        <v>3</v>
      </c>
      <c r="AF178" s="20">
        <f>IF('Growth profile'!AE225&gt;0,1,IF('Growth profile'!AE328&gt;0,3,0))</f>
        <v>3</v>
      </c>
      <c r="AG178" s="20">
        <f>IF('Growth profile'!AF225&gt;0,1,IF('Growth profile'!AF328&gt;0,3,0))</f>
        <v>3</v>
      </c>
      <c r="AH178" s="20">
        <f>IF('Growth profile'!AG225&gt;0,1,IF('Growth profile'!AG328&gt;0,3,0))</f>
        <v>3</v>
      </c>
      <c r="AI178" s="20">
        <f>IF('Growth profile'!AH225&gt;0,1,IF('Growth profile'!AH328&gt;0,3,0))</f>
        <v>3</v>
      </c>
      <c r="AJ178" s="20">
        <f>IF('Growth profile'!AI225&gt;0,1,IF('Growth profile'!AI328&gt;0,3,0))</f>
        <v>3</v>
      </c>
      <c r="AK178" s="20">
        <f>IF('Growth profile'!AJ225&gt;0,1,IF('Growth profile'!AJ328&gt;0,3,0))</f>
        <v>3</v>
      </c>
      <c r="AL178" s="20">
        <f>IF('Growth profile'!AK225&gt;0,1,IF('Growth profile'!AK328&gt;0,3,0))</f>
        <v>3</v>
      </c>
      <c r="AM178" s="20">
        <f>IF('Growth profile'!AL225&gt;0,1,IF('Growth profile'!AL328&gt;0,3,0))</f>
        <v>3</v>
      </c>
      <c r="AN178" s="20">
        <f>IF('Growth profile'!AM225&gt;0,1,IF('Growth profile'!AM328&gt;0,3,0))</f>
        <v>3</v>
      </c>
      <c r="AO178" s="20">
        <f>IF('Growth profile'!AN225&gt;0,1,IF('Growth profile'!AN328&gt;0,3,0))</f>
        <v>3</v>
      </c>
      <c r="AP178" s="20">
        <f>IF('Growth profile'!AO225&gt;0,1,IF('Growth profile'!AO328&gt;0,3,0))</f>
        <v>3</v>
      </c>
      <c r="AQ178" s="20">
        <f>IF('Growth profile'!AP225&gt;0,1,IF('Growth profile'!AP328&gt;0,3,0))</f>
        <v>3</v>
      </c>
      <c r="AR178" s="20">
        <f>IF('Growth profile'!AQ225&gt;0,1,IF('Growth profile'!AQ328&gt;0,3,0))</f>
        <v>3</v>
      </c>
      <c r="AS178" s="20">
        <f>IF('Growth profile'!AR225&gt;0,1,IF('Growth profile'!AR328&gt;0,3,0))</f>
        <v>0</v>
      </c>
      <c r="AT178" s="20">
        <f>IF('Growth profile'!AS225&gt;0,1,IF('Growth profile'!AS328&gt;0,3,0))</f>
        <v>0</v>
      </c>
      <c r="AU178" s="20">
        <f>IF('Growth profile'!AT225&gt;0,1,IF('Growth profile'!AT328&gt;0,3,0))</f>
        <v>0</v>
      </c>
      <c r="AV178" s="20">
        <f>IF('Growth profile'!AU225&gt;0,1,IF('Growth profile'!AU328&gt;0,3,0))</f>
        <v>0</v>
      </c>
      <c r="AW178" s="20">
        <f>IF('Growth profile'!AV225&gt;0,1,IF('Growth profile'!AV328&gt;0,3,0))</f>
        <v>0</v>
      </c>
      <c r="AX178" s="20">
        <f>IF('Growth profile'!AW225&gt;0,1,IF('Growth profile'!AW328&gt;0,3,0))</f>
        <v>0</v>
      </c>
      <c r="AY178" s="20">
        <f>IF('Growth profile'!AX225&gt;0,1,IF('Growth profile'!AX328&gt;0,3,0))</f>
        <v>0</v>
      </c>
      <c r="AZ178" s="20">
        <f>IF('Growth profile'!AY225&gt;0,1,IF('Growth profile'!AY328&gt;0,3,0))</f>
        <v>0</v>
      </c>
      <c r="BA178" s="20">
        <f>IF('Growth profile'!AZ225&gt;0,1,IF('Growth profile'!AZ328&gt;0,3,0))</f>
        <v>0</v>
      </c>
      <c r="BB178" s="20">
        <f>IF('Growth profile'!BA225&gt;0,1,IF('Growth profile'!BA328&gt;0,3,0))</f>
        <v>0</v>
      </c>
      <c r="BC178" s="20">
        <f>IF('Growth profile'!BB225&gt;0,1,IF('Growth profile'!BB328&gt;0,3,0))</f>
        <v>0</v>
      </c>
      <c r="BD178" s="20">
        <f>IF('Growth profile'!BC225&gt;0,1,IF('Growth profile'!BC328&gt;0,3,0))</f>
        <v>0</v>
      </c>
      <c r="BE178" s="20">
        <f>IF('Growth profile'!BD225&gt;0,1,IF('Growth profile'!BD328&gt;0,3,0))</f>
        <v>0</v>
      </c>
      <c r="BF178" s="20">
        <f>IF('Growth profile'!BE225&gt;0,1,IF('Growth profile'!BE328&gt;0,3,0))</f>
        <v>0</v>
      </c>
      <c r="BG178" s="20">
        <f>IF('Growth profile'!BF225&gt;0,1,IF('Growth profile'!BF328&gt;0,3,0))</f>
        <v>0</v>
      </c>
      <c r="BH178" s="20">
        <f>IF('Growth profile'!BG225&gt;0,1,IF('Growth profile'!BG328&gt;0,3,0))</f>
        <v>0</v>
      </c>
      <c r="BI178" s="20">
        <f>IF('Growth profile'!BH225&gt;0,1,IF('Growth profile'!BH328&gt;0,3,0))</f>
        <v>0</v>
      </c>
      <c r="BJ178" s="20">
        <f>IF('Growth profile'!BI225&gt;0,1,IF('Growth profile'!BI328&gt;0,3,0))</f>
        <v>0</v>
      </c>
      <c r="BK178" s="21">
        <f>IF('Growth profile'!BJ225&gt;0,1,IF('Growth profile'!BJ328&gt;0,3,0))</f>
        <v>0</v>
      </c>
    </row>
    <row r="179" spans="1:63" x14ac:dyDescent="0.3">
      <c r="B179" s="13" t="s">
        <v>59</v>
      </c>
      <c r="C179" s="19">
        <f>'Growth (no penalty)'!I117</f>
        <v>2026</v>
      </c>
      <c r="D179" s="22">
        <f>IF('Growth (no penalty)'!C225&gt;0,1,IF('Growth (no penalty)'!C328&gt;0,4,0))</f>
        <v>1</v>
      </c>
      <c r="E179" s="22">
        <f>IF('Growth (no penalty)'!D225&gt;0,1,IF('Growth (no penalty)'!D328&gt;0,4,0))</f>
        <v>4</v>
      </c>
      <c r="F179" s="22">
        <f>IF('Growth (no penalty)'!E225&gt;0,1,IF('Growth (no penalty)'!E328&gt;0,4,0))</f>
        <v>4</v>
      </c>
      <c r="G179" s="22">
        <f>IF('Growth (no penalty)'!F225&gt;0,1,IF('Growth (no penalty)'!F328&gt;0,4,0))</f>
        <v>4</v>
      </c>
      <c r="H179" s="22">
        <f>IF('Growth (no penalty)'!G225&gt;0,1,IF('Growth (no penalty)'!G328&gt;0,4,0))</f>
        <v>4</v>
      </c>
      <c r="I179" s="22">
        <f>IF('Growth (no penalty)'!H225&gt;0,1,IF('Growth (no penalty)'!H328&gt;0,4,0))</f>
        <v>4</v>
      </c>
      <c r="J179" s="22">
        <f>IF('Growth (no penalty)'!I225&gt;0,1,IF('Growth (no penalty)'!I328&gt;0,4,0))</f>
        <v>4</v>
      </c>
      <c r="K179" s="22">
        <f>IF('Growth (no penalty)'!J225&gt;0,1,IF('Growth (no penalty)'!J328&gt;0,4,0))</f>
        <v>4</v>
      </c>
      <c r="L179" s="22">
        <f>IF('Growth (no penalty)'!K225&gt;0,1,IF('Growth (no penalty)'!K328&gt;0,4,0))</f>
        <v>4</v>
      </c>
      <c r="M179" s="22">
        <f>IF('Growth (no penalty)'!L225&gt;0,1,IF('Growth (no penalty)'!L328&gt;0,4,0))</f>
        <v>4</v>
      </c>
      <c r="N179" s="22">
        <f>IF('Growth (no penalty)'!M225&gt;0,1,IF('Growth (no penalty)'!M328&gt;0,4,0))</f>
        <v>4</v>
      </c>
      <c r="O179" s="22">
        <f>IF('Growth (no penalty)'!N225&gt;0,1,IF('Growth (no penalty)'!N328&gt;0,4,0))</f>
        <v>4</v>
      </c>
      <c r="P179" s="22">
        <f>IF('Growth (no penalty)'!O225&gt;0,1,IF('Growth (no penalty)'!O328&gt;0,4,0))</f>
        <v>4</v>
      </c>
      <c r="Q179" s="22">
        <f>IF('Growth (no penalty)'!P225&gt;0,1,IF('Growth (no penalty)'!P328&gt;0,4,0))</f>
        <v>4</v>
      </c>
      <c r="R179" s="22">
        <f>IF('Growth (no penalty)'!Q225&gt;0,1,IF('Growth (no penalty)'!Q328&gt;0,4,0))</f>
        <v>4</v>
      </c>
      <c r="S179" s="22">
        <f>IF('Growth (no penalty)'!R225&gt;0,1,IF('Growth (no penalty)'!R328&gt;0,4,0))</f>
        <v>4</v>
      </c>
      <c r="T179" s="22">
        <f>IF('Growth (no penalty)'!S225&gt;0,1,IF('Growth (no penalty)'!S328&gt;0,4,0))</f>
        <v>4</v>
      </c>
      <c r="U179" s="22">
        <f>IF('Growth (no penalty)'!T225&gt;0,1,IF('Growth (no penalty)'!T328&gt;0,4,0))</f>
        <v>4</v>
      </c>
      <c r="V179" s="22">
        <f>IF('Growth (no penalty)'!U225&gt;0,1,IF('Growth (no penalty)'!U328&gt;0,4,0))</f>
        <v>4</v>
      </c>
      <c r="W179" s="22">
        <f>IF('Growth (no penalty)'!V225&gt;0,1,IF('Growth (no penalty)'!V328&gt;0,4,0))</f>
        <v>4</v>
      </c>
      <c r="X179" s="22">
        <f>IF('Growth (no penalty)'!W225&gt;0,1,IF('Growth (no penalty)'!W328&gt;0,4,0))</f>
        <v>4</v>
      </c>
      <c r="Y179" s="22">
        <f>IF('Growth (no penalty)'!X225&gt;0,1,IF('Growth (no penalty)'!X328&gt;0,4,0))</f>
        <v>4</v>
      </c>
      <c r="Z179" s="22">
        <f>IF('Growth (no penalty)'!Y225&gt;0,1,IF('Growth (no penalty)'!Y328&gt;0,4,0))</f>
        <v>4</v>
      </c>
      <c r="AA179" s="22">
        <f>IF('Growth (no penalty)'!Z225&gt;0,1,IF('Growth (no penalty)'!Z328&gt;0,4,0))</f>
        <v>4</v>
      </c>
      <c r="AB179" s="22">
        <f>IF('Growth (no penalty)'!AA225&gt;0,1,IF('Growth (no penalty)'!AA328&gt;0,4,0))</f>
        <v>4</v>
      </c>
      <c r="AC179" s="22">
        <f>IF('Growth (no penalty)'!AB225&gt;0,1,IF('Growth (no penalty)'!AB328&gt;0,4,0))</f>
        <v>4</v>
      </c>
      <c r="AD179" s="22">
        <f>IF('Growth (no penalty)'!AC225&gt;0,1,IF('Growth (no penalty)'!AC328&gt;0,4,0))</f>
        <v>4</v>
      </c>
      <c r="AE179" s="22">
        <f>IF('Growth (no penalty)'!AD225&gt;0,1,IF('Growth (no penalty)'!AD328&gt;0,4,0))</f>
        <v>4</v>
      </c>
      <c r="AF179" s="22">
        <f>IF('Growth (no penalty)'!AE225&gt;0,1,IF('Growth (no penalty)'!AE328&gt;0,4,0))</f>
        <v>4</v>
      </c>
      <c r="AG179" s="22">
        <f>IF('Growth (no penalty)'!AF225&gt;0,1,IF('Growth (no penalty)'!AF328&gt;0,4,0))</f>
        <v>4</v>
      </c>
      <c r="AH179" s="22">
        <f>IF('Growth (no penalty)'!AG225&gt;0,1,IF('Growth (no penalty)'!AG328&gt;0,4,0))</f>
        <v>4</v>
      </c>
      <c r="AI179" s="22">
        <f>IF('Growth (no penalty)'!AH225&gt;0,1,IF('Growth (no penalty)'!AH328&gt;0,4,0))</f>
        <v>4</v>
      </c>
      <c r="AJ179" s="22">
        <f>IF('Growth (no penalty)'!AI225&gt;0,1,IF('Growth (no penalty)'!AI328&gt;0,4,0))</f>
        <v>4</v>
      </c>
      <c r="AK179" s="22">
        <f>IF('Growth (no penalty)'!AJ225&gt;0,1,IF('Growth (no penalty)'!AJ328&gt;0,4,0))</f>
        <v>4</v>
      </c>
      <c r="AL179" s="22">
        <f>IF('Growth (no penalty)'!AK225&gt;0,1,IF('Growth (no penalty)'!AK328&gt;0,4,0))</f>
        <v>4</v>
      </c>
      <c r="AM179" s="22">
        <f>IF('Growth (no penalty)'!AL225&gt;0,1,IF('Growth (no penalty)'!AL328&gt;0,4,0))</f>
        <v>4</v>
      </c>
      <c r="AN179" s="22">
        <f>IF('Growth (no penalty)'!AM225&gt;0,1,IF('Growth (no penalty)'!AM328&gt;0,4,0))</f>
        <v>4</v>
      </c>
      <c r="AO179" s="22">
        <f>IF('Growth (no penalty)'!AN225&gt;0,1,IF('Growth (no penalty)'!AN328&gt;0,4,0))</f>
        <v>4</v>
      </c>
      <c r="AP179" s="22">
        <f>IF('Growth (no penalty)'!AO225&gt;0,1,IF('Growth (no penalty)'!AO328&gt;0,4,0))</f>
        <v>4</v>
      </c>
      <c r="AQ179" s="22">
        <f>IF('Growth (no penalty)'!AP225&gt;0,1,IF('Growth (no penalty)'!AP328&gt;0,4,0))</f>
        <v>4</v>
      </c>
      <c r="AR179" s="22">
        <f>IF('Growth (no penalty)'!AQ225&gt;0,1,IF('Growth (no penalty)'!AQ328&gt;0,4,0))</f>
        <v>4</v>
      </c>
      <c r="AS179" s="22">
        <f>IF('Growth (no penalty)'!AR225&gt;0,1,IF('Growth (no penalty)'!AR328&gt;0,4,0))</f>
        <v>0</v>
      </c>
      <c r="AT179" s="22">
        <f>IF('Growth (no penalty)'!AS225&gt;0,1,IF('Growth (no penalty)'!AS328&gt;0,4,0))</f>
        <v>0</v>
      </c>
      <c r="AU179" s="22">
        <f>IF('Growth (no penalty)'!AT225&gt;0,1,IF('Growth (no penalty)'!AT328&gt;0,4,0))</f>
        <v>0</v>
      </c>
      <c r="AV179" s="22">
        <f>IF('Growth (no penalty)'!AU225&gt;0,1,IF('Growth (no penalty)'!AU328&gt;0,4,0))</f>
        <v>0</v>
      </c>
      <c r="AW179" s="22">
        <f>IF('Growth (no penalty)'!AV225&gt;0,1,IF('Growth (no penalty)'!AV328&gt;0,4,0))</f>
        <v>0</v>
      </c>
      <c r="AX179" s="22">
        <f>IF('Growth (no penalty)'!AW225&gt;0,1,IF('Growth (no penalty)'!AW328&gt;0,4,0))</f>
        <v>0</v>
      </c>
      <c r="AY179" s="22">
        <f>IF('Growth (no penalty)'!AX225&gt;0,1,IF('Growth (no penalty)'!AX328&gt;0,4,0))</f>
        <v>0</v>
      </c>
      <c r="AZ179" s="22">
        <f>IF('Growth (no penalty)'!AY225&gt;0,1,IF('Growth (no penalty)'!AY328&gt;0,4,0))</f>
        <v>0</v>
      </c>
      <c r="BA179" s="22">
        <f>IF('Growth (no penalty)'!AZ225&gt;0,1,IF('Growth (no penalty)'!AZ328&gt;0,4,0))</f>
        <v>0</v>
      </c>
      <c r="BB179" s="22">
        <f>IF('Growth (no penalty)'!BA225&gt;0,1,IF('Growth (no penalty)'!BA328&gt;0,4,0))</f>
        <v>0</v>
      </c>
      <c r="BC179" s="22">
        <f>IF('Growth (no penalty)'!BB225&gt;0,1,IF('Growth (no penalty)'!BB328&gt;0,4,0))</f>
        <v>0</v>
      </c>
      <c r="BD179" s="22">
        <f>IF('Growth (no penalty)'!BC225&gt;0,1,IF('Growth (no penalty)'!BC328&gt;0,4,0))</f>
        <v>0</v>
      </c>
      <c r="BE179" s="22">
        <f>IF('Growth (no penalty)'!BD225&gt;0,1,IF('Growth (no penalty)'!BD328&gt;0,4,0))</f>
        <v>0</v>
      </c>
      <c r="BF179" s="22">
        <f>IF('Growth (no penalty)'!BE225&gt;0,1,IF('Growth (no penalty)'!BE328&gt;0,4,0))</f>
        <v>0</v>
      </c>
      <c r="BG179" s="22">
        <f>IF('Growth (no penalty)'!BF225&gt;0,1,IF('Growth (no penalty)'!BF328&gt;0,4,0))</f>
        <v>0</v>
      </c>
      <c r="BH179" s="22">
        <f>IF('Growth (no penalty)'!BG225&gt;0,1,IF('Growth (no penalty)'!BG328&gt;0,4,0))</f>
        <v>0</v>
      </c>
      <c r="BI179" s="22">
        <f>IF('Growth (no penalty)'!BH225&gt;0,1,IF('Growth (no penalty)'!BH328&gt;0,4,0))</f>
        <v>0</v>
      </c>
      <c r="BJ179" s="22">
        <f>IF('Growth (no penalty)'!BI225&gt;0,1,IF('Growth (no penalty)'!BI328&gt;0,4,0))</f>
        <v>0</v>
      </c>
      <c r="BK179" s="23">
        <f>IF('Growth (no penalty)'!BJ225&gt;0,1,IF('Growth (no penalty)'!BJ328&gt;0,4,0))</f>
        <v>0</v>
      </c>
    </row>
    <row r="180" spans="1:63" x14ac:dyDescent="0.3">
      <c r="A180" s="4" t="str">
        <f>'Growth profile'!A80</f>
        <v>project 119</v>
      </c>
      <c r="B180" s="13" t="s">
        <v>3</v>
      </c>
      <c r="C180" s="19">
        <f>'Raw profile'!I80</f>
        <v>2037</v>
      </c>
      <c r="D180" s="20">
        <f>IF('Raw profile'!C188&gt;0,1,IF('Raw profile'!C291&gt;0,2,0))</f>
        <v>0</v>
      </c>
      <c r="E180" s="20">
        <f>IF('Raw profile'!D188&gt;0,1,IF('Raw profile'!D291&gt;0,2,0))</f>
        <v>0</v>
      </c>
      <c r="F180" s="20">
        <f>IF('Raw profile'!E188&gt;0,1,IF('Raw profile'!E291&gt;0,2,0))</f>
        <v>0</v>
      </c>
      <c r="G180" s="20">
        <f>IF('Raw profile'!F188&gt;0,1,IF('Raw profile'!F291&gt;0,2,0))</f>
        <v>0</v>
      </c>
      <c r="H180" s="20">
        <f>IF('Raw profile'!G188&gt;0,1,IF('Raw profile'!G291&gt;0,2,0))</f>
        <v>0</v>
      </c>
      <c r="I180" s="20">
        <f>IF('Raw profile'!H188&gt;0,1,IF('Raw profile'!H291&gt;0,2,0))</f>
        <v>0</v>
      </c>
      <c r="J180" s="20">
        <f>IF('Raw profile'!I188&gt;0,1,IF('Raw profile'!I291&gt;0,2,0))</f>
        <v>0</v>
      </c>
      <c r="K180" s="20">
        <f>IF('Raw profile'!J188&gt;0,1,IF('Raw profile'!J291&gt;0,2,0))</f>
        <v>0</v>
      </c>
      <c r="L180" s="20">
        <f>IF('Raw profile'!K188&gt;0,1,IF('Raw profile'!K291&gt;0,2,0))</f>
        <v>0</v>
      </c>
      <c r="M180" s="20">
        <f>IF('Raw profile'!L188&gt;0,1,IF('Raw profile'!L291&gt;0,2,0))</f>
        <v>0</v>
      </c>
      <c r="N180" s="20">
        <f>IF('Raw profile'!M188&gt;0,1,IF('Raw profile'!M291&gt;0,2,0))</f>
        <v>0</v>
      </c>
      <c r="O180" s="20">
        <f>IF('Raw profile'!N188&gt;0,1,IF('Raw profile'!N291&gt;0,2,0))</f>
        <v>1</v>
      </c>
      <c r="P180" s="20">
        <f>IF('Raw profile'!O188&gt;0,1,IF('Raw profile'!O291&gt;0,2,0))</f>
        <v>1</v>
      </c>
      <c r="Q180" s="20">
        <f>IF('Raw profile'!P188&gt;0,1,IF('Raw profile'!P291&gt;0,2,0))</f>
        <v>1</v>
      </c>
      <c r="R180" s="20">
        <f>IF('Raw profile'!Q188&gt;0,1,IF('Raw profile'!Q291&gt;0,2,0))</f>
        <v>1</v>
      </c>
      <c r="S180" s="20">
        <f>IF('Raw profile'!R188&gt;0,1,IF('Raw profile'!R291&gt;0,2,0))</f>
        <v>1</v>
      </c>
      <c r="T180" s="20">
        <f>IF('Raw profile'!S188&gt;0,1,IF('Raw profile'!S291&gt;0,2,0))</f>
        <v>1</v>
      </c>
      <c r="U180" s="20">
        <f>IF('Raw profile'!T188&gt;0,1,IF('Raw profile'!T291&gt;0,2,0))</f>
        <v>2</v>
      </c>
      <c r="V180" s="20">
        <f>IF('Raw profile'!U188&gt;0,1,IF('Raw profile'!U291&gt;0,2,0))</f>
        <v>2</v>
      </c>
      <c r="W180" s="20">
        <f>IF('Raw profile'!V188&gt;0,1,IF('Raw profile'!V291&gt;0,2,0))</f>
        <v>2</v>
      </c>
      <c r="X180" s="20">
        <f>IF('Raw profile'!W188&gt;0,1,IF('Raw profile'!W291&gt;0,2,0))</f>
        <v>2</v>
      </c>
      <c r="Y180" s="20">
        <f>IF('Raw profile'!X188&gt;0,1,IF('Raw profile'!X291&gt;0,2,0))</f>
        <v>2</v>
      </c>
      <c r="Z180" s="20">
        <f>IF('Raw profile'!Y188&gt;0,1,IF('Raw profile'!Y291&gt;0,2,0))</f>
        <v>2</v>
      </c>
      <c r="AA180" s="20">
        <f>IF('Raw profile'!Z188&gt;0,1,IF('Raw profile'!Z291&gt;0,2,0))</f>
        <v>2</v>
      </c>
      <c r="AB180" s="20">
        <f>IF('Raw profile'!AA188&gt;0,1,IF('Raw profile'!AA291&gt;0,2,0))</f>
        <v>2</v>
      </c>
      <c r="AC180" s="20">
        <f>IF('Raw profile'!AB188&gt;0,1,IF('Raw profile'!AB291&gt;0,2,0))</f>
        <v>2</v>
      </c>
      <c r="AD180" s="20">
        <f>IF('Raw profile'!AC188&gt;0,1,IF('Raw profile'!AC291&gt;0,2,0))</f>
        <v>2</v>
      </c>
      <c r="AE180" s="20">
        <f>IF('Raw profile'!AD188&gt;0,1,IF('Raw profile'!AD291&gt;0,2,0))</f>
        <v>2</v>
      </c>
      <c r="AF180" s="20">
        <f>IF('Raw profile'!AE188&gt;0,1,IF('Raw profile'!AE291&gt;0,2,0))</f>
        <v>2</v>
      </c>
      <c r="AG180" s="20">
        <f>IF('Raw profile'!AF188&gt;0,1,IF('Raw profile'!AF291&gt;0,2,0))</f>
        <v>2</v>
      </c>
      <c r="AH180" s="20">
        <f>IF('Raw profile'!AG188&gt;0,1,IF('Raw profile'!AG291&gt;0,2,0))</f>
        <v>2</v>
      </c>
      <c r="AI180" s="20">
        <f>IF('Raw profile'!AH188&gt;0,1,IF('Raw profile'!AH291&gt;0,2,0))</f>
        <v>2</v>
      </c>
      <c r="AJ180" s="20">
        <f>IF('Raw profile'!AI188&gt;0,1,IF('Raw profile'!AI291&gt;0,2,0))</f>
        <v>2</v>
      </c>
      <c r="AK180" s="20">
        <f>IF('Raw profile'!AJ188&gt;0,1,IF('Raw profile'!AJ291&gt;0,2,0))</f>
        <v>2</v>
      </c>
      <c r="AL180" s="20">
        <f>IF('Raw profile'!AK188&gt;0,1,IF('Raw profile'!AK291&gt;0,2,0))</f>
        <v>2</v>
      </c>
      <c r="AM180" s="20">
        <f>IF('Raw profile'!AL188&gt;0,1,IF('Raw profile'!AL291&gt;0,2,0))</f>
        <v>2</v>
      </c>
      <c r="AN180" s="20">
        <f>IF('Raw profile'!AM188&gt;0,1,IF('Raw profile'!AM291&gt;0,2,0))</f>
        <v>2</v>
      </c>
      <c r="AO180" s="20">
        <f>IF('Raw profile'!AN188&gt;0,1,IF('Raw profile'!AN291&gt;0,2,0))</f>
        <v>2</v>
      </c>
      <c r="AP180" s="20">
        <f>IF('Raw profile'!AO188&gt;0,1,IF('Raw profile'!AO291&gt;0,2,0))</f>
        <v>2</v>
      </c>
      <c r="AQ180" s="20">
        <f>IF('Raw profile'!AP188&gt;0,1,IF('Raw profile'!AP291&gt;0,2,0))</f>
        <v>2</v>
      </c>
      <c r="AR180" s="20">
        <f>IF('Raw profile'!AQ188&gt;0,1,IF('Raw profile'!AQ291&gt;0,2,0))</f>
        <v>2</v>
      </c>
      <c r="AS180" s="20">
        <f>IF('Raw profile'!AR188&gt;0,1,IF('Raw profile'!AR291&gt;0,2,0))</f>
        <v>2</v>
      </c>
      <c r="AT180" s="20">
        <f>IF('Raw profile'!AS188&gt;0,1,IF('Raw profile'!AS291&gt;0,2,0))</f>
        <v>2</v>
      </c>
      <c r="AU180" s="20">
        <f>IF('Raw profile'!AT188&gt;0,1,IF('Raw profile'!AT291&gt;0,2,0))</f>
        <v>2</v>
      </c>
      <c r="AV180" s="20">
        <f>IF('Raw profile'!AU188&gt;0,1,IF('Raw profile'!AU291&gt;0,2,0))</f>
        <v>2</v>
      </c>
      <c r="AW180" s="20">
        <f>IF('Raw profile'!AV188&gt;0,1,IF('Raw profile'!AV291&gt;0,2,0))</f>
        <v>2</v>
      </c>
      <c r="AX180" s="20">
        <f>IF('Raw profile'!AW188&gt;0,1,IF('Raw profile'!AW291&gt;0,2,0))</f>
        <v>2</v>
      </c>
      <c r="AY180" s="20">
        <f>IF('Raw profile'!AX188&gt;0,1,IF('Raw profile'!AX291&gt;0,2,0))</f>
        <v>2</v>
      </c>
      <c r="AZ180" s="20">
        <f>IF('Raw profile'!AY188&gt;0,1,IF('Raw profile'!AY291&gt;0,2,0))</f>
        <v>2</v>
      </c>
      <c r="BA180" s="20">
        <f>IF('Raw profile'!AZ188&gt;0,1,IF('Raw profile'!AZ291&gt;0,2,0))</f>
        <v>2</v>
      </c>
      <c r="BB180" s="20">
        <f>IF('Raw profile'!BA188&gt;0,1,IF('Raw profile'!BA291&gt;0,2,0))</f>
        <v>2</v>
      </c>
      <c r="BC180" s="20">
        <f>IF('Raw profile'!BB188&gt;0,1,IF('Raw profile'!BB291&gt;0,2,0))</f>
        <v>2</v>
      </c>
      <c r="BD180" s="20">
        <f>IF('Raw profile'!BC188&gt;0,1,IF('Raw profile'!BC291&gt;0,2,0))</f>
        <v>2</v>
      </c>
      <c r="BE180" s="20">
        <f>IF('Raw profile'!BD188&gt;0,1,IF('Raw profile'!BD291&gt;0,2,0))</f>
        <v>2</v>
      </c>
      <c r="BF180" s="20">
        <f>IF('Raw profile'!BE188&gt;0,1,IF('Raw profile'!BE291&gt;0,2,0))</f>
        <v>2</v>
      </c>
      <c r="BG180" s="20">
        <f>IF('Raw profile'!BF188&gt;0,1,IF('Raw profile'!BF291&gt;0,2,0))</f>
        <v>2</v>
      </c>
      <c r="BH180" s="20">
        <f>IF('Raw profile'!BG188&gt;0,1,IF('Raw profile'!BG291&gt;0,2,0))</f>
        <v>2</v>
      </c>
      <c r="BI180" s="20">
        <f>IF('Raw profile'!BH188&gt;0,1,IF('Raw profile'!BH291&gt;0,2,0))</f>
        <v>0</v>
      </c>
      <c r="BJ180" s="20">
        <f>IF('Raw profile'!BI188&gt;0,1,IF('Raw profile'!BI291&gt;0,2,0))</f>
        <v>0</v>
      </c>
      <c r="BK180" s="21">
        <f>IF('Raw profile'!BJ188&gt;0,1,IF('Raw profile'!BJ291&gt;0,2,0))</f>
        <v>0</v>
      </c>
    </row>
    <row r="181" spans="1:63" x14ac:dyDescent="0.3">
      <c r="B181" s="13" t="s">
        <v>4</v>
      </c>
      <c r="C181" s="19">
        <f>'Growth profile'!I80</f>
        <v>2029</v>
      </c>
      <c r="D181" s="20">
        <f>IF('Growth profile'!C188&gt;0,1,IF('Growth profile'!C291&gt;0,3,0))</f>
        <v>0</v>
      </c>
      <c r="E181" s="20">
        <f>IF('Growth profile'!D188&gt;0,1,IF('Growth profile'!D291&gt;0,3,0))</f>
        <v>0</v>
      </c>
      <c r="F181" s="20">
        <f>IF('Growth profile'!E188&gt;0,1,IF('Growth profile'!E291&gt;0,3,0))</f>
        <v>0</v>
      </c>
      <c r="G181" s="20">
        <f>IF('Growth profile'!F188&gt;0,1,IF('Growth profile'!F291&gt;0,3,0))</f>
        <v>1</v>
      </c>
      <c r="H181" s="20">
        <f>IF('Growth profile'!G188&gt;0,1,IF('Growth profile'!G291&gt;0,3,0))</f>
        <v>1</v>
      </c>
      <c r="I181" s="20">
        <f>IF('Growth profile'!H188&gt;0,1,IF('Growth profile'!H291&gt;0,3,0))</f>
        <v>1</v>
      </c>
      <c r="J181" s="20">
        <f>IF('Growth profile'!I188&gt;0,1,IF('Growth profile'!I291&gt;0,3,0))</f>
        <v>1</v>
      </c>
      <c r="K181" s="20">
        <f>IF('Growth profile'!J188&gt;0,1,IF('Growth profile'!J291&gt;0,3,0))</f>
        <v>1</v>
      </c>
      <c r="L181" s="20">
        <f>IF('Growth profile'!K188&gt;0,1,IF('Growth profile'!K291&gt;0,3,0))</f>
        <v>1</v>
      </c>
      <c r="M181" s="20">
        <f>IF('Growth profile'!L188&gt;0,1,IF('Growth profile'!L291&gt;0,3,0))</f>
        <v>3</v>
      </c>
      <c r="N181" s="20">
        <f>IF('Growth profile'!M188&gt;0,1,IF('Growth profile'!M291&gt;0,3,0))</f>
        <v>3</v>
      </c>
      <c r="O181" s="20">
        <f>IF('Growth profile'!N188&gt;0,1,IF('Growth profile'!N291&gt;0,3,0))</f>
        <v>3</v>
      </c>
      <c r="P181" s="20">
        <f>IF('Growth profile'!O188&gt;0,1,IF('Growth profile'!O291&gt;0,3,0))</f>
        <v>3</v>
      </c>
      <c r="Q181" s="20">
        <f>IF('Growth profile'!P188&gt;0,1,IF('Growth profile'!P291&gt;0,3,0))</f>
        <v>3</v>
      </c>
      <c r="R181" s="20">
        <f>IF('Growth profile'!Q188&gt;0,1,IF('Growth profile'!Q291&gt;0,3,0))</f>
        <v>3</v>
      </c>
      <c r="S181" s="20">
        <f>IF('Growth profile'!R188&gt;0,1,IF('Growth profile'!R291&gt;0,3,0))</f>
        <v>3</v>
      </c>
      <c r="T181" s="20">
        <f>IF('Growth profile'!S188&gt;0,1,IF('Growth profile'!S291&gt;0,3,0))</f>
        <v>3</v>
      </c>
      <c r="U181" s="20">
        <f>IF('Growth profile'!T188&gt;0,1,IF('Growth profile'!T291&gt;0,3,0))</f>
        <v>3</v>
      </c>
      <c r="V181" s="20">
        <f>IF('Growth profile'!U188&gt;0,1,IF('Growth profile'!U291&gt;0,3,0))</f>
        <v>3</v>
      </c>
      <c r="W181" s="20">
        <f>IF('Growth profile'!V188&gt;0,1,IF('Growth profile'!V291&gt;0,3,0))</f>
        <v>3</v>
      </c>
      <c r="X181" s="20">
        <f>IF('Growth profile'!W188&gt;0,1,IF('Growth profile'!W291&gt;0,3,0))</f>
        <v>3</v>
      </c>
      <c r="Y181" s="20">
        <f>IF('Growth profile'!X188&gt;0,1,IF('Growth profile'!X291&gt;0,3,0))</f>
        <v>3</v>
      </c>
      <c r="Z181" s="20">
        <f>IF('Growth profile'!Y188&gt;0,1,IF('Growth profile'!Y291&gt;0,3,0))</f>
        <v>3</v>
      </c>
      <c r="AA181" s="20">
        <f>IF('Growth profile'!Z188&gt;0,1,IF('Growth profile'!Z291&gt;0,3,0))</f>
        <v>3</v>
      </c>
      <c r="AB181" s="20">
        <f>IF('Growth profile'!AA188&gt;0,1,IF('Growth profile'!AA291&gt;0,3,0))</f>
        <v>3</v>
      </c>
      <c r="AC181" s="20">
        <f>IF('Growth profile'!AB188&gt;0,1,IF('Growth profile'!AB291&gt;0,3,0))</f>
        <v>3</v>
      </c>
      <c r="AD181" s="20">
        <f>IF('Growth profile'!AC188&gt;0,1,IF('Growth profile'!AC291&gt;0,3,0))</f>
        <v>3</v>
      </c>
      <c r="AE181" s="20">
        <f>IF('Growth profile'!AD188&gt;0,1,IF('Growth profile'!AD291&gt;0,3,0))</f>
        <v>3</v>
      </c>
      <c r="AF181" s="20">
        <f>IF('Growth profile'!AE188&gt;0,1,IF('Growth profile'!AE291&gt;0,3,0))</f>
        <v>3</v>
      </c>
      <c r="AG181" s="20">
        <f>IF('Growth profile'!AF188&gt;0,1,IF('Growth profile'!AF291&gt;0,3,0))</f>
        <v>3</v>
      </c>
      <c r="AH181" s="20">
        <f>IF('Growth profile'!AG188&gt;0,1,IF('Growth profile'!AG291&gt;0,3,0))</f>
        <v>3</v>
      </c>
      <c r="AI181" s="20">
        <f>IF('Growth profile'!AH188&gt;0,1,IF('Growth profile'!AH291&gt;0,3,0))</f>
        <v>3</v>
      </c>
      <c r="AJ181" s="20">
        <f>IF('Growth profile'!AI188&gt;0,1,IF('Growth profile'!AI291&gt;0,3,0))</f>
        <v>3</v>
      </c>
      <c r="AK181" s="20">
        <f>IF('Growth profile'!AJ188&gt;0,1,IF('Growth profile'!AJ291&gt;0,3,0))</f>
        <v>3</v>
      </c>
      <c r="AL181" s="20">
        <f>IF('Growth profile'!AK188&gt;0,1,IF('Growth profile'!AK291&gt;0,3,0))</f>
        <v>3</v>
      </c>
      <c r="AM181" s="20">
        <f>IF('Growth profile'!AL188&gt;0,1,IF('Growth profile'!AL291&gt;0,3,0))</f>
        <v>3</v>
      </c>
      <c r="AN181" s="20">
        <f>IF('Growth profile'!AM188&gt;0,1,IF('Growth profile'!AM291&gt;0,3,0))</f>
        <v>3</v>
      </c>
      <c r="AO181" s="20">
        <f>IF('Growth profile'!AN188&gt;0,1,IF('Growth profile'!AN291&gt;0,3,0))</f>
        <v>3</v>
      </c>
      <c r="AP181" s="20">
        <f>IF('Growth profile'!AO188&gt;0,1,IF('Growth profile'!AO291&gt;0,3,0))</f>
        <v>3</v>
      </c>
      <c r="AQ181" s="20">
        <f>IF('Growth profile'!AP188&gt;0,1,IF('Growth profile'!AP291&gt;0,3,0))</f>
        <v>3</v>
      </c>
      <c r="AR181" s="20">
        <f>IF('Growth profile'!AQ188&gt;0,1,IF('Growth profile'!AQ291&gt;0,3,0))</f>
        <v>3</v>
      </c>
      <c r="AS181" s="20">
        <f>IF('Growth profile'!AR188&gt;0,1,IF('Growth profile'!AR291&gt;0,3,0))</f>
        <v>3</v>
      </c>
      <c r="AT181" s="20">
        <f>IF('Growth profile'!AS188&gt;0,1,IF('Growth profile'!AS291&gt;0,3,0))</f>
        <v>3</v>
      </c>
      <c r="AU181" s="20">
        <f>IF('Growth profile'!AT188&gt;0,1,IF('Growth profile'!AT291&gt;0,3,0))</f>
        <v>3</v>
      </c>
      <c r="AV181" s="20">
        <f>IF('Growth profile'!AU188&gt;0,1,IF('Growth profile'!AU291&gt;0,3,0))</f>
        <v>3</v>
      </c>
      <c r="AW181" s="20">
        <f>IF('Growth profile'!AV188&gt;0,1,IF('Growth profile'!AV291&gt;0,3,0))</f>
        <v>3</v>
      </c>
      <c r="AX181" s="20">
        <f>IF('Growth profile'!AW188&gt;0,1,IF('Growth profile'!AW291&gt;0,3,0))</f>
        <v>3</v>
      </c>
      <c r="AY181" s="20">
        <f>IF('Growth profile'!AX188&gt;0,1,IF('Growth profile'!AX291&gt;0,3,0))</f>
        <v>3</v>
      </c>
      <c r="AZ181" s="20">
        <f>IF('Growth profile'!AY188&gt;0,1,IF('Growth profile'!AY291&gt;0,3,0))</f>
        <v>3</v>
      </c>
      <c r="BA181" s="20">
        <f>IF('Growth profile'!AZ188&gt;0,1,IF('Growth profile'!AZ291&gt;0,3,0))</f>
        <v>0</v>
      </c>
      <c r="BB181" s="20">
        <f>IF('Growth profile'!BA188&gt;0,1,IF('Growth profile'!BA291&gt;0,3,0))</f>
        <v>0</v>
      </c>
      <c r="BC181" s="20">
        <f>IF('Growth profile'!BB188&gt;0,1,IF('Growth profile'!BB291&gt;0,3,0))</f>
        <v>0</v>
      </c>
      <c r="BD181" s="20">
        <f>IF('Growth profile'!BC188&gt;0,1,IF('Growth profile'!BC291&gt;0,3,0))</f>
        <v>0</v>
      </c>
      <c r="BE181" s="20">
        <f>IF('Growth profile'!BD188&gt;0,1,IF('Growth profile'!BD291&gt;0,3,0))</f>
        <v>0</v>
      </c>
      <c r="BF181" s="20">
        <f>IF('Growth profile'!BE188&gt;0,1,IF('Growth profile'!BE291&gt;0,3,0))</f>
        <v>0</v>
      </c>
      <c r="BG181" s="20">
        <f>IF('Growth profile'!BF188&gt;0,1,IF('Growth profile'!BF291&gt;0,3,0))</f>
        <v>0</v>
      </c>
      <c r="BH181" s="20">
        <f>IF('Growth profile'!BG188&gt;0,1,IF('Growth profile'!BG291&gt;0,3,0))</f>
        <v>0</v>
      </c>
      <c r="BI181" s="20">
        <f>IF('Growth profile'!BH188&gt;0,1,IF('Growth profile'!BH291&gt;0,3,0))</f>
        <v>0</v>
      </c>
      <c r="BJ181" s="20">
        <f>IF('Growth profile'!BI188&gt;0,1,IF('Growth profile'!BI291&gt;0,3,0))</f>
        <v>0</v>
      </c>
      <c r="BK181" s="21">
        <f>IF('Growth profile'!BJ188&gt;0,1,IF('Growth profile'!BJ291&gt;0,3,0))</f>
        <v>0</v>
      </c>
    </row>
    <row r="182" spans="1:63" x14ac:dyDescent="0.3">
      <c r="B182" s="13" t="s">
        <v>59</v>
      </c>
      <c r="C182" s="19">
        <f>'Growth (no penalty)'!I80</f>
        <v>2028</v>
      </c>
      <c r="D182" s="22">
        <f>IF('Growth (no penalty)'!C188&gt;0,1,IF('Growth (no penalty)'!C291&gt;0,4,0))</f>
        <v>0</v>
      </c>
      <c r="E182" s="22">
        <f>IF('Growth (no penalty)'!D188&gt;0,1,IF('Growth (no penalty)'!D291&gt;0,4,0))</f>
        <v>0</v>
      </c>
      <c r="F182" s="22">
        <f>IF('Growth (no penalty)'!E188&gt;0,1,IF('Growth (no penalty)'!E291&gt;0,4,0))</f>
        <v>1</v>
      </c>
      <c r="G182" s="22">
        <f>IF('Growth (no penalty)'!F188&gt;0,1,IF('Growth (no penalty)'!F291&gt;0,4,0))</f>
        <v>1</v>
      </c>
      <c r="H182" s="22">
        <f>IF('Growth (no penalty)'!G188&gt;0,1,IF('Growth (no penalty)'!G291&gt;0,4,0))</f>
        <v>1</v>
      </c>
      <c r="I182" s="22">
        <f>IF('Growth (no penalty)'!H188&gt;0,1,IF('Growth (no penalty)'!H291&gt;0,4,0))</f>
        <v>1</v>
      </c>
      <c r="J182" s="22">
        <f>IF('Growth (no penalty)'!I188&gt;0,1,IF('Growth (no penalty)'!I291&gt;0,4,0))</f>
        <v>1</v>
      </c>
      <c r="K182" s="22">
        <f>IF('Growth (no penalty)'!J188&gt;0,1,IF('Growth (no penalty)'!J291&gt;0,4,0))</f>
        <v>1</v>
      </c>
      <c r="L182" s="22">
        <f>IF('Growth (no penalty)'!K188&gt;0,1,IF('Growth (no penalty)'!K291&gt;0,4,0))</f>
        <v>4</v>
      </c>
      <c r="M182" s="22">
        <f>IF('Growth (no penalty)'!L188&gt;0,1,IF('Growth (no penalty)'!L291&gt;0,4,0))</f>
        <v>4</v>
      </c>
      <c r="N182" s="22">
        <f>IF('Growth (no penalty)'!M188&gt;0,1,IF('Growth (no penalty)'!M291&gt;0,4,0))</f>
        <v>4</v>
      </c>
      <c r="O182" s="22">
        <f>IF('Growth (no penalty)'!N188&gt;0,1,IF('Growth (no penalty)'!N291&gt;0,4,0))</f>
        <v>4</v>
      </c>
      <c r="P182" s="22">
        <f>IF('Growth (no penalty)'!O188&gt;0,1,IF('Growth (no penalty)'!O291&gt;0,4,0))</f>
        <v>4</v>
      </c>
      <c r="Q182" s="22">
        <f>IF('Growth (no penalty)'!P188&gt;0,1,IF('Growth (no penalty)'!P291&gt;0,4,0))</f>
        <v>4</v>
      </c>
      <c r="R182" s="22">
        <f>IF('Growth (no penalty)'!Q188&gt;0,1,IF('Growth (no penalty)'!Q291&gt;0,4,0))</f>
        <v>4</v>
      </c>
      <c r="S182" s="22">
        <f>IF('Growth (no penalty)'!R188&gt;0,1,IF('Growth (no penalty)'!R291&gt;0,4,0))</f>
        <v>4</v>
      </c>
      <c r="T182" s="22">
        <f>IF('Growth (no penalty)'!S188&gt;0,1,IF('Growth (no penalty)'!S291&gt;0,4,0))</f>
        <v>4</v>
      </c>
      <c r="U182" s="22">
        <f>IF('Growth (no penalty)'!T188&gt;0,1,IF('Growth (no penalty)'!T291&gt;0,4,0))</f>
        <v>4</v>
      </c>
      <c r="V182" s="22">
        <f>IF('Growth (no penalty)'!U188&gt;0,1,IF('Growth (no penalty)'!U291&gt;0,4,0))</f>
        <v>4</v>
      </c>
      <c r="W182" s="22">
        <f>IF('Growth (no penalty)'!V188&gt;0,1,IF('Growth (no penalty)'!V291&gt;0,4,0))</f>
        <v>4</v>
      </c>
      <c r="X182" s="22">
        <f>IF('Growth (no penalty)'!W188&gt;0,1,IF('Growth (no penalty)'!W291&gt;0,4,0))</f>
        <v>4</v>
      </c>
      <c r="Y182" s="22">
        <f>IF('Growth (no penalty)'!X188&gt;0,1,IF('Growth (no penalty)'!X291&gt;0,4,0))</f>
        <v>4</v>
      </c>
      <c r="Z182" s="22">
        <f>IF('Growth (no penalty)'!Y188&gt;0,1,IF('Growth (no penalty)'!Y291&gt;0,4,0))</f>
        <v>4</v>
      </c>
      <c r="AA182" s="22">
        <f>IF('Growth (no penalty)'!Z188&gt;0,1,IF('Growth (no penalty)'!Z291&gt;0,4,0))</f>
        <v>4</v>
      </c>
      <c r="AB182" s="22">
        <f>IF('Growth (no penalty)'!AA188&gt;0,1,IF('Growth (no penalty)'!AA291&gt;0,4,0))</f>
        <v>4</v>
      </c>
      <c r="AC182" s="22">
        <f>IF('Growth (no penalty)'!AB188&gt;0,1,IF('Growth (no penalty)'!AB291&gt;0,4,0))</f>
        <v>4</v>
      </c>
      <c r="AD182" s="22">
        <f>IF('Growth (no penalty)'!AC188&gt;0,1,IF('Growth (no penalty)'!AC291&gt;0,4,0))</f>
        <v>4</v>
      </c>
      <c r="AE182" s="22">
        <f>IF('Growth (no penalty)'!AD188&gt;0,1,IF('Growth (no penalty)'!AD291&gt;0,4,0))</f>
        <v>4</v>
      </c>
      <c r="AF182" s="22">
        <f>IF('Growth (no penalty)'!AE188&gt;0,1,IF('Growth (no penalty)'!AE291&gt;0,4,0))</f>
        <v>4</v>
      </c>
      <c r="AG182" s="22">
        <f>IF('Growth (no penalty)'!AF188&gt;0,1,IF('Growth (no penalty)'!AF291&gt;0,4,0))</f>
        <v>4</v>
      </c>
      <c r="AH182" s="22">
        <f>IF('Growth (no penalty)'!AG188&gt;0,1,IF('Growth (no penalty)'!AG291&gt;0,4,0))</f>
        <v>4</v>
      </c>
      <c r="AI182" s="22">
        <f>IF('Growth (no penalty)'!AH188&gt;0,1,IF('Growth (no penalty)'!AH291&gt;0,4,0))</f>
        <v>4</v>
      </c>
      <c r="AJ182" s="22">
        <f>IF('Growth (no penalty)'!AI188&gt;0,1,IF('Growth (no penalty)'!AI291&gt;0,4,0))</f>
        <v>4</v>
      </c>
      <c r="AK182" s="22">
        <f>IF('Growth (no penalty)'!AJ188&gt;0,1,IF('Growth (no penalty)'!AJ291&gt;0,4,0))</f>
        <v>4</v>
      </c>
      <c r="AL182" s="22">
        <f>IF('Growth (no penalty)'!AK188&gt;0,1,IF('Growth (no penalty)'!AK291&gt;0,4,0))</f>
        <v>4</v>
      </c>
      <c r="AM182" s="22">
        <f>IF('Growth (no penalty)'!AL188&gt;0,1,IF('Growth (no penalty)'!AL291&gt;0,4,0))</f>
        <v>4</v>
      </c>
      <c r="AN182" s="22">
        <f>IF('Growth (no penalty)'!AM188&gt;0,1,IF('Growth (no penalty)'!AM291&gt;0,4,0))</f>
        <v>4</v>
      </c>
      <c r="AO182" s="22">
        <f>IF('Growth (no penalty)'!AN188&gt;0,1,IF('Growth (no penalty)'!AN291&gt;0,4,0))</f>
        <v>4</v>
      </c>
      <c r="AP182" s="22">
        <f>IF('Growth (no penalty)'!AO188&gt;0,1,IF('Growth (no penalty)'!AO291&gt;0,4,0))</f>
        <v>4</v>
      </c>
      <c r="AQ182" s="22">
        <f>IF('Growth (no penalty)'!AP188&gt;0,1,IF('Growth (no penalty)'!AP291&gt;0,4,0))</f>
        <v>4</v>
      </c>
      <c r="AR182" s="22">
        <f>IF('Growth (no penalty)'!AQ188&gt;0,1,IF('Growth (no penalty)'!AQ291&gt;0,4,0))</f>
        <v>4</v>
      </c>
      <c r="AS182" s="22">
        <f>IF('Growth (no penalty)'!AR188&gt;0,1,IF('Growth (no penalty)'!AR291&gt;0,4,0))</f>
        <v>4</v>
      </c>
      <c r="AT182" s="22">
        <f>IF('Growth (no penalty)'!AS188&gt;0,1,IF('Growth (no penalty)'!AS291&gt;0,4,0))</f>
        <v>4</v>
      </c>
      <c r="AU182" s="22">
        <f>IF('Growth (no penalty)'!AT188&gt;0,1,IF('Growth (no penalty)'!AT291&gt;0,4,0))</f>
        <v>4</v>
      </c>
      <c r="AV182" s="22">
        <f>IF('Growth (no penalty)'!AU188&gt;0,1,IF('Growth (no penalty)'!AU291&gt;0,4,0))</f>
        <v>4</v>
      </c>
      <c r="AW182" s="22">
        <f>IF('Growth (no penalty)'!AV188&gt;0,1,IF('Growth (no penalty)'!AV291&gt;0,4,0))</f>
        <v>4</v>
      </c>
      <c r="AX182" s="22">
        <f>IF('Growth (no penalty)'!AW188&gt;0,1,IF('Growth (no penalty)'!AW291&gt;0,4,0))</f>
        <v>4</v>
      </c>
      <c r="AY182" s="22">
        <f>IF('Growth (no penalty)'!AX188&gt;0,1,IF('Growth (no penalty)'!AX291&gt;0,4,0))</f>
        <v>4</v>
      </c>
      <c r="AZ182" s="22">
        <f>IF('Growth (no penalty)'!AY188&gt;0,1,IF('Growth (no penalty)'!AY291&gt;0,4,0))</f>
        <v>0</v>
      </c>
      <c r="BA182" s="22">
        <f>IF('Growth (no penalty)'!AZ188&gt;0,1,IF('Growth (no penalty)'!AZ291&gt;0,4,0))</f>
        <v>0</v>
      </c>
      <c r="BB182" s="22">
        <f>IF('Growth (no penalty)'!BA188&gt;0,1,IF('Growth (no penalty)'!BA291&gt;0,4,0))</f>
        <v>0</v>
      </c>
      <c r="BC182" s="22">
        <f>IF('Growth (no penalty)'!BB188&gt;0,1,IF('Growth (no penalty)'!BB291&gt;0,4,0))</f>
        <v>0</v>
      </c>
      <c r="BD182" s="22">
        <f>IF('Growth (no penalty)'!BC188&gt;0,1,IF('Growth (no penalty)'!BC291&gt;0,4,0))</f>
        <v>0</v>
      </c>
      <c r="BE182" s="22">
        <f>IF('Growth (no penalty)'!BD188&gt;0,1,IF('Growth (no penalty)'!BD291&gt;0,4,0))</f>
        <v>0</v>
      </c>
      <c r="BF182" s="22">
        <f>IF('Growth (no penalty)'!BE188&gt;0,1,IF('Growth (no penalty)'!BE291&gt;0,4,0))</f>
        <v>0</v>
      </c>
      <c r="BG182" s="22">
        <f>IF('Growth (no penalty)'!BF188&gt;0,1,IF('Growth (no penalty)'!BF291&gt;0,4,0))</f>
        <v>0</v>
      </c>
      <c r="BH182" s="22">
        <f>IF('Growth (no penalty)'!BG188&gt;0,1,IF('Growth (no penalty)'!BG291&gt;0,4,0))</f>
        <v>0</v>
      </c>
      <c r="BI182" s="22">
        <f>IF('Growth (no penalty)'!BH188&gt;0,1,IF('Growth (no penalty)'!BH291&gt;0,4,0))</f>
        <v>0</v>
      </c>
      <c r="BJ182" s="22">
        <f>IF('Growth (no penalty)'!BI188&gt;0,1,IF('Growth (no penalty)'!BI291&gt;0,4,0))</f>
        <v>0</v>
      </c>
      <c r="BK182" s="23">
        <f>IF('Growth (no penalty)'!BJ188&gt;0,1,IF('Growth (no penalty)'!BJ291&gt;0,4,0))</f>
        <v>0</v>
      </c>
    </row>
    <row r="183" spans="1:63" x14ac:dyDescent="0.3">
      <c r="A183" s="4" t="str">
        <f>'Growth profile'!A50</f>
        <v>project 47</v>
      </c>
      <c r="B183" s="13" t="s">
        <v>3</v>
      </c>
      <c r="C183" s="19">
        <f>'Raw profile'!I50</f>
        <v>2037</v>
      </c>
      <c r="D183" s="20">
        <f>IF('Raw profile'!C158&gt;0,1,IF('Raw profile'!C261&gt;0,2,0))</f>
        <v>0</v>
      </c>
      <c r="E183" s="20">
        <f>IF('Raw profile'!D158&gt;0,1,IF('Raw profile'!D261&gt;0,2,0))</f>
        <v>0</v>
      </c>
      <c r="F183" s="20">
        <f>IF('Raw profile'!E158&gt;0,1,IF('Raw profile'!E261&gt;0,2,0))</f>
        <v>0</v>
      </c>
      <c r="G183" s="20">
        <f>IF('Raw profile'!F158&gt;0,1,IF('Raw profile'!F261&gt;0,2,0))</f>
        <v>0</v>
      </c>
      <c r="H183" s="20">
        <f>IF('Raw profile'!G158&gt;0,1,IF('Raw profile'!G261&gt;0,2,0))</f>
        <v>0</v>
      </c>
      <c r="I183" s="20">
        <f>IF('Raw profile'!H158&gt;0,1,IF('Raw profile'!H261&gt;0,2,0))</f>
        <v>0</v>
      </c>
      <c r="J183" s="20">
        <f>IF('Raw profile'!I158&gt;0,1,IF('Raw profile'!I261&gt;0,2,0))</f>
        <v>0</v>
      </c>
      <c r="K183" s="20">
        <f>IF('Raw profile'!J158&gt;0,1,IF('Raw profile'!J261&gt;0,2,0))</f>
        <v>0</v>
      </c>
      <c r="L183" s="20">
        <f>IF('Raw profile'!K158&gt;0,1,IF('Raw profile'!K261&gt;0,2,0))</f>
        <v>0</v>
      </c>
      <c r="M183" s="20">
        <f>IF('Raw profile'!L158&gt;0,1,IF('Raw profile'!L261&gt;0,2,0))</f>
        <v>0</v>
      </c>
      <c r="N183" s="20">
        <f>IF('Raw profile'!M158&gt;0,1,IF('Raw profile'!M261&gt;0,2,0))</f>
        <v>0</v>
      </c>
      <c r="O183" s="20">
        <f>IF('Raw profile'!N158&gt;0,1,IF('Raw profile'!N261&gt;0,2,0))</f>
        <v>1</v>
      </c>
      <c r="P183" s="20">
        <f>IF('Raw profile'!O158&gt;0,1,IF('Raw profile'!O261&gt;0,2,0))</f>
        <v>1</v>
      </c>
      <c r="Q183" s="20">
        <f>IF('Raw profile'!P158&gt;0,1,IF('Raw profile'!P261&gt;0,2,0))</f>
        <v>2</v>
      </c>
      <c r="R183" s="20">
        <f>IF('Raw profile'!Q158&gt;0,1,IF('Raw profile'!Q261&gt;0,2,0))</f>
        <v>2</v>
      </c>
      <c r="S183" s="20">
        <f>IF('Raw profile'!R158&gt;0,1,IF('Raw profile'!R261&gt;0,2,0))</f>
        <v>2</v>
      </c>
      <c r="T183" s="20">
        <f>IF('Raw profile'!S158&gt;0,1,IF('Raw profile'!S261&gt;0,2,0))</f>
        <v>2</v>
      </c>
      <c r="U183" s="20">
        <f>IF('Raw profile'!T158&gt;0,1,IF('Raw profile'!T261&gt;0,2,0))</f>
        <v>2</v>
      </c>
      <c r="V183" s="20">
        <f>IF('Raw profile'!U158&gt;0,1,IF('Raw profile'!U261&gt;0,2,0))</f>
        <v>2</v>
      </c>
      <c r="W183" s="20">
        <f>IF('Raw profile'!V158&gt;0,1,IF('Raw profile'!V261&gt;0,2,0))</f>
        <v>2</v>
      </c>
      <c r="X183" s="20">
        <f>IF('Raw profile'!W158&gt;0,1,IF('Raw profile'!W261&gt;0,2,0))</f>
        <v>2</v>
      </c>
      <c r="Y183" s="20">
        <f>IF('Raw profile'!X158&gt;0,1,IF('Raw profile'!X261&gt;0,2,0))</f>
        <v>2</v>
      </c>
      <c r="Z183" s="20">
        <f>IF('Raw profile'!Y158&gt;0,1,IF('Raw profile'!Y261&gt;0,2,0))</f>
        <v>2</v>
      </c>
      <c r="AA183" s="20">
        <f>IF('Raw profile'!Z158&gt;0,1,IF('Raw profile'!Z261&gt;0,2,0))</f>
        <v>2</v>
      </c>
      <c r="AB183" s="20">
        <f>IF('Raw profile'!AA158&gt;0,1,IF('Raw profile'!AA261&gt;0,2,0))</f>
        <v>2</v>
      </c>
      <c r="AC183" s="20">
        <f>IF('Raw profile'!AB158&gt;0,1,IF('Raw profile'!AB261&gt;0,2,0))</f>
        <v>2</v>
      </c>
      <c r="AD183" s="20">
        <f>IF('Raw profile'!AC158&gt;0,1,IF('Raw profile'!AC261&gt;0,2,0))</f>
        <v>2</v>
      </c>
      <c r="AE183" s="20">
        <f>IF('Raw profile'!AD158&gt;0,1,IF('Raw profile'!AD261&gt;0,2,0))</f>
        <v>2</v>
      </c>
      <c r="AF183" s="20">
        <f>IF('Raw profile'!AE158&gt;0,1,IF('Raw profile'!AE261&gt;0,2,0))</f>
        <v>2</v>
      </c>
      <c r="AG183" s="20">
        <f>IF('Raw profile'!AF158&gt;0,1,IF('Raw profile'!AF261&gt;0,2,0))</f>
        <v>2</v>
      </c>
      <c r="AH183" s="20">
        <f>IF('Raw profile'!AG158&gt;0,1,IF('Raw profile'!AG261&gt;0,2,0))</f>
        <v>2</v>
      </c>
      <c r="AI183" s="20">
        <f>IF('Raw profile'!AH158&gt;0,1,IF('Raw profile'!AH261&gt;0,2,0))</f>
        <v>2</v>
      </c>
      <c r="AJ183" s="20">
        <f>IF('Raw profile'!AI158&gt;0,1,IF('Raw profile'!AI261&gt;0,2,0))</f>
        <v>2</v>
      </c>
      <c r="AK183" s="20">
        <f>IF('Raw profile'!AJ158&gt;0,1,IF('Raw profile'!AJ261&gt;0,2,0))</f>
        <v>2</v>
      </c>
      <c r="AL183" s="20">
        <f>IF('Raw profile'!AK158&gt;0,1,IF('Raw profile'!AK261&gt;0,2,0))</f>
        <v>2</v>
      </c>
      <c r="AM183" s="20">
        <f>IF('Raw profile'!AL158&gt;0,1,IF('Raw profile'!AL261&gt;0,2,0))</f>
        <v>2</v>
      </c>
      <c r="AN183" s="20">
        <f>IF('Raw profile'!AM158&gt;0,1,IF('Raw profile'!AM261&gt;0,2,0))</f>
        <v>2</v>
      </c>
      <c r="AO183" s="20">
        <f>IF('Raw profile'!AN158&gt;0,1,IF('Raw profile'!AN261&gt;0,2,0))</f>
        <v>2</v>
      </c>
      <c r="AP183" s="20">
        <f>IF('Raw profile'!AO158&gt;0,1,IF('Raw profile'!AO261&gt;0,2,0))</f>
        <v>2</v>
      </c>
      <c r="AQ183" s="20">
        <f>IF('Raw profile'!AP158&gt;0,1,IF('Raw profile'!AP261&gt;0,2,0))</f>
        <v>2</v>
      </c>
      <c r="AR183" s="20">
        <f>IF('Raw profile'!AQ158&gt;0,1,IF('Raw profile'!AQ261&gt;0,2,0))</f>
        <v>2</v>
      </c>
      <c r="AS183" s="20">
        <f>IF('Raw profile'!AR158&gt;0,1,IF('Raw profile'!AR261&gt;0,2,0))</f>
        <v>2</v>
      </c>
      <c r="AT183" s="20">
        <f>IF('Raw profile'!AS158&gt;0,1,IF('Raw profile'!AS261&gt;0,2,0))</f>
        <v>2</v>
      </c>
      <c r="AU183" s="20">
        <f>IF('Raw profile'!AT158&gt;0,1,IF('Raw profile'!AT261&gt;0,2,0))</f>
        <v>2</v>
      </c>
      <c r="AV183" s="20">
        <f>IF('Raw profile'!AU158&gt;0,1,IF('Raw profile'!AU261&gt;0,2,0))</f>
        <v>2</v>
      </c>
      <c r="AW183" s="20">
        <f>IF('Raw profile'!AV158&gt;0,1,IF('Raw profile'!AV261&gt;0,2,0))</f>
        <v>2</v>
      </c>
      <c r="AX183" s="20">
        <f>IF('Raw profile'!AW158&gt;0,1,IF('Raw profile'!AW261&gt;0,2,0))</f>
        <v>2</v>
      </c>
      <c r="AY183" s="20">
        <f>IF('Raw profile'!AX158&gt;0,1,IF('Raw profile'!AX261&gt;0,2,0))</f>
        <v>2</v>
      </c>
      <c r="AZ183" s="20">
        <f>IF('Raw profile'!AY158&gt;0,1,IF('Raw profile'!AY261&gt;0,2,0))</f>
        <v>2</v>
      </c>
      <c r="BA183" s="20">
        <f>IF('Raw profile'!AZ158&gt;0,1,IF('Raw profile'!AZ261&gt;0,2,0))</f>
        <v>2</v>
      </c>
      <c r="BB183" s="20">
        <f>IF('Raw profile'!BA158&gt;0,1,IF('Raw profile'!BA261&gt;0,2,0))</f>
        <v>2</v>
      </c>
      <c r="BC183" s="20">
        <f>IF('Raw profile'!BB158&gt;0,1,IF('Raw profile'!BB261&gt;0,2,0))</f>
        <v>2</v>
      </c>
      <c r="BD183" s="20">
        <f>IF('Raw profile'!BC158&gt;0,1,IF('Raw profile'!BC261&gt;0,2,0))</f>
        <v>2</v>
      </c>
      <c r="BE183" s="20">
        <f>IF('Raw profile'!BD158&gt;0,1,IF('Raw profile'!BD261&gt;0,2,0))</f>
        <v>0</v>
      </c>
      <c r="BF183" s="20">
        <f>IF('Raw profile'!BE158&gt;0,1,IF('Raw profile'!BE261&gt;0,2,0))</f>
        <v>0</v>
      </c>
      <c r="BG183" s="20">
        <f>IF('Raw profile'!BF158&gt;0,1,IF('Raw profile'!BF261&gt;0,2,0))</f>
        <v>0</v>
      </c>
      <c r="BH183" s="20">
        <f>IF('Raw profile'!BG158&gt;0,1,IF('Raw profile'!BG261&gt;0,2,0))</f>
        <v>0</v>
      </c>
      <c r="BI183" s="20">
        <f>IF('Raw profile'!BH158&gt;0,1,IF('Raw profile'!BH261&gt;0,2,0))</f>
        <v>0</v>
      </c>
      <c r="BJ183" s="20">
        <f>IF('Raw profile'!BI158&gt;0,1,IF('Raw profile'!BI261&gt;0,2,0))</f>
        <v>0</v>
      </c>
      <c r="BK183" s="21">
        <f>IF('Raw profile'!BJ158&gt;0,1,IF('Raw profile'!BJ261&gt;0,2,0))</f>
        <v>0</v>
      </c>
    </row>
    <row r="184" spans="1:63" x14ac:dyDescent="0.3">
      <c r="B184" s="13" t="s">
        <v>4</v>
      </c>
      <c r="C184" s="19">
        <f>'Growth profile'!I50</f>
        <v>2033</v>
      </c>
      <c r="D184" s="20">
        <f>IF('Growth profile'!C158&gt;0,1,IF('Growth profile'!C261&gt;0,3,0))</f>
        <v>0</v>
      </c>
      <c r="E184" s="20">
        <f>IF('Growth profile'!D158&gt;0,1,IF('Growth profile'!D261&gt;0,3,0))</f>
        <v>0</v>
      </c>
      <c r="F184" s="20">
        <f>IF('Growth profile'!E158&gt;0,1,IF('Growth profile'!E261&gt;0,3,0))</f>
        <v>0</v>
      </c>
      <c r="G184" s="20">
        <f>IF('Growth profile'!F158&gt;0,1,IF('Growth profile'!F261&gt;0,3,0))</f>
        <v>0</v>
      </c>
      <c r="H184" s="20">
        <f>IF('Growth profile'!G158&gt;0,1,IF('Growth profile'!G261&gt;0,3,0))</f>
        <v>0</v>
      </c>
      <c r="I184" s="20">
        <f>IF('Growth profile'!H158&gt;0,1,IF('Growth profile'!H261&gt;0,3,0))</f>
        <v>0</v>
      </c>
      <c r="J184" s="20">
        <f>IF('Growth profile'!I158&gt;0,1,IF('Growth profile'!I261&gt;0,3,0))</f>
        <v>0</v>
      </c>
      <c r="K184" s="20">
        <f>IF('Growth profile'!J158&gt;0,1,IF('Growth profile'!J261&gt;0,3,0))</f>
        <v>1</v>
      </c>
      <c r="L184" s="20">
        <f>IF('Growth profile'!K158&gt;0,1,IF('Growth profile'!K261&gt;0,3,0))</f>
        <v>1</v>
      </c>
      <c r="M184" s="20">
        <f>IF('Growth profile'!L158&gt;0,1,IF('Growth profile'!L261&gt;0,3,0))</f>
        <v>3</v>
      </c>
      <c r="N184" s="20">
        <f>IF('Growth profile'!M158&gt;0,1,IF('Growth profile'!M261&gt;0,3,0))</f>
        <v>3</v>
      </c>
      <c r="O184" s="20">
        <f>IF('Growth profile'!N158&gt;0,1,IF('Growth profile'!N261&gt;0,3,0))</f>
        <v>3</v>
      </c>
      <c r="P184" s="20">
        <f>IF('Growth profile'!O158&gt;0,1,IF('Growth profile'!O261&gt;0,3,0))</f>
        <v>3</v>
      </c>
      <c r="Q184" s="20">
        <f>IF('Growth profile'!P158&gt;0,1,IF('Growth profile'!P261&gt;0,3,0))</f>
        <v>3</v>
      </c>
      <c r="R184" s="20">
        <f>IF('Growth profile'!Q158&gt;0,1,IF('Growth profile'!Q261&gt;0,3,0))</f>
        <v>3</v>
      </c>
      <c r="S184" s="20">
        <f>IF('Growth profile'!R158&gt;0,1,IF('Growth profile'!R261&gt;0,3,0))</f>
        <v>3</v>
      </c>
      <c r="T184" s="20">
        <f>IF('Growth profile'!S158&gt;0,1,IF('Growth profile'!S261&gt;0,3,0))</f>
        <v>3</v>
      </c>
      <c r="U184" s="20">
        <f>IF('Growth profile'!T158&gt;0,1,IF('Growth profile'!T261&gt;0,3,0))</f>
        <v>3</v>
      </c>
      <c r="V184" s="20">
        <f>IF('Growth profile'!U158&gt;0,1,IF('Growth profile'!U261&gt;0,3,0))</f>
        <v>3</v>
      </c>
      <c r="W184" s="20">
        <f>IF('Growth profile'!V158&gt;0,1,IF('Growth profile'!V261&gt;0,3,0))</f>
        <v>3</v>
      </c>
      <c r="X184" s="20">
        <f>IF('Growth profile'!W158&gt;0,1,IF('Growth profile'!W261&gt;0,3,0))</f>
        <v>3</v>
      </c>
      <c r="Y184" s="20">
        <f>IF('Growth profile'!X158&gt;0,1,IF('Growth profile'!X261&gt;0,3,0))</f>
        <v>3</v>
      </c>
      <c r="Z184" s="20">
        <f>IF('Growth profile'!Y158&gt;0,1,IF('Growth profile'!Y261&gt;0,3,0))</f>
        <v>3</v>
      </c>
      <c r="AA184" s="20">
        <f>IF('Growth profile'!Z158&gt;0,1,IF('Growth profile'!Z261&gt;0,3,0))</f>
        <v>3</v>
      </c>
      <c r="AB184" s="20">
        <f>IF('Growth profile'!AA158&gt;0,1,IF('Growth profile'!AA261&gt;0,3,0))</f>
        <v>3</v>
      </c>
      <c r="AC184" s="20">
        <f>IF('Growth profile'!AB158&gt;0,1,IF('Growth profile'!AB261&gt;0,3,0))</f>
        <v>3</v>
      </c>
      <c r="AD184" s="20">
        <f>IF('Growth profile'!AC158&gt;0,1,IF('Growth profile'!AC261&gt;0,3,0))</f>
        <v>3</v>
      </c>
      <c r="AE184" s="20">
        <f>IF('Growth profile'!AD158&gt;0,1,IF('Growth profile'!AD261&gt;0,3,0))</f>
        <v>3</v>
      </c>
      <c r="AF184" s="20">
        <f>IF('Growth profile'!AE158&gt;0,1,IF('Growth profile'!AE261&gt;0,3,0))</f>
        <v>3</v>
      </c>
      <c r="AG184" s="20">
        <f>IF('Growth profile'!AF158&gt;0,1,IF('Growth profile'!AF261&gt;0,3,0))</f>
        <v>3</v>
      </c>
      <c r="AH184" s="20">
        <f>IF('Growth profile'!AG158&gt;0,1,IF('Growth profile'!AG261&gt;0,3,0))</f>
        <v>3</v>
      </c>
      <c r="AI184" s="20">
        <f>IF('Growth profile'!AH158&gt;0,1,IF('Growth profile'!AH261&gt;0,3,0))</f>
        <v>3</v>
      </c>
      <c r="AJ184" s="20">
        <f>IF('Growth profile'!AI158&gt;0,1,IF('Growth profile'!AI261&gt;0,3,0))</f>
        <v>3</v>
      </c>
      <c r="AK184" s="20">
        <f>IF('Growth profile'!AJ158&gt;0,1,IF('Growth profile'!AJ261&gt;0,3,0))</f>
        <v>3</v>
      </c>
      <c r="AL184" s="20">
        <f>IF('Growth profile'!AK158&gt;0,1,IF('Growth profile'!AK261&gt;0,3,0))</f>
        <v>3</v>
      </c>
      <c r="AM184" s="20">
        <f>IF('Growth profile'!AL158&gt;0,1,IF('Growth profile'!AL261&gt;0,3,0))</f>
        <v>3</v>
      </c>
      <c r="AN184" s="20">
        <f>IF('Growth profile'!AM158&gt;0,1,IF('Growth profile'!AM261&gt;0,3,0))</f>
        <v>3</v>
      </c>
      <c r="AO184" s="20">
        <f>IF('Growth profile'!AN158&gt;0,1,IF('Growth profile'!AN261&gt;0,3,0))</f>
        <v>3</v>
      </c>
      <c r="AP184" s="20">
        <f>IF('Growth profile'!AO158&gt;0,1,IF('Growth profile'!AO261&gt;0,3,0))</f>
        <v>3</v>
      </c>
      <c r="AQ184" s="20">
        <f>IF('Growth profile'!AP158&gt;0,1,IF('Growth profile'!AP261&gt;0,3,0))</f>
        <v>3</v>
      </c>
      <c r="AR184" s="20">
        <f>IF('Growth profile'!AQ158&gt;0,1,IF('Growth profile'!AQ261&gt;0,3,0))</f>
        <v>3</v>
      </c>
      <c r="AS184" s="20">
        <f>IF('Growth profile'!AR158&gt;0,1,IF('Growth profile'!AR261&gt;0,3,0))</f>
        <v>3</v>
      </c>
      <c r="AT184" s="20">
        <f>IF('Growth profile'!AS158&gt;0,1,IF('Growth profile'!AS261&gt;0,3,0))</f>
        <v>3</v>
      </c>
      <c r="AU184" s="20">
        <f>IF('Growth profile'!AT158&gt;0,1,IF('Growth profile'!AT261&gt;0,3,0))</f>
        <v>3</v>
      </c>
      <c r="AV184" s="20">
        <f>IF('Growth profile'!AU158&gt;0,1,IF('Growth profile'!AU261&gt;0,3,0))</f>
        <v>3</v>
      </c>
      <c r="AW184" s="20">
        <f>IF('Growth profile'!AV158&gt;0,1,IF('Growth profile'!AV261&gt;0,3,0))</f>
        <v>3</v>
      </c>
      <c r="AX184" s="20">
        <f>IF('Growth profile'!AW158&gt;0,1,IF('Growth profile'!AW261&gt;0,3,0))</f>
        <v>3</v>
      </c>
      <c r="AY184" s="20">
        <f>IF('Growth profile'!AX158&gt;0,1,IF('Growth profile'!AX261&gt;0,3,0))</f>
        <v>3</v>
      </c>
      <c r="AZ184" s="20">
        <f>IF('Growth profile'!AY158&gt;0,1,IF('Growth profile'!AY261&gt;0,3,0))</f>
        <v>3</v>
      </c>
      <c r="BA184" s="20">
        <f>IF('Growth profile'!AZ158&gt;0,1,IF('Growth profile'!AZ261&gt;0,3,0))</f>
        <v>0</v>
      </c>
      <c r="BB184" s="20">
        <f>IF('Growth profile'!BA158&gt;0,1,IF('Growth profile'!BA261&gt;0,3,0))</f>
        <v>0</v>
      </c>
      <c r="BC184" s="20">
        <f>IF('Growth profile'!BB158&gt;0,1,IF('Growth profile'!BB261&gt;0,3,0))</f>
        <v>0</v>
      </c>
      <c r="BD184" s="20">
        <f>IF('Growth profile'!BC158&gt;0,1,IF('Growth profile'!BC261&gt;0,3,0))</f>
        <v>0</v>
      </c>
      <c r="BE184" s="20">
        <f>IF('Growth profile'!BD158&gt;0,1,IF('Growth profile'!BD261&gt;0,3,0))</f>
        <v>0</v>
      </c>
      <c r="BF184" s="20">
        <f>IF('Growth profile'!BE158&gt;0,1,IF('Growth profile'!BE261&gt;0,3,0))</f>
        <v>0</v>
      </c>
      <c r="BG184" s="20">
        <f>IF('Growth profile'!BF158&gt;0,1,IF('Growth profile'!BF261&gt;0,3,0))</f>
        <v>0</v>
      </c>
      <c r="BH184" s="20">
        <f>IF('Growth profile'!BG158&gt;0,1,IF('Growth profile'!BG261&gt;0,3,0))</f>
        <v>0</v>
      </c>
      <c r="BI184" s="20">
        <f>IF('Growth profile'!BH158&gt;0,1,IF('Growth profile'!BH261&gt;0,3,0))</f>
        <v>0</v>
      </c>
      <c r="BJ184" s="20">
        <f>IF('Growth profile'!BI158&gt;0,1,IF('Growth profile'!BI261&gt;0,3,0))</f>
        <v>0</v>
      </c>
      <c r="BK184" s="21">
        <f>IF('Growth profile'!BJ158&gt;0,1,IF('Growth profile'!BJ261&gt;0,3,0))</f>
        <v>0</v>
      </c>
    </row>
    <row r="185" spans="1:63" x14ac:dyDescent="0.3">
      <c r="B185" s="13" t="s">
        <v>59</v>
      </c>
      <c r="C185" s="19">
        <f>'Growth (no penalty)'!I50</f>
        <v>2044</v>
      </c>
      <c r="D185" s="22">
        <f>IF('Growth (no penalty)'!C158&gt;0,1,IF('Growth (no penalty)'!C261&gt;0,4,0))</f>
        <v>0</v>
      </c>
      <c r="E185" s="22">
        <f>IF('Growth (no penalty)'!D158&gt;0,1,IF('Growth (no penalty)'!D261&gt;0,4,0))</f>
        <v>0</v>
      </c>
      <c r="F185" s="22">
        <f>IF('Growth (no penalty)'!E158&gt;0,1,IF('Growth (no penalty)'!E261&gt;0,4,0))</f>
        <v>0</v>
      </c>
      <c r="G185" s="22">
        <f>IF('Growth (no penalty)'!F158&gt;0,1,IF('Growth (no penalty)'!F261&gt;0,4,0))</f>
        <v>0</v>
      </c>
      <c r="H185" s="22">
        <f>IF('Growth (no penalty)'!G158&gt;0,1,IF('Growth (no penalty)'!G261&gt;0,4,0))</f>
        <v>0</v>
      </c>
      <c r="I185" s="22">
        <f>IF('Growth (no penalty)'!H158&gt;0,1,IF('Growth (no penalty)'!H261&gt;0,4,0))</f>
        <v>0</v>
      </c>
      <c r="J185" s="22">
        <f>IF('Growth (no penalty)'!I158&gt;0,1,IF('Growth (no penalty)'!I261&gt;0,4,0))</f>
        <v>0</v>
      </c>
      <c r="K185" s="22">
        <f>IF('Growth (no penalty)'!J158&gt;0,1,IF('Growth (no penalty)'!J261&gt;0,4,0))</f>
        <v>0</v>
      </c>
      <c r="L185" s="22">
        <f>IF('Growth (no penalty)'!K158&gt;0,1,IF('Growth (no penalty)'!K261&gt;0,4,0))</f>
        <v>0</v>
      </c>
      <c r="M185" s="22">
        <f>IF('Growth (no penalty)'!L158&gt;0,1,IF('Growth (no penalty)'!L261&gt;0,4,0))</f>
        <v>0</v>
      </c>
      <c r="N185" s="22">
        <f>IF('Growth (no penalty)'!M158&gt;0,1,IF('Growth (no penalty)'!M261&gt;0,4,0))</f>
        <v>0</v>
      </c>
      <c r="O185" s="22">
        <f>IF('Growth (no penalty)'!N158&gt;0,1,IF('Growth (no penalty)'!N261&gt;0,4,0))</f>
        <v>0</v>
      </c>
      <c r="P185" s="22">
        <f>IF('Growth (no penalty)'!O158&gt;0,1,IF('Growth (no penalty)'!O261&gt;0,4,0))</f>
        <v>0</v>
      </c>
      <c r="Q185" s="22">
        <f>IF('Growth (no penalty)'!P158&gt;0,1,IF('Growth (no penalty)'!P261&gt;0,4,0))</f>
        <v>0</v>
      </c>
      <c r="R185" s="22">
        <f>IF('Growth (no penalty)'!Q158&gt;0,1,IF('Growth (no penalty)'!Q261&gt;0,4,0))</f>
        <v>0</v>
      </c>
      <c r="S185" s="22">
        <f>IF('Growth (no penalty)'!R158&gt;0,1,IF('Growth (no penalty)'!R261&gt;0,4,0))</f>
        <v>0</v>
      </c>
      <c r="T185" s="22">
        <f>IF('Growth (no penalty)'!S158&gt;0,1,IF('Growth (no penalty)'!S261&gt;0,4,0))</f>
        <v>0</v>
      </c>
      <c r="U185" s="22">
        <f>IF('Growth (no penalty)'!T158&gt;0,1,IF('Growth (no penalty)'!T261&gt;0,4,0))</f>
        <v>0</v>
      </c>
      <c r="V185" s="22">
        <f>IF('Growth (no penalty)'!U158&gt;0,1,IF('Growth (no penalty)'!U261&gt;0,4,0))</f>
        <v>1</v>
      </c>
      <c r="W185" s="22">
        <f>IF('Growth (no penalty)'!V158&gt;0,1,IF('Growth (no penalty)'!V261&gt;0,4,0))</f>
        <v>1</v>
      </c>
      <c r="X185" s="22">
        <f>IF('Growth (no penalty)'!W158&gt;0,1,IF('Growth (no penalty)'!W261&gt;0,4,0))</f>
        <v>4</v>
      </c>
      <c r="Y185" s="22">
        <f>IF('Growth (no penalty)'!X158&gt;0,1,IF('Growth (no penalty)'!X261&gt;0,4,0))</f>
        <v>4</v>
      </c>
      <c r="Z185" s="22">
        <f>IF('Growth (no penalty)'!Y158&gt;0,1,IF('Growth (no penalty)'!Y261&gt;0,4,0))</f>
        <v>4</v>
      </c>
      <c r="AA185" s="22">
        <f>IF('Growth (no penalty)'!Z158&gt;0,1,IF('Growth (no penalty)'!Z261&gt;0,4,0))</f>
        <v>4</v>
      </c>
      <c r="AB185" s="22">
        <f>IF('Growth (no penalty)'!AA158&gt;0,1,IF('Growth (no penalty)'!AA261&gt;0,4,0))</f>
        <v>4</v>
      </c>
      <c r="AC185" s="22">
        <f>IF('Growth (no penalty)'!AB158&gt;0,1,IF('Growth (no penalty)'!AB261&gt;0,4,0))</f>
        <v>4</v>
      </c>
      <c r="AD185" s="22">
        <f>IF('Growth (no penalty)'!AC158&gt;0,1,IF('Growth (no penalty)'!AC261&gt;0,4,0))</f>
        <v>4</v>
      </c>
      <c r="AE185" s="22">
        <f>IF('Growth (no penalty)'!AD158&gt;0,1,IF('Growth (no penalty)'!AD261&gt;0,4,0))</f>
        <v>4</v>
      </c>
      <c r="AF185" s="22">
        <f>IF('Growth (no penalty)'!AE158&gt;0,1,IF('Growth (no penalty)'!AE261&gt;0,4,0))</f>
        <v>4</v>
      </c>
      <c r="AG185" s="22">
        <f>IF('Growth (no penalty)'!AF158&gt;0,1,IF('Growth (no penalty)'!AF261&gt;0,4,0))</f>
        <v>4</v>
      </c>
      <c r="AH185" s="22">
        <f>IF('Growth (no penalty)'!AG158&gt;0,1,IF('Growth (no penalty)'!AG261&gt;0,4,0))</f>
        <v>4</v>
      </c>
      <c r="AI185" s="22">
        <f>IF('Growth (no penalty)'!AH158&gt;0,1,IF('Growth (no penalty)'!AH261&gt;0,4,0))</f>
        <v>4</v>
      </c>
      <c r="AJ185" s="22">
        <f>IF('Growth (no penalty)'!AI158&gt;0,1,IF('Growth (no penalty)'!AI261&gt;0,4,0))</f>
        <v>4</v>
      </c>
      <c r="AK185" s="22">
        <f>IF('Growth (no penalty)'!AJ158&gt;0,1,IF('Growth (no penalty)'!AJ261&gt;0,4,0))</f>
        <v>4</v>
      </c>
      <c r="AL185" s="22">
        <f>IF('Growth (no penalty)'!AK158&gt;0,1,IF('Growth (no penalty)'!AK261&gt;0,4,0))</f>
        <v>4</v>
      </c>
      <c r="AM185" s="22">
        <f>IF('Growth (no penalty)'!AL158&gt;0,1,IF('Growth (no penalty)'!AL261&gt;0,4,0))</f>
        <v>4</v>
      </c>
      <c r="AN185" s="22">
        <f>IF('Growth (no penalty)'!AM158&gt;0,1,IF('Growth (no penalty)'!AM261&gt;0,4,0))</f>
        <v>4</v>
      </c>
      <c r="AO185" s="22">
        <f>IF('Growth (no penalty)'!AN158&gt;0,1,IF('Growth (no penalty)'!AN261&gt;0,4,0))</f>
        <v>4</v>
      </c>
      <c r="AP185" s="22">
        <f>IF('Growth (no penalty)'!AO158&gt;0,1,IF('Growth (no penalty)'!AO261&gt;0,4,0))</f>
        <v>4</v>
      </c>
      <c r="AQ185" s="22">
        <f>IF('Growth (no penalty)'!AP158&gt;0,1,IF('Growth (no penalty)'!AP261&gt;0,4,0))</f>
        <v>4</v>
      </c>
      <c r="AR185" s="22">
        <f>IF('Growth (no penalty)'!AQ158&gt;0,1,IF('Growth (no penalty)'!AQ261&gt;0,4,0))</f>
        <v>4</v>
      </c>
      <c r="AS185" s="22">
        <f>IF('Growth (no penalty)'!AR158&gt;0,1,IF('Growth (no penalty)'!AR261&gt;0,4,0))</f>
        <v>4</v>
      </c>
      <c r="AT185" s="22">
        <f>IF('Growth (no penalty)'!AS158&gt;0,1,IF('Growth (no penalty)'!AS261&gt;0,4,0))</f>
        <v>4</v>
      </c>
      <c r="AU185" s="22">
        <f>IF('Growth (no penalty)'!AT158&gt;0,1,IF('Growth (no penalty)'!AT261&gt;0,4,0))</f>
        <v>4</v>
      </c>
      <c r="AV185" s="22">
        <f>IF('Growth (no penalty)'!AU158&gt;0,1,IF('Growth (no penalty)'!AU261&gt;0,4,0))</f>
        <v>4</v>
      </c>
      <c r="AW185" s="22">
        <f>IF('Growth (no penalty)'!AV158&gt;0,1,IF('Growth (no penalty)'!AV261&gt;0,4,0))</f>
        <v>4</v>
      </c>
      <c r="AX185" s="22">
        <f>IF('Growth (no penalty)'!AW158&gt;0,1,IF('Growth (no penalty)'!AW261&gt;0,4,0))</f>
        <v>4</v>
      </c>
      <c r="AY185" s="22">
        <f>IF('Growth (no penalty)'!AX158&gt;0,1,IF('Growth (no penalty)'!AX261&gt;0,4,0))</f>
        <v>4</v>
      </c>
      <c r="AZ185" s="22">
        <f>IF('Growth (no penalty)'!AY158&gt;0,1,IF('Growth (no penalty)'!AY261&gt;0,4,0))</f>
        <v>4</v>
      </c>
      <c r="BA185" s="22">
        <f>IF('Growth (no penalty)'!AZ158&gt;0,1,IF('Growth (no penalty)'!AZ261&gt;0,4,0))</f>
        <v>4</v>
      </c>
      <c r="BB185" s="22">
        <f>IF('Growth (no penalty)'!BA158&gt;0,1,IF('Growth (no penalty)'!BA261&gt;0,4,0))</f>
        <v>4</v>
      </c>
      <c r="BC185" s="22">
        <f>IF('Growth (no penalty)'!BB158&gt;0,1,IF('Growth (no penalty)'!BB261&gt;0,4,0))</f>
        <v>4</v>
      </c>
      <c r="BD185" s="22">
        <f>IF('Growth (no penalty)'!BC158&gt;0,1,IF('Growth (no penalty)'!BC261&gt;0,4,0))</f>
        <v>4</v>
      </c>
      <c r="BE185" s="22">
        <f>IF('Growth (no penalty)'!BD158&gt;0,1,IF('Growth (no penalty)'!BD261&gt;0,4,0))</f>
        <v>4</v>
      </c>
      <c r="BF185" s="22">
        <f>IF('Growth (no penalty)'!BE158&gt;0,1,IF('Growth (no penalty)'!BE261&gt;0,4,0))</f>
        <v>4</v>
      </c>
      <c r="BG185" s="22">
        <f>IF('Growth (no penalty)'!BF158&gt;0,1,IF('Growth (no penalty)'!BF261&gt;0,4,0))</f>
        <v>4</v>
      </c>
      <c r="BH185" s="22">
        <f>IF('Growth (no penalty)'!BG158&gt;0,1,IF('Growth (no penalty)'!BG261&gt;0,4,0))</f>
        <v>4</v>
      </c>
      <c r="BI185" s="22">
        <f>IF('Growth (no penalty)'!BH158&gt;0,1,IF('Growth (no penalty)'!BH261&gt;0,4,0))</f>
        <v>4</v>
      </c>
      <c r="BJ185" s="22">
        <f>IF('Growth (no penalty)'!BI158&gt;0,1,IF('Growth (no penalty)'!BI261&gt;0,4,0))</f>
        <v>4</v>
      </c>
      <c r="BK185" s="23">
        <f>IF('Growth (no penalty)'!BJ158&gt;0,1,IF('Growth (no penalty)'!BJ261&gt;0,4,0))</f>
        <v>4</v>
      </c>
    </row>
    <row r="186" spans="1:63" x14ac:dyDescent="0.3">
      <c r="A186" s="4" t="str">
        <f>'Growth profile'!A87</f>
        <v>project 133</v>
      </c>
      <c r="B186" s="13" t="s">
        <v>3</v>
      </c>
      <c r="C186" s="19">
        <f>'Raw profile'!I87</f>
        <v>2037</v>
      </c>
      <c r="D186" s="20">
        <f>IF('Raw profile'!C195&gt;0,1,IF('Raw profile'!C298&gt;0,2,0))</f>
        <v>0</v>
      </c>
      <c r="E186" s="20">
        <f>IF('Raw profile'!D195&gt;0,1,IF('Raw profile'!D298&gt;0,2,0))</f>
        <v>0</v>
      </c>
      <c r="F186" s="20">
        <f>IF('Raw profile'!E195&gt;0,1,IF('Raw profile'!E298&gt;0,2,0))</f>
        <v>0</v>
      </c>
      <c r="G186" s="20">
        <f>IF('Raw profile'!F195&gt;0,1,IF('Raw profile'!F298&gt;0,2,0))</f>
        <v>0</v>
      </c>
      <c r="H186" s="20">
        <f>IF('Raw profile'!G195&gt;0,1,IF('Raw profile'!G298&gt;0,2,0))</f>
        <v>0</v>
      </c>
      <c r="I186" s="20">
        <f>IF('Raw profile'!H195&gt;0,1,IF('Raw profile'!H298&gt;0,2,0))</f>
        <v>0</v>
      </c>
      <c r="J186" s="20">
        <f>IF('Raw profile'!I195&gt;0,1,IF('Raw profile'!I298&gt;0,2,0))</f>
        <v>0</v>
      </c>
      <c r="K186" s="20">
        <f>IF('Raw profile'!J195&gt;0,1,IF('Raw profile'!J298&gt;0,2,0))</f>
        <v>0</v>
      </c>
      <c r="L186" s="20">
        <f>IF('Raw profile'!K195&gt;0,1,IF('Raw profile'!K298&gt;0,2,0))</f>
        <v>0</v>
      </c>
      <c r="M186" s="20">
        <f>IF('Raw profile'!L195&gt;0,1,IF('Raw profile'!L298&gt;0,2,0))</f>
        <v>0</v>
      </c>
      <c r="N186" s="20">
        <f>IF('Raw profile'!M195&gt;0,1,IF('Raw profile'!M298&gt;0,2,0))</f>
        <v>0</v>
      </c>
      <c r="O186" s="20">
        <f>IF('Raw profile'!N195&gt;0,1,IF('Raw profile'!N298&gt;0,2,0))</f>
        <v>1</v>
      </c>
      <c r="P186" s="20">
        <f>IF('Raw profile'!O195&gt;0,1,IF('Raw profile'!O298&gt;0,2,0))</f>
        <v>1</v>
      </c>
      <c r="Q186" s="20">
        <f>IF('Raw profile'!P195&gt;0,1,IF('Raw profile'!P298&gt;0,2,0))</f>
        <v>1</v>
      </c>
      <c r="R186" s="20">
        <f>IF('Raw profile'!Q195&gt;0,1,IF('Raw profile'!Q298&gt;0,2,0))</f>
        <v>1</v>
      </c>
      <c r="S186" s="20">
        <f>IF('Raw profile'!R195&gt;0,1,IF('Raw profile'!R298&gt;0,2,0))</f>
        <v>1</v>
      </c>
      <c r="T186" s="20">
        <f>IF('Raw profile'!S195&gt;0,1,IF('Raw profile'!S298&gt;0,2,0))</f>
        <v>1</v>
      </c>
      <c r="U186" s="20">
        <f>IF('Raw profile'!T195&gt;0,1,IF('Raw profile'!T298&gt;0,2,0))</f>
        <v>1</v>
      </c>
      <c r="V186" s="20">
        <f>IF('Raw profile'!U195&gt;0,1,IF('Raw profile'!U298&gt;0,2,0))</f>
        <v>2</v>
      </c>
      <c r="W186" s="20">
        <f>IF('Raw profile'!V195&gt;0,1,IF('Raw profile'!V298&gt;0,2,0))</f>
        <v>2</v>
      </c>
      <c r="X186" s="20">
        <f>IF('Raw profile'!W195&gt;0,1,IF('Raw profile'!W298&gt;0,2,0))</f>
        <v>2</v>
      </c>
      <c r="Y186" s="20">
        <f>IF('Raw profile'!X195&gt;0,1,IF('Raw profile'!X298&gt;0,2,0))</f>
        <v>2</v>
      </c>
      <c r="Z186" s="20">
        <f>IF('Raw profile'!Y195&gt;0,1,IF('Raw profile'!Y298&gt;0,2,0))</f>
        <v>2</v>
      </c>
      <c r="AA186" s="20">
        <f>IF('Raw profile'!Z195&gt;0,1,IF('Raw profile'!Z298&gt;0,2,0))</f>
        <v>2</v>
      </c>
      <c r="AB186" s="20">
        <f>IF('Raw profile'!AA195&gt;0,1,IF('Raw profile'!AA298&gt;0,2,0))</f>
        <v>2</v>
      </c>
      <c r="AC186" s="20">
        <f>IF('Raw profile'!AB195&gt;0,1,IF('Raw profile'!AB298&gt;0,2,0))</f>
        <v>2</v>
      </c>
      <c r="AD186" s="20">
        <f>IF('Raw profile'!AC195&gt;0,1,IF('Raw profile'!AC298&gt;0,2,0))</f>
        <v>2</v>
      </c>
      <c r="AE186" s="20">
        <f>IF('Raw profile'!AD195&gt;0,1,IF('Raw profile'!AD298&gt;0,2,0))</f>
        <v>2</v>
      </c>
      <c r="AF186" s="20">
        <f>IF('Raw profile'!AE195&gt;0,1,IF('Raw profile'!AE298&gt;0,2,0))</f>
        <v>2</v>
      </c>
      <c r="AG186" s="20">
        <f>IF('Raw profile'!AF195&gt;0,1,IF('Raw profile'!AF298&gt;0,2,0))</f>
        <v>2</v>
      </c>
      <c r="AH186" s="20">
        <f>IF('Raw profile'!AG195&gt;0,1,IF('Raw profile'!AG298&gt;0,2,0))</f>
        <v>2</v>
      </c>
      <c r="AI186" s="20">
        <f>IF('Raw profile'!AH195&gt;0,1,IF('Raw profile'!AH298&gt;0,2,0))</f>
        <v>2</v>
      </c>
      <c r="AJ186" s="20">
        <f>IF('Raw profile'!AI195&gt;0,1,IF('Raw profile'!AI298&gt;0,2,0))</f>
        <v>2</v>
      </c>
      <c r="AK186" s="20">
        <f>IF('Raw profile'!AJ195&gt;0,1,IF('Raw profile'!AJ298&gt;0,2,0))</f>
        <v>2</v>
      </c>
      <c r="AL186" s="20">
        <f>IF('Raw profile'!AK195&gt;0,1,IF('Raw profile'!AK298&gt;0,2,0))</f>
        <v>2</v>
      </c>
      <c r="AM186" s="20">
        <f>IF('Raw profile'!AL195&gt;0,1,IF('Raw profile'!AL298&gt;0,2,0))</f>
        <v>2</v>
      </c>
      <c r="AN186" s="20">
        <f>IF('Raw profile'!AM195&gt;0,1,IF('Raw profile'!AM298&gt;0,2,0))</f>
        <v>2</v>
      </c>
      <c r="AO186" s="20">
        <f>IF('Raw profile'!AN195&gt;0,1,IF('Raw profile'!AN298&gt;0,2,0))</f>
        <v>2</v>
      </c>
      <c r="AP186" s="20">
        <f>IF('Raw profile'!AO195&gt;0,1,IF('Raw profile'!AO298&gt;0,2,0))</f>
        <v>2</v>
      </c>
      <c r="AQ186" s="20">
        <f>IF('Raw profile'!AP195&gt;0,1,IF('Raw profile'!AP298&gt;0,2,0))</f>
        <v>2</v>
      </c>
      <c r="AR186" s="20">
        <f>IF('Raw profile'!AQ195&gt;0,1,IF('Raw profile'!AQ298&gt;0,2,0))</f>
        <v>2</v>
      </c>
      <c r="AS186" s="20">
        <f>IF('Raw profile'!AR195&gt;0,1,IF('Raw profile'!AR298&gt;0,2,0))</f>
        <v>2</v>
      </c>
      <c r="AT186" s="20">
        <f>IF('Raw profile'!AS195&gt;0,1,IF('Raw profile'!AS298&gt;0,2,0))</f>
        <v>2</v>
      </c>
      <c r="AU186" s="20">
        <f>IF('Raw profile'!AT195&gt;0,1,IF('Raw profile'!AT298&gt;0,2,0))</f>
        <v>2</v>
      </c>
      <c r="AV186" s="20">
        <f>IF('Raw profile'!AU195&gt;0,1,IF('Raw profile'!AU298&gt;0,2,0))</f>
        <v>2</v>
      </c>
      <c r="AW186" s="20">
        <f>IF('Raw profile'!AV195&gt;0,1,IF('Raw profile'!AV298&gt;0,2,0))</f>
        <v>2</v>
      </c>
      <c r="AX186" s="20">
        <f>IF('Raw profile'!AW195&gt;0,1,IF('Raw profile'!AW298&gt;0,2,0))</f>
        <v>2</v>
      </c>
      <c r="AY186" s="20">
        <f>IF('Raw profile'!AX195&gt;0,1,IF('Raw profile'!AX298&gt;0,2,0))</f>
        <v>2</v>
      </c>
      <c r="AZ186" s="20">
        <f>IF('Raw profile'!AY195&gt;0,1,IF('Raw profile'!AY298&gt;0,2,0))</f>
        <v>2</v>
      </c>
      <c r="BA186" s="20">
        <f>IF('Raw profile'!AZ195&gt;0,1,IF('Raw profile'!AZ298&gt;0,2,0))</f>
        <v>2</v>
      </c>
      <c r="BB186" s="20">
        <f>IF('Raw profile'!BA195&gt;0,1,IF('Raw profile'!BA298&gt;0,2,0))</f>
        <v>2</v>
      </c>
      <c r="BC186" s="20">
        <f>IF('Raw profile'!BB195&gt;0,1,IF('Raw profile'!BB298&gt;0,2,0))</f>
        <v>2</v>
      </c>
      <c r="BD186" s="20">
        <f>IF('Raw profile'!BC195&gt;0,1,IF('Raw profile'!BC298&gt;0,2,0))</f>
        <v>2</v>
      </c>
      <c r="BE186" s="20">
        <f>IF('Raw profile'!BD195&gt;0,1,IF('Raw profile'!BD298&gt;0,2,0))</f>
        <v>2</v>
      </c>
      <c r="BF186" s="20">
        <f>IF('Raw profile'!BE195&gt;0,1,IF('Raw profile'!BE298&gt;0,2,0))</f>
        <v>2</v>
      </c>
      <c r="BG186" s="20">
        <f>IF('Raw profile'!BF195&gt;0,1,IF('Raw profile'!BF298&gt;0,2,0))</f>
        <v>2</v>
      </c>
      <c r="BH186" s="20">
        <f>IF('Raw profile'!BG195&gt;0,1,IF('Raw profile'!BG298&gt;0,2,0))</f>
        <v>2</v>
      </c>
      <c r="BI186" s="20">
        <f>IF('Raw profile'!BH195&gt;0,1,IF('Raw profile'!BH298&gt;0,2,0))</f>
        <v>2</v>
      </c>
      <c r="BJ186" s="20">
        <f>IF('Raw profile'!BI195&gt;0,1,IF('Raw profile'!BI298&gt;0,2,0))</f>
        <v>0</v>
      </c>
      <c r="BK186" s="21">
        <f>IF('Raw profile'!BJ195&gt;0,1,IF('Raw profile'!BJ298&gt;0,2,0))</f>
        <v>0</v>
      </c>
    </row>
    <row r="187" spans="1:63" x14ac:dyDescent="0.3">
      <c r="B187" s="13" t="s">
        <v>4</v>
      </c>
      <c r="C187" s="19">
        <f>'Growth profile'!I87</f>
        <v>2033</v>
      </c>
      <c r="D187" s="20">
        <f>IF('Growth profile'!C195&gt;0,1,IF('Growth profile'!C298&gt;0,3,0))</f>
        <v>0</v>
      </c>
      <c r="E187" s="20">
        <f>IF('Growth profile'!D195&gt;0,1,IF('Growth profile'!D298&gt;0,3,0))</f>
        <v>0</v>
      </c>
      <c r="F187" s="20">
        <f>IF('Growth profile'!E195&gt;0,1,IF('Growth profile'!E298&gt;0,3,0))</f>
        <v>0</v>
      </c>
      <c r="G187" s="20">
        <f>IF('Growth profile'!F195&gt;0,1,IF('Growth profile'!F298&gt;0,3,0))</f>
        <v>0</v>
      </c>
      <c r="H187" s="20">
        <f>IF('Growth profile'!G195&gt;0,1,IF('Growth profile'!G298&gt;0,3,0))</f>
        <v>0</v>
      </c>
      <c r="I187" s="20">
        <f>IF('Growth profile'!H195&gt;0,1,IF('Growth profile'!H298&gt;0,3,0))</f>
        <v>0</v>
      </c>
      <c r="J187" s="20">
        <f>IF('Growth profile'!I195&gt;0,1,IF('Growth profile'!I298&gt;0,3,0))</f>
        <v>0</v>
      </c>
      <c r="K187" s="20">
        <f>IF('Growth profile'!J195&gt;0,1,IF('Growth profile'!J298&gt;0,3,0))</f>
        <v>1</v>
      </c>
      <c r="L187" s="20">
        <f>IF('Growth profile'!K195&gt;0,1,IF('Growth profile'!K298&gt;0,3,0))</f>
        <v>1</v>
      </c>
      <c r="M187" s="20">
        <f>IF('Growth profile'!L195&gt;0,1,IF('Growth profile'!L298&gt;0,3,0))</f>
        <v>1</v>
      </c>
      <c r="N187" s="20">
        <f>IF('Growth profile'!M195&gt;0,1,IF('Growth profile'!M298&gt;0,3,0))</f>
        <v>1</v>
      </c>
      <c r="O187" s="20">
        <f>IF('Growth profile'!N195&gt;0,1,IF('Growth profile'!N298&gt;0,3,0))</f>
        <v>1</v>
      </c>
      <c r="P187" s="20">
        <f>IF('Growth profile'!O195&gt;0,1,IF('Growth profile'!O298&gt;0,3,0))</f>
        <v>1</v>
      </c>
      <c r="Q187" s="20">
        <f>IF('Growth profile'!P195&gt;0,1,IF('Growth profile'!P298&gt;0,3,0))</f>
        <v>1</v>
      </c>
      <c r="R187" s="20">
        <f>IF('Growth profile'!Q195&gt;0,1,IF('Growth profile'!Q298&gt;0,3,0))</f>
        <v>3</v>
      </c>
      <c r="S187" s="20">
        <f>IF('Growth profile'!R195&gt;0,1,IF('Growth profile'!R298&gt;0,3,0))</f>
        <v>3</v>
      </c>
      <c r="T187" s="20">
        <f>IF('Growth profile'!S195&gt;0,1,IF('Growth profile'!S298&gt;0,3,0))</f>
        <v>3</v>
      </c>
      <c r="U187" s="20">
        <f>IF('Growth profile'!T195&gt;0,1,IF('Growth profile'!T298&gt;0,3,0))</f>
        <v>3</v>
      </c>
      <c r="V187" s="20">
        <f>IF('Growth profile'!U195&gt;0,1,IF('Growth profile'!U298&gt;0,3,0))</f>
        <v>3</v>
      </c>
      <c r="W187" s="20">
        <f>IF('Growth profile'!V195&gt;0,1,IF('Growth profile'!V298&gt;0,3,0))</f>
        <v>3</v>
      </c>
      <c r="X187" s="20">
        <f>IF('Growth profile'!W195&gt;0,1,IF('Growth profile'!W298&gt;0,3,0))</f>
        <v>3</v>
      </c>
      <c r="Y187" s="20">
        <f>IF('Growth profile'!X195&gt;0,1,IF('Growth profile'!X298&gt;0,3,0))</f>
        <v>3</v>
      </c>
      <c r="Z187" s="20">
        <f>IF('Growth profile'!Y195&gt;0,1,IF('Growth profile'!Y298&gt;0,3,0))</f>
        <v>3</v>
      </c>
      <c r="AA187" s="20">
        <f>IF('Growth profile'!Z195&gt;0,1,IF('Growth profile'!Z298&gt;0,3,0))</f>
        <v>3</v>
      </c>
      <c r="AB187" s="20">
        <f>IF('Growth profile'!AA195&gt;0,1,IF('Growth profile'!AA298&gt;0,3,0))</f>
        <v>3</v>
      </c>
      <c r="AC187" s="20">
        <f>IF('Growth profile'!AB195&gt;0,1,IF('Growth profile'!AB298&gt;0,3,0))</f>
        <v>3</v>
      </c>
      <c r="AD187" s="20">
        <f>IF('Growth profile'!AC195&gt;0,1,IF('Growth profile'!AC298&gt;0,3,0))</f>
        <v>3</v>
      </c>
      <c r="AE187" s="20">
        <f>IF('Growth profile'!AD195&gt;0,1,IF('Growth profile'!AD298&gt;0,3,0))</f>
        <v>3</v>
      </c>
      <c r="AF187" s="20">
        <f>IF('Growth profile'!AE195&gt;0,1,IF('Growth profile'!AE298&gt;0,3,0))</f>
        <v>3</v>
      </c>
      <c r="AG187" s="20">
        <f>IF('Growth profile'!AF195&gt;0,1,IF('Growth profile'!AF298&gt;0,3,0))</f>
        <v>3</v>
      </c>
      <c r="AH187" s="20">
        <f>IF('Growth profile'!AG195&gt;0,1,IF('Growth profile'!AG298&gt;0,3,0))</f>
        <v>3</v>
      </c>
      <c r="AI187" s="20">
        <f>IF('Growth profile'!AH195&gt;0,1,IF('Growth profile'!AH298&gt;0,3,0))</f>
        <v>3</v>
      </c>
      <c r="AJ187" s="20">
        <f>IF('Growth profile'!AI195&gt;0,1,IF('Growth profile'!AI298&gt;0,3,0))</f>
        <v>3</v>
      </c>
      <c r="AK187" s="20">
        <f>IF('Growth profile'!AJ195&gt;0,1,IF('Growth profile'!AJ298&gt;0,3,0))</f>
        <v>3</v>
      </c>
      <c r="AL187" s="20">
        <f>IF('Growth profile'!AK195&gt;0,1,IF('Growth profile'!AK298&gt;0,3,0))</f>
        <v>3</v>
      </c>
      <c r="AM187" s="20">
        <f>IF('Growth profile'!AL195&gt;0,1,IF('Growth profile'!AL298&gt;0,3,0))</f>
        <v>3</v>
      </c>
      <c r="AN187" s="20">
        <f>IF('Growth profile'!AM195&gt;0,1,IF('Growth profile'!AM298&gt;0,3,0))</f>
        <v>3</v>
      </c>
      <c r="AO187" s="20">
        <f>IF('Growth profile'!AN195&gt;0,1,IF('Growth profile'!AN298&gt;0,3,0))</f>
        <v>3</v>
      </c>
      <c r="AP187" s="20">
        <f>IF('Growth profile'!AO195&gt;0,1,IF('Growth profile'!AO298&gt;0,3,0))</f>
        <v>3</v>
      </c>
      <c r="AQ187" s="20">
        <f>IF('Growth profile'!AP195&gt;0,1,IF('Growth profile'!AP298&gt;0,3,0))</f>
        <v>3</v>
      </c>
      <c r="AR187" s="20">
        <f>IF('Growth profile'!AQ195&gt;0,1,IF('Growth profile'!AQ298&gt;0,3,0))</f>
        <v>3</v>
      </c>
      <c r="AS187" s="20">
        <f>IF('Growth profile'!AR195&gt;0,1,IF('Growth profile'!AR298&gt;0,3,0))</f>
        <v>3</v>
      </c>
      <c r="AT187" s="20">
        <f>IF('Growth profile'!AS195&gt;0,1,IF('Growth profile'!AS298&gt;0,3,0))</f>
        <v>3</v>
      </c>
      <c r="AU187" s="20">
        <f>IF('Growth profile'!AT195&gt;0,1,IF('Growth profile'!AT298&gt;0,3,0))</f>
        <v>3</v>
      </c>
      <c r="AV187" s="20">
        <f>IF('Growth profile'!AU195&gt;0,1,IF('Growth profile'!AU298&gt;0,3,0))</f>
        <v>3</v>
      </c>
      <c r="AW187" s="20">
        <f>IF('Growth profile'!AV195&gt;0,1,IF('Growth profile'!AV298&gt;0,3,0))</f>
        <v>3</v>
      </c>
      <c r="AX187" s="20">
        <f>IF('Growth profile'!AW195&gt;0,1,IF('Growth profile'!AW298&gt;0,3,0))</f>
        <v>3</v>
      </c>
      <c r="AY187" s="20">
        <f>IF('Growth profile'!AX195&gt;0,1,IF('Growth profile'!AX298&gt;0,3,0))</f>
        <v>3</v>
      </c>
      <c r="AZ187" s="20">
        <f>IF('Growth profile'!AY195&gt;0,1,IF('Growth profile'!AY298&gt;0,3,0))</f>
        <v>3</v>
      </c>
      <c r="BA187" s="20">
        <f>IF('Growth profile'!AZ195&gt;0,1,IF('Growth profile'!AZ298&gt;0,3,0))</f>
        <v>3</v>
      </c>
      <c r="BB187" s="20">
        <f>IF('Growth profile'!BA195&gt;0,1,IF('Growth profile'!BA298&gt;0,3,0))</f>
        <v>3</v>
      </c>
      <c r="BC187" s="20">
        <f>IF('Growth profile'!BB195&gt;0,1,IF('Growth profile'!BB298&gt;0,3,0))</f>
        <v>3</v>
      </c>
      <c r="BD187" s="20">
        <f>IF('Growth profile'!BC195&gt;0,1,IF('Growth profile'!BC298&gt;0,3,0))</f>
        <v>3</v>
      </c>
      <c r="BE187" s="20">
        <f>IF('Growth profile'!BD195&gt;0,1,IF('Growth profile'!BD298&gt;0,3,0))</f>
        <v>3</v>
      </c>
      <c r="BF187" s="20">
        <f>IF('Growth profile'!BE195&gt;0,1,IF('Growth profile'!BE298&gt;0,3,0))</f>
        <v>0</v>
      </c>
      <c r="BG187" s="20">
        <f>IF('Growth profile'!BF195&gt;0,1,IF('Growth profile'!BF298&gt;0,3,0))</f>
        <v>0</v>
      </c>
      <c r="BH187" s="20">
        <f>IF('Growth profile'!BG195&gt;0,1,IF('Growth profile'!BG298&gt;0,3,0))</f>
        <v>0</v>
      </c>
      <c r="BI187" s="20">
        <f>IF('Growth profile'!BH195&gt;0,1,IF('Growth profile'!BH298&gt;0,3,0))</f>
        <v>0</v>
      </c>
      <c r="BJ187" s="20">
        <f>IF('Growth profile'!BI195&gt;0,1,IF('Growth profile'!BI298&gt;0,3,0))</f>
        <v>0</v>
      </c>
      <c r="BK187" s="21">
        <f>IF('Growth profile'!BJ195&gt;0,1,IF('Growth profile'!BJ298&gt;0,3,0))</f>
        <v>0</v>
      </c>
    </row>
    <row r="188" spans="1:63" x14ac:dyDescent="0.3">
      <c r="B188" s="13" t="s">
        <v>59</v>
      </c>
      <c r="C188" s="19">
        <f>'Growth (no penalty)'!I87</f>
        <v>2039</v>
      </c>
      <c r="D188" s="22">
        <f>IF('Growth (no penalty)'!C195&gt;0,1,IF('Growth (no penalty)'!C298&gt;0,4,0))</f>
        <v>0</v>
      </c>
      <c r="E188" s="22">
        <f>IF('Growth (no penalty)'!D195&gt;0,1,IF('Growth (no penalty)'!D298&gt;0,4,0))</f>
        <v>0</v>
      </c>
      <c r="F188" s="22">
        <f>IF('Growth (no penalty)'!E195&gt;0,1,IF('Growth (no penalty)'!E298&gt;0,4,0))</f>
        <v>0</v>
      </c>
      <c r="G188" s="22">
        <f>IF('Growth (no penalty)'!F195&gt;0,1,IF('Growth (no penalty)'!F298&gt;0,4,0))</f>
        <v>0</v>
      </c>
      <c r="H188" s="22">
        <f>IF('Growth (no penalty)'!G195&gt;0,1,IF('Growth (no penalty)'!G298&gt;0,4,0))</f>
        <v>0</v>
      </c>
      <c r="I188" s="22">
        <f>IF('Growth (no penalty)'!H195&gt;0,1,IF('Growth (no penalty)'!H298&gt;0,4,0))</f>
        <v>0</v>
      </c>
      <c r="J188" s="22">
        <f>IF('Growth (no penalty)'!I195&gt;0,1,IF('Growth (no penalty)'!I298&gt;0,4,0))</f>
        <v>0</v>
      </c>
      <c r="K188" s="22">
        <f>IF('Growth (no penalty)'!J195&gt;0,1,IF('Growth (no penalty)'!J298&gt;0,4,0))</f>
        <v>0</v>
      </c>
      <c r="L188" s="22">
        <f>IF('Growth (no penalty)'!K195&gt;0,1,IF('Growth (no penalty)'!K298&gt;0,4,0))</f>
        <v>0</v>
      </c>
      <c r="M188" s="22">
        <f>IF('Growth (no penalty)'!L195&gt;0,1,IF('Growth (no penalty)'!L298&gt;0,4,0))</f>
        <v>0</v>
      </c>
      <c r="N188" s="22">
        <f>IF('Growth (no penalty)'!M195&gt;0,1,IF('Growth (no penalty)'!M298&gt;0,4,0))</f>
        <v>0</v>
      </c>
      <c r="O188" s="22">
        <f>IF('Growth (no penalty)'!N195&gt;0,1,IF('Growth (no penalty)'!N298&gt;0,4,0))</f>
        <v>0</v>
      </c>
      <c r="P188" s="22">
        <f>IF('Growth (no penalty)'!O195&gt;0,1,IF('Growth (no penalty)'!O298&gt;0,4,0))</f>
        <v>0</v>
      </c>
      <c r="Q188" s="22">
        <f>IF('Growth (no penalty)'!P195&gt;0,1,IF('Growth (no penalty)'!P298&gt;0,4,0))</f>
        <v>1</v>
      </c>
      <c r="R188" s="22">
        <f>IF('Growth (no penalty)'!Q195&gt;0,1,IF('Growth (no penalty)'!Q298&gt;0,4,0))</f>
        <v>1</v>
      </c>
      <c r="S188" s="22">
        <f>IF('Growth (no penalty)'!R195&gt;0,1,IF('Growth (no penalty)'!R298&gt;0,4,0))</f>
        <v>1</v>
      </c>
      <c r="T188" s="22">
        <f>IF('Growth (no penalty)'!S195&gt;0,1,IF('Growth (no penalty)'!S298&gt;0,4,0))</f>
        <v>1</v>
      </c>
      <c r="U188" s="22">
        <f>IF('Growth (no penalty)'!T195&gt;0,1,IF('Growth (no penalty)'!T298&gt;0,4,0))</f>
        <v>1</v>
      </c>
      <c r="V188" s="22">
        <f>IF('Growth (no penalty)'!U195&gt;0,1,IF('Growth (no penalty)'!U298&gt;0,4,0))</f>
        <v>1</v>
      </c>
      <c r="W188" s="22">
        <f>IF('Growth (no penalty)'!V195&gt;0,1,IF('Growth (no penalty)'!V298&gt;0,4,0))</f>
        <v>1</v>
      </c>
      <c r="X188" s="22">
        <f>IF('Growth (no penalty)'!W195&gt;0,1,IF('Growth (no penalty)'!W298&gt;0,4,0))</f>
        <v>4</v>
      </c>
      <c r="Y188" s="22">
        <f>IF('Growth (no penalty)'!X195&gt;0,1,IF('Growth (no penalty)'!X298&gt;0,4,0))</f>
        <v>4</v>
      </c>
      <c r="Z188" s="22">
        <f>IF('Growth (no penalty)'!Y195&gt;0,1,IF('Growth (no penalty)'!Y298&gt;0,4,0))</f>
        <v>4</v>
      </c>
      <c r="AA188" s="22">
        <f>IF('Growth (no penalty)'!Z195&gt;0,1,IF('Growth (no penalty)'!Z298&gt;0,4,0))</f>
        <v>4</v>
      </c>
      <c r="AB188" s="22">
        <f>IF('Growth (no penalty)'!AA195&gt;0,1,IF('Growth (no penalty)'!AA298&gt;0,4,0))</f>
        <v>4</v>
      </c>
      <c r="AC188" s="22">
        <f>IF('Growth (no penalty)'!AB195&gt;0,1,IF('Growth (no penalty)'!AB298&gt;0,4,0))</f>
        <v>4</v>
      </c>
      <c r="AD188" s="22">
        <f>IF('Growth (no penalty)'!AC195&gt;0,1,IF('Growth (no penalty)'!AC298&gt;0,4,0))</f>
        <v>4</v>
      </c>
      <c r="AE188" s="22">
        <f>IF('Growth (no penalty)'!AD195&gt;0,1,IF('Growth (no penalty)'!AD298&gt;0,4,0))</f>
        <v>4</v>
      </c>
      <c r="AF188" s="22">
        <f>IF('Growth (no penalty)'!AE195&gt;0,1,IF('Growth (no penalty)'!AE298&gt;0,4,0))</f>
        <v>4</v>
      </c>
      <c r="AG188" s="22">
        <f>IF('Growth (no penalty)'!AF195&gt;0,1,IF('Growth (no penalty)'!AF298&gt;0,4,0))</f>
        <v>4</v>
      </c>
      <c r="AH188" s="22">
        <f>IF('Growth (no penalty)'!AG195&gt;0,1,IF('Growth (no penalty)'!AG298&gt;0,4,0))</f>
        <v>4</v>
      </c>
      <c r="AI188" s="22">
        <f>IF('Growth (no penalty)'!AH195&gt;0,1,IF('Growth (no penalty)'!AH298&gt;0,4,0))</f>
        <v>4</v>
      </c>
      <c r="AJ188" s="22">
        <f>IF('Growth (no penalty)'!AI195&gt;0,1,IF('Growth (no penalty)'!AI298&gt;0,4,0))</f>
        <v>4</v>
      </c>
      <c r="AK188" s="22">
        <f>IF('Growth (no penalty)'!AJ195&gt;0,1,IF('Growth (no penalty)'!AJ298&gt;0,4,0))</f>
        <v>4</v>
      </c>
      <c r="AL188" s="22">
        <f>IF('Growth (no penalty)'!AK195&gt;0,1,IF('Growth (no penalty)'!AK298&gt;0,4,0))</f>
        <v>4</v>
      </c>
      <c r="AM188" s="22">
        <f>IF('Growth (no penalty)'!AL195&gt;0,1,IF('Growth (no penalty)'!AL298&gt;0,4,0))</f>
        <v>4</v>
      </c>
      <c r="AN188" s="22">
        <f>IF('Growth (no penalty)'!AM195&gt;0,1,IF('Growth (no penalty)'!AM298&gt;0,4,0))</f>
        <v>4</v>
      </c>
      <c r="AO188" s="22">
        <f>IF('Growth (no penalty)'!AN195&gt;0,1,IF('Growth (no penalty)'!AN298&gt;0,4,0))</f>
        <v>4</v>
      </c>
      <c r="AP188" s="22">
        <f>IF('Growth (no penalty)'!AO195&gt;0,1,IF('Growth (no penalty)'!AO298&gt;0,4,0))</f>
        <v>4</v>
      </c>
      <c r="AQ188" s="22">
        <f>IF('Growth (no penalty)'!AP195&gt;0,1,IF('Growth (no penalty)'!AP298&gt;0,4,0))</f>
        <v>4</v>
      </c>
      <c r="AR188" s="22">
        <f>IF('Growth (no penalty)'!AQ195&gt;0,1,IF('Growth (no penalty)'!AQ298&gt;0,4,0))</f>
        <v>4</v>
      </c>
      <c r="AS188" s="22">
        <f>IF('Growth (no penalty)'!AR195&gt;0,1,IF('Growth (no penalty)'!AR298&gt;0,4,0))</f>
        <v>4</v>
      </c>
      <c r="AT188" s="22">
        <f>IF('Growth (no penalty)'!AS195&gt;0,1,IF('Growth (no penalty)'!AS298&gt;0,4,0))</f>
        <v>4</v>
      </c>
      <c r="AU188" s="22">
        <f>IF('Growth (no penalty)'!AT195&gt;0,1,IF('Growth (no penalty)'!AT298&gt;0,4,0))</f>
        <v>4</v>
      </c>
      <c r="AV188" s="22">
        <f>IF('Growth (no penalty)'!AU195&gt;0,1,IF('Growth (no penalty)'!AU298&gt;0,4,0))</f>
        <v>4</v>
      </c>
      <c r="AW188" s="22">
        <f>IF('Growth (no penalty)'!AV195&gt;0,1,IF('Growth (no penalty)'!AV298&gt;0,4,0))</f>
        <v>4</v>
      </c>
      <c r="AX188" s="22">
        <f>IF('Growth (no penalty)'!AW195&gt;0,1,IF('Growth (no penalty)'!AW298&gt;0,4,0))</f>
        <v>4</v>
      </c>
      <c r="AY188" s="22">
        <f>IF('Growth (no penalty)'!AX195&gt;0,1,IF('Growth (no penalty)'!AX298&gt;0,4,0))</f>
        <v>4</v>
      </c>
      <c r="AZ188" s="22">
        <f>IF('Growth (no penalty)'!AY195&gt;0,1,IF('Growth (no penalty)'!AY298&gt;0,4,0))</f>
        <v>4</v>
      </c>
      <c r="BA188" s="22">
        <f>IF('Growth (no penalty)'!AZ195&gt;0,1,IF('Growth (no penalty)'!AZ298&gt;0,4,0))</f>
        <v>4</v>
      </c>
      <c r="BB188" s="22">
        <f>IF('Growth (no penalty)'!BA195&gt;0,1,IF('Growth (no penalty)'!BA298&gt;0,4,0))</f>
        <v>4</v>
      </c>
      <c r="BC188" s="22">
        <f>IF('Growth (no penalty)'!BB195&gt;0,1,IF('Growth (no penalty)'!BB298&gt;0,4,0))</f>
        <v>4</v>
      </c>
      <c r="BD188" s="22">
        <f>IF('Growth (no penalty)'!BC195&gt;0,1,IF('Growth (no penalty)'!BC298&gt;0,4,0))</f>
        <v>4</v>
      </c>
      <c r="BE188" s="22">
        <f>IF('Growth (no penalty)'!BD195&gt;0,1,IF('Growth (no penalty)'!BD298&gt;0,4,0))</f>
        <v>4</v>
      </c>
      <c r="BF188" s="22">
        <f>IF('Growth (no penalty)'!BE195&gt;0,1,IF('Growth (no penalty)'!BE298&gt;0,4,0))</f>
        <v>4</v>
      </c>
      <c r="BG188" s="22">
        <f>IF('Growth (no penalty)'!BF195&gt;0,1,IF('Growth (no penalty)'!BF298&gt;0,4,0))</f>
        <v>4</v>
      </c>
      <c r="BH188" s="22">
        <f>IF('Growth (no penalty)'!BG195&gt;0,1,IF('Growth (no penalty)'!BG298&gt;0,4,0))</f>
        <v>4</v>
      </c>
      <c r="BI188" s="22">
        <f>IF('Growth (no penalty)'!BH195&gt;0,1,IF('Growth (no penalty)'!BH298&gt;0,4,0))</f>
        <v>4</v>
      </c>
      <c r="BJ188" s="22">
        <f>IF('Growth (no penalty)'!BI195&gt;0,1,IF('Growth (no penalty)'!BI298&gt;0,4,0))</f>
        <v>4</v>
      </c>
      <c r="BK188" s="23">
        <f>IF('Growth (no penalty)'!BJ195&gt;0,1,IF('Growth (no penalty)'!BJ298&gt;0,4,0))</f>
        <v>4</v>
      </c>
    </row>
    <row r="189" spans="1:63" x14ac:dyDescent="0.3">
      <c r="A189" s="4" t="str">
        <f>'Growth profile'!A42</f>
        <v>project 37</v>
      </c>
      <c r="B189" s="13" t="s">
        <v>3</v>
      </c>
      <c r="C189" s="19">
        <f>'Raw profile'!I42</f>
        <v>2037</v>
      </c>
      <c r="D189" s="20">
        <f>IF('Raw profile'!C150&gt;0,1,IF('Raw profile'!C253&gt;0,2,0))</f>
        <v>0</v>
      </c>
      <c r="E189" s="20">
        <f>IF('Raw profile'!D150&gt;0,1,IF('Raw profile'!D253&gt;0,2,0))</f>
        <v>0</v>
      </c>
      <c r="F189" s="20">
        <f>IF('Raw profile'!E150&gt;0,1,IF('Raw profile'!E253&gt;0,2,0))</f>
        <v>0</v>
      </c>
      <c r="G189" s="20">
        <f>IF('Raw profile'!F150&gt;0,1,IF('Raw profile'!F253&gt;0,2,0))</f>
        <v>0</v>
      </c>
      <c r="H189" s="20">
        <f>IF('Raw profile'!G150&gt;0,1,IF('Raw profile'!G253&gt;0,2,0))</f>
        <v>0</v>
      </c>
      <c r="I189" s="20">
        <f>IF('Raw profile'!H150&gt;0,1,IF('Raw profile'!H253&gt;0,2,0))</f>
        <v>0</v>
      </c>
      <c r="J189" s="20">
        <f>IF('Raw profile'!I150&gt;0,1,IF('Raw profile'!I253&gt;0,2,0))</f>
        <v>0</v>
      </c>
      <c r="K189" s="20">
        <f>IF('Raw profile'!J150&gt;0,1,IF('Raw profile'!J253&gt;0,2,0))</f>
        <v>0</v>
      </c>
      <c r="L189" s="20">
        <f>IF('Raw profile'!K150&gt;0,1,IF('Raw profile'!K253&gt;0,2,0))</f>
        <v>0</v>
      </c>
      <c r="M189" s="20">
        <f>IF('Raw profile'!L150&gt;0,1,IF('Raw profile'!L253&gt;0,2,0))</f>
        <v>0</v>
      </c>
      <c r="N189" s="20">
        <f>IF('Raw profile'!M150&gt;0,1,IF('Raw profile'!M253&gt;0,2,0))</f>
        <v>0</v>
      </c>
      <c r="O189" s="20">
        <f>IF('Raw profile'!N150&gt;0,1,IF('Raw profile'!N253&gt;0,2,0))</f>
        <v>1</v>
      </c>
      <c r="P189" s="20">
        <f>IF('Raw profile'!O150&gt;0,1,IF('Raw profile'!O253&gt;0,2,0))</f>
        <v>1</v>
      </c>
      <c r="Q189" s="20">
        <f>IF('Raw profile'!P150&gt;0,1,IF('Raw profile'!P253&gt;0,2,0))</f>
        <v>2</v>
      </c>
      <c r="R189" s="20">
        <f>IF('Raw profile'!Q150&gt;0,1,IF('Raw profile'!Q253&gt;0,2,0))</f>
        <v>2</v>
      </c>
      <c r="S189" s="20">
        <f>IF('Raw profile'!R150&gt;0,1,IF('Raw profile'!R253&gt;0,2,0))</f>
        <v>2</v>
      </c>
      <c r="T189" s="20">
        <f>IF('Raw profile'!S150&gt;0,1,IF('Raw profile'!S253&gt;0,2,0))</f>
        <v>2</v>
      </c>
      <c r="U189" s="20">
        <f>IF('Raw profile'!T150&gt;0,1,IF('Raw profile'!T253&gt;0,2,0))</f>
        <v>2</v>
      </c>
      <c r="V189" s="20">
        <f>IF('Raw profile'!U150&gt;0,1,IF('Raw profile'!U253&gt;0,2,0))</f>
        <v>2</v>
      </c>
      <c r="W189" s="20">
        <f>IF('Raw profile'!V150&gt;0,1,IF('Raw profile'!V253&gt;0,2,0))</f>
        <v>2</v>
      </c>
      <c r="X189" s="20">
        <f>IF('Raw profile'!W150&gt;0,1,IF('Raw profile'!W253&gt;0,2,0))</f>
        <v>2</v>
      </c>
      <c r="Y189" s="20">
        <f>IF('Raw profile'!X150&gt;0,1,IF('Raw profile'!X253&gt;0,2,0))</f>
        <v>2</v>
      </c>
      <c r="Z189" s="20">
        <f>IF('Raw profile'!Y150&gt;0,1,IF('Raw profile'!Y253&gt;0,2,0))</f>
        <v>2</v>
      </c>
      <c r="AA189" s="20">
        <f>IF('Raw profile'!Z150&gt;0,1,IF('Raw profile'!Z253&gt;0,2,0))</f>
        <v>2</v>
      </c>
      <c r="AB189" s="20">
        <f>IF('Raw profile'!AA150&gt;0,1,IF('Raw profile'!AA253&gt;0,2,0))</f>
        <v>2</v>
      </c>
      <c r="AC189" s="20">
        <f>IF('Raw profile'!AB150&gt;0,1,IF('Raw profile'!AB253&gt;0,2,0))</f>
        <v>2</v>
      </c>
      <c r="AD189" s="20">
        <f>IF('Raw profile'!AC150&gt;0,1,IF('Raw profile'!AC253&gt;0,2,0))</f>
        <v>2</v>
      </c>
      <c r="AE189" s="20">
        <f>IF('Raw profile'!AD150&gt;0,1,IF('Raw profile'!AD253&gt;0,2,0))</f>
        <v>2</v>
      </c>
      <c r="AF189" s="20">
        <f>IF('Raw profile'!AE150&gt;0,1,IF('Raw profile'!AE253&gt;0,2,0))</f>
        <v>2</v>
      </c>
      <c r="AG189" s="20">
        <f>IF('Raw profile'!AF150&gt;0,1,IF('Raw profile'!AF253&gt;0,2,0))</f>
        <v>2</v>
      </c>
      <c r="AH189" s="20">
        <f>IF('Raw profile'!AG150&gt;0,1,IF('Raw profile'!AG253&gt;0,2,0))</f>
        <v>2</v>
      </c>
      <c r="AI189" s="20">
        <f>IF('Raw profile'!AH150&gt;0,1,IF('Raw profile'!AH253&gt;0,2,0))</f>
        <v>2</v>
      </c>
      <c r="AJ189" s="20">
        <f>IF('Raw profile'!AI150&gt;0,1,IF('Raw profile'!AI253&gt;0,2,0))</f>
        <v>2</v>
      </c>
      <c r="AK189" s="20">
        <f>IF('Raw profile'!AJ150&gt;0,1,IF('Raw profile'!AJ253&gt;0,2,0))</f>
        <v>2</v>
      </c>
      <c r="AL189" s="20">
        <f>IF('Raw profile'!AK150&gt;0,1,IF('Raw profile'!AK253&gt;0,2,0))</f>
        <v>2</v>
      </c>
      <c r="AM189" s="20">
        <f>IF('Raw profile'!AL150&gt;0,1,IF('Raw profile'!AL253&gt;0,2,0))</f>
        <v>2</v>
      </c>
      <c r="AN189" s="20">
        <f>IF('Raw profile'!AM150&gt;0,1,IF('Raw profile'!AM253&gt;0,2,0))</f>
        <v>2</v>
      </c>
      <c r="AO189" s="20">
        <f>IF('Raw profile'!AN150&gt;0,1,IF('Raw profile'!AN253&gt;0,2,0))</f>
        <v>2</v>
      </c>
      <c r="AP189" s="20">
        <f>IF('Raw profile'!AO150&gt;0,1,IF('Raw profile'!AO253&gt;0,2,0))</f>
        <v>2</v>
      </c>
      <c r="AQ189" s="20">
        <f>IF('Raw profile'!AP150&gt;0,1,IF('Raw profile'!AP253&gt;0,2,0))</f>
        <v>2</v>
      </c>
      <c r="AR189" s="20">
        <f>IF('Raw profile'!AQ150&gt;0,1,IF('Raw profile'!AQ253&gt;0,2,0))</f>
        <v>2</v>
      </c>
      <c r="AS189" s="20">
        <f>IF('Raw profile'!AR150&gt;0,1,IF('Raw profile'!AR253&gt;0,2,0))</f>
        <v>2</v>
      </c>
      <c r="AT189" s="20">
        <f>IF('Raw profile'!AS150&gt;0,1,IF('Raw profile'!AS253&gt;0,2,0))</f>
        <v>2</v>
      </c>
      <c r="AU189" s="20">
        <f>IF('Raw profile'!AT150&gt;0,1,IF('Raw profile'!AT253&gt;0,2,0))</f>
        <v>2</v>
      </c>
      <c r="AV189" s="20">
        <f>IF('Raw profile'!AU150&gt;0,1,IF('Raw profile'!AU253&gt;0,2,0))</f>
        <v>2</v>
      </c>
      <c r="AW189" s="20">
        <f>IF('Raw profile'!AV150&gt;0,1,IF('Raw profile'!AV253&gt;0,2,0))</f>
        <v>2</v>
      </c>
      <c r="AX189" s="20">
        <f>IF('Raw profile'!AW150&gt;0,1,IF('Raw profile'!AW253&gt;0,2,0))</f>
        <v>2</v>
      </c>
      <c r="AY189" s="20">
        <f>IF('Raw profile'!AX150&gt;0,1,IF('Raw profile'!AX253&gt;0,2,0))</f>
        <v>2</v>
      </c>
      <c r="AZ189" s="20">
        <f>IF('Raw profile'!AY150&gt;0,1,IF('Raw profile'!AY253&gt;0,2,0))</f>
        <v>2</v>
      </c>
      <c r="BA189" s="20">
        <f>IF('Raw profile'!AZ150&gt;0,1,IF('Raw profile'!AZ253&gt;0,2,0))</f>
        <v>2</v>
      </c>
      <c r="BB189" s="20">
        <f>IF('Raw profile'!BA150&gt;0,1,IF('Raw profile'!BA253&gt;0,2,0))</f>
        <v>2</v>
      </c>
      <c r="BC189" s="20">
        <f>IF('Raw profile'!BB150&gt;0,1,IF('Raw profile'!BB253&gt;0,2,0))</f>
        <v>2</v>
      </c>
      <c r="BD189" s="20">
        <f>IF('Raw profile'!BC150&gt;0,1,IF('Raw profile'!BC253&gt;0,2,0))</f>
        <v>2</v>
      </c>
      <c r="BE189" s="20">
        <f>IF('Raw profile'!BD150&gt;0,1,IF('Raw profile'!BD253&gt;0,2,0))</f>
        <v>0</v>
      </c>
      <c r="BF189" s="20">
        <f>IF('Raw profile'!BE150&gt;0,1,IF('Raw profile'!BE253&gt;0,2,0))</f>
        <v>0</v>
      </c>
      <c r="BG189" s="20">
        <f>IF('Raw profile'!BF150&gt;0,1,IF('Raw profile'!BF253&gt;0,2,0))</f>
        <v>0</v>
      </c>
      <c r="BH189" s="20">
        <f>IF('Raw profile'!BG150&gt;0,1,IF('Raw profile'!BG253&gt;0,2,0))</f>
        <v>0</v>
      </c>
      <c r="BI189" s="20">
        <f>IF('Raw profile'!BH150&gt;0,1,IF('Raw profile'!BH253&gt;0,2,0))</f>
        <v>0</v>
      </c>
      <c r="BJ189" s="20">
        <f>IF('Raw profile'!BI150&gt;0,1,IF('Raw profile'!BI253&gt;0,2,0))</f>
        <v>0</v>
      </c>
      <c r="BK189" s="21">
        <f>IF('Raw profile'!BJ150&gt;0,1,IF('Raw profile'!BJ253&gt;0,2,0))</f>
        <v>0</v>
      </c>
    </row>
    <row r="190" spans="1:63" x14ac:dyDescent="0.3">
      <c r="B190" s="13" t="s">
        <v>4</v>
      </c>
      <c r="C190" s="19">
        <f>'Growth profile'!I42</f>
        <v>2034</v>
      </c>
      <c r="D190" s="20">
        <f>IF('Growth profile'!C150&gt;0,1,IF('Growth profile'!C253&gt;0,3,0))</f>
        <v>0</v>
      </c>
      <c r="E190" s="20">
        <f>IF('Growth profile'!D150&gt;0,1,IF('Growth profile'!D253&gt;0,3,0))</f>
        <v>0</v>
      </c>
      <c r="F190" s="20">
        <f>IF('Growth profile'!E150&gt;0,1,IF('Growth profile'!E253&gt;0,3,0))</f>
        <v>0</v>
      </c>
      <c r="G190" s="20">
        <f>IF('Growth profile'!F150&gt;0,1,IF('Growth profile'!F253&gt;0,3,0))</f>
        <v>0</v>
      </c>
      <c r="H190" s="20">
        <f>IF('Growth profile'!G150&gt;0,1,IF('Growth profile'!G253&gt;0,3,0))</f>
        <v>0</v>
      </c>
      <c r="I190" s="20">
        <f>IF('Growth profile'!H150&gt;0,1,IF('Growth profile'!H253&gt;0,3,0))</f>
        <v>0</v>
      </c>
      <c r="J190" s="20">
        <f>IF('Growth profile'!I150&gt;0,1,IF('Growth profile'!I253&gt;0,3,0))</f>
        <v>0</v>
      </c>
      <c r="K190" s="20">
        <f>IF('Growth profile'!J150&gt;0,1,IF('Growth profile'!J253&gt;0,3,0))</f>
        <v>0</v>
      </c>
      <c r="L190" s="20">
        <f>IF('Growth profile'!K150&gt;0,1,IF('Growth profile'!K253&gt;0,3,0))</f>
        <v>1</v>
      </c>
      <c r="M190" s="20">
        <f>IF('Growth profile'!L150&gt;0,1,IF('Growth profile'!L253&gt;0,3,0))</f>
        <v>1</v>
      </c>
      <c r="N190" s="20">
        <f>IF('Growth profile'!M150&gt;0,1,IF('Growth profile'!M253&gt;0,3,0))</f>
        <v>3</v>
      </c>
      <c r="O190" s="20">
        <f>IF('Growth profile'!N150&gt;0,1,IF('Growth profile'!N253&gt;0,3,0))</f>
        <v>3</v>
      </c>
      <c r="P190" s="20">
        <f>IF('Growth profile'!O150&gt;0,1,IF('Growth profile'!O253&gt;0,3,0))</f>
        <v>3</v>
      </c>
      <c r="Q190" s="20">
        <f>IF('Growth profile'!P150&gt;0,1,IF('Growth profile'!P253&gt;0,3,0))</f>
        <v>3</v>
      </c>
      <c r="R190" s="20">
        <f>IF('Growth profile'!Q150&gt;0,1,IF('Growth profile'!Q253&gt;0,3,0))</f>
        <v>3</v>
      </c>
      <c r="S190" s="20">
        <f>IF('Growth profile'!R150&gt;0,1,IF('Growth profile'!R253&gt;0,3,0))</f>
        <v>3</v>
      </c>
      <c r="T190" s="20">
        <f>IF('Growth profile'!S150&gt;0,1,IF('Growth profile'!S253&gt;0,3,0))</f>
        <v>3</v>
      </c>
      <c r="U190" s="20">
        <f>IF('Growth profile'!T150&gt;0,1,IF('Growth profile'!T253&gt;0,3,0))</f>
        <v>3</v>
      </c>
      <c r="V190" s="20">
        <f>IF('Growth profile'!U150&gt;0,1,IF('Growth profile'!U253&gt;0,3,0))</f>
        <v>3</v>
      </c>
      <c r="W190" s="20">
        <f>IF('Growth profile'!V150&gt;0,1,IF('Growth profile'!V253&gt;0,3,0))</f>
        <v>3</v>
      </c>
      <c r="X190" s="20">
        <f>IF('Growth profile'!W150&gt;0,1,IF('Growth profile'!W253&gt;0,3,0))</f>
        <v>3</v>
      </c>
      <c r="Y190" s="20">
        <f>IF('Growth profile'!X150&gt;0,1,IF('Growth profile'!X253&gt;0,3,0))</f>
        <v>3</v>
      </c>
      <c r="Z190" s="20">
        <f>IF('Growth profile'!Y150&gt;0,1,IF('Growth profile'!Y253&gt;0,3,0))</f>
        <v>3</v>
      </c>
      <c r="AA190" s="20">
        <f>IF('Growth profile'!Z150&gt;0,1,IF('Growth profile'!Z253&gt;0,3,0))</f>
        <v>3</v>
      </c>
      <c r="AB190" s="20">
        <f>IF('Growth profile'!AA150&gt;0,1,IF('Growth profile'!AA253&gt;0,3,0))</f>
        <v>3</v>
      </c>
      <c r="AC190" s="20">
        <f>IF('Growth profile'!AB150&gt;0,1,IF('Growth profile'!AB253&gt;0,3,0))</f>
        <v>3</v>
      </c>
      <c r="AD190" s="20">
        <f>IF('Growth profile'!AC150&gt;0,1,IF('Growth profile'!AC253&gt;0,3,0))</f>
        <v>3</v>
      </c>
      <c r="AE190" s="20">
        <f>IF('Growth profile'!AD150&gt;0,1,IF('Growth profile'!AD253&gt;0,3,0))</f>
        <v>3</v>
      </c>
      <c r="AF190" s="20">
        <f>IF('Growth profile'!AE150&gt;0,1,IF('Growth profile'!AE253&gt;0,3,0))</f>
        <v>3</v>
      </c>
      <c r="AG190" s="20">
        <f>IF('Growth profile'!AF150&gt;0,1,IF('Growth profile'!AF253&gt;0,3,0))</f>
        <v>3</v>
      </c>
      <c r="AH190" s="20">
        <f>IF('Growth profile'!AG150&gt;0,1,IF('Growth profile'!AG253&gt;0,3,0))</f>
        <v>3</v>
      </c>
      <c r="AI190" s="20">
        <f>IF('Growth profile'!AH150&gt;0,1,IF('Growth profile'!AH253&gt;0,3,0))</f>
        <v>3</v>
      </c>
      <c r="AJ190" s="20">
        <f>IF('Growth profile'!AI150&gt;0,1,IF('Growth profile'!AI253&gt;0,3,0))</f>
        <v>3</v>
      </c>
      <c r="AK190" s="20">
        <f>IF('Growth profile'!AJ150&gt;0,1,IF('Growth profile'!AJ253&gt;0,3,0))</f>
        <v>3</v>
      </c>
      <c r="AL190" s="20">
        <f>IF('Growth profile'!AK150&gt;0,1,IF('Growth profile'!AK253&gt;0,3,0))</f>
        <v>3</v>
      </c>
      <c r="AM190" s="20">
        <f>IF('Growth profile'!AL150&gt;0,1,IF('Growth profile'!AL253&gt;0,3,0))</f>
        <v>3</v>
      </c>
      <c r="AN190" s="20">
        <f>IF('Growth profile'!AM150&gt;0,1,IF('Growth profile'!AM253&gt;0,3,0))</f>
        <v>3</v>
      </c>
      <c r="AO190" s="20">
        <f>IF('Growth profile'!AN150&gt;0,1,IF('Growth profile'!AN253&gt;0,3,0))</f>
        <v>3</v>
      </c>
      <c r="AP190" s="20">
        <f>IF('Growth profile'!AO150&gt;0,1,IF('Growth profile'!AO253&gt;0,3,0))</f>
        <v>3</v>
      </c>
      <c r="AQ190" s="20">
        <f>IF('Growth profile'!AP150&gt;0,1,IF('Growth profile'!AP253&gt;0,3,0))</f>
        <v>3</v>
      </c>
      <c r="AR190" s="20">
        <f>IF('Growth profile'!AQ150&gt;0,1,IF('Growth profile'!AQ253&gt;0,3,0))</f>
        <v>3</v>
      </c>
      <c r="AS190" s="20">
        <f>IF('Growth profile'!AR150&gt;0,1,IF('Growth profile'!AR253&gt;0,3,0))</f>
        <v>3</v>
      </c>
      <c r="AT190" s="20">
        <f>IF('Growth profile'!AS150&gt;0,1,IF('Growth profile'!AS253&gt;0,3,0))</f>
        <v>3</v>
      </c>
      <c r="AU190" s="20">
        <f>IF('Growth profile'!AT150&gt;0,1,IF('Growth profile'!AT253&gt;0,3,0))</f>
        <v>3</v>
      </c>
      <c r="AV190" s="20">
        <f>IF('Growth profile'!AU150&gt;0,1,IF('Growth profile'!AU253&gt;0,3,0))</f>
        <v>3</v>
      </c>
      <c r="AW190" s="20">
        <f>IF('Growth profile'!AV150&gt;0,1,IF('Growth profile'!AV253&gt;0,3,0))</f>
        <v>3</v>
      </c>
      <c r="AX190" s="20">
        <f>IF('Growth profile'!AW150&gt;0,1,IF('Growth profile'!AW253&gt;0,3,0))</f>
        <v>3</v>
      </c>
      <c r="AY190" s="20">
        <f>IF('Growth profile'!AX150&gt;0,1,IF('Growth profile'!AX253&gt;0,3,0))</f>
        <v>3</v>
      </c>
      <c r="AZ190" s="20">
        <f>IF('Growth profile'!AY150&gt;0,1,IF('Growth profile'!AY253&gt;0,3,0))</f>
        <v>3</v>
      </c>
      <c r="BA190" s="20">
        <f>IF('Growth profile'!AZ150&gt;0,1,IF('Growth profile'!AZ253&gt;0,3,0))</f>
        <v>3</v>
      </c>
      <c r="BB190" s="20">
        <f>IF('Growth profile'!BA150&gt;0,1,IF('Growth profile'!BA253&gt;0,3,0))</f>
        <v>0</v>
      </c>
      <c r="BC190" s="20">
        <f>IF('Growth profile'!BB150&gt;0,1,IF('Growth profile'!BB253&gt;0,3,0))</f>
        <v>0</v>
      </c>
      <c r="BD190" s="20">
        <f>IF('Growth profile'!BC150&gt;0,1,IF('Growth profile'!BC253&gt;0,3,0))</f>
        <v>0</v>
      </c>
      <c r="BE190" s="20">
        <f>IF('Growth profile'!BD150&gt;0,1,IF('Growth profile'!BD253&gt;0,3,0))</f>
        <v>0</v>
      </c>
      <c r="BF190" s="20">
        <f>IF('Growth profile'!BE150&gt;0,1,IF('Growth profile'!BE253&gt;0,3,0))</f>
        <v>0</v>
      </c>
      <c r="BG190" s="20">
        <f>IF('Growth profile'!BF150&gt;0,1,IF('Growth profile'!BF253&gt;0,3,0))</f>
        <v>0</v>
      </c>
      <c r="BH190" s="20">
        <f>IF('Growth profile'!BG150&gt;0,1,IF('Growth profile'!BG253&gt;0,3,0))</f>
        <v>0</v>
      </c>
      <c r="BI190" s="20">
        <f>IF('Growth profile'!BH150&gt;0,1,IF('Growth profile'!BH253&gt;0,3,0))</f>
        <v>0</v>
      </c>
      <c r="BJ190" s="20">
        <f>IF('Growth profile'!BI150&gt;0,1,IF('Growth profile'!BI253&gt;0,3,0))</f>
        <v>0</v>
      </c>
      <c r="BK190" s="21">
        <f>IF('Growth profile'!BJ150&gt;0,1,IF('Growth profile'!BJ253&gt;0,3,0))</f>
        <v>0</v>
      </c>
    </row>
    <row r="191" spans="1:63" x14ac:dyDescent="0.3">
      <c r="B191" s="13" t="s">
        <v>59</v>
      </c>
      <c r="C191" s="19">
        <f>'Growth (no penalty)'!I42</f>
        <v>2044</v>
      </c>
      <c r="D191" s="22">
        <f>IF('Growth (no penalty)'!C150&gt;0,1,IF('Growth (no penalty)'!C253&gt;0,4,0))</f>
        <v>0</v>
      </c>
      <c r="E191" s="22">
        <f>IF('Growth (no penalty)'!D150&gt;0,1,IF('Growth (no penalty)'!D253&gt;0,4,0))</f>
        <v>0</v>
      </c>
      <c r="F191" s="22">
        <f>IF('Growth (no penalty)'!E150&gt;0,1,IF('Growth (no penalty)'!E253&gt;0,4,0))</f>
        <v>0</v>
      </c>
      <c r="G191" s="22">
        <f>IF('Growth (no penalty)'!F150&gt;0,1,IF('Growth (no penalty)'!F253&gt;0,4,0))</f>
        <v>0</v>
      </c>
      <c r="H191" s="22">
        <f>IF('Growth (no penalty)'!G150&gt;0,1,IF('Growth (no penalty)'!G253&gt;0,4,0))</f>
        <v>0</v>
      </c>
      <c r="I191" s="22">
        <f>IF('Growth (no penalty)'!H150&gt;0,1,IF('Growth (no penalty)'!H253&gt;0,4,0))</f>
        <v>0</v>
      </c>
      <c r="J191" s="22">
        <f>IF('Growth (no penalty)'!I150&gt;0,1,IF('Growth (no penalty)'!I253&gt;0,4,0))</f>
        <v>0</v>
      </c>
      <c r="K191" s="22">
        <f>IF('Growth (no penalty)'!J150&gt;0,1,IF('Growth (no penalty)'!J253&gt;0,4,0))</f>
        <v>0</v>
      </c>
      <c r="L191" s="22">
        <f>IF('Growth (no penalty)'!K150&gt;0,1,IF('Growth (no penalty)'!K253&gt;0,4,0))</f>
        <v>0</v>
      </c>
      <c r="M191" s="22">
        <f>IF('Growth (no penalty)'!L150&gt;0,1,IF('Growth (no penalty)'!L253&gt;0,4,0))</f>
        <v>0</v>
      </c>
      <c r="N191" s="22">
        <f>IF('Growth (no penalty)'!M150&gt;0,1,IF('Growth (no penalty)'!M253&gt;0,4,0))</f>
        <v>0</v>
      </c>
      <c r="O191" s="22">
        <f>IF('Growth (no penalty)'!N150&gt;0,1,IF('Growth (no penalty)'!N253&gt;0,4,0))</f>
        <v>0</v>
      </c>
      <c r="P191" s="22">
        <f>IF('Growth (no penalty)'!O150&gt;0,1,IF('Growth (no penalty)'!O253&gt;0,4,0))</f>
        <v>0</v>
      </c>
      <c r="Q191" s="22">
        <f>IF('Growth (no penalty)'!P150&gt;0,1,IF('Growth (no penalty)'!P253&gt;0,4,0))</f>
        <v>0</v>
      </c>
      <c r="R191" s="22">
        <f>IF('Growth (no penalty)'!Q150&gt;0,1,IF('Growth (no penalty)'!Q253&gt;0,4,0))</f>
        <v>0</v>
      </c>
      <c r="S191" s="22">
        <f>IF('Growth (no penalty)'!R150&gt;0,1,IF('Growth (no penalty)'!R253&gt;0,4,0))</f>
        <v>0</v>
      </c>
      <c r="T191" s="22">
        <f>IF('Growth (no penalty)'!S150&gt;0,1,IF('Growth (no penalty)'!S253&gt;0,4,0))</f>
        <v>0</v>
      </c>
      <c r="U191" s="22">
        <f>IF('Growth (no penalty)'!T150&gt;0,1,IF('Growth (no penalty)'!T253&gt;0,4,0))</f>
        <v>0</v>
      </c>
      <c r="V191" s="22">
        <f>IF('Growth (no penalty)'!U150&gt;0,1,IF('Growth (no penalty)'!U253&gt;0,4,0))</f>
        <v>1</v>
      </c>
      <c r="W191" s="22">
        <f>IF('Growth (no penalty)'!V150&gt;0,1,IF('Growth (no penalty)'!V253&gt;0,4,0))</f>
        <v>1</v>
      </c>
      <c r="X191" s="22">
        <f>IF('Growth (no penalty)'!W150&gt;0,1,IF('Growth (no penalty)'!W253&gt;0,4,0))</f>
        <v>4</v>
      </c>
      <c r="Y191" s="22">
        <f>IF('Growth (no penalty)'!X150&gt;0,1,IF('Growth (no penalty)'!X253&gt;0,4,0))</f>
        <v>4</v>
      </c>
      <c r="Z191" s="22">
        <f>IF('Growth (no penalty)'!Y150&gt;0,1,IF('Growth (no penalty)'!Y253&gt;0,4,0))</f>
        <v>4</v>
      </c>
      <c r="AA191" s="22">
        <f>IF('Growth (no penalty)'!Z150&gt;0,1,IF('Growth (no penalty)'!Z253&gt;0,4,0))</f>
        <v>4</v>
      </c>
      <c r="AB191" s="22">
        <f>IF('Growth (no penalty)'!AA150&gt;0,1,IF('Growth (no penalty)'!AA253&gt;0,4,0))</f>
        <v>4</v>
      </c>
      <c r="AC191" s="22">
        <f>IF('Growth (no penalty)'!AB150&gt;0,1,IF('Growth (no penalty)'!AB253&gt;0,4,0))</f>
        <v>4</v>
      </c>
      <c r="AD191" s="22">
        <f>IF('Growth (no penalty)'!AC150&gt;0,1,IF('Growth (no penalty)'!AC253&gt;0,4,0))</f>
        <v>4</v>
      </c>
      <c r="AE191" s="22">
        <f>IF('Growth (no penalty)'!AD150&gt;0,1,IF('Growth (no penalty)'!AD253&gt;0,4,0))</f>
        <v>4</v>
      </c>
      <c r="AF191" s="22">
        <f>IF('Growth (no penalty)'!AE150&gt;0,1,IF('Growth (no penalty)'!AE253&gt;0,4,0))</f>
        <v>4</v>
      </c>
      <c r="AG191" s="22">
        <f>IF('Growth (no penalty)'!AF150&gt;0,1,IF('Growth (no penalty)'!AF253&gt;0,4,0))</f>
        <v>4</v>
      </c>
      <c r="AH191" s="22">
        <f>IF('Growth (no penalty)'!AG150&gt;0,1,IF('Growth (no penalty)'!AG253&gt;0,4,0))</f>
        <v>4</v>
      </c>
      <c r="AI191" s="22">
        <f>IF('Growth (no penalty)'!AH150&gt;0,1,IF('Growth (no penalty)'!AH253&gt;0,4,0))</f>
        <v>4</v>
      </c>
      <c r="AJ191" s="22">
        <f>IF('Growth (no penalty)'!AI150&gt;0,1,IF('Growth (no penalty)'!AI253&gt;0,4,0))</f>
        <v>4</v>
      </c>
      <c r="AK191" s="22">
        <f>IF('Growth (no penalty)'!AJ150&gt;0,1,IF('Growth (no penalty)'!AJ253&gt;0,4,0))</f>
        <v>4</v>
      </c>
      <c r="AL191" s="22">
        <f>IF('Growth (no penalty)'!AK150&gt;0,1,IF('Growth (no penalty)'!AK253&gt;0,4,0))</f>
        <v>4</v>
      </c>
      <c r="AM191" s="22">
        <f>IF('Growth (no penalty)'!AL150&gt;0,1,IF('Growth (no penalty)'!AL253&gt;0,4,0))</f>
        <v>4</v>
      </c>
      <c r="AN191" s="22">
        <f>IF('Growth (no penalty)'!AM150&gt;0,1,IF('Growth (no penalty)'!AM253&gt;0,4,0))</f>
        <v>4</v>
      </c>
      <c r="AO191" s="22">
        <f>IF('Growth (no penalty)'!AN150&gt;0,1,IF('Growth (no penalty)'!AN253&gt;0,4,0))</f>
        <v>4</v>
      </c>
      <c r="AP191" s="22">
        <f>IF('Growth (no penalty)'!AO150&gt;0,1,IF('Growth (no penalty)'!AO253&gt;0,4,0))</f>
        <v>4</v>
      </c>
      <c r="AQ191" s="22">
        <f>IF('Growth (no penalty)'!AP150&gt;0,1,IF('Growth (no penalty)'!AP253&gt;0,4,0))</f>
        <v>4</v>
      </c>
      <c r="AR191" s="22">
        <f>IF('Growth (no penalty)'!AQ150&gt;0,1,IF('Growth (no penalty)'!AQ253&gt;0,4,0))</f>
        <v>4</v>
      </c>
      <c r="AS191" s="22">
        <f>IF('Growth (no penalty)'!AR150&gt;0,1,IF('Growth (no penalty)'!AR253&gt;0,4,0))</f>
        <v>4</v>
      </c>
      <c r="AT191" s="22">
        <f>IF('Growth (no penalty)'!AS150&gt;0,1,IF('Growth (no penalty)'!AS253&gt;0,4,0))</f>
        <v>4</v>
      </c>
      <c r="AU191" s="22">
        <f>IF('Growth (no penalty)'!AT150&gt;0,1,IF('Growth (no penalty)'!AT253&gt;0,4,0))</f>
        <v>4</v>
      </c>
      <c r="AV191" s="22">
        <f>IF('Growth (no penalty)'!AU150&gt;0,1,IF('Growth (no penalty)'!AU253&gt;0,4,0))</f>
        <v>4</v>
      </c>
      <c r="AW191" s="22">
        <f>IF('Growth (no penalty)'!AV150&gt;0,1,IF('Growth (no penalty)'!AV253&gt;0,4,0))</f>
        <v>4</v>
      </c>
      <c r="AX191" s="22">
        <f>IF('Growth (no penalty)'!AW150&gt;0,1,IF('Growth (no penalty)'!AW253&gt;0,4,0))</f>
        <v>4</v>
      </c>
      <c r="AY191" s="22">
        <f>IF('Growth (no penalty)'!AX150&gt;0,1,IF('Growth (no penalty)'!AX253&gt;0,4,0))</f>
        <v>4</v>
      </c>
      <c r="AZ191" s="22">
        <f>IF('Growth (no penalty)'!AY150&gt;0,1,IF('Growth (no penalty)'!AY253&gt;0,4,0))</f>
        <v>4</v>
      </c>
      <c r="BA191" s="22">
        <f>IF('Growth (no penalty)'!AZ150&gt;0,1,IF('Growth (no penalty)'!AZ253&gt;0,4,0))</f>
        <v>4</v>
      </c>
      <c r="BB191" s="22">
        <f>IF('Growth (no penalty)'!BA150&gt;0,1,IF('Growth (no penalty)'!BA253&gt;0,4,0))</f>
        <v>4</v>
      </c>
      <c r="BC191" s="22">
        <f>IF('Growth (no penalty)'!BB150&gt;0,1,IF('Growth (no penalty)'!BB253&gt;0,4,0))</f>
        <v>4</v>
      </c>
      <c r="BD191" s="22">
        <f>IF('Growth (no penalty)'!BC150&gt;0,1,IF('Growth (no penalty)'!BC253&gt;0,4,0))</f>
        <v>4</v>
      </c>
      <c r="BE191" s="22">
        <f>IF('Growth (no penalty)'!BD150&gt;0,1,IF('Growth (no penalty)'!BD253&gt;0,4,0))</f>
        <v>4</v>
      </c>
      <c r="BF191" s="22">
        <f>IF('Growth (no penalty)'!BE150&gt;0,1,IF('Growth (no penalty)'!BE253&gt;0,4,0))</f>
        <v>4</v>
      </c>
      <c r="BG191" s="22">
        <f>IF('Growth (no penalty)'!BF150&gt;0,1,IF('Growth (no penalty)'!BF253&gt;0,4,0))</f>
        <v>4</v>
      </c>
      <c r="BH191" s="22">
        <f>IF('Growth (no penalty)'!BG150&gt;0,1,IF('Growth (no penalty)'!BG253&gt;0,4,0))</f>
        <v>4</v>
      </c>
      <c r="BI191" s="22">
        <f>IF('Growth (no penalty)'!BH150&gt;0,1,IF('Growth (no penalty)'!BH253&gt;0,4,0))</f>
        <v>4</v>
      </c>
      <c r="BJ191" s="22">
        <f>IF('Growth (no penalty)'!BI150&gt;0,1,IF('Growth (no penalty)'!BI253&gt;0,4,0))</f>
        <v>4</v>
      </c>
      <c r="BK191" s="23">
        <f>IF('Growth (no penalty)'!BJ150&gt;0,1,IF('Growth (no penalty)'!BJ253&gt;0,4,0))</f>
        <v>4</v>
      </c>
    </row>
    <row r="192" spans="1:63" x14ac:dyDescent="0.3">
      <c r="A192" s="4" t="str">
        <f>'Growth profile'!A35</f>
        <v>project 24</v>
      </c>
      <c r="B192" s="13" t="s">
        <v>3</v>
      </c>
      <c r="C192" s="19">
        <f>'Raw profile'!I35</f>
        <v>2037</v>
      </c>
      <c r="D192" s="20">
        <f>IF('Raw profile'!C143&gt;0,1,IF('Raw profile'!C246&gt;0,2,0))</f>
        <v>0</v>
      </c>
      <c r="E192" s="20">
        <f>IF('Raw profile'!D143&gt;0,1,IF('Raw profile'!D246&gt;0,2,0))</f>
        <v>0</v>
      </c>
      <c r="F192" s="20">
        <f>IF('Raw profile'!E143&gt;0,1,IF('Raw profile'!E246&gt;0,2,0))</f>
        <v>0</v>
      </c>
      <c r="G192" s="20">
        <f>IF('Raw profile'!F143&gt;0,1,IF('Raw profile'!F246&gt;0,2,0))</f>
        <v>0</v>
      </c>
      <c r="H192" s="20">
        <f>IF('Raw profile'!G143&gt;0,1,IF('Raw profile'!G246&gt;0,2,0))</f>
        <v>0</v>
      </c>
      <c r="I192" s="20">
        <f>IF('Raw profile'!H143&gt;0,1,IF('Raw profile'!H246&gt;0,2,0))</f>
        <v>0</v>
      </c>
      <c r="J192" s="20">
        <f>IF('Raw profile'!I143&gt;0,1,IF('Raw profile'!I246&gt;0,2,0))</f>
        <v>0</v>
      </c>
      <c r="K192" s="20">
        <f>IF('Raw profile'!J143&gt;0,1,IF('Raw profile'!J246&gt;0,2,0))</f>
        <v>0</v>
      </c>
      <c r="L192" s="20">
        <f>IF('Raw profile'!K143&gt;0,1,IF('Raw profile'!K246&gt;0,2,0))</f>
        <v>0</v>
      </c>
      <c r="M192" s="20">
        <f>IF('Raw profile'!L143&gt;0,1,IF('Raw profile'!L246&gt;0,2,0))</f>
        <v>0</v>
      </c>
      <c r="N192" s="20">
        <f>IF('Raw profile'!M143&gt;0,1,IF('Raw profile'!M246&gt;0,2,0))</f>
        <v>0</v>
      </c>
      <c r="O192" s="20">
        <f>IF('Raw profile'!N143&gt;0,1,IF('Raw profile'!N246&gt;0,2,0))</f>
        <v>1</v>
      </c>
      <c r="P192" s="20">
        <f>IF('Raw profile'!O143&gt;0,1,IF('Raw profile'!O246&gt;0,2,0))</f>
        <v>1</v>
      </c>
      <c r="Q192" s="20">
        <f>IF('Raw profile'!P143&gt;0,1,IF('Raw profile'!P246&gt;0,2,0))</f>
        <v>2</v>
      </c>
      <c r="R192" s="20">
        <f>IF('Raw profile'!Q143&gt;0,1,IF('Raw profile'!Q246&gt;0,2,0))</f>
        <v>2</v>
      </c>
      <c r="S192" s="20">
        <f>IF('Raw profile'!R143&gt;0,1,IF('Raw profile'!R246&gt;0,2,0))</f>
        <v>2</v>
      </c>
      <c r="T192" s="20">
        <f>IF('Raw profile'!S143&gt;0,1,IF('Raw profile'!S246&gt;0,2,0))</f>
        <v>2</v>
      </c>
      <c r="U192" s="20">
        <f>IF('Raw profile'!T143&gt;0,1,IF('Raw profile'!T246&gt;0,2,0))</f>
        <v>2</v>
      </c>
      <c r="V192" s="20">
        <f>IF('Raw profile'!U143&gt;0,1,IF('Raw profile'!U246&gt;0,2,0))</f>
        <v>2</v>
      </c>
      <c r="W192" s="20">
        <f>IF('Raw profile'!V143&gt;0,1,IF('Raw profile'!V246&gt;0,2,0))</f>
        <v>2</v>
      </c>
      <c r="X192" s="20">
        <f>IF('Raw profile'!W143&gt;0,1,IF('Raw profile'!W246&gt;0,2,0))</f>
        <v>2</v>
      </c>
      <c r="Y192" s="20">
        <f>IF('Raw profile'!X143&gt;0,1,IF('Raw profile'!X246&gt;0,2,0))</f>
        <v>2</v>
      </c>
      <c r="Z192" s="20">
        <f>IF('Raw profile'!Y143&gt;0,1,IF('Raw profile'!Y246&gt;0,2,0))</f>
        <v>2</v>
      </c>
      <c r="AA192" s="20">
        <f>IF('Raw profile'!Z143&gt;0,1,IF('Raw profile'!Z246&gt;0,2,0))</f>
        <v>2</v>
      </c>
      <c r="AB192" s="20">
        <f>IF('Raw profile'!AA143&gt;0,1,IF('Raw profile'!AA246&gt;0,2,0))</f>
        <v>2</v>
      </c>
      <c r="AC192" s="20">
        <f>IF('Raw profile'!AB143&gt;0,1,IF('Raw profile'!AB246&gt;0,2,0))</f>
        <v>2</v>
      </c>
      <c r="AD192" s="20">
        <f>IF('Raw profile'!AC143&gt;0,1,IF('Raw profile'!AC246&gt;0,2,0))</f>
        <v>2</v>
      </c>
      <c r="AE192" s="20">
        <f>IF('Raw profile'!AD143&gt;0,1,IF('Raw profile'!AD246&gt;0,2,0))</f>
        <v>2</v>
      </c>
      <c r="AF192" s="20">
        <f>IF('Raw profile'!AE143&gt;0,1,IF('Raw profile'!AE246&gt;0,2,0))</f>
        <v>2</v>
      </c>
      <c r="AG192" s="20">
        <f>IF('Raw profile'!AF143&gt;0,1,IF('Raw profile'!AF246&gt;0,2,0))</f>
        <v>2</v>
      </c>
      <c r="AH192" s="20">
        <f>IF('Raw profile'!AG143&gt;0,1,IF('Raw profile'!AG246&gt;0,2,0))</f>
        <v>2</v>
      </c>
      <c r="AI192" s="20">
        <f>IF('Raw profile'!AH143&gt;0,1,IF('Raw profile'!AH246&gt;0,2,0))</f>
        <v>2</v>
      </c>
      <c r="AJ192" s="20">
        <f>IF('Raw profile'!AI143&gt;0,1,IF('Raw profile'!AI246&gt;0,2,0))</f>
        <v>2</v>
      </c>
      <c r="AK192" s="20">
        <f>IF('Raw profile'!AJ143&gt;0,1,IF('Raw profile'!AJ246&gt;0,2,0))</f>
        <v>2</v>
      </c>
      <c r="AL192" s="20">
        <f>IF('Raw profile'!AK143&gt;0,1,IF('Raw profile'!AK246&gt;0,2,0))</f>
        <v>2</v>
      </c>
      <c r="AM192" s="20">
        <f>IF('Raw profile'!AL143&gt;0,1,IF('Raw profile'!AL246&gt;0,2,0))</f>
        <v>2</v>
      </c>
      <c r="AN192" s="20">
        <f>IF('Raw profile'!AM143&gt;0,1,IF('Raw profile'!AM246&gt;0,2,0))</f>
        <v>2</v>
      </c>
      <c r="AO192" s="20">
        <f>IF('Raw profile'!AN143&gt;0,1,IF('Raw profile'!AN246&gt;0,2,0))</f>
        <v>2</v>
      </c>
      <c r="AP192" s="20">
        <f>IF('Raw profile'!AO143&gt;0,1,IF('Raw profile'!AO246&gt;0,2,0))</f>
        <v>2</v>
      </c>
      <c r="AQ192" s="20">
        <f>IF('Raw profile'!AP143&gt;0,1,IF('Raw profile'!AP246&gt;0,2,0))</f>
        <v>2</v>
      </c>
      <c r="AR192" s="20">
        <f>IF('Raw profile'!AQ143&gt;0,1,IF('Raw profile'!AQ246&gt;0,2,0))</f>
        <v>2</v>
      </c>
      <c r="AS192" s="20">
        <f>IF('Raw profile'!AR143&gt;0,1,IF('Raw profile'!AR246&gt;0,2,0))</f>
        <v>2</v>
      </c>
      <c r="AT192" s="20">
        <f>IF('Raw profile'!AS143&gt;0,1,IF('Raw profile'!AS246&gt;0,2,0))</f>
        <v>2</v>
      </c>
      <c r="AU192" s="20">
        <f>IF('Raw profile'!AT143&gt;0,1,IF('Raw profile'!AT246&gt;0,2,0))</f>
        <v>2</v>
      </c>
      <c r="AV192" s="20">
        <f>IF('Raw profile'!AU143&gt;0,1,IF('Raw profile'!AU246&gt;0,2,0))</f>
        <v>2</v>
      </c>
      <c r="AW192" s="20">
        <f>IF('Raw profile'!AV143&gt;0,1,IF('Raw profile'!AV246&gt;0,2,0))</f>
        <v>2</v>
      </c>
      <c r="AX192" s="20">
        <f>IF('Raw profile'!AW143&gt;0,1,IF('Raw profile'!AW246&gt;0,2,0))</f>
        <v>2</v>
      </c>
      <c r="AY192" s="20">
        <f>IF('Raw profile'!AX143&gt;0,1,IF('Raw profile'!AX246&gt;0,2,0))</f>
        <v>2</v>
      </c>
      <c r="AZ192" s="20">
        <f>IF('Raw profile'!AY143&gt;0,1,IF('Raw profile'!AY246&gt;0,2,0))</f>
        <v>2</v>
      </c>
      <c r="BA192" s="20">
        <f>IF('Raw profile'!AZ143&gt;0,1,IF('Raw profile'!AZ246&gt;0,2,0))</f>
        <v>2</v>
      </c>
      <c r="BB192" s="20">
        <f>IF('Raw profile'!BA143&gt;0,1,IF('Raw profile'!BA246&gt;0,2,0))</f>
        <v>2</v>
      </c>
      <c r="BC192" s="20">
        <f>IF('Raw profile'!BB143&gt;0,1,IF('Raw profile'!BB246&gt;0,2,0))</f>
        <v>2</v>
      </c>
      <c r="BD192" s="20">
        <f>IF('Raw profile'!BC143&gt;0,1,IF('Raw profile'!BC246&gt;0,2,0))</f>
        <v>2</v>
      </c>
      <c r="BE192" s="20">
        <f>IF('Raw profile'!BD143&gt;0,1,IF('Raw profile'!BD246&gt;0,2,0))</f>
        <v>0</v>
      </c>
      <c r="BF192" s="20">
        <f>IF('Raw profile'!BE143&gt;0,1,IF('Raw profile'!BE246&gt;0,2,0))</f>
        <v>0</v>
      </c>
      <c r="BG192" s="20">
        <f>IF('Raw profile'!BF143&gt;0,1,IF('Raw profile'!BF246&gt;0,2,0))</f>
        <v>0</v>
      </c>
      <c r="BH192" s="20">
        <f>IF('Raw profile'!BG143&gt;0,1,IF('Raw profile'!BG246&gt;0,2,0))</f>
        <v>0</v>
      </c>
      <c r="BI192" s="20">
        <f>IF('Raw profile'!BH143&gt;0,1,IF('Raw profile'!BH246&gt;0,2,0))</f>
        <v>0</v>
      </c>
      <c r="BJ192" s="20">
        <f>IF('Raw profile'!BI143&gt;0,1,IF('Raw profile'!BI246&gt;0,2,0))</f>
        <v>0</v>
      </c>
      <c r="BK192" s="21">
        <f>IF('Raw profile'!BJ143&gt;0,1,IF('Raw profile'!BJ246&gt;0,2,0))</f>
        <v>0</v>
      </c>
    </row>
    <row r="193" spans="1:63" x14ac:dyDescent="0.3">
      <c r="B193" s="13" t="s">
        <v>4</v>
      </c>
      <c r="C193" s="19">
        <f>'Growth profile'!I35</f>
        <v>2035</v>
      </c>
      <c r="D193" s="20">
        <f>IF('Growth profile'!C143&gt;0,1,IF('Growth profile'!C246&gt;0,3,0))</f>
        <v>0</v>
      </c>
      <c r="E193" s="20">
        <f>IF('Growth profile'!D143&gt;0,1,IF('Growth profile'!D246&gt;0,3,0))</f>
        <v>0</v>
      </c>
      <c r="F193" s="20">
        <f>IF('Growth profile'!E143&gt;0,1,IF('Growth profile'!E246&gt;0,3,0))</f>
        <v>0</v>
      </c>
      <c r="G193" s="20">
        <f>IF('Growth profile'!F143&gt;0,1,IF('Growth profile'!F246&gt;0,3,0))</f>
        <v>0</v>
      </c>
      <c r="H193" s="20">
        <f>IF('Growth profile'!G143&gt;0,1,IF('Growth profile'!G246&gt;0,3,0))</f>
        <v>0</v>
      </c>
      <c r="I193" s="20">
        <f>IF('Growth profile'!H143&gt;0,1,IF('Growth profile'!H246&gt;0,3,0))</f>
        <v>0</v>
      </c>
      <c r="J193" s="20">
        <f>IF('Growth profile'!I143&gt;0,1,IF('Growth profile'!I246&gt;0,3,0))</f>
        <v>0</v>
      </c>
      <c r="K193" s="20">
        <f>IF('Growth profile'!J143&gt;0,1,IF('Growth profile'!J246&gt;0,3,0))</f>
        <v>0</v>
      </c>
      <c r="L193" s="20">
        <f>IF('Growth profile'!K143&gt;0,1,IF('Growth profile'!K246&gt;0,3,0))</f>
        <v>0</v>
      </c>
      <c r="M193" s="20">
        <f>IF('Growth profile'!L143&gt;0,1,IF('Growth profile'!L246&gt;0,3,0))</f>
        <v>1</v>
      </c>
      <c r="N193" s="20">
        <f>IF('Growth profile'!M143&gt;0,1,IF('Growth profile'!M246&gt;0,3,0))</f>
        <v>1</v>
      </c>
      <c r="O193" s="20">
        <f>IF('Growth profile'!N143&gt;0,1,IF('Growth profile'!N246&gt;0,3,0))</f>
        <v>3</v>
      </c>
      <c r="P193" s="20">
        <f>IF('Growth profile'!O143&gt;0,1,IF('Growth profile'!O246&gt;0,3,0))</f>
        <v>3</v>
      </c>
      <c r="Q193" s="20">
        <f>IF('Growth profile'!P143&gt;0,1,IF('Growth profile'!P246&gt;0,3,0))</f>
        <v>3</v>
      </c>
      <c r="R193" s="20">
        <f>IF('Growth profile'!Q143&gt;0,1,IF('Growth profile'!Q246&gt;0,3,0))</f>
        <v>3</v>
      </c>
      <c r="S193" s="20">
        <f>IF('Growth profile'!R143&gt;0,1,IF('Growth profile'!R246&gt;0,3,0))</f>
        <v>3</v>
      </c>
      <c r="T193" s="20">
        <f>IF('Growth profile'!S143&gt;0,1,IF('Growth profile'!S246&gt;0,3,0))</f>
        <v>3</v>
      </c>
      <c r="U193" s="20">
        <f>IF('Growth profile'!T143&gt;0,1,IF('Growth profile'!T246&gt;0,3,0))</f>
        <v>3</v>
      </c>
      <c r="V193" s="20">
        <f>IF('Growth profile'!U143&gt;0,1,IF('Growth profile'!U246&gt;0,3,0))</f>
        <v>3</v>
      </c>
      <c r="W193" s="20">
        <f>IF('Growth profile'!V143&gt;0,1,IF('Growth profile'!V246&gt;0,3,0))</f>
        <v>3</v>
      </c>
      <c r="X193" s="20">
        <f>IF('Growth profile'!W143&gt;0,1,IF('Growth profile'!W246&gt;0,3,0))</f>
        <v>3</v>
      </c>
      <c r="Y193" s="20">
        <f>IF('Growth profile'!X143&gt;0,1,IF('Growth profile'!X246&gt;0,3,0))</f>
        <v>3</v>
      </c>
      <c r="Z193" s="20">
        <f>IF('Growth profile'!Y143&gt;0,1,IF('Growth profile'!Y246&gt;0,3,0))</f>
        <v>3</v>
      </c>
      <c r="AA193" s="20">
        <f>IF('Growth profile'!Z143&gt;0,1,IF('Growth profile'!Z246&gt;0,3,0))</f>
        <v>3</v>
      </c>
      <c r="AB193" s="20">
        <f>IF('Growth profile'!AA143&gt;0,1,IF('Growth profile'!AA246&gt;0,3,0))</f>
        <v>3</v>
      </c>
      <c r="AC193" s="20">
        <f>IF('Growth profile'!AB143&gt;0,1,IF('Growth profile'!AB246&gt;0,3,0))</f>
        <v>3</v>
      </c>
      <c r="AD193" s="20">
        <f>IF('Growth profile'!AC143&gt;0,1,IF('Growth profile'!AC246&gt;0,3,0))</f>
        <v>3</v>
      </c>
      <c r="AE193" s="20">
        <f>IF('Growth profile'!AD143&gt;0,1,IF('Growth profile'!AD246&gt;0,3,0))</f>
        <v>3</v>
      </c>
      <c r="AF193" s="20">
        <f>IF('Growth profile'!AE143&gt;0,1,IF('Growth profile'!AE246&gt;0,3,0))</f>
        <v>3</v>
      </c>
      <c r="AG193" s="20">
        <f>IF('Growth profile'!AF143&gt;0,1,IF('Growth profile'!AF246&gt;0,3,0))</f>
        <v>3</v>
      </c>
      <c r="AH193" s="20">
        <f>IF('Growth profile'!AG143&gt;0,1,IF('Growth profile'!AG246&gt;0,3,0))</f>
        <v>3</v>
      </c>
      <c r="AI193" s="20">
        <f>IF('Growth profile'!AH143&gt;0,1,IF('Growth profile'!AH246&gt;0,3,0))</f>
        <v>3</v>
      </c>
      <c r="AJ193" s="20">
        <f>IF('Growth profile'!AI143&gt;0,1,IF('Growth profile'!AI246&gt;0,3,0))</f>
        <v>3</v>
      </c>
      <c r="AK193" s="20">
        <f>IF('Growth profile'!AJ143&gt;0,1,IF('Growth profile'!AJ246&gt;0,3,0))</f>
        <v>3</v>
      </c>
      <c r="AL193" s="20">
        <f>IF('Growth profile'!AK143&gt;0,1,IF('Growth profile'!AK246&gt;0,3,0))</f>
        <v>3</v>
      </c>
      <c r="AM193" s="20">
        <f>IF('Growth profile'!AL143&gt;0,1,IF('Growth profile'!AL246&gt;0,3,0))</f>
        <v>3</v>
      </c>
      <c r="AN193" s="20">
        <f>IF('Growth profile'!AM143&gt;0,1,IF('Growth profile'!AM246&gt;0,3,0))</f>
        <v>3</v>
      </c>
      <c r="AO193" s="20">
        <f>IF('Growth profile'!AN143&gt;0,1,IF('Growth profile'!AN246&gt;0,3,0))</f>
        <v>3</v>
      </c>
      <c r="AP193" s="20">
        <f>IF('Growth profile'!AO143&gt;0,1,IF('Growth profile'!AO246&gt;0,3,0))</f>
        <v>3</v>
      </c>
      <c r="AQ193" s="20">
        <f>IF('Growth profile'!AP143&gt;0,1,IF('Growth profile'!AP246&gt;0,3,0))</f>
        <v>3</v>
      </c>
      <c r="AR193" s="20">
        <f>IF('Growth profile'!AQ143&gt;0,1,IF('Growth profile'!AQ246&gt;0,3,0))</f>
        <v>3</v>
      </c>
      <c r="AS193" s="20">
        <f>IF('Growth profile'!AR143&gt;0,1,IF('Growth profile'!AR246&gt;0,3,0))</f>
        <v>3</v>
      </c>
      <c r="AT193" s="20">
        <f>IF('Growth profile'!AS143&gt;0,1,IF('Growth profile'!AS246&gt;0,3,0))</f>
        <v>3</v>
      </c>
      <c r="AU193" s="20">
        <f>IF('Growth profile'!AT143&gt;0,1,IF('Growth profile'!AT246&gt;0,3,0))</f>
        <v>3</v>
      </c>
      <c r="AV193" s="20">
        <f>IF('Growth profile'!AU143&gt;0,1,IF('Growth profile'!AU246&gt;0,3,0))</f>
        <v>3</v>
      </c>
      <c r="AW193" s="20">
        <f>IF('Growth profile'!AV143&gt;0,1,IF('Growth profile'!AV246&gt;0,3,0))</f>
        <v>3</v>
      </c>
      <c r="AX193" s="20">
        <f>IF('Growth profile'!AW143&gt;0,1,IF('Growth profile'!AW246&gt;0,3,0))</f>
        <v>3</v>
      </c>
      <c r="AY193" s="20">
        <f>IF('Growth profile'!AX143&gt;0,1,IF('Growth profile'!AX246&gt;0,3,0))</f>
        <v>3</v>
      </c>
      <c r="AZ193" s="20">
        <f>IF('Growth profile'!AY143&gt;0,1,IF('Growth profile'!AY246&gt;0,3,0))</f>
        <v>3</v>
      </c>
      <c r="BA193" s="20">
        <f>IF('Growth profile'!AZ143&gt;0,1,IF('Growth profile'!AZ246&gt;0,3,0))</f>
        <v>3</v>
      </c>
      <c r="BB193" s="20">
        <f>IF('Growth profile'!BA143&gt;0,1,IF('Growth profile'!BA246&gt;0,3,0))</f>
        <v>3</v>
      </c>
      <c r="BC193" s="20">
        <f>IF('Growth profile'!BB143&gt;0,1,IF('Growth profile'!BB246&gt;0,3,0))</f>
        <v>0</v>
      </c>
      <c r="BD193" s="20">
        <f>IF('Growth profile'!BC143&gt;0,1,IF('Growth profile'!BC246&gt;0,3,0))</f>
        <v>0</v>
      </c>
      <c r="BE193" s="20">
        <f>IF('Growth profile'!BD143&gt;0,1,IF('Growth profile'!BD246&gt;0,3,0))</f>
        <v>0</v>
      </c>
      <c r="BF193" s="20">
        <f>IF('Growth profile'!BE143&gt;0,1,IF('Growth profile'!BE246&gt;0,3,0))</f>
        <v>0</v>
      </c>
      <c r="BG193" s="20">
        <f>IF('Growth profile'!BF143&gt;0,1,IF('Growth profile'!BF246&gt;0,3,0))</f>
        <v>0</v>
      </c>
      <c r="BH193" s="20">
        <f>IF('Growth profile'!BG143&gt;0,1,IF('Growth profile'!BG246&gt;0,3,0))</f>
        <v>0</v>
      </c>
      <c r="BI193" s="20">
        <f>IF('Growth profile'!BH143&gt;0,1,IF('Growth profile'!BH246&gt;0,3,0))</f>
        <v>0</v>
      </c>
      <c r="BJ193" s="20">
        <f>IF('Growth profile'!BI143&gt;0,1,IF('Growth profile'!BI246&gt;0,3,0))</f>
        <v>0</v>
      </c>
      <c r="BK193" s="21">
        <f>IF('Growth profile'!BJ143&gt;0,1,IF('Growth profile'!BJ246&gt;0,3,0))</f>
        <v>0</v>
      </c>
    </row>
    <row r="194" spans="1:63" x14ac:dyDescent="0.3">
      <c r="B194" s="13" t="s">
        <v>59</v>
      </c>
      <c r="C194" s="19">
        <f>'Growth (no penalty)'!I35</f>
        <v>2044</v>
      </c>
      <c r="D194" s="22">
        <f>IF('Growth (no penalty)'!C143&gt;0,1,IF('Growth (no penalty)'!C246&gt;0,4,0))</f>
        <v>0</v>
      </c>
      <c r="E194" s="22">
        <f>IF('Growth (no penalty)'!D143&gt;0,1,IF('Growth (no penalty)'!D246&gt;0,4,0))</f>
        <v>0</v>
      </c>
      <c r="F194" s="22">
        <f>IF('Growth (no penalty)'!E143&gt;0,1,IF('Growth (no penalty)'!E246&gt;0,4,0))</f>
        <v>0</v>
      </c>
      <c r="G194" s="22">
        <f>IF('Growth (no penalty)'!F143&gt;0,1,IF('Growth (no penalty)'!F246&gt;0,4,0))</f>
        <v>0</v>
      </c>
      <c r="H194" s="22">
        <f>IF('Growth (no penalty)'!G143&gt;0,1,IF('Growth (no penalty)'!G246&gt;0,4,0))</f>
        <v>0</v>
      </c>
      <c r="I194" s="22">
        <f>IF('Growth (no penalty)'!H143&gt;0,1,IF('Growth (no penalty)'!H246&gt;0,4,0))</f>
        <v>0</v>
      </c>
      <c r="J194" s="22">
        <f>IF('Growth (no penalty)'!I143&gt;0,1,IF('Growth (no penalty)'!I246&gt;0,4,0))</f>
        <v>0</v>
      </c>
      <c r="K194" s="22">
        <f>IF('Growth (no penalty)'!J143&gt;0,1,IF('Growth (no penalty)'!J246&gt;0,4,0))</f>
        <v>0</v>
      </c>
      <c r="L194" s="22">
        <f>IF('Growth (no penalty)'!K143&gt;0,1,IF('Growth (no penalty)'!K246&gt;0,4,0))</f>
        <v>0</v>
      </c>
      <c r="M194" s="22">
        <f>IF('Growth (no penalty)'!L143&gt;0,1,IF('Growth (no penalty)'!L246&gt;0,4,0))</f>
        <v>0</v>
      </c>
      <c r="N194" s="22">
        <f>IF('Growth (no penalty)'!M143&gt;0,1,IF('Growth (no penalty)'!M246&gt;0,4,0))</f>
        <v>0</v>
      </c>
      <c r="O194" s="22">
        <f>IF('Growth (no penalty)'!N143&gt;0,1,IF('Growth (no penalty)'!N246&gt;0,4,0))</f>
        <v>0</v>
      </c>
      <c r="P194" s="22">
        <f>IF('Growth (no penalty)'!O143&gt;0,1,IF('Growth (no penalty)'!O246&gt;0,4,0))</f>
        <v>0</v>
      </c>
      <c r="Q194" s="22">
        <f>IF('Growth (no penalty)'!P143&gt;0,1,IF('Growth (no penalty)'!P246&gt;0,4,0))</f>
        <v>0</v>
      </c>
      <c r="R194" s="22">
        <f>IF('Growth (no penalty)'!Q143&gt;0,1,IF('Growth (no penalty)'!Q246&gt;0,4,0))</f>
        <v>0</v>
      </c>
      <c r="S194" s="22">
        <f>IF('Growth (no penalty)'!R143&gt;0,1,IF('Growth (no penalty)'!R246&gt;0,4,0))</f>
        <v>0</v>
      </c>
      <c r="T194" s="22">
        <f>IF('Growth (no penalty)'!S143&gt;0,1,IF('Growth (no penalty)'!S246&gt;0,4,0))</f>
        <v>0</v>
      </c>
      <c r="U194" s="22">
        <f>IF('Growth (no penalty)'!T143&gt;0,1,IF('Growth (no penalty)'!T246&gt;0,4,0))</f>
        <v>0</v>
      </c>
      <c r="V194" s="22">
        <f>IF('Growth (no penalty)'!U143&gt;0,1,IF('Growth (no penalty)'!U246&gt;0,4,0))</f>
        <v>1</v>
      </c>
      <c r="W194" s="22">
        <f>IF('Growth (no penalty)'!V143&gt;0,1,IF('Growth (no penalty)'!V246&gt;0,4,0))</f>
        <v>1</v>
      </c>
      <c r="X194" s="22">
        <f>IF('Growth (no penalty)'!W143&gt;0,1,IF('Growth (no penalty)'!W246&gt;0,4,0))</f>
        <v>4</v>
      </c>
      <c r="Y194" s="22">
        <f>IF('Growth (no penalty)'!X143&gt;0,1,IF('Growth (no penalty)'!X246&gt;0,4,0))</f>
        <v>4</v>
      </c>
      <c r="Z194" s="22">
        <f>IF('Growth (no penalty)'!Y143&gt;0,1,IF('Growth (no penalty)'!Y246&gt;0,4,0))</f>
        <v>4</v>
      </c>
      <c r="AA194" s="22">
        <f>IF('Growth (no penalty)'!Z143&gt;0,1,IF('Growth (no penalty)'!Z246&gt;0,4,0))</f>
        <v>4</v>
      </c>
      <c r="AB194" s="22">
        <f>IF('Growth (no penalty)'!AA143&gt;0,1,IF('Growth (no penalty)'!AA246&gt;0,4,0))</f>
        <v>4</v>
      </c>
      <c r="AC194" s="22">
        <f>IF('Growth (no penalty)'!AB143&gt;0,1,IF('Growth (no penalty)'!AB246&gt;0,4,0))</f>
        <v>4</v>
      </c>
      <c r="AD194" s="22">
        <f>IF('Growth (no penalty)'!AC143&gt;0,1,IF('Growth (no penalty)'!AC246&gt;0,4,0))</f>
        <v>4</v>
      </c>
      <c r="AE194" s="22">
        <f>IF('Growth (no penalty)'!AD143&gt;0,1,IF('Growth (no penalty)'!AD246&gt;0,4,0))</f>
        <v>4</v>
      </c>
      <c r="AF194" s="22">
        <f>IF('Growth (no penalty)'!AE143&gt;0,1,IF('Growth (no penalty)'!AE246&gt;0,4,0))</f>
        <v>4</v>
      </c>
      <c r="AG194" s="22">
        <f>IF('Growth (no penalty)'!AF143&gt;0,1,IF('Growth (no penalty)'!AF246&gt;0,4,0))</f>
        <v>4</v>
      </c>
      <c r="AH194" s="22">
        <f>IF('Growth (no penalty)'!AG143&gt;0,1,IF('Growth (no penalty)'!AG246&gt;0,4,0))</f>
        <v>4</v>
      </c>
      <c r="AI194" s="22">
        <f>IF('Growth (no penalty)'!AH143&gt;0,1,IF('Growth (no penalty)'!AH246&gt;0,4,0))</f>
        <v>4</v>
      </c>
      <c r="AJ194" s="22">
        <f>IF('Growth (no penalty)'!AI143&gt;0,1,IF('Growth (no penalty)'!AI246&gt;0,4,0))</f>
        <v>4</v>
      </c>
      <c r="AK194" s="22">
        <f>IF('Growth (no penalty)'!AJ143&gt;0,1,IF('Growth (no penalty)'!AJ246&gt;0,4,0))</f>
        <v>4</v>
      </c>
      <c r="AL194" s="22">
        <f>IF('Growth (no penalty)'!AK143&gt;0,1,IF('Growth (no penalty)'!AK246&gt;0,4,0))</f>
        <v>4</v>
      </c>
      <c r="AM194" s="22">
        <f>IF('Growth (no penalty)'!AL143&gt;0,1,IF('Growth (no penalty)'!AL246&gt;0,4,0))</f>
        <v>4</v>
      </c>
      <c r="AN194" s="22">
        <f>IF('Growth (no penalty)'!AM143&gt;0,1,IF('Growth (no penalty)'!AM246&gt;0,4,0))</f>
        <v>4</v>
      </c>
      <c r="AO194" s="22">
        <f>IF('Growth (no penalty)'!AN143&gt;0,1,IF('Growth (no penalty)'!AN246&gt;0,4,0))</f>
        <v>4</v>
      </c>
      <c r="AP194" s="22">
        <f>IF('Growth (no penalty)'!AO143&gt;0,1,IF('Growth (no penalty)'!AO246&gt;0,4,0))</f>
        <v>4</v>
      </c>
      <c r="AQ194" s="22">
        <f>IF('Growth (no penalty)'!AP143&gt;0,1,IF('Growth (no penalty)'!AP246&gt;0,4,0))</f>
        <v>4</v>
      </c>
      <c r="AR194" s="22">
        <f>IF('Growth (no penalty)'!AQ143&gt;0,1,IF('Growth (no penalty)'!AQ246&gt;0,4,0))</f>
        <v>4</v>
      </c>
      <c r="AS194" s="22">
        <f>IF('Growth (no penalty)'!AR143&gt;0,1,IF('Growth (no penalty)'!AR246&gt;0,4,0))</f>
        <v>4</v>
      </c>
      <c r="AT194" s="22">
        <f>IF('Growth (no penalty)'!AS143&gt;0,1,IF('Growth (no penalty)'!AS246&gt;0,4,0))</f>
        <v>4</v>
      </c>
      <c r="AU194" s="22">
        <f>IF('Growth (no penalty)'!AT143&gt;0,1,IF('Growth (no penalty)'!AT246&gt;0,4,0))</f>
        <v>4</v>
      </c>
      <c r="AV194" s="22">
        <f>IF('Growth (no penalty)'!AU143&gt;0,1,IF('Growth (no penalty)'!AU246&gt;0,4,0))</f>
        <v>4</v>
      </c>
      <c r="AW194" s="22">
        <f>IF('Growth (no penalty)'!AV143&gt;0,1,IF('Growth (no penalty)'!AV246&gt;0,4,0))</f>
        <v>4</v>
      </c>
      <c r="AX194" s="22">
        <f>IF('Growth (no penalty)'!AW143&gt;0,1,IF('Growth (no penalty)'!AW246&gt;0,4,0))</f>
        <v>4</v>
      </c>
      <c r="AY194" s="22">
        <f>IF('Growth (no penalty)'!AX143&gt;0,1,IF('Growth (no penalty)'!AX246&gt;0,4,0))</f>
        <v>4</v>
      </c>
      <c r="AZ194" s="22">
        <f>IF('Growth (no penalty)'!AY143&gt;0,1,IF('Growth (no penalty)'!AY246&gt;0,4,0))</f>
        <v>4</v>
      </c>
      <c r="BA194" s="22">
        <f>IF('Growth (no penalty)'!AZ143&gt;0,1,IF('Growth (no penalty)'!AZ246&gt;0,4,0))</f>
        <v>4</v>
      </c>
      <c r="BB194" s="22">
        <f>IF('Growth (no penalty)'!BA143&gt;0,1,IF('Growth (no penalty)'!BA246&gt;0,4,0))</f>
        <v>4</v>
      </c>
      <c r="BC194" s="22">
        <f>IF('Growth (no penalty)'!BB143&gt;0,1,IF('Growth (no penalty)'!BB246&gt;0,4,0))</f>
        <v>4</v>
      </c>
      <c r="BD194" s="22">
        <f>IF('Growth (no penalty)'!BC143&gt;0,1,IF('Growth (no penalty)'!BC246&gt;0,4,0))</f>
        <v>4</v>
      </c>
      <c r="BE194" s="22">
        <f>IF('Growth (no penalty)'!BD143&gt;0,1,IF('Growth (no penalty)'!BD246&gt;0,4,0))</f>
        <v>4</v>
      </c>
      <c r="BF194" s="22">
        <f>IF('Growth (no penalty)'!BE143&gt;0,1,IF('Growth (no penalty)'!BE246&gt;0,4,0))</f>
        <v>4</v>
      </c>
      <c r="BG194" s="22">
        <f>IF('Growth (no penalty)'!BF143&gt;0,1,IF('Growth (no penalty)'!BF246&gt;0,4,0))</f>
        <v>4</v>
      </c>
      <c r="BH194" s="22">
        <f>IF('Growth (no penalty)'!BG143&gt;0,1,IF('Growth (no penalty)'!BG246&gt;0,4,0))</f>
        <v>4</v>
      </c>
      <c r="BI194" s="22">
        <f>IF('Growth (no penalty)'!BH143&gt;0,1,IF('Growth (no penalty)'!BH246&gt;0,4,0))</f>
        <v>4</v>
      </c>
      <c r="BJ194" s="22">
        <f>IF('Growth (no penalty)'!BI143&gt;0,1,IF('Growth (no penalty)'!BI246&gt;0,4,0))</f>
        <v>4</v>
      </c>
      <c r="BK194" s="23">
        <f>IF('Growth (no penalty)'!BJ143&gt;0,1,IF('Growth (no penalty)'!BJ246&gt;0,4,0))</f>
        <v>4</v>
      </c>
    </row>
    <row r="195" spans="1:63" x14ac:dyDescent="0.3">
      <c r="A195" s="4" t="str">
        <f>'Growth profile'!A101</f>
        <v>project 161</v>
      </c>
      <c r="B195" s="13" t="s">
        <v>3</v>
      </c>
      <c r="C195" s="19">
        <f>'Raw profile'!I101</f>
        <v>2037</v>
      </c>
      <c r="D195" s="20">
        <f>IF('Raw profile'!C209&gt;0,1,IF('Raw profile'!C312&gt;0,2,0))</f>
        <v>0</v>
      </c>
      <c r="E195" s="20">
        <f>IF('Raw profile'!D209&gt;0,1,IF('Raw profile'!D312&gt;0,2,0))</f>
        <v>0</v>
      </c>
      <c r="F195" s="20">
        <f>IF('Raw profile'!E209&gt;0,1,IF('Raw profile'!E312&gt;0,2,0))</f>
        <v>0</v>
      </c>
      <c r="G195" s="20">
        <f>IF('Raw profile'!F209&gt;0,1,IF('Raw profile'!F312&gt;0,2,0))</f>
        <v>0</v>
      </c>
      <c r="H195" s="20">
        <f>IF('Raw profile'!G209&gt;0,1,IF('Raw profile'!G312&gt;0,2,0))</f>
        <v>0</v>
      </c>
      <c r="I195" s="20">
        <f>IF('Raw profile'!H209&gt;0,1,IF('Raw profile'!H312&gt;0,2,0))</f>
        <v>0</v>
      </c>
      <c r="J195" s="20">
        <f>IF('Raw profile'!I209&gt;0,1,IF('Raw profile'!I312&gt;0,2,0))</f>
        <v>0</v>
      </c>
      <c r="K195" s="20">
        <f>IF('Raw profile'!J209&gt;0,1,IF('Raw profile'!J312&gt;0,2,0))</f>
        <v>0</v>
      </c>
      <c r="L195" s="20">
        <f>IF('Raw profile'!K209&gt;0,1,IF('Raw profile'!K312&gt;0,2,0))</f>
        <v>0</v>
      </c>
      <c r="M195" s="20">
        <f>IF('Raw profile'!L209&gt;0,1,IF('Raw profile'!L312&gt;0,2,0))</f>
        <v>0</v>
      </c>
      <c r="N195" s="20">
        <f>IF('Raw profile'!M209&gt;0,1,IF('Raw profile'!M312&gt;0,2,0))</f>
        <v>0</v>
      </c>
      <c r="O195" s="20">
        <f>IF('Raw profile'!N209&gt;0,1,IF('Raw profile'!N312&gt;0,2,0))</f>
        <v>1</v>
      </c>
      <c r="P195" s="20">
        <f>IF('Raw profile'!O209&gt;0,1,IF('Raw profile'!O312&gt;0,2,0))</f>
        <v>2</v>
      </c>
      <c r="Q195" s="20">
        <f>IF('Raw profile'!P209&gt;0,1,IF('Raw profile'!P312&gt;0,2,0))</f>
        <v>2</v>
      </c>
      <c r="R195" s="20">
        <f>IF('Raw profile'!Q209&gt;0,1,IF('Raw profile'!Q312&gt;0,2,0))</f>
        <v>2</v>
      </c>
      <c r="S195" s="20">
        <f>IF('Raw profile'!R209&gt;0,1,IF('Raw profile'!R312&gt;0,2,0))</f>
        <v>2</v>
      </c>
      <c r="T195" s="20">
        <f>IF('Raw profile'!S209&gt;0,1,IF('Raw profile'!S312&gt;0,2,0))</f>
        <v>2</v>
      </c>
      <c r="U195" s="20">
        <f>IF('Raw profile'!T209&gt;0,1,IF('Raw profile'!T312&gt;0,2,0))</f>
        <v>2</v>
      </c>
      <c r="V195" s="20">
        <f>IF('Raw profile'!U209&gt;0,1,IF('Raw profile'!U312&gt;0,2,0))</f>
        <v>2</v>
      </c>
      <c r="W195" s="20">
        <f>IF('Raw profile'!V209&gt;0,1,IF('Raw profile'!V312&gt;0,2,0))</f>
        <v>2</v>
      </c>
      <c r="X195" s="20">
        <f>IF('Raw profile'!W209&gt;0,1,IF('Raw profile'!W312&gt;0,2,0))</f>
        <v>2</v>
      </c>
      <c r="Y195" s="20">
        <f>IF('Raw profile'!X209&gt;0,1,IF('Raw profile'!X312&gt;0,2,0))</f>
        <v>2</v>
      </c>
      <c r="Z195" s="20">
        <f>IF('Raw profile'!Y209&gt;0,1,IF('Raw profile'!Y312&gt;0,2,0))</f>
        <v>2</v>
      </c>
      <c r="AA195" s="20">
        <f>IF('Raw profile'!Z209&gt;0,1,IF('Raw profile'!Z312&gt;0,2,0))</f>
        <v>2</v>
      </c>
      <c r="AB195" s="20">
        <f>IF('Raw profile'!AA209&gt;0,1,IF('Raw profile'!AA312&gt;0,2,0))</f>
        <v>2</v>
      </c>
      <c r="AC195" s="20">
        <f>IF('Raw profile'!AB209&gt;0,1,IF('Raw profile'!AB312&gt;0,2,0))</f>
        <v>2</v>
      </c>
      <c r="AD195" s="20">
        <f>IF('Raw profile'!AC209&gt;0,1,IF('Raw profile'!AC312&gt;0,2,0))</f>
        <v>2</v>
      </c>
      <c r="AE195" s="20">
        <f>IF('Raw profile'!AD209&gt;0,1,IF('Raw profile'!AD312&gt;0,2,0))</f>
        <v>2</v>
      </c>
      <c r="AF195" s="20">
        <f>IF('Raw profile'!AE209&gt;0,1,IF('Raw profile'!AE312&gt;0,2,0))</f>
        <v>2</v>
      </c>
      <c r="AG195" s="20">
        <f>IF('Raw profile'!AF209&gt;0,1,IF('Raw profile'!AF312&gt;0,2,0))</f>
        <v>2</v>
      </c>
      <c r="AH195" s="20">
        <f>IF('Raw profile'!AG209&gt;0,1,IF('Raw profile'!AG312&gt;0,2,0))</f>
        <v>2</v>
      </c>
      <c r="AI195" s="20">
        <f>IF('Raw profile'!AH209&gt;0,1,IF('Raw profile'!AH312&gt;0,2,0))</f>
        <v>2</v>
      </c>
      <c r="AJ195" s="20">
        <f>IF('Raw profile'!AI209&gt;0,1,IF('Raw profile'!AI312&gt;0,2,0))</f>
        <v>2</v>
      </c>
      <c r="AK195" s="20">
        <f>IF('Raw profile'!AJ209&gt;0,1,IF('Raw profile'!AJ312&gt;0,2,0))</f>
        <v>2</v>
      </c>
      <c r="AL195" s="20">
        <f>IF('Raw profile'!AK209&gt;0,1,IF('Raw profile'!AK312&gt;0,2,0))</f>
        <v>2</v>
      </c>
      <c r="AM195" s="20">
        <f>IF('Raw profile'!AL209&gt;0,1,IF('Raw profile'!AL312&gt;0,2,0))</f>
        <v>2</v>
      </c>
      <c r="AN195" s="20">
        <f>IF('Raw profile'!AM209&gt;0,1,IF('Raw profile'!AM312&gt;0,2,0))</f>
        <v>2</v>
      </c>
      <c r="AO195" s="20">
        <f>IF('Raw profile'!AN209&gt;0,1,IF('Raw profile'!AN312&gt;0,2,0))</f>
        <v>2</v>
      </c>
      <c r="AP195" s="20">
        <f>IF('Raw profile'!AO209&gt;0,1,IF('Raw profile'!AO312&gt;0,2,0))</f>
        <v>2</v>
      </c>
      <c r="AQ195" s="20">
        <f>IF('Raw profile'!AP209&gt;0,1,IF('Raw profile'!AP312&gt;0,2,0))</f>
        <v>2</v>
      </c>
      <c r="AR195" s="20">
        <f>IF('Raw profile'!AQ209&gt;0,1,IF('Raw profile'!AQ312&gt;0,2,0))</f>
        <v>2</v>
      </c>
      <c r="AS195" s="20">
        <f>IF('Raw profile'!AR209&gt;0,1,IF('Raw profile'!AR312&gt;0,2,0))</f>
        <v>2</v>
      </c>
      <c r="AT195" s="20">
        <f>IF('Raw profile'!AS209&gt;0,1,IF('Raw profile'!AS312&gt;0,2,0))</f>
        <v>2</v>
      </c>
      <c r="AU195" s="20">
        <f>IF('Raw profile'!AT209&gt;0,1,IF('Raw profile'!AT312&gt;0,2,0))</f>
        <v>2</v>
      </c>
      <c r="AV195" s="20">
        <f>IF('Raw profile'!AU209&gt;0,1,IF('Raw profile'!AU312&gt;0,2,0))</f>
        <v>2</v>
      </c>
      <c r="AW195" s="20">
        <f>IF('Raw profile'!AV209&gt;0,1,IF('Raw profile'!AV312&gt;0,2,0))</f>
        <v>2</v>
      </c>
      <c r="AX195" s="20">
        <f>IF('Raw profile'!AW209&gt;0,1,IF('Raw profile'!AW312&gt;0,2,0))</f>
        <v>2</v>
      </c>
      <c r="AY195" s="20">
        <f>IF('Raw profile'!AX209&gt;0,1,IF('Raw profile'!AX312&gt;0,2,0))</f>
        <v>2</v>
      </c>
      <c r="AZ195" s="20">
        <f>IF('Raw profile'!AY209&gt;0,1,IF('Raw profile'!AY312&gt;0,2,0))</f>
        <v>2</v>
      </c>
      <c r="BA195" s="20">
        <f>IF('Raw profile'!AZ209&gt;0,1,IF('Raw profile'!AZ312&gt;0,2,0))</f>
        <v>2</v>
      </c>
      <c r="BB195" s="20">
        <f>IF('Raw profile'!BA209&gt;0,1,IF('Raw profile'!BA312&gt;0,2,0))</f>
        <v>2</v>
      </c>
      <c r="BC195" s="20">
        <f>IF('Raw profile'!BB209&gt;0,1,IF('Raw profile'!BB312&gt;0,2,0))</f>
        <v>2</v>
      </c>
      <c r="BD195" s="20">
        <f>IF('Raw profile'!BC209&gt;0,1,IF('Raw profile'!BC312&gt;0,2,0))</f>
        <v>0</v>
      </c>
      <c r="BE195" s="20">
        <f>IF('Raw profile'!BD209&gt;0,1,IF('Raw profile'!BD312&gt;0,2,0))</f>
        <v>0</v>
      </c>
      <c r="BF195" s="20">
        <f>IF('Raw profile'!BE209&gt;0,1,IF('Raw profile'!BE312&gt;0,2,0))</f>
        <v>0</v>
      </c>
      <c r="BG195" s="20">
        <f>IF('Raw profile'!BF209&gt;0,1,IF('Raw profile'!BF312&gt;0,2,0))</f>
        <v>0</v>
      </c>
      <c r="BH195" s="20">
        <f>IF('Raw profile'!BG209&gt;0,1,IF('Raw profile'!BG312&gt;0,2,0))</f>
        <v>0</v>
      </c>
      <c r="BI195" s="20">
        <f>IF('Raw profile'!BH209&gt;0,1,IF('Raw profile'!BH312&gt;0,2,0))</f>
        <v>0</v>
      </c>
      <c r="BJ195" s="20">
        <f>IF('Raw profile'!BI209&gt;0,1,IF('Raw profile'!BI312&gt;0,2,0))</f>
        <v>0</v>
      </c>
      <c r="BK195" s="21">
        <f>IF('Raw profile'!BJ209&gt;0,1,IF('Raw profile'!BJ312&gt;0,2,0))</f>
        <v>0</v>
      </c>
    </row>
    <row r="196" spans="1:63" x14ac:dyDescent="0.3">
      <c r="B196" s="13" t="s">
        <v>4</v>
      </c>
      <c r="C196" s="19">
        <f>'Growth profile'!I101</f>
        <v>2035</v>
      </c>
      <c r="D196" s="20">
        <f>IF('Growth profile'!C209&gt;0,1,IF('Growth profile'!C312&gt;0,3,0))</f>
        <v>0</v>
      </c>
      <c r="E196" s="20">
        <f>IF('Growth profile'!D209&gt;0,1,IF('Growth profile'!D312&gt;0,3,0))</f>
        <v>0</v>
      </c>
      <c r="F196" s="20">
        <f>IF('Growth profile'!E209&gt;0,1,IF('Growth profile'!E312&gt;0,3,0))</f>
        <v>0</v>
      </c>
      <c r="G196" s="20">
        <f>IF('Growth profile'!F209&gt;0,1,IF('Growth profile'!F312&gt;0,3,0))</f>
        <v>0</v>
      </c>
      <c r="H196" s="20">
        <f>IF('Growth profile'!G209&gt;0,1,IF('Growth profile'!G312&gt;0,3,0))</f>
        <v>0</v>
      </c>
      <c r="I196" s="20">
        <f>IF('Growth profile'!H209&gt;0,1,IF('Growth profile'!H312&gt;0,3,0))</f>
        <v>0</v>
      </c>
      <c r="J196" s="20">
        <f>IF('Growth profile'!I209&gt;0,1,IF('Growth profile'!I312&gt;0,3,0))</f>
        <v>0</v>
      </c>
      <c r="K196" s="20">
        <f>IF('Growth profile'!J209&gt;0,1,IF('Growth profile'!J312&gt;0,3,0))</f>
        <v>0</v>
      </c>
      <c r="L196" s="20">
        <f>IF('Growth profile'!K209&gt;0,1,IF('Growth profile'!K312&gt;0,3,0))</f>
        <v>0</v>
      </c>
      <c r="M196" s="20">
        <f>IF('Growth profile'!L209&gt;0,1,IF('Growth profile'!L312&gt;0,3,0))</f>
        <v>1</v>
      </c>
      <c r="N196" s="20">
        <f>IF('Growth profile'!M209&gt;0,1,IF('Growth profile'!M312&gt;0,3,0))</f>
        <v>3</v>
      </c>
      <c r="O196" s="20">
        <f>IF('Growth profile'!N209&gt;0,1,IF('Growth profile'!N312&gt;0,3,0))</f>
        <v>3</v>
      </c>
      <c r="P196" s="20">
        <f>IF('Growth profile'!O209&gt;0,1,IF('Growth profile'!O312&gt;0,3,0))</f>
        <v>3</v>
      </c>
      <c r="Q196" s="20">
        <f>IF('Growth profile'!P209&gt;0,1,IF('Growth profile'!P312&gt;0,3,0))</f>
        <v>3</v>
      </c>
      <c r="R196" s="20">
        <f>IF('Growth profile'!Q209&gt;0,1,IF('Growth profile'!Q312&gt;0,3,0))</f>
        <v>3</v>
      </c>
      <c r="S196" s="20">
        <f>IF('Growth profile'!R209&gt;0,1,IF('Growth profile'!R312&gt;0,3,0))</f>
        <v>3</v>
      </c>
      <c r="T196" s="20">
        <f>IF('Growth profile'!S209&gt;0,1,IF('Growth profile'!S312&gt;0,3,0))</f>
        <v>3</v>
      </c>
      <c r="U196" s="20">
        <f>IF('Growth profile'!T209&gt;0,1,IF('Growth profile'!T312&gt;0,3,0))</f>
        <v>3</v>
      </c>
      <c r="V196" s="20">
        <f>IF('Growth profile'!U209&gt;0,1,IF('Growth profile'!U312&gt;0,3,0))</f>
        <v>3</v>
      </c>
      <c r="W196" s="20">
        <f>IF('Growth profile'!V209&gt;0,1,IF('Growth profile'!V312&gt;0,3,0))</f>
        <v>3</v>
      </c>
      <c r="X196" s="20">
        <f>IF('Growth profile'!W209&gt;0,1,IF('Growth profile'!W312&gt;0,3,0))</f>
        <v>3</v>
      </c>
      <c r="Y196" s="20">
        <f>IF('Growth profile'!X209&gt;0,1,IF('Growth profile'!X312&gt;0,3,0))</f>
        <v>3</v>
      </c>
      <c r="Z196" s="20">
        <f>IF('Growth profile'!Y209&gt;0,1,IF('Growth profile'!Y312&gt;0,3,0))</f>
        <v>3</v>
      </c>
      <c r="AA196" s="20">
        <f>IF('Growth profile'!Z209&gt;0,1,IF('Growth profile'!Z312&gt;0,3,0))</f>
        <v>3</v>
      </c>
      <c r="AB196" s="20">
        <f>IF('Growth profile'!AA209&gt;0,1,IF('Growth profile'!AA312&gt;0,3,0))</f>
        <v>3</v>
      </c>
      <c r="AC196" s="20">
        <f>IF('Growth profile'!AB209&gt;0,1,IF('Growth profile'!AB312&gt;0,3,0))</f>
        <v>3</v>
      </c>
      <c r="AD196" s="20">
        <f>IF('Growth profile'!AC209&gt;0,1,IF('Growth profile'!AC312&gt;0,3,0))</f>
        <v>3</v>
      </c>
      <c r="AE196" s="20">
        <f>IF('Growth profile'!AD209&gt;0,1,IF('Growth profile'!AD312&gt;0,3,0))</f>
        <v>3</v>
      </c>
      <c r="AF196" s="20">
        <f>IF('Growth profile'!AE209&gt;0,1,IF('Growth profile'!AE312&gt;0,3,0))</f>
        <v>3</v>
      </c>
      <c r="AG196" s="20">
        <f>IF('Growth profile'!AF209&gt;0,1,IF('Growth profile'!AF312&gt;0,3,0))</f>
        <v>3</v>
      </c>
      <c r="AH196" s="20">
        <f>IF('Growth profile'!AG209&gt;0,1,IF('Growth profile'!AG312&gt;0,3,0))</f>
        <v>3</v>
      </c>
      <c r="AI196" s="20">
        <f>IF('Growth profile'!AH209&gt;0,1,IF('Growth profile'!AH312&gt;0,3,0))</f>
        <v>3</v>
      </c>
      <c r="AJ196" s="20">
        <f>IF('Growth profile'!AI209&gt;0,1,IF('Growth profile'!AI312&gt;0,3,0))</f>
        <v>3</v>
      </c>
      <c r="AK196" s="20">
        <f>IF('Growth profile'!AJ209&gt;0,1,IF('Growth profile'!AJ312&gt;0,3,0))</f>
        <v>3</v>
      </c>
      <c r="AL196" s="20">
        <f>IF('Growth profile'!AK209&gt;0,1,IF('Growth profile'!AK312&gt;0,3,0))</f>
        <v>3</v>
      </c>
      <c r="AM196" s="20">
        <f>IF('Growth profile'!AL209&gt;0,1,IF('Growth profile'!AL312&gt;0,3,0))</f>
        <v>3</v>
      </c>
      <c r="AN196" s="20">
        <f>IF('Growth profile'!AM209&gt;0,1,IF('Growth profile'!AM312&gt;0,3,0))</f>
        <v>3</v>
      </c>
      <c r="AO196" s="20">
        <f>IF('Growth profile'!AN209&gt;0,1,IF('Growth profile'!AN312&gt;0,3,0))</f>
        <v>3</v>
      </c>
      <c r="AP196" s="20">
        <f>IF('Growth profile'!AO209&gt;0,1,IF('Growth profile'!AO312&gt;0,3,0))</f>
        <v>3</v>
      </c>
      <c r="AQ196" s="20">
        <f>IF('Growth profile'!AP209&gt;0,1,IF('Growth profile'!AP312&gt;0,3,0))</f>
        <v>3</v>
      </c>
      <c r="AR196" s="20">
        <f>IF('Growth profile'!AQ209&gt;0,1,IF('Growth profile'!AQ312&gt;0,3,0))</f>
        <v>3</v>
      </c>
      <c r="AS196" s="20">
        <f>IF('Growth profile'!AR209&gt;0,1,IF('Growth profile'!AR312&gt;0,3,0))</f>
        <v>3</v>
      </c>
      <c r="AT196" s="20">
        <f>IF('Growth profile'!AS209&gt;0,1,IF('Growth profile'!AS312&gt;0,3,0))</f>
        <v>3</v>
      </c>
      <c r="AU196" s="20">
        <f>IF('Growth profile'!AT209&gt;0,1,IF('Growth profile'!AT312&gt;0,3,0))</f>
        <v>3</v>
      </c>
      <c r="AV196" s="20">
        <f>IF('Growth profile'!AU209&gt;0,1,IF('Growth profile'!AU312&gt;0,3,0))</f>
        <v>3</v>
      </c>
      <c r="AW196" s="20">
        <f>IF('Growth profile'!AV209&gt;0,1,IF('Growth profile'!AV312&gt;0,3,0))</f>
        <v>3</v>
      </c>
      <c r="AX196" s="20">
        <f>IF('Growth profile'!AW209&gt;0,1,IF('Growth profile'!AW312&gt;0,3,0))</f>
        <v>3</v>
      </c>
      <c r="AY196" s="20">
        <f>IF('Growth profile'!AX209&gt;0,1,IF('Growth profile'!AX312&gt;0,3,0))</f>
        <v>3</v>
      </c>
      <c r="AZ196" s="20">
        <f>IF('Growth profile'!AY209&gt;0,1,IF('Growth profile'!AY312&gt;0,3,0))</f>
        <v>3</v>
      </c>
      <c r="BA196" s="20">
        <f>IF('Growth profile'!AZ209&gt;0,1,IF('Growth profile'!AZ312&gt;0,3,0))</f>
        <v>3</v>
      </c>
      <c r="BB196" s="20">
        <f>IF('Growth profile'!BA209&gt;0,1,IF('Growth profile'!BA312&gt;0,3,0))</f>
        <v>0</v>
      </c>
      <c r="BC196" s="20">
        <f>IF('Growth profile'!BB209&gt;0,1,IF('Growth profile'!BB312&gt;0,3,0))</f>
        <v>0</v>
      </c>
      <c r="BD196" s="20">
        <f>IF('Growth profile'!BC209&gt;0,1,IF('Growth profile'!BC312&gt;0,3,0))</f>
        <v>0</v>
      </c>
      <c r="BE196" s="20">
        <f>IF('Growth profile'!BD209&gt;0,1,IF('Growth profile'!BD312&gt;0,3,0))</f>
        <v>0</v>
      </c>
      <c r="BF196" s="20">
        <f>IF('Growth profile'!BE209&gt;0,1,IF('Growth profile'!BE312&gt;0,3,0))</f>
        <v>0</v>
      </c>
      <c r="BG196" s="20">
        <f>IF('Growth profile'!BF209&gt;0,1,IF('Growth profile'!BF312&gt;0,3,0))</f>
        <v>0</v>
      </c>
      <c r="BH196" s="20">
        <f>IF('Growth profile'!BG209&gt;0,1,IF('Growth profile'!BG312&gt;0,3,0))</f>
        <v>0</v>
      </c>
      <c r="BI196" s="20">
        <f>IF('Growth profile'!BH209&gt;0,1,IF('Growth profile'!BH312&gt;0,3,0))</f>
        <v>0</v>
      </c>
      <c r="BJ196" s="20">
        <f>IF('Growth profile'!BI209&gt;0,1,IF('Growth profile'!BI312&gt;0,3,0))</f>
        <v>0</v>
      </c>
      <c r="BK196" s="21">
        <f>IF('Growth profile'!BJ209&gt;0,1,IF('Growth profile'!BJ312&gt;0,3,0))</f>
        <v>0</v>
      </c>
    </row>
    <row r="197" spans="1:63" x14ac:dyDescent="0.3">
      <c r="B197" s="13" t="s">
        <v>59</v>
      </c>
      <c r="C197" s="19">
        <f>'Growth (no penalty)'!I101</f>
        <v>2045</v>
      </c>
      <c r="D197" s="22">
        <f>IF('Growth (no penalty)'!C209&gt;0,1,IF('Growth (no penalty)'!C312&gt;0,4,0))</f>
        <v>0</v>
      </c>
      <c r="E197" s="22">
        <f>IF('Growth (no penalty)'!D209&gt;0,1,IF('Growth (no penalty)'!D312&gt;0,4,0))</f>
        <v>0</v>
      </c>
      <c r="F197" s="22">
        <f>IF('Growth (no penalty)'!E209&gt;0,1,IF('Growth (no penalty)'!E312&gt;0,4,0))</f>
        <v>0</v>
      </c>
      <c r="G197" s="22">
        <f>IF('Growth (no penalty)'!F209&gt;0,1,IF('Growth (no penalty)'!F312&gt;0,4,0))</f>
        <v>0</v>
      </c>
      <c r="H197" s="22">
        <f>IF('Growth (no penalty)'!G209&gt;0,1,IF('Growth (no penalty)'!G312&gt;0,4,0))</f>
        <v>0</v>
      </c>
      <c r="I197" s="22">
        <f>IF('Growth (no penalty)'!H209&gt;0,1,IF('Growth (no penalty)'!H312&gt;0,4,0))</f>
        <v>0</v>
      </c>
      <c r="J197" s="22">
        <f>IF('Growth (no penalty)'!I209&gt;0,1,IF('Growth (no penalty)'!I312&gt;0,4,0))</f>
        <v>0</v>
      </c>
      <c r="K197" s="22">
        <f>IF('Growth (no penalty)'!J209&gt;0,1,IF('Growth (no penalty)'!J312&gt;0,4,0))</f>
        <v>0</v>
      </c>
      <c r="L197" s="22">
        <f>IF('Growth (no penalty)'!K209&gt;0,1,IF('Growth (no penalty)'!K312&gt;0,4,0))</f>
        <v>0</v>
      </c>
      <c r="M197" s="22">
        <f>IF('Growth (no penalty)'!L209&gt;0,1,IF('Growth (no penalty)'!L312&gt;0,4,0))</f>
        <v>0</v>
      </c>
      <c r="N197" s="22">
        <f>IF('Growth (no penalty)'!M209&gt;0,1,IF('Growth (no penalty)'!M312&gt;0,4,0))</f>
        <v>0</v>
      </c>
      <c r="O197" s="22">
        <f>IF('Growth (no penalty)'!N209&gt;0,1,IF('Growth (no penalty)'!N312&gt;0,4,0))</f>
        <v>0</v>
      </c>
      <c r="P197" s="22">
        <f>IF('Growth (no penalty)'!O209&gt;0,1,IF('Growth (no penalty)'!O312&gt;0,4,0))</f>
        <v>0</v>
      </c>
      <c r="Q197" s="22">
        <f>IF('Growth (no penalty)'!P209&gt;0,1,IF('Growth (no penalty)'!P312&gt;0,4,0))</f>
        <v>0</v>
      </c>
      <c r="R197" s="22">
        <f>IF('Growth (no penalty)'!Q209&gt;0,1,IF('Growth (no penalty)'!Q312&gt;0,4,0))</f>
        <v>0</v>
      </c>
      <c r="S197" s="22">
        <f>IF('Growth (no penalty)'!R209&gt;0,1,IF('Growth (no penalty)'!R312&gt;0,4,0))</f>
        <v>0</v>
      </c>
      <c r="T197" s="22">
        <f>IF('Growth (no penalty)'!S209&gt;0,1,IF('Growth (no penalty)'!S312&gt;0,4,0))</f>
        <v>0</v>
      </c>
      <c r="U197" s="22">
        <f>IF('Growth (no penalty)'!T209&gt;0,1,IF('Growth (no penalty)'!T312&gt;0,4,0))</f>
        <v>0</v>
      </c>
      <c r="V197" s="22">
        <f>IF('Growth (no penalty)'!U209&gt;0,1,IF('Growth (no penalty)'!U312&gt;0,4,0))</f>
        <v>0</v>
      </c>
      <c r="W197" s="22">
        <f>IF('Growth (no penalty)'!V209&gt;0,1,IF('Growth (no penalty)'!V312&gt;0,4,0))</f>
        <v>1</v>
      </c>
      <c r="X197" s="22">
        <f>IF('Growth (no penalty)'!W209&gt;0,1,IF('Growth (no penalty)'!W312&gt;0,4,0))</f>
        <v>4</v>
      </c>
      <c r="Y197" s="22">
        <f>IF('Growth (no penalty)'!X209&gt;0,1,IF('Growth (no penalty)'!X312&gt;0,4,0))</f>
        <v>4</v>
      </c>
      <c r="Z197" s="22">
        <f>IF('Growth (no penalty)'!Y209&gt;0,1,IF('Growth (no penalty)'!Y312&gt;0,4,0))</f>
        <v>4</v>
      </c>
      <c r="AA197" s="22">
        <f>IF('Growth (no penalty)'!Z209&gt;0,1,IF('Growth (no penalty)'!Z312&gt;0,4,0))</f>
        <v>4</v>
      </c>
      <c r="AB197" s="22">
        <f>IF('Growth (no penalty)'!AA209&gt;0,1,IF('Growth (no penalty)'!AA312&gt;0,4,0))</f>
        <v>4</v>
      </c>
      <c r="AC197" s="22">
        <f>IF('Growth (no penalty)'!AB209&gt;0,1,IF('Growth (no penalty)'!AB312&gt;0,4,0))</f>
        <v>4</v>
      </c>
      <c r="AD197" s="22">
        <f>IF('Growth (no penalty)'!AC209&gt;0,1,IF('Growth (no penalty)'!AC312&gt;0,4,0))</f>
        <v>4</v>
      </c>
      <c r="AE197" s="22">
        <f>IF('Growth (no penalty)'!AD209&gt;0,1,IF('Growth (no penalty)'!AD312&gt;0,4,0))</f>
        <v>4</v>
      </c>
      <c r="AF197" s="22">
        <f>IF('Growth (no penalty)'!AE209&gt;0,1,IF('Growth (no penalty)'!AE312&gt;0,4,0))</f>
        <v>4</v>
      </c>
      <c r="AG197" s="22">
        <f>IF('Growth (no penalty)'!AF209&gt;0,1,IF('Growth (no penalty)'!AF312&gt;0,4,0))</f>
        <v>4</v>
      </c>
      <c r="AH197" s="22">
        <f>IF('Growth (no penalty)'!AG209&gt;0,1,IF('Growth (no penalty)'!AG312&gt;0,4,0))</f>
        <v>4</v>
      </c>
      <c r="AI197" s="22">
        <f>IF('Growth (no penalty)'!AH209&gt;0,1,IF('Growth (no penalty)'!AH312&gt;0,4,0))</f>
        <v>4</v>
      </c>
      <c r="AJ197" s="22">
        <f>IF('Growth (no penalty)'!AI209&gt;0,1,IF('Growth (no penalty)'!AI312&gt;0,4,0))</f>
        <v>4</v>
      </c>
      <c r="AK197" s="22">
        <f>IF('Growth (no penalty)'!AJ209&gt;0,1,IF('Growth (no penalty)'!AJ312&gt;0,4,0))</f>
        <v>4</v>
      </c>
      <c r="AL197" s="22">
        <f>IF('Growth (no penalty)'!AK209&gt;0,1,IF('Growth (no penalty)'!AK312&gt;0,4,0))</f>
        <v>4</v>
      </c>
      <c r="AM197" s="22">
        <f>IF('Growth (no penalty)'!AL209&gt;0,1,IF('Growth (no penalty)'!AL312&gt;0,4,0))</f>
        <v>4</v>
      </c>
      <c r="AN197" s="22">
        <f>IF('Growth (no penalty)'!AM209&gt;0,1,IF('Growth (no penalty)'!AM312&gt;0,4,0))</f>
        <v>4</v>
      </c>
      <c r="AO197" s="22">
        <f>IF('Growth (no penalty)'!AN209&gt;0,1,IF('Growth (no penalty)'!AN312&gt;0,4,0))</f>
        <v>4</v>
      </c>
      <c r="AP197" s="22">
        <f>IF('Growth (no penalty)'!AO209&gt;0,1,IF('Growth (no penalty)'!AO312&gt;0,4,0))</f>
        <v>4</v>
      </c>
      <c r="AQ197" s="22">
        <f>IF('Growth (no penalty)'!AP209&gt;0,1,IF('Growth (no penalty)'!AP312&gt;0,4,0))</f>
        <v>4</v>
      </c>
      <c r="AR197" s="22">
        <f>IF('Growth (no penalty)'!AQ209&gt;0,1,IF('Growth (no penalty)'!AQ312&gt;0,4,0))</f>
        <v>4</v>
      </c>
      <c r="AS197" s="22">
        <f>IF('Growth (no penalty)'!AR209&gt;0,1,IF('Growth (no penalty)'!AR312&gt;0,4,0))</f>
        <v>4</v>
      </c>
      <c r="AT197" s="22">
        <f>IF('Growth (no penalty)'!AS209&gt;0,1,IF('Growth (no penalty)'!AS312&gt;0,4,0))</f>
        <v>4</v>
      </c>
      <c r="AU197" s="22">
        <f>IF('Growth (no penalty)'!AT209&gt;0,1,IF('Growth (no penalty)'!AT312&gt;0,4,0))</f>
        <v>4</v>
      </c>
      <c r="AV197" s="22">
        <f>IF('Growth (no penalty)'!AU209&gt;0,1,IF('Growth (no penalty)'!AU312&gt;0,4,0))</f>
        <v>4</v>
      </c>
      <c r="AW197" s="22">
        <f>IF('Growth (no penalty)'!AV209&gt;0,1,IF('Growth (no penalty)'!AV312&gt;0,4,0))</f>
        <v>4</v>
      </c>
      <c r="AX197" s="22">
        <f>IF('Growth (no penalty)'!AW209&gt;0,1,IF('Growth (no penalty)'!AW312&gt;0,4,0))</f>
        <v>4</v>
      </c>
      <c r="AY197" s="22">
        <f>IF('Growth (no penalty)'!AX209&gt;0,1,IF('Growth (no penalty)'!AX312&gt;0,4,0))</f>
        <v>4</v>
      </c>
      <c r="AZ197" s="22">
        <f>IF('Growth (no penalty)'!AY209&gt;0,1,IF('Growth (no penalty)'!AY312&gt;0,4,0))</f>
        <v>4</v>
      </c>
      <c r="BA197" s="22">
        <f>IF('Growth (no penalty)'!AZ209&gt;0,1,IF('Growth (no penalty)'!AZ312&gt;0,4,0))</f>
        <v>4</v>
      </c>
      <c r="BB197" s="22">
        <f>IF('Growth (no penalty)'!BA209&gt;0,1,IF('Growth (no penalty)'!BA312&gt;0,4,0))</f>
        <v>4</v>
      </c>
      <c r="BC197" s="22">
        <f>IF('Growth (no penalty)'!BB209&gt;0,1,IF('Growth (no penalty)'!BB312&gt;0,4,0))</f>
        <v>4</v>
      </c>
      <c r="BD197" s="22">
        <f>IF('Growth (no penalty)'!BC209&gt;0,1,IF('Growth (no penalty)'!BC312&gt;0,4,0))</f>
        <v>4</v>
      </c>
      <c r="BE197" s="22">
        <f>IF('Growth (no penalty)'!BD209&gt;0,1,IF('Growth (no penalty)'!BD312&gt;0,4,0))</f>
        <v>4</v>
      </c>
      <c r="BF197" s="22">
        <f>IF('Growth (no penalty)'!BE209&gt;0,1,IF('Growth (no penalty)'!BE312&gt;0,4,0))</f>
        <v>4</v>
      </c>
      <c r="BG197" s="22">
        <f>IF('Growth (no penalty)'!BF209&gt;0,1,IF('Growth (no penalty)'!BF312&gt;0,4,0))</f>
        <v>4</v>
      </c>
      <c r="BH197" s="22">
        <f>IF('Growth (no penalty)'!BG209&gt;0,1,IF('Growth (no penalty)'!BG312&gt;0,4,0))</f>
        <v>4</v>
      </c>
      <c r="BI197" s="22">
        <f>IF('Growth (no penalty)'!BH209&gt;0,1,IF('Growth (no penalty)'!BH312&gt;0,4,0))</f>
        <v>4</v>
      </c>
      <c r="BJ197" s="22">
        <f>IF('Growth (no penalty)'!BI209&gt;0,1,IF('Growth (no penalty)'!BI312&gt;0,4,0))</f>
        <v>4</v>
      </c>
      <c r="BK197" s="23">
        <f>IF('Growth (no penalty)'!BJ209&gt;0,1,IF('Growth (no penalty)'!BJ312&gt;0,4,0))</f>
        <v>4</v>
      </c>
    </row>
    <row r="198" spans="1:63" x14ac:dyDescent="0.3">
      <c r="A198" s="4" t="str">
        <f>'Growth profile'!A26</f>
        <v>project 7</v>
      </c>
      <c r="B198" s="13" t="s">
        <v>3</v>
      </c>
      <c r="C198" s="19">
        <f>'Raw profile'!I26</f>
        <v>2037</v>
      </c>
      <c r="D198" s="20">
        <f>IF('Raw profile'!C134&gt;0,1,IF('Raw profile'!C237&gt;0,2,0))</f>
        <v>0</v>
      </c>
      <c r="E198" s="20">
        <f>IF('Raw profile'!D134&gt;0,1,IF('Raw profile'!D237&gt;0,2,0))</f>
        <v>0</v>
      </c>
      <c r="F198" s="20">
        <f>IF('Raw profile'!E134&gt;0,1,IF('Raw profile'!E237&gt;0,2,0))</f>
        <v>0</v>
      </c>
      <c r="G198" s="20">
        <f>IF('Raw profile'!F134&gt;0,1,IF('Raw profile'!F237&gt;0,2,0))</f>
        <v>0</v>
      </c>
      <c r="H198" s="20">
        <f>IF('Raw profile'!G134&gt;0,1,IF('Raw profile'!G237&gt;0,2,0))</f>
        <v>0</v>
      </c>
      <c r="I198" s="20">
        <f>IF('Raw profile'!H134&gt;0,1,IF('Raw profile'!H237&gt;0,2,0))</f>
        <v>0</v>
      </c>
      <c r="J198" s="20">
        <f>IF('Raw profile'!I134&gt;0,1,IF('Raw profile'!I237&gt;0,2,0))</f>
        <v>0</v>
      </c>
      <c r="K198" s="20">
        <f>IF('Raw profile'!J134&gt;0,1,IF('Raw profile'!J237&gt;0,2,0))</f>
        <v>0</v>
      </c>
      <c r="L198" s="20">
        <f>IF('Raw profile'!K134&gt;0,1,IF('Raw profile'!K237&gt;0,2,0))</f>
        <v>0</v>
      </c>
      <c r="M198" s="20">
        <f>IF('Raw profile'!L134&gt;0,1,IF('Raw profile'!L237&gt;0,2,0))</f>
        <v>0</v>
      </c>
      <c r="N198" s="20">
        <f>IF('Raw profile'!M134&gt;0,1,IF('Raw profile'!M237&gt;0,2,0))</f>
        <v>0</v>
      </c>
      <c r="O198" s="20">
        <f>IF('Raw profile'!N134&gt;0,1,IF('Raw profile'!N237&gt;0,2,0))</f>
        <v>1</v>
      </c>
      <c r="P198" s="20">
        <f>IF('Raw profile'!O134&gt;0,1,IF('Raw profile'!O237&gt;0,2,0))</f>
        <v>2</v>
      </c>
      <c r="Q198" s="20">
        <f>IF('Raw profile'!P134&gt;0,1,IF('Raw profile'!P237&gt;0,2,0))</f>
        <v>2</v>
      </c>
      <c r="R198" s="20">
        <f>IF('Raw profile'!Q134&gt;0,1,IF('Raw profile'!Q237&gt;0,2,0))</f>
        <v>2</v>
      </c>
      <c r="S198" s="20">
        <f>IF('Raw profile'!R134&gt;0,1,IF('Raw profile'!R237&gt;0,2,0))</f>
        <v>2</v>
      </c>
      <c r="T198" s="20">
        <f>IF('Raw profile'!S134&gt;0,1,IF('Raw profile'!S237&gt;0,2,0))</f>
        <v>2</v>
      </c>
      <c r="U198" s="20">
        <f>IF('Raw profile'!T134&gt;0,1,IF('Raw profile'!T237&gt;0,2,0))</f>
        <v>2</v>
      </c>
      <c r="V198" s="20">
        <f>IF('Raw profile'!U134&gt;0,1,IF('Raw profile'!U237&gt;0,2,0))</f>
        <v>2</v>
      </c>
      <c r="W198" s="20">
        <f>IF('Raw profile'!V134&gt;0,1,IF('Raw profile'!V237&gt;0,2,0))</f>
        <v>2</v>
      </c>
      <c r="X198" s="20">
        <f>IF('Raw profile'!W134&gt;0,1,IF('Raw profile'!W237&gt;0,2,0))</f>
        <v>2</v>
      </c>
      <c r="Y198" s="20">
        <f>IF('Raw profile'!X134&gt;0,1,IF('Raw profile'!X237&gt;0,2,0))</f>
        <v>2</v>
      </c>
      <c r="Z198" s="20">
        <f>IF('Raw profile'!Y134&gt;0,1,IF('Raw profile'!Y237&gt;0,2,0))</f>
        <v>2</v>
      </c>
      <c r="AA198" s="20">
        <f>IF('Raw profile'!Z134&gt;0,1,IF('Raw profile'!Z237&gt;0,2,0))</f>
        <v>2</v>
      </c>
      <c r="AB198" s="20">
        <f>IF('Raw profile'!AA134&gt;0,1,IF('Raw profile'!AA237&gt;0,2,0))</f>
        <v>2</v>
      </c>
      <c r="AC198" s="20">
        <f>IF('Raw profile'!AB134&gt;0,1,IF('Raw profile'!AB237&gt;0,2,0))</f>
        <v>2</v>
      </c>
      <c r="AD198" s="20">
        <f>IF('Raw profile'!AC134&gt;0,1,IF('Raw profile'!AC237&gt;0,2,0))</f>
        <v>2</v>
      </c>
      <c r="AE198" s="20">
        <f>IF('Raw profile'!AD134&gt;0,1,IF('Raw profile'!AD237&gt;0,2,0))</f>
        <v>2</v>
      </c>
      <c r="AF198" s="20">
        <f>IF('Raw profile'!AE134&gt;0,1,IF('Raw profile'!AE237&gt;0,2,0))</f>
        <v>2</v>
      </c>
      <c r="AG198" s="20">
        <f>IF('Raw profile'!AF134&gt;0,1,IF('Raw profile'!AF237&gt;0,2,0))</f>
        <v>2</v>
      </c>
      <c r="AH198" s="20">
        <f>IF('Raw profile'!AG134&gt;0,1,IF('Raw profile'!AG237&gt;0,2,0))</f>
        <v>2</v>
      </c>
      <c r="AI198" s="20">
        <f>IF('Raw profile'!AH134&gt;0,1,IF('Raw profile'!AH237&gt;0,2,0))</f>
        <v>2</v>
      </c>
      <c r="AJ198" s="20">
        <f>IF('Raw profile'!AI134&gt;0,1,IF('Raw profile'!AI237&gt;0,2,0))</f>
        <v>2</v>
      </c>
      <c r="AK198" s="20">
        <f>IF('Raw profile'!AJ134&gt;0,1,IF('Raw profile'!AJ237&gt;0,2,0))</f>
        <v>2</v>
      </c>
      <c r="AL198" s="20">
        <f>IF('Raw profile'!AK134&gt;0,1,IF('Raw profile'!AK237&gt;0,2,0))</f>
        <v>2</v>
      </c>
      <c r="AM198" s="20">
        <f>IF('Raw profile'!AL134&gt;0,1,IF('Raw profile'!AL237&gt;0,2,0))</f>
        <v>2</v>
      </c>
      <c r="AN198" s="20">
        <f>IF('Raw profile'!AM134&gt;0,1,IF('Raw profile'!AM237&gt;0,2,0))</f>
        <v>2</v>
      </c>
      <c r="AO198" s="20">
        <f>IF('Raw profile'!AN134&gt;0,1,IF('Raw profile'!AN237&gt;0,2,0))</f>
        <v>2</v>
      </c>
      <c r="AP198" s="20">
        <f>IF('Raw profile'!AO134&gt;0,1,IF('Raw profile'!AO237&gt;0,2,0))</f>
        <v>2</v>
      </c>
      <c r="AQ198" s="20">
        <f>IF('Raw profile'!AP134&gt;0,1,IF('Raw profile'!AP237&gt;0,2,0))</f>
        <v>2</v>
      </c>
      <c r="AR198" s="20">
        <f>IF('Raw profile'!AQ134&gt;0,1,IF('Raw profile'!AQ237&gt;0,2,0))</f>
        <v>2</v>
      </c>
      <c r="AS198" s="20">
        <f>IF('Raw profile'!AR134&gt;0,1,IF('Raw profile'!AR237&gt;0,2,0))</f>
        <v>2</v>
      </c>
      <c r="AT198" s="20">
        <f>IF('Raw profile'!AS134&gt;0,1,IF('Raw profile'!AS237&gt;0,2,0))</f>
        <v>2</v>
      </c>
      <c r="AU198" s="20">
        <f>IF('Raw profile'!AT134&gt;0,1,IF('Raw profile'!AT237&gt;0,2,0))</f>
        <v>2</v>
      </c>
      <c r="AV198" s="20">
        <f>IF('Raw profile'!AU134&gt;0,1,IF('Raw profile'!AU237&gt;0,2,0))</f>
        <v>2</v>
      </c>
      <c r="AW198" s="20">
        <f>IF('Raw profile'!AV134&gt;0,1,IF('Raw profile'!AV237&gt;0,2,0))</f>
        <v>2</v>
      </c>
      <c r="AX198" s="20">
        <f>IF('Raw profile'!AW134&gt;0,1,IF('Raw profile'!AW237&gt;0,2,0))</f>
        <v>2</v>
      </c>
      <c r="AY198" s="20">
        <f>IF('Raw profile'!AX134&gt;0,1,IF('Raw profile'!AX237&gt;0,2,0))</f>
        <v>2</v>
      </c>
      <c r="AZ198" s="20">
        <f>IF('Raw profile'!AY134&gt;0,1,IF('Raw profile'!AY237&gt;0,2,0))</f>
        <v>2</v>
      </c>
      <c r="BA198" s="20">
        <f>IF('Raw profile'!AZ134&gt;0,1,IF('Raw profile'!AZ237&gt;0,2,0))</f>
        <v>2</v>
      </c>
      <c r="BB198" s="20">
        <f>IF('Raw profile'!BA134&gt;0,1,IF('Raw profile'!BA237&gt;0,2,0))</f>
        <v>2</v>
      </c>
      <c r="BC198" s="20">
        <f>IF('Raw profile'!BB134&gt;0,1,IF('Raw profile'!BB237&gt;0,2,0))</f>
        <v>2</v>
      </c>
      <c r="BD198" s="20">
        <f>IF('Raw profile'!BC134&gt;0,1,IF('Raw profile'!BC237&gt;0,2,0))</f>
        <v>0</v>
      </c>
      <c r="BE198" s="20">
        <f>IF('Raw profile'!BD134&gt;0,1,IF('Raw profile'!BD237&gt;0,2,0))</f>
        <v>0</v>
      </c>
      <c r="BF198" s="20">
        <f>IF('Raw profile'!BE134&gt;0,1,IF('Raw profile'!BE237&gt;0,2,0))</f>
        <v>0</v>
      </c>
      <c r="BG198" s="20">
        <f>IF('Raw profile'!BF134&gt;0,1,IF('Raw profile'!BF237&gt;0,2,0))</f>
        <v>0</v>
      </c>
      <c r="BH198" s="20">
        <f>IF('Raw profile'!BG134&gt;0,1,IF('Raw profile'!BG237&gt;0,2,0))</f>
        <v>0</v>
      </c>
      <c r="BI198" s="20">
        <f>IF('Raw profile'!BH134&gt;0,1,IF('Raw profile'!BH237&gt;0,2,0))</f>
        <v>0</v>
      </c>
      <c r="BJ198" s="20">
        <f>IF('Raw profile'!BI134&gt;0,1,IF('Raw profile'!BI237&gt;0,2,0))</f>
        <v>0</v>
      </c>
      <c r="BK198" s="21">
        <f>IF('Raw profile'!BJ134&gt;0,1,IF('Raw profile'!BJ237&gt;0,2,0))</f>
        <v>0</v>
      </c>
    </row>
    <row r="199" spans="1:63" x14ac:dyDescent="0.3">
      <c r="B199" s="13" t="s">
        <v>4</v>
      </c>
      <c r="C199" s="19">
        <f>'Growth profile'!I26</f>
        <v>2038</v>
      </c>
      <c r="D199" s="20">
        <f>IF('Growth profile'!C134&gt;0,1,IF('Growth profile'!C237&gt;0,3,0))</f>
        <v>0</v>
      </c>
      <c r="E199" s="20">
        <f>IF('Growth profile'!D134&gt;0,1,IF('Growth profile'!D237&gt;0,3,0))</f>
        <v>0</v>
      </c>
      <c r="F199" s="20">
        <f>IF('Growth profile'!E134&gt;0,1,IF('Growth profile'!E237&gt;0,3,0))</f>
        <v>0</v>
      </c>
      <c r="G199" s="20">
        <f>IF('Growth profile'!F134&gt;0,1,IF('Growth profile'!F237&gt;0,3,0))</f>
        <v>0</v>
      </c>
      <c r="H199" s="20">
        <f>IF('Growth profile'!G134&gt;0,1,IF('Growth profile'!G237&gt;0,3,0))</f>
        <v>0</v>
      </c>
      <c r="I199" s="20">
        <f>IF('Growth profile'!H134&gt;0,1,IF('Growth profile'!H237&gt;0,3,0))</f>
        <v>0</v>
      </c>
      <c r="J199" s="20">
        <f>IF('Growth profile'!I134&gt;0,1,IF('Growth profile'!I237&gt;0,3,0))</f>
        <v>0</v>
      </c>
      <c r="K199" s="20">
        <f>IF('Growth profile'!J134&gt;0,1,IF('Growth profile'!J237&gt;0,3,0))</f>
        <v>0</v>
      </c>
      <c r="L199" s="20">
        <f>IF('Growth profile'!K134&gt;0,1,IF('Growth profile'!K237&gt;0,3,0))</f>
        <v>0</v>
      </c>
      <c r="M199" s="20">
        <f>IF('Growth profile'!L134&gt;0,1,IF('Growth profile'!L237&gt;0,3,0))</f>
        <v>0</v>
      </c>
      <c r="N199" s="20">
        <f>IF('Growth profile'!M134&gt;0,1,IF('Growth profile'!M237&gt;0,3,0))</f>
        <v>0</v>
      </c>
      <c r="O199" s="20">
        <f>IF('Growth profile'!N134&gt;0,1,IF('Growth profile'!N237&gt;0,3,0))</f>
        <v>0</v>
      </c>
      <c r="P199" s="20">
        <f>IF('Growth profile'!O134&gt;0,1,IF('Growth profile'!O237&gt;0,3,0))</f>
        <v>1</v>
      </c>
      <c r="Q199" s="20">
        <f>IF('Growth profile'!P134&gt;0,1,IF('Growth profile'!P237&gt;0,3,0))</f>
        <v>3</v>
      </c>
      <c r="R199" s="20">
        <f>IF('Growth profile'!Q134&gt;0,1,IF('Growth profile'!Q237&gt;0,3,0))</f>
        <v>3</v>
      </c>
      <c r="S199" s="20">
        <f>IF('Growth profile'!R134&gt;0,1,IF('Growth profile'!R237&gt;0,3,0))</f>
        <v>3</v>
      </c>
      <c r="T199" s="20">
        <f>IF('Growth profile'!S134&gt;0,1,IF('Growth profile'!S237&gt;0,3,0))</f>
        <v>3</v>
      </c>
      <c r="U199" s="20">
        <f>IF('Growth profile'!T134&gt;0,1,IF('Growth profile'!T237&gt;0,3,0))</f>
        <v>3</v>
      </c>
      <c r="V199" s="20">
        <f>IF('Growth profile'!U134&gt;0,1,IF('Growth profile'!U237&gt;0,3,0))</f>
        <v>3</v>
      </c>
      <c r="W199" s="20">
        <f>IF('Growth profile'!V134&gt;0,1,IF('Growth profile'!V237&gt;0,3,0))</f>
        <v>3</v>
      </c>
      <c r="X199" s="20">
        <f>IF('Growth profile'!W134&gt;0,1,IF('Growth profile'!W237&gt;0,3,0))</f>
        <v>3</v>
      </c>
      <c r="Y199" s="20">
        <f>IF('Growth profile'!X134&gt;0,1,IF('Growth profile'!X237&gt;0,3,0))</f>
        <v>3</v>
      </c>
      <c r="Z199" s="20">
        <f>IF('Growth profile'!Y134&gt;0,1,IF('Growth profile'!Y237&gt;0,3,0))</f>
        <v>3</v>
      </c>
      <c r="AA199" s="20">
        <f>IF('Growth profile'!Z134&gt;0,1,IF('Growth profile'!Z237&gt;0,3,0))</f>
        <v>3</v>
      </c>
      <c r="AB199" s="20">
        <f>IF('Growth profile'!AA134&gt;0,1,IF('Growth profile'!AA237&gt;0,3,0))</f>
        <v>3</v>
      </c>
      <c r="AC199" s="20">
        <f>IF('Growth profile'!AB134&gt;0,1,IF('Growth profile'!AB237&gt;0,3,0))</f>
        <v>3</v>
      </c>
      <c r="AD199" s="20">
        <f>IF('Growth profile'!AC134&gt;0,1,IF('Growth profile'!AC237&gt;0,3,0))</f>
        <v>3</v>
      </c>
      <c r="AE199" s="20">
        <f>IF('Growth profile'!AD134&gt;0,1,IF('Growth profile'!AD237&gt;0,3,0))</f>
        <v>3</v>
      </c>
      <c r="AF199" s="20">
        <f>IF('Growth profile'!AE134&gt;0,1,IF('Growth profile'!AE237&gt;0,3,0))</f>
        <v>3</v>
      </c>
      <c r="AG199" s="20">
        <f>IF('Growth profile'!AF134&gt;0,1,IF('Growth profile'!AF237&gt;0,3,0))</f>
        <v>3</v>
      </c>
      <c r="AH199" s="20">
        <f>IF('Growth profile'!AG134&gt;0,1,IF('Growth profile'!AG237&gt;0,3,0))</f>
        <v>3</v>
      </c>
      <c r="AI199" s="20">
        <f>IF('Growth profile'!AH134&gt;0,1,IF('Growth profile'!AH237&gt;0,3,0))</f>
        <v>3</v>
      </c>
      <c r="AJ199" s="20">
        <f>IF('Growth profile'!AI134&gt;0,1,IF('Growth profile'!AI237&gt;0,3,0))</f>
        <v>3</v>
      </c>
      <c r="AK199" s="20">
        <f>IF('Growth profile'!AJ134&gt;0,1,IF('Growth profile'!AJ237&gt;0,3,0))</f>
        <v>3</v>
      </c>
      <c r="AL199" s="20">
        <f>IF('Growth profile'!AK134&gt;0,1,IF('Growth profile'!AK237&gt;0,3,0))</f>
        <v>3</v>
      </c>
      <c r="AM199" s="20">
        <f>IF('Growth profile'!AL134&gt;0,1,IF('Growth profile'!AL237&gt;0,3,0))</f>
        <v>3</v>
      </c>
      <c r="AN199" s="20">
        <f>IF('Growth profile'!AM134&gt;0,1,IF('Growth profile'!AM237&gt;0,3,0))</f>
        <v>3</v>
      </c>
      <c r="AO199" s="20">
        <f>IF('Growth profile'!AN134&gt;0,1,IF('Growth profile'!AN237&gt;0,3,0))</f>
        <v>3</v>
      </c>
      <c r="AP199" s="20">
        <f>IF('Growth profile'!AO134&gt;0,1,IF('Growth profile'!AO237&gt;0,3,0))</f>
        <v>3</v>
      </c>
      <c r="AQ199" s="20">
        <f>IF('Growth profile'!AP134&gt;0,1,IF('Growth profile'!AP237&gt;0,3,0))</f>
        <v>3</v>
      </c>
      <c r="AR199" s="20">
        <f>IF('Growth profile'!AQ134&gt;0,1,IF('Growth profile'!AQ237&gt;0,3,0))</f>
        <v>3</v>
      </c>
      <c r="AS199" s="20">
        <f>IF('Growth profile'!AR134&gt;0,1,IF('Growth profile'!AR237&gt;0,3,0))</f>
        <v>3</v>
      </c>
      <c r="AT199" s="20">
        <f>IF('Growth profile'!AS134&gt;0,1,IF('Growth profile'!AS237&gt;0,3,0))</f>
        <v>3</v>
      </c>
      <c r="AU199" s="20">
        <f>IF('Growth profile'!AT134&gt;0,1,IF('Growth profile'!AT237&gt;0,3,0))</f>
        <v>3</v>
      </c>
      <c r="AV199" s="20">
        <f>IF('Growth profile'!AU134&gt;0,1,IF('Growth profile'!AU237&gt;0,3,0))</f>
        <v>3</v>
      </c>
      <c r="AW199" s="20">
        <f>IF('Growth profile'!AV134&gt;0,1,IF('Growth profile'!AV237&gt;0,3,0))</f>
        <v>3</v>
      </c>
      <c r="AX199" s="20">
        <f>IF('Growth profile'!AW134&gt;0,1,IF('Growth profile'!AW237&gt;0,3,0))</f>
        <v>3</v>
      </c>
      <c r="AY199" s="20">
        <f>IF('Growth profile'!AX134&gt;0,1,IF('Growth profile'!AX237&gt;0,3,0))</f>
        <v>3</v>
      </c>
      <c r="AZ199" s="20">
        <f>IF('Growth profile'!AY134&gt;0,1,IF('Growth profile'!AY237&gt;0,3,0))</f>
        <v>3</v>
      </c>
      <c r="BA199" s="20">
        <f>IF('Growth profile'!AZ134&gt;0,1,IF('Growth profile'!AZ237&gt;0,3,0))</f>
        <v>3</v>
      </c>
      <c r="BB199" s="20">
        <f>IF('Growth profile'!BA134&gt;0,1,IF('Growth profile'!BA237&gt;0,3,0))</f>
        <v>3</v>
      </c>
      <c r="BC199" s="20">
        <f>IF('Growth profile'!BB134&gt;0,1,IF('Growth profile'!BB237&gt;0,3,0))</f>
        <v>3</v>
      </c>
      <c r="BD199" s="20">
        <f>IF('Growth profile'!BC134&gt;0,1,IF('Growth profile'!BC237&gt;0,3,0))</f>
        <v>3</v>
      </c>
      <c r="BE199" s="20">
        <f>IF('Growth profile'!BD134&gt;0,1,IF('Growth profile'!BD237&gt;0,3,0))</f>
        <v>0</v>
      </c>
      <c r="BF199" s="20">
        <f>IF('Growth profile'!BE134&gt;0,1,IF('Growth profile'!BE237&gt;0,3,0))</f>
        <v>0</v>
      </c>
      <c r="BG199" s="20">
        <f>IF('Growth profile'!BF134&gt;0,1,IF('Growth profile'!BF237&gt;0,3,0))</f>
        <v>0</v>
      </c>
      <c r="BH199" s="20">
        <f>IF('Growth profile'!BG134&gt;0,1,IF('Growth profile'!BG237&gt;0,3,0))</f>
        <v>0</v>
      </c>
      <c r="BI199" s="20">
        <f>IF('Growth profile'!BH134&gt;0,1,IF('Growth profile'!BH237&gt;0,3,0))</f>
        <v>0</v>
      </c>
      <c r="BJ199" s="20">
        <f>IF('Growth profile'!BI134&gt;0,1,IF('Growth profile'!BI237&gt;0,3,0))</f>
        <v>0</v>
      </c>
      <c r="BK199" s="21">
        <f>IF('Growth profile'!BJ134&gt;0,1,IF('Growth profile'!BJ237&gt;0,3,0))</f>
        <v>0</v>
      </c>
    </row>
    <row r="200" spans="1:63" x14ac:dyDescent="0.3">
      <c r="B200" s="13" t="s">
        <v>59</v>
      </c>
      <c r="C200" s="19">
        <f>'Growth (no penalty)'!I26</f>
        <v>2045</v>
      </c>
      <c r="D200" s="22">
        <f>IF('Growth (no penalty)'!C134&gt;0,1,IF('Growth (no penalty)'!C237&gt;0,4,0))</f>
        <v>0</v>
      </c>
      <c r="E200" s="22">
        <f>IF('Growth (no penalty)'!D134&gt;0,1,IF('Growth (no penalty)'!D237&gt;0,4,0))</f>
        <v>0</v>
      </c>
      <c r="F200" s="22">
        <f>IF('Growth (no penalty)'!E134&gt;0,1,IF('Growth (no penalty)'!E237&gt;0,4,0))</f>
        <v>0</v>
      </c>
      <c r="G200" s="22">
        <f>IF('Growth (no penalty)'!F134&gt;0,1,IF('Growth (no penalty)'!F237&gt;0,4,0))</f>
        <v>0</v>
      </c>
      <c r="H200" s="22">
        <f>IF('Growth (no penalty)'!G134&gt;0,1,IF('Growth (no penalty)'!G237&gt;0,4,0))</f>
        <v>0</v>
      </c>
      <c r="I200" s="22">
        <f>IF('Growth (no penalty)'!H134&gt;0,1,IF('Growth (no penalty)'!H237&gt;0,4,0))</f>
        <v>0</v>
      </c>
      <c r="J200" s="22">
        <f>IF('Growth (no penalty)'!I134&gt;0,1,IF('Growth (no penalty)'!I237&gt;0,4,0))</f>
        <v>0</v>
      </c>
      <c r="K200" s="22">
        <f>IF('Growth (no penalty)'!J134&gt;0,1,IF('Growth (no penalty)'!J237&gt;0,4,0))</f>
        <v>0</v>
      </c>
      <c r="L200" s="22">
        <f>IF('Growth (no penalty)'!K134&gt;0,1,IF('Growth (no penalty)'!K237&gt;0,4,0))</f>
        <v>0</v>
      </c>
      <c r="M200" s="22">
        <f>IF('Growth (no penalty)'!L134&gt;0,1,IF('Growth (no penalty)'!L237&gt;0,4,0))</f>
        <v>0</v>
      </c>
      <c r="N200" s="22">
        <f>IF('Growth (no penalty)'!M134&gt;0,1,IF('Growth (no penalty)'!M237&gt;0,4,0))</f>
        <v>0</v>
      </c>
      <c r="O200" s="22">
        <f>IF('Growth (no penalty)'!N134&gt;0,1,IF('Growth (no penalty)'!N237&gt;0,4,0))</f>
        <v>0</v>
      </c>
      <c r="P200" s="22">
        <f>IF('Growth (no penalty)'!O134&gt;0,1,IF('Growth (no penalty)'!O237&gt;0,4,0))</f>
        <v>0</v>
      </c>
      <c r="Q200" s="22">
        <f>IF('Growth (no penalty)'!P134&gt;0,1,IF('Growth (no penalty)'!P237&gt;0,4,0))</f>
        <v>0</v>
      </c>
      <c r="R200" s="22">
        <f>IF('Growth (no penalty)'!Q134&gt;0,1,IF('Growth (no penalty)'!Q237&gt;0,4,0))</f>
        <v>0</v>
      </c>
      <c r="S200" s="22">
        <f>IF('Growth (no penalty)'!R134&gt;0,1,IF('Growth (no penalty)'!R237&gt;0,4,0))</f>
        <v>0</v>
      </c>
      <c r="T200" s="22">
        <f>IF('Growth (no penalty)'!S134&gt;0,1,IF('Growth (no penalty)'!S237&gt;0,4,0))</f>
        <v>0</v>
      </c>
      <c r="U200" s="22">
        <f>IF('Growth (no penalty)'!T134&gt;0,1,IF('Growth (no penalty)'!T237&gt;0,4,0))</f>
        <v>0</v>
      </c>
      <c r="V200" s="22">
        <f>IF('Growth (no penalty)'!U134&gt;0,1,IF('Growth (no penalty)'!U237&gt;0,4,0))</f>
        <v>0</v>
      </c>
      <c r="W200" s="22">
        <f>IF('Growth (no penalty)'!V134&gt;0,1,IF('Growth (no penalty)'!V237&gt;0,4,0))</f>
        <v>1</v>
      </c>
      <c r="X200" s="22">
        <f>IF('Growth (no penalty)'!W134&gt;0,1,IF('Growth (no penalty)'!W237&gt;0,4,0))</f>
        <v>4</v>
      </c>
      <c r="Y200" s="22">
        <f>IF('Growth (no penalty)'!X134&gt;0,1,IF('Growth (no penalty)'!X237&gt;0,4,0))</f>
        <v>4</v>
      </c>
      <c r="Z200" s="22">
        <f>IF('Growth (no penalty)'!Y134&gt;0,1,IF('Growth (no penalty)'!Y237&gt;0,4,0))</f>
        <v>4</v>
      </c>
      <c r="AA200" s="22">
        <f>IF('Growth (no penalty)'!Z134&gt;0,1,IF('Growth (no penalty)'!Z237&gt;0,4,0))</f>
        <v>4</v>
      </c>
      <c r="AB200" s="22">
        <f>IF('Growth (no penalty)'!AA134&gt;0,1,IF('Growth (no penalty)'!AA237&gt;0,4,0))</f>
        <v>4</v>
      </c>
      <c r="AC200" s="22">
        <f>IF('Growth (no penalty)'!AB134&gt;0,1,IF('Growth (no penalty)'!AB237&gt;0,4,0))</f>
        <v>4</v>
      </c>
      <c r="AD200" s="22">
        <f>IF('Growth (no penalty)'!AC134&gt;0,1,IF('Growth (no penalty)'!AC237&gt;0,4,0))</f>
        <v>4</v>
      </c>
      <c r="AE200" s="22">
        <f>IF('Growth (no penalty)'!AD134&gt;0,1,IF('Growth (no penalty)'!AD237&gt;0,4,0))</f>
        <v>4</v>
      </c>
      <c r="AF200" s="22">
        <f>IF('Growth (no penalty)'!AE134&gt;0,1,IF('Growth (no penalty)'!AE237&gt;0,4,0))</f>
        <v>4</v>
      </c>
      <c r="AG200" s="22">
        <f>IF('Growth (no penalty)'!AF134&gt;0,1,IF('Growth (no penalty)'!AF237&gt;0,4,0))</f>
        <v>4</v>
      </c>
      <c r="AH200" s="22">
        <f>IF('Growth (no penalty)'!AG134&gt;0,1,IF('Growth (no penalty)'!AG237&gt;0,4,0))</f>
        <v>4</v>
      </c>
      <c r="AI200" s="22">
        <f>IF('Growth (no penalty)'!AH134&gt;0,1,IF('Growth (no penalty)'!AH237&gt;0,4,0))</f>
        <v>4</v>
      </c>
      <c r="AJ200" s="22">
        <f>IF('Growth (no penalty)'!AI134&gt;0,1,IF('Growth (no penalty)'!AI237&gt;0,4,0))</f>
        <v>4</v>
      </c>
      <c r="AK200" s="22">
        <f>IF('Growth (no penalty)'!AJ134&gt;0,1,IF('Growth (no penalty)'!AJ237&gt;0,4,0))</f>
        <v>4</v>
      </c>
      <c r="AL200" s="22">
        <f>IF('Growth (no penalty)'!AK134&gt;0,1,IF('Growth (no penalty)'!AK237&gt;0,4,0))</f>
        <v>4</v>
      </c>
      <c r="AM200" s="22">
        <f>IF('Growth (no penalty)'!AL134&gt;0,1,IF('Growth (no penalty)'!AL237&gt;0,4,0))</f>
        <v>4</v>
      </c>
      <c r="AN200" s="22">
        <f>IF('Growth (no penalty)'!AM134&gt;0,1,IF('Growth (no penalty)'!AM237&gt;0,4,0))</f>
        <v>4</v>
      </c>
      <c r="AO200" s="22">
        <f>IF('Growth (no penalty)'!AN134&gt;0,1,IF('Growth (no penalty)'!AN237&gt;0,4,0))</f>
        <v>4</v>
      </c>
      <c r="AP200" s="22">
        <f>IF('Growth (no penalty)'!AO134&gt;0,1,IF('Growth (no penalty)'!AO237&gt;0,4,0))</f>
        <v>4</v>
      </c>
      <c r="AQ200" s="22">
        <f>IF('Growth (no penalty)'!AP134&gt;0,1,IF('Growth (no penalty)'!AP237&gt;0,4,0))</f>
        <v>4</v>
      </c>
      <c r="AR200" s="22">
        <f>IF('Growth (no penalty)'!AQ134&gt;0,1,IF('Growth (no penalty)'!AQ237&gt;0,4,0))</f>
        <v>4</v>
      </c>
      <c r="AS200" s="22">
        <f>IF('Growth (no penalty)'!AR134&gt;0,1,IF('Growth (no penalty)'!AR237&gt;0,4,0))</f>
        <v>4</v>
      </c>
      <c r="AT200" s="22">
        <f>IF('Growth (no penalty)'!AS134&gt;0,1,IF('Growth (no penalty)'!AS237&gt;0,4,0))</f>
        <v>4</v>
      </c>
      <c r="AU200" s="22">
        <f>IF('Growth (no penalty)'!AT134&gt;0,1,IF('Growth (no penalty)'!AT237&gt;0,4,0))</f>
        <v>4</v>
      </c>
      <c r="AV200" s="22">
        <f>IF('Growth (no penalty)'!AU134&gt;0,1,IF('Growth (no penalty)'!AU237&gt;0,4,0))</f>
        <v>4</v>
      </c>
      <c r="AW200" s="22">
        <f>IF('Growth (no penalty)'!AV134&gt;0,1,IF('Growth (no penalty)'!AV237&gt;0,4,0))</f>
        <v>4</v>
      </c>
      <c r="AX200" s="22">
        <f>IF('Growth (no penalty)'!AW134&gt;0,1,IF('Growth (no penalty)'!AW237&gt;0,4,0))</f>
        <v>4</v>
      </c>
      <c r="AY200" s="22">
        <f>IF('Growth (no penalty)'!AX134&gt;0,1,IF('Growth (no penalty)'!AX237&gt;0,4,0))</f>
        <v>4</v>
      </c>
      <c r="AZ200" s="22">
        <f>IF('Growth (no penalty)'!AY134&gt;0,1,IF('Growth (no penalty)'!AY237&gt;0,4,0))</f>
        <v>4</v>
      </c>
      <c r="BA200" s="22">
        <f>IF('Growth (no penalty)'!AZ134&gt;0,1,IF('Growth (no penalty)'!AZ237&gt;0,4,0))</f>
        <v>4</v>
      </c>
      <c r="BB200" s="22">
        <f>IF('Growth (no penalty)'!BA134&gt;0,1,IF('Growth (no penalty)'!BA237&gt;0,4,0))</f>
        <v>4</v>
      </c>
      <c r="BC200" s="22">
        <f>IF('Growth (no penalty)'!BB134&gt;0,1,IF('Growth (no penalty)'!BB237&gt;0,4,0))</f>
        <v>4</v>
      </c>
      <c r="BD200" s="22">
        <f>IF('Growth (no penalty)'!BC134&gt;0,1,IF('Growth (no penalty)'!BC237&gt;0,4,0))</f>
        <v>4</v>
      </c>
      <c r="BE200" s="22">
        <f>IF('Growth (no penalty)'!BD134&gt;0,1,IF('Growth (no penalty)'!BD237&gt;0,4,0))</f>
        <v>4</v>
      </c>
      <c r="BF200" s="22">
        <f>IF('Growth (no penalty)'!BE134&gt;0,1,IF('Growth (no penalty)'!BE237&gt;0,4,0))</f>
        <v>4</v>
      </c>
      <c r="BG200" s="22">
        <f>IF('Growth (no penalty)'!BF134&gt;0,1,IF('Growth (no penalty)'!BF237&gt;0,4,0))</f>
        <v>4</v>
      </c>
      <c r="BH200" s="22">
        <f>IF('Growth (no penalty)'!BG134&gt;0,1,IF('Growth (no penalty)'!BG237&gt;0,4,0))</f>
        <v>4</v>
      </c>
      <c r="BI200" s="22">
        <f>IF('Growth (no penalty)'!BH134&gt;0,1,IF('Growth (no penalty)'!BH237&gt;0,4,0))</f>
        <v>4</v>
      </c>
      <c r="BJ200" s="22">
        <f>IF('Growth (no penalty)'!BI134&gt;0,1,IF('Growth (no penalty)'!BI237&gt;0,4,0))</f>
        <v>4</v>
      </c>
      <c r="BK200" s="23">
        <f>IF('Growth (no penalty)'!BJ134&gt;0,1,IF('Growth (no penalty)'!BJ237&gt;0,4,0))</f>
        <v>4</v>
      </c>
    </row>
    <row r="201" spans="1:63" x14ac:dyDescent="0.3">
      <c r="A201" s="4" t="str">
        <f>'Growth profile'!A31</f>
        <v>project 19</v>
      </c>
      <c r="B201" s="13" t="s">
        <v>3</v>
      </c>
      <c r="C201" s="19">
        <f>'Raw profile'!I31</f>
        <v>2037</v>
      </c>
      <c r="D201" s="20">
        <f>IF('Raw profile'!C139&gt;0,1,IF('Raw profile'!C242&gt;0,2,0))</f>
        <v>0</v>
      </c>
      <c r="E201" s="20">
        <f>IF('Raw profile'!D139&gt;0,1,IF('Raw profile'!D242&gt;0,2,0))</f>
        <v>0</v>
      </c>
      <c r="F201" s="20">
        <f>IF('Raw profile'!E139&gt;0,1,IF('Raw profile'!E242&gt;0,2,0))</f>
        <v>0</v>
      </c>
      <c r="G201" s="20">
        <f>IF('Raw profile'!F139&gt;0,1,IF('Raw profile'!F242&gt;0,2,0))</f>
        <v>0</v>
      </c>
      <c r="H201" s="20">
        <f>IF('Raw profile'!G139&gt;0,1,IF('Raw profile'!G242&gt;0,2,0))</f>
        <v>0</v>
      </c>
      <c r="I201" s="20">
        <f>IF('Raw profile'!H139&gt;0,1,IF('Raw profile'!H242&gt;0,2,0))</f>
        <v>0</v>
      </c>
      <c r="J201" s="20">
        <f>IF('Raw profile'!I139&gt;0,1,IF('Raw profile'!I242&gt;0,2,0))</f>
        <v>0</v>
      </c>
      <c r="K201" s="20">
        <f>IF('Raw profile'!J139&gt;0,1,IF('Raw profile'!J242&gt;0,2,0))</f>
        <v>0</v>
      </c>
      <c r="L201" s="20">
        <f>IF('Raw profile'!K139&gt;0,1,IF('Raw profile'!K242&gt;0,2,0))</f>
        <v>0</v>
      </c>
      <c r="M201" s="20">
        <f>IF('Raw profile'!L139&gt;0,1,IF('Raw profile'!L242&gt;0,2,0))</f>
        <v>0</v>
      </c>
      <c r="N201" s="20">
        <f>IF('Raw profile'!M139&gt;0,1,IF('Raw profile'!M242&gt;0,2,0))</f>
        <v>0</v>
      </c>
      <c r="O201" s="20">
        <f>IF('Raw profile'!N139&gt;0,1,IF('Raw profile'!N242&gt;0,2,0))</f>
        <v>1</v>
      </c>
      <c r="P201" s="20">
        <f>IF('Raw profile'!O139&gt;0,1,IF('Raw profile'!O242&gt;0,2,0))</f>
        <v>2</v>
      </c>
      <c r="Q201" s="20">
        <f>IF('Raw profile'!P139&gt;0,1,IF('Raw profile'!P242&gt;0,2,0))</f>
        <v>2</v>
      </c>
      <c r="R201" s="20">
        <f>IF('Raw profile'!Q139&gt;0,1,IF('Raw profile'!Q242&gt;0,2,0))</f>
        <v>2</v>
      </c>
      <c r="S201" s="20">
        <f>IF('Raw profile'!R139&gt;0,1,IF('Raw profile'!R242&gt;0,2,0))</f>
        <v>2</v>
      </c>
      <c r="T201" s="20">
        <f>IF('Raw profile'!S139&gt;0,1,IF('Raw profile'!S242&gt;0,2,0))</f>
        <v>2</v>
      </c>
      <c r="U201" s="20">
        <f>IF('Raw profile'!T139&gt;0,1,IF('Raw profile'!T242&gt;0,2,0))</f>
        <v>2</v>
      </c>
      <c r="V201" s="20">
        <f>IF('Raw profile'!U139&gt;0,1,IF('Raw profile'!U242&gt;0,2,0))</f>
        <v>2</v>
      </c>
      <c r="W201" s="20">
        <f>IF('Raw profile'!V139&gt;0,1,IF('Raw profile'!V242&gt;0,2,0))</f>
        <v>2</v>
      </c>
      <c r="X201" s="20">
        <f>IF('Raw profile'!W139&gt;0,1,IF('Raw profile'!W242&gt;0,2,0))</f>
        <v>2</v>
      </c>
      <c r="Y201" s="20">
        <f>IF('Raw profile'!X139&gt;0,1,IF('Raw profile'!X242&gt;0,2,0))</f>
        <v>2</v>
      </c>
      <c r="Z201" s="20">
        <f>IF('Raw profile'!Y139&gt;0,1,IF('Raw profile'!Y242&gt;0,2,0))</f>
        <v>2</v>
      </c>
      <c r="AA201" s="20">
        <f>IF('Raw profile'!Z139&gt;0,1,IF('Raw profile'!Z242&gt;0,2,0))</f>
        <v>2</v>
      </c>
      <c r="AB201" s="20">
        <f>IF('Raw profile'!AA139&gt;0,1,IF('Raw profile'!AA242&gt;0,2,0))</f>
        <v>2</v>
      </c>
      <c r="AC201" s="20">
        <f>IF('Raw profile'!AB139&gt;0,1,IF('Raw profile'!AB242&gt;0,2,0))</f>
        <v>2</v>
      </c>
      <c r="AD201" s="20">
        <f>IF('Raw profile'!AC139&gt;0,1,IF('Raw profile'!AC242&gt;0,2,0))</f>
        <v>2</v>
      </c>
      <c r="AE201" s="20">
        <f>IF('Raw profile'!AD139&gt;0,1,IF('Raw profile'!AD242&gt;0,2,0))</f>
        <v>2</v>
      </c>
      <c r="AF201" s="20">
        <f>IF('Raw profile'!AE139&gt;0,1,IF('Raw profile'!AE242&gt;0,2,0))</f>
        <v>2</v>
      </c>
      <c r="AG201" s="20">
        <f>IF('Raw profile'!AF139&gt;0,1,IF('Raw profile'!AF242&gt;0,2,0))</f>
        <v>2</v>
      </c>
      <c r="AH201" s="20">
        <f>IF('Raw profile'!AG139&gt;0,1,IF('Raw profile'!AG242&gt;0,2,0))</f>
        <v>2</v>
      </c>
      <c r="AI201" s="20">
        <f>IF('Raw profile'!AH139&gt;0,1,IF('Raw profile'!AH242&gt;0,2,0))</f>
        <v>2</v>
      </c>
      <c r="AJ201" s="20">
        <f>IF('Raw profile'!AI139&gt;0,1,IF('Raw profile'!AI242&gt;0,2,0))</f>
        <v>2</v>
      </c>
      <c r="AK201" s="20">
        <f>IF('Raw profile'!AJ139&gt;0,1,IF('Raw profile'!AJ242&gt;0,2,0))</f>
        <v>2</v>
      </c>
      <c r="AL201" s="20">
        <f>IF('Raw profile'!AK139&gt;0,1,IF('Raw profile'!AK242&gt;0,2,0))</f>
        <v>2</v>
      </c>
      <c r="AM201" s="20">
        <f>IF('Raw profile'!AL139&gt;0,1,IF('Raw profile'!AL242&gt;0,2,0))</f>
        <v>2</v>
      </c>
      <c r="AN201" s="20">
        <f>IF('Raw profile'!AM139&gt;0,1,IF('Raw profile'!AM242&gt;0,2,0))</f>
        <v>2</v>
      </c>
      <c r="AO201" s="20">
        <f>IF('Raw profile'!AN139&gt;0,1,IF('Raw profile'!AN242&gt;0,2,0))</f>
        <v>2</v>
      </c>
      <c r="AP201" s="20">
        <f>IF('Raw profile'!AO139&gt;0,1,IF('Raw profile'!AO242&gt;0,2,0))</f>
        <v>2</v>
      </c>
      <c r="AQ201" s="20">
        <f>IF('Raw profile'!AP139&gt;0,1,IF('Raw profile'!AP242&gt;0,2,0))</f>
        <v>2</v>
      </c>
      <c r="AR201" s="20">
        <f>IF('Raw profile'!AQ139&gt;0,1,IF('Raw profile'!AQ242&gt;0,2,0))</f>
        <v>2</v>
      </c>
      <c r="AS201" s="20">
        <f>IF('Raw profile'!AR139&gt;0,1,IF('Raw profile'!AR242&gt;0,2,0))</f>
        <v>2</v>
      </c>
      <c r="AT201" s="20">
        <f>IF('Raw profile'!AS139&gt;0,1,IF('Raw profile'!AS242&gt;0,2,0))</f>
        <v>2</v>
      </c>
      <c r="AU201" s="20">
        <f>IF('Raw profile'!AT139&gt;0,1,IF('Raw profile'!AT242&gt;0,2,0))</f>
        <v>2</v>
      </c>
      <c r="AV201" s="20">
        <f>IF('Raw profile'!AU139&gt;0,1,IF('Raw profile'!AU242&gt;0,2,0))</f>
        <v>2</v>
      </c>
      <c r="AW201" s="20">
        <f>IF('Raw profile'!AV139&gt;0,1,IF('Raw profile'!AV242&gt;0,2,0))</f>
        <v>2</v>
      </c>
      <c r="AX201" s="20">
        <f>IF('Raw profile'!AW139&gt;0,1,IF('Raw profile'!AW242&gt;0,2,0))</f>
        <v>2</v>
      </c>
      <c r="AY201" s="20">
        <f>IF('Raw profile'!AX139&gt;0,1,IF('Raw profile'!AX242&gt;0,2,0))</f>
        <v>2</v>
      </c>
      <c r="AZ201" s="20">
        <f>IF('Raw profile'!AY139&gt;0,1,IF('Raw profile'!AY242&gt;0,2,0))</f>
        <v>2</v>
      </c>
      <c r="BA201" s="20">
        <f>IF('Raw profile'!AZ139&gt;0,1,IF('Raw profile'!AZ242&gt;0,2,0))</f>
        <v>2</v>
      </c>
      <c r="BB201" s="20">
        <f>IF('Raw profile'!BA139&gt;0,1,IF('Raw profile'!BA242&gt;0,2,0))</f>
        <v>2</v>
      </c>
      <c r="BC201" s="20">
        <f>IF('Raw profile'!BB139&gt;0,1,IF('Raw profile'!BB242&gt;0,2,0))</f>
        <v>2</v>
      </c>
      <c r="BD201" s="20">
        <f>IF('Raw profile'!BC139&gt;0,1,IF('Raw profile'!BC242&gt;0,2,0))</f>
        <v>0</v>
      </c>
      <c r="BE201" s="20">
        <f>IF('Raw profile'!BD139&gt;0,1,IF('Raw profile'!BD242&gt;0,2,0))</f>
        <v>0</v>
      </c>
      <c r="BF201" s="20">
        <f>IF('Raw profile'!BE139&gt;0,1,IF('Raw profile'!BE242&gt;0,2,0))</f>
        <v>0</v>
      </c>
      <c r="BG201" s="20">
        <f>IF('Raw profile'!BF139&gt;0,1,IF('Raw profile'!BF242&gt;0,2,0))</f>
        <v>0</v>
      </c>
      <c r="BH201" s="20">
        <f>IF('Raw profile'!BG139&gt;0,1,IF('Raw profile'!BG242&gt;0,2,0))</f>
        <v>0</v>
      </c>
      <c r="BI201" s="20">
        <f>IF('Raw profile'!BH139&gt;0,1,IF('Raw profile'!BH242&gt;0,2,0))</f>
        <v>0</v>
      </c>
      <c r="BJ201" s="20">
        <f>IF('Raw profile'!BI139&gt;0,1,IF('Raw profile'!BI242&gt;0,2,0))</f>
        <v>0</v>
      </c>
      <c r="BK201" s="21">
        <f>IF('Raw profile'!BJ139&gt;0,1,IF('Raw profile'!BJ242&gt;0,2,0))</f>
        <v>0</v>
      </c>
    </row>
    <row r="202" spans="1:63" x14ac:dyDescent="0.3">
      <c r="B202" s="13" t="s">
        <v>4</v>
      </c>
      <c r="C202" s="19">
        <f>'Growth profile'!I31</f>
        <v>2042</v>
      </c>
      <c r="D202" s="20">
        <f>IF('Growth profile'!C139&gt;0,1,IF('Growth profile'!C242&gt;0,3,0))</f>
        <v>0</v>
      </c>
      <c r="E202" s="20">
        <f>IF('Growth profile'!D139&gt;0,1,IF('Growth profile'!D242&gt;0,3,0))</f>
        <v>0</v>
      </c>
      <c r="F202" s="20">
        <f>IF('Growth profile'!E139&gt;0,1,IF('Growth profile'!E242&gt;0,3,0))</f>
        <v>0</v>
      </c>
      <c r="G202" s="20">
        <f>IF('Growth profile'!F139&gt;0,1,IF('Growth profile'!F242&gt;0,3,0))</f>
        <v>0</v>
      </c>
      <c r="H202" s="20">
        <f>IF('Growth profile'!G139&gt;0,1,IF('Growth profile'!G242&gt;0,3,0))</f>
        <v>0</v>
      </c>
      <c r="I202" s="20">
        <f>IF('Growth profile'!H139&gt;0,1,IF('Growth profile'!H242&gt;0,3,0))</f>
        <v>0</v>
      </c>
      <c r="J202" s="20">
        <f>IF('Growth profile'!I139&gt;0,1,IF('Growth profile'!I242&gt;0,3,0))</f>
        <v>0</v>
      </c>
      <c r="K202" s="20">
        <f>IF('Growth profile'!J139&gt;0,1,IF('Growth profile'!J242&gt;0,3,0))</f>
        <v>0</v>
      </c>
      <c r="L202" s="20">
        <f>IF('Growth profile'!K139&gt;0,1,IF('Growth profile'!K242&gt;0,3,0))</f>
        <v>0</v>
      </c>
      <c r="M202" s="20">
        <f>IF('Growth profile'!L139&gt;0,1,IF('Growth profile'!L242&gt;0,3,0))</f>
        <v>0</v>
      </c>
      <c r="N202" s="20">
        <f>IF('Growth profile'!M139&gt;0,1,IF('Growth profile'!M242&gt;0,3,0))</f>
        <v>0</v>
      </c>
      <c r="O202" s="20">
        <f>IF('Growth profile'!N139&gt;0,1,IF('Growth profile'!N242&gt;0,3,0))</f>
        <v>0</v>
      </c>
      <c r="P202" s="20">
        <f>IF('Growth profile'!O139&gt;0,1,IF('Growth profile'!O242&gt;0,3,0))</f>
        <v>0</v>
      </c>
      <c r="Q202" s="20">
        <f>IF('Growth profile'!P139&gt;0,1,IF('Growth profile'!P242&gt;0,3,0))</f>
        <v>0</v>
      </c>
      <c r="R202" s="20">
        <f>IF('Growth profile'!Q139&gt;0,1,IF('Growth profile'!Q242&gt;0,3,0))</f>
        <v>0</v>
      </c>
      <c r="S202" s="20">
        <f>IF('Growth profile'!R139&gt;0,1,IF('Growth profile'!R242&gt;0,3,0))</f>
        <v>0</v>
      </c>
      <c r="T202" s="20">
        <f>IF('Growth profile'!S139&gt;0,1,IF('Growth profile'!S242&gt;0,3,0))</f>
        <v>1</v>
      </c>
      <c r="U202" s="20">
        <f>IF('Growth profile'!T139&gt;0,1,IF('Growth profile'!T242&gt;0,3,0))</f>
        <v>3</v>
      </c>
      <c r="V202" s="20">
        <f>IF('Growth profile'!U139&gt;0,1,IF('Growth profile'!U242&gt;0,3,0))</f>
        <v>3</v>
      </c>
      <c r="W202" s="20">
        <f>IF('Growth profile'!V139&gt;0,1,IF('Growth profile'!V242&gt;0,3,0))</f>
        <v>3</v>
      </c>
      <c r="X202" s="20">
        <f>IF('Growth profile'!W139&gt;0,1,IF('Growth profile'!W242&gt;0,3,0))</f>
        <v>3</v>
      </c>
      <c r="Y202" s="20">
        <f>IF('Growth profile'!X139&gt;0,1,IF('Growth profile'!X242&gt;0,3,0))</f>
        <v>3</v>
      </c>
      <c r="Z202" s="20">
        <f>IF('Growth profile'!Y139&gt;0,1,IF('Growth profile'!Y242&gt;0,3,0))</f>
        <v>3</v>
      </c>
      <c r="AA202" s="20">
        <f>IF('Growth profile'!Z139&gt;0,1,IF('Growth profile'!Z242&gt;0,3,0))</f>
        <v>3</v>
      </c>
      <c r="AB202" s="20">
        <f>IF('Growth profile'!AA139&gt;0,1,IF('Growth profile'!AA242&gt;0,3,0))</f>
        <v>3</v>
      </c>
      <c r="AC202" s="20">
        <f>IF('Growth profile'!AB139&gt;0,1,IF('Growth profile'!AB242&gt;0,3,0))</f>
        <v>3</v>
      </c>
      <c r="AD202" s="20">
        <f>IF('Growth profile'!AC139&gt;0,1,IF('Growth profile'!AC242&gt;0,3,0))</f>
        <v>3</v>
      </c>
      <c r="AE202" s="20">
        <f>IF('Growth profile'!AD139&gt;0,1,IF('Growth profile'!AD242&gt;0,3,0))</f>
        <v>3</v>
      </c>
      <c r="AF202" s="20">
        <f>IF('Growth profile'!AE139&gt;0,1,IF('Growth profile'!AE242&gt;0,3,0))</f>
        <v>3</v>
      </c>
      <c r="AG202" s="20">
        <f>IF('Growth profile'!AF139&gt;0,1,IF('Growth profile'!AF242&gt;0,3,0))</f>
        <v>3</v>
      </c>
      <c r="AH202" s="20">
        <f>IF('Growth profile'!AG139&gt;0,1,IF('Growth profile'!AG242&gt;0,3,0))</f>
        <v>3</v>
      </c>
      <c r="AI202" s="20">
        <f>IF('Growth profile'!AH139&gt;0,1,IF('Growth profile'!AH242&gt;0,3,0))</f>
        <v>3</v>
      </c>
      <c r="AJ202" s="20">
        <f>IF('Growth profile'!AI139&gt;0,1,IF('Growth profile'!AI242&gt;0,3,0))</f>
        <v>3</v>
      </c>
      <c r="AK202" s="20">
        <f>IF('Growth profile'!AJ139&gt;0,1,IF('Growth profile'!AJ242&gt;0,3,0))</f>
        <v>3</v>
      </c>
      <c r="AL202" s="20">
        <f>IF('Growth profile'!AK139&gt;0,1,IF('Growth profile'!AK242&gt;0,3,0))</f>
        <v>3</v>
      </c>
      <c r="AM202" s="20">
        <f>IF('Growth profile'!AL139&gt;0,1,IF('Growth profile'!AL242&gt;0,3,0))</f>
        <v>3</v>
      </c>
      <c r="AN202" s="20">
        <f>IF('Growth profile'!AM139&gt;0,1,IF('Growth profile'!AM242&gt;0,3,0))</f>
        <v>3</v>
      </c>
      <c r="AO202" s="20">
        <f>IF('Growth profile'!AN139&gt;0,1,IF('Growth profile'!AN242&gt;0,3,0))</f>
        <v>3</v>
      </c>
      <c r="AP202" s="20">
        <f>IF('Growth profile'!AO139&gt;0,1,IF('Growth profile'!AO242&gt;0,3,0))</f>
        <v>3</v>
      </c>
      <c r="AQ202" s="20">
        <f>IF('Growth profile'!AP139&gt;0,1,IF('Growth profile'!AP242&gt;0,3,0))</f>
        <v>3</v>
      </c>
      <c r="AR202" s="20">
        <f>IF('Growth profile'!AQ139&gt;0,1,IF('Growth profile'!AQ242&gt;0,3,0))</f>
        <v>3</v>
      </c>
      <c r="AS202" s="20">
        <f>IF('Growth profile'!AR139&gt;0,1,IF('Growth profile'!AR242&gt;0,3,0))</f>
        <v>3</v>
      </c>
      <c r="AT202" s="20">
        <f>IF('Growth profile'!AS139&gt;0,1,IF('Growth profile'!AS242&gt;0,3,0))</f>
        <v>3</v>
      </c>
      <c r="AU202" s="20">
        <f>IF('Growth profile'!AT139&gt;0,1,IF('Growth profile'!AT242&gt;0,3,0))</f>
        <v>3</v>
      </c>
      <c r="AV202" s="20">
        <f>IF('Growth profile'!AU139&gt;0,1,IF('Growth profile'!AU242&gt;0,3,0))</f>
        <v>3</v>
      </c>
      <c r="AW202" s="20">
        <f>IF('Growth profile'!AV139&gt;0,1,IF('Growth profile'!AV242&gt;0,3,0))</f>
        <v>3</v>
      </c>
      <c r="AX202" s="20">
        <f>IF('Growth profile'!AW139&gt;0,1,IF('Growth profile'!AW242&gt;0,3,0))</f>
        <v>3</v>
      </c>
      <c r="AY202" s="20">
        <f>IF('Growth profile'!AX139&gt;0,1,IF('Growth profile'!AX242&gt;0,3,0))</f>
        <v>3</v>
      </c>
      <c r="AZ202" s="20">
        <f>IF('Growth profile'!AY139&gt;0,1,IF('Growth profile'!AY242&gt;0,3,0))</f>
        <v>3</v>
      </c>
      <c r="BA202" s="20">
        <f>IF('Growth profile'!AZ139&gt;0,1,IF('Growth profile'!AZ242&gt;0,3,0))</f>
        <v>3</v>
      </c>
      <c r="BB202" s="20">
        <f>IF('Growth profile'!BA139&gt;0,1,IF('Growth profile'!BA242&gt;0,3,0))</f>
        <v>3</v>
      </c>
      <c r="BC202" s="20">
        <f>IF('Growth profile'!BB139&gt;0,1,IF('Growth profile'!BB242&gt;0,3,0))</f>
        <v>3</v>
      </c>
      <c r="BD202" s="20">
        <f>IF('Growth profile'!BC139&gt;0,1,IF('Growth profile'!BC242&gt;0,3,0))</f>
        <v>3</v>
      </c>
      <c r="BE202" s="20">
        <f>IF('Growth profile'!BD139&gt;0,1,IF('Growth profile'!BD242&gt;0,3,0))</f>
        <v>3</v>
      </c>
      <c r="BF202" s="20">
        <f>IF('Growth profile'!BE139&gt;0,1,IF('Growth profile'!BE242&gt;0,3,0))</f>
        <v>3</v>
      </c>
      <c r="BG202" s="20">
        <f>IF('Growth profile'!BF139&gt;0,1,IF('Growth profile'!BF242&gt;0,3,0))</f>
        <v>3</v>
      </c>
      <c r="BH202" s="20">
        <f>IF('Growth profile'!BG139&gt;0,1,IF('Growth profile'!BG242&gt;0,3,0))</f>
        <v>3</v>
      </c>
      <c r="BI202" s="20">
        <f>IF('Growth profile'!BH139&gt;0,1,IF('Growth profile'!BH242&gt;0,3,0))</f>
        <v>0</v>
      </c>
      <c r="BJ202" s="20">
        <f>IF('Growth profile'!BI139&gt;0,1,IF('Growth profile'!BI242&gt;0,3,0))</f>
        <v>0</v>
      </c>
      <c r="BK202" s="21">
        <f>IF('Growth profile'!BJ139&gt;0,1,IF('Growth profile'!BJ242&gt;0,3,0))</f>
        <v>0</v>
      </c>
    </row>
    <row r="203" spans="1:63" x14ac:dyDescent="0.3">
      <c r="B203" s="13" t="s">
        <v>59</v>
      </c>
      <c r="C203" s="19">
        <f>'Growth (no penalty)'!I31</f>
        <v>2045</v>
      </c>
      <c r="D203" s="22">
        <f>IF('Growth (no penalty)'!C139&gt;0,1,IF('Growth (no penalty)'!C242&gt;0,4,0))</f>
        <v>0</v>
      </c>
      <c r="E203" s="22">
        <f>IF('Growth (no penalty)'!D139&gt;0,1,IF('Growth (no penalty)'!D242&gt;0,4,0))</f>
        <v>0</v>
      </c>
      <c r="F203" s="22">
        <f>IF('Growth (no penalty)'!E139&gt;0,1,IF('Growth (no penalty)'!E242&gt;0,4,0))</f>
        <v>0</v>
      </c>
      <c r="G203" s="22">
        <f>IF('Growth (no penalty)'!F139&gt;0,1,IF('Growth (no penalty)'!F242&gt;0,4,0))</f>
        <v>0</v>
      </c>
      <c r="H203" s="22">
        <f>IF('Growth (no penalty)'!G139&gt;0,1,IF('Growth (no penalty)'!G242&gt;0,4,0))</f>
        <v>0</v>
      </c>
      <c r="I203" s="22">
        <f>IF('Growth (no penalty)'!H139&gt;0,1,IF('Growth (no penalty)'!H242&gt;0,4,0))</f>
        <v>0</v>
      </c>
      <c r="J203" s="22">
        <f>IF('Growth (no penalty)'!I139&gt;0,1,IF('Growth (no penalty)'!I242&gt;0,4,0))</f>
        <v>0</v>
      </c>
      <c r="K203" s="22">
        <f>IF('Growth (no penalty)'!J139&gt;0,1,IF('Growth (no penalty)'!J242&gt;0,4,0))</f>
        <v>0</v>
      </c>
      <c r="L203" s="22">
        <f>IF('Growth (no penalty)'!K139&gt;0,1,IF('Growth (no penalty)'!K242&gt;0,4,0))</f>
        <v>0</v>
      </c>
      <c r="M203" s="22">
        <f>IF('Growth (no penalty)'!L139&gt;0,1,IF('Growth (no penalty)'!L242&gt;0,4,0))</f>
        <v>0</v>
      </c>
      <c r="N203" s="22">
        <f>IF('Growth (no penalty)'!M139&gt;0,1,IF('Growth (no penalty)'!M242&gt;0,4,0))</f>
        <v>0</v>
      </c>
      <c r="O203" s="22">
        <f>IF('Growth (no penalty)'!N139&gt;0,1,IF('Growth (no penalty)'!N242&gt;0,4,0))</f>
        <v>0</v>
      </c>
      <c r="P203" s="22">
        <f>IF('Growth (no penalty)'!O139&gt;0,1,IF('Growth (no penalty)'!O242&gt;0,4,0))</f>
        <v>0</v>
      </c>
      <c r="Q203" s="22">
        <f>IF('Growth (no penalty)'!P139&gt;0,1,IF('Growth (no penalty)'!P242&gt;0,4,0))</f>
        <v>0</v>
      </c>
      <c r="R203" s="22">
        <f>IF('Growth (no penalty)'!Q139&gt;0,1,IF('Growth (no penalty)'!Q242&gt;0,4,0))</f>
        <v>0</v>
      </c>
      <c r="S203" s="22">
        <f>IF('Growth (no penalty)'!R139&gt;0,1,IF('Growth (no penalty)'!R242&gt;0,4,0))</f>
        <v>0</v>
      </c>
      <c r="T203" s="22">
        <f>IF('Growth (no penalty)'!S139&gt;0,1,IF('Growth (no penalty)'!S242&gt;0,4,0))</f>
        <v>0</v>
      </c>
      <c r="U203" s="22">
        <f>IF('Growth (no penalty)'!T139&gt;0,1,IF('Growth (no penalty)'!T242&gt;0,4,0))</f>
        <v>0</v>
      </c>
      <c r="V203" s="22">
        <f>IF('Growth (no penalty)'!U139&gt;0,1,IF('Growth (no penalty)'!U242&gt;0,4,0))</f>
        <v>0</v>
      </c>
      <c r="W203" s="22">
        <f>IF('Growth (no penalty)'!V139&gt;0,1,IF('Growth (no penalty)'!V242&gt;0,4,0))</f>
        <v>1</v>
      </c>
      <c r="X203" s="22">
        <f>IF('Growth (no penalty)'!W139&gt;0,1,IF('Growth (no penalty)'!W242&gt;0,4,0))</f>
        <v>4</v>
      </c>
      <c r="Y203" s="22">
        <f>IF('Growth (no penalty)'!X139&gt;0,1,IF('Growth (no penalty)'!X242&gt;0,4,0))</f>
        <v>4</v>
      </c>
      <c r="Z203" s="22">
        <f>IF('Growth (no penalty)'!Y139&gt;0,1,IF('Growth (no penalty)'!Y242&gt;0,4,0))</f>
        <v>4</v>
      </c>
      <c r="AA203" s="22">
        <f>IF('Growth (no penalty)'!Z139&gt;0,1,IF('Growth (no penalty)'!Z242&gt;0,4,0))</f>
        <v>4</v>
      </c>
      <c r="AB203" s="22">
        <f>IF('Growth (no penalty)'!AA139&gt;0,1,IF('Growth (no penalty)'!AA242&gt;0,4,0))</f>
        <v>4</v>
      </c>
      <c r="AC203" s="22">
        <f>IF('Growth (no penalty)'!AB139&gt;0,1,IF('Growth (no penalty)'!AB242&gt;0,4,0))</f>
        <v>4</v>
      </c>
      <c r="AD203" s="22">
        <f>IF('Growth (no penalty)'!AC139&gt;0,1,IF('Growth (no penalty)'!AC242&gt;0,4,0))</f>
        <v>4</v>
      </c>
      <c r="AE203" s="22">
        <f>IF('Growth (no penalty)'!AD139&gt;0,1,IF('Growth (no penalty)'!AD242&gt;0,4,0))</f>
        <v>4</v>
      </c>
      <c r="AF203" s="22">
        <f>IF('Growth (no penalty)'!AE139&gt;0,1,IF('Growth (no penalty)'!AE242&gt;0,4,0))</f>
        <v>4</v>
      </c>
      <c r="AG203" s="22">
        <f>IF('Growth (no penalty)'!AF139&gt;0,1,IF('Growth (no penalty)'!AF242&gt;0,4,0))</f>
        <v>4</v>
      </c>
      <c r="AH203" s="22">
        <f>IF('Growth (no penalty)'!AG139&gt;0,1,IF('Growth (no penalty)'!AG242&gt;0,4,0))</f>
        <v>4</v>
      </c>
      <c r="AI203" s="22">
        <f>IF('Growth (no penalty)'!AH139&gt;0,1,IF('Growth (no penalty)'!AH242&gt;0,4,0))</f>
        <v>4</v>
      </c>
      <c r="AJ203" s="22">
        <f>IF('Growth (no penalty)'!AI139&gt;0,1,IF('Growth (no penalty)'!AI242&gt;0,4,0))</f>
        <v>4</v>
      </c>
      <c r="AK203" s="22">
        <f>IF('Growth (no penalty)'!AJ139&gt;0,1,IF('Growth (no penalty)'!AJ242&gt;0,4,0))</f>
        <v>4</v>
      </c>
      <c r="AL203" s="22">
        <f>IF('Growth (no penalty)'!AK139&gt;0,1,IF('Growth (no penalty)'!AK242&gt;0,4,0))</f>
        <v>4</v>
      </c>
      <c r="AM203" s="22">
        <f>IF('Growth (no penalty)'!AL139&gt;0,1,IF('Growth (no penalty)'!AL242&gt;0,4,0))</f>
        <v>4</v>
      </c>
      <c r="AN203" s="22">
        <f>IF('Growth (no penalty)'!AM139&gt;0,1,IF('Growth (no penalty)'!AM242&gt;0,4,0))</f>
        <v>4</v>
      </c>
      <c r="AO203" s="22">
        <f>IF('Growth (no penalty)'!AN139&gt;0,1,IF('Growth (no penalty)'!AN242&gt;0,4,0))</f>
        <v>4</v>
      </c>
      <c r="AP203" s="22">
        <f>IF('Growth (no penalty)'!AO139&gt;0,1,IF('Growth (no penalty)'!AO242&gt;0,4,0))</f>
        <v>4</v>
      </c>
      <c r="AQ203" s="22">
        <f>IF('Growth (no penalty)'!AP139&gt;0,1,IF('Growth (no penalty)'!AP242&gt;0,4,0))</f>
        <v>4</v>
      </c>
      <c r="AR203" s="22">
        <f>IF('Growth (no penalty)'!AQ139&gt;0,1,IF('Growth (no penalty)'!AQ242&gt;0,4,0))</f>
        <v>4</v>
      </c>
      <c r="AS203" s="22">
        <f>IF('Growth (no penalty)'!AR139&gt;0,1,IF('Growth (no penalty)'!AR242&gt;0,4,0))</f>
        <v>4</v>
      </c>
      <c r="AT203" s="22">
        <f>IF('Growth (no penalty)'!AS139&gt;0,1,IF('Growth (no penalty)'!AS242&gt;0,4,0))</f>
        <v>4</v>
      </c>
      <c r="AU203" s="22">
        <f>IF('Growth (no penalty)'!AT139&gt;0,1,IF('Growth (no penalty)'!AT242&gt;0,4,0))</f>
        <v>4</v>
      </c>
      <c r="AV203" s="22">
        <f>IF('Growth (no penalty)'!AU139&gt;0,1,IF('Growth (no penalty)'!AU242&gt;0,4,0))</f>
        <v>4</v>
      </c>
      <c r="AW203" s="22">
        <f>IF('Growth (no penalty)'!AV139&gt;0,1,IF('Growth (no penalty)'!AV242&gt;0,4,0))</f>
        <v>4</v>
      </c>
      <c r="AX203" s="22">
        <f>IF('Growth (no penalty)'!AW139&gt;0,1,IF('Growth (no penalty)'!AW242&gt;0,4,0))</f>
        <v>4</v>
      </c>
      <c r="AY203" s="22">
        <f>IF('Growth (no penalty)'!AX139&gt;0,1,IF('Growth (no penalty)'!AX242&gt;0,4,0))</f>
        <v>4</v>
      </c>
      <c r="AZ203" s="22">
        <f>IF('Growth (no penalty)'!AY139&gt;0,1,IF('Growth (no penalty)'!AY242&gt;0,4,0))</f>
        <v>4</v>
      </c>
      <c r="BA203" s="22">
        <f>IF('Growth (no penalty)'!AZ139&gt;0,1,IF('Growth (no penalty)'!AZ242&gt;0,4,0))</f>
        <v>4</v>
      </c>
      <c r="BB203" s="22">
        <f>IF('Growth (no penalty)'!BA139&gt;0,1,IF('Growth (no penalty)'!BA242&gt;0,4,0))</f>
        <v>4</v>
      </c>
      <c r="BC203" s="22">
        <f>IF('Growth (no penalty)'!BB139&gt;0,1,IF('Growth (no penalty)'!BB242&gt;0,4,0))</f>
        <v>4</v>
      </c>
      <c r="BD203" s="22">
        <f>IF('Growth (no penalty)'!BC139&gt;0,1,IF('Growth (no penalty)'!BC242&gt;0,4,0))</f>
        <v>4</v>
      </c>
      <c r="BE203" s="22">
        <f>IF('Growth (no penalty)'!BD139&gt;0,1,IF('Growth (no penalty)'!BD242&gt;0,4,0))</f>
        <v>4</v>
      </c>
      <c r="BF203" s="22">
        <f>IF('Growth (no penalty)'!BE139&gt;0,1,IF('Growth (no penalty)'!BE242&gt;0,4,0))</f>
        <v>4</v>
      </c>
      <c r="BG203" s="22">
        <f>IF('Growth (no penalty)'!BF139&gt;0,1,IF('Growth (no penalty)'!BF242&gt;0,4,0))</f>
        <v>4</v>
      </c>
      <c r="BH203" s="22">
        <f>IF('Growth (no penalty)'!BG139&gt;0,1,IF('Growth (no penalty)'!BG242&gt;0,4,0))</f>
        <v>4</v>
      </c>
      <c r="BI203" s="22">
        <f>IF('Growth (no penalty)'!BH139&gt;0,1,IF('Growth (no penalty)'!BH242&gt;0,4,0))</f>
        <v>4</v>
      </c>
      <c r="BJ203" s="22">
        <f>IF('Growth (no penalty)'!BI139&gt;0,1,IF('Growth (no penalty)'!BI242&gt;0,4,0))</f>
        <v>4</v>
      </c>
      <c r="BK203" s="23">
        <f>IF('Growth (no penalty)'!BJ139&gt;0,1,IF('Growth (no penalty)'!BJ242&gt;0,4,0))</f>
        <v>4</v>
      </c>
    </row>
    <row r="204" spans="1:63" x14ac:dyDescent="0.3">
      <c r="A204" s="4" t="str">
        <f>'Growth profile'!A82</f>
        <v>project 121</v>
      </c>
      <c r="B204" s="13" t="s">
        <v>3</v>
      </c>
      <c r="C204" s="19">
        <f>'Raw profile'!I82</f>
        <v>2037</v>
      </c>
      <c r="D204" s="20">
        <f>IF('Raw profile'!C190&gt;0,1,IF('Raw profile'!C293&gt;0,2,0))</f>
        <v>0</v>
      </c>
      <c r="E204" s="20">
        <f>IF('Raw profile'!D190&gt;0,1,IF('Raw profile'!D293&gt;0,2,0))</f>
        <v>0</v>
      </c>
      <c r="F204" s="20">
        <f>IF('Raw profile'!E190&gt;0,1,IF('Raw profile'!E293&gt;0,2,0))</f>
        <v>0</v>
      </c>
      <c r="G204" s="20">
        <f>IF('Raw profile'!F190&gt;0,1,IF('Raw profile'!F293&gt;0,2,0))</f>
        <v>0</v>
      </c>
      <c r="H204" s="20">
        <f>IF('Raw profile'!G190&gt;0,1,IF('Raw profile'!G293&gt;0,2,0))</f>
        <v>0</v>
      </c>
      <c r="I204" s="20">
        <f>IF('Raw profile'!H190&gt;0,1,IF('Raw profile'!H293&gt;0,2,0))</f>
        <v>0</v>
      </c>
      <c r="J204" s="20">
        <f>IF('Raw profile'!I190&gt;0,1,IF('Raw profile'!I293&gt;0,2,0))</f>
        <v>0</v>
      </c>
      <c r="K204" s="20">
        <f>IF('Raw profile'!J190&gt;0,1,IF('Raw profile'!J293&gt;0,2,0))</f>
        <v>0</v>
      </c>
      <c r="L204" s="20">
        <f>IF('Raw profile'!K190&gt;0,1,IF('Raw profile'!K293&gt;0,2,0))</f>
        <v>0</v>
      </c>
      <c r="M204" s="20">
        <f>IF('Raw profile'!L190&gt;0,1,IF('Raw profile'!L293&gt;0,2,0))</f>
        <v>0</v>
      </c>
      <c r="N204" s="20">
        <f>IF('Raw profile'!M190&gt;0,1,IF('Raw profile'!M293&gt;0,2,0))</f>
        <v>0</v>
      </c>
      <c r="O204" s="20">
        <f>IF('Raw profile'!N190&gt;0,1,IF('Raw profile'!N293&gt;0,2,0))</f>
        <v>1</v>
      </c>
      <c r="P204" s="20">
        <f>IF('Raw profile'!O190&gt;0,1,IF('Raw profile'!O293&gt;0,2,0))</f>
        <v>1</v>
      </c>
      <c r="Q204" s="20">
        <f>IF('Raw profile'!P190&gt;0,1,IF('Raw profile'!P293&gt;0,2,0))</f>
        <v>1</v>
      </c>
      <c r="R204" s="20">
        <f>IF('Raw profile'!Q190&gt;0,1,IF('Raw profile'!Q293&gt;0,2,0))</f>
        <v>2</v>
      </c>
      <c r="S204" s="20">
        <f>IF('Raw profile'!R190&gt;0,1,IF('Raw profile'!R293&gt;0,2,0))</f>
        <v>2</v>
      </c>
      <c r="T204" s="20">
        <f>IF('Raw profile'!S190&gt;0,1,IF('Raw profile'!S293&gt;0,2,0))</f>
        <v>2</v>
      </c>
      <c r="U204" s="20">
        <f>IF('Raw profile'!T190&gt;0,1,IF('Raw profile'!T293&gt;0,2,0))</f>
        <v>2</v>
      </c>
      <c r="V204" s="20">
        <f>IF('Raw profile'!U190&gt;0,1,IF('Raw profile'!U293&gt;0,2,0))</f>
        <v>2</v>
      </c>
      <c r="W204" s="20">
        <f>IF('Raw profile'!V190&gt;0,1,IF('Raw profile'!V293&gt;0,2,0))</f>
        <v>2</v>
      </c>
      <c r="X204" s="20">
        <f>IF('Raw profile'!W190&gt;0,1,IF('Raw profile'!W293&gt;0,2,0))</f>
        <v>2</v>
      </c>
      <c r="Y204" s="20">
        <f>IF('Raw profile'!X190&gt;0,1,IF('Raw profile'!X293&gt;0,2,0))</f>
        <v>2</v>
      </c>
      <c r="Z204" s="20">
        <f>IF('Raw profile'!Y190&gt;0,1,IF('Raw profile'!Y293&gt;0,2,0))</f>
        <v>2</v>
      </c>
      <c r="AA204" s="20">
        <f>IF('Raw profile'!Z190&gt;0,1,IF('Raw profile'!Z293&gt;0,2,0))</f>
        <v>2</v>
      </c>
      <c r="AB204" s="20">
        <f>IF('Raw profile'!AA190&gt;0,1,IF('Raw profile'!AA293&gt;0,2,0))</f>
        <v>2</v>
      </c>
      <c r="AC204" s="20">
        <f>IF('Raw profile'!AB190&gt;0,1,IF('Raw profile'!AB293&gt;0,2,0))</f>
        <v>2</v>
      </c>
      <c r="AD204" s="20">
        <f>IF('Raw profile'!AC190&gt;0,1,IF('Raw profile'!AC293&gt;0,2,0))</f>
        <v>2</v>
      </c>
      <c r="AE204" s="20">
        <f>IF('Raw profile'!AD190&gt;0,1,IF('Raw profile'!AD293&gt;0,2,0))</f>
        <v>2</v>
      </c>
      <c r="AF204" s="20">
        <f>IF('Raw profile'!AE190&gt;0,1,IF('Raw profile'!AE293&gt;0,2,0))</f>
        <v>2</v>
      </c>
      <c r="AG204" s="20">
        <f>IF('Raw profile'!AF190&gt;0,1,IF('Raw profile'!AF293&gt;0,2,0))</f>
        <v>2</v>
      </c>
      <c r="AH204" s="20">
        <f>IF('Raw profile'!AG190&gt;0,1,IF('Raw profile'!AG293&gt;0,2,0))</f>
        <v>2</v>
      </c>
      <c r="AI204" s="20">
        <f>IF('Raw profile'!AH190&gt;0,1,IF('Raw profile'!AH293&gt;0,2,0))</f>
        <v>2</v>
      </c>
      <c r="AJ204" s="20">
        <f>IF('Raw profile'!AI190&gt;0,1,IF('Raw profile'!AI293&gt;0,2,0))</f>
        <v>2</v>
      </c>
      <c r="AK204" s="20">
        <f>IF('Raw profile'!AJ190&gt;0,1,IF('Raw profile'!AJ293&gt;0,2,0))</f>
        <v>2</v>
      </c>
      <c r="AL204" s="20">
        <f>IF('Raw profile'!AK190&gt;0,1,IF('Raw profile'!AK293&gt;0,2,0))</f>
        <v>2</v>
      </c>
      <c r="AM204" s="20">
        <f>IF('Raw profile'!AL190&gt;0,1,IF('Raw profile'!AL293&gt;0,2,0))</f>
        <v>2</v>
      </c>
      <c r="AN204" s="20">
        <f>IF('Raw profile'!AM190&gt;0,1,IF('Raw profile'!AM293&gt;0,2,0))</f>
        <v>2</v>
      </c>
      <c r="AO204" s="20">
        <f>IF('Raw profile'!AN190&gt;0,1,IF('Raw profile'!AN293&gt;0,2,0))</f>
        <v>2</v>
      </c>
      <c r="AP204" s="20">
        <f>IF('Raw profile'!AO190&gt;0,1,IF('Raw profile'!AO293&gt;0,2,0))</f>
        <v>2</v>
      </c>
      <c r="AQ204" s="20">
        <f>IF('Raw profile'!AP190&gt;0,1,IF('Raw profile'!AP293&gt;0,2,0))</f>
        <v>2</v>
      </c>
      <c r="AR204" s="20">
        <f>IF('Raw profile'!AQ190&gt;0,1,IF('Raw profile'!AQ293&gt;0,2,0))</f>
        <v>2</v>
      </c>
      <c r="AS204" s="20">
        <f>IF('Raw profile'!AR190&gt;0,1,IF('Raw profile'!AR293&gt;0,2,0))</f>
        <v>2</v>
      </c>
      <c r="AT204" s="20">
        <f>IF('Raw profile'!AS190&gt;0,1,IF('Raw profile'!AS293&gt;0,2,0))</f>
        <v>2</v>
      </c>
      <c r="AU204" s="20">
        <f>IF('Raw profile'!AT190&gt;0,1,IF('Raw profile'!AT293&gt;0,2,0))</f>
        <v>2</v>
      </c>
      <c r="AV204" s="20">
        <f>IF('Raw profile'!AU190&gt;0,1,IF('Raw profile'!AU293&gt;0,2,0))</f>
        <v>2</v>
      </c>
      <c r="AW204" s="20">
        <f>IF('Raw profile'!AV190&gt;0,1,IF('Raw profile'!AV293&gt;0,2,0))</f>
        <v>2</v>
      </c>
      <c r="AX204" s="20">
        <f>IF('Raw profile'!AW190&gt;0,1,IF('Raw profile'!AW293&gt;0,2,0))</f>
        <v>2</v>
      </c>
      <c r="AY204" s="20">
        <f>IF('Raw profile'!AX190&gt;0,1,IF('Raw profile'!AX293&gt;0,2,0))</f>
        <v>2</v>
      </c>
      <c r="AZ204" s="20">
        <f>IF('Raw profile'!AY190&gt;0,1,IF('Raw profile'!AY293&gt;0,2,0))</f>
        <v>2</v>
      </c>
      <c r="BA204" s="20">
        <f>IF('Raw profile'!AZ190&gt;0,1,IF('Raw profile'!AZ293&gt;0,2,0))</f>
        <v>2</v>
      </c>
      <c r="BB204" s="20">
        <f>IF('Raw profile'!BA190&gt;0,1,IF('Raw profile'!BA293&gt;0,2,0))</f>
        <v>2</v>
      </c>
      <c r="BC204" s="20">
        <f>IF('Raw profile'!BB190&gt;0,1,IF('Raw profile'!BB293&gt;0,2,0))</f>
        <v>2</v>
      </c>
      <c r="BD204" s="20">
        <f>IF('Raw profile'!BC190&gt;0,1,IF('Raw profile'!BC293&gt;0,2,0))</f>
        <v>2</v>
      </c>
      <c r="BE204" s="20">
        <f>IF('Raw profile'!BD190&gt;0,1,IF('Raw profile'!BD293&gt;0,2,0))</f>
        <v>2</v>
      </c>
      <c r="BF204" s="20">
        <f>IF('Raw profile'!BE190&gt;0,1,IF('Raw profile'!BE293&gt;0,2,0))</f>
        <v>0</v>
      </c>
      <c r="BG204" s="20">
        <f>IF('Raw profile'!BF190&gt;0,1,IF('Raw profile'!BF293&gt;0,2,0))</f>
        <v>0</v>
      </c>
      <c r="BH204" s="20">
        <f>IF('Raw profile'!BG190&gt;0,1,IF('Raw profile'!BG293&gt;0,2,0))</f>
        <v>0</v>
      </c>
      <c r="BI204" s="20">
        <f>IF('Raw profile'!BH190&gt;0,1,IF('Raw profile'!BH293&gt;0,2,0))</f>
        <v>0</v>
      </c>
      <c r="BJ204" s="20">
        <f>IF('Raw profile'!BI190&gt;0,1,IF('Raw profile'!BI293&gt;0,2,0))</f>
        <v>0</v>
      </c>
      <c r="BK204" s="21">
        <f>IF('Raw profile'!BJ190&gt;0,1,IF('Raw profile'!BJ293&gt;0,2,0))</f>
        <v>0</v>
      </c>
    </row>
    <row r="205" spans="1:63" x14ac:dyDescent="0.3">
      <c r="B205" s="13" t="s">
        <v>4</v>
      </c>
      <c r="C205" s="19">
        <f>'Growth profile'!I82</f>
        <v>2042</v>
      </c>
      <c r="D205" s="20">
        <f>IF('Growth profile'!C190&gt;0,1,IF('Growth profile'!C293&gt;0,3,0))</f>
        <v>0</v>
      </c>
      <c r="E205" s="20">
        <f>IF('Growth profile'!D190&gt;0,1,IF('Growth profile'!D293&gt;0,3,0))</f>
        <v>0</v>
      </c>
      <c r="F205" s="20">
        <f>IF('Growth profile'!E190&gt;0,1,IF('Growth profile'!E293&gt;0,3,0))</f>
        <v>0</v>
      </c>
      <c r="G205" s="20">
        <f>IF('Growth profile'!F190&gt;0,1,IF('Growth profile'!F293&gt;0,3,0))</f>
        <v>0</v>
      </c>
      <c r="H205" s="20">
        <f>IF('Growth profile'!G190&gt;0,1,IF('Growth profile'!G293&gt;0,3,0))</f>
        <v>0</v>
      </c>
      <c r="I205" s="20">
        <f>IF('Growth profile'!H190&gt;0,1,IF('Growth profile'!H293&gt;0,3,0))</f>
        <v>0</v>
      </c>
      <c r="J205" s="20">
        <f>IF('Growth profile'!I190&gt;0,1,IF('Growth profile'!I293&gt;0,3,0))</f>
        <v>0</v>
      </c>
      <c r="K205" s="20">
        <f>IF('Growth profile'!J190&gt;0,1,IF('Growth profile'!J293&gt;0,3,0))</f>
        <v>0</v>
      </c>
      <c r="L205" s="20">
        <f>IF('Growth profile'!K190&gt;0,1,IF('Growth profile'!K293&gt;0,3,0))</f>
        <v>0</v>
      </c>
      <c r="M205" s="20">
        <f>IF('Growth profile'!L190&gt;0,1,IF('Growth profile'!L293&gt;0,3,0))</f>
        <v>0</v>
      </c>
      <c r="N205" s="20">
        <f>IF('Growth profile'!M190&gt;0,1,IF('Growth profile'!M293&gt;0,3,0))</f>
        <v>0</v>
      </c>
      <c r="O205" s="20">
        <f>IF('Growth profile'!N190&gt;0,1,IF('Growth profile'!N293&gt;0,3,0))</f>
        <v>0</v>
      </c>
      <c r="P205" s="20">
        <f>IF('Growth profile'!O190&gt;0,1,IF('Growth profile'!O293&gt;0,3,0))</f>
        <v>0</v>
      </c>
      <c r="Q205" s="20">
        <f>IF('Growth profile'!P190&gt;0,1,IF('Growth profile'!P293&gt;0,3,0))</f>
        <v>0</v>
      </c>
      <c r="R205" s="20">
        <f>IF('Growth profile'!Q190&gt;0,1,IF('Growth profile'!Q293&gt;0,3,0))</f>
        <v>0</v>
      </c>
      <c r="S205" s="20">
        <f>IF('Growth profile'!R190&gt;0,1,IF('Growth profile'!R293&gt;0,3,0))</f>
        <v>0</v>
      </c>
      <c r="T205" s="20">
        <f>IF('Growth profile'!S190&gt;0,1,IF('Growth profile'!S293&gt;0,3,0))</f>
        <v>1</v>
      </c>
      <c r="U205" s="20">
        <f>IF('Growth profile'!T190&gt;0,1,IF('Growth profile'!T293&gt;0,3,0))</f>
        <v>1</v>
      </c>
      <c r="V205" s="20">
        <f>IF('Growth profile'!U190&gt;0,1,IF('Growth profile'!U293&gt;0,3,0))</f>
        <v>1</v>
      </c>
      <c r="W205" s="20">
        <f>IF('Growth profile'!V190&gt;0,1,IF('Growth profile'!V293&gt;0,3,0))</f>
        <v>3</v>
      </c>
      <c r="X205" s="20">
        <f>IF('Growth profile'!W190&gt;0,1,IF('Growth profile'!W293&gt;0,3,0))</f>
        <v>3</v>
      </c>
      <c r="Y205" s="20">
        <f>IF('Growth profile'!X190&gt;0,1,IF('Growth profile'!X293&gt;0,3,0))</f>
        <v>3</v>
      </c>
      <c r="Z205" s="20">
        <f>IF('Growth profile'!Y190&gt;0,1,IF('Growth profile'!Y293&gt;0,3,0))</f>
        <v>3</v>
      </c>
      <c r="AA205" s="20">
        <f>IF('Growth profile'!Z190&gt;0,1,IF('Growth profile'!Z293&gt;0,3,0))</f>
        <v>3</v>
      </c>
      <c r="AB205" s="20">
        <f>IF('Growth profile'!AA190&gt;0,1,IF('Growth profile'!AA293&gt;0,3,0))</f>
        <v>3</v>
      </c>
      <c r="AC205" s="20">
        <f>IF('Growth profile'!AB190&gt;0,1,IF('Growth profile'!AB293&gt;0,3,0))</f>
        <v>3</v>
      </c>
      <c r="AD205" s="20">
        <f>IF('Growth profile'!AC190&gt;0,1,IF('Growth profile'!AC293&gt;0,3,0))</f>
        <v>3</v>
      </c>
      <c r="AE205" s="20">
        <f>IF('Growth profile'!AD190&gt;0,1,IF('Growth profile'!AD293&gt;0,3,0))</f>
        <v>3</v>
      </c>
      <c r="AF205" s="20">
        <f>IF('Growth profile'!AE190&gt;0,1,IF('Growth profile'!AE293&gt;0,3,0))</f>
        <v>3</v>
      </c>
      <c r="AG205" s="20">
        <f>IF('Growth profile'!AF190&gt;0,1,IF('Growth profile'!AF293&gt;0,3,0))</f>
        <v>3</v>
      </c>
      <c r="AH205" s="20">
        <f>IF('Growth profile'!AG190&gt;0,1,IF('Growth profile'!AG293&gt;0,3,0))</f>
        <v>3</v>
      </c>
      <c r="AI205" s="20">
        <f>IF('Growth profile'!AH190&gt;0,1,IF('Growth profile'!AH293&gt;0,3,0))</f>
        <v>3</v>
      </c>
      <c r="AJ205" s="20">
        <f>IF('Growth profile'!AI190&gt;0,1,IF('Growth profile'!AI293&gt;0,3,0))</f>
        <v>3</v>
      </c>
      <c r="AK205" s="20">
        <f>IF('Growth profile'!AJ190&gt;0,1,IF('Growth profile'!AJ293&gt;0,3,0))</f>
        <v>3</v>
      </c>
      <c r="AL205" s="20">
        <f>IF('Growth profile'!AK190&gt;0,1,IF('Growth profile'!AK293&gt;0,3,0))</f>
        <v>3</v>
      </c>
      <c r="AM205" s="20">
        <f>IF('Growth profile'!AL190&gt;0,1,IF('Growth profile'!AL293&gt;0,3,0))</f>
        <v>3</v>
      </c>
      <c r="AN205" s="20">
        <f>IF('Growth profile'!AM190&gt;0,1,IF('Growth profile'!AM293&gt;0,3,0))</f>
        <v>3</v>
      </c>
      <c r="AO205" s="20">
        <f>IF('Growth profile'!AN190&gt;0,1,IF('Growth profile'!AN293&gt;0,3,0))</f>
        <v>3</v>
      </c>
      <c r="AP205" s="20">
        <f>IF('Growth profile'!AO190&gt;0,1,IF('Growth profile'!AO293&gt;0,3,0))</f>
        <v>3</v>
      </c>
      <c r="AQ205" s="20">
        <f>IF('Growth profile'!AP190&gt;0,1,IF('Growth profile'!AP293&gt;0,3,0))</f>
        <v>3</v>
      </c>
      <c r="AR205" s="20">
        <f>IF('Growth profile'!AQ190&gt;0,1,IF('Growth profile'!AQ293&gt;0,3,0))</f>
        <v>3</v>
      </c>
      <c r="AS205" s="20">
        <f>IF('Growth profile'!AR190&gt;0,1,IF('Growth profile'!AR293&gt;0,3,0))</f>
        <v>3</v>
      </c>
      <c r="AT205" s="20">
        <f>IF('Growth profile'!AS190&gt;0,1,IF('Growth profile'!AS293&gt;0,3,0))</f>
        <v>3</v>
      </c>
      <c r="AU205" s="20">
        <f>IF('Growth profile'!AT190&gt;0,1,IF('Growth profile'!AT293&gt;0,3,0))</f>
        <v>3</v>
      </c>
      <c r="AV205" s="20">
        <f>IF('Growth profile'!AU190&gt;0,1,IF('Growth profile'!AU293&gt;0,3,0))</f>
        <v>3</v>
      </c>
      <c r="AW205" s="20">
        <f>IF('Growth profile'!AV190&gt;0,1,IF('Growth profile'!AV293&gt;0,3,0))</f>
        <v>3</v>
      </c>
      <c r="AX205" s="20">
        <f>IF('Growth profile'!AW190&gt;0,1,IF('Growth profile'!AW293&gt;0,3,0))</f>
        <v>3</v>
      </c>
      <c r="AY205" s="20">
        <f>IF('Growth profile'!AX190&gt;0,1,IF('Growth profile'!AX293&gt;0,3,0))</f>
        <v>3</v>
      </c>
      <c r="AZ205" s="20">
        <f>IF('Growth profile'!AY190&gt;0,1,IF('Growth profile'!AY293&gt;0,3,0))</f>
        <v>3</v>
      </c>
      <c r="BA205" s="20">
        <f>IF('Growth profile'!AZ190&gt;0,1,IF('Growth profile'!AZ293&gt;0,3,0))</f>
        <v>3</v>
      </c>
      <c r="BB205" s="20">
        <f>IF('Growth profile'!BA190&gt;0,1,IF('Growth profile'!BA293&gt;0,3,0))</f>
        <v>3</v>
      </c>
      <c r="BC205" s="20">
        <f>IF('Growth profile'!BB190&gt;0,1,IF('Growth profile'!BB293&gt;0,3,0))</f>
        <v>3</v>
      </c>
      <c r="BD205" s="20">
        <f>IF('Growth profile'!BC190&gt;0,1,IF('Growth profile'!BC293&gt;0,3,0))</f>
        <v>3</v>
      </c>
      <c r="BE205" s="20">
        <f>IF('Growth profile'!BD190&gt;0,1,IF('Growth profile'!BD293&gt;0,3,0))</f>
        <v>3</v>
      </c>
      <c r="BF205" s="20">
        <f>IF('Growth profile'!BE190&gt;0,1,IF('Growth profile'!BE293&gt;0,3,0))</f>
        <v>3</v>
      </c>
      <c r="BG205" s="20">
        <f>IF('Growth profile'!BF190&gt;0,1,IF('Growth profile'!BF293&gt;0,3,0))</f>
        <v>3</v>
      </c>
      <c r="BH205" s="20">
        <f>IF('Growth profile'!BG190&gt;0,1,IF('Growth profile'!BG293&gt;0,3,0))</f>
        <v>3</v>
      </c>
      <c r="BI205" s="20">
        <f>IF('Growth profile'!BH190&gt;0,1,IF('Growth profile'!BH293&gt;0,3,0))</f>
        <v>3</v>
      </c>
      <c r="BJ205" s="20">
        <f>IF('Growth profile'!BI190&gt;0,1,IF('Growth profile'!BI293&gt;0,3,0))</f>
        <v>3</v>
      </c>
      <c r="BK205" s="21">
        <f>IF('Growth profile'!BJ190&gt;0,1,IF('Growth profile'!BJ293&gt;0,3,0))</f>
        <v>0</v>
      </c>
    </row>
    <row r="206" spans="1:63" x14ac:dyDescent="0.3">
      <c r="B206" s="13" t="s">
        <v>59</v>
      </c>
      <c r="C206" s="19">
        <f>'Growth (no penalty)'!I82</f>
        <v>2043</v>
      </c>
      <c r="D206" s="22">
        <f>IF('Growth (no penalty)'!C190&gt;0,1,IF('Growth (no penalty)'!C293&gt;0,4,0))</f>
        <v>0</v>
      </c>
      <c r="E206" s="22">
        <f>IF('Growth (no penalty)'!D190&gt;0,1,IF('Growth (no penalty)'!D293&gt;0,4,0))</f>
        <v>0</v>
      </c>
      <c r="F206" s="22">
        <f>IF('Growth (no penalty)'!E190&gt;0,1,IF('Growth (no penalty)'!E293&gt;0,4,0))</f>
        <v>0</v>
      </c>
      <c r="G206" s="22">
        <f>IF('Growth (no penalty)'!F190&gt;0,1,IF('Growth (no penalty)'!F293&gt;0,4,0))</f>
        <v>0</v>
      </c>
      <c r="H206" s="22">
        <f>IF('Growth (no penalty)'!G190&gt;0,1,IF('Growth (no penalty)'!G293&gt;0,4,0))</f>
        <v>0</v>
      </c>
      <c r="I206" s="22">
        <f>IF('Growth (no penalty)'!H190&gt;0,1,IF('Growth (no penalty)'!H293&gt;0,4,0))</f>
        <v>0</v>
      </c>
      <c r="J206" s="22">
        <f>IF('Growth (no penalty)'!I190&gt;0,1,IF('Growth (no penalty)'!I293&gt;0,4,0))</f>
        <v>0</v>
      </c>
      <c r="K206" s="22">
        <f>IF('Growth (no penalty)'!J190&gt;0,1,IF('Growth (no penalty)'!J293&gt;0,4,0))</f>
        <v>0</v>
      </c>
      <c r="L206" s="22">
        <f>IF('Growth (no penalty)'!K190&gt;0,1,IF('Growth (no penalty)'!K293&gt;0,4,0))</f>
        <v>0</v>
      </c>
      <c r="M206" s="22">
        <f>IF('Growth (no penalty)'!L190&gt;0,1,IF('Growth (no penalty)'!L293&gt;0,4,0))</f>
        <v>0</v>
      </c>
      <c r="N206" s="22">
        <f>IF('Growth (no penalty)'!M190&gt;0,1,IF('Growth (no penalty)'!M293&gt;0,4,0))</f>
        <v>0</v>
      </c>
      <c r="O206" s="22">
        <f>IF('Growth (no penalty)'!N190&gt;0,1,IF('Growth (no penalty)'!N293&gt;0,4,0))</f>
        <v>0</v>
      </c>
      <c r="P206" s="22">
        <f>IF('Growth (no penalty)'!O190&gt;0,1,IF('Growth (no penalty)'!O293&gt;0,4,0))</f>
        <v>0</v>
      </c>
      <c r="Q206" s="22">
        <f>IF('Growth (no penalty)'!P190&gt;0,1,IF('Growth (no penalty)'!P293&gt;0,4,0))</f>
        <v>0</v>
      </c>
      <c r="R206" s="22">
        <f>IF('Growth (no penalty)'!Q190&gt;0,1,IF('Growth (no penalty)'!Q293&gt;0,4,0))</f>
        <v>0</v>
      </c>
      <c r="S206" s="22">
        <f>IF('Growth (no penalty)'!R190&gt;0,1,IF('Growth (no penalty)'!R293&gt;0,4,0))</f>
        <v>0</v>
      </c>
      <c r="T206" s="22">
        <f>IF('Growth (no penalty)'!S190&gt;0,1,IF('Growth (no penalty)'!S293&gt;0,4,0))</f>
        <v>0</v>
      </c>
      <c r="U206" s="22">
        <f>IF('Growth (no penalty)'!T190&gt;0,1,IF('Growth (no penalty)'!T293&gt;0,4,0))</f>
        <v>1</v>
      </c>
      <c r="V206" s="22">
        <f>IF('Growth (no penalty)'!U190&gt;0,1,IF('Growth (no penalty)'!U293&gt;0,4,0))</f>
        <v>1</v>
      </c>
      <c r="W206" s="22">
        <f>IF('Growth (no penalty)'!V190&gt;0,1,IF('Growth (no penalty)'!V293&gt;0,4,0))</f>
        <v>1</v>
      </c>
      <c r="X206" s="22">
        <f>IF('Growth (no penalty)'!W190&gt;0,1,IF('Growth (no penalty)'!W293&gt;0,4,0))</f>
        <v>4</v>
      </c>
      <c r="Y206" s="22">
        <f>IF('Growth (no penalty)'!X190&gt;0,1,IF('Growth (no penalty)'!X293&gt;0,4,0))</f>
        <v>4</v>
      </c>
      <c r="Z206" s="22">
        <f>IF('Growth (no penalty)'!Y190&gt;0,1,IF('Growth (no penalty)'!Y293&gt;0,4,0))</f>
        <v>4</v>
      </c>
      <c r="AA206" s="22">
        <f>IF('Growth (no penalty)'!Z190&gt;0,1,IF('Growth (no penalty)'!Z293&gt;0,4,0))</f>
        <v>4</v>
      </c>
      <c r="AB206" s="22">
        <f>IF('Growth (no penalty)'!AA190&gt;0,1,IF('Growth (no penalty)'!AA293&gt;0,4,0))</f>
        <v>4</v>
      </c>
      <c r="AC206" s="22">
        <f>IF('Growth (no penalty)'!AB190&gt;0,1,IF('Growth (no penalty)'!AB293&gt;0,4,0))</f>
        <v>4</v>
      </c>
      <c r="AD206" s="22">
        <f>IF('Growth (no penalty)'!AC190&gt;0,1,IF('Growth (no penalty)'!AC293&gt;0,4,0))</f>
        <v>4</v>
      </c>
      <c r="AE206" s="22">
        <f>IF('Growth (no penalty)'!AD190&gt;0,1,IF('Growth (no penalty)'!AD293&gt;0,4,0))</f>
        <v>4</v>
      </c>
      <c r="AF206" s="22">
        <f>IF('Growth (no penalty)'!AE190&gt;0,1,IF('Growth (no penalty)'!AE293&gt;0,4,0))</f>
        <v>4</v>
      </c>
      <c r="AG206" s="22">
        <f>IF('Growth (no penalty)'!AF190&gt;0,1,IF('Growth (no penalty)'!AF293&gt;0,4,0))</f>
        <v>4</v>
      </c>
      <c r="AH206" s="22">
        <f>IF('Growth (no penalty)'!AG190&gt;0,1,IF('Growth (no penalty)'!AG293&gt;0,4,0))</f>
        <v>4</v>
      </c>
      <c r="AI206" s="22">
        <f>IF('Growth (no penalty)'!AH190&gt;0,1,IF('Growth (no penalty)'!AH293&gt;0,4,0))</f>
        <v>4</v>
      </c>
      <c r="AJ206" s="22">
        <f>IF('Growth (no penalty)'!AI190&gt;0,1,IF('Growth (no penalty)'!AI293&gt;0,4,0))</f>
        <v>4</v>
      </c>
      <c r="AK206" s="22">
        <f>IF('Growth (no penalty)'!AJ190&gt;0,1,IF('Growth (no penalty)'!AJ293&gt;0,4,0))</f>
        <v>4</v>
      </c>
      <c r="AL206" s="22">
        <f>IF('Growth (no penalty)'!AK190&gt;0,1,IF('Growth (no penalty)'!AK293&gt;0,4,0))</f>
        <v>4</v>
      </c>
      <c r="AM206" s="22">
        <f>IF('Growth (no penalty)'!AL190&gt;0,1,IF('Growth (no penalty)'!AL293&gt;0,4,0))</f>
        <v>4</v>
      </c>
      <c r="AN206" s="22">
        <f>IF('Growth (no penalty)'!AM190&gt;0,1,IF('Growth (no penalty)'!AM293&gt;0,4,0))</f>
        <v>4</v>
      </c>
      <c r="AO206" s="22">
        <f>IF('Growth (no penalty)'!AN190&gt;0,1,IF('Growth (no penalty)'!AN293&gt;0,4,0))</f>
        <v>4</v>
      </c>
      <c r="AP206" s="22">
        <f>IF('Growth (no penalty)'!AO190&gt;0,1,IF('Growth (no penalty)'!AO293&gt;0,4,0))</f>
        <v>4</v>
      </c>
      <c r="AQ206" s="22">
        <f>IF('Growth (no penalty)'!AP190&gt;0,1,IF('Growth (no penalty)'!AP293&gt;0,4,0))</f>
        <v>4</v>
      </c>
      <c r="AR206" s="22">
        <f>IF('Growth (no penalty)'!AQ190&gt;0,1,IF('Growth (no penalty)'!AQ293&gt;0,4,0))</f>
        <v>4</v>
      </c>
      <c r="AS206" s="22">
        <f>IF('Growth (no penalty)'!AR190&gt;0,1,IF('Growth (no penalty)'!AR293&gt;0,4,0))</f>
        <v>4</v>
      </c>
      <c r="AT206" s="22">
        <f>IF('Growth (no penalty)'!AS190&gt;0,1,IF('Growth (no penalty)'!AS293&gt;0,4,0))</f>
        <v>4</v>
      </c>
      <c r="AU206" s="22">
        <f>IF('Growth (no penalty)'!AT190&gt;0,1,IF('Growth (no penalty)'!AT293&gt;0,4,0))</f>
        <v>4</v>
      </c>
      <c r="AV206" s="22">
        <f>IF('Growth (no penalty)'!AU190&gt;0,1,IF('Growth (no penalty)'!AU293&gt;0,4,0))</f>
        <v>4</v>
      </c>
      <c r="AW206" s="22">
        <f>IF('Growth (no penalty)'!AV190&gt;0,1,IF('Growth (no penalty)'!AV293&gt;0,4,0))</f>
        <v>4</v>
      </c>
      <c r="AX206" s="22">
        <f>IF('Growth (no penalty)'!AW190&gt;0,1,IF('Growth (no penalty)'!AW293&gt;0,4,0))</f>
        <v>4</v>
      </c>
      <c r="AY206" s="22">
        <f>IF('Growth (no penalty)'!AX190&gt;0,1,IF('Growth (no penalty)'!AX293&gt;0,4,0))</f>
        <v>4</v>
      </c>
      <c r="AZ206" s="22">
        <f>IF('Growth (no penalty)'!AY190&gt;0,1,IF('Growth (no penalty)'!AY293&gt;0,4,0))</f>
        <v>4</v>
      </c>
      <c r="BA206" s="22">
        <f>IF('Growth (no penalty)'!AZ190&gt;0,1,IF('Growth (no penalty)'!AZ293&gt;0,4,0))</f>
        <v>4</v>
      </c>
      <c r="BB206" s="22">
        <f>IF('Growth (no penalty)'!BA190&gt;0,1,IF('Growth (no penalty)'!BA293&gt;0,4,0))</f>
        <v>4</v>
      </c>
      <c r="BC206" s="22">
        <f>IF('Growth (no penalty)'!BB190&gt;0,1,IF('Growth (no penalty)'!BB293&gt;0,4,0))</f>
        <v>4</v>
      </c>
      <c r="BD206" s="22">
        <f>IF('Growth (no penalty)'!BC190&gt;0,1,IF('Growth (no penalty)'!BC293&gt;0,4,0))</f>
        <v>4</v>
      </c>
      <c r="BE206" s="22">
        <f>IF('Growth (no penalty)'!BD190&gt;0,1,IF('Growth (no penalty)'!BD293&gt;0,4,0))</f>
        <v>4</v>
      </c>
      <c r="BF206" s="22">
        <f>IF('Growth (no penalty)'!BE190&gt;0,1,IF('Growth (no penalty)'!BE293&gt;0,4,0))</f>
        <v>4</v>
      </c>
      <c r="BG206" s="22">
        <f>IF('Growth (no penalty)'!BF190&gt;0,1,IF('Growth (no penalty)'!BF293&gt;0,4,0))</f>
        <v>4</v>
      </c>
      <c r="BH206" s="22">
        <f>IF('Growth (no penalty)'!BG190&gt;0,1,IF('Growth (no penalty)'!BG293&gt;0,4,0))</f>
        <v>4</v>
      </c>
      <c r="BI206" s="22">
        <f>IF('Growth (no penalty)'!BH190&gt;0,1,IF('Growth (no penalty)'!BH293&gt;0,4,0))</f>
        <v>4</v>
      </c>
      <c r="BJ206" s="22">
        <f>IF('Growth (no penalty)'!BI190&gt;0,1,IF('Growth (no penalty)'!BI293&gt;0,4,0))</f>
        <v>4</v>
      </c>
      <c r="BK206" s="23">
        <f>IF('Growth (no penalty)'!BJ190&gt;0,1,IF('Growth (no penalty)'!BJ293&gt;0,4,0))</f>
        <v>4</v>
      </c>
    </row>
    <row r="207" spans="1:63" x14ac:dyDescent="0.3">
      <c r="A207" s="4" t="str">
        <f>'Growth profile'!A68</f>
        <v>project 92</v>
      </c>
      <c r="B207" s="13" t="s">
        <v>3</v>
      </c>
      <c r="C207" s="19">
        <f>'Raw profile'!I68</f>
        <v>2038</v>
      </c>
      <c r="D207" s="20">
        <f>IF('Raw profile'!C176&gt;0,1,IF('Raw profile'!C279&gt;0,2,0))</f>
        <v>0</v>
      </c>
      <c r="E207" s="20">
        <f>IF('Raw profile'!D176&gt;0,1,IF('Raw profile'!D279&gt;0,2,0))</f>
        <v>0</v>
      </c>
      <c r="F207" s="20">
        <f>IF('Raw profile'!E176&gt;0,1,IF('Raw profile'!E279&gt;0,2,0))</f>
        <v>0</v>
      </c>
      <c r="G207" s="20">
        <f>IF('Raw profile'!F176&gt;0,1,IF('Raw profile'!F279&gt;0,2,0))</f>
        <v>0</v>
      </c>
      <c r="H207" s="20">
        <f>IF('Raw profile'!G176&gt;0,1,IF('Raw profile'!G279&gt;0,2,0))</f>
        <v>0</v>
      </c>
      <c r="I207" s="20">
        <f>IF('Raw profile'!H176&gt;0,1,IF('Raw profile'!H279&gt;0,2,0))</f>
        <v>0</v>
      </c>
      <c r="J207" s="20">
        <f>IF('Raw profile'!I176&gt;0,1,IF('Raw profile'!I279&gt;0,2,0))</f>
        <v>0</v>
      </c>
      <c r="K207" s="20">
        <f>IF('Raw profile'!J176&gt;0,1,IF('Raw profile'!J279&gt;0,2,0))</f>
        <v>0</v>
      </c>
      <c r="L207" s="20">
        <f>IF('Raw profile'!K176&gt;0,1,IF('Raw profile'!K279&gt;0,2,0))</f>
        <v>0</v>
      </c>
      <c r="M207" s="20">
        <f>IF('Raw profile'!L176&gt;0,1,IF('Raw profile'!L279&gt;0,2,0))</f>
        <v>0</v>
      </c>
      <c r="N207" s="20">
        <f>IF('Raw profile'!M176&gt;0,1,IF('Raw profile'!M279&gt;0,2,0))</f>
        <v>0</v>
      </c>
      <c r="O207" s="20">
        <f>IF('Raw profile'!N176&gt;0,1,IF('Raw profile'!N279&gt;0,2,0))</f>
        <v>0</v>
      </c>
      <c r="P207" s="20">
        <f>IF('Raw profile'!O176&gt;0,1,IF('Raw profile'!O279&gt;0,2,0))</f>
        <v>1</v>
      </c>
      <c r="Q207" s="20">
        <f>IF('Raw profile'!P176&gt;0,1,IF('Raw profile'!P279&gt;0,2,0))</f>
        <v>1</v>
      </c>
      <c r="R207" s="20">
        <f>IF('Raw profile'!Q176&gt;0,1,IF('Raw profile'!Q279&gt;0,2,0))</f>
        <v>1</v>
      </c>
      <c r="S207" s="20">
        <f>IF('Raw profile'!R176&gt;0,1,IF('Raw profile'!R279&gt;0,2,0))</f>
        <v>1</v>
      </c>
      <c r="T207" s="20">
        <f>IF('Raw profile'!S176&gt;0,1,IF('Raw profile'!S279&gt;0,2,0))</f>
        <v>1</v>
      </c>
      <c r="U207" s="20">
        <f>IF('Raw profile'!T176&gt;0,1,IF('Raw profile'!T279&gt;0,2,0))</f>
        <v>2</v>
      </c>
      <c r="V207" s="20">
        <f>IF('Raw profile'!U176&gt;0,1,IF('Raw profile'!U279&gt;0,2,0))</f>
        <v>2</v>
      </c>
      <c r="W207" s="20">
        <f>IF('Raw profile'!V176&gt;0,1,IF('Raw profile'!V279&gt;0,2,0))</f>
        <v>2</v>
      </c>
      <c r="X207" s="20">
        <f>IF('Raw profile'!W176&gt;0,1,IF('Raw profile'!W279&gt;0,2,0))</f>
        <v>2</v>
      </c>
      <c r="Y207" s="20">
        <f>IF('Raw profile'!X176&gt;0,1,IF('Raw profile'!X279&gt;0,2,0))</f>
        <v>2</v>
      </c>
      <c r="Z207" s="20">
        <f>IF('Raw profile'!Y176&gt;0,1,IF('Raw profile'!Y279&gt;0,2,0))</f>
        <v>2</v>
      </c>
      <c r="AA207" s="20">
        <f>IF('Raw profile'!Z176&gt;0,1,IF('Raw profile'!Z279&gt;0,2,0))</f>
        <v>2</v>
      </c>
      <c r="AB207" s="20">
        <f>IF('Raw profile'!AA176&gt;0,1,IF('Raw profile'!AA279&gt;0,2,0))</f>
        <v>2</v>
      </c>
      <c r="AC207" s="20">
        <f>IF('Raw profile'!AB176&gt;0,1,IF('Raw profile'!AB279&gt;0,2,0))</f>
        <v>2</v>
      </c>
      <c r="AD207" s="20">
        <f>IF('Raw profile'!AC176&gt;0,1,IF('Raw profile'!AC279&gt;0,2,0))</f>
        <v>2</v>
      </c>
      <c r="AE207" s="20">
        <f>IF('Raw profile'!AD176&gt;0,1,IF('Raw profile'!AD279&gt;0,2,0))</f>
        <v>2</v>
      </c>
      <c r="AF207" s="20">
        <f>IF('Raw profile'!AE176&gt;0,1,IF('Raw profile'!AE279&gt;0,2,0))</f>
        <v>2</v>
      </c>
      <c r="AG207" s="20">
        <f>IF('Raw profile'!AF176&gt;0,1,IF('Raw profile'!AF279&gt;0,2,0))</f>
        <v>2</v>
      </c>
      <c r="AH207" s="20">
        <f>IF('Raw profile'!AG176&gt;0,1,IF('Raw profile'!AG279&gt;0,2,0))</f>
        <v>2</v>
      </c>
      <c r="AI207" s="20">
        <f>IF('Raw profile'!AH176&gt;0,1,IF('Raw profile'!AH279&gt;0,2,0))</f>
        <v>2</v>
      </c>
      <c r="AJ207" s="20">
        <f>IF('Raw profile'!AI176&gt;0,1,IF('Raw profile'!AI279&gt;0,2,0))</f>
        <v>2</v>
      </c>
      <c r="AK207" s="20">
        <f>IF('Raw profile'!AJ176&gt;0,1,IF('Raw profile'!AJ279&gt;0,2,0))</f>
        <v>2</v>
      </c>
      <c r="AL207" s="20">
        <f>IF('Raw profile'!AK176&gt;0,1,IF('Raw profile'!AK279&gt;0,2,0))</f>
        <v>2</v>
      </c>
      <c r="AM207" s="20">
        <f>IF('Raw profile'!AL176&gt;0,1,IF('Raw profile'!AL279&gt;0,2,0))</f>
        <v>2</v>
      </c>
      <c r="AN207" s="20">
        <f>IF('Raw profile'!AM176&gt;0,1,IF('Raw profile'!AM279&gt;0,2,0))</f>
        <v>2</v>
      </c>
      <c r="AO207" s="20">
        <f>IF('Raw profile'!AN176&gt;0,1,IF('Raw profile'!AN279&gt;0,2,0))</f>
        <v>2</v>
      </c>
      <c r="AP207" s="20">
        <f>IF('Raw profile'!AO176&gt;0,1,IF('Raw profile'!AO279&gt;0,2,0))</f>
        <v>2</v>
      </c>
      <c r="AQ207" s="20">
        <f>IF('Raw profile'!AP176&gt;0,1,IF('Raw profile'!AP279&gt;0,2,0))</f>
        <v>2</v>
      </c>
      <c r="AR207" s="20">
        <f>IF('Raw profile'!AQ176&gt;0,1,IF('Raw profile'!AQ279&gt;0,2,0))</f>
        <v>2</v>
      </c>
      <c r="AS207" s="20">
        <f>IF('Raw profile'!AR176&gt;0,1,IF('Raw profile'!AR279&gt;0,2,0))</f>
        <v>2</v>
      </c>
      <c r="AT207" s="20">
        <f>IF('Raw profile'!AS176&gt;0,1,IF('Raw profile'!AS279&gt;0,2,0))</f>
        <v>2</v>
      </c>
      <c r="AU207" s="20">
        <f>IF('Raw profile'!AT176&gt;0,1,IF('Raw profile'!AT279&gt;0,2,0))</f>
        <v>2</v>
      </c>
      <c r="AV207" s="20">
        <f>IF('Raw profile'!AU176&gt;0,1,IF('Raw profile'!AU279&gt;0,2,0))</f>
        <v>2</v>
      </c>
      <c r="AW207" s="20">
        <f>IF('Raw profile'!AV176&gt;0,1,IF('Raw profile'!AV279&gt;0,2,0))</f>
        <v>2</v>
      </c>
      <c r="AX207" s="20">
        <f>IF('Raw profile'!AW176&gt;0,1,IF('Raw profile'!AW279&gt;0,2,0))</f>
        <v>2</v>
      </c>
      <c r="AY207" s="20">
        <f>IF('Raw profile'!AX176&gt;0,1,IF('Raw profile'!AX279&gt;0,2,0))</f>
        <v>2</v>
      </c>
      <c r="AZ207" s="20">
        <f>IF('Raw profile'!AY176&gt;0,1,IF('Raw profile'!AY279&gt;0,2,0))</f>
        <v>2</v>
      </c>
      <c r="BA207" s="20">
        <f>IF('Raw profile'!AZ176&gt;0,1,IF('Raw profile'!AZ279&gt;0,2,0))</f>
        <v>2</v>
      </c>
      <c r="BB207" s="20">
        <f>IF('Raw profile'!BA176&gt;0,1,IF('Raw profile'!BA279&gt;0,2,0))</f>
        <v>2</v>
      </c>
      <c r="BC207" s="20">
        <f>IF('Raw profile'!BB176&gt;0,1,IF('Raw profile'!BB279&gt;0,2,0))</f>
        <v>2</v>
      </c>
      <c r="BD207" s="20">
        <f>IF('Raw profile'!BC176&gt;0,1,IF('Raw profile'!BC279&gt;0,2,0))</f>
        <v>2</v>
      </c>
      <c r="BE207" s="20">
        <f>IF('Raw profile'!BD176&gt;0,1,IF('Raw profile'!BD279&gt;0,2,0))</f>
        <v>2</v>
      </c>
      <c r="BF207" s="20">
        <f>IF('Raw profile'!BE176&gt;0,1,IF('Raw profile'!BE279&gt;0,2,0))</f>
        <v>2</v>
      </c>
      <c r="BG207" s="20">
        <f>IF('Raw profile'!BF176&gt;0,1,IF('Raw profile'!BF279&gt;0,2,0))</f>
        <v>2</v>
      </c>
      <c r="BH207" s="20">
        <f>IF('Raw profile'!BG176&gt;0,1,IF('Raw profile'!BG279&gt;0,2,0))</f>
        <v>2</v>
      </c>
      <c r="BI207" s="20">
        <f>IF('Raw profile'!BH176&gt;0,1,IF('Raw profile'!BH279&gt;0,2,0))</f>
        <v>0</v>
      </c>
      <c r="BJ207" s="20">
        <f>IF('Raw profile'!BI176&gt;0,1,IF('Raw profile'!BI279&gt;0,2,0))</f>
        <v>0</v>
      </c>
      <c r="BK207" s="21">
        <f>IF('Raw profile'!BJ176&gt;0,1,IF('Raw profile'!BJ279&gt;0,2,0))</f>
        <v>0</v>
      </c>
    </row>
    <row r="208" spans="1:63" x14ac:dyDescent="0.3">
      <c r="B208" s="13" t="s">
        <v>4</v>
      </c>
      <c r="C208" s="19">
        <f>'Growth profile'!I68</f>
        <v>2026</v>
      </c>
      <c r="D208" s="20">
        <f>IF('Growth profile'!C176&gt;0,1,IF('Growth profile'!C279&gt;0,3,0))</f>
        <v>1</v>
      </c>
      <c r="E208" s="20">
        <f>IF('Growth profile'!D176&gt;0,1,IF('Growth profile'!D279&gt;0,3,0))</f>
        <v>1</v>
      </c>
      <c r="F208" s="20">
        <f>IF('Growth profile'!E176&gt;0,1,IF('Growth profile'!E279&gt;0,3,0))</f>
        <v>1</v>
      </c>
      <c r="G208" s="20">
        <f>IF('Growth profile'!F176&gt;0,1,IF('Growth profile'!F279&gt;0,3,0))</f>
        <v>1</v>
      </c>
      <c r="H208" s="20">
        <f>IF('Growth profile'!G176&gt;0,1,IF('Growth profile'!G279&gt;0,3,0))</f>
        <v>1</v>
      </c>
      <c r="I208" s="20">
        <f>IF('Growth profile'!H176&gt;0,1,IF('Growth profile'!H279&gt;0,3,0))</f>
        <v>3</v>
      </c>
      <c r="J208" s="20">
        <f>IF('Growth profile'!I176&gt;0,1,IF('Growth profile'!I279&gt;0,3,0))</f>
        <v>3</v>
      </c>
      <c r="K208" s="20">
        <f>IF('Growth profile'!J176&gt;0,1,IF('Growth profile'!J279&gt;0,3,0))</f>
        <v>3</v>
      </c>
      <c r="L208" s="20">
        <f>IF('Growth profile'!K176&gt;0,1,IF('Growth profile'!K279&gt;0,3,0))</f>
        <v>3</v>
      </c>
      <c r="M208" s="20">
        <f>IF('Growth profile'!L176&gt;0,1,IF('Growth profile'!L279&gt;0,3,0))</f>
        <v>3</v>
      </c>
      <c r="N208" s="20">
        <f>IF('Growth profile'!M176&gt;0,1,IF('Growth profile'!M279&gt;0,3,0))</f>
        <v>3</v>
      </c>
      <c r="O208" s="20">
        <f>IF('Growth profile'!N176&gt;0,1,IF('Growth profile'!N279&gt;0,3,0))</f>
        <v>3</v>
      </c>
      <c r="P208" s="20">
        <f>IF('Growth profile'!O176&gt;0,1,IF('Growth profile'!O279&gt;0,3,0))</f>
        <v>3</v>
      </c>
      <c r="Q208" s="20">
        <f>IF('Growth profile'!P176&gt;0,1,IF('Growth profile'!P279&gt;0,3,0))</f>
        <v>3</v>
      </c>
      <c r="R208" s="20">
        <f>IF('Growth profile'!Q176&gt;0,1,IF('Growth profile'!Q279&gt;0,3,0))</f>
        <v>3</v>
      </c>
      <c r="S208" s="20">
        <f>IF('Growth profile'!R176&gt;0,1,IF('Growth profile'!R279&gt;0,3,0))</f>
        <v>3</v>
      </c>
      <c r="T208" s="20">
        <f>IF('Growth profile'!S176&gt;0,1,IF('Growth profile'!S279&gt;0,3,0))</f>
        <v>3</v>
      </c>
      <c r="U208" s="20">
        <f>IF('Growth profile'!T176&gt;0,1,IF('Growth profile'!T279&gt;0,3,0))</f>
        <v>3</v>
      </c>
      <c r="V208" s="20">
        <f>IF('Growth profile'!U176&gt;0,1,IF('Growth profile'!U279&gt;0,3,0))</f>
        <v>3</v>
      </c>
      <c r="W208" s="20">
        <f>IF('Growth profile'!V176&gt;0,1,IF('Growth profile'!V279&gt;0,3,0))</f>
        <v>3</v>
      </c>
      <c r="X208" s="20">
        <f>IF('Growth profile'!W176&gt;0,1,IF('Growth profile'!W279&gt;0,3,0))</f>
        <v>3</v>
      </c>
      <c r="Y208" s="20">
        <f>IF('Growth profile'!X176&gt;0,1,IF('Growth profile'!X279&gt;0,3,0))</f>
        <v>3</v>
      </c>
      <c r="Z208" s="20">
        <f>IF('Growth profile'!Y176&gt;0,1,IF('Growth profile'!Y279&gt;0,3,0))</f>
        <v>3</v>
      </c>
      <c r="AA208" s="20">
        <f>IF('Growth profile'!Z176&gt;0,1,IF('Growth profile'!Z279&gt;0,3,0))</f>
        <v>3</v>
      </c>
      <c r="AB208" s="20">
        <f>IF('Growth profile'!AA176&gt;0,1,IF('Growth profile'!AA279&gt;0,3,0))</f>
        <v>3</v>
      </c>
      <c r="AC208" s="20">
        <f>IF('Growth profile'!AB176&gt;0,1,IF('Growth profile'!AB279&gt;0,3,0))</f>
        <v>3</v>
      </c>
      <c r="AD208" s="20">
        <f>IF('Growth profile'!AC176&gt;0,1,IF('Growth profile'!AC279&gt;0,3,0))</f>
        <v>3</v>
      </c>
      <c r="AE208" s="20">
        <f>IF('Growth profile'!AD176&gt;0,1,IF('Growth profile'!AD279&gt;0,3,0))</f>
        <v>3</v>
      </c>
      <c r="AF208" s="20">
        <f>IF('Growth profile'!AE176&gt;0,1,IF('Growth profile'!AE279&gt;0,3,0))</f>
        <v>3</v>
      </c>
      <c r="AG208" s="20">
        <f>IF('Growth profile'!AF176&gt;0,1,IF('Growth profile'!AF279&gt;0,3,0))</f>
        <v>3</v>
      </c>
      <c r="AH208" s="20">
        <f>IF('Growth profile'!AG176&gt;0,1,IF('Growth profile'!AG279&gt;0,3,0))</f>
        <v>3</v>
      </c>
      <c r="AI208" s="20">
        <f>IF('Growth profile'!AH176&gt;0,1,IF('Growth profile'!AH279&gt;0,3,0))</f>
        <v>3</v>
      </c>
      <c r="AJ208" s="20">
        <f>IF('Growth profile'!AI176&gt;0,1,IF('Growth profile'!AI279&gt;0,3,0))</f>
        <v>3</v>
      </c>
      <c r="AK208" s="20">
        <f>IF('Growth profile'!AJ176&gt;0,1,IF('Growth profile'!AJ279&gt;0,3,0))</f>
        <v>3</v>
      </c>
      <c r="AL208" s="20">
        <f>IF('Growth profile'!AK176&gt;0,1,IF('Growth profile'!AK279&gt;0,3,0))</f>
        <v>3</v>
      </c>
      <c r="AM208" s="20">
        <f>IF('Growth profile'!AL176&gt;0,1,IF('Growth profile'!AL279&gt;0,3,0))</f>
        <v>3</v>
      </c>
      <c r="AN208" s="20">
        <f>IF('Growth profile'!AM176&gt;0,1,IF('Growth profile'!AM279&gt;0,3,0))</f>
        <v>3</v>
      </c>
      <c r="AO208" s="20">
        <f>IF('Growth profile'!AN176&gt;0,1,IF('Growth profile'!AN279&gt;0,3,0))</f>
        <v>3</v>
      </c>
      <c r="AP208" s="20">
        <f>IF('Growth profile'!AO176&gt;0,1,IF('Growth profile'!AO279&gt;0,3,0))</f>
        <v>3</v>
      </c>
      <c r="AQ208" s="20">
        <f>IF('Growth profile'!AP176&gt;0,1,IF('Growth profile'!AP279&gt;0,3,0))</f>
        <v>3</v>
      </c>
      <c r="AR208" s="20">
        <f>IF('Growth profile'!AQ176&gt;0,1,IF('Growth profile'!AQ279&gt;0,3,0))</f>
        <v>3</v>
      </c>
      <c r="AS208" s="20">
        <f>IF('Growth profile'!AR176&gt;0,1,IF('Growth profile'!AR279&gt;0,3,0))</f>
        <v>3</v>
      </c>
      <c r="AT208" s="20">
        <f>IF('Growth profile'!AS176&gt;0,1,IF('Growth profile'!AS279&gt;0,3,0))</f>
        <v>3</v>
      </c>
      <c r="AU208" s="20">
        <f>IF('Growth profile'!AT176&gt;0,1,IF('Growth profile'!AT279&gt;0,3,0))</f>
        <v>3</v>
      </c>
      <c r="AV208" s="20">
        <f>IF('Growth profile'!AU176&gt;0,1,IF('Growth profile'!AU279&gt;0,3,0))</f>
        <v>3</v>
      </c>
      <c r="AW208" s="20">
        <f>IF('Growth profile'!AV176&gt;0,1,IF('Growth profile'!AV279&gt;0,3,0))</f>
        <v>0</v>
      </c>
      <c r="AX208" s="20">
        <f>IF('Growth profile'!AW176&gt;0,1,IF('Growth profile'!AW279&gt;0,3,0))</f>
        <v>0</v>
      </c>
      <c r="AY208" s="20">
        <f>IF('Growth profile'!AX176&gt;0,1,IF('Growth profile'!AX279&gt;0,3,0))</f>
        <v>0</v>
      </c>
      <c r="AZ208" s="20">
        <f>IF('Growth profile'!AY176&gt;0,1,IF('Growth profile'!AY279&gt;0,3,0))</f>
        <v>0</v>
      </c>
      <c r="BA208" s="20">
        <f>IF('Growth profile'!AZ176&gt;0,1,IF('Growth profile'!AZ279&gt;0,3,0))</f>
        <v>0</v>
      </c>
      <c r="BB208" s="20">
        <f>IF('Growth profile'!BA176&gt;0,1,IF('Growth profile'!BA279&gt;0,3,0))</f>
        <v>0</v>
      </c>
      <c r="BC208" s="20">
        <f>IF('Growth profile'!BB176&gt;0,1,IF('Growth profile'!BB279&gt;0,3,0))</f>
        <v>0</v>
      </c>
      <c r="BD208" s="20">
        <f>IF('Growth profile'!BC176&gt;0,1,IF('Growth profile'!BC279&gt;0,3,0))</f>
        <v>0</v>
      </c>
      <c r="BE208" s="20">
        <f>IF('Growth profile'!BD176&gt;0,1,IF('Growth profile'!BD279&gt;0,3,0))</f>
        <v>0</v>
      </c>
      <c r="BF208" s="20">
        <f>IF('Growth profile'!BE176&gt;0,1,IF('Growth profile'!BE279&gt;0,3,0))</f>
        <v>0</v>
      </c>
      <c r="BG208" s="20">
        <f>IF('Growth profile'!BF176&gt;0,1,IF('Growth profile'!BF279&gt;0,3,0))</f>
        <v>0</v>
      </c>
      <c r="BH208" s="20">
        <f>IF('Growth profile'!BG176&gt;0,1,IF('Growth profile'!BG279&gt;0,3,0))</f>
        <v>0</v>
      </c>
      <c r="BI208" s="20">
        <f>IF('Growth profile'!BH176&gt;0,1,IF('Growth profile'!BH279&gt;0,3,0))</f>
        <v>0</v>
      </c>
      <c r="BJ208" s="20">
        <f>IF('Growth profile'!BI176&gt;0,1,IF('Growth profile'!BI279&gt;0,3,0))</f>
        <v>0</v>
      </c>
      <c r="BK208" s="21">
        <f>IF('Growth profile'!BJ176&gt;0,1,IF('Growth profile'!BJ279&gt;0,3,0))</f>
        <v>0</v>
      </c>
    </row>
    <row r="209" spans="1:63" x14ac:dyDescent="0.3">
      <c r="B209" s="13" t="s">
        <v>59</v>
      </c>
      <c r="C209" s="19">
        <f>'Growth (no penalty)'!I68</f>
        <v>2026</v>
      </c>
      <c r="D209" s="22">
        <f>IF('Growth (no penalty)'!C176&gt;0,1,IF('Growth (no penalty)'!C279&gt;0,4,0))</f>
        <v>1</v>
      </c>
      <c r="E209" s="22">
        <f>IF('Growth (no penalty)'!D176&gt;0,1,IF('Growth (no penalty)'!D279&gt;0,4,0))</f>
        <v>1</v>
      </c>
      <c r="F209" s="22">
        <f>IF('Growth (no penalty)'!E176&gt;0,1,IF('Growth (no penalty)'!E279&gt;0,4,0))</f>
        <v>1</v>
      </c>
      <c r="G209" s="22">
        <f>IF('Growth (no penalty)'!F176&gt;0,1,IF('Growth (no penalty)'!F279&gt;0,4,0))</f>
        <v>1</v>
      </c>
      <c r="H209" s="22">
        <f>IF('Growth (no penalty)'!G176&gt;0,1,IF('Growth (no penalty)'!G279&gt;0,4,0))</f>
        <v>1</v>
      </c>
      <c r="I209" s="22">
        <f>IF('Growth (no penalty)'!H176&gt;0,1,IF('Growth (no penalty)'!H279&gt;0,4,0))</f>
        <v>4</v>
      </c>
      <c r="J209" s="22">
        <f>IF('Growth (no penalty)'!I176&gt;0,1,IF('Growth (no penalty)'!I279&gt;0,4,0))</f>
        <v>4</v>
      </c>
      <c r="K209" s="22">
        <f>IF('Growth (no penalty)'!J176&gt;0,1,IF('Growth (no penalty)'!J279&gt;0,4,0))</f>
        <v>4</v>
      </c>
      <c r="L209" s="22">
        <f>IF('Growth (no penalty)'!K176&gt;0,1,IF('Growth (no penalty)'!K279&gt;0,4,0))</f>
        <v>4</v>
      </c>
      <c r="M209" s="22">
        <f>IF('Growth (no penalty)'!L176&gt;0,1,IF('Growth (no penalty)'!L279&gt;0,4,0))</f>
        <v>4</v>
      </c>
      <c r="N209" s="22">
        <f>IF('Growth (no penalty)'!M176&gt;0,1,IF('Growth (no penalty)'!M279&gt;0,4,0))</f>
        <v>4</v>
      </c>
      <c r="O209" s="22">
        <f>IF('Growth (no penalty)'!N176&gt;0,1,IF('Growth (no penalty)'!N279&gt;0,4,0))</f>
        <v>4</v>
      </c>
      <c r="P209" s="22">
        <f>IF('Growth (no penalty)'!O176&gt;0,1,IF('Growth (no penalty)'!O279&gt;0,4,0))</f>
        <v>4</v>
      </c>
      <c r="Q209" s="22">
        <f>IF('Growth (no penalty)'!P176&gt;0,1,IF('Growth (no penalty)'!P279&gt;0,4,0))</f>
        <v>4</v>
      </c>
      <c r="R209" s="22">
        <f>IF('Growth (no penalty)'!Q176&gt;0,1,IF('Growth (no penalty)'!Q279&gt;0,4,0))</f>
        <v>4</v>
      </c>
      <c r="S209" s="22">
        <f>IF('Growth (no penalty)'!R176&gt;0,1,IF('Growth (no penalty)'!R279&gt;0,4,0))</f>
        <v>4</v>
      </c>
      <c r="T209" s="22">
        <f>IF('Growth (no penalty)'!S176&gt;0,1,IF('Growth (no penalty)'!S279&gt;0,4,0))</f>
        <v>4</v>
      </c>
      <c r="U209" s="22">
        <f>IF('Growth (no penalty)'!T176&gt;0,1,IF('Growth (no penalty)'!T279&gt;0,4,0))</f>
        <v>4</v>
      </c>
      <c r="V209" s="22">
        <f>IF('Growth (no penalty)'!U176&gt;0,1,IF('Growth (no penalty)'!U279&gt;0,4,0))</f>
        <v>4</v>
      </c>
      <c r="W209" s="22">
        <f>IF('Growth (no penalty)'!V176&gt;0,1,IF('Growth (no penalty)'!V279&gt;0,4,0))</f>
        <v>4</v>
      </c>
      <c r="X209" s="22">
        <f>IF('Growth (no penalty)'!W176&gt;0,1,IF('Growth (no penalty)'!W279&gt;0,4,0))</f>
        <v>4</v>
      </c>
      <c r="Y209" s="22">
        <f>IF('Growth (no penalty)'!X176&gt;0,1,IF('Growth (no penalty)'!X279&gt;0,4,0))</f>
        <v>4</v>
      </c>
      <c r="Z209" s="22">
        <f>IF('Growth (no penalty)'!Y176&gt;0,1,IF('Growth (no penalty)'!Y279&gt;0,4,0))</f>
        <v>4</v>
      </c>
      <c r="AA209" s="22">
        <f>IF('Growth (no penalty)'!Z176&gt;0,1,IF('Growth (no penalty)'!Z279&gt;0,4,0))</f>
        <v>4</v>
      </c>
      <c r="AB209" s="22">
        <f>IF('Growth (no penalty)'!AA176&gt;0,1,IF('Growth (no penalty)'!AA279&gt;0,4,0))</f>
        <v>4</v>
      </c>
      <c r="AC209" s="22">
        <f>IF('Growth (no penalty)'!AB176&gt;0,1,IF('Growth (no penalty)'!AB279&gt;0,4,0))</f>
        <v>4</v>
      </c>
      <c r="AD209" s="22">
        <f>IF('Growth (no penalty)'!AC176&gt;0,1,IF('Growth (no penalty)'!AC279&gt;0,4,0))</f>
        <v>4</v>
      </c>
      <c r="AE209" s="22">
        <f>IF('Growth (no penalty)'!AD176&gt;0,1,IF('Growth (no penalty)'!AD279&gt;0,4,0))</f>
        <v>4</v>
      </c>
      <c r="AF209" s="22">
        <f>IF('Growth (no penalty)'!AE176&gt;0,1,IF('Growth (no penalty)'!AE279&gt;0,4,0))</f>
        <v>4</v>
      </c>
      <c r="AG209" s="22">
        <f>IF('Growth (no penalty)'!AF176&gt;0,1,IF('Growth (no penalty)'!AF279&gt;0,4,0))</f>
        <v>4</v>
      </c>
      <c r="AH209" s="22">
        <f>IF('Growth (no penalty)'!AG176&gt;0,1,IF('Growth (no penalty)'!AG279&gt;0,4,0))</f>
        <v>4</v>
      </c>
      <c r="AI209" s="22">
        <f>IF('Growth (no penalty)'!AH176&gt;0,1,IF('Growth (no penalty)'!AH279&gt;0,4,0))</f>
        <v>4</v>
      </c>
      <c r="AJ209" s="22">
        <f>IF('Growth (no penalty)'!AI176&gt;0,1,IF('Growth (no penalty)'!AI279&gt;0,4,0))</f>
        <v>4</v>
      </c>
      <c r="AK209" s="22">
        <f>IF('Growth (no penalty)'!AJ176&gt;0,1,IF('Growth (no penalty)'!AJ279&gt;0,4,0))</f>
        <v>4</v>
      </c>
      <c r="AL209" s="22">
        <f>IF('Growth (no penalty)'!AK176&gt;0,1,IF('Growth (no penalty)'!AK279&gt;0,4,0))</f>
        <v>4</v>
      </c>
      <c r="AM209" s="22">
        <f>IF('Growth (no penalty)'!AL176&gt;0,1,IF('Growth (no penalty)'!AL279&gt;0,4,0))</f>
        <v>4</v>
      </c>
      <c r="AN209" s="22">
        <f>IF('Growth (no penalty)'!AM176&gt;0,1,IF('Growth (no penalty)'!AM279&gt;0,4,0))</f>
        <v>4</v>
      </c>
      <c r="AO209" s="22">
        <f>IF('Growth (no penalty)'!AN176&gt;0,1,IF('Growth (no penalty)'!AN279&gt;0,4,0))</f>
        <v>4</v>
      </c>
      <c r="AP209" s="22">
        <f>IF('Growth (no penalty)'!AO176&gt;0,1,IF('Growth (no penalty)'!AO279&gt;0,4,0))</f>
        <v>4</v>
      </c>
      <c r="AQ209" s="22">
        <f>IF('Growth (no penalty)'!AP176&gt;0,1,IF('Growth (no penalty)'!AP279&gt;0,4,0))</f>
        <v>4</v>
      </c>
      <c r="AR209" s="22">
        <f>IF('Growth (no penalty)'!AQ176&gt;0,1,IF('Growth (no penalty)'!AQ279&gt;0,4,0))</f>
        <v>4</v>
      </c>
      <c r="AS209" s="22">
        <f>IF('Growth (no penalty)'!AR176&gt;0,1,IF('Growth (no penalty)'!AR279&gt;0,4,0))</f>
        <v>4</v>
      </c>
      <c r="AT209" s="22">
        <f>IF('Growth (no penalty)'!AS176&gt;0,1,IF('Growth (no penalty)'!AS279&gt;0,4,0))</f>
        <v>4</v>
      </c>
      <c r="AU209" s="22">
        <f>IF('Growth (no penalty)'!AT176&gt;0,1,IF('Growth (no penalty)'!AT279&gt;0,4,0))</f>
        <v>4</v>
      </c>
      <c r="AV209" s="22">
        <f>IF('Growth (no penalty)'!AU176&gt;0,1,IF('Growth (no penalty)'!AU279&gt;0,4,0))</f>
        <v>4</v>
      </c>
      <c r="AW209" s="22">
        <f>IF('Growth (no penalty)'!AV176&gt;0,1,IF('Growth (no penalty)'!AV279&gt;0,4,0))</f>
        <v>0</v>
      </c>
      <c r="AX209" s="22">
        <f>IF('Growth (no penalty)'!AW176&gt;0,1,IF('Growth (no penalty)'!AW279&gt;0,4,0))</f>
        <v>0</v>
      </c>
      <c r="AY209" s="22">
        <f>IF('Growth (no penalty)'!AX176&gt;0,1,IF('Growth (no penalty)'!AX279&gt;0,4,0))</f>
        <v>0</v>
      </c>
      <c r="AZ209" s="22">
        <f>IF('Growth (no penalty)'!AY176&gt;0,1,IF('Growth (no penalty)'!AY279&gt;0,4,0))</f>
        <v>0</v>
      </c>
      <c r="BA209" s="22">
        <f>IF('Growth (no penalty)'!AZ176&gt;0,1,IF('Growth (no penalty)'!AZ279&gt;0,4,0))</f>
        <v>0</v>
      </c>
      <c r="BB209" s="22">
        <f>IF('Growth (no penalty)'!BA176&gt;0,1,IF('Growth (no penalty)'!BA279&gt;0,4,0))</f>
        <v>0</v>
      </c>
      <c r="BC209" s="22">
        <f>IF('Growth (no penalty)'!BB176&gt;0,1,IF('Growth (no penalty)'!BB279&gt;0,4,0))</f>
        <v>0</v>
      </c>
      <c r="BD209" s="22">
        <f>IF('Growth (no penalty)'!BC176&gt;0,1,IF('Growth (no penalty)'!BC279&gt;0,4,0))</f>
        <v>0</v>
      </c>
      <c r="BE209" s="22">
        <f>IF('Growth (no penalty)'!BD176&gt;0,1,IF('Growth (no penalty)'!BD279&gt;0,4,0))</f>
        <v>0</v>
      </c>
      <c r="BF209" s="22">
        <f>IF('Growth (no penalty)'!BE176&gt;0,1,IF('Growth (no penalty)'!BE279&gt;0,4,0))</f>
        <v>0</v>
      </c>
      <c r="BG209" s="22">
        <f>IF('Growth (no penalty)'!BF176&gt;0,1,IF('Growth (no penalty)'!BF279&gt;0,4,0))</f>
        <v>0</v>
      </c>
      <c r="BH209" s="22">
        <f>IF('Growth (no penalty)'!BG176&gt;0,1,IF('Growth (no penalty)'!BG279&gt;0,4,0))</f>
        <v>0</v>
      </c>
      <c r="BI209" s="22">
        <f>IF('Growth (no penalty)'!BH176&gt;0,1,IF('Growth (no penalty)'!BH279&gt;0,4,0))</f>
        <v>0</v>
      </c>
      <c r="BJ209" s="22">
        <f>IF('Growth (no penalty)'!BI176&gt;0,1,IF('Growth (no penalty)'!BI279&gt;0,4,0))</f>
        <v>0</v>
      </c>
      <c r="BK209" s="23">
        <f>IF('Growth (no penalty)'!BJ176&gt;0,1,IF('Growth (no penalty)'!BJ279&gt;0,4,0))</f>
        <v>0</v>
      </c>
    </row>
    <row r="210" spans="1:63" x14ac:dyDescent="0.3">
      <c r="A210" s="4" t="str">
        <f>'Growth profile'!A85</f>
        <v>project 128</v>
      </c>
      <c r="B210" s="13" t="s">
        <v>3</v>
      </c>
      <c r="C210" s="19">
        <f>'Raw profile'!I85</f>
        <v>2039</v>
      </c>
      <c r="D210" s="20">
        <f>IF('Raw profile'!C193&gt;0,1,IF('Raw profile'!C296&gt;0,2,0))</f>
        <v>0</v>
      </c>
      <c r="E210" s="20">
        <f>IF('Raw profile'!D193&gt;0,1,IF('Raw profile'!D296&gt;0,2,0))</f>
        <v>0</v>
      </c>
      <c r="F210" s="20">
        <f>IF('Raw profile'!E193&gt;0,1,IF('Raw profile'!E296&gt;0,2,0))</f>
        <v>0</v>
      </c>
      <c r="G210" s="20">
        <f>IF('Raw profile'!F193&gt;0,1,IF('Raw profile'!F296&gt;0,2,0))</f>
        <v>0</v>
      </c>
      <c r="H210" s="20">
        <f>IF('Raw profile'!G193&gt;0,1,IF('Raw profile'!G296&gt;0,2,0))</f>
        <v>0</v>
      </c>
      <c r="I210" s="20">
        <f>IF('Raw profile'!H193&gt;0,1,IF('Raw profile'!H296&gt;0,2,0))</f>
        <v>0</v>
      </c>
      <c r="J210" s="20">
        <f>IF('Raw profile'!I193&gt;0,1,IF('Raw profile'!I296&gt;0,2,0))</f>
        <v>0</v>
      </c>
      <c r="K210" s="20">
        <f>IF('Raw profile'!J193&gt;0,1,IF('Raw profile'!J296&gt;0,2,0))</f>
        <v>0</v>
      </c>
      <c r="L210" s="20">
        <f>IF('Raw profile'!K193&gt;0,1,IF('Raw profile'!K296&gt;0,2,0))</f>
        <v>0</v>
      </c>
      <c r="M210" s="20">
        <f>IF('Raw profile'!L193&gt;0,1,IF('Raw profile'!L296&gt;0,2,0))</f>
        <v>0</v>
      </c>
      <c r="N210" s="20">
        <f>IF('Raw profile'!M193&gt;0,1,IF('Raw profile'!M296&gt;0,2,0))</f>
        <v>0</v>
      </c>
      <c r="O210" s="20">
        <f>IF('Raw profile'!N193&gt;0,1,IF('Raw profile'!N296&gt;0,2,0))</f>
        <v>0</v>
      </c>
      <c r="P210" s="20">
        <f>IF('Raw profile'!O193&gt;0,1,IF('Raw profile'!O296&gt;0,2,0))</f>
        <v>0</v>
      </c>
      <c r="Q210" s="20">
        <f>IF('Raw profile'!P193&gt;0,1,IF('Raw profile'!P296&gt;0,2,0))</f>
        <v>1</v>
      </c>
      <c r="R210" s="20">
        <f>IF('Raw profile'!Q193&gt;0,1,IF('Raw profile'!Q296&gt;0,2,0))</f>
        <v>1</v>
      </c>
      <c r="S210" s="20">
        <f>IF('Raw profile'!R193&gt;0,1,IF('Raw profile'!R296&gt;0,2,0))</f>
        <v>1</v>
      </c>
      <c r="T210" s="20">
        <f>IF('Raw profile'!S193&gt;0,1,IF('Raw profile'!S296&gt;0,2,0))</f>
        <v>1</v>
      </c>
      <c r="U210" s="20">
        <f>IF('Raw profile'!T193&gt;0,1,IF('Raw profile'!T296&gt;0,2,0))</f>
        <v>1</v>
      </c>
      <c r="V210" s="20">
        <f>IF('Raw profile'!U193&gt;0,1,IF('Raw profile'!U296&gt;0,2,0))</f>
        <v>2</v>
      </c>
      <c r="W210" s="20">
        <f>IF('Raw profile'!V193&gt;0,1,IF('Raw profile'!V296&gt;0,2,0))</f>
        <v>2</v>
      </c>
      <c r="X210" s="20">
        <f>IF('Raw profile'!W193&gt;0,1,IF('Raw profile'!W296&gt;0,2,0))</f>
        <v>2</v>
      </c>
      <c r="Y210" s="20">
        <f>IF('Raw profile'!X193&gt;0,1,IF('Raw profile'!X296&gt;0,2,0))</f>
        <v>2</v>
      </c>
      <c r="Z210" s="20">
        <f>IF('Raw profile'!Y193&gt;0,1,IF('Raw profile'!Y296&gt;0,2,0))</f>
        <v>2</v>
      </c>
      <c r="AA210" s="20">
        <f>IF('Raw profile'!Z193&gt;0,1,IF('Raw profile'!Z296&gt;0,2,0))</f>
        <v>2</v>
      </c>
      <c r="AB210" s="20">
        <f>IF('Raw profile'!AA193&gt;0,1,IF('Raw profile'!AA296&gt;0,2,0))</f>
        <v>2</v>
      </c>
      <c r="AC210" s="20">
        <f>IF('Raw profile'!AB193&gt;0,1,IF('Raw profile'!AB296&gt;0,2,0))</f>
        <v>2</v>
      </c>
      <c r="AD210" s="20">
        <f>IF('Raw profile'!AC193&gt;0,1,IF('Raw profile'!AC296&gt;0,2,0))</f>
        <v>2</v>
      </c>
      <c r="AE210" s="20">
        <f>IF('Raw profile'!AD193&gt;0,1,IF('Raw profile'!AD296&gt;0,2,0))</f>
        <v>2</v>
      </c>
      <c r="AF210" s="20">
        <f>IF('Raw profile'!AE193&gt;0,1,IF('Raw profile'!AE296&gt;0,2,0))</f>
        <v>2</v>
      </c>
      <c r="AG210" s="20">
        <f>IF('Raw profile'!AF193&gt;0,1,IF('Raw profile'!AF296&gt;0,2,0))</f>
        <v>2</v>
      </c>
      <c r="AH210" s="20">
        <f>IF('Raw profile'!AG193&gt;0,1,IF('Raw profile'!AG296&gt;0,2,0))</f>
        <v>2</v>
      </c>
      <c r="AI210" s="20">
        <f>IF('Raw profile'!AH193&gt;0,1,IF('Raw profile'!AH296&gt;0,2,0))</f>
        <v>2</v>
      </c>
      <c r="AJ210" s="20">
        <f>IF('Raw profile'!AI193&gt;0,1,IF('Raw profile'!AI296&gt;0,2,0))</f>
        <v>2</v>
      </c>
      <c r="AK210" s="20">
        <f>IF('Raw profile'!AJ193&gt;0,1,IF('Raw profile'!AJ296&gt;0,2,0))</f>
        <v>2</v>
      </c>
      <c r="AL210" s="20">
        <f>IF('Raw profile'!AK193&gt;0,1,IF('Raw profile'!AK296&gt;0,2,0))</f>
        <v>2</v>
      </c>
      <c r="AM210" s="20">
        <f>IF('Raw profile'!AL193&gt;0,1,IF('Raw profile'!AL296&gt;0,2,0))</f>
        <v>2</v>
      </c>
      <c r="AN210" s="20">
        <f>IF('Raw profile'!AM193&gt;0,1,IF('Raw profile'!AM296&gt;0,2,0))</f>
        <v>2</v>
      </c>
      <c r="AO210" s="20">
        <f>IF('Raw profile'!AN193&gt;0,1,IF('Raw profile'!AN296&gt;0,2,0))</f>
        <v>2</v>
      </c>
      <c r="AP210" s="20">
        <f>IF('Raw profile'!AO193&gt;0,1,IF('Raw profile'!AO296&gt;0,2,0))</f>
        <v>2</v>
      </c>
      <c r="AQ210" s="20">
        <f>IF('Raw profile'!AP193&gt;0,1,IF('Raw profile'!AP296&gt;0,2,0))</f>
        <v>2</v>
      </c>
      <c r="AR210" s="20">
        <f>IF('Raw profile'!AQ193&gt;0,1,IF('Raw profile'!AQ296&gt;0,2,0))</f>
        <v>2</v>
      </c>
      <c r="AS210" s="20">
        <f>IF('Raw profile'!AR193&gt;0,1,IF('Raw profile'!AR296&gt;0,2,0))</f>
        <v>2</v>
      </c>
      <c r="AT210" s="20">
        <f>IF('Raw profile'!AS193&gt;0,1,IF('Raw profile'!AS296&gt;0,2,0))</f>
        <v>2</v>
      </c>
      <c r="AU210" s="20">
        <f>IF('Raw profile'!AT193&gt;0,1,IF('Raw profile'!AT296&gt;0,2,0))</f>
        <v>2</v>
      </c>
      <c r="AV210" s="20">
        <f>IF('Raw profile'!AU193&gt;0,1,IF('Raw profile'!AU296&gt;0,2,0))</f>
        <v>2</v>
      </c>
      <c r="AW210" s="20">
        <f>IF('Raw profile'!AV193&gt;0,1,IF('Raw profile'!AV296&gt;0,2,0))</f>
        <v>2</v>
      </c>
      <c r="AX210" s="20">
        <f>IF('Raw profile'!AW193&gt;0,1,IF('Raw profile'!AW296&gt;0,2,0))</f>
        <v>2</v>
      </c>
      <c r="AY210" s="20">
        <f>IF('Raw profile'!AX193&gt;0,1,IF('Raw profile'!AX296&gt;0,2,0))</f>
        <v>2</v>
      </c>
      <c r="AZ210" s="20">
        <f>IF('Raw profile'!AY193&gt;0,1,IF('Raw profile'!AY296&gt;0,2,0))</f>
        <v>2</v>
      </c>
      <c r="BA210" s="20">
        <f>IF('Raw profile'!AZ193&gt;0,1,IF('Raw profile'!AZ296&gt;0,2,0))</f>
        <v>2</v>
      </c>
      <c r="BB210" s="20">
        <f>IF('Raw profile'!BA193&gt;0,1,IF('Raw profile'!BA296&gt;0,2,0))</f>
        <v>2</v>
      </c>
      <c r="BC210" s="20">
        <f>IF('Raw profile'!BB193&gt;0,1,IF('Raw profile'!BB296&gt;0,2,0))</f>
        <v>2</v>
      </c>
      <c r="BD210" s="20">
        <f>IF('Raw profile'!BC193&gt;0,1,IF('Raw profile'!BC296&gt;0,2,0))</f>
        <v>2</v>
      </c>
      <c r="BE210" s="20">
        <f>IF('Raw profile'!BD193&gt;0,1,IF('Raw profile'!BD296&gt;0,2,0))</f>
        <v>2</v>
      </c>
      <c r="BF210" s="20">
        <f>IF('Raw profile'!BE193&gt;0,1,IF('Raw profile'!BE296&gt;0,2,0))</f>
        <v>2</v>
      </c>
      <c r="BG210" s="20">
        <f>IF('Raw profile'!BF193&gt;0,1,IF('Raw profile'!BF296&gt;0,2,0))</f>
        <v>2</v>
      </c>
      <c r="BH210" s="20">
        <f>IF('Raw profile'!BG193&gt;0,1,IF('Raw profile'!BG296&gt;0,2,0))</f>
        <v>2</v>
      </c>
      <c r="BI210" s="20">
        <f>IF('Raw profile'!BH193&gt;0,1,IF('Raw profile'!BH296&gt;0,2,0))</f>
        <v>2</v>
      </c>
      <c r="BJ210" s="20">
        <f>IF('Raw profile'!BI193&gt;0,1,IF('Raw profile'!BI296&gt;0,2,0))</f>
        <v>0</v>
      </c>
      <c r="BK210" s="21">
        <f>IF('Raw profile'!BJ193&gt;0,1,IF('Raw profile'!BJ296&gt;0,2,0))</f>
        <v>0</v>
      </c>
    </row>
    <row r="211" spans="1:63" x14ac:dyDescent="0.3">
      <c r="B211" s="13" t="s">
        <v>4</v>
      </c>
      <c r="C211" s="19">
        <f>'Growth profile'!I85</f>
        <v>2029</v>
      </c>
      <c r="D211" s="20">
        <f>IF('Growth profile'!C193&gt;0,1,IF('Growth profile'!C296&gt;0,3,0))</f>
        <v>0</v>
      </c>
      <c r="E211" s="20">
        <f>IF('Growth profile'!D193&gt;0,1,IF('Growth profile'!D296&gt;0,3,0))</f>
        <v>0</v>
      </c>
      <c r="F211" s="20">
        <f>IF('Growth profile'!E193&gt;0,1,IF('Growth profile'!E296&gt;0,3,0))</f>
        <v>0</v>
      </c>
      <c r="G211" s="20">
        <f>IF('Growth profile'!F193&gt;0,1,IF('Growth profile'!F296&gt;0,3,0))</f>
        <v>1</v>
      </c>
      <c r="H211" s="20">
        <f>IF('Growth profile'!G193&gt;0,1,IF('Growth profile'!G296&gt;0,3,0))</f>
        <v>1</v>
      </c>
      <c r="I211" s="20">
        <f>IF('Growth profile'!H193&gt;0,1,IF('Growth profile'!H296&gt;0,3,0))</f>
        <v>1</v>
      </c>
      <c r="J211" s="20">
        <f>IF('Growth profile'!I193&gt;0,1,IF('Growth profile'!I296&gt;0,3,0))</f>
        <v>1</v>
      </c>
      <c r="K211" s="20">
        <f>IF('Growth profile'!J193&gt;0,1,IF('Growth profile'!J296&gt;0,3,0))</f>
        <v>1</v>
      </c>
      <c r="L211" s="20">
        <f>IF('Growth profile'!K193&gt;0,1,IF('Growth profile'!K296&gt;0,3,0))</f>
        <v>3</v>
      </c>
      <c r="M211" s="20">
        <f>IF('Growth profile'!L193&gt;0,1,IF('Growth profile'!L296&gt;0,3,0))</f>
        <v>3</v>
      </c>
      <c r="N211" s="20">
        <f>IF('Growth profile'!M193&gt;0,1,IF('Growth profile'!M296&gt;0,3,0))</f>
        <v>3</v>
      </c>
      <c r="O211" s="20">
        <f>IF('Growth profile'!N193&gt;0,1,IF('Growth profile'!N296&gt;0,3,0))</f>
        <v>3</v>
      </c>
      <c r="P211" s="20">
        <f>IF('Growth profile'!O193&gt;0,1,IF('Growth profile'!O296&gt;0,3,0))</f>
        <v>3</v>
      </c>
      <c r="Q211" s="20">
        <f>IF('Growth profile'!P193&gt;0,1,IF('Growth profile'!P296&gt;0,3,0))</f>
        <v>3</v>
      </c>
      <c r="R211" s="20">
        <f>IF('Growth profile'!Q193&gt;0,1,IF('Growth profile'!Q296&gt;0,3,0))</f>
        <v>3</v>
      </c>
      <c r="S211" s="20">
        <f>IF('Growth profile'!R193&gt;0,1,IF('Growth profile'!R296&gt;0,3,0))</f>
        <v>3</v>
      </c>
      <c r="T211" s="20">
        <f>IF('Growth profile'!S193&gt;0,1,IF('Growth profile'!S296&gt;0,3,0))</f>
        <v>3</v>
      </c>
      <c r="U211" s="20">
        <f>IF('Growth profile'!T193&gt;0,1,IF('Growth profile'!T296&gt;0,3,0))</f>
        <v>3</v>
      </c>
      <c r="V211" s="20">
        <f>IF('Growth profile'!U193&gt;0,1,IF('Growth profile'!U296&gt;0,3,0))</f>
        <v>3</v>
      </c>
      <c r="W211" s="20">
        <f>IF('Growth profile'!V193&gt;0,1,IF('Growth profile'!V296&gt;0,3,0))</f>
        <v>3</v>
      </c>
      <c r="X211" s="20">
        <f>IF('Growth profile'!W193&gt;0,1,IF('Growth profile'!W296&gt;0,3,0))</f>
        <v>3</v>
      </c>
      <c r="Y211" s="20">
        <f>IF('Growth profile'!X193&gt;0,1,IF('Growth profile'!X296&gt;0,3,0))</f>
        <v>3</v>
      </c>
      <c r="Z211" s="20">
        <f>IF('Growth profile'!Y193&gt;0,1,IF('Growth profile'!Y296&gt;0,3,0))</f>
        <v>3</v>
      </c>
      <c r="AA211" s="20">
        <f>IF('Growth profile'!Z193&gt;0,1,IF('Growth profile'!Z296&gt;0,3,0))</f>
        <v>3</v>
      </c>
      <c r="AB211" s="20">
        <f>IF('Growth profile'!AA193&gt;0,1,IF('Growth profile'!AA296&gt;0,3,0))</f>
        <v>3</v>
      </c>
      <c r="AC211" s="20">
        <f>IF('Growth profile'!AB193&gt;0,1,IF('Growth profile'!AB296&gt;0,3,0))</f>
        <v>3</v>
      </c>
      <c r="AD211" s="20">
        <f>IF('Growth profile'!AC193&gt;0,1,IF('Growth profile'!AC296&gt;0,3,0))</f>
        <v>3</v>
      </c>
      <c r="AE211" s="20">
        <f>IF('Growth profile'!AD193&gt;0,1,IF('Growth profile'!AD296&gt;0,3,0))</f>
        <v>3</v>
      </c>
      <c r="AF211" s="20">
        <f>IF('Growth profile'!AE193&gt;0,1,IF('Growth profile'!AE296&gt;0,3,0))</f>
        <v>3</v>
      </c>
      <c r="AG211" s="20">
        <f>IF('Growth profile'!AF193&gt;0,1,IF('Growth profile'!AF296&gt;0,3,0))</f>
        <v>3</v>
      </c>
      <c r="AH211" s="20">
        <f>IF('Growth profile'!AG193&gt;0,1,IF('Growth profile'!AG296&gt;0,3,0))</f>
        <v>3</v>
      </c>
      <c r="AI211" s="20">
        <f>IF('Growth profile'!AH193&gt;0,1,IF('Growth profile'!AH296&gt;0,3,0))</f>
        <v>3</v>
      </c>
      <c r="AJ211" s="20">
        <f>IF('Growth profile'!AI193&gt;0,1,IF('Growth profile'!AI296&gt;0,3,0))</f>
        <v>3</v>
      </c>
      <c r="AK211" s="20">
        <f>IF('Growth profile'!AJ193&gt;0,1,IF('Growth profile'!AJ296&gt;0,3,0))</f>
        <v>3</v>
      </c>
      <c r="AL211" s="20">
        <f>IF('Growth profile'!AK193&gt;0,1,IF('Growth profile'!AK296&gt;0,3,0))</f>
        <v>3</v>
      </c>
      <c r="AM211" s="20">
        <f>IF('Growth profile'!AL193&gt;0,1,IF('Growth profile'!AL296&gt;0,3,0))</f>
        <v>3</v>
      </c>
      <c r="AN211" s="20">
        <f>IF('Growth profile'!AM193&gt;0,1,IF('Growth profile'!AM296&gt;0,3,0))</f>
        <v>3</v>
      </c>
      <c r="AO211" s="20">
        <f>IF('Growth profile'!AN193&gt;0,1,IF('Growth profile'!AN296&gt;0,3,0))</f>
        <v>3</v>
      </c>
      <c r="AP211" s="20">
        <f>IF('Growth profile'!AO193&gt;0,1,IF('Growth profile'!AO296&gt;0,3,0))</f>
        <v>3</v>
      </c>
      <c r="AQ211" s="20">
        <f>IF('Growth profile'!AP193&gt;0,1,IF('Growth profile'!AP296&gt;0,3,0))</f>
        <v>3</v>
      </c>
      <c r="AR211" s="20">
        <f>IF('Growth profile'!AQ193&gt;0,1,IF('Growth profile'!AQ296&gt;0,3,0))</f>
        <v>3</v>
      </c>
      <c r="AS211" s="20">
        <f>IF('Growth profile'!AR193&gt;0,1,IF('Growth profile'!AR296&gt;0,3,0))</f>
        <v>3</v>
      </c>
      <c r="AT211" s="20">
        <f>IF('Growth profile'!AS193&gt;0,1,IF('Growth profile'!AS296&gt;0,3,0))</f>
        <v>3</v>
      </c>
      <c r="AU211" s="20">
        <f>IF('Growth profile'!AT193&gt;0,1,IF('Growth profile'!AT296&gt;0,3,0))</f>
        <v>3</v>
      </c>
      <c r="AV211" s="20">
        <f>IF('Growth profile'!AU193&gt;0,1,IF('Growth profile'!AU296&gt;0,3,0))</f>
        <v>3</v>
      </c>
      <c r="AW211" s="20">
        <f>IF('Growth profile'!AV193&gt;0,1,IF('Growth profile'!AV296&gt;0,3,0))</f>
        <v>3</v>
      </c>
      <c r="AX211" s="20">
        <f>IF('Growth profile'!AW193&gt;0,1,IF('Growth profile'!AW296&gt;0,3,0))</f>
        <v>3</v>
      </c>
      <c r="AY211" s="20">
        <f>IF('Growth profile'!AX193&gt;0,1,IF('Growth profile'!AX296&gt;0,3,0))</f>
        <v>3</v>
      </c>
      <c r="AZ211" s="20">
        <f>IF('Growth profile'!AY193&gt;0,1,IF('Growth profile'!AY296&gt;0,3,0))</f>
        <v>0</v>
      </c>
      <c r="BA211" s="20">
        <f>IF('Growth profile'!AZ193&gt;0,1,IF('Growth profile'!AZ296&gt;0,3,0))</f>
        <v>0</v>
      </c>
      <c r="BB211" s="20">
        <f>IF('Growth profile'!BA193&gt;0,1,IF('Growth profile'!BA296&gt;0,3,0))</f>
        <v>0</v>
      </c>
      <c r="BC211" s="20">
        <f>IF('Growth profile'!BB193&gt;0,1,IF('Growth profile'!BB296&gt;0,3,0))</f>
        <v>0</v>
      </c>
      <c r="BD211" s="20">
        <f>IF('Growth profile'!BC193&gt;0,1,IF('Growth profile'!BC296&gt;0,3,0))</f>
        <v>0</v>
      </c>
      <c r="BE211" s="20">
        <f>IF('Growth profile'!BD193&gt;0,1,IF('Growth profile'!BD296&gt;0,3,0))</f>
        <v>0</v>
      </c>
      <c r="BF211" s="20">
        <f>IF('Growth profile'!BE193&gt;0,1,IF('Growth profile'!BE296&gt;0,3,0))</f>
        <v>0</v>
      </c>
      <c r="BG211" s="20">
        <f>IF('Growth profile'!BF193&gt;0,1,IF('Growth profile'!BF296&gt;0,3,0))</f>
        <v>0</v>
      </c>
      <c r="BH211" s="20">
        <f>IF('Growth profile'!BG193&gt;0,1,IF('Growth profile'!BG296&gt;0,3,0))</f>
        <v>0</v>
      </c>
      <c r="BI211" s="20">
        <f>IF('Growth profile'!BH193&gt;0,1,IF('Growth profile'!BH296&gt;0,3,0))</f>
        <v>0</v>
      </c>
      <c r="BJ211" s="20">
        <f>IF('Growth profile'!BI193&gt;0,1,IF('Growth profile'!BI296&gt;0,3,0))</f>
        <v>0</v>
      </c>
      <c r="BK211" s="21">
        <f>IF('Growth profile'!BJ193&gt;0,1,IF('Growth profile'!BJ296&gt;0,3,0))</f>
        <v>0</v>
      </c>
    </row>
    <row r="212" spans="1:63" x14ac:dyDescent="0.3">
      <c r="B212" s="13" t="s">
        <v>59</v>
      </c>
      <c r="C212" s="19">
        <f>'Growth (no penalty)'!I85</f>
        <v>2028</v>
      </c>
      <c r="D212" s="22">
        <f>IF('Growth (no penalty)'!C193&gt;0,1,IF('Growth (no penalty)'!C296&gt;0,4,0))</f>
        <v>0</v>
      </c>
      <c r="E212" s="22">
        <f>IF('Growth (no penalty)'!D193&gt;0,1,IF('Growth (no penalty)'!D296&gt;0,4,0))</f>
        <v>0</v>
      </c>
      <c r="F212" s="22">
        <f>IF('Growth (no penalty)'!E193&gt;0,1,IF('Growth (no penalty)'!E296&gt;0,4,0))</f>
        <v>1</v>
      </c>
      <c r="G212" s="22">
        <f>IF('Growth (no penalty)'!F193&gt;0,1,IF('Growth (no penalty)'!F296&gt;0,4,0))</f>
        <v>1</v>
      </c>
      <c r="H212" s="22">
        <f>IF('Growth (no penalty)'!G193&gt;0,1,IF('Growth (no penalty)'!G296&gt;0,4,0))</f>
        <v>1</v>
      </c>
      <c r="I212" s="22">
        <f>IF('Growth (no penalty)'!H193&gt;0,1,IF('Growth (no penalty)'!H296&gt;0,4,0))</f>
        <v>1</v>
      </c>
      <c r="J212" s="22">
        <f>IF('Growth (no penalty)'!I193&gt;0,1,IF('Growth (no penalty)'!I296&gt;0,4,0))</f>
        <v>1</v>
      </c>
      <c r="K212" s="22">
        <f>IF('Growth (no penalty)'!J193&gt;0,1,IF('Growth (no penalty)'!J296&gt;0,4,0))</f>
        <v>4</v>
      </c>
      <c r="L212" s="22">
        <f>IF('Growth (no penalty)'!K193&gt;0,1,IF('Growth (no penalty)'!K296&gt;0,4,0))</f>
        <v>4</v>
      </c>
      <c r="M212" s="22">
        <f>IF('Growth (no penalty)'!L193&gt;0,1,IF('Growth (no penalty)'!L296&gt;0,4,0))</f>
        <v>4</v>
      </c>
      <c r="N212" s="22">
        <f>IF('Growth (no penalty)'!M193&gt;0,1,IF('Growth (no penalty)'!M296&gt;0,4,0))</f>
        <v>4</v>
      </c>
      <c r="O212" s="22">
        <f>IF('Growth (no penalty)'!N193&gt;0,1,IF('Growth (no penalty)'!N296&gt;0,4,0))</f>
        <v>4</v>
      </c>
      <c r="P212" s="22">
        <f>IF('Growth (no penalty)'!O193&gt;0,1,IF('Growth (no penalty)'!O296&gt;0,4,0))</f>
        <v>4</v>
      </c>
      <c r="Q212" s="22">
        <f>IF('Growth (no penalty)'!P193&gt;0,1,IF('Growth (no penalty)'!P296&gt;0,4,0))</f>
        <v>4</v>
      </c>
      <c r="R212" s="22">
        <f>IF('Growth (no penalty)'!Q193&gt;0,1,IF('Growth (no penalty)'!Q296&gt;0,4,0))</f>
        <v>4</v>
      </c>
      <c r="S212" s="22">
        <f>IF('Growth (no penalty)'!R193&gt;0,1,IF('Growth (no penalty)'!R296&gt;0,4,0))</f>
        <v>4</v>
      </c>
      <c r="T212" s="22">
        <f>IF('Growth (no penalty)'!S193&gt;0,1,IF('Growth (no penalty)'!S296&gt;0,4,0))</f>
        <v>4</v>
      </c>
      <c r="U212" s="22">
        <f>IF('Growth (no penalty)'!T193&gt;0,1,IF('Growth (no penalty)'!T296&gt;0,4,0))</f>
        <v>4</v>
      </c>
      <c r="V212" s="22">
        <f>IF('Growth (no penalty)'!U193&gt;0,1,IF('Growth (no penalty)'!U296&gt;0,4,0))</f>
        <v>4</v>
      </c>
      <c r="W212" s="22">
        <f>IF('Growth (no penalty)'!V193&gt;0,1,IF('Growth (no penalty)'!V296&gt;0,4,0))</f>
        <v>4</v>
      </c>
      <c r="X212" s="22">
        <f>IF('Growth (no penalty)'!W193&gt;0,1,IF('Growth (no penalty)'!W296&gt;0,4,0))</f>
        <v>4</v>
      </c>
      <c r="Y212" s="22">
        <f>IF('Growth (no penalty)'!X193&gt;0,1,IF('Growth (no penalty)'!X296&gt;0,4,0))</f>
        <v>4</v>
      </c>
      <c r="Z212" s="22">
        <f>IF('Growth (no penalty)'!Y193&gt;0,1,IF('Growth (no penalty)'!Y296&gt;0,4,0))</f>
        <v>4</v>
      </c>
      <c r="AA212" s="22">
        <f>IF('Growth (no penalty)'!Z193&gt;0,1,IF('Growth (no penalty)'!Z296&gt;0,4,0))</f>
        <v>4</v>
      </c>
      <c r="AB212" s="22">
        <f>IF('Growth (no penalty)'!AA193&gt;0,1,IF('Growth (no penalty)'!AA296&gt;0,4,0))</f>
        <v>4</v>
      </c>
      <c r="AC212" s="22">
        <f>IF('Growth (no penalty)'!AB193&gt;0,1,IF('Growth (no penalty)'!AB296&gt;0,4,0))</f>
        <v>4</v>
      </c>
      <c r="AD212" s="22">
        <f>IF('Growth (no penalty)'!AC193&gt;0,1,IF('Growth (no penalty)'!AC296&gt;0,4,0))</f>
        <v>4</v>
      </c>
      <c r="AE212" s="22">
        <f>IF('Growth (no penalty)'!AD193&gt;0,1,IF('Growth (no penalty)'!AD296&gt;0,4,0))</f>
        <v>4</v>
      </c>
      <c r="AF212" s="22">
        <f>IF('Growth (no penalty)'!AE193&gt;0,1,IF('Growth (no penalty)'!AE296&gt;0,4,0))</f>
        <v>4</v>
      </c>
      <c r="AG212" s="22">
        <f>IF('Growth (no penalty)'!AF193&gt;0,1,IF('Growth (no penalty)'!AF296&gt;0,4,0))</f>
        <v>4</v>
      </c>
      <c r="AH212" s="22">
        <f>IF('Growth (no penalty)'!AG193&gt;0,1,IF('Growth (no penalty)'!AG296&gt;0,4,0))</f>
        <v>4</v>
      </c>
      <c r="AI212" s="22">
        <f>IF('Growth (no penalty)'!AH193&gt;0,1,IF('Growth (no penalty)'!AH296&gt;0,4,0))</f>
        <v>4</v>
      </c>
      <c r="AJ212" s="22">
        <f>IF('Growth (no penalty)'!AI193&gt;0,1,IF('Growth (no penalty)'!AI296&gt;0,4,0))</f>
        <v>4</v>
      </c>
      <c r="AK212" s="22">
        <f>IF('Growth (no penalty)'!AJ193&gt;0,1,IF('Growth (no penalty)'!AJ296&gt;0,4,0))</f>
        <v>4</v>
      </c>
      <c r="AL212" s="22">
        <f>IF('Growth (no penalty)'!AK193&gt;0,1,IF('Growth (no penalty)'!AK296&gt;0,4,0))</f>
        <v>4</v>
      </c>
      <c r="AM212" s="22">
        <f>IF('Growth (no penalty)'!AL193&gt;0,1,IF('Growth (no penalty)'!AL296&gt;0,4,0))</f>
        <v>4</v>
      </c>
      <c r="AN212" s="22">
        <f>IF('Growth (no penalty)'!AM193&gt;0,1,IF('Growth (no penalty)'!AM296&gt;0,4,0))</f>
        <v>4</v>
      </c>
      <c r="AO212" s="22">
        <f>IF('Growth (no penalty)'!AN193&gt;0,1,IF('Growth (no penalty)'!AN296&gt;0,4,0))</f>
        <v>4</v>
      </c>
      <c r="AP212" s="22">
        <f>IF('Growth (no penalty)'!AO193&gt;0,1,IF('Growth (no penalty)'!AO296&gt;0,4,0))</f>
        <v>4</v>
      </c>
      <c r="AQ212" s="22">
        <f>IF('Growth (no penalty)'!AP193&gt;0,1,IF('Growth (no penalty)'!AP296&gt;0,4,0))</f>
        <v>4</v>
      </c>
      <c r="AR212" s="22">
        <f>IF('Growth (no penalty)'!AQ193&gt;0,1,IF('Growth (no penalty)'!AQ296&gt;0,4,0))</f>
        <v>4</v>
      </c>
      <c r="AS212" s="22">
        <f>IF('Growth (no penalty)'!AR193&gt;0,1,IF('Growth (no penalty)'!AR296&gt;0,4,0))</f>
        <v>4</v>
      </c>
      <c r="AT212" s="22">
        <f>IF('Growth (no penalty)'!AS193&gt;0,1,IF('Growth (no penalty)'!AS296&gt;0,4,0))</f>
        <v>4</v>
      </c>
      <c r="AU212" s="22">
        <f>IF('Growth (no penalty)'!AT193&gt;0,1,IF('Growth (no penalty)'!AT296&gt;0,4,0))</f>
        <v>4</v>
      </c>
      <c r="AV212" s="22">
        <f>IF('Growth (no penalty)'!AU193&gt;0,1,IF('Growth (no penalty)'!AU296&gt;0,4,0))</f>
        <v>4</v>
      </c>
      <c r="AW212" s="22">
        <f>IF('Growth (no penalty)'!AV193&gt;0,1,IF('Growth (no penalty)'!AV296&gt;0,4,0))</f>
        <v>4</v>
      </c>
      <c r="AX212" s="22">
        <f>IF('Growth (no penalty)'!AW193&gt;0,1,IF('Growth (no penalty)'!AW296&gt;0,4,0))</f>
        <v>4</v>
      </c>
      <c r="AY212" s="22">
        <f>IF('Growth (no penalty)'!AX193&gt;0,1,IF('Growth (no penalty)'!AX296&gt;0,4,0))</f>
        <v>0</v>
      </c>
      <c r="AZ212" s="22">
        <f>IF('Growth (no penalty)'!AY193&gt;0,1,IF('Growth (no penalty)'!AY296&gt;0,4,0))</f>
        <v>0</v>
      </c>
      <c r="BA212" s="22">
        <f>IF('Growth (no penalty)'!AZ193&gt;0,1,IF('Growth (no penalty)'!AZ296&gt;0,4,0))</f>
        <v>0</v>
      </c>
      <c r="BB212" s="22">
        <f>IF('Growth (no penalty)'!BA193&gt;0,1,IF('Growth (no penalty)'!BA296&gt;0,4,0))</f>
        <v>0</v>
      </c>
      <c r="BC212" s="22">
        <f>IF('Growth (no penalty)'!BB193&gt;0,1,IF('Growth (no penalty)'!BB296&gt;0,4,0))</f>
        <v>0</v>
      </c>
      <c r="BD212" s="22">
        <f>IF('Growth (no penalty)'!BC193&gt;0,1,IF('Growth (no penalty)'!BC296&gt;0,4,0))</f>
        <v>0</v>
      </c>
      <c r="BE212" s="22">
        <f>IF('Growth (no penalty)'!BD193&gt;0,1,IF('Growth (no penalty)'!BD296&gt;0,4,0))</f>
        <v>0</v>
      </c>
      <c r="BF212" s="22">
        <f>IF('Growth (no penalty)'!BE193&gt;0,1,IF('Growth (no penalty)'!BE296&gt;0,4,0))</f>
        <v>0</v>
      </c>
      <c r="BG212" s="22">
        <f>IF('Growth (no penalty)'!BF193&gt;0,1,IF('Growth (no penalty)'!BF296&gt;0,4,0))</f>
        <v>0</v>
      </c>
      <c r="BH212" s="22">
        <f>IF('Growth (no penalty)'!BG193&gt;0,1,IF('Growth (no penalty)'!BG296&gt;0,4,0))</f>
        <v>0</v>
      </c>
      <c r="BI212" s="22">
        <f>IF('Growth (no penalty)'!BH193&gt;0,1,IF('Growth (no penalty)'!BH296&gt;0,4,0))</f>
        <v>0</v>
      </c>
      <c r="BJ212" s="22">
        <f>IF('Growth (no penalty)'!BI193&gt;0,1,IF('Growth (no penalty)'!BI296&gt;0,4,0))</f>
        <v>0</v>
      </c>
      <c r="BK212" s="23">
        <f>IF('Growth (no penalty)'!BJ193&gt;0,1,IF('Growth (no penalty)'!BJ296&gt;0,4,0))</f>
        <v>0</v>
      </c>
    </row>
    <row r="213" spans="1:63" x14ac:dyDescent="0.3">
      <c r="A213" s="4" t="str">
        <f>'Growth profile'!A111</f>
        <v>project 182</v>
      </c>
      <c r="B213" s="13" t="s">
        <v>3</v>
      </c>
      <c r="C213" s="19">
        <f>'Raw profile'!I111</f>
        <v>2039</v>
      </c>
      <c r="D213" s="20">
        <f>IF('Raw profile'!C219&gt;0,1,IF('Raw profile'!C322&gt;0,2,0))</f>
        <v>0</v>
      </c>
      <c r="E213" s="20">
        <f>IF('Raw profile'!D219&gt;0,1,IF('Raw profile'!D322&gt;0,2,0))</f>
        <v>0</v>
      </c>
      <c r="F213" s="20">
        <f>IF('Raw profile'!E219&gt;0,1,IF('Raw profile'!E322&gt;0,2,0))</f>
        <v>0</v>
      </c>
      <c r="G213" s="20">
        <f>IF('Raw profile'!F219&gt;0,1,IF('Raw profile'!F322&gt;0,2,0))</f>
        <v>0</v>
      </c>
      <c r="H213" s="20">
        <f>IF('Raw profile'!G219&gt;0,1,IF('Raw profile'!G322&gt;0,2,0))</f>
        <v>0</v>
      </c>
      <c r="I213" s="20">
        <f>IF('Raw profile'!H219&gt;0,1,IF('Raw profile'!H322&gt;0,2,0))</f>
        <v>0</v>
      </c>
      <c r="J213" s="20">
        <f>IF('Raw profile'!I219&gt;0,1,IF('Raw profile'!I322&gt;0,2,0))</f>
        <v>0</v>
      </c>
      <c r="K213" s="20">
        <f>IF('Raw profile'!J219&gt;0,1,IF('Raw profile'!J322&gt;0,2,0))</f>
        <v>0</v>
      </c>
      <c r="L213" s="20">
        <f>IF('Raw profile'!K219&gt;0,1,IF('Raw profile'!K322&gt;0,2,0))</f>
        <v>0</v>
      </c>
      <c r="M213" s="20">
        <f>IF('Raw profile'!L219&gt;0,1,IF('Raw profile'!L322&gt;0,2,0))</f>
        <v>0</v>
      </c>
      <c r="N213" s="20">
        <f>IF('Raw profile'!M219&gt;0,1,IF('Raw profile'!M322&gt;0,2,0))</f>
        <v>0</v>
      </c>
      <c r="O213" s="20">
        <f>IF('Raw profile'!N219&gt;0,1,IF('Raw profile'!N322&gt;0,2,0))</f>
        <v>0</v>
      </c>
      <c r="P213" s="20">
        <f>IF('Raw profile'!O219&gt;0,1,IF('Raw profile'!O322&gt;0,2,0))</f>
        <v>0</v>
      </c>
      <c r="Q213" s="20">
        <f>IF('Raw profile'!P219&gt;0,1,IF('Raw profile'!P322&gt;0,2,0))</f>
        <v>1</v>
      </c>
      <c r="R213" s="20">
        <f>IF('Raw profile'!Q219&gt;0,1,IF('Raw profile'!Q322&gt;0,2,0))</f>
        <v>1</v>
      </c>
      <c r="S213" s="20">
        <f>IF('Raw profile'!R219&gt;0,1,IF('Raw profile'!R322&gt;0,2,0))</f>
        <v>1</v>
      </c>
      <c r="T213" s="20">
        <f>IF('Raw profile'!S219&gt;0,1,IF('Raw profile'!S322&gt;0,2,0))</f>
        <v>1</v>
      </c>
      <c r="U213" s="20">
        <f>IF('Raw profile'!T219&gt;0,1,IF('Raw profile'!T322&gt;0,2,0))</f>
        <v>1</v>
      </c>
      <c r="V213" s="20">
        <f>IF('Raw profile'!U219&gt;0,1,IF('Raw profile'!U322&gt;0,2,0))</f>
        <v>1</v>
      </c>
      <c r="W213" s="20">
        <f>IF('Raw profile'!V219&gt;0,1,IF('Raw profile'!V322&gt;0,2,0))</f>
        <v>2</v>
      </c>
      <c r="X213" s="20">
        <f>IF('Raw profile'!W219&gt;0,1,IF('Raw profile'!W322&gt;0,2,0))</f>
        <v>2</v>
      </c>
      <c r="Y213" s="20">
        <f>IF('Raw profile'!X219&gt;0,1,IF('Raw profile'!X322&gt;0,2,0))</f>
        <v>2</v>
      </c>
      <c r="Z213" s="20">
        <f>IF('Raw profile'!Y219&gt;0,1,IF('Raw profile'!Y322&gt;0,2,0))</f>
        <v>2</v>
      </c>
      <c r="AA213" s="20">
        <f>IF('Raw profile'!Z219&gt;0,1,IF('Raw profile'!Z322&gt;0,2,0))</f>
        <v>2</v>
      </c>
      <c r="AB213" s="20">
        <f>IF('Raw profile'!AA219&gt;0,1,IF('Raw profile'!AA322&gt;0,2,0))</f>
        <v>2</v>
      </c>
      <c r="AC213" s="20">
        <f>IF('Raw profile'!AB219&gt;0,1,IF('Raw profile'!AB322&gt;0,2,0))</f>
        <v>2</v>
      </c>
      <c r="AD213" s="20">
        <f>IF('Raw profile'!AC219&gt;0,1,IF('Raw profile'!AC322&gt;0,2,0))</f>
        <v>2</v>
      </c>
      <c r="AE213" s="20">
        <f>IF('Raw profile'!AD219&gt;0,1,IF('Raw profile'!AD322&gt;0,2,0))</f>
        <v>2</v>
      </c>
      <c r="AF213" s="20">
        <f>IF('Raw profile'!AE219&gt;0,1,IF('Raw profile'!AE322&gt;0,2,0))</f>
        <v>2</v>
      </c>
      <c r="AG213" s="20">
        <f>IF('Raw profile'!AF219&gt;0,1,IF('Raw profile'!AF322&gt;0,2,0))</f>
        <v>2</v>
      </c>
      <c r="AH213" s="20">
        <f>IF('Raw profile'!AG219&gt;0,1,IF('Raw profile'!AG322&gt;0,2,0))</f>
        <v>2</v>
      </c>
      <c r="AI213" s="20">
        <f>IF('Raw profile'!AH219&gt;0,1,IF('Raw profile'!AH322&gt;0,2,0))</f>
        <v>2</v>
      </c>
      <c r="AJ213" s="20">
        <f>IF('Raw profile'!AI219&gt;0,1,IF('Raw profile'!AI322&gt;0,2,0))</f>
        <v>2</v>
      </c>
      <c r="AK213" s="20">
        <f>IF('Raw profile'!AJ219&gt;0,1,IF('Raw profile'!AJ322&gt;0,2,0))</f>
        <v>2</v>
      </c>
      <c r="AL213" s="20">
        <f>IF('Raw profile'!AK219&gt;0,1,IF('Raw profile'!AK322&gt;0,2,0))</f>
        <v>2</v>
      </c>
      <c r="AM213" s="20">
        <f>IF('Raw profile'!AL219&gt;0,1,IF('Raw profile'!AL322&gt;0,2,0))</f>
        <v>2</v>
      </c>
      <c r="AN213" s="20">
        <f>IF('Raw profile'!AM219&gt;0,1,IF('Raw profile'!AM322&gt;0,2,0))</f>
        <v>2</v>
      </c>
      <c r="AO213" s="20">
        <f>IF('Raw profile'!AN219&gt;0,1,IF('Raw profile'!AN322&gt;0,2,0))</f>
        <v>2</v>
      </c>
      <c r="AP213" s="20">
        <f>IF('Raw profile'!AO219&gt;0,1,IF('Raw profile'!AO322&gt;0,2,0))</f>
        <v>2</v>
      </c>
      <c r="AQ213" s="20">
        <f>IF('Raw profile'!AP219&gt;0,1,IF('Raw profile'!AP322&gt;0,2,0))</f>
        <v>2</v>
      </c>
      <c r="AR213" s="20">
        <f>IF('Raw profile'!AQ219&gt;0,1,IF('Raw profile'!AQ322&gt;0,2,0))</f>
        <v>2</v>
      </c>
      <c r="AS213" s="20">
        <f>IF('Raw profile'!AR219&gt;0,1,IF('Raw profile'!AR322&gt;0,2,0))</f>
        <v>2</v>
      </c>
      <c r="AT213" s="20">
        <f>IF('Raw profile'!AS219&gt;0,1,IF('Raw profile'!AS322&gt;0,2,0))</f>
        <v>2</v>
      </c>
      <c r="AU213" s="20">
        <f>IF('Raw profile'!AT219&gt;0,1,IF('Raw profile'!AT322&gt;0,2,0))</f>
        <v>2</v>
      </c>
      <c r="AV213" s="20">
        <f>IF('Raw profile'!AU219&gt;0,1,IF('Raw profile'!AU322&gt;0,2,0))</f>
        <v>2</v>
      </c>
      <c r="AW213" s="20">
        <f>IF('Raw profile'!AV219&gt;0,1,IF('Raw profile'!AV322&gt;0,2,0))</f>
        <v>2</v>
      </c>
      <c r="AX213" s="20">
        <f>IF('Raw profile'!AW219&gt;0,1,IF('Raw profile'!AW322&gt;0,2,0))</f>
        <v>2</v>
      </c>
      <c r="AY213" s="20">
        <f>IF('Raw profile'!AX219&gt;0,1,IF('Raw profile'!AX322&gt;0,2,0))</f>
        <v>2</v>
      </c>
      <c r="AZ213" s="20">
        <f>IF('Raw profile'!AY219&gt;0,1,IF('Raw profile'!AY322&gt;0,2,0))</f>
        <v>2</v>
      </c>
      <c r="BA213" s="20">
        <f>IF('Raw profile'!AZ219&gt;0,1,IF('Raw profile'!AZ322&gt;0,2,0))</f>
        <v>2</v>
      </c>
      <c r="BB213" s="20">
        <f>IF('Raw profile'!BA219&gt;0,1,IF('Raw profile'!BA322&gt;0,2,0))</f>
        <v>2</v>
      </c>
      <c r="BC213" s="20">
        <f>IF('Raw profile'!BB219&gt;0,1,IF('Raw profile'!BB322&gt;0,2,0))</f>
        <v>2</v>
      </c>
      <c r="BD213" s="20">
        <f>IF('Raw profile'!BC219&gt;0,1,IF('Raw profile'!BC322&gt;0,2,0))</f>
        <v>2</v>
      </c>
      <c r="BE213" s="20">
        <f>IF('Raw profile'!BD219&gt;0,1,IF('Raw profile'!BD322&gt;0,2,0))</f>
        <v>2</v>
      </c>
      <c r="BF213" s="20">
        <f>IF('Raw profile'!BE219&gt;0,1,IF('Raw profile'!BE322&gt;0,2,0))</f>
        <v>2</v>
      </c>
      <c r="BG213" s="20">
        <f>IF('Raw profile'!BF219&gt;0,1,IF('Raw profile'!BF322&gt;0,2,0))</f>
        <v>2</v>
      </c>
      <c r="BH213" s="20">
        <f>IF('Raw profile'!BG219&gt;0,1,IF('Raw profile'!BG322&gt;0,2,0))</f>
        <v>2</v>
      </c>
      <c r="BI213" s="20">
        <f>IF('Raw profile'!BH219&gt;0,1,IF('Raw profile'!BH322&gt;0,2,0))</f>
        <v>2</v>
      </c>
      <c r="BJ213" s="20">
        <f>IF('Raw profile'!BI219&gt;0,1,IF('Raw profile'!BI322&gt;0,2,0))</f>
        <v>2</v>
      </c>
      <c r="BK213" s="21">
        <f>IF('Raw profile'!BJ219&gt;0,1,IF('Raw profile'!BJ322&gt;0,2,0))</f>
        <v>0</v>
      </c>
    </row>
    <row r="214" spans="1:63" x14ac:dyDescent="0.3">
      <c r="B214" s="13" t="s">
        <v>4</v>
      </c>
      <c r="C214" s="19">
        <f>'Growth profile'!I111</f>
        <v>2030</v>
      </c>
      <c r="D214" s="20">
        <f>IF('Growth profile'!C219&gt;0,1,IF('Growth profile'!C322&gt;0,3,0))</f>
        <v>0</v>
      </c>
      <c r="E214" s="20">
        <f>IF('Growth profile'!D219&gt;0,1,IF('Growth profile'!D322&gt;0,3,0))</f>
        <v>0</v>
      </c>
      <c r="F214" s="20">
        <f>IF('Growth profile'!E219&gt;0,1,IF('Growth profile'!E322&gt;0,3,0))</f>
        <v>0</v>
      </c>
      <c r="G214" s="20">
        <f>IF('Growth profile'!F219&gt;0,1,IF('Growth profile'!F322&gt;0,3,0))</f>
        <v>0</v>
      </c>
      <c r="H214" s="20">
        <f>IF('Growth profile'!G219&gt;0,1,IF('Growth profile'!G322&gt;0,3,0))</f>
        <v>1</v>
      </c>
      <c r="I214" s="20">
        <f>IF('Growth profile'!H219&gt;0,1,IF('Growth profile'!H322&gt;0,3,0))</f>
        <v>1</v>
      </c>
      <c r="J214" s="20">
        <f>IF('Growth profile'!I219&gt;0,1,IF('Growth profile'!I322&gt;0,3,0))</f>
        <v>1</v>
      </c>
      <c r="K214" s="20">
        <f>IF('Growth profile'!J219&gt;0,1,IF('Growth profile'!J322&gt;0,3,0))</f>
        <v>1</v>
      </c>
      <c r="L214" s="20">
        <f>IF('Growth profile'!K219&gt;0,1,IF('Growth profile'!K322&gt;0,3,0))</f>
        <v>1</v>
      </c>
      <c r="M214" s="20">
        <f>IF('Growth profile'!L219&gt;0,1,IF('Growth profile'!L322&gt;0,3,0))</f>
        <v>1</v>
      </c>
      <c r="N214" s="20">
        <f>IF('Growth profile'!M219&gt;0,1,IF('Growth profile'!M322&gt;0,3,0))</f>
        <v>3</v>
      </c>
      <c r="O214" s="20">
        <f>IF('Growth profile'!N219&gt;0,1,IF('Growth profile'!N322&gt;0,3,0))</f>
        <v>3</v>
      </c>
      <c r="P214" s="20">
        <f>IF('Growth profile'!O219&gt;0,1,IF('Growth profile'!O322&gt;0,3,0))</f>
        <v>3</v>
      </c>
      <c r="Q214" s="20">
        <f>IF('Growth profile'!P219&gt;0,1,IF('Growth profile'!P322&gt;0,3,0))</f>
        <v>3</v>
      </c>
      <c r="R214" s="20">
        <f>IF('Growth profile'!Q219&gt;0,1,IF('Growth profile'!Q322&gt;0,3,0))</f>
        <v>3</v>
      </c>
      <c r="S214" s="20">
        <f>IF('Growth profile'!R219&gt;0,1,IF('Growth profile'!R322&gt;0,3,0))</f>
        <v>3</v>
      </c>
      <c r="T214" s="20">
        <f>IF('Growth profile'!S219&gt;0,1,IF('Growth profile'!S322&gt;0,3,0))</f>
        <v>3</v>
      </c>
      <c r="U214" s="20">
        <f>IF('Growth profile'!T219&gt;0,1,IF('Growth profile'!T322&gt;0,3,0))</f>
        <v>3</v>
      </c>
      <c r="V214" s="20">
        <f>IF('Growth profile'!U219&gt;0,1,IF('Growth profile'!U322&gt;0,3,0))</f>
        <v>3</v>
      </c>
      <c r="W214" s="20">
        <f>IF('Growth profile'!V219&gt;0,1,IF('Growth profile'!V322&gt;0,3,0))</f>
        <v>3</v>
      </c>
      <c r="X214" s="20">
        <f>IF('Growth profile'!W219&gt;0,1,IF('Growth profile'!W322&gt;0,3,0))</f>
        <v>3</v>
      </c>
      <c r="Y214" s="20">
        <f>IF('Growth profile'!X219&gt;0,1,IF('Growth profile'!X322&gt;0,3,0))</f>
        <v>3</v>
      </c>
      <c r="Z214" s="20">
        <f>IF('Growth profile'!Y219&gt;0,1,IF('Growth profile'!Y322&gt;0,3,0))</f>
        <v>3</v>
      </c>
      <c r="AA214" s="20">
        <f>IF('Growth profile'!Z219&gt;0,1,IF('Growth profile'!Z322&gt;0,3,0))</f>
        <v>3</v>
      </c>
      <c r="AB214" s="20">
        <f>IF('Growth profile'!AA219&gt;0,1,IF('Growth profile'!AA322&gt;0,3,0))</f>
        <v>3</v>
      </c>
      <c r="AC214" s="20">
        <f>IF('Growth profile'!AB219&gt;0,1,IF('Growth profile'!AB322&gt;0,3,0))</f>
        <v>3</v>
      </c>
      <c r="AD214" s="20">
        <f>IF('Growth profile'!AC219&gt;0,1,IF('Growth profile'!AC322&gt;0,3,0))</f>
        <v>3</v>
      </c>
      <c r="AE214" s="20">
        <f>IF('Growth profile'!AD219&gt;0,1,IF('Growth profile'!AD322&gt;0,3,0))</f>
        <v>3</v>
      </c>
      <c r="AF214" s="20">
        <f>IF('Growth profile'!AE219&gt;0,1,IF('Growth profile'!AE322&gt;0,3,0))</f>
        <v>3</v>
      </c>
      <c r="AG214" s="20">
        <f>IF('Growth profile'!AF219&gt;0,1,IF('Growth profile'!AF322&gt;0,3,0))</f>
        <v>3</v>
      </c>
      <c r="AH214" s="20">
        <f>IF('Growth profile'!AG219&gt;0,1,IF('Growth profile'!AG322&gt;0,3,0))</f>
        <v>3</v>
      </c>
      <c r="AI214" s="20">
        <f>IF('Growth profile'!AH219&gt;0,1,IF('Growth profile'!AH322&gt;0,3,0))</f>
        <v>3</v>
      </c>
      <c r="AJ214" s="20">
        <f>IF('Growth profile'!AI219&gt;0,1,IF('Growth profile'!AI322&gt;0,3,0))</f>
        <v>3</v>
      </c>
      <c r="AK214" s="20">
        <f>IF('Growth profile'!AJ219&gt;0,1,IF('Growth profile'!AJ322&gt;0,3,0))</f>
        <v>3</v>
      </c>
      <c r="AL214" s="20">
        <f>IF('Growth profile'!AK219&gt;0,1,IF('Growth profile'!AK322&gt;0,3,0))</f>
        <v>3</v>
      </c>
      <c r="AM214" s="20">
        <f>IF('Growth profile'!AL219&gt;0,1,IF('Growth profile'!AL322&gt;0,3,0))</f>
        <v>3</v>
      </c>
      <c r="AN214" s="20">
        <f>IF('Growth profile'!AM219&gt;0,1,IF('Growth profile'!AM322&gt;0,3,0))</f>
        <v>3</v>
      </c>
      <c r="AO214" s="20">
        <f>IF('Growth profile'!AN219&gt;0,1,IF('Growth profile'!AN322&gt;0,3,0))</f>
        <v>3</v>
      </c>
      <c r="AP214" s="20">
        <f>IF('Growth profile'!AO219&gt;0,1,IF('Growth profile'!AO322&gt;0,3,0))</f>
        <v>3</v>
      </c>
      <c r="AQ214" s="20">
        <f>IF('Growth profile'!AP219&gt;0,1,IF('Growth profile'!AP322&gt;0,3,0))</f>
        <v>3</v>
      </c>
      <c r="AR214" s="20">
        <f>IF('Growth profile'!AQ219&gt;0,1,IF('Growth profile'!AQ322&gt;0,3,0))</f>
        <v>3</v>
      </c>
      <c r="AS214" s="20">
        <f>IF('Growth profile'!AR219&gt;0,1,IF('Growth profile'!AR322&gt;0,3,0))</f>
        <v>3</v>
      </c>
      <c r="AT214" s="20">
        <f>IF('Growth profile'!AS219&gt;0,1,IF('Growth profile'!AS322&gt;0,3,0))</f>
        <v>3</v>
      </c>
      <c r="AU214" s="20">
        <f>IF('Growth profile'!AT219&gt;0,1,IF('Growth profile'!AT322&gt;0,3,0))</f>
        <v>3</v>
      </c>
      <c r="AV214" s="20">
        <f>IF('Growth profile'!AU219&gt;0,1,IF('Growth profile'!AU322&gt;0,3,0))</f>
        <v>3</v>
      </c>
      <c r="AW214" s="20">
        <f>IF('Growth profile'!AV219&gt;0,1,IF('Growth profile'!AV322&gt;0,3,0))</f>
        <v>3</v>
      </c>
      <c r="AX214" s="20">
        <f>IF('Growth profile'!AW219&gt;0,1,IF('Growth profile'!AW322&gt;0,3,0))</f>
        <v>3</v>
      </c>
      <c r="AY214" s="20">
        <f>IF('Growth profile'!AX219&gt;0,1,IF('Growth profile'!AX322&gt;0,3,0))</f>
        <v>3</v>
      </c>
      <c r="AZ214" s="20">
        <f>IF('Growth profile'!AY219&gt;0,1,IF('Growth profile'!AY322&gt;0,3,0))</f>
        <v>3</v>
      </c>
      <c r="BA214" s="20">
        <f>IF('Growth profile'!AZ219&gt;0,1,IF('Growth profile'!AZ322&gt;0,3,0))</f>
        <v>3</v>
      </c>
      <c r="BB214" s="20">
        <f>IF('Growth profile'!BA219&gt;0,1,IF('Growth profile'!BA322&gt;0,3,0))</f>
        <v>0</v>
      </c>
      <c r="BC214" s="20">
        <f>IF('Growth profile'!BB219&gt;0,1,IF('Growth profile'!BB322&gt;0,3,0))</f>
        <v>0</v>
      </c>
      <c r="BD214" s="20">
        <f>IF('Growth profile'!BC219&gt;0,1,IF('Growth profile'!BC322&gt;0,3,0))</f>
        <v>0</v>
      </c>
      <c r="BE214" s="20">
        <f>IF('Growth profile'!BD219&gt;0,1,IF('Growth profile'!BD322&gt;0,3,0))</f>
        <v>0</v>
      </c>
      <c r="BF214" s="20">
        <f>IF('Growth profile'!BE219&gt;0,1,IF('Growth profile'!BE322&gt;0,3,0))</f>
        <v>0</v>
      </c>
      <c r="BG214" s="20">
        <f>IF('Growth profile'!BF219&gt;0,1,IF('Growth profile'!BF322&gt;0,3,0))</f>
        <v>0</v>
      </c>
      <c r="BH214" s="20">
        <f>IF('Growth profile'!BG219&gt;0,1,IF('Growth profile'!BG322&gt;0,3,0))</f>
        <v>0</v>
      </c>
      <c r="BI214" s="20">
        <f>IF('Growth profile'!BH219&gt;0,1,IF('Growth profile'!BH322&gt;0,3,0))</f>
        <v>0</v>
      </c>
      <c r="BJ214" s="20">
        <f>IF('Growth profile'!BI219&gt;0,1,IF('Growth profile'!BI322&gt;0,3,0))</f>
        <v>0</v>
      </c>
      <c r="BK214" s="21">
        <f>IF('Growth profile'!BJ219&gt;0,1,IF('Growth profile'!BJ322&gt;0,3,0))</f>
        <v>0</v>
      </c>
    </row>
    <row r="215" spans="1:63" x14ac:dyDescent="0.3">
      <c r="B215" s="13" t="s">
        <v>59</v>
      </c>
      <c r="C215" s="19">
        <f>'Growth (no penalty)'!I111</f>
        <v>2031</v>
      </c>
      <c r="D215" s="22">
        <f>IF('Growth (no penalty)'!C219&gt;0,1,IF('Growth (no penalty)'!C322&gt;0,4,0))</f>
        <v>0</v>
      </c>
      <c r="E215" s="22">
        <f>IF('Growth (no penalty)'!D219&gt;0,1,IF('Growth (no penalty)'!D322&gt;0,4,0))</f>
        <v>0</v>
      </c>
      <c r="F215" s="22">
        <f>IF('Growth (no penalty)'!E219&gt;0,1,IF('Growth (no penalty)'!E322&gt;0,4,0))</f>
        <v>0</v>
      </c>
      <c r="G215" s="22">
        <f>IF('Growth (no penalty)'!F219&gt;0,1,IF('Growth (no penalty)'!F322&gt;0,4,0))</f>
        <v>0</v>
      </c>
      <c r="H215" s="22">
        <f>IF('Growth (no penalty)'!G219&gt;0,1,IF('Growth (no penalty)'!G322&gt;0,4,0))</f>
        <v>0</v>
      </c>
      <c r="I215" s="22">
        <f>IF('Growth (no penalty)'!H219&gt;0,1,IF('Growth (no penalty)'!H322&gt;0,4,0))</f>
        <v>1</v>
      </c>
      <c r="J215" s="22">
        <f>IF('Growth (no penalty)'!I219&gt;0,1,IF('Growth (no penalty)'!I322&gt;0,4,0))</f>
        <v>1</v>
      </c>
      <c r="K215" s="22">
        <f>IF('Growth (no penalty)'!J219&gt;0,1,IF('Growth (no penalty)'!J322&gt;0,4,0))</f>
        <v>1</v>
      </c>
      <c r="L215" s="22">
        <f>IF('Growth (no penalty)'!K219&gt;0,1,IF('Growth (no penalty)'!K322&gt;0,4,0))</f>
        <v>1</v>
      </c>
      <c r="M215" s="22">
        <f>IF('Growth (no penalty)'!L219&gt;0,1,IF('Growth (no penalty)'!L322&gt;0,4,0))</f>
        <v>1</v>
      </c>
      <c r="N215" s="22">
        <f>IF('Growth (no penalty)'!M219&gt;0,1,IF('Growth (no penalty)'!M322&gt;0,4,0))</f>
        <v>1</v>
      </c>
      <c r="O215" s="22">
        <f>IF('Growth (no penalty)'!N219&gt;0,1,IF('Growth (no penalty)'!N322&gt;0,4,0))</f>
        <v>4</v>
      </c>
      <c r="P215" s="22">
        <f>IF('Growth (no penalty)'!O219&gt;0,1,IF('Growth (no penalty)'!O322&gt;0,4,0))</f>
        <v>4</v>
      </c>
      <c r="Q215" s="22">
        <f>IF('Growth (no penalty)'!P219&gt;0,1,IF('Growth (no penalty)'!P322&gt;0,4,0))</f>
        <v>4</v>
      </c>
      <c r="R215" s="22">
        <f>IF('Growth (no penalty)'!Q219&gt;0,1,IF('Growth (no penalty)'!Q322&gt;0,4,0))</f>
        <v>4</v>
      </c>
      <c r="S215" s="22">
        <f>IF('Growth (no penalty)'!R219&gt;0,1,IF('Growth (no penalty)'!R322&gt;0,4,0))</f>
        <v>4</v>
      </c>
      <c r="T215" s="22">
        <f>IF('Growth (no penalty)'!S219&gt;0,1,IF('Growth (no penalty)'!S322&gt;0,4,0))</f>
        <v>4</v>
      </c>
      <c r="U215" s="22">
        <f>IF('Growth (no penalty)'!T219&gt;0,1,IF('Growth (no penalty)'!T322&gt;0,4,0))</f>
        <v>4</v>
      </c>
      <c r="V215" s="22">
        <f>IF('Growth (no penalty)'!U219&gt;0,1,IF('Growth (no penalty)'!U322&gt;0,4,0))</f>
        <v>4</v>
      </c>
      <c r="W215" s="22">
        <f>IF('Growth (no penalty)'!V219&gt;0,1,IF('Growth (no penalty)'!V322&gt;0,4,0))</f>
        <v>4</v>
      </c>
      <c r="X215" s="22">
        <f>IF('Growth (no penalty)'!W219&gt;0,1,IF('Growth (no penalty)'!W322&gt;0,4,0))</f>
        <v>4</v>
      </c>
      <c r="Y215" s="22">
        <f>IF('Growth (no penalty)'!X219&gt;0,1,IF('Growth (no penalty)'!X322&gt;0,4,0))</f>
        <v>4</v>
      </c>
      <c r="Z215" s="22">
        <f>IF('Growth (no penalty)'!Y219&gt;0,1,IF('Growth (no penalty)'!Y322&gt;0,4,0))</f>
        <v>4</v>
      </c>
      <c r="AA215" s="22">
        <f>IF('Growth (no penalty)'!Z219&gt;0,1,IF('Growth (no penalty)'!Z322&gt;0,4,0))</f>
        <v>4</v>
      </c>
      <c r="AB215" s="22">
        <f>IF('Growth (no penalty)'!AA219&gt;0,1,IF('Growth (no penalty)'!AA322&gt;0,4,0))</f>
        <v>4</v>
      </c>
      <c r="AC215" s="22">
        <f>IF('Growth (no penalty)'!AB219&gt;0,1,IF('Growth (no penalty)'!AB322&gt;0,4,0))</f>
        <v>4</v>
      </c>
      <c r="AD215" s="22">
        <f>IF('Growth (no penalty)'!AC219&gt;0,1,IF('Growth (no penalty)'!AC322&gt;0,4,0))</f>
        <v>4</v>
      </c>
      <c r="AE215" s="22">
        <f>IF('Growth (no penalty)'!AD219&gt;0,1,IF('Growth (no penalty)'!AD322&gt;0,4,0))</f>
        <v>4</v>
      </c>
      <c r="AF215" s="22">
        <f>IF('Growth (no penalty)'!AE219&gt;0,1,IF('Growth (no penalty)'!AE322&gt;0,4,0))</f>
        <v>4</v>
      </c>
      <c r="AG215" s="22">
        <f>IF('Growth (no penalty)'!AF219&gt;0,1,IF('Growth (no penalty)'!AF322&gt;0,4,0))</f>
        <v>4</v>
      </c>
      <c r="AH215" s="22">
        <f>IF('Growth (no penalty)'!AG219&gt;0,1,IF('Growth (no penalty)'!AG322&gt;0,4,0))</f>
        <v>4</v>
      </c>
      <c r="AI215" s="22">
        <f>IF('Growth (no penalty)'!AH219&gt;0,1,IF('Growth (no penalty)'!AH322&gt;0,4,0))</f>
        <v>4</v>
      </c>
      <c r="AJ215" s="22">
        <f>IF('Growth (no penalty)'!AI219&gt;0,1,IF('Growth (no penalty)'!AI322&gt;0,4,0))</f>
        <v>4</v>
      </c>
      <c r="AK215" s="22">
        <f>IF('Growth (no penalty)'!AJ219&gt;0,1,IF('Growth (no penalty)'!AJ322&gt;0,4,0))</f>
        <v>4</v>
      </c>
      <c r="AL215" s="22">
        <f>IF('Growth (no penalty)'!AK219&gt;0,1,IF('Growth (no penalty)'!AK322&gt;0,4,0))</f>
        <v>4</v>
      </c>
      <c r="AM215" s="22">
        <f>IF('Growth (no penalty)'!AL219&gt;0,1,IF('Growth (no penalty)'!AL322&gt;0,4,0))</f>
        <v>4</v>
      </c>
      <c r="AN215" s="22">
        <f>IF('Growth (no penalty)'!AM219&gt;0,1,IF('Growth (no penalty)'!AM322&gt;0,4,0))</f>
        <v>4</v>
      </c>
      <c r="AO215" s="22">
        <f>IF('Growth (no penalty)'!AN219&gt;0,1,IF('Growth (no penalty)'!AN322&gt;0,4,0))</f>
        <v>4</v>
      </c>
      <c r="AP215" s="22">
        <f>IF('Growth (no penalty)'!AO219&gt;0,1,IF('Growth (no penalty)'!AO322&gt;0,4,0))</f>
        <v>4</v>
      </c>
      <c r="AQ215" s="22">
        <f>IF('Growth (no penalty)'!AP219&gt;0,1,IF('Growth (no penalty)'!AP322&gt;0,4,0))</f>
        <v>4</v>
      </c>
      <c r="AR215" s="22">
        <f>IF('Growth (no penalty)'!AQ219&gt;0,1,IF('Growth (no penalty)'!AQ322&gt;0,4,0))</f>
        <v>4</v>
      </c>
      <c r="AS215" s="22">
        <f>IF('Growth (no penalty)'!AR219&gt;0,1,IF('Growth (no penalty)'!AR322&gt;0,4,0))</f>
        <v>4</v>
      </c>
      <c r="AT215" s="22">
        <f>IF('Growth (no penalty)'!AS219&gt;0,1,IF('Growth (no penalty)'!AS322&gt;0,4,0))</f>
        <v>4</v>
      </c>
      <c r="AU215" s="22">
        <f>IF('Growth (no penalty)'!AT219&gt;0,1,IF('Growth (no penalty)'!AT322&gt;0,4,0))</f>
        <v>4</v>
      </c>
      <c r="AV215" s="22">
        <f>IF('Growth (no penalty)'!AU219&gt;0,1,IF('Growth (no penalty)'!AU322&gt;0,4,0))</f>
        <v>4</v>
      </c>
      <c r="AW215" s="22">
        <f>IF('Growth (no penalty)'!AV219&gt;0,1,IF('Growth (no penalty)'!AV322&gt;0,4,0))</f>
        <v>4</v>
      </c>
      <c r="AX215" s="22">
        <f>IF('Growth (no penalty)'!AW219&gt;0,1,IF('Growth (no penalty)'!AW322&gt;0,4,0))</f>
        <v>4</v>
      </c>
      <c r="AY215" s="22">
        <f>IF('Growth (no penalty)'!AX219&gt;0,1,IF('Growth (no penalty)'!AX322&gt;0,4,0))</f>
        <v>4</v>
      </c>
      <c r="AZ215" s="22">
        <f>IF('Growth (no penalty)'!AY219&gt;0,1,IF('Growth (no penalty)'!AY322&gt;0,4,0))</f>
        <v>4</v>
      </c>
      <c r="BA215" s="22">
        <f>IF('Growth (no penalty)'!AZ219&gt;0,1,IF('Growth (no penalty)'!AZ322&gt;0,4,0))</f>
        <v>4</v>
      </c>
      <c r="BB215" s="22">
        <f>IF('Growth (no penalty)'!BA219&gt;0,1,IF('Growth (no penalty)'!BA322&gt;0,4,0))</f>
        <v>4</v>
      </c>
      <c r="BC215" s="22">
        <f>IF('Growth (no penalty)'!BB219&gt;0,1,IF('Growth (no penalty)'!BB322&gt;0,4,0))</f>
        <v>0</v>
      </c>
      <c r="BD215" s="22">
        <f>IF('Growth (no penalty)'!BC219&gt;0,1,IF('Growth (no penalty)'!BC322&gt;0,4,0))</f>
        <v>0</v>
      </c>
      <c r="BE215" s="22">
        <f>IF('Growth (no penalty)'!BD219&gt;0,1,IF('Growth (no penalty)'!BD322&gt;0,4,0))</f>
        <v>0</v>
      </c>
      <c r="BF215" s="22">
        <f>IF('Growth (no penalty)'!BE219&gt;0,1,IF('Growth (no penalty)'!BE322&gt;0,4,0))</f>
        <v>0</v>
      </c>
      <c r="BG215" s="22">
        <f>IF('Growth (no penalty)'!BF219&gt;0,1,IF('Growth (no penalty)'!BF322&gt;0,4,0))</f>
        <v>0</v>
      </c>
      <c r="BH215" s="22">
        <f>IF('Growth (no penalty)'!BG219&gt;0,1,IF('Growth (no penalty)'!BG322&gt;0,4,0))</f>
        <v>0</v>
      </c>
      <c r="BI215" s="22">
        <f>IF('Growth (no penalty)'!BH219&gt;0,1,IF('Growth (no penalty)'!BH322&gt;0,4,0))</f>
        <v>0</v>
      </c>
      <c r="BJ215" s="22">
        <f>IF('Growth (no penalty)'!BI219&gt;0,1,IF('Growth (no penalty)'!BI322&gt;0,4,0))</f>
        <v>0</v>
      </c>
      <c r="BK215" s="23">
        <f>IF('Growth (no penalty)'!BJ219&gt;0,1,IF('Growth (no penalty)'!BJ322&gt;0,4,0))</f>
        <v>0</v>
      </c>
    </row>
    <row r="216" spans="1:63" x14ac:dyDescent="0.3">
      <c r="A216" s="4" t="str">
        <f>'Growth profile'!A92</f>
        <v>project 145</v>
      </c>
      <c r="B216" s="13" t="s">
        <v>3</v>
      </c>
      <c r="C216" s="19">
        <f>'Raw profile'!I92</f>
        <v>2039</v>
      </c>
      <c r="D216" s="20">
        <f>IF('Raw profile'!C200&gt;0,1,IF('Raw profile'!C303&gt;0,2,0))</f>
        <v>0</v>
      </c>
      <c r="E216" s="20">
        <f>IF('Raw profile'!D200&gt;0,1,IF('Raw profile'!D303&gt;0,2,0))</f>
        <v>0</v>
      </c>
      <c r="F216" s="20">
        <f>IF('Raw profile'!E200&gt;0,1,IF('Raw profile'!E303&gt;0,2,0))</f>
        <v>0</v>
      </c>
      <c r="G216" s="20">
        <f>IF('Raw profile'!F200&gt;0,1,IF('Raw profile'!F303&gt;0,2,0))</f>
        <v>0</v>
      </c>
      <c r="H216" s="20">
        <f>IF('Raw profile'!G200&gt;0,1,IF('Raw profile'!G303&gt;0,2,0))</f>
        <v>0</v>
      </c>
      <c r="I216" s="20">
        <f>IF('Raw profile'!H200&gt;0,1,IF('Raw profile'!H303&gt;0,2,0))</f>
        <v>0</v>
      </c>
      <c r="J216" s="20">
        <f>IF('Raw profile'!I200&gt;0,1,IF('Raw profile'!I303&gt;0,2,0))</f>
        <v>0</v>
      </c>
      <c r="K216" s="20">
        <f>IF('Raw profile'!J200&gt;0,1,IF('Raw profile'!J303&gt;0,2,0))</f>
        <v>0</v>
      </c>
      <c r="L216" s="20">
        <f>IF('Raw profile'!K200&gt;0,1,IF('Raw profile'!K303&gt;0,2,0))</f>
        <v>0</v>
      </c>
      <c r="M216" s="20">
        <f>IF('Raw profile'!L200&gt;0,1,IF('Raw profile'!L303&gt;0,2,0))</f>
        <v>0</v>
      </c>
      <c r="N216" s="20">
        <f>IF('Raw profile'!M200&gt;0,1,IF('Raw profile'!M303&gt;0,2,0))</f>
        <v>0</v>
      </c>
      <c r="O216" s="20">
        <f>IF('Raw profile'!N200&gt;0,1,IF('Raw profile'!N303&gt;0,2,0))</f>
        <v>0</v>
      </c>
      <c r="P216" s="20">
        <f>IF('Raw profile'!O200&gt;0,1,IF('Raw profile'!O303&gt;0,2,0))</f>
        <v>0</v>
      </c>
      <c r="Q216" s="20">
        <f>IF('Raw profile'!P200&gt;0,1,IF('Raw profile'!P303&gt;0,2,0))</f>
        <v>1</v>
      </c>
      <c r="R216" s="20">
        <f>IF('Raw profile'!Q200&gt;0,1,IF('Raw profile'!Q303&gt;0,2,0))</f>
        <v>0</v>
      </c>
      <c r="S216" s="20">
        <f>IF('Raw profile'!R200&gt;0,1,IF('Raw profile'!R303&gt;0,2,0))</f>
        <v>0</v>
      </c>
      <c r="T216" s="20">
        <f>IF('Raw profile'!S200&gt;0,1,IF('Raw profile'!S303&gt;0,2,0))</f>
        <v>0</v>
      </c>
      <c r="U216" s="20">
        <f>IF('Raw profile'!T200&gt;0,1,IF('Raw profile'!T303&gt;0,2,0))</f>
        <v>1</v>
      </c>
      <c r="V216" s="20">
        <f>IF('Raw profile'!U200&gt;0,1,IF('Raw profile'!U303&gt;0,2,0))</f>
        <v>2</v>
      </c>
      <c r="W216" s="20">
        <f>IF('Raw profile'!V200&gt;0,1,IF('Raw profile'!V303&gt;0,2,0))</f>
        <v>2</v>
      </c>
      <c r="X216" s="20">
        <f>IF('Raw profile'!W200&gt;0,1,IF('Raw profile'!W303&gt;0,2,0))</f>
        <v>2</v>
      </c>
      <c r="Y216" s="20">
        <f>IF('Raw profile'!X200&gt;0,1,IF('Raw profile'!X303&gt;0,2,0))</f>
        <v>2</v>
      </c>
      <c r="Z216" s="20">
        <f>IF('Raw profile'!Y200&gt;0,1,IF('Raw profile'!Y303&gt;0,2,0))</f>
        <v>2</v>
      </c>
      <c r="AA216" s="20">
        <f>IF('Raw profile'!Z200&gt;0,1,IF('Raw profile'!Z303&gt;0,2,0))</f>
        <v>2</v>
      </c>
      <c r="AB216" s="20">
        <f>IF('Raw profile'!AA200&gt;0,1,IF('Raw profile'!AA303&gt;0,2,0))</f>
        <v>2</v>
      </c>
      <c r="AC216" s="20">
        <f>IF('Raw profile'!AB200&gt;0,1,IF('Raw profile'!AB303&gt;0,2,0))</f>
        <v>2</v>
      </c>
      <c r="AD216" s="20">
        <f>IF('Raw profile'!AC200&gt;0,1,IF('Raw profile'!AC303&gt;0,2,0))</f>
        <v>2</v>
      </c>
      <c r="AE216" s="20">
        <f>IF('Raw profile'!AD200&gt;0,1,IF('Raw profile'!AD303&gt;0,2,0))</f>
        <v>2</v>
      </c>
      <c r="AF216" s="20">
        <f>IF('Raw profile'!AE200&gt;0,1,IF('Raw profile'!AE303&gt;0,2,0))</f>
        <v>2</v>
      </c>
      <c r="AG216" s="20">
        <f>IF('Raw profile'!AF200&gt;0,1,IF('Raw profile'!AF303&gt;0,2,0))</f>
        <v>2</v>
      </c>
      <c r="AH216" s="20">
        <f>IF('Raw profile'!AG200&gt;0,1,IF('Raw profile'!AG303&gt;0,2,0))</f>
        <v>2</v>
      </c>
      <c r="AI216" s="20">
        <f>IF('Raw profile'!AH200&gt;0,1,IF('Raw profile'!AH303&gt;0,2,0))</f>
        <v>2</v>
      </c>
      <c r="AJ216" s="20">
        <f>IF('Raw profile'!AI200&gt;0,1,IF('Raw profile'!AI303&gt;0,2,0))</f>
        <v>2</v>
      </c>
      <c r="AK216" s="20">
        <f>IF('Raw profile'!AJ200&gt;0,1,IF('Raw profile'!AJ303&gt;0,2,0))</f>
        <v>2</v>
      </c>
      <c r="AL216" s="20">
        <f>IF('Raw profile'!AK200&gt;0,1,IF('Raw profile'!AK303&gt;0,2,0))</f>
        <v>2</v>
      </c>
      <c r="AM216" s="20">
        <f>IF('Raw profile'!AL200&gt;0,1,IF('Raw profile'!AL303&gt;0,2,0))</f>
        <v>2</v>
      </c>
      <c r="AN216" s="20">
        <f>IF('Raw profile'!AM200&gt;0,1,IF('Raw profile'!AM303&gt;0,2,0))</f>
        <v>2</v>
      </c>
      <c r="AO216" s="20">
        <f>IF('Raw profile'!AN200&gt;0,1,IF('Raw profile'!AN303&gt;0,2,0))</f>
        <v>2</v>
      </c>
      <c r="AP216" s="20">
        <f>IF('Raw profile'!AO200&gt;0,1,IF('Raw profile'!AO303&gt;0,2,0))</f>
        <v>2</v>
      </c>
      <c r="AQ216" s="20">
        <f>IF('Raw profile'!AP200&gt;0,1,IF('Raw profile'!AP303&gt;0,2,0))</f>
        <v>2</v>
      </c>
      <c r="AR216" s="20">
        <f>IF('Raw profile'!AQ200&gt;0,1,IF('Raw profile'!AQ303&gt;0,2,0))</f>
        <v>2</v>
      </c>
      <c r="AS216" s="20">
        <f>IF('Raw profile'!AR200&gt;0,1,IF('Raw profile'!AR303&gt;0,2,0))</f>
        <v>2</v>
      </c>
      <c r="AT216" s="20">
        <f>IF('Raw profile'!AS200&gt;0,1,IF('Raw profile'!AS303&gt;0,2,0))</f>
        <v>2</v>
      </c>
      <c r="AU216" s="20">
        <f>IF('Raw profile'!AT200&gt;0,1,IF('Raw profile'!AT303&gt;0,2,0))</f>
        <v>2</v>
      </c>
      <c r="AV216" s="20">
        <f>IF('Raw profile'!AU200&gt;0,1,IF('Raw profile'!AU303&gt;0,2,0))</f>
        <v>2</v>
      </c>
      <c r="AW216" s="20">
        <f>IF('Raw profile'!AV200&gt;0,1,IF('Raw profile'!AV303&gt;0,2,0))</f>
        <v>2</v>
      </c>
      <c r="AX216" s="20">
        <f>IF('Raw profile'!AW200&gt;0,1,IF('Raw profile'!AW303&gt;0,2,0))</f>
        <v>2</v>
      </c>
      <c r="AY216" s="20">
        <f>IF('Raw profile'!AX200&gt;0,1,IF('Raw profile'!AX303&gt;0,2,0))</f>
        <v>2</v>
      </c>
      <c r="AZ216" s="20">
        <f>IF('Raw profile'!AY200&gt;0,1,IF('Raw profile'!AY303&gt;0,2,0))</f>
        <v>2</v>
      </c>
      <c r="BA216" s="20">
        <f>IF('Raw profile'!AZ200&gt;0,1,IF('Raw profile'!AZ303&gt;0,2,0))</f>
        <v>2</v>
      </c>
      <c r="BB216" s="20">
        <f>IF('Raw profile'!BA200&gt;0,1,IF('Raw profile'!BA303&gt;0,2,0))</f>
        <v>2</v>
      </c>
      <c r="BC216" s="20">
        <f>IF('Raw profile'!BB200&gt;0,1,IF('Raw profile'!BB303&gt;0,2,0))</f>
        <v>2</v>
      </c>
      <c r="BD216" s="20">
        <f>IF('Raw profile'!BC200&gt;0,1,IF('Raw profile'!BC303&gt;0,2,0))</f>
        <v>2</v>
      </c>
      <c r="BE216" s="20">
        <f>IF('Raw profile'!BD200&gt;0,1,IF('Raw profile'!BD303&gt;0,2,0))</f>
        <v>2</v>
      </c>
      <c r="BF216" s="20">
        <f>IF('Raw profile'!BE200&gt;0,1,IF('Raw profile'!BE303&gt;0,2,0))</f>
        <v>2</v>
      </c>
      <c r="BG216" s="20">
        <f>IF('Raw profile'!BF200&gt;0,1,IF('Raw profile'!BF303&gt;0,2,0))</f>
        <v>2</v>
      </c>
      <c r="BH216" s="20">
        <f>IF('Raw profile'!BG200&gt;0,1,IF('Raw profile'!BG303&gt;0,2,0))</f>
        <v>2</v>
      </c>
      <c r="BI216" s="20">
        <f>IF('Raw profile'!BH200&gt;0,1,IF('Raw profile'!BH303&gt;0,2,0))</f>
        <v>2</v>
      </c>
      <c r="BJ216" s="20">
        <f>IF('Raw profile'!BI200&gt;0,1,IF('Raw profile'!BI303&gt;0,2,0))</f>
        <v>0</v>
      </c>
      <c r="BK216" s="21">
        <f>IF('Raw profile'!BJ200&gt;0,1,IF('Raw profile'!BJ303&gt;0,2,0))</f>
        <v>0</v>
      </c>
    </row>
    <row r="217" spans="1:63" x14ac:dyDescent="0.3">
      <c r="B217" s="13" t="s">
        <v>4</v>
      </c>
      <c r="C217" s="19">
        <f>'Growth profile'!I92</f>
        <v>2031</v>
      </c>
      <c r="D217" s="20">
        <f>IF('Growth profile'!C200&gt;0,1,IF('Growth profile'!C303&gt;0,3,0))</f>
        <v>0</v>
      </c>
      <c r="E217" s="20">
        <f>IF('Growth profile'!D200&gt;0,1,IF('Growth profile'!D303&gt;0,3,0))</f>
        <v>0</v>
      </c>
      <c r="F217" s="20">
        <f>IF('Growth profile'!E200&gt;0,1,IF('Growth profile'!E303&gt;0,3,0))</f>
        <v>0</v>
      </c>
      <c r="G217" s="20">
        <f>IF('Growth profile'!F200&gt;0,1,IF('Growth profile'!F303&gt;0,3,0))</f>
        <v>0</v>
      </c>
      <c r="H217" s="20">
        <f>IF('Growth profile'!G200&gt;0,1,IF('Growth profile'!G303&gt;0,3,0))</f>
        <v>0</v>
      </c>
      <c r="I217" s="20">
        <f>IF('Growth profile'!H200&gt;0,1,IF('Growth profile'!H303&gt;0,3,0))</f>
        <v>1</v>
      </c>
      <c r="J217" s="20">
        <f>IF('Growth profile'!I200&gt;0,1,IF('Growth profile'!I303&gt;0,3,0))</f>
        <v>0</v>
      </c>
      <c r="K217" s="20">
        <f>IF('Growth profile'!J200&gt;0,1,IF('Growth profile'!J303&gt;0,3,0))</f>
        <v>0</v>
      </c>
      <c r="L217" s="20">
        <f>IF('Growth profile'!K200&gt;0,1,IF('Growth profile'!K303&gt;0,3,0))</f>
        <v>0</v>
      </c>
      <c r="M217" s="20">
        <f>IF('Growth profile'!L200&gt;0,1,IF('Growth profile'!L303&gt;0,3,0))</f>
        <v>1</v>
      </c>
      <c r="N217" s="20">
        <f>IF('Growth profile'!M200&gt;0,1,IF('Growth profile'!M303&gt;0,3,0))</f>
        <v>3</v>
      </c>
      <c r="O217" s="20">
        <f>IF('Growth profile'!N200&gt;0,1,IF('Growth profile'!N303&gt;0,3,0))</f>
        <v>3</v>
      </c>
      <c r="P217" s="20">
        <f>IF('Growth profile'!O200&gt;0,1,IF('Growth profile'!O303&gt;0,3,0))</f>
        <v>3</v>
      </c>
      <c r="Q217" s="20">
        <f>IF('Growth profile'!P200&gt;0,1,IF('Growth profile'!P303&gt;0,3,0))</f>
        <v>3</v>
      </c>
      <c r="R217" s="20">
        <f>IF('Growth profile'!Q200&gt;0,1,IF('Growth profile'!Q303&gt;0,3,0))</f>
        <v>3</v>
      </c>
      <c r="S217" s="20">
        <f>IF('Growth profile'!R200&gt;0,1,IF('Growth profile'!R303&gt;0,3,0))</f>
        <v>3</v>
      </c>
      <c r="T217" s="20">
        <f>IF('Growth profile'!S200&gt;0,1,IF('Growth profile'!S303&gt;0,3,0))</f>
        <v>3</v>
      </c>
      <c r="U217" s="20">
        <f>IF('Growth profile'!T200&gt;0,1,IF('Growth profile'!T303&gt;0,3,0))</f>
        <v>3</v>
      </c>
      <c r="V217" s="20">
        <f>IF('Growth profile'!U200&gt;0,1,IF('Growth profile'!U303&gt;0,3,0))</f>
        <v>3</v>
      </c>
      <c r="W217" s="20">
        <f>IF('Growth profile'!V200&gt;0,1,IF('Growth profile'!V303&gt;0,3,0))</f>
        <v>3</v>
      </c>
      <c r="X217" s="20">
        <f>IF('Growth profile'!W200&gt;0,1,IF('Growth profile'!W303&gt;0,3,0))</f>
        <v>3</v>
      </c>
      <c r="Y217" s="20">
        <f>IF('Growth profile'!X200&gt;0,1,IF('Growth profile'!X303&gt;0,3,0))</f>
        <v>3</v>
      </c>
      <c r="Z217" s="20">
        <f>IF('Growth profile'!Y200&gt;0,1,IF('Growth profile'!Y303&gt;0,3,0))</f>
        <v>3</v>
      </c>
      <c r="AA217" s="20">
        <f>IF('Growth profile'!Z200&gt;0,1,IF('Growth profile'!Z303&gt;0,3,0))</f>
        <v>3</v>
      </c>
      <c r="AB217" s="20">
        <f>IF('Growth profile'!AA200&gt;0,1,IF('Growth profile'!AA303&gt;0,3,0))</f>
        <v>3</v>
      </c>
      <c r="AC217" s="20">
        <f>IF('Growth profile'!AB200&gt;0,1,IF('Growth profile'!AB303&gt;0,3,0))</f>
        <v>3</v>
      </c>
      <c r="AD217" s="20">
        <f>IF('Growth profile'!AC200&gt;0,1,IF('Growth profile'!AC303&gt;0,3,0))</f>
        <v>3</v>
      </c>
      <c r="AE217" s="20">
        <f>IF('Growth profile'!AD200&gt;0,1,IF('Growth profile'!AD303&gt;0,3,0))</f>
        <v>3</v>
      </c>
      <c r="AF217" s="20">
        <f>IF('Growth profile'!AE200&gt;0,1,IF('Growth profile'!AE303&gt;0,3,0))</f>
        <v>3</v>
      </c>
      <c r="AG217" s="20">
        <f>IF('Growth profile'!AF200&gt;0,1,IF('Growth profile'!AF303&gt;0,3,0))</f>
        <v>3</v>
      </c>
      <c r="AH217" s="20">
        <f>IF('Growth profile'!AG200&gt;0,1,IF('Growth profile'!AG303&gt;0,3,0))</f>
        <v>3</v>
      </c>
      <c r="AI217" s="20">
        <f>IF('Growth profile'!AH200&gt;0,1,IF('Growth profile'!AH303&gt;0,3,0))</f>
        <v>3</v>
      </c>
      <c r="AJ217" s="20">
        <f>IF('Growth profile'!AI200&gt;0,1,IF('Growth profile'!AI303&gt;0,3,0))</f>
        <v>3</v>
      </c>
      <c r="AK217" s="20">
        <f>IF('Growth profile'!AJ200&gt;0,1,IF('Growth profile'!AJ303&gt;0,3,0))</f>
        <v>3</v>
      </c>
      <c r="AL217" s="20">
        <f>IF('Growth profile'!AK200&gt;0,1,IF('Growth profile'!AK303&gt;0,3,0))</f>
        <v>3</v>
      </c>
      <c r="AM217" s="20">
        <f>IF('Growth profile'!AL200&gt;0,1,IF('Growth profile'!AL303&gt;0,3,0))</f>
        <v>3</v>
      </c>
      <c r="AN217" s="20">
        <f>IF('Growth profile'!AM200&gt;0,1,IF('Growth profile'!AM303&gt;0,3,0))</f>
        <v>3</v>
      </c>
      <c r="AO217" s="20">
        <f>IF('Growth profile'!AN200&gt;0,1,IF('Growth profile'!AN303&gt;0,3,0))</f>
        <v>3</v>
      </c>
      <c r="AP217" s="20">
        <f>IF('Growth profile'!AO200&gt;0,1,IF('Growth profile'!AO303&gt;0,3,0))</f>
        <v>3</v>
      </c>
      <c r="AQ217" s="20">
        <f>IF('Growth profile'!AP200&gt;0,1,IF('Growth profile'!AP303&gt;0,3,0))</f>
        <v>3</v>
      </c>
      <c r="AR217" s="20">
        <f>IF('Growth profile'!AQ200&gt;0,1,IF('Growth profile'!AQ303&gt;0,3,0))</f>
        <v>3</v>
      </c>
      <c r="AS217" s="20">
        <f>IF('Growth profile'!AR200&gt;0,1,IF('Growth profile'!AR303&gt;0,3,0))</f>
        <v>3</v>
      </c>
      <c r="AT217" s="20">
        <f>IF('Growth profile'!AS200&gt;0,1,IF('Growth profile'!AS303&gt;0,3,0))</f>
        <v>3</v>
      </c>
      <c r="AU217" s="20">
        <f>IF('Growth profile'!AT200&gt;0,1,IF('Growth profile'!AT303&gt;0,3,0))</f>
        <v>3</v>
      </c>
      <c r="AV217" s="20">
        <f>IF('Growth profile'!AU200&gt;0,1,IF('Growth profile'!AU303&gt;0,3,0))</f>
        <v>3</v>
      </c>
      <c r="AW217" s="20">
        <f>IF('Growth profile'!AV200&gt;0,1,IF('Growth profile'!AV303&gt;0,3,0))</f>
        <v>3</v>
      </c>
      <c r="AX217" s="20">
        <f>IF('Growth profile'!AW200&gt;0,1,IF('Growth profile'!AW303&gt;0,3,0))</f>
        <v>3</v>
      </c>
      <c r="AY217" s="20">
        <f>IF('Growth profile'!AX200&gt;0,1,IF('Growth profile'!AX303&gt;0,3,0))</f>
        <v>3</v>
      </c>
      <c r="AZ217" s="20">
        <f>IF('Growth profile'!AY200&gt;0,1,IF('Growth profile'!AY303&gt;0,3,0))</f>
        <v>3</v>
      </c>
      <c r="BA217" s="20">
        <f>IF('Growth profile'!AZ200&gt;0,1,IF('Growth profile'!AZ303&gt;0,3,0))</f>
        <v>3</v>
      </c>
      <c r="BB217" s="20">
        <f>IF('Growth profile'!BA200&gt;0,1,IF('Growth profile'!BA303&gt;0,3,0))</f>
        <v>0</v>
      </c>
      <c r="BC217" s="20">
        <f>IF('Growth profile'!BB200&gt;0,1,IF('Growth profile'!BB303&gt;0,3,0))</f>
        <v>0</v>
      </c>
      <c r="BD217" s="20">
        <f>IF('Growth profile'!BC200&gt;0,1,IF('Growth profile'!BC303&gt;0,3,0))</f>
        <v>0</v>
      </c>
      <c r="BE217" s="20">
        <f>IF('Growth profile'!BD200&gt;0,1,IF('Growth profile'!BD303&gt;0,3,0))</f>
        <v>0</v>
      </c>
      <c r="BF217" s="20">
        <f>IF('Growth profile'!BE200&gt;0,1,IF('Growth profile'!BE303&gt;0,3,0))</f>
        <v>0</v>
      </c>
      <c r="BG217" s="20">
        <f>IF('Growth profile'!BF200&gt;0,1,IF('Growth profile'!BF303&gt;0,3,0))</f>
        <v>0</v>
      </c>
      <c r="BH217" s="20">
        <f>IF('Growth profile'!BG200&gt;0,1,IF('Growth profile'!BG303&gt;0,3,0))</f>
        <v>0</v>
      </c>
      <c r="BI217" s="20">
        <f>IF('Growth profile'!BH200&gt;0,1,IF('Growth profile'!BH303&gt;0,3,0))</f>
        <v>0</v>
      </c>
      <c r="BJ217" s="20">
        <f>IF('Growth profile'!BI200&gt;0,1,IF('Growth profile'!BI303&gt;0,3,0))</f>
        <v>0</v>
      </c>
      <c r="BK217" s="21">
        <f>IF('Growth profile'!BJ200&gt;0,1,IF('Growth profile'!BJ303&gt;0,3,0))</f>
        <v>0</v>
      </c>
    </row>
    <row r="218" spans="1:63" x14ac:dyDescent="0.3">
      <c r="B218" s="13" t="s">
        <v>59</v>
      </c>
      <c r="C218" s="19">
        <f>'Growth (no penalty)'!I92</f>
        <v>2041</v>
      </c>
      <c r="D218" s="22">
        <f>IF('Growth (no penalty)'!C200&gt;0,1,IF('Growth (no penalty)'!C303&gt;0,4,0))</f>
        <v>0</v>
      </c>
      <c r="E218" s="22">
        <f>IF('Growth (no penalty)'!D200&gt;0,1,IF('Growth (no penalty)'!D303&gt;0,4,0))</f>
        <v>0</v>
      </c>
      <c r="F218" s="22">
        <f>IF('Growth (no penalty)'!E200&gt;0,1,IF('Growth (no penalty)'!E303&gt;0,4,0))</f>
        <v>0</v>
      </c>
      <c r="G218" s="22">
        <f>IF('Growth (no penalty)'!F200&gt;0,1,IF('Growth (no penalty)'!F303&gt;0,4,0))</f>
        <v>0</v>
      </c>
      <c r="H218" s="22">
        <f>IF('Growth (no penalty)'!G200&gt;0,1,IF('Growth (no penalty)'!G303&gt;0,4,0))</f>
        <v>0</v>
      </c>
      <c r="I218" s="22">
        <f>IF('Growth (no penalty)'!H200&gt;0,1,IF('Growth (no penalty)'!H303&gt;0,4,0))</f>
        <v>0</v>
      </c>
      <c r="J218" s="22">
        <f>IF('Growth (no penalty)'!I200&gt;0,1,IF('Growth (no penalty)'!I303&gt;0,4,0))</f>
        <v>0</v>
      </c>
      <c r="K218" s="22">
        <f>IF('Growth (no penalty)'!J200&gt;0,1,IF('Growth (no penalty)'!J303&gt;0,4,0))</f>
        <v>0</v>
      </c>
      <c r="L218" s="22">
        <f>IF('Growth (no penalty)'!K200&gt;0,1,IF('Growth (no penalty)'!K303&gt;0,4,0))</f>
        <v>0</v>
      </c>
      <c r="M218" s="22">
        <f>IF('Growth (no penalty)'!L200&gt;0,1,IF('Growth (no penalty)'!L303&gt;0,4,0))</f>
        <v>0</v>
      </c>
      <c r="N218" s="22">
        <f>IF('Growth (no penalty)'!M200&gt;0,1,IF('Growth (no penalty)'!M303&gt;0,4,0))</f>
        <v>0</v>
      </c>
      <c r="O218" s="22">
        <f>IF('Growth (no penalty)'!N200&gt;0,1,IF('Growth (no penalty)'!N303&gt;0,4,0))</f>
        <v>0</v>
      </c>
      <c r="P218" s="22">
        <f>IF('Growth (no penalty)'!O200&gt;0,1,IF('Growth (no penalty)'!O303&gt;0,4,0))</f>
        <v>0</v>
      </c>
      <c r="Q218" s="22">
        <f>IF('Growth (no penalty)'!P200&gt;0,1,IF('Growth (no penalty)'!P303&gt;0,4,0))</f>
        <v>0</v>
      </c>
      <c r="R218" s="22">
        <f>IF('Growth (no penalty)'!Q200&gt;0,1,IF('Growth (no penalty)'!Q303&gt;0,4,0))</f>
        <v>0</v>
      </c>
      <c r="S218" s="22">
        <f>IF('Growth (no penalty)'!R200&gt;0,1,IF('Growth (no penalty)'!R303&gt;0,4,0))</f>
        <v>1</v>
      </c>
      <c r="T218" s="22">
        <f>IF('Growth (no penalty)'!S200&gt;0,1,IF('Growth (no penalty)'!S303&gt;0,4,0))</f>
        <v>0</v>
      </c>
      <c r="U218" s="22">
        <f>IF('Growth (no penalty)'!T200&gt;0,1,IF('Growth (no penalty)'!T303&gt;0,4,0))</f>
        <v>0</v>
      </c>
      <c r="V218" s="22">
        <f>IF('Growth (no penalty)'!U200&gt;0,1,IF('Growth (no penalty)'!U303&gt;0,4,0))</f>
        <v>0</v>
      </c>
      <c r="W218" s="22">
        <f>IF('Growth (no penalty)'!V200&gt;0,1,IF('Growth (no penalty)'!V303&gt;0,4,0))</f>
        <v>1</v>
      </c>
      <c r="X218" s="22">
        <f>IF('Growth (no penalty)'!W200&gt;0,1,IF('Growth (no penalty)'!W303&gt;0,4,0))</f>
        <v>4</v>
      </c>
      <c r="Y218" s="22">
        <f>IF('Growth (no penalty)'!X200&gt;0,1,IF('Growth (no penalty)'!X303&gt;0,4,0))</f>
        <v>4</v>
      </c>
      <c r="Z218" s="22">
        <f>IF('Growth (no penalty)'!Y200&gt;0,1,IF('Growth (no penalty)'!Y303&gt;0,4,0))</f>
        <v>4</v>
      </c>
      <c r="AA218" s="22">
        <f>IF('Growth (no penalty)'!Z200&gt;0,1,IF('Growth (no penalty)'!Z303&gt;0,4,0))</f>
        <v>4</v>
      </c>
      <c r="AB218" s="22">
        <f>IF('Growth (no penalty)'!AA200&gt;0,1,IF('Growth (no penalty)'!AA303&gt;0,4,0))</f>
        <v>4</v>
      </c>
      <c r="AC218" s="22">
        <f>IF('Growth (no penalty)'!AB200&gt;0,1,IF('Growth (no penalty)'!AB303&gt;0,4,0))</f>
        <v>4</v>
      </c>
      <c r="AD218" s="22">
        <f>IF('Growth (no penalty)'!AC200&gt;0,1,IF('Growth (no penalty)'!AC303&gt;0,4,0))</f>
        <v>4</v>
      </c>
      <c r="AE218" s="22">
        <f>IF('Growth (no penalty)'!AD200&gt;0,1,IF('Growth (no penalty)'!AD303&gt;0,4,0))</f>
        <v>4</v>
      </c>
      <c r="AF218" s="22">
        <f>IF('Growth (no penalty)'!AE200&gt;0,1,IF('Growth (no penalty)'!AE303&gt;0,4,0))</f>
        <v>4</v>
      </c>
      <c r="AG218" s="22">
        <f>IF('Growth (no penalty)'!AF200&gt;0,1,IF('Growth (no penalty)'!AF303&gt;0,4,0))</f>
        <v>4</v>
      </c>
      <c r="AH218" s="22">
        <f>IF('Growth (no penalty)'!AG200&gt;0,1,IF('Growth (no penalty)'!AG303&gt;0,4,0))</f>
        <v>4</v>
      </c>
      <c r="AI218" s="22">
        <f>IF('Growth (no penalty)'!AH200&gt;0,1,IF('Growth (no penalty)'!AH303&gt;0,4,0))</f>
        <v>4</v>
      </c>
      <c r="AJ218" s="22">
        <f>IF('Growth (no penalty)'!AI200&gt;0,1,IF('Growth (no penalty)'!AI303&gt;0,4,0))</f>
        <v>4</v>
      </c>
      <c r="AK218" s="22">
        <f>IF('Growth (no penalty)'!AJ200&gt;0,1,IF('Growth (no penalty)'!AJ303&gt;0,4,0))</f>
        <v>4</v>
      </c>
      <c r="AL218" s="22">
        <f>IF('Growth (no penalty)'!AK200&gt;0,1,IF('Growth (no penalty)'!AK303&gt;0,4,0))</f>
        <v>4</v>
      </c>
      <c r="AM218" s="22">
        <f>IF('Growth (no penalty)'!AL200&gt;0,1,IF('Growth (no penalty)'!AL303&gt;0,4,0))</f>
        <v>4</v>
      </c>
      <c r="AN218" s="22">
        <f>IF('Growth (no penalty)'!AM200&gt;0,1,IF('Growth (no penalty)'!AM303&gt;0,4,0))</f>
        <v>4</v>
      </c>
      <c r="AO218" s="22">
        <f>IF('Growth (no penalty)'!AN200&gt;0,1,IF('Growth (no penalty)'!AN303&gt;0,4,0))</f>
        <v>4</v>
      </c>
      <c r="AP218" s="22">
        <f>IF('Growth (no penalty)'!AO200&gt;0,1,IF('Growth (no penalty)'!AO303&gt;0,4,0))</f>
        <v>4</v>
      </c>
      <c r="AQ218" s="22">
        <f>IF('Growth (no penalty)'!AP200&gt;0,1,IF('Growth (no penalty)'!AP303&gt;0,4,0))</f>
        <v>4</v>
      </c>
      <c r="AR218" s="22">
        <f>IF('Growth (no penalty)'!AQ200&gt;0,1,IF('Growth (no penalty)'!AQ303&gt;0,4,0))</f>
        <v>4</v>
      </c>
      <c r="AS218" s="22">
        <f>IF('Growth (no penalty)'!AR200&gt;0,1,IF('Growth (no penalty)'!AR303&gt;0,4,0))</f>
        <v>4</v>
      </c>
      <c r="AT218" s="22">
        <f>IF('Growth (no penalty)'!AS200&gt;0,1,IF('Growth (no penalty)'!AS303&gt;0,4,0))</f>
        <v>4</v>
      </c>
      <c r="AU218" s="22">
        <f>IF('Growth (no penalty)'!AT200&gt;0,1,IF('Growth (no penalty)'!AT303&gt;0,4,0))</f>
        <v>4</v>
      </c>
      <c r="AV218" s="22">
        <f>IF('Growth (no penalty)'!AU200&gt;0,1,IF('Growth (no penalty)'!AU303&gt;0,4,0))</f>
        <v>4</v>
      </c>
      <c r="AW218" s="22">
        <f>IF('Growth (no penalty)'!AV200&gt;0,1,IF('Growth (no penalty)'!AV303&gt;0,4,0))</f>
        <v>4</v>
      </c>
      <c r="AX218" s="22">
        <f>IF('Growth (no penalty)'!AW200&gt;0,1,IF('Growth (no penalty)'!AW303&gt;0,4,0))</f>
        <v>4</v>
      </c>
      <c r="AY218" s="22">
        <f>IF('Growth (no penalty)'!AX200&gt;0,1,IF('Growth (no penalty)'!AX303&gt;0,4,0))</f>
        <v>4</v>
      </c>
      <c r="AZ218" s="22">
        <f>IF('Growth (no penalty)'!AY200&gt;0,1,IF('Growth (no penalty)'!AY303&gt;0,4,0))</f>
        <v>4</v>
      </c>
      <c r="BA218" s="22">
        <f>IF('Growth (no penalty)'!AZ200&gt;0,1,IF('Growth (no penalty)'!AZ303&gt;0,4,0))</f>
        <v>4</v>
      </c>
      <c r="BB218" s="22">
        <f>IF('Growth (no penalty)'!BA200&gt;0,1,IF('Growth (no penalty)'!BA303&gt;0,4,0))</f>
        <v>4</v>
      </c>
      <c r="BC218" s="22">
        <f>IF('Growth (no penalty)'!BB200&gt;0,1,IF('Growth (no penalty)'!BB303&gt;0,4,0))</f>
        <v>4</v>
      </c>
      <c r="BD218" s="22">
        <f>IF('Growth (no penalty)'!BC200&gt;0,1,IF('Growth (no penalty)'!BC303&gt;0,4,0))</f>
        <v>4</v>
      </c>
      <c r="BE218" s="22">
        <f>IF('Growth (no penalty)'!BD200&gt;0,1,IF('Growth (no penalty)'!BD303&gt;0,4,0))</f>
        <v>4</v>
      </c>
      <c r="BF218" s="22">
        <f>IF('Growth (no penalty)'!BE200&gt;0,1,IF('Growth (no penalty)'!BE303&gt;0,4,0))</f>
        <v>4</v>
      </c>
      <c r="BG218" s="22">
        <f>IF('Growth (no penalty)'!BF200&gt;0,1,IF('Growth (no penalty)'!BF303&gt;0,4,0))</f>
        <v>4</v>
      </c>
      <c r="BH218" s="22">
        <f>IF('Growth (no penalty)'!BG200&gt;0,1,IF('Growth (no penalty)'!BG303&gt;0,4,0))</f>
        <v>4</v>
      </c>
      <c r="BI218" s="22">
        <f>IF('Growth (no penalty)'!BH200&gt;0,1,IF('Growth (no penalty)'!BH303&gt;0,4,0))</f>
        <v>4</v>
      </c>
      <c r="BJ218" s="22">
        <f>IF('Growth (no penalty)'!BI200&gt;0,1,IF('Growth (no penalty)'!BI303&gt;0,4,0))</f>
        <v>4</v>
      </c>
      <c r="BK218" s="23">
        <f>IF('Growth (no penalty)'!BJ200&gt;0,1,IF('Growth (no penalty)'!BJ303&gt;0,4,0))</f>
        <v>4</v>
      </c>
    </row>
    <row r="219" spans="1:63" x14ac:dyDescent="0.3">
      <c r="A219" s="4" t="str">
        <f>'Growth profile'!A93</f>
        <v>project 146</v>
      </c>
      <c r="B219" s="13" t="s">
        <v>3</v>
      </c>
      <c r="C219" s="19">
        <f>'Raw profile'!I93</f>
        <v>2039</v>
      </c>
      <c r="D219" s="20">
        <f>IF('Raw profile'!C201&gt;0,1,IF('Raw profile'!C304&gt;0,2,0))</f>
        <v>0</v>
      </c>
      <c r="E219" s="20">
        <f>IF('Raw profile'!D201&gt;0,1,IF('Raw profile'!D304&gt;0,2,0))</f>
        <v>0</v>
      </c>
      <c r="F219" s="20">
        <f>IF('Raw profile'!E201&gt;0,1,IF('Raw profile'!E304&gt;0,2,0))</f>
        <v>0</v>
      </c>
      <c r="G219" s="20">
        <f>IF('Raw profile'!F201&gt;0,1,IF('Raw profile'!F304&gt;0,2,0))</f>
        <v>0</v>
      </c>
      <c r="H219" s="20">
        <f>IF('Raw profile'!G201&gt;0,1,IF('Raw profile'!G304&gt;0,2,0))</f>
        <v>0</v>
      </c>
      <c r="I219" s="20">
        <f>IF('Raw profile'!H201&gt;0,1,IF('Raw profile'!H304&gt;0,2,0))</f>
        <v>0</v>
      </c>
      <c r="J219" s="20">
        <f>IF('Raw profile'!I201&gt;0,1,IF('Raw profile'!I304&gt;0,2,0))</f>
        <v>0</v>
      </c>
      <c r="K219" s="20">
        <f>IF('Raw profile'!J201&gt;0,1,IF('Raw profile'!J304&gt;0,2,0))</f>
        <v>0</v>
      </c>
      <c r="L219" s="20">
        <f>IF('Raw profile'!K201&gt;0,1,IF('Raw profile'!K304&gt;0,2,0))</f>
        <v>0</v>
      </c>
      <c r="M219" s="20">
        <f>IF('Raw profile'!L201&gt;0,1,IF('Raw profile'!L304&gt;0,2,0))</f>
        <v>0</v>
      </c>
      <c r="N219" s="20">
        <f>IF('Raw profile'!M201&gt;0,1,IF('Raw profile'!M304&gt;0,2,0))</f>
        <v>0</v>
      </c>
      <c r="O219" s="20">
        <f>IF('Raw profile'!N201&gt;0,1,IF('Raw profile'!N304&gt;0,2,0))</f>
        <v>0</v>
      </c>
      <c r="P219" s="20">
        <f>IF('Raw profile'!O201&gt;0,1,IF('Raw profile'!O304&gt;0,2,0))</f>
        <v>0</v>
      </c>
      <c r="Q219" s="20">
        <f>IF('Raw profile'!P201&gt;0,1,IF('Raw profile'!P304&gt;0,2,0))</f>
        <v>1</v>
      </c>
      <c r="R219" s="20">
        <f>IF('Raw profile'!Q201&gt;0,1,IF('Raw profile'!Q304&gt;0,2,0))</f>
        <v>1</v>
      </c>
      <c r="S219" s="20">
        <f>IF('Raw profile'!R201&gt;0,1,IF('Raw profile'!R304&gt;0,2,0))</f>
        <v>1</v>
      </c>
      <c r="T219" s="20">
        <f>IF('Raw profile'!S201&gt;0,1,IF('Raw profile'!S304&gt;0,2,0))</f>
        <v>1</v>
      </c>
      <c r="U219" s="20">
        <f>IF('Raw profile'!T201&gt;0,1,IF('Raw profile'!T304&gt;0,2,0))</f>
        <v>1</v>
      </c>
      <c r="V219" s="20">
        <f>IF('Raw profile'!U201&gt;0,1,IF('Raw profile'!U304&gt;0,2,0))</f>
        <v>1</v>
      </c>
      <c r="W219" s="20">
        <f>IF('Raw profile'!V201&gt;0,1,IF('Raw profile'!V304&gt;0,2,0))</f>
        <v>2</v>
      </c>
      <c r="X219" s="20">
        <f>IF('Raw profile'!W201&gt;0,1,IF('Raw profile'!W304&gt;0,2,0))</f>
        <v>2</v>
      </c>
      <c r="Y219" s="20">
        <f>IF('Raw profile'!X201&gt;0,1,IF('Raw profile'!X304&gt;0,2,0))</f>
        <v>2</v>
      </c>
      <c r="Z219" s="20">
        <f>IF('Raw profile'!Y201&gt;0,1,IF('Raw profile'!Y304&gt;0,2,0))</f>
        <v>2</v>
      </c>
      <c r="AA219" s="20">
        <f>IF('Raw profile'!Z201&gt;0,1,IF('Raw profile'!Z304&gt;0,2,0))</f>
        <v>2</v>
      </c>
      <c r="AB219" s="20">
        <f>IF('Raw profile'!AA201&gt;0,1,IF('Raw profile'!AA304&gt;0,2,0))</f>
        <v>2</v>
      </c>
      <c r="AC219" s="20">
        <f>IF('Raw profile'!AB201&gt;0,1,IF('Raw profile'!AB304&gt;0,2,0))</f>
        <v>2</v>
      </c>
      <c r="AD219" s="20">
        <f>IF('Raw profile'!AC201&gt;0,1,IF('Raw profile'!AC304&gt;0,2,0))</f>
        <v>2</v>
      </c>
      <c r="AE219" s="20">
        <f>IF('Raw profile'!AD201&gt;0,1,IF('Raw profile'!AD304&gt;0,2,0))</f>
        <v>2</v>
      </c>
      <c r="AF219" s="20">
        <f>IF('Raw profile'!AE201&gt;0,1,IF('Raw profile'!AE304&gt;0,2,0))</f>
        <v>2</v>
      </c>
      <c r="AG219" s="20">
        <f>IF('Raw profile'!AF201&gt;0,1,IF('Raw profile'!AF304&gt;0,2,0))</f>
        <v>2</v>
      </c>
      <c r="AH219" s="20">
        <f>IF('Raw profile'!AG201&gt;0,1,IF('Raw profile'!AG304&gt;0,2,0))</f>
        <v>2</v>
      </c>
      <c r="AI219" s="20">
        <f>IF('Raw profile'!AH201&gt;0,1,IF('Raw profile'!AH304&gt;0,2,0))</f>
        <v>2</v>
      </c>
      <c r="AJ219" s="20">
        <f>IF('Raw profile'!AI201&gt;0,1,IF('Raw profile'!AI304&gt;0,2,0))</f>
        <v>2</v>
      </c>
      <c r="AK219" s="20">
        <f>IF('Raw profile'!AJ201&gt;0,1,IF('Raw profile'!AJ304&gt;0,2,0))</f>
        <v>2</v>
      </c>
      <c r="AL219" s="20">
        <f>IF('Raw profile'!AK201&gt;0,1,IF('Raw profile'!AK304&gt;0,2,0))</f>
        <v>2</v>
      </c>
      <c r="AM219" s="20">
        <f>IF('Raw profile'!AL201&gt;0,1,IF('Raw profile'!AL304&gt;0,2,0))</f>
        <v>2</v>
      </c>
      <c r="AN219" s="20">
        <f>IF('Raw profile'!AM201&gt;0,1,IF('Raw profile'!AM304&gt;0,2,0))</f>
        <v>2</v>
      </c>
      <c r="AO219" s="20">
        <f>IF('Raw profile'!AN201&gt;0,1,IF('Raw profile'!AN304&gt;0,2,0))</f>
        <v>2</v>
      </c>
      <c r="AP219" s="20">
        <f>IF('Raw profile'!AO201&gt;0,1,IF('Raw profile'!AO304&gt;0,2,0))</f>
        <v>2</v>
      </c>
      <c r="AQ219" s="20">
        <f>IF('Raw profile'!AP201&gt;0,1,IF('Raw profile'!AP304&gt;0,2,0))</f>
        <v>2</v>
      </c>
      <c r="AR219" s="20">
        <f>IF('Raw profile'!AQ201&gt;0,1,IF('Raw profile'!AQ304&gt;0,2,0))</f>
        <v>2</v>
      </c>
      <c r="AS219" s="20">
        <f>IF('Raw profile'!AR201&gt;0,1,IF('Raw profile'!AR304&gt;0,2,0))</f>
        <v>2</v>
      </c>
      <c r="AT219" s="20">
        <f>IF('Raw profile'!AS201&gt;0,1,IF('Raw profile'!AS304&gt;0,2,0))</f>
        <v>2</v>
      </c>
      <c r="AU219" s="20">
        <f>IF('Raw profile'!AT201&gt;0,1,IF('Raw profile'!AT304&gt;0,2,0))</f>
        <v>2</v>
      </c>
      <c r="AV219" s="20">
        <f>IF('Raw profile'!AU201&gt;0,1,IF('Raw profile'!AU304&gt;0,2,0))</f>
        <v>2</v>
      </c>
      <c r="AW219" s="20">
        <f>IF('Raw profile'!AV201&gt;0,1,IF('Raw profile'!AV304&gt;0,2,0))</f>
        <v>2</v>
      </c>
      <c r="AX219" s="20">
        <f>IF('Raw profile'!AW201&gt;0,1,IF('Raw profile'!AW304&gt;0,2,0))</f>
        <v>2</v>
      </c>
      <c r="AY219" s="20">
        <f>IF('Raw profile'!AX201&gt;0,1,IF('Raw profile'!AX304&gt;0,2,0))</f>
        <v>2</v>
      </c>
      <c r="AZ219" s="20">
        <f>IF('Raw profile'!AY201&gt;0,1,IF('Raw profile'!AY304&gt;0,2,0))</f>
        <v>2</v>
      </c>
      <c r="BA219" s="20">
        <f>IF('Raw profile'!AZ201&gt;0,1,IF('Raw profile'!AZ304&gt;0,2,0))</f>
        <v>2</v>
      </c>
      <c r="BB219" s="20">
        <f>IF('Raw profile'!BA201&gt;0,1,IF('Raw profile'!BA304&gt;0,2,0))</f>
        <v>2</v>
      </c>
      <c r="BC219" s="20">
        <f>IF('Raw profile'!BB201&gt;0,1,IF('Raw profile'!BB304&gt;0,2,0))</f>
        <v>2</v>
      </c>
      <c r="BD219" s="20">
        <f>IF('Raw profile'!BC201&gt;0,1,IF('Raw profile'!BC304&gt;0,2,0))</f>
        <v>2</v>
      </c>
      <c r="BE219" s="20">
        <f>IF('Raw profile'!BD201&gt;0,1,IF('Raw profile'!BD304&gt;0,2,0))</f>
        <v>2</v>
      </c>
      <c r="BF219" s="20">
        <f>IF('Raw profile'!BE201&gt;0,1,IF('Raw profile'!BE304&gt;0,2,0))</f>
        <v>2</v>
      </c>
      <c r="BG219" s="20">
        <f>IF('Raw profile'!BF201&gt;0,1,IF('Raw profile'!BF304&gt;0,2,0))</f>
        <v>2</v>
      </c>
      <c r="BH219" s="20">
        <f>IF('Raw profile'!BG201&gt;0,1,IF('Raw profile'!BG304&gt;0,2,0))</f>
        <v>2</v>
      </c>
      <c r="BI219" s="20">
        <f>IF('Raw profile'!BH201&gt;0,1,IF('Raw profile'!BH304&gt;0,2,0))</f>
        <v>2</v>
      </c>
      <c r="BJ219" s="20">
        <f>IF('Raw profile'!BI201&gt;0,1,IF('Raw profile'!BI304&gt;0,2,0))</f>
        <v>2</v>
      </c>
      <c r="BK219" s="21">
        <f>IF('Raw profile'!BJ201&gt;0,1,IF('Raw profile'!BJ304&gt;0,2,0))</f>
        <v>0</v>
      </c>
    </row>
    <row r="220" spans="1:63" x14ac:dyDescent="0.3">
      <c r="B220" s="13" t="s">
        <v>4</v>
      </c>
      <c r="C220" s="19">
        <f>'Growth profile'!I93</f>
        <v>2032</v>
      </c>
      <c r="D220" s="20">
        <f>IF('Growth profile'!C201&gt;0,1,IF('Growth profile'!C304&gt;0,3,0))</f>
        <v>0</v>
      </c>
      <c r="E220" s="20">
        <f>IF('Growth profile'!D201&gt;0,1,IF('Growth profile'!D304&gt;0,3,0))</f>
        <v>0</v>
      </c>
      <c r="F220" s="20">
        <f>IF('Growth profile'!E201&gt;0,1,IF('Growth profile'!E304&gt;0,3,0))</f>
        <v>0</v>
      </c>
      <c r="G220" s="20">
        <f>IF('Growth profile'!F201&gt;0,1,IF('Growth profile'!F304&gt;0,3,0))</f>
        <v>0</v>
      </c>
      <c r="H220" s="20">
        <f>IF('Growth profile'!G201&gt;0,1,IF('Growth profile'!G304&gt;0,3,0))</f>
        <v>0</v>
      </c>
      <c r="I220" s="20">
        <f>IF('Growth profile'!H201&gt;0,1,IF('Growth profile'!H304&gt;0,3,0))</f>
        <v>0</v>
      </c>
      <c r="J220" s="20">
        <f>IF('Growth profile'!I201&gt;0,1,IF('Growth profile'!I304&gt;0,3,0))</f>
        <v>1</v>
      </c>
      <c r="K220" s="20">
        <f>IF('Growth profile'!J201&gt;0,1,IF('Growth profile'!J304&gt;0,3,0))</f>
        <v>1</v>
      </c>
      <c r="L220" s="20">
        <f>IF('Growth profile'!K201&gt;0,1,IF('Growth profile'!K304&gt;0,3,0))</f>
        <v>1</v>
      </c>
      <c r="M220" s="20">
        <f>IF('Growth profile'!L201&gt;0,1,IF('Growth profile'!L304&gt;0,3,0))</f>
        <v>1</v>
      </c>
      <c r="N220" s="20">
        <f>IF('Growth profile'!M201&gt;0,1,IF('Growth profile'!M304&gt;0,3,0))</f>
        <v>1</v>
      </c>
      <c r="O220" s="20">
        <f>IF('Growth profile'!N201&gt;0,1,IF('Growth profile'!N304&gt;0,3,0))</f>
        <v>1</v>
      </c>
      <c r="P220" s="20">
        <f>IF('Growth profile'!O201&gt;0,1,IF('Growth profile'!O304&gt;0,3,0))</f>
        <v>3</v>
      </c>
      <c r="Q220" s="20">
        <f>IF('Growth profile'!P201&gt;0,1,IF('Growth profile'!P304&gt;0,3,0))</f>
        <v>3</v>
      </c>
      <c r="R220" s="20">
        <f>IF('Growth profile'!Q201&gt;0,1,IF('Growth profile'!Q304&gt;0,3,0))</f>
        <v>3</v>
      </c>
      <c r="S220" s="20">
        <f>IF('Growth profile'!R201&gt;0,1,IF('Growth profile'!R304&gt;0,3,0))</f>
        <v>3</v>
      </c>
      <c r="T220" s="20">
        <f>IF('Growth profile'!S201&gt;0,1,IF('Growth profile'!S304&gt;0,3,0))</f>
        <v>3</v>
      </c>
      <c r="U220" s="20">
        <f>IF('Growth profile'!T201&gt;0,1,IF('Growth profile'!T304&gt;0,3,0))</f>
        <v>3</v>
      </c>
      <c r="V220" s="20">
        <f>IF('Growth profile'!U201&gt;0,1,IF('Growth profile'!U304&gt;0,3,0))</f>
        <v>3</v>
      </c>
      <c r="W220" s="20">
        <f>IF('Growth profile'!V201&gt;0,1,IF('Growth profile'!V304&gt;0,3,0))</f>
        <v>3</v>
      </c>
      <c r="X220" s="20">
        <f>IF('Growth profile'!W201&gt;0,1,IF('Growth profile'!W304&gt;0,3,0))</f>
        <v>3</v>
      </c>
      <c r="Y220" s="20">
        <f>IF('Growth profile'!X201&gt;0,1,IF('Growth profile'!X304&gt;0,3,0))</f>
        <v>3</v>
      </c>
      <c r="Z220" s="20">
        <f>IF('Growth profile'!Y201&gt;0,1,IF('Growth profile'!Y304&gt;0,3,0))</f>
        <v>3</v>
      </c>
      <c r="AA220" s="20">
        <f>IF('Growth profile'!Z201&gt;0,1,IF('Growth profile'!Z304&gt;0,3,0))</f>
        <v>3</v>
      </c>
      <c r="AB220" s="20">
        <f>IF('Growth profile'!AA201&gt;0,1,IF('Growth profile'!AA304&gt;0,3,0))</f>
        <v>3</v>
      </c>
      <c r="AC220" s="20">
        <f>IF('Growth profile'!AB201&gt;0,1,IF('Growth profile'!AB304&gt;0,3,0))</f>
        <v>3</v>
      </c>
      <c r="AD220" s="20">
        <f>IF('Growth profile'!AC201&gt;0,1,IF('Growth profile'!AC304&gt;0,3,0))</f>
        <v>3</v>
      </c>
      <c r="AE220" s="20">
        <f>IF('Growth profile'!AD201&gt;0,1,IF('Growth profile'!AD304&gt;0,3,0))</f>
        <v>3</v>
      </c>
      <c r="AF220" s="20">
        <f>IF('Growth profile'!AE201&gt;0,1,IF('Growth profile'!AE304&gt;0,3,0))</f>
        <v>3</v>
      </c>
      <c r="AG220" s="20">
        <f>IF('Growth profile'!AF201&gt;0,1,IF('Growth profile'!AF304&gt;0,3,0))</f>
        <v>3</v>
      </c>
      <c r="AH220" s="20">
        <f>IF('Growth profile'!AG201&gt;0,1,IF('Growth profile'!AG304&gt;0,3,0))</f>
        <v>3</v>
      </c>
      <c r="AI220" s="20">
        <f>IF('Growth profile'!AH201&gt;0,1,IF('Growth profile'!AH304&gt;0,3,0))</f>
        <v>3</v>
      </c>
      <c r="AJ220" s="20">
        <f>IF('Growth profile'!AI201&gt;0,1,IF('Growth profile'!AI304&gt;0,3,0))</f>
        <v>3</v>
      </c>
      <c r="AK220" s="20">
        <f>IF('Growth profile'!AJ201&gt;0,1,IF('Growth profile'!AJ304&gt;0,3,0))</f>
        <v>3</v>
      </c>
      <c r="AL220" s="20">
        <f>IF('Growth profile'!AK201&gt;0,1,IF('Growth profile'!AK304&gt;0,3,0))</f>
        <v>3</v>
      </c>
      <c r="AM220" s="20">
        <f>IF('Growth profile'!AL201&gt;0,1,IF('Growth profile'!AL304&gt;0,3,0))</f>
        <v>3</v>
      </c>
      <c r="AN220" s="20">
        <f>IF('Growth profile'!AM201&gt;0,1,IF('Growth profile'!AM304&gt;0,3,0))</f>
        <v>3</v>
      </c>
      <c r="AO220" s="20">
        <f>IF('Growth profile'!AN201&gt;0,1,IF('Growth profile'!AN304&gt;0,3,0))</f>
        <v>3</v>
      </c>
      <c r="AP220" s="20">
        <f>IF('Growth profile'!AO201&gt;0,1,IF('Growth profile'!AO304&gt;0,3,0))</f>
        <v>3</v>
      </c>
      <c r="AQ220" s="20">
        <f>IF('Growth profile'!AP201&gt;0,1,IF('Growth profile'!AP304&gt;0,3,0))</f>
        <v>3</v>
      </c>
      <c r="AR220" s="20">
        <f>IF('Growth profile'!AQ201&gt;0,1,IF('Growth profile'!AQ304&gt;0,3,0))</f>
        <v>3</v>
      </c>
      <c r="AS220" s="20">
        <f>IF('Growth profile'!AR201&gt;0,1,IF('Growth profile'!AR304&gt;0,3,0))</f>
        <v>3</v>
      </c>
      <c r="AT220" s="20">
        <f>IF('Growth profile'!AS201&gt;0,1,IF('Growth profile'!AS304&gt;0,3,0))</f>
        <v>3</v>
      </c>
      <c r="AU220" s="20">
        <f>IF('Growth profile'!AT201&gt;0,1,IF('Growth profile'!AT304&gt;0,3,0))</f>
        <v>3</v>
      </c>
      <c r="AV220" s="20">
        <f>IF('Growth profile'!AU201&gt;0,1,IF('Growth profile'!AU304&gt;0,3,0))</f>
        <v>3</v>
      </c>
      <c r="AW220" s="20">
        <f>IF('Growth profile'!AV201&gt;0,1,IF('Growth profile'!AV304&gt;0,3,0))</f>
        <v>3</v>
      </c>
      <c r="AX220" s="20">
        <f>IF('Growth profile'!AW201&gt;0,1,IF('Growth profile'!AW304&gt;0,3,0))</f>
        <v>3</v>
      </c>
      <c r="AY220" s="20">
        <f>IF('Growth profile'!AX201&gt;0,1,IF('Growth profile'!AX304&gt;0,3,0))</f>
        <v>3</v>
      </c>
      <c r="AZ220" s="20">
        <f>IF('Growth profile'!AY201&gt;0,1,IF('Growth profile'!AY304&gt;0,3,0))</f>
        <v>3</v>
      </c>
      <c r="BA220" s="20">
        <f>IF('Growth profile'!AZ201&gt;0,1,IF('Growth profile'!AZ304&gt;0,3,0))</f>
        <v>3</v>
      </c>
      <c r="BB220" s="20">
        <f>IF('Growth profile'!BA201&gt;0,1,IF('Growth profile'!BA304&gt;0,3,0))</f>
        <v>3</v>
      </c>
      <c r="BC220" s="20">
        <f>IF('Growth profile'!BB201&gt;0,1,IF('Growth profile'!BB304&gt;0,3,0))</f>
        <v>3</v>
      </c>
      <c r="BD220" s="20">
        <f>IF('Growth profile'!BC201&gt;0,1,IF('Growth profile'!BC304&gt;0,3,0))</f>
        <v>0</v>
      </c>
      <c r="BE220" s="20">
        <f>IF('Growth profile'!BD201&gt;0,1,IF('Growth profile'!BD304&gt;0,3,0))</f>
        <v>0</v>
      </c>
      <c r="BF220" s="20">
        <f>IF('Growth profile'!BE201&gt;0,1,IF('Growth profile'!BE304&gt;0,3,0))</f>
        <v>0</v>
      </c>
      <c r="BG220" s="20">
        <f>IF('Growth profile'!BF201&gt;0,1,IF('Growth profile'!BF304&gt;0,3,0))</f>
        <v>0</v>
      </c>
      <c r="BH220" s="20">
        <f>IF('Growth profile'!BG201&gt;0,1,IF('Growth profile'!BG304&gt;0,3,0))</f>
        <v>0</v>
      </c>
      <c r="BI220" s="20">
        <f>IF('Growth profile'!BH201&gt;0,1,IF('Growth profile'!BH304&gt;0,3,0))</f>
        <v>0</v>
      </c>
      <c r="BJ220" s="20">
        <f>IF('Growth profile'!BI201&gt;0,1,IF('Growth profile'!BI304&gt;0,3,0))</f>
        <v>0</v>
      </c>
      <c r="BK220" s="21">
        <f>IF('Growth profile'!BJ201&gt;0,1,IF('Growth profile'!BJ304&gt;0,3,0))</f>
        <v>0</v>
      </c>
    </row>
    <row r="221" spans="1:63" x14ac:dyDescent="0.3">
      <c r="B221" s="13" t="s">
        <v>59</v>
      </c>
      <c r="C221" s="19">
        <f>'Growth (no penalty)'!I93</f>
        <v>2040</v>
      </c>
      <c r="D221" s="22">
        <f>IF('Growth (no penalty)'!C201&gt;0,1,IF('Growth (no penalty)'!C304&gt;0,4,0))</f>
        <v>0</v>
      </c>
      <c r="E221" s="22">
        <f>IF('Growth (no penalty)'!D201&gt;0,1,IF('Growth (no penalty)'!D304&gt;0,4,0))</f>
        <v>0</v>
      </c>
      <c r="F221" s="22">
        <f>IF('Growth (no penalty)'!E201&gt;0,1,IF('Growth (no penalty)'!E304&gt;0,4,0))</f>
        <v>0</v>
      </c>
      <c r="G221" s="22">
        <f>IF('Growth (no penalty)'!F201&gt;0,1,IF('Growth (no penalty)'!F304&gt;0,4,0))</f>
        <v>0</v>
      </c>
      <c r="H221" s="22">
        <f>IF('Growth (no penalty)'!G201&gt;0,1,IF('Growth (no penalty)'!G304&gt;0,4,0))</f>
        <v>0</v>
      </c>
      <c r="I221" s="22">
        <f>IF('Growth (no penalty)'!H201&gt;0,1,IF('Growth (no penalty)'!H304&gt;0,4,0))</f>
        <v>0</v>
      </c>
      <c r="J221" s="22">
        <f>IF('Growth (no penalty)'!I201&gt;0,1,IF('Growth (no penalty)'!I304&gt;0,4,0))</f>
        <v>0</v>
      </c>
      <c r="K221" s="22">
        <f>IF('Growth (no penalty)'!J201&gt;0,1,IF('Growth (no penalty)'!J304&gt;0,4,0))</f>
        <v>0</v>
      </c>
      <c r="L221" s="22">
        <f>IF('Growth (no penalty)'!K201&gt;0,1,IF('Growth (no penalty)'!K304&gt;0,4,0))</f>
        <v>0</v>
      </c>
      <c r="M221" s="22">
        <f>IF('Growth (no penalty)'!L201&gt;0,1,IF('Growth (no penalty)'!L304&gt;0,4,0))</f>
        <v>0</v>
      </c>
      <c r="N221" s="22">
        <f>IF('Growth (no penalty)'!M201&gt;0,1,IF('Growth (no penalty)'!M304&gt;0,4,0))</f>
        <v>0</v>
      </c>
      <c r="O221" s="22">
        <f>IF('Growth (no penalty)'!N201&gt;0,1,IF('Growth (no penalty)'!N304&gt;0,4,0))</f>
        <v>0</v>
      </c>
      <c r="P221" s="22">
        <f>IF('Growth (no penalty)'!O201&gt;0,1,IF('Growth (no penalty)'!O304&gt;0,4,0))</f>
        <v>0</v>
      </c>
      <c r="Q221" s="22">
        <f>IF('Growth (no penalty)'!P201&gt;0,1,IF('Growth (no penalty)'!P304&gt;0,4,0))</f>
        <v>0</v>
      </c>
      <c r="R221" s="22">
        <f>IF('Growth (no penalty)'!Q201&gt;0,1,IF('Growth (no penalty)'!Q304&gt;0,4,0))</f>
        <v>1</v>
      </c>
      <c r="S221" s="22">
        <f>IF('Growth (no penalty)'!R201&gt;0,1,IF('Growth (no penalty)'!R304&gt;0,4,0))</f>
        <v>1</v>
      </c>
      <c r="T221" s="22">
        <f>IF('Growth (no penalty)'!S201&gt;0,1,IF('Growth (no penalty)'!S304&gt;0,4,0))</f>
        <v>1</v>
      </c>
      <c r="U221" s="22">
        <f>IF('Growth (no penalty)'!T201&gt;0,1,IF('Growth (no penalty)'!T304&gt;0,4,0))</f>
        <v>1</v>
      </c>
      <c r="V221" s="22">
        <f>IF('Growth (no penalty)'!U201&gt;0,1,IF('Growth (no penalty)'!U304&gt;0,4,0))</f>
        <v>1</v>
      </c>
      <c r="W221" s="22">
        <f>IF('Growth (no penalty)'!V201&gt;0,1,IF('Growth (no penalty)'!V304&gt;0,4,0))</f>
        <v>1</v>
      </c>
      <c r="X221" s="22">
        <f>IF('Growth (no penalty)'!W201&gt;0,1,IF('Growth (no penalty)'!W304&gt;0,4,0))</f>
        <v>4</v>
      </c>
      <c r="Y221" s="22">
        <f>IF('Growth (no penalty)'!X201&gt;0,1,IF('Growth (no penalty)'!X304&gt;0,4,0))</f>
        <v>4</v>
      </c>
      <c r="Z221" s="22">
        <f>IF('Growth (no penalty)'!Y201&gt;0,1,IF('Growth (no penalty)'!Y304&gt;0,4,0))</f>
        <v>4</v>
      </c>
      <c r="AA221" s="22">
        <f>IF('Growth (no penalty)'!Z201&gt;0,1,IF('Growth (no penalty)'!Z304&gt;0,4,0))</f>
        <v>4</v>
      </c>
      <c r="AB221" s="22">
        <f>IF('Growth (no penalty)'!AA201&gt;0,1,IF('Growth (no penalty)'!AA304&gt;0,4,0))</f>
        <v>4</v>
      </c>
      <c r="AC221" s="22">
        <f>IF('Growth (no penalty)'!AB201&gt;0,1,IF('Growth (no penalty)'!AB304&gt;0,4,0))</f>
        <v>4</v>
      </c>
      <c r="AD221" s="22">
        <f>IF('Growth (no penalty)'!AC201&gt;0,1,IF('Growth (no penalty)'!AC304&gt;0,4,0))</f>
        <v>4</v>
      </c>
      <c r="AE221" s="22">
        <f>IF('Growth (no penalty)'!AD201&gt;0,1,IF('Growth (no penalty)'!AD304&gt;0,4,0))</f>
        <v>4</v>
      </c>
      <c r="AF221" s="22">
        <f>IF('Growth (no penalty)'!AE201&gt;0,1,IF('Growth (no penalty)'!AE304&gt;0,4,0))</f>
        <v>4</v>
      </c>
      <c r="AG221" s="22">
        <f>IF('Growth (no penalty)'!AF201&gt;0,1,IF('Growth (no penalty)'!AF304&gt;0,4,0))</f>
        <v>4</v>
      </c>
      <c r="AH221" s="22">
        <f>IF('Growth (no penalty)'!AG201&gt;0,1,IF('Growth (no penalty)'!AG304&gt;0,4,0))</f>
        <v>4</v>
      </c>
      <c r="AI221" s="22">
        <f>IF('Growth (no penalty)'!AH201&gt;0,1,IF('Growth (no penalty)'!AH304&gt;0,4,0))</f>
        <v>4</v>
      </c>
      <c r="AJ221" s="22">
        <f>IF('Growth (no penalty)'!AI201&gt;0,1,IF('Growth (no penalty)'!AI304&gt;0,4,0))</f>
        <v>4</v>
      </c>
      <c r="AK221" s="22">
        <f>IF('Growth (no penalty)'!AJ201&gt;0,1,IF('Growth (no penalty)'!AJ304&gt;0,4,0))</f>
        <v>4</v>
      </c>
      <c r="AL221" s="22">
        <f>IF('Growth (no penalty)'!AK201&gt;0,1,IF('Growth (no penalty)'!AK304&gt;0,4,0))</f>
        <v>4</v>
      </c>
      <c r="AM221" s="22">
        <f>IF('Growth (no penalty)'!AL201&gt;0,1,IF('Growth (no penalty)'!AL304&gt;0,4,0))</f>
        <v>4</v>
      </c>
      <c r="AN221" s="22">
        <f>IF('Growth (no penalty)'!AM201&gt;0,1,IF('Growth (no penalty)'!AM304&gt;0,4,0))</f>
        <v>4</v>
      </c>
      <c r="AO221" s="22">
        <f>IF('Growth (no penalty)'!AN201&gt;0,1,IF('Growth (no penalty)'!AN304&gt;0,4,0))</f>
        <v>4</v>
      </c>
      <c r="AP221" s="22">
        <f>IF('Growth (no penalty)'!AO201&gt;0,1,IF('Growth (no penalty)'!AO304&gt;0,4,0))</f>
        <v>4</v>
      </c>
      <c r="AQ221" s="22">
        <f>IF('Growth (no penalty)'!AP201&gt;0,1,IF('Growth (no penalty)'!AP304&gt;0,4,0))</f>
        <v>4</v>
      </c>
      <c r="AR221" s="22">
        <f>IF('Growth (no penalty)'!AQ201&gt;0,1,IF('Growth (no penalty)'!AQ304&gt;0,4,0))</f>
        <v>4</v>
      </c>
      <c r="AS221" s="22">
        <f>IF('Growth (no penalty)'!AR201&gt;0,1,IF('Growth (no penalty)'!AR304&gt;0,4,0))</f>
        <v>4</v>
      </c>
      <c r="AT221" s="22">
        <f>IF('Growth (no penalty)'!AS201&gt;0,1,IF('Growth (no penalty)'!AS304&gt;0,4,0))</f>
        <v>4</v>
      </c>
      <c r="AU221" s="22">
        <f>IF('Growth (no penalty)'!AT201&gt;0,1,IF('Growth (no penalty)'!AT304&gt;0,4,0))</f>
        <v>4</v>
      </c>
      <c r="AV221" s="22">
        <f>IF('Growth (no penalty)'!AU201&gt;0,1,IF('Growth (no penalty)'!AU304&gt;0,4,0))</f>
        <v>4</v>
      </c>
      <c r="AW221" s="22">
        <f>IF('Growth (no penalty)'!AV201&gt;0,1,IF('Growth (no penalty)'!AV304&gt;0,4,0))</f>
        <v>4</v>
      </c>
      <c r="AX221" s="22">
        <f>IF('Growth (no penalty)'!AW201&gt;0,1,IF('Growth (no penalty)'!AW304&gt;0,4,0))</f>
        <v>4</v>
      </c>
      <c r="AY221" s="22">
        <f>IF('Growth (no penalty)'!AX201&gt;0,1,IF('Growth (no penalty)'!AX304&gt;0,4,0))</f>
        <v>4</v>
      </c>
      <c r="AZ221" s="22">
        <f>IF('Growth (no penalty)'!AY201&gt;0,1,IF('Growth (no penalty)'!AY304&gt;0,4,0))</f>
        <v>4</v>
      </c>
      <c r="BA221" s="22">
        <f>IF('Growth (no penalty)'!AZ201&gt;0,1,IF('Growth (no penalty)'!AZ304&gt;0,4,0))</f>
        <v>4</v>
      </c>
      <c r="BB221" s="22">
        <f>IF('Growth (no penalty)'!BA201&gt;0,1,IF('Growth (no penalty)'!BA304&gt;0,4,0))</f>
        <v>4</v>
      </c>
      <c r="BC221" s="22">
        <f>IF('Growth (no penalty)'!BB201&gt;0,1,IF('Growth (no penalty)'!BB304&gt;0,4,0))</f>
        <v>4</v>
      </c>
      <c r="BD221" s="22">
        <f>IF('Growth (no penalty)'!BC201&gt;0,1,IF('Growth (no penalty)'!BC304&gt;0,4,0))</f>
        <v>4</v>
      </c>
      <c r="BE221" s="22">
        <f>IF('Growth (no penalty)'!BD201&gt;0,1,IF('Growth (no penalty)'!BD304&gt;0,4,0))</f>
        <v>4</v>
      </c>
      <c r="BF221" s="22">
        <f>IF('Growth (no penalty)'!BE201&gt;0,1,IF('Growth (no penalty)'!BE304&gt;0,4,0))</f>
        <v>4</v>
      </c>
      <c r="BG221" s="22">
        <f>IF('Growth (no penalty)'!BF201&gt;0,1,IF('Growth (no penalty)'!BF304&gt;0,4,0))</f>
        <v>4</v>
      </c>
      <c r="BH221" s="22">
        <f>IF('Growth (no penalty)'!BG201&gt;0,1,IF('Growth (no penalty)'!BG304&gt;0,4,0))</f>
        <v>4</v>
      </c>
      <c r="BI221" s="22">
        <f>IF('Growth (no penalty)'!BH201&gt;0,1,IF('Growth (no penalty)'!BH304&gt;0,4,0))</f>
        <v>4</v>
      </c>
      <c r="BJ221" s="22">
        <f>IF('Growth (no penalty)'!BI201&gt;0,1,IF('Growth (no penalty)'!BI304&gt;0,4,0))</f>
        <v>4</v>
      </c>
      <c r="BK221" s="23">
        <f>IF('Growth (no penalty)'!BJ201&gt;0,1,IF('Growth (no penalty)'!BJ304&gt;0,4,0))</f>
        <v>4</v>
      </c>
    </row>
    <row r="222" spans="1:63" x14ac:dyDescent="0.3">
      <c r="A222" s="4" t="str">
        <f>'Growth profile'!A107</f>
        <v>project 175</v>
      </c>
      <c r="B222" s="13" t="s">
        <v>3</v>
      </c>
      <c r="C222" s="19">
        <f>'Raw profile'!I107</f>
        <v>2039</v>
      </c>
      <c r="D222" s="20">
        <f>IF('Raw profile'!C215&gt;0,1,IF('Raw profile'!C318&gt;0,2,0))</f>
        <v>0</v>
      </c>
      <c r="E222" s="20">
        <f>IF('Raw profile'!D215&gt;0,1,IF('Raw profile'!D318&gt;0,2,0))</f>
        <v>0</v>
      </c>
      <c r="F222" s="20">
        <f>IF('Raw profile'!E215&gt;0,1,IF('Raw profile'!E318&gt;0,2,0))</f>
        <v>0</v>
      </c>
      <c r="G222" s="20">
        <f>IF('Raw profile'!F215&gt;0,1,IF('Raw profile'!F318&gt;0,2,0))</f>
        <v>0</v>
      </c>
      <c r="H222" s="20">
        <f>IF('Raw profile'!G215&gt;0,1,IF('Raw profile'!G318&gt;0,2,0))</f>
        <v>0</v>
      </c>
      <c r="I222" s="20">
        <f>IF('Raw profile'!H215&gt;0,1,IF('Raw profile'!H318&gt;0,2,0))</f>
        <v>0</v>
      </c>
      <c r="J222" s="20">
        <f>IF('Raw profile'!I215&gt;0,1,IF('Raw profile'!I318&gt;0,2,0))</f>
        <v>0</v>
      </c>
      <c r="K222" s="20">
        <f>IF('Raw profile'!J215&gt;0,1,IF('Raw profile'!J318&gt;0,2,0))</f>
        <v>0</v>
      </c>
      <c r="L222" s="20">
        <f>IF('Raw profile'!K215&gt;0,1,IF('Raw profile'!K318&gt;0,2,0))</f>
        <v>0</v>
      </c>
      <c r="M222" s="20">
        <f>IF('Raw profile'!L215&gt;0,1,IF('Raw profile'!L318&gt;0,2,0))</f>
        <v>0</v>
      </c>
      <c r="N222" s="20">
        <f>IF('Raw profile'!M215&gt;0,1,IF('Raw profile'!M318&gt;0,2,0))</f>
        <v>0</v>
      </c>
      <c r="O222" s="20">
        <f>IF('Raw profile'!N215&gt;0,1,IF('Raw profile'!N318&gt;0,2,0))</f>
        <v>0</v>
      </c>
      <c r="P222" s="20">
        <f>IF('Raw profile'!O215&gt;0,1,IF('Raw profile'!O318&gt;0,2,0))</f>
        <v>0</v>
      </c>
      <c r="Q222" s="20">
        <f>IF('Raw profile'!P215&gt;0,1,IF('Raw profile'!P318&gt;0,2,0))</f>
        <v>1</v>
      </c>
      <c r="R222" s="20">
        <f>IF('Raw profile'!Q215&gt;0,1,IF('Raw profile'!Q318&gt;0,2,0))</f>
        <v>1</v>
      </c>
      <c r="S222" s="20">
        <f>IF('Raw profile'!R215&gt;0,1,IF('Raw profile'!R318&gt;0,2,0))</f>
        <v>1</v>
      </c>
      <c r="T222" s="20">
        <f>IF('Raw profile'!S215&gt;0,1,IF('Raw profile'!S318&gt;0,2,0))</f>
        <v>1</v>
      </c>
      <c r="U222" s="20">
        <f>IF('Raw profile'!T215&gt;0,1,IF('Raw profile'!T318&gt;0,2,0))</f>
        <v>2</v>
      </c>
      <c r="V222" s="20">
        <f>IF('Raw profile'!U215&gt;0,1,IF('Raw profile'!U318&gt;0,2,0))</f>
        <v>2</v>
      </c>
      <c r="W222" s="20">
        <f>IF('Raw profile'!V215&gt;0,1,IF('Raw profile'!V318&gt;0,2,0))</f>
        <v>2</v>
      </c>
      <c r="X222" s="20">
        <f>IF('Raw profile'!W215&gt;0,1,IF('Raw profile'!W318&gt;0,2,0))</f>
        <v>2</v>
      </c>
      <c r="Y222" s="20">
        <f>IF('Raw profile'!X215&gt;0,1,IF('Raw profile'!X318&gt;0,2,0))</f>
        <v>2</v>
      </c>
      <c r="Z222" s="20">
        <f>IF('Raw profile'!Y215&gt;0,1,IF('Raw profile'!Y318&gt;0,2,0))</f>
        <v>2</v>
      </c>
      <c r="AA222" s="20">
        <f>IF('Raw profile'!Z215&gt;0,1,IF('Raw profile'!Z318&gt;0,2,0))</f>
        <v>2</v>
      </c>
      <c r="AB222" s="20">
        <f>IF('Raw profile'!AA215&gt;0,1,IF('Raw profile'!AA318&gt;0,2,0))</f>
        <v>2</v>
      </c>
      <c r="AC222" s="20">
        <f>IF('Raw profile'!AB215&gt;0,1,IF('Raw profile'!AB318&gt;0,2,0))</f>
        <v>2</v>
      </c>
      <c r="AD222" s="20">
        <f>IF('Raw profile'!AC215&gt;0,1,IF('Raw profile'!AC318&gt;0,2,0))</f>
        <v>2</v>
      </c>
      <c r="AE222" s="20">
        <f>IF('Raw profile'!AD215&gt;0,1,IF('Raw profile'!AD318&gt;0,2,0))</f>
        <v>2</v>
      </c>
      <c r="AF222" s="20">
        <f>IF('Raw profile'!AE215&gt;0,1,IF('Raw profile'!AE318&gt;0,2,0))</f>
        <v>2</v>
      </c>
      <c r="AG222" s="20">
        <f>IF('Raw profile'!AF215&gt;0,1,IF('Raw profile'!AF318&gt;0,2,0))</f>
        <v>2</v>
      </c>
      <c r="AH222" s="20">
        <f>IF('Raw profile'!AG215&gt;0,1,IF('Raw profile'!AG318&gt;0,2,0))</f>
        <v>2</v>
      </c>
      <c r="AI222" s="20">
        <f>IF('Raw profile'!AH215&gt;0,1,IF('Raw profile'!AH318&gt;0,2,0))</f>
        <v>2</v>
      </c>
      <c r="AJ222" s="20">
        <f>IF('Raw profile'!AI215&gt;0,1,IF('Raw profile'!AI318&gt;0,2,0))</f>
        <v>2</v>
      </c>
      <c r="AK222" s="20">
        <f>IF('Raw profile'!AJ215&gt;0,1,IF('Raw profile'!AJ318&gt;0,2,0))</f>
        <v>2</v>
      </c>
      <c r="AL222" s="20">
        <f>IF('Raw profile'!AK215&gt;0,1,IF('Raw profile'!AK318&gt;0,2,0))</f>
        <v>2</v>
      </c>
      <c r="AM222" s="20">
        <f>IF('Raw profile'!AL215&gt;0,1,IF('Raw profile'!AL318&gt;0,2,0))</f>
        <v>2</v>
      </c>
      <c r="AN222" s="20">
        <f>IF('Raw profile'!AM215&gt;0,1,IF('Raw profile'!AM318&gt;0,2,0))</f>
        <v>2</v>
      </c>
      <c r="AO222" s="20">
        <f>IF('Raw profile'!AN215&gt;0,1,IF('Raw profile'!AN318&gt;0,2,0))</f>
        <v>2</v>
      </c>
      <c r="AP222" s="20">
        <f>IF('Raw profile'!AO215&gt;0,1,IF('Raw profile'!AO318&gt;0,2,0))</f>
        <v>2</v>
      </c>
      <c r="AQ222" s="20">
        <f>IF('Raw profile'!AP215&gt;0,1,IF('Raw profile'!AP318&gt;0,2,0))</f>
        <v>2</v>
      </c>
      <c r="AR222" s="20">
        <f>IF('Raw profile'!AQ215&gt;0,1,IF('Raw profile'!AQ318&gt;0,2,0))</f>
        <v>2</v>
      </c>
      <c r="AS222" s="20">
        <f>IF('Raw profile'!AR215&gt;0,1,IF('Raw profile'!AR318&gt;0,2,0))</f>
        <v>2</v>
      </c>
      <c r="AT222" s="20">
        <f>IF('Raw profile'!AS215&gt;0,1,IF('Raw profile'!AS318&gt;0,2,0))</f>
        <v>2</v>
      </c>
      <c r="AU222" s="20">
        <f>IF('Raw profile'!AT215&gt;0,1,IF('Raw profile'!AT318&gt;0,2,0))</f>
        <v>2</v>
      </c>
      <c r="AV222" s="20">
        <f>IF('Raw profile'!AU215&gt;0,1,IF('Raw profile'!AU318&gt;0,2,0))</f>
        <v>2</v>
      </c>
      <c r="AW222" s="20">
        <f>IF('Raw profile'!AV215&gt;0,1,IF('Raw profile'!AV318&gt;0,2,0))</f>
        <v>2</v>
      </c>
      <c r="AX222" s="20">
        <f>IF('Raw profile'!AW215&gt;0,1,IF('Raw profile'!AW318&gt;0,2,0))</f>
        <v>2</v>
      </c>
      <c r="AY222" s="20">
        <f>IF('Raw profile'!AX215&gt;0,1,IF('Raw profile'!AX318&gt;0,2,0))</f>
        <v>2</v>
      </c>
      <c r="AZ222" s="20">
        <f>IF('Raw profile'!AY215&gt;0,1,IF('Raw profile'!AY318&gt;0,2,0))</f>
        <v>2</v>
      </c>
      <c r="BA222" s="20">
        <f>IF('Raw profile'!AZ215&gt;0,1,IF('Raw profile'!AZ318&gt;0,2,0))</f>
        <v>2</v>
      </c>
      <c r="BB222" s="20">
        <f>IF('Raw profile'!BA215&gt;0,1,IF('Raw profile'!BA318&gt;0,2,0))</f>
        <v>2</v>
      </c>
      <c r="BC222" s="20">
        <f>IF('Raw profile'!BB215&gt;0,1,IF('Raw profile'!BB318&gt;0,2,0))</f>
        <v>2</v>
      </c>
      <c r="BD222" s="20">
        <f>IF('Raw profile'!BC215&gt;0,1,IF('Raw profile'!BC318&gt;0,2,0))</f>
        <v>2</v>
      </c>
      <c r="BE222" s="20">
        <f>IF('Raw profile'!BD215&gt;0,1,IF('Raw profile'!BD318&gt;0,2,0))</f>
        <v>2</v>
      </c>
      <c r="BF222" s="20">
        <f>IF('Raw profile'!BE215&gt;0,1,IF('Raw profile'!BE318&gt;0,2,0))</f>
        <v>2</v>
      </c>
      <c r="BG222" s="20">
        <f>IF('Raw profile'!BF215&gt;0,1,IF('Raw profile'!BF318&gt;0,2,0))</f>
        <v>2</v>
      </c>
      <c r="BH222" s="20">
        <f>IF('Raw profile'!BG215&gt;0,1,IF('Raw profile'!BG318&gt;0,2,0))</f>
        <v>2</v>
      </c>
      <c r="BI222" s="20">
        <f>IF('Raw profile'!BH215&gt;0,1,IF('Raw profile'!BH318&gt;0,2,0))</f>
        <v>0</v>
      </c>
      <c r="BJ222" s="20">
        <f>IF('Raw profile'!BI215&gt;0,1,IF('Raw profile'!BI318&gt;0,2,0))</f>
        <v>0</v>
      </c>
      <c r="BK222" s="21">
        <f>IF('Raw profile'!BJ215&gt;0,1,IF('Raw profile'!BJ318&gt;0,2,0))</f>
        <v>0</v>
      </c>
    </row>
    <row r="223" spans="1:63" x14ac:dyDescent="0.3">
      <c r="B223" s="13" t="s">
        <v>4</v>
      </c>
      <c r="C223" s="19">
        <f>'Growth profile'!I107</f>
        <v>2032</v>
      </c>
      <c r="D223" s="20">
        <f>IF('Growth profile'!C215&gt;0,1,IF('Growth profile'!C318&gt;0,3,0))</f>
        <v>0</v>
      </c>
      <c r="E223" s="20">
        <f>IF('Growth profile'!D215&gt;0,1,IF('Growth profile'!D318&gt;0,3,0))</f>
        <v>0</v>
      </c>
      <c r="F223" s="20">
        <f>IF('Growth profile'!E215&gt;0,1,IF('Growth profile'!E318&gt;0,3,0))</f>
        <v>0</v>
      </c>
      <c r="G223" s="20">
        <f>IF('Growth profile'!F215&gt;0,1,IF('Growth profile'!F318&gt;0,3,0))</f>
        <v>0</v>
      </c>
      <c r="H223" s="20">
        <f>IF('Growth profile'!G215&gt;0,1,IF('Growth profile'!G318&gt;0,3,0))</f>
        <v>0</v>
      </c>
      <c r="I223" s="20">
        <f>IF('Growth profile'!H215&gt;0,1,IF('Growth profile'!H318&gt;0,3,0))</f>
        <v>0</v>
      </c>
      <c r="J223" s="20">
        <f>IF('Growth profile'!I215&gt;0,1,IF('Growth profile'!I318&gt;0,3,0))</f>
        <v>1</v>
      </c>
      <c r="K223" s="20">
        <f>IF('Growth profile'!J215&gt;0,1,IF('Growth profile'!J318&gt;0,3,0))</f>
        <v>1</v>
      </c>
      <c r="L223" s="20">
        <f>IF('Growth profile'!K215&gt;0,1,IF('Growth profile'!K318&gt;0,3,0))</f>
        <v>1</v>
      </c>
      <c r="M223" s="20">
        <f>IF('Growth profile'!L215&gt;0,1,IF('Growth profile'!L318&gt;0,3,0))</f>
        <v>1</v>
      </c>
      <c r="N223" s="20">
        <f>IF('Growth profile'!M215&gt;0,1,IF('Growth profile'!M318&gt;0,3,0))</f>
        <v>3</v>
      </c>
      <c r="O223" s="20">
        <f>IF('Growth profile'!N215&gt;0,1,IF('Growth profile'!N318&gt;0,3,0))</f>
        <v>3</v>
      </c>
      <c r="P223" s="20">
        <f>IF('Growth profile'!O215&gt;0,1,IF('Growth profile'!O318&gt;0,3,0))</f>
        <v>3</v>
      </c>
      <c r="Q223" s="20">
        <f>IF('Growth profile'!P215&gt;0,1,IF('Growth profile'!P318&gt;0,3,0))</f>
        <v>3</v>
      </c>
      <c r="R223" s="20">
        <f>IF('Growth profile'!Q215&gt;0,1,IF('Growth profile'!Q318&gt;0,3,0))</f>
        <v>3</v>
      </c>
      <c r="S223" s="20">
        <f>IF('Growth profile'!R215&gt;0,1,IF('Growth profile'!R318&gt;0,3,0))</f>
        <v>3</v>
      </c>
      <c r="T223" s="20">
        <f>IF('Growth profile'!S215&gt;0,1,IF('Growth profile'!S318&gt;0,3,0))</f>
        <v>3</v>
      </c>
      <c r="U223" s="20">
        <f>IF('Growth profile'!T215&gt;0,1,IF('Growth profile'!T318&gt;0,3,0))</f>
        <v>3</v>
      </c>
      <c r="V223" s="20">
        <f>IF('Growth profile'!U215&gt;0,1,IF('Growth profile'!U318&gt;0,3,0))</f>
        <v>3</v>
      </c>
      <c r="W223" s="20">
        <f>IF('Growth profile'!V215&gt;0,1,IF('Growth profile'!V318&gt;0,3,0))</f>
        <v>3</v>
      </c>
      <c r="X223" s="20">
        <f>IF('Growth profile'!W215&gt;0,1,IF('Growth profile'!W318&gt;0,3,0))</f>
        <v>3</v>
      </c>
      <c r="Y223" s="20">
        <f>IF('Growth profile'!X215&gt;0,1,IF('Growth profile'!X318&gt;0,3,0))</f>
        <v>3</v>
      </c>
      <c r="Z223" s="20">
        <f>IF('Growth profile'!Y215&gt;0,1,IF('Growth profile'!Y318&gt;0,3,0))</f>
        <v>3</v>
      </c>
      <c r="AA223" s="20">
        <f>IF('Growth profile'!Z215&gt;0,1,IF('Growth profile'!Z318&gt;0,3,0))</f>
        <v>3</v>
      </c>
      <c r="AB223" s="20">
        <f>IF('Growth profile'!AA215&gt;0,1,IF('Growth profile'!AA318&gt;0,3,0))</f>
        <v>3</v>
      </c>
      <c r="AC223" s="20">
        <f>IF('Growth profile'!AB215&gt;0,1,IF('Growth profile'!AB318&gt;0,3,0))</f>
        <v>3</v>
      </c>
      <c r="AD223" s="20">
        <f>IF('Growth profile'!AC215&gt;0,1,IF('Growth profile'!AC318&gt;0,3,0))</f>
        <v>3</v>
      </c>
      <c r="AE223" s="20">
        <f>IF('Growth profile'!AD215&gt;0,1,IF('Growth profile'!AD318&gt;0,3,0))</f>
        <v>3</v>
      </c>
      <c r="AF223" s="20">
        <f>IF('Growth profile'!AE215&gt;0,1,IF('Growth profile'!AE318&gt;0,3,0))</f>
        <v>3</v>
      </c>
      <c r="AG223" s="20">
        <f>IF('Growth profile'!AF215&gt;0,1,IF('Growth profile'!AF318&gt;0,3,0))</f>
        <v>3</v>
      </c>
      <c r="AH223" s="20">
        <f>IF('Growth profile'!AG215&gt;0,1,IF('Growth profile'!AG318&gt;0,3,0))</f>
        <v>3</v>
      </c>
      <c r="AI223" s="20">
        <f>IF('Growth profile'!AH215&gt;0,1,IF('Growth profile'!AH318&gt;0,3,0))</f>
        <v>3</v>
      </c>
      <c r="AJ223" s="20">
        <f>IF('Growth profile'!AI215&gt;0,1,IF('Growth profile'!AI318&gt;0,3,0))</f>
        <v>3</v>
      </c>
      <c r="AK223" s="20">
        <f>IF('Growth profile'!AJ215&gt;0,1,IF('Growth profile'!AJ318&gt;0,3,0))</f>
        <v>3</v>
      </c>
      <c r="AL223" s="20">
        <f>IF('Growth profile'!AK215&gt;0,1,IF('Growth profile'!AK318&gt;0,3,0))</f>
        <v>3</v>
      </c>
      <c r="AM223" s="20">
        <f>IF('Growth profile'!AL215&gt;0,1,IF('Growth profile'!AL318&gt;0,3,0))</f>
        <v>3</v>
      </c>
      <c r="AN223" s="20">
        <f>IF('Growth profile'!AM215&gt;0,1,IF('Growth profile'!AM318&gt;0,3,0))</f>
        <v>3</v>
      </c>
      <c r="AO223" s="20">
        <f>IF('Growth profile'!AN215&gt;0,1,IF('Growth profile'!AN318&gt;0,3,0))</f>
        <v>3</v>
      </c>
      <c r="AP223" s="20">
        <f>IF('Growth profile'!AO215&gt;0,1,IF('Growth profile'!AO318&gt;0,3,0))</f>
        <v>3</v>
      </c>
      <c r="AQ223" s="20">
        <f>IF('Growth profile'!AP215&gt;0,1,IF('Growth profile'!AP318&gt;0,3,0))</f>
        <v>3</v>
      </c>
      <c r="AR223" s="20">
        <f>IF('Growth profile'!AQ215&gt;0,1,IF('Growth profile'!AQ318&gt;0,3,0))</f>
        <v>3</v>
      </c>
      <c r="AS223" s="20">
        <f>IF('Growth profile'!AR215&gt;0,1,IF('Growth profile'!AR318&gt;0,3,0))</f>
        <v>3</v>
      </c>
      <c r="AT223" s="20">
        <f>IF('Growth profile'!AS215&gt;0,1,IF('Growth profile'!AS318&gt;0,3,0))</f>
        <v>3</v>
      </c>
      <c r="AU223" s="20">
        <f>IF('Growth profile'!AT215&gt;0,1,IF('Growth profile'!AT318&gt;0,3,0))</f>
        <v>3</v>
      </c>
      <c r="AV223" s="20">
        <f>IF('Growth profile'!AU215&gt;0,1,IF('Growth profile'!AU318&gt;0,3,0))</f>
        <v>3</v>
      </c>
      <c r="AW223" s="20">
        <f>IF('Growth profile'!AV215&gt;0,1,IF('Growth profile'!AV318&gt;0,3,0))</f>
        <v>3</v>
      </c>
      <c r="AX223" s="20">
        <f>IF('Growth profile'!AW215&gt;0,1,IF('Growth profile'!AW318&gt;0,3,0))</f>
        <v>3</v>
      </c>
      <c r="AY223" s="20">
        <f>IF('Growth profile'!AX215&gt;0,1,IF('Growth profile'!AX318&gt;0,3,0))</f>
        <v>3</v>
      </c>
      <c r="AZ223" s="20">
        <f>IF('Growth profile'!AY215&gt;0,1,IF('Growth profile'!AY318&gt;0,3,0))</f>
        <v>3</v>
      </c>
      <c r="BA223" s="20">
        <f>IF('Growth profile'!AZ215&gt;0,1,IF('Growth profile'!AZ318&gt;0,3,0))</f>
        <v>3</v>
      </c>
      <c r="BB223" s="20">
        <f>IF('Growth profile'!BA215&gt;0,1,IF('Growth profile'!BA318&gt;0,3,0))</f>
        <v>0</v>
      </c>
      <c r="BC223" s="20">
        <f>IF('Growth profile'!BB215&gt;0,1,IF('Growth profile'!BB318&gt;0,3,0))</f>
        <v>0</v>
      </c>
      <c r="BD223" s="20">
        <f>IF('Growth profile'!BC215&gt;0,1,IF('Growth profile'!BC318&gt;0,3,0))</f>
        <v>0</v>
      </c>
      <c r="BE223" s="20">
        <f>IF('Growth profile'!BD215&gt;0,1,IF('Growth profile'!BD318&gt;0,3,0))</f>
        <v>0</v>
      </c>
      <c r="BF223" s="20">
        <f>IF('Growth profile'!BE215&gt;0,1,IF('Growth profile'!BE318&gt;0,3,0))</f>
        <v>0</v>
      </c>
      <c r="BG223" s="20">
        <f>IF('Growth profile'!BF215&gt;0,1,IF('Growth profile'!BF318&gt;0,3,0))</f>
        <v>0</v>
      </c>
      <c r="BH223" s="20">
        <f>IF('Growth profile'!BG215&gt;0,1,IF('Growth profile'!BG318&gt;0,3,0))</f>
        <v>0</v>
      </c>
      <c r="BI223" s="20">
        <f>IF('Growth profile'!BH215&gt;0,1,IF('Growth profile'!BH318&gt;0,3,0))</f>
        <v>0</v>
      </c>
      <c r="BJ223" s="20">
        <f>IF('Growth profile'!BI215&gt;0,1,IF('Growth profile'!BI318&gt;0,3,0))</f>
        <v>0</v>
      </c>
      <c r="BK223" s="21">
        <f>IF('Growth profile'!BJ215&gt;0,1,IF('Growth profile'!BJ318&gt;0,3,0))</f>
        <v>0</v>
      </c>
    </row>
    <row r="224" spans="1:63" x14ac:dyDescent="0.3">
      <c r="B224" s="13" t="s">
        <v>59</v>
      </c>
      <c r="C224" s="19">
        <f>'Growth (no penalty)'!I107</f>
        <v>2042</v>
      </c>
      <c r="D224" s="22">
        <f>IF('Growth (no penalty)'!C215&gt;0,1,IF('Growth (no penalty)'!C318&gt;0,4,0))</f>
        <v>0</v>
      </c>
      <c r="E224" s="22">
        <f>IF('Growth (no penalty)'!D215&gt;0,1,IF('Growth (no penalty)'!D318&gt;0,4,0))</f>
        <v>0</v>
      </c>
      <c r="F224" s="22">
        <f>IF('Growth (no penalty)'!E215&gt;0,1,IF('Growth (no penalty)'!E318&gt;0,4,0))</f>
        <v>0</v>
      </c>
      <c r="G224" s="22">
        <f>IF('Growth (no penalty)'!F215&gt;0,1,IF('Growth (no penalty)'!F318&gt;0,4,0))</f>
        <v>0</v>
      </c>
      <c r="H224" s="22">
        <f>IF('Growth (no penalty)'!G215&gt;0,1,IF('Growth (no penalty)'!G318&gt;0,4,0))</f>
        <v>0</v>
      </c>
      <c r="I224" s="22">
        <f>IF('Growth (no penalty)'!H215&gt;0,1,IF('Growth (no penalty)'!H318&gt;0,4,0))</f>
        <v>0</v>
      </c>
      <c r="J224" s="22">
        <f>IF('Growth (no penalty)'!I215&gt;0,1,IF('Growth (no penalty)'!I318&gt;0,4,0))</f>
        <v>0</v>
      </c>
      <c r="K224" s="22">
        <f>IF('Growth (no penalty)'!J215&gt;0,1,IF('Growth (no penalty)'!J318&gt;0,4,0))</f>
        <v>0</v>
      </c>
      <c r="L224" s="22">
        <f>IF('Growth (no penalty)'!K215&gt;0,1,IF('Growth (no penalty)'!K318&gt;0,4,0))</f>
        <v>0</v>
      </c>
      <c r="M224" s="22">
        <f>IF('Growth (no penalty)'!L215&gt;0,1,IF('Growth (no penalty)'!L318&gt;0,4,0))</f>
        <v>0</v>
      </c>
      <c r="N224" s="22">
        <f>IF('Growth (no penalty)'!M215&gt;0,1,IF('Growth (no penalty)'!M318&gt;0,4,0))</f>
        <v>0</v>
      </c>
      <c r="O224" s="22">
        <f>IF('Growth (no penalty)'!N215&gt;0,1,IF('Growth (no penalty)'!N318&gt;0,4,0))</f>
        <v>0</v>
      </c>
      <c r="P224" s="22">
        <f>IF('Growth (no penalty)'!O215&gt;0,1,IF('Growth (no penalty)'!O318&gt;0,4,0))</f>
        <v>0</v>
      </c>
      <c r="Q224" s="22">
        <f>IF('Growth (no penalty)'!P215&gt;0,1,IF('Growth (no penalty)'!P318&gt;0,4,0))</f>
        <v>0</v>
      </c>
      <c r="R224" s="22">
        <f>IF('Growth (no penalty)'!Q215&gt;0,1,IF('Growth (no penalty)'!Q318&gt;0,4,0))</f>
        <v>0</v>
      </c>
      <c r="S224" s="22">
        <f>IF('Growth (no penalty)'!R215&gt;0,1,IF('Growth (no penalty)'!R318&gt;0,4,0))</f>
        <v>0</v>
      </c>
      <c r="T224" s="22">
        <f>IF('Growth (no penalty)'!S215&gt;0,1,IF('Growth (no penalty)'!S318&gt;0,4,0))</f>
        <v>1</v>
      </c>
      <c r="U224" s="22">
        <f>IF('Growth (no penalty)'!T215&gt;0,1,IF('Growth (no penalty)'!T318&gt;0,4,0))</f>
        <v>1</v>
      </c>
      <c r="V224" s="22">
        <f>IF('Growth (no penalty)'!U215&gt;0,1,IF('Growth (no penalty)'!U318&gt;0,4,0))</f>
        <v>1</v>
      </c>
      <c r="W224" s="22">
        <f>IF('Growth (no penalty)'!V215&gt;0,1,IF('Growth (no penalty)'!V318&gt;0,4,0))</f>
        <v>1</v>
      </c>
      <c r="X224" s="22">
        <f>IF('Growth (no penalty)'!W215&gt;0,1,IF('Growth (no penalty)'!W318&gt;0,4,0))</f>
        <v>4</v>
      </c>
      <c r="Y224" s="22">
        <f>IF('Growth (no penalty)'!X215&gt;0,1,IF('Growth (no penalty)'!X318&gt;0,4,0))</f>
        <v>4</v>
      </c>
      <c r="Z224" s="22">
        <f>IF('Growth (no penalty)'!Y215&gt;0,1,IF('Growth (no penalty)'!Y318&gt;0,4,0))</f>
        <v>4</v>
      </c>
      <c r="AA224" s="22">
        <f>IF('Growth (no penalty)'!Z215&gt;0,1,IF('Growth (no penalty)'!Z318&gt;0,4,0))</f>
        <v>4</v>
      </c>
      <c r="AB224" s="22">
        <f>IF('Growth (no penalty)'!AA215&gt;0,1,IF('Growth (no penalty)'!AA318&gt;0,4,0))</f>
        <v>4</v>
      </c>
      <c r="AC224" s="22">
        <f>IF('Growth (no penalty)'!AB215&gt;0,1,IF('Growth (no penalty)'!AB318&gt;0,4,0))</f>
        <v>4</v>
      </c>
      <c r="AD224" s="22">
        <f>IF('Growth (no penalty)'!AC215&gt;0,1,IF('Growth (no penalty)'!AC318&gt;0,4,0))</f>
        <v>4</v>
      </c>
      <c r="AE224" s="22">
        <f>IF('Growth (no penalty)'!AD215&gt;0,1,IF('Growth (no penalty)'!AD318&gt;0,4,0))</f>
        <v>4</v>
      </c>
      <c r="AF224" s="22">
        <f>IF('Growth (no penalty)'!AE215&gt;0,1,IF('Growth (no penalty)'!AE318&gt;0,4,0))</f>
        <v>4</v>
      </c>
      <c r="AG224" s="22">
        <f>IF('Growth (no penalty)'!AF215&gt;0,1,IF('Growth (no penalty)'!AF318&gt;0,4,0))</f>
        <v>4</v>
      </c>
      <c r="AH224" s="22">
        <f>IF('Growth (no penalty)'!AG215&gt;0,1,IF('Growth (no penalty)'!AG318&gt;0,4,0))</f>
        <v>4</v>
      </c>
      <c r="AI224" s="22">
        <f>IF('Growth (no penalty)'!AH215&gt;0,1,IF('Growth (no penalty)'!AH318&gt;0,4,0))</f>
        <v>4</v>
      </c>
      <c r="AJ224" s="22">
        <f>IF('Growth (no penalty)'!AI215&gt;0,1,IF('Growth (no penalty)'!AI318&gt;0,4,0))</f>
        <v>4</v>
      </c>
      <c r="AK224" s="22">
        <f>IF('Growth (no penalty)'!AJ215&gt;0,1,IF('Growth (no penalty)'!AJ318&gt;0,4,0))</f>
        <v>4</v>
      </c>
      <c r="AL224" s="22">
        <f>IF('Growth (no penalty)'!AK215&gt;0,1,IF('Growth (no penalty)'!AK318&gt;0,4,0))</f>
        <v>4</v>
      </c>
      <c r="AM224" s="22">
        <f>IF('Growth (no penalty)'!AL215&gt;0,1,IF('Growth (no penalty)'!AL318&gt;0,4,0))</f>
        <v>4</v>
      </c>
      <c r="AN224" s="22">
        <f>IF('Growth (no penalty)'!AM215&gt;0,1,IF('Growth (no penalty)'!AM318&gt;0,4,0))</f>
        <v>4</v>
      </c>
      <c r="AO224" s="22">
        <f>IF('Growth (no penalty)'!AN215&gt;0,1,IF('Growth (no penalty)'!AN318&gt;0,4,0))</f>
        <v>4</v>
      </c>
      <c r="AP224" s="22">
        <f>IF('Growth (no penalty)'!AO215&gt;0,1,IF('Growth (no penalty)'!AO318&gt;0,4,0))</f>
        <v>4</v>
      </c>
      <c r="AQ224" s="22">
        <f>IF('Growth (no penalty)'!AP215&gt;0,1,IF('Growth (no penalty)'!AP318&gt;0,4,0))</f>
        <v>4</v>
      </c>
      <c r="AR224" s="22">
        <f>IF('Growth (no penalty)'!AQ215&gt;0,1,IF('Growth (no penalty)'!AQ318&gt;0,4,0))</f>
        <v>4</v>
      </c>
      <c r="AS224" s="22">
        <f>IF('Growth (no penalty)'!AR215&gt;0,1,IF('Growth (no penalty)'!AR318&gt;0,4,0))</f>
        <v>4</v>
      </c>
      <c r="AT224" s="22">
        <f>IF('Growth (no penalty)'!AS215&gt;0,1,IF('Growth (no penalty)'!AS318&gt;0,4,0))</f>
        <v>4</v>
      </c>
      <c r="AU224" s="22">
        <f>IF('Growth (no penalty)'!AT215&gt;0,1,IF('Growth (no penalty)'!AT318&gt;0,4,0))</f>
        <v>4</v>
      </c>
      <c r="AV224" s="22">
        <f>IF('Growth (no penalty)'!AU215&gt;0,1,IF('Growth (no penalty)'!AU318&gt;0,4,0))</f>
        <v>4</v>
      </c>
      <c r="AW224" s="22">
        <f>IF('Growth (no penalty)'!AV215&gt;0,1,IF('Growth (no penalty)'!AV318&gt;0,4,0))</f>
        <v>4</v>
      </c>
      <c r="AX224" s="22">
        <f>IF('Growth (no penalty)'!AW215&gt;0,1,IF('Growth (no penalty)'!AW318&gt;0,4,0))</f>
        <v>4</v>
      </c>
      <c r="AY224" s="22">
        <f>IF('Growth (no penalty)'!AX215&gt;0,1,IF('Growth (no penalty)'!AX318&gt;0,4,0))</f>
        <v>4</v>
      </c>
      <c r="AZ224" s="22">
        <f>IF('Growth (no penalty)'!AY215&gt;0,1,IF('Growth (no penalty)'!AY318&gt;0,4,0))</f>
        <v>4</v>
      </c>
      <c r="BA224" s="22">
        <f>IF('Growth (no penalty)'!AZ215&gt;0,1,IF('Growth (no penalty)'!AZ318&gt;0,4,0))</f>
        <v>4</v>
      </c>
      <c r="BB224" s="22">
        <f>IF('Growth (no penalty)'!BA215&gt;0,1,IF('Growth (no penalty)'!BA318&gt;0,4,0))</f>
        <v>4</v>
      </c>
      <c r="BC224" s="22">
        <f>IF('Growth (no penalty)'!BB215&gt;0,1,IF('Growth (no penalty)'!BB318&gt;0,4,0))</f>
        <v>4</v>
      </c>
      <c r="BD224" s="22">
        <f>IF('Growth (no penalty)'!BC215&gt;0,1,IF('Growth (no penalty)'!BC318&gt;0,4,0))</f>
        <v>4</v>
      </c>
      <c r="BE224" s="22">
        <f>IF('Growth (no penalty)'!BD215&gt;0,1,IF('Growth (no penalty)'!BD318&gt;0,4,0))</f>
        <v>4</v>
      </c>
      <c r="BF224" s="22">
        <f>IF('Growth (no penalty)'!BE215&gt;0,1,IF('Growth (no penalty)'!BE318&gt;0,4,0))</f>
        <v>4</v>
      </c>
      <c r="BG224" s="22">
        <f>IF('Growth (no penalty)'!BF215&gt;0,1,IF('Growth (no penalty)'!BF318&gt;0,4,0))</f>
        <v>4</v>
      </c>
      <c r="BH224" s="22">
        <f>IF('Growth (no penalty)'!BG215&gt;0,1,IF('Growth (no penalty)'!BG318&gt;0,4,0))</f>
        <v>4</v>
      </c>
      <c r="BI224" s="22">
        <f>IF('Growth (no penalty)'!BH215&gt;0,1,IF('Growth (no penalty)'!BH318&gt;0,4,0))</f>
        <v>4</v>
      </c>
      <c r="BJ224" s="22">
        <f>IF('Growth (no penalty)'!BI215&gt;0,1,IF('Growth (no penalty)'!BI318&gt;0,4,0))</f>
        <v>4</v>
      </c>
      <c r="BK224" s="23">
        <f>IF('Growth (no penalty)'!BJ215&gt;0,1,IF('Growth (no penalty)'!BJ318&gt;0,4,0))</f>
        <v>4</v>
      </c>
    </row>
    <row r="225" spans="1:63" x14ac:dyDescent="0.3">
      <c r="A225" s="4" t="str">
        <f>'Growth profile'!A57</f>
        <v>project 58</v>
      </c>
      <c r="B225" s="13" t="s">
        <v>3</v>
      </c>
      <c r="C225" s="19">
        <f>'Raw profile'!I57</f>
        <v>2039</v>
      </c>
      <c r="D225" s="20">
        <f>IF('Raw profile'!C165&gt;0,1,IF('Raw profile'!C268&gt;0,2,0))</f>
        <v>0</v>
      </c>
      <c r="E225" s="20">
        <f>IF('Raw profile'!D165&gt;0,1,IF('Raw profile'!D268&gt;0,2,0))</f>
        <v>0</v>
      </c>
      <c r="F225" s="20">
        <f>IF('Raw profile'!E165&gt;0,1,IF('Raw profile'!E268&gt;0,2,0))</f>
        <v>0</v>
      </c>
      <c r="G225" s="20">
        <f>IF('Raw profile'!F165&gt;0,1,IF('Raw profile'!F268&gt;0,2,0))</f>
        <v>0</v>
      </c>
      <c r="H225" s="20">
        <f>IF('Raw profile'!G165&gt;0,1,IF('Raw profile'!G268&gt;0,2,0))</f>
        <v>0</v>
      </c>
      <c r="I225" s="20">
        <f>IF('Raw profile'!H165&gt;0,1,IF('Raw profile'!H268&gt;0,2,0))</f>
        <v>0</v>
      </c>
      <c r="J225" s="20">
        <f>IF('Raw profile'!I165&gt;0,1,IF('Raw profile'!I268&gt;0,2,0))</f>
        <v>0</v>
      </c>
      <c r="K225" s="20">
        <f>IF('Raw profile'!J165&gt;0,1,IF('Raw profile'!J268&gt;0,2,0))</f>
        <v>0</v>
      </c>
      <c r="L225" s="20">
        <f>IF('Raw profile'!K165&gt;0,1,IF('Raw profile'!K268&gt;0,2,0))</f>
        <v>0</v>
      </c>
      <c r="M225" s="20">
        <f>IF('Raw profile'!L165&gt;0,1,IF('Raw profile'!L268&gt;0,2,0))</f>
        <v>0</v>
      </c>
      <c r="N225" s="20">
        <f>IF('Raw profile'!M165&gt;0,1,IF('Raw profile'!M268&gt;0,2,0))</f>
        <v>0</v>
      </c>
      <c r="O225" s="20">
        <f>IF('Raw profile'!N165&gt;0,1,IF('Raw profile'!N268&gt;0,2,0))</f>
        <v>0</v>
      </c>
      <c r="P225" s="20">
        <f>IF('Raw profile'!O165&gt;0,1,IF('Raw profile'!O268&gt;0,2,0))</f>
        <v>0</v>
      </c>
      <c r="Q225" s="20">
        <f>IF('Raw profile'!P165&gt;0,1,IF('Raw profile'!P268&gt;0,2,0))</f>
        <v>1</v>
      </c>
      <c r="R225" s="20">
        <f>IF('Raw profile'!Q165&gt;0,1,IF('Raw profile'!Q268&gt;0,2,0))</f>
        <v>1</v>
      </c>
      <c r="S225" s="20">
        <f>IF('Raw profile'!R165&gt;0,1,IF('Raw profile'!R268&gt;0,2,0))</f>
        <v>1</v>
      </c>
      <c r="T225" s="20">
        <f>IF('Raw profile'!S165&gt;0,1,IF('Raw profile'!S268&gt;0,2,0))</f>
        <v>1</v>
      </c>
      <c r="U225" s="20">
        <f>IF('Raw profile'!T165&gt;0,1,IF('Raw profile'!T268&gt;0,2,0))</f>
        <v>2</v>
      </c>
      <c r="V225" s="20">
        <f>IF('Raw profile'!U165&gt;0,1,IF('Raw profile'!U268&gt;0,2,0))</f>
        <v>2</v>
      </c>
      <c r="W225" s="20">
        <f>IF('Raw profile'!V165&gt;0,1,IF('Raw profile'!V268&gt;0,2,0))</f>
        <v>2</v>
      </c>
      <c r="X225" s="20">
        <f>IF('Raw profile'!W165&gt;0,1,IF('Raw profile'!W268&gt;0,2,0))</f>
        <v>2</v>
      </c>
      <c r="Y225" s="20">
        <f>IF('Raw profile'!X165&gt;0,1,IF('Raw profile'!X268&gt;0,2,0))</f>
        <v>2</v>
      </c>
      <c r="Z225" s="20">
        <f>IF('Raw profile'!Y165&gt;0,1,IF('Raw profile'!Y268&gt;0,2,0))</f>
        <v>2</v>
      </c>
      <c r="AA225" s="20">
        <f>IF('Raw profile'!Z165&gt;0,1,IF('Raw profile'!Z268&gt;0,2,0))</f>
        <v>2</v>
      </c>
      <c r="AB225" s="20">
        <f>IF('Raw profile'!AA165&gt;0,1,IF('Raw profile'!AA268&gt;0,2,0))</f>
        <v>2</v>
      </c>
      <c r="AC225" s="20">
        <f>IF('Raw profile'!AB165&gt;0,1,IF('Raw profile'!AB268&gt;0,2,0))</f>
        <v>2</v>
      </c>
      <c r="AD225" s="20">
        <f>IF('Raw profile'!AC165&gt;0,1,IF('Raw profile'!AC268&gt;0,2,0))</f>
        <v>2</v>
      </c>
      <c r="AE225" s="20">
        <f>IF('Raw profile'!AD165&gt;0,1,IF('Raw profile'!AD268&gt;0,2,0))</f>
        <v>2</v>
      </c>
      <c r="AF225" s="20">
        <f>IF('Raw profile'!AE165&gt;0,1,IF('Raw profile'!AE268&gt;0,2,0))</f>
        <v>2</v>
      </c>
      <c r="AG225" s="20">
        <f>IF('Raw profile'!AF165&gt;0,1,IF('Raw profile'!AF268&gt;0,2,0))</f>
        <v>2</v>
      </c>
      <c r="AH225" s="20">
        <f>IF('Raw profile'!AG165&gt;0,1,IF('Raw profile'!AG268&gt;0,2,0))</f>
        <v>2</v>
      </c>
      <c r="AI225" s="20">
        <f>IF('Raw profile'!AH165&gt;0,1,IF('Raw profile'!AH268&gt;0,2,0))</f>
        <v>2</v>
      </c>
      <c r="AJ225" s="20">
        <f>IF('Raw profile'!AI165&gt;0,1,IF('Raw profile'!AI268&gt;0,2,0))</f>
        <v>2</v>
      </c>
      <c r="AK225" s="20">
        <f>IF('Raw profile'!AJ165&gt;0,1,IF('Raw profile'!AJ268&gt;0,2,0))</f>
        <v>2</v>
      </c>
      <c r="AL225" s="20">
        <f>IF('Raw profile'!AK165&gt;0,1,IF('Raw profile'!AK268&gt;0,2,0))</f>
        <v>2</v>
      </c>
      <c r="AM225" s="20">
        <f>IF('Raw profile'!AL165&gt;0,1,IF('Raw profile'!AL268&gt;0,2,0))</f>
        <v>2</v>
      </c>
      <c r="AN225" s="20">
        <f>IF('Raw profile'!AM165&gt;0,1,IF('Raw profile'!AM268&gt;0,2,0))</f>
        <v>2</v>
      </c>
      <c r="AO225" s="20">
        <f>IF('Raw profile'!AN165&gt;0,1,IF('Raw profile'!AN268&gt;0,2,0))</f>
        <v>2</v>
      </c>
      <c r="AP225" s="20">
        <f>IF('Raw profile'!AO165&gt;0,1,IF('Raw profile'!AO268&gt;0,2,0))</f>
        <v>2</v>
      </c>
      <c r="AQ225" s="20">
        <f>IF('Raw profile'!AP165&gt;0,1,IF('Raw profile'!AP268&gt;0,2,0))</f>
        <v>2</v>
      </c>
      <c r="AR225" s="20">
        <f>IF('Raw profile'!AQ165&gt;0,1,IF('Raw profile'!AQ268&gt;0,2,0))</f>
        <v>2</v>
      </c>
      <c r="AS225" s="20">
        <f>IF('Raw profile'!AR165&gt;0,1,IF('Raw profile'!AR268&gt;0,2,0))</f>
        <v>2</v>
      </c>
      <c r="AT225" s="20">
        <f>IF('Raw profile'!AS165&gt;0,1,IF('Raw profile'!AS268&gt;0,2,0))</f>
        <v>2</v>
      </c>
      <c r="AU225" s="20">
        <f>IF('Raw profile'!AT165&gt;0,1,IF('Raw profile'!AT268&gt;0,2,0))</f>
        <v>2</v>
      </c>
      <c r="AV225" s="20">
        <f>IF('Raw profile'!AU165&gt;0,1,IF('Raw profile'!AU268&gt;0,2,0))</f>
        <v>2</v>
      </c>
      <c r="AW225" s="20">
        <f>IF('Raw profile'!AV165&gt;0,1,IF('Raw profile'!AV268&gt;0,2,0))</f>
        <v>2</v>
      </c>
      <c r="AX225" s="20">
        <f>IF('Raw profile'!AW165&gt;0,1,IF('Raw profile'!AW268&gt;0,2,0))</f>
        <v>2</v>
      </c>
      <c r="AY225" s="20">
        <f>IF('Raw profile'!AX165&gt;0,1,IF('Raw profile'!AX268&gt;0,2,0))</f>
        <v>2</v>
      </c>
      <c r="AZ225" s="20">
        <f>IF('Raw profile'!AY165&gt;0,1,IF('Raw profile'!AY268&gt;0,2,0))</f>
        <v>2</v>
      </c>
      <c r="BA225" s="20">
        <f>IF('Raw profile'!AZ165&gt;0,1,IF('Raw profile'!AZ268&gt;0,2,0))</f>
        <v>2</v>
      </c>
      <c r="BB225" s="20">
        <f>IF('Raw profile'!BA165&gt;0,1,IF('Raw profile'!BA268&gt;0,2,0))</f>
        <v>2</v>
      </c>
      <c r="BC225" s="20">
        <f>IF('Raw profile'!BB165&gt;0,1,IF('Raw profile'!BB268&gt;0,2,0))</f>
        <v>2</v>
      </c>
      <c r="BD225" s="20">
        <f>IF('Raw profile'!BC165&gt;0,1,IF('Raw profile'!BC268&gt;0,2,0))</f>
        <v>2</v>
      </c>
      <c r="BE225" s="20">
        <f>IF('Raw profile'!BD165&gt;0,1,IF('Raw profile'!BD268&gt;0,2,0))</f>
        <v>2</v>
      </c>
      <c r="BF225" s="20">
        <f>IF('Raw profile'!BE165&gt;0,1,IF('Raw profile'!BE268&gt;0,2,0))</f>
        <v>2</v>
      </c>
      <c r="BG225" s="20">
        <f>IF('Raw profile'!BF165&gt;0,1,IF('Raw profile'!BF268&gt;0,2,0))</f>
        <v>2</v>
      </c>
      <c r="BH225" s="20">
        <f>IF('Raw profile'!BG165&gt;0,1,IF('Raw profile'!BG268&gt;0,2,0))</f>
        <v>2</v>
      </c>
      <c r="BI225" s="20">
        <f>IF('Raw profile'!BH165&gt;0,1,IF('Raw profile'!BH268&gt;0,2,0))</f>
        <v>0</v>
      </c>
      <c r="BJ225" s="20">
        <f>IF('Raw profile'!BI165&gt;0,1,IF('Raw profile'!BI268&gt;0,2,0))</f>
        <v>0</v>
      </c>
      <c r="BK225" s="21">
        <f>IF('Raw profile'!BJ165&gt;0,1,IF('Raw profile'!BJ268&gt;0,2,0))</f>
        <v>0</v>
      </c>
    </row>
    <row r="226" spans="1:63" x14ac:dyDescent="0.3">
      <c r="B226" s="13" t="s">
        <v>4</v>
      </c>
      <c r="C226" s="19">
        <f>'Growth profile'!I57</f>
        <v>2033</v>
      </c>
      <c r="D226" s="20">
        <f>IF('Growth profile'!C165&gt;0,1,IF('Growth profile'!C268&gt;0,3,0))</f>
        <v>0</v>
      </c>
      <c r="E226" s="20">
        <f>IF('Growth profile'!D165&gt;0,1,IF('Growth profile'!D268&gt;0,3,0))</f>
        <v>0</v>
      </c>
      <c r="F226" s="20">
        <f>IF('Growth profile'!E165&gt;0,1,IF('Growth profile'!E268&gt;0,3,0))</f>
        <v>0</v>
      </c>
      <c r="G226" s="20">
        <f>IF('Growth profile'!F165&gt;0,1,IF('Growth profile'!F268&gt;0,3,0))</f>
        <v>0</v>
      </c>
      <c r="H226" s="20">
        <f>IF('Growth profile'!G165&gt;0,1,IF('Growth profile'!G268&gt;0,3,0))</f>
        <v>0</v>
      </c>
      <c r="I226" s="20">
        <f>IF('Growth profile'!H165&gt;0,1,IF('Growth profile'!H268&gt;0,3,0))</f>
        <v>0</v>
      </c>
      <c r="J226" s="20">
        <f>IF('Growth profile'!I165&gt;0,1,IF('Growth profile'!I268&gt;0,3,0))</f>
        <v>0</v>
      </c>
      <c r="K226" s="20">
        <f>IF('Growth profile'!J165&gt;0,1,IF('Growth profile'!J268&gt;0,3,0))</f>
        <v>1</v>
      </c>
      <c r="L226" s="20">
        <f>IF('Growth profile'!K165&gt;0,1,IF('Growth profile'!K268&gt;0,3,0))</f>
        <v>1</v>
      </c>
      <c r="M226" s="20">
        <f>IF('Growth profile'!L165&gt;0,1,IF('Growth profile'!L268&gt;0,3,0))</f>
        <v>1</v>
      </c>
      <c r="N226" s="20">
        <f>IF('Growth profile'!M165&gt;0,1,IF('Growth profile'!M268&gt;0,3,0))</f>
        <v>1</v>
      </c>
      <c r="O226" s="20">
        <f>IF('Growth profile'!N165&gt;0,1,IF('Growth profile'!N268&gt;0,3,0))</f>
        <v>3</v>
      </c>
      <c r="P226" s="20">
        <f>IF('Growth profile'!O165&gt;0,1,IF('Growth profile'!O268&gt;0,3,0))</f>
        <v>3</v>
      </c>
      <c r="Q226" s="20">
        <f>IF('Growth profile'!P165&gt;0,1,IF('Growth profile'!P268&gt;0,3,0))</f>
        <v>3</v>
      </c>
      <c r="R226" s="20">
        <f>IF('Growth profile'!Q165&gt;0,1,IF('Growth profile'!Q268&gt;0,3,0))</f>
        <v>3</v>
      </c>
      <c r="S226" s="20">
        <f>IF('Growth profile'!R165&gt;0,1,IF('Growth profile'!R268&gt;0,3,0))</f>
        <v>3</v>
      </c>
      <c r="T226" s="20">
        <f>IF('Growth profile'!S165&gt;0,1,IF('Growth profile'!S268&gt;0,3,0))</f>
        <v>3</v>
      </c>
      <c r="U226" s="20">
        <f>IF('Growth profile'!T165&gt;0,1,IF('Growth profile'!T268&gt;0,3,0))</f>
        <v>3</v>
      </c>
      <c r="V226" s="20">
        <f>IF('Growth profile'!U165&gt;0,1,IF('Growth profile'!U268&gt;0,3,0))</f>
        <v>3</v>
      </c>
      <c r="W226" s="20">
        <f>IF('Growth profile'!V165&gt;0,1,IF('Growth profile'!V268&gt;0,3,0))</f>
        <v>3</v>
      </c>
      <c r="X226" s="20">
        <f>IF('Growth profile'!W165&gt;0,1,IF('Growth profile'!W268&gt;0,3,0))</f>
        <v>3</v>
      </c>
      <c r="Y226" s="20">
        <f>IF('Growth profile'!X165&gt;0,1,IF('Growth profile'!X268&gt;0,3,0))</f>
        <v>3</v>
      </c>
      <c r="Z226" s="20">
        <f>IF('Growth profile'!Y165&gt;0,1,IF('Growth profile'!Y268&gt;0,3,0))</f>
        <v>3</v>
      </c>
      <c r="AA226" s="20">
        <f>IF('Growth profile'!Z165&gt;0,1,IF('Growth profile'!Z268&gt;0,3,0))</f>
        <v>3</v>
      </c>
      <c r="AB226" s="20">
        <f>IF('Growth profile'!AA165&gt;0,1,IF('Growth profile'!AA268&gt;0,3,0))</f>
        <v>3</v>
      </c>
      <c r="AC226" s="20">
        <f>IF('Growth profile'!AB165&gt;0,1,IF('Growth profile'!AB268&gt;0,3,0))</f>
        <v>3</v>
      </c>
      <c r="AD226" s="20">
        <f>IF('Growth profile'!AC165&gt;0,1,IF('Growth profile'!AC268&gt;0,3,0))</f>
        <v>3</v>
      </c>
      <c r="AE226" s="20">
        <f>IF('Growth profile'!AD165&gt;0,1,IF('Growth profile'!AD268&gt;0,3,0))</f>
        <v>3</v>
      </c>
      <c r="AF226" s="20">
        <f>IF('Growth profile'!AE165&gt;0,1,IF('Growth profile'!AE268&gt;0,3,0))</f>
        <v>3</v>
      </c>
      <c r="AG226" s="20">
        <f>IF('Growth profile'!AF165&gt;0,1,IF('Growth profile'!AF268&gt;0,3,0))</f>
        <v>3</v>
      </c>
      <c r="AH226" s="20">
        <f>IF('Growth profile'!AG165&gt;0,1,IF('Growth profile'!AG268&gt;0,3,0))</f>
        <v>3</v>
      </c>
      <c r="AI226" s="20">
        <f>IF('Growth profile'!AH165&gt;0,1,IF('Growth profile'!AH268&gt;0,3,0))</f>
        <v>3</v>
      </c>
      <c r="AJ226" s="20">
        <f>IF('Growth profile'!AI165&gt;0,1,IF('Growth profile'!AI268&gt;0,3,0))</f>
        <v>3</v>
      </c>
      <c r="AK226" s="20">
        <f>IF('Growth profile'!AJ165&gt;0,1,IF('Growth profile'!AJ268&gt;0,3,0))</f>
        <v>3</v>
      </c>
      <c r="AL226" s="20">
        <f>IF('Growth profile'!AK165&gt;0,1,IF('Growth profile'!AK268&gt;0,3,0))</f>
        <v>3</v>
      </c>
      <c r="AM226" s="20">
        <f>IF('Growth profile'!AL165&gt;0,1,IF('Growth profile'!AL268&gt;0,3,0))</f>
        <v>3</v>
      </c>
      <c r="AN226" s="20">
        <f>IF('Growth profile'!AM165&gt;0,1,IF('Growth profile'!AM268&gt;0,3,0))</f>
        <v>3</v>
      </c>
      <c r="AO226" s="20">
        <f>IF('Growth profile'!AN165&gt;0,1,IF('Growth profile'!AN268&gt;0,3,0))</f>
        <v>3</v>
      </c>
      <c r="AP226" s="20">
        <f>IF('Growth profile'!AO165&gt;0,1,IF('Growth profile'!AO268&gt;0,3,0))</f>
        <v>3</v>
      </c>
      <c r="AQ226" s="20">
        <f>IF('Growth profile'!AP165&gt;0,1,IF('Growth profile'!AP268&gt;0,3,0))</f>
        <v>3</v>
      </c>
      <c r="AR226" s="20">
        <f>IF('Growth profile'!AQ165&gt;0,1,IF('Growth profile'!AQ268&gt;0,3,0))</f>
        <v>3</v>
      </c>
      <c r="AS226" s="20">
        <f>IF('Growth profile'!AR165&gt;0,1,IF('Growth profile'!AR268&gt;0,3,0))</f>
        <v>3</v>
      </c>
      <c r="AT226" s="20">
        <f>IF('Growth profile'!AS165&gt;0,1,IF('Growth profile'!AS268&gt;0,3,0))</f>
        <v>3</v>
      </c>
      <c r="AU226" s="20">
        <f>IF('Growth profile'!AT165&gt;0,1,IF('Growth profile'!AT268&gt;0,3,0))</f>
        <v>3</v>
      </c>
      <c r="AV226" s="20">
        <f>IF('Growth profile'!AU165&gt;0,1,IF('Growth profile'!AU268&gt;0,3,0))</f>
        <v>3</v>
      </c>
      <c r="AW226" s="20">
        <f>IF('Growth profile'!AV165&gt;0,1,IF('Growth profile'!AV268&gt;0,3,0))</f>
        <v>3</v>
      </c>
      <c r="AX226" s="20">
        <f>IF('Growth profile'!AW165&gt;0,1,IF('Growth profile'!AW268&gt;0,3,0))</f>
        <v>3</v>
      </c>
      <c r="AY226" s="20">
        <f>IF('Growth profile'!AX165&gt;0,1,IF('Growth profile'!AX268&gt;0,3,0))</f>
        <v>3</v>
      </c>
      <c r="AZ226" s="20">
        <f>IF('Growth profile'!AY165&gt;0,1,IF('Growth profile'!AY268&gt;0,3,0))</f>
        <v>3</v>
      </c>
      <c r="BA226" s="20">
        <f>IF('Growth profile'!AZ165&gt;0,1,IF('Growth profile'!AZ268&gt;0,3,0))</f>
        <v>3</v>
      </c>
      <c r="BB226" s="20">
        <f>IF('Growth profile'!BA165&gt;0,1,IF('Growth profile'!BA268&gt;0,3,0))</f>
        <v>3</v>
      </c>
      <c r="BC226" s="20">
        <f>IF('Growth profile'!BB165&gt;0,1,IF('Growth profile'!BB268&gt;0,3,0))</f>
        <v>0</v>
      </c>
      <c r="BD226" s="20">
        <f>IF('Growth profile'!BC165&gt;0,1,IF('Growth profile'!BC268&gt;0,3,0))</f>
        <v>0</v>
      </c>
      <c r="BE226" s="20">
        <f>IF('Growth profile'!BD165&gt;0,1,IF('Growth profile'!BD268&gt;0,3,0))</f>
        <v>0</v>
      </c>
      <c r="BF226" s="20">
        <f>IF('Growth profile'!BE165&gt;0,1,IF('Growth profile'!BE268&gt;0,3,0))</f>
        <v>0</v>
      </c>
      <c r="BG226" s="20">
        <f>IF('Growth profile'!BF165&gt;0,1,IF('Growth profile'!BF268&gt;0,3,0))</f>
        <v>0</v>
      </c>
      <c r="BH226" s="20">
        <f>IF('Growth profile'!BG165&gt;0,1,IF('Growth profile'!BG268&gt;0,3,0))</f>
        <v>0</v>
      </c>
      <c r="BI226" s="20">
        <f>IF('Growth profile'!BH165&gt;0,1,IF('Growth profile'!BH268&gt;0,3,0))</f>
        <v>0</v>
      </c>
      <c r="BJ226" s="20">
        <f>IF('Growth profile'!BI165&gt;0,1,IF('Growth profile'!BI268&gt;0,3,0))</f>
        <v>0</v>
      </c>
      <c r="BK226" s="21">
        <f>IF('Growth profile'!BJ165&gt;0,1,IF('Growth profile'!BJ268&gt;0,3,0))</f>
        <v>0</v>
      </c>
    </row>
    <row r="227" spans="1:63" x14ac:dyDescent="0.3">
      <c r="B227" s="13" t="s">
        <v>59</v>
      </c>
      <c r="C227" s="19">
        <f>'Growth (no penalty)'!I57</f>
        <v>2042</v>
      </c>
      <c r="D227" s="22">
        <f>IF('Growth (no penalty)'!C165&gt;0,1,IF('Growth (no penalty)'!C268&gt;0,4,0))</f>
        <v>0</v>
      </c>
      <c r="E227" s="22">
        <f>IF('Growth (no penalty)'!D165&gt;0,1,IF('Growth (no penalty)'!D268&gt;0,4,0))</f>
        <v>0</v>
      </c>
      <c r="F227" s="22">
        <f>IF('Growth (no penalty)'!E165&gt;0,1,IF('Growth (no penalty)'!E268&gt;0,4,0))</f>
        <v>0</v>
      </c>
      <c r="G227" s="22">
        <f>IF('Growth (no penalty)'!F165&gt;0,1,IF('Growth (no penalty)'!F268&gt;0,4,0))</f>
        <v>0</v>
      </c>
      <c r="H227" s="22">
        <f>IF('Growth (no penalty)'!G165&gt;0,1,IF('Growth (no penalty)'!G268&gt;0,4,0))</f>
        <v>0</v>
      </c>
      <c r="I227" s="22">
        <f>IF('Growth (no penalty)'!H165&gt;0,1,IF('Growth (no penalty)'!H268&gt;0,4,0))</f>
        <v>0</v>
      </c>
      <c r="J227" s="22">
        <f>IF('Growth (no penalty)'!I165&gt;0,1,IF('Growth (no penalty)'!I268&gt;0,4,0))</f>
        <v>0</v>
      </c>
      <c r="K227" s="22">
        <f>IF('Growth (no penalty)'!J165&gt;0,1,IF('Growth (no penalty)'!J268&gt;0,4,0))</f>
        <v>0</v>
      </c>
      <c r="L227" s="22">
        <f>IF('Growth (no penalty)'!K165&gt;0,1,IF('Growth (no penalty)'!K268&gt;0,4,0))</f>
        <v>0</v>
      </c>
      <c r="M227" s="22">
        <f>IF('Growth (no penalty)'!L165&gt;0,1,IF('Growth (no penalty)'!L268&gt;0,4,0))</f>
        <v>0</v>
      </c>
      <c r="N227" s="22">
        <f>IF('Growth (no penalty)'!M165&gt;0,1,IF('Growth (no penalty)'!M268&gt;0,4,0))</f>
        <v>0</v>
      </c>
      <c r="O227" s="22">
        <f>IF('Growth (no penalty)'!N165&gt;0,1,IF('Growth (no penalty)'!N268&gt;0,4,0))</f>
        <v>0</v>
      </c>
      <c r="P227" s="22">
        <f>IF('Growth (no penalty)'!O165&gt;0,1,IF('Growth (no penalty)'!O268&gt;0,4,0))</f>
        <v>0</v>
      </c>
      <c r="Q227" s="22">
        <f>IF('Growth (no penalty)'!P165&gt;0,1,IF('Growth (no penalty)'!P268&gt;0,4,0))</f>
        <v>0</v>
      </c>
      <c r="R227" s="22">
        <f>IF('Growth (no penalty)'!Q165&gt;0,1,IF('Growth (no penalty)'!Q268&gt;0,4,0))</f>
        <v>0</v>
      </c>
      <c r="S227" s="22">
        <f>IF('Growth (no penalty)'!R165&gt;0,1,IF('Growth (no penalty)'!R268&gt;0,4,0))</f>
        <v>0</v>
      </c>
      <c r="T227" s="22">
        <f>IF('Growth (no penalty)'!S165&gt;0,1,IF('Growth (no penalty)'!S268&gt;0,4,0))</f>
        <v>1</v>
      </c>
      <c r="U227" s="22">
        <f>IF('Growth (no penalty)'!T165&gt;0,1,IF('Growth (no penalty)'!T268&gt;0,4,0))</f>
        <v>1</v>
      </c>
      <c r="V227" s="22">
        <f>IF('Growth (no penalty)'!U165&gt;0,1,IF('Growth (no penalty)'!U268&gt;0,4,0))</f>
        <v>1</v>
      </c>
      <c r="W227" s="22">
        <f>IF('Growth (no penalty)'!V165&gt;0,1,IF('Growth (no penalty)'!V268&gt;0,4,0))</f>
        <v>1</v>
      </c>
      <c r="X227" s="22">
        <f>IF('Growth (no penalty)'!W165&gt;0,1,IF('Growth (no penalty)'!W268&gt;0,4,0))</f>
        <v>4</v>
      </c>
      <c r="Y227" s="22">
        <f>IF('Growth (no penalty)'!X165&gt;0,1,IF('Growth (no penalty)'!X268&gt;0,4,0))</f>
        <v>4</v>
      </c>
      <c r="Z227" s="22">
        <f>IF('Growth (no penalty)'!Y165&gt;0,1,IF('Growth (no penalty)'!Y268&gt;0,4,0))</f>
        <v>4</v>
      </c>
      <c r="AA227" s="22">
        <f>IF('Growth (no penalty)'!Z165&gt;0,1,IF('Growth (no penalty)'!Z268&gt;0,4,0))</f>
        <v>4</v>
      </c>
      <c r="AB227" s="22">
        <f>IF('Growth (no penalty)'!AA165&gt;0,1,IF('Growth (no penalty)'!AA268&gt;0,4,0))</f>
        <v>4</v>
      </c>
      <c r="AC227" s="22">
        <f>IF('Growth (no penalty)'!AB165&gt;0,1,IF('Growth (no penalty)'!AB268&gt;0,4,0))</f>
        <v>4</v>
      </c>
      <c r="AD227" s="22">
        <f>IF('Growth (no penalty)'!AC165&gt;0,1,IF('Growth (no penalty)'!AC268&gt;0,4,0))</f>
        <v>4</v>
      </c>
      <c r="AE227" s="22">
        <f>IF('Growth (no penalty)'!AD165&gt;0,1,IF('Growth (no penalty)'!AD268&gt;0,4,0))</f>
        <v>4</v>
      </c>
      <c r="AF227" s="22">
        <f>IF('Growth (no penalty)'!AE165&gt;0,1,IF('Growth (no penalty)'!AE268&gt;0,4,0))</f>
        <v>4</v>
      </c>
      <c r="AG227" s="22">
        <f>IF('Growth (no penalty)'!AF165&gt;0,1,IF('Growth (no penalty)'!AF268&gt;0,4,0))</f>
        <v>4</v>
      </c>
      <c r="AH227" s="22">
        <f>IF('Growth (no penalty)'!AG165&gt;0,1,IF('Growth (no penalty)'!AG268&gt;0,4,0))</f>
        <v>4</v>
      </c>
      <c r="AI227" s="22">
        <f>IF('Growth (no penalty)'!AH165&gt;0,1,IF('Growth (no penalty)'!AH268&gt;0,4,0))</f>
        <v>4</v>
      </c>
      <c r="AJ227" s="22">
        <f>IF('Growth (no penalty)'!AI165&gt;0,1,IF('Growth (no penalty)'!AI268&gt;0,4,0))</f>
        <v>4</v>
      </c>
      <c r="AK227" s="22">
        <f>IF('Growth (no penalty)'!AJ165&gt;0,1,IF('Growth (no penalty)'!AJ268&gt;0,4,0))</f>
        <v>4</v>
      </c>
      <c r="AL227" s="22">
        <f>IF('Growth (no penalty)'!AK165&gt;0,1,IF('Growth (no penalty)'!AK268&gt;0,4,0))</f>
        <v>4</v>
      </c>
      <c r="AM227" s="22">
        <f>IF('Growth (no penalty)'!AL165&gt;0,1,IF('Growth (no penalty)'!AL268&gt;0,4,0))</f>
        <v>4</v>
      </c>
      <c r="AN227" s="22">
        <f>IF('Growth (no penalty)'!AM165&gt;0,1,IF('Growth (no penalty)'!AM268&gt;0,4,0))</f>
        <v>4</v>
      </c>
      <c r="AO227" s="22">
        <f>IF('Growth (no penalty)'!AN165&gt;0,1,IF('Growth (no penalty)'!AN268&gt;0,4,0))</f>
        <v>4</v>
      </c>
      <c r="AP227" s="22">
        <f>IF('Growth (no penalty)'!AO165&gt;0,1,IF('Growth (no penalty)'!AO268&gt;0,4,0))</f>
        <v>4</v>
      </c>
      <c r="AQ227" s="22">
        <f>IF('Growth (no penalty)'!AP165&gt;0,1,IF('Growth (no penalty)'!AP268&gt;0,4,0))</f>
        <v>4</v>
      </c>
      <c r="AR227" s="22">
        <f>IF('Growth (no penalty)'!AQ165&gt;0,1,IF('Growth (no penalty)'!AQ268&gt;0,4,0))</f>
        <v>4</v>
      </c>
      <c r="AS227" s="22">
        <f>IF('Growth (no penalty)'!AR165&gt;0,1,IF('Growth (no penalty)'!AR268&gt;0,4,0))</f>
        <v>4</v>
      </c>
      <c r="AT227" s="22">
        <f>IF('Growth (no penalty)'!AS165&gt;0,1,IF('Growth (no penalty)'!AS268&gt;0,4,0))</f>
        <v>4</v>
      </c>
      <c r="AU227" s="22">
        <f>IF('Growth (no penalty)'!AT165&gt;0,1,IF('Growth (no penalty)'!AT268&gt;0,4,0))</f>
        <v>4</v>
      </c>
      <c r="AV227" s="22">
        <f>IF('Growth (no penalty)'!AU165&gt;0,1,IF('Growth (no penalty)'!AU268&gt;0,4,0))</f>
        <v>4</v>
      </c>
      <c r="AW227" s="22">
        <f>IF('Growth (no penalty)'!AV165&gt;0,1,IF('Growth (no penalty)'!AV268&gt;0,4,0))</f>
        <v>4</v>
      </c>
      <c r="AX227" s="22">
        <f>IF('Growth (no penalty)'!AW165&gt;0,1,IF('Growth (no penalty)'!AW268&gt;0,4,0))</f>
        <v>4</v>
      </c>
      <c r="AY227" s="22">
        <f>IF('Growth (no penalty)'!AX165&gt;0,1,IF('Growth (no penalty)'!AX268&gt;0,4,0))</f>
        <v>4</v>
      </c>
      <c r="AZ227" s="22">
        <f>IF('Growth (no penalty)'!AY165&gt;0,1,IF('Growth (no penalty)'!AY268&gt;0,4,0))</f>
        <v>4</v>
      </c>
      <c r="BA227" s="22">
        <f>IF('Growth (no penalty)'!AZ165&gt;0,1,IF('Growth (no penalty)'!AZ268&gt;0,4,0))</f>
        <v>4</v>
      </c>
      <c r="BB227" s="22">
        <f>IF('Growth (no penalty)'!BA165&gt;0,1,IF('Growth (no penalty)'!BA268&gt;0,4,0))</f>
        <v>4</v>
      </c>
      <c r="BC227" s="22">
        <f>IF('Growth (no penalty)'!BB165&gt;0,1,IF('Growth (no penalty)'!BB268&gt;0,4,0))</f>
        <v>4</v>
      </c>
      <c r="BD227" s="22">
        <f>IF('Growth (no penalty)'!BC165&gt;0,1,IF('Growth (no penalty)'!BC268&gt;0,4,0))</f>
        <v>4</v>
      </c>
      <c r="BE227" s="22">
        <f>IF('Growth (no penalty)'!BD165&gt;0,1,IF('Growth (no penalty)'!BD268&gt;0,4,0))</f>
        <v>4</v>
      </c>
      <c r="BF227" s="22">
        <f>IF('Growth (no penalty)'!BE165&gt;0,1,IF('Growth (no penalty)'!BE268&gt;0,4,0))</f>
        <v>4</v>
      </c>
      <c r="BG227" s="22">
        <f>IF('Growth (no penalty)'!BF165&gt;0,1,IF('Growth (no penalty)'!BF268&gt;0,4,0))</f>
        <v>4</v>
      </c>
      <c r="BH227" s="22">
        <f>IF('Growth (no penalty)'!BG165&gt;0,1,IF('Growth (no penalty)'!BG268&gt;0,4,0))</f>
        <v>4</v>
      </c>
      <c r="BI227" s="22">
        <f>IF('Growth (no penalty)'!BH165&gt;0,1,IF('Growth (no penalty)'!BH268&gt;0,4,0))</f>
        <v>4</v>
      </c>
      <c r="BJ227" s="22">
        <f>IF('Growth (no penalty)'!BI165&gt;0,1,IF('Growth (no penalty)'!BI268&gt;0,4,0))</f>
        <v>4</v>
      </c>
      <c r="BK227" s="23">
        <f>IF('Growth (no penalty)'!BJ165&gt;0,1,IF('Growth (no penalty)'!BJ268&gt;0,4,0))</f>
        <v>4</v>
      </c>
    </row>
    <row r="228" spans="1:63" x14ac:dyDescent="0.3">
      <c r="A228" s="4" t="str">
        <f>'Growth profile'!A106</f>
        <v>project 171</v>
      </c>
      <c r="B228" s="13" t="s">
        <v>3</v>
      </c>
      <c r="C228" s="19">
        <f>'Raw profile'!I106</f>
        <v>2039</v>
      </c>
      <c r="D228" s="20">
        <f>IF('Raw profile'!C214&gt;0,1,IF('Raw profile'!C317&gt;0,2,0))</f>
        <v>0</v>
      </c>
      <c r="E228" s="20">
        <f>IF('Raw profile'!D214&gt;0,1,IF('Raw profile'!D317&gt;0,2,0))</f>
        <v>0</v>
      </c>
      <c r="F228" s="20">
        <f>IF('Raw profile'!E214&gt;0,1,IF('Raw profile'!E317&gt;0,2,0))</f>
        <v>0</v>
      </c>
      <c r="G228" s="20">
        <f>IF('Raw profile'!F214&gt;0,1,IF('Raw profile'!F317&gt;0,2,0))</f>
        <v>0</v>
      </c>
      <c r="H228" s="20">
        <f>IF('Raw profile'!G214&gt;0,1,IF('Raw profile'!G317&gt;0,2,0))</f>
        <v>0</v>
      </c>
      <c r="I228" s="20">
        <f>IF('Raw profile'!H214&gt;0,1,IF('Raw profile'!H317&gt;0,2,0))</f>
        <v>0</v>
      </c>
      <c r="J228" s="20">
        <f>IF('Raw profile'!I214&gt;0,1,IF('Raw profile'!I317&gt;0,2,0))</f>
        <v>0</v>
      </c>
      <c r="K228" s="20">
        <f>IF('Raw profile'!J214&gt;0,1,IF('Raw profile'!J317&gt;0,2,0))</f>
        <v>0</v>
      </c>
      <c r="L228" s="20">
        <f>IF('Raw profile'!K214&gt;0,1,IF('Raw profile'!K317&gt;0,2,0))</f>
        <v>0</v>
      </c>
      <c r="M228" s="20">
        <f>IF('Raw profile'!L214&gt;0,1,IF('Raw profile'!L317&gt;0,2,0))</f>
        <v>0</v>
      </c>
      <c r="N228" s="20">
        <f>IF('Raw profile'!M214&gt;0,1,IF('Raw profile'!M317&gt;0,2,0))</f>
        <v>0</v>
      </c>
      <c r="O228" s="20">
        <f>IF('Raw profile'!N214&gt;0,1,IF('Raw profile'!N317&gt;0,2,0))</f>
        <v>0</v>
      </c>
      <c r="P228" s="20">
        <f>IF('Raw profile'!O214&gt;0,1,IF('Raw profile'!O317&gt;0,2,0))</f>
        <v>0</v>
      </c>
      <c r="Q228" s="20">
        <f>IF('Raw profile'!P214&gt;0,1,IF('Raw profile'!P317&gt;0,2,0))</f>
        <v>1</v>
      </c>
      <c r="R228" s="20">
        <f>IF('Raw profile'!Q214&gt;0,1,IF('Raw profile'!Q317&gt;0,2,0))</f>
        <v>1</v>
      </c>
      <c r="S228" s="20">
        <f>IF('Raw profile'!R214&gt;0,1,IF('Raw profile'!R317&gt;0,2,0))</f>
        <v>1</v>
      </c>
      <c r="T228" s="20">
        <f>IF('Raw profile'!S214&gt;0,1,IF('Raw profile'!S317&gt;0,2,0))</f>
        <v>2</v>
      </c>
      <c r="U228" s="20">
        <f>IF('Raw profile'!T214&gt;0,1,IF('Raw profile'!T317&gt;0,2,0))</f>
        <v>2</v>
      </c>
      <c r="V228" s="20">
        <f>IF('Raw profile'!U214&gt;0,1,IF('Raw profile'!U317&gt;0,2,0))</f>
        <v>2</v>
      </c>
      <c r="W228" s="20">
        <f>IF('Raw profile'!V214&gt;0,1,IF('Raw profile'!V317&gt;0,2,0))</f>
        <v>2</v>
      </c>
      <c r="X228" s="20">
        <f>IF('Raw profile'!W214&gt;0,1,IF('Raw profile'!W317&gt;0,2,0))</f>
        <v>2</v>
      </c>
      <c r="Y228" s="20">
        <f>IF('Raw profile'!X214&gt;0,1,IF('Raw profile'!X317&gt;0,2,0))</f>
        <v>2</v>
      </c>
      <c r="Z228" s="20">
        <f>IF('Raw profile'!Y214&gt;0,1,IF('Raw profile'!Y317&gt;0,2,0))</f>
        <v>2</v>
      </c>
      <c r="AA228" s="20">
        <f>IF('Raw profile'!Z214&gt;0,1,IF('Raw profile'!Z317&gt;0,2,0))</f>
        <v>2</v>
      </c>
      <c r="AB228" s="20">
        <f>IF('Raw profile'!AA214&gt;0,1,IF('Raw profile'!AA317&gt;0,2,0))</f>
        <v>2</v>
      </c>
      <c r="AC228" s="20">
        <f>IF('Raw profile'!AB214&gt;0,1,IF('Raw profile'!AB317&gt;0,2,0))</f>
        <v>2</v>
      </c>
      <c r="AD228" s="20">
        <f>IF('Raw profile'!AC214&gt;0,1,IF('Raw profile'!AC317&gt;0,2,0))</f>
        <v>2</v>
      </c>
      <c r="AE228" s="20">
        <f>IF('Raw profile'!AD214&gt;0,1,IF('Raw profile'!AD317&gt;0,2,0))</f>
        <v>2</v>
      </c>
      <c r="AF228" s="20">
        <f>IF('Raw profile'!AE214&gt;0,1,IF('Raw profile'!AE317&gt;0,2,0))</f>
        <v>2</v>
      </c>
      <c r="AG228" s="20">
        <f>IF('Raw profile'!AF214&gt;0,1,IF('Raw profile'!AF317&gt;0,2,0))</f>
        <v>2</v>
      </c>
      <c r="AH228" s="20">
        <f>IF('Raw profile'!AG214&gt;0,1,IF('Raw profile'!AG317&gt;0,2,0))</f>
        <v>2</v>
      </c>
      <c r="AI228" s="20">
        <f>IF('Raw profile'!AH214&gt;0,1,IF('Raw profile'!AH317&gt;0,2,0))</f>
        <v>2</v>
      </c>
      <c r="AJ228" s="20">
        <f>IF('Raw profile'!AI214&gt;0,1,IF('Raw profile'!AI317&gt;0,2,0))</f>
        <v>2</v>
      </c>
      <c r="AK228" s="20">
        <f>IF('Raw profile'!AJ214&gt;0,1,IF('Raw profile'!AJ317&gt;0,2,0))</f>
        <v>2</v>
      </c>
      <c r="AL228" s="20">
        <f>IF('Raw profile'!AK214&gt;0,1,IF('Raw profile'!AK317&gt;0,2,0))</f>
        <v>2</v>
      </c>
      <c r="AM228" s="20">
        <f>IF('Raw profile'!AL214&gt;0,1,IF('Raw profile'!AL317&gt;0,2,0))</f>
        <v>2</v>
      </c>
      <c r="AN228" s="20">
        <f>IF('Raw profile'!AM214&gt;0,1,IF('Raw profile'!AM317&gt;0,2,0))</f>
        <v>2</v>
      </c>
      <c r="AO228" s="20">
        <f>IF('Raw profile'!AN214&gt;0,1,IF('Raw profile'!AN317&gt;0,2,0))</f>
        <v>2</v>
      </c>
      <c r="AP228" s="20">
        <f>IF('Raw profile'!AO214&gt;0,1,IF('Raw profile'!AO317&gt;0,2,0))</f>
        <v>2</v>
      </c>
      <c r="AQ228" s="20">
        <f>IF('Raw profile'!AP214&gt;0,1,IF('Raw profile'!AP317&gt;0,2,0))</f>
        <v>2</v>
      </c>
      <c r="AR228" s="20">
        <f>IF('Raw profile'!AQ214&gt;0,1,IF('Raw profile'!AQ317&gt;0,2,0))</f>
        <v>2</v>
      </c>
      <c r="AS228" s="20">
        <f>IF('Raw profile'!AR214&gt;0,1,IF('Raw profile'!AR317&gt;0,2,0))</f>
        <v>2</v>
      </c>
      <c r="AT228" s="20">
        <f>IF('Raw profile'!AS214&gt;0,1,IF('Raw profile'!AS317&gt;0,2,0))</f>
        <v>2</v>
      </c>
      <c r="AU228" s="20">
        <f>IF('Raw profile'!AT214&gt;0,1,IF('Raw profile'!AT317&gt;0,2,0))</f>
        <v>2</v>
      </c>
      <c r="AV228" s="20">
        <f>IF('Raw profile'!AU214&gt;0,1,IF('Raw profile'!AU317&gt;0,2,0))</f>
        <v>2</v>
      </c>
      <c r="AW228" s="20">
        <f>IF('Raw profile'!AV214&gt;0,1,IF('Raw profile'!AV317&gt;0,2,0))</f>
        <v>2</v>
      </c>
      <c r="AX228" s="20">
        <f>IF('Raw profile'!AW214&gt;0,1,IF('Raw profile'!AW317&gt;0,2,0))</f>
        <v>2</v>
      </c>
      <c r="AY228" s="20">
        <f>IF('Raw profile'!AX214&gt;0,1,IF('Raw profile'!AX317&gt;0,2,0))</f>
        <v>2</v>
      </c>
      <c r="AZ228" s="20">
        <f>IF('Raw profile'!AY214&gt;0,1,IF('Raw profile'!AY317&gt;0,2,0))</f>
        <v>2</v>
      </c>
      <c r="BA228" s="20">
        <f>IF('Raw profile'!AZ214&gt;0,1,IF('Raw profile'!AZ317&gt;0,2,0))</f>
        <v>2</v>
      </c>
      <c r="BB228" s="20">
        <f>IF('Raw profile'!BA214&gt;0,1,IF('Raw profile'!BA317&gt;0,2,0))</f>
        <v>2</v>
      </c>
      <c r="BC228" s="20">
        <f>IF('Raw profile'!BB214&gt;0,1,IF('Raw profile'!BB317&gt;0,2,0))</f>
        <v>2</v>
      </c>
      <c r="BD228" s="20">
        <f>IF('Raw profile'!BC214&gt;0,1,IF('Raw profile'!BC317&gt;0,2,0))</f>
        <v>2</v>
      </c>
      <c r="BE228" s="20">
        <f>IF('Raw profile'!BD214&gt;0,1,IF('Raw profile'!BD317&gt;0,2,0))</f>
        <v>2</v>
      </c>
      <c r="BF228" s="20">
        <f>IF('Raw profile'!BE214&gt;0,1,IF('Raw profile'!BE317&gt;0,2,0))</f>
        <v>2</v>
      </c>
      <c r="BG228" s="20">
        <f>IF('Raw profile'!BF214&gt;0,1,IF('Raw profile'!BF317&gt;0,2,0))</f>
        <v>2</v>
      </c>
      <c r="BH228" s="20">
        <f>IF('Raw profile'!BG214&gt;0,1,IF('Raw profile'!BG317&gt;0,2,0))</f>
        <v>0</v>
      </c>
      <c r="BI228" s="20">
        <f>IF('Raw profile'!BH214&gt;0,1,IF('Raw profile'!BH317&gt;0,2,0))</f>
        <v>0</v>
      </c>
      <c r="BJ228" s="20">
        <f>IF('Raw profile'!BI214&gt;0,1,IF('Raw profile'!BI317&gt;0,2,0))</f>
        <v>0</v>
      </c>
      <c r="BK228" s="21">
        <f>IF('Raw profile'!BJ214&gt;0,1,IF('Raw profile'!BJ317&gt;0,2,0))</f>
        <v>0</v>
      </c>
    </row>
    <row r="229" spans="1:63" x14ac:dyDescent="0.3">
      <c r="B229" s="13" t="s">
        <v>4</v>
      </c>
      <c r="C229" s="19">
        <f>'Growth profile'!I106</f>
        <v>2033</v>
      </c>
      <c r="D229" s="20">
        <f>IF('Growth profile'!C214&gt;0,1,IF('Growth profile'!C317&gt;0,3,0))</f>
        <v>0</v>
      </c>
      <c r="E229" s="20">
        <f>IF('Growth profile'!D214&gt;0,1,IF('Growth profile'!D317&gt;0,3,0))</f>
        <v>0</v>
      </c>
      <c r="F229" s="20">
        <f>IF('Growth profile'!E214&gt;0,1,IF('Growth profile'!E317&gt;0,3,0))</f>
        <v>0</v>
      </c>
      <c r="G229" s="20">
        <f>IF('Growth profile'!F214&gt;0,1,IF('Growth profile'!F317&gt;0,3,0))</f>
        <v>0</v>
      </c>
      <c r="H229" s="20">
        <f>IF('Growth profile'!G214&gt;0,1,IF('Growth profile'!G317&gt;0,3,0))</f>
        <v>0</v>
      </c>
      <c r="I229" s="20">
        <f>IF('Growth profile'!H214&gt;0,1,IF('Growth profile'!H317&gt;0,3,0))</f>
        <v>0</v>
      </c>
      <c r="J229" s="20">
        <f>IF('Growth profile'!I214&gt;0,1,IF('Growth profile'!I317&gt;0,3,0))</f>
        <v>0</v>
      </c>
      <c r="K229" s="20">
        <f>IF('Growth profile'!J214&gt;0,1,IF('Growth profile'!J317&gt;0,3,0))</f>
        <v>1</v>
      </c>
      <c r="L229" s="20">
        <f>IF('Growth profile'!K214&gt;0,1,IF('Growth profile'!K317&gt;0,3,0))</f>
        <v>1</v>
      </c>
      <c r="M229" s="20">
        <f>IF('Growth profile'!L214&gt;0,1,IF('Growth profile'!L317&gt;0,3,0))</f>
        <v>1</v>
      </c>
      <c r="N229" s="20">
        <f>IF('Growth profile'!M214&gt;0,1,IF('Growth profile'!M317&gt;0,3,0))</f>
        <v>3</v>
      </c>
      <c r="O229" s="20">
        <f>IF('Growth profile'!N214&gt;0,1,IF('Growth profile'!N317&gt;0,3,0))</f>
        <v>3</v>
      </c>
      <c r="P229" s="20">
        <f>IF('Growth profile'!O214&gt;0,1,IF('Growth profile'!O317&gt;0,3,0))</f>
        <v>3</v>
      </c>
      <c r="Q229" s="20">
        <f>IF('Growth profile'!P214&gt;0,1,IF('Growth profile'!P317&gt;0,3,0))</f>
        <v>3</v>
      </c>
      <c r="R229" s="20">
        <f>IF('Growth profile'!Q214&gt;0,1,IF('Growth profile'!Q317&gt;0,3,0))</f>
        <v>3</v>
      </c>
      <c r="S229" s="20">
        <f>IF('Growth profile'!R214&gt;0,1,IF('Growth profile'!R317&gt;0,3,0))</f>
        <v>3</v>
      </c>
      <c r="T229" s="20">
        <f>IF('Growth profile'!S214&gt;0,1,IF('Growth profile'!S317&gt;0,3,0))</f>
        <v>3</v>
      </c>
      <c r="U229" s="20">
        <f>IF('Growth profile'!T214&gt;0,1,IF('Growth profile'!T317&gt;0,3,0))</f>
        <v>3</v>
      </c>
      <c r="V229" s="20">
        <f>IF('Growth profile'!U214&gt;0,1,IF('Growth profile'!U317&gt;0,3,0))</f>
        <v>3</v>
      </c>
      <c r="W229" s="20">
        <f>IF('Growth profile'!V214&gt;0,1,IF('Growth profile'!V317&gt;0,3,0))</f>
        <v>3</v>
      </c>
      <c r="X229" s="20">
        <f>IF('Growth profile'!W214&gt;0,1,IF('Growth profile'!W317&gt;0,3,0))</f>
        <v>3</v>
      </c>
      <c r="Y229" s="20">
        <f>IF('Growth profile'!X214&gt;0,1,IF('Growth profile'!X317&gt;0,3,0))</f>
        <v>3</v>
      </c>
      <c r="Z229" s="20">
        <f>IF('Growth profile'!Y214&gt;0,1,IF('Growth profile'!Y317&gt;0,3,0))</f>
        <v>3</v>
      </c>
      <c r="AA229" s="20">
        <f>IF('Growth profile'!Z214&gt;0,1,IF('Growth profile'!Z317&gt;0,3,0))</f>
        <v>3</v>
      </c>
      <c r="AB229" s="20">
        <f>IF('Growth profile'!AA214&gt;0,1,IF('Growth profile'!AA317&gt;0,3,0))</f>
        <v>3</v>
      </c>
      <c r="AC229" s="20">
        <f>IF('Growth profile'!AB214&gt;0,1,IF('Growth profile'!AB317&gt;0,3,0))</f>
        <v>3</v>
      </c>
      <c r="AD229" s="20">
        <f>IF('Growth profile'!AC214&gt;0,1,IF('Growth profile'!AC317&gt;0,3,0))</f>
        <v>3</v>
      </c>
      <c r="AE229" s="20">
        <f>IF('Growth profile'!AD214&gt;0,1,IF('Growth profile'!AD317&gt;0,3,0))</f>
        <v>3</v>
      </c>
      <c r="AF229" s="20">
        <f>IF('Growth profile'!AE214&gt;0,1,IF('Growth profile'!AE317&gt;0,3,0))</f>
        <v>3</v>
      </c>
      <c r="AG229" s="20">
        <f>IF('Growth profile'!AF214&gt;0,1,IF('Growth profile'!AF317&gt;0,3,0))</f>
        <v>3</v>
      </c>
      <c r="AH229" s="20">
        <f>IF('Growth profile'!AG214&gt;0,1,IF('Growth profile'!AG317&gt;0,3,0))</f>
        <v>3</v>
      </c>
      <c r="AI229" s="20">
        <f>IF('Growth profile'!AH214&gt;0,1,IF('Growth profile'!AH317&gt;0,3,0))</f>
        <v>3</v>
      </c>
      <c r="AJ229" s="20">
        <f>IF('Growth profile'!AI214&gt;0,1,IF('Growth profile'!AI317&gt;0,3,0))</f>
        <v>3</v>
      </c>
      <c r="AK229" s="20">
        <f>IF('Growth profile'!AJ214&gt;0,1,IF('Growth profile'!AJ317&gt;0,3,0))</f>
        <v>3</v>
      </c>
      <c r="AL229" s="20">
        <f>IF('Growth profile'!AK214&gt;0,1,IF('Growth profile'!AK317&gt;0,3,0))</f>
        <v>3</v>
      </c>
      <c r="AM229" s="20">
        <f>IF('Growth profile'!AL214&gt;0,1,IF('Growth profile'!AL317&gt;0,3,0))</f>
        <v>3</v>
      </c>
      <c r="AN229" s="20">
        <f>IF('Growth profile'!AM214&gt;0,1,IF('Growth profile'!AM317&gt;0,3,0))</f>
        <v>3</v>
      </c>
      <c r="AO229" s="20">
        <f>IF('Growth profile'!AN214&gt;0,1,IF('Growth profile'!AN317&gt;0,3,0))</f>
        <v>3</v>
      </c>
      <c r="AP229" s="20">
        <f>IF('Growth profile'!AO214&gt;0,1,IF('Growth profile'!AO317&gt;0,3,0))</f>
        <v>3</v>
      </c>
      <c r="AQ229" s="20">
        <f>IF('Growth profile'!AP214&gt;0,1,IF('Growth profile'!AP317&gt;0,3,0))</f>
        <v>3</v>
      </c>
      <c r="AR229" s="20">
        <f>IF('Growth profile'!AQ214&gt;0,1,IF('Growth profile'!AQ317&gt;0,3,0))</f>
        <v>3</v>
      </c>
      <c r="AS229" s="20">
        <f>IF('Growth profile'!AR214&gt;0,1,IF('Growth profile'!AR317&gt;0,3,0))</f>
        <v>3</v>
      </c>
      <c r="AT229" s="20">
        <f>IF('Growth profile'!AS214&gt;0,1,IF('Growth profile'!AS317&gt;0,3,0))</f>
        <v>3</v>
      </c>
      <c r="AU229" s="20">
        <f>IF('Growth profile'!AT214&gt;0,1,IF('Growth profile'!AT317&gt;0,3,0))</f>
        <v>3</v>
      </c>
      <c r="AV229" s="20">
        <f>IF('Growth profile'!AU214&gt;0,1,IF('Growth profile'!AU317&gt;0,3,0))</f>
        <v>3</v>
      </c>
      <c r="AW229" s="20">
        <f>IF('Growth profile'!AV214&gt;0,1,IF('Growth profile'!AV317&gt;0,3,0))</f>
        <v>3</v>
      </c>
      <c r="AX229" s="20">
        <f>IF('Growth profile'!AW214&gt;0,1,IF('Growth profile'!AW317&gt;0,3,0))</f>
        <v>3</v>
      </c>
      <c r="AY229" s="20">
        <f>IF('Growth profile'!AX214&gt;0,1,IF('Growth profile'!AX317&gt;0,3,0))</f>
        <v>3</v>
      </c>
      <c r="AZ229" s="20">
        <f>IF('Growth profile'!AY214&gt;0,1,IF('Growth profile'!AY317&gt;0,3,0))</f>
        <v>3</v>
      </c>
      <c r="BA229" s="20">
        <f>IF('Growth profile'!AZ214&gt;0,1,IF('Growth profile'!AZ317&gt;0,3,0))</f>
        <v>3</v>
      </c>
      <c r="BB229" s="20">
        <f>IF('Growth profile'!BA214&gt;0,1,IF('Growth profile'!BA317&gt;0,3,0))</f>
        <v>0</v>
      </c>
      <c r="BC229" s="20">
        <f>IF('Growth profile'!BB214&gt;0,1,IF('Growth profile'!BB317&gt;0,3,0))</f>
        <v>0</v>
      </c>
      <c r="BD229" s="20">
        <f>IF('Growth profile'!BC214&gt;0,1,IF('Growth profile'!BC317&gt;0,3,0))</f>
        <v>0</v>
      </c>
      <c r="BE229" s="20">
        <f>IF('Growth profile'!BD214&gt;0,1,IF('Growth profile'!BD317&gt;0,3,0))</f>
        <v>0</v>
      </c>
      <c r="BF229" s="20">
        <f>IF('Growth profile'!BE214&gt;0,1,IF('Growth profile'!BE317&gt;0,3,0))</f>
        <v>0</v>
      </c>
      <c r="BG229" s="20">
        <f>IF('Growth profile'!BF214&gt;0,1,IF('Growth profile'!BF317&gt;0,3,0))</f>
        <v>0</v>
      </c>
      <c r="BH229" s="20">
        <f>IF('Growth profile'!BG214&gt;0,1,IF('Growth profile'!BG317&gt;0,3,0))</f>
        <v>0</v>
      </c>
      <c r="BI229" s="20">
        <f>IF('Growth profile'!BH214&gt;0,1,IF('Growth profile'!BH317&gt;0,3,0))</f>
        <v>0</v>
      </c>
      <c r="BJ229" s="20">
        <f>IF('Growth profile'!BI214&gt;0,1,IF('Growth profile'!BI317&gt;0,3,0))</f>
        <v>0</v>
      </c>
      <c r="BK229" s="21">
        <f>IF('Growth profile'!BJ214&gt;0,1,IF('Growth profile'!BJ317&gt;0,3,0))</f>
        <v>0</v>
      </c>
    </row>
    <row r="230" spans="1:63" x14ac:dyDescent="0.3">
      <c r="B230" s="13" t="s">
        <v>59</v>
      </c>
      <c r="C230" s="19">
        <f>'Growth (no penalty)'!I106</f>
        <v>2043</v>
      </c>
      <c r="D230" s="22">
        <f>IF('Growth (no penalty)'!C214&gt;0,1,IF('Growth (no penalty)'!C317&gt;0,4,0))</f>
        <v>0</v>
      </c>
      <c r="E230" s="22">
        <f>IF('Growth (no penalty)'!D214&gt;0,1,IF('Growth (no penalty)'!D317&gt;0,4,0))</f>
        <v>0</v>
      </c>
      <c r="F230" s="22">
        <f>IF('Growth (no penalty)'!E214&gt;0,1,IF('Growth (no penalty)'!E317&gt;0,4,0))</f>
        <v>0</v>
      </c>
      <c r="G230" s="22">
        <f>IF('Growth (no penalty)'!F214&gt;0,1,IF('Growth (no penalty)'!F317&gt;0,4,0))</f>
        <v>0</v>
      </c>
      <c r="H230" s="22">
        <f>IF('Growth (no penalty)'!G214&gt;0,1,IF('Growth (no penalty)'!G317&gt;0,4,0))</f>
        <v>0</v>
      </c>
      <c r="I230" s="22">
        <f>IF('Growth (no penalty)'!H214&gt;0,1,IF('Growth (no penalty)'!H317&gt;0,4,0))</f>
        <v>0</v>
      </c>
      <c r="J230" s="22">
        <f>IF('Growth (no penalty)'!I214&gt;0,1,IF('Growth (no penalty)'!I317&gt;0,4,0))</f>
        <v>0</v>
      </c>
      <c r="K230" s="22">
        <f>IF('Growth (no penalty)'!J214&gt;0,1,IF('Growth (no penalty)'!J317&gt;0,4,0))</f>
        <v>0</v>
      </c>
      <c r="L230" s="22">
        <f>IF('Growth (no penalty)'!K214&gt;0,1,IF('Growth (no penalty)'!K317&gt;0,4,0))</f>
        <v>0</v>
      </c>
      <c r="M230" s="22">
        <f>IF('Growth (no penalty)'!L214&gt;0,1,IF('Growth (no penalty)'!L317&gt;0,4,0))</f>
        <v>0</v>
      </c>
      <c r="N230" s="22">
        <f>IF('Growth (no penalty)'!M214&gt;0,1,IF('Growth (no penalty)'!M317&gt;0,4,0))</f>
        <v>0</v>
      </c>
      <c r="O230" s="22">
        <f>IF('Growth (no penalty)'!N214&gt;0,1,IF('Growth (no penalty)'!N317&gt;0,4,0))</f>
        <v>0</v>
      </c>
      <c r="P230" s="22">
        <f>IF('Growth (no penalty)'!O214&gt;0,1,IF('Growth (no penalty)'!O317&gt;0,4,0))</f>
        <v>0</v>
      </c>
      <c r="Q230" s="22">
        <f>IF('Growth (no penalty)'!P214&gt;0,1,IF('Growth (no penalty)'!P317&gt;0,4,0))</f>
        <v>0</v>
      </c>
      <c r="R230" s="22">
        <f>IF('Growth (no penalty)'!Q214&gt;0,1,IF('Growth (no penalty)'!Q317&gt;0,4,0))</f>
        <v>0</v>
      </c>
      <c r="S230" s="22">
        <f>IF('Growth (no penalty)'!R214&gt;0,1,IF('Growth (no penalty)'!R317&gt;0,4,0))</f>
        <v>0</v>
      </c>
      <c r="T230" s="22">
        <f>IF('Growth (no penalty)'!S214&gt;0,1,IF('Growth (no penalty)'!S317&gt;0,4,0))</f>
        <v>0</v>
      </c>
      <c r="U230" s="22">
        <f>IF('Growth (no penalty)'!T214&gt;0,1,IF('Growth (no penalty)'!T317&gt;0,4,0))</f>
        <v>1</v>
      </c>
      <c r="V230" s="22">
        <f>IF('Growth (no penalty)'!U214&gt;0,1,IF('Growth (no penalty)'!U317&gt;0,4,0))</f>
        <v>1</v>
      </c>
      <c r="W230" s="22">
        <f>IF('Growth (no penalty)'!V214&gt;0,1,IF('Growth (no penalty)'!V317&gt;0,4,0))</f>
        <v>1</v>
      </c>
      <c r="X230" s="22">
        <f>IF('Growth (no penalty)'!W214&gt;0,1,IF('Growth (no penalty)'!W317&gt;0,4,0))</f>
        <v>4</v>
      </c>
      <c r="Y230" s="22">
        <f>IF('Growth (no penalty)'!X214&gt;0,1,IF('Growth (no penalty)'!X317&gt;0,4,0))</f>
        <v>4</v>
      </c>
      <c r="Z230" s="22">
        <f>IF('Growth (no penalty)'!Y214&gt;0,1,IF('Growth (no penalty)'!Y317&gt;0,4,0))</f>
        <v>4</v>
      </c>
      <c r="AA230" s="22">
        <f>IF('Growth (no penalty)'!Z214&gt;0,1,IF('Growth (no penalty)'!Z317&gt;0,4,0))</f>
        <v>4</v>
      </c>
      <c r="AB230" s="22">
        <f>IF('Growth (no penalty)'!AA214&gt;0,1,IF('Growth (no penalty)'!AA317&gt;0,4,0))</f>
        <v>4</v>
      </c>
      <c r="AC230" s="22">
        <f>IF('Growth (no penalty)'!AB214&gt;0,1,IF('Growth (no penalty)'!AB317&gt;0,4,0))</f>
        <v>4</v>
      </c>
      <c r="AD230" s="22">
        <f>IF('Growth (no penalty)'!AC214&gt;0,1,IF('Growth (no penalty)'!AC317&gt;0,4,0))</f>
        <v>4</v>
      </c>
      <c r="AE230" s="22">
        <f>IF('Growth (no penalty)'!AD214&gt;0,1,IF('Growth (no penalty)'!AD317&gt;0,4,0))</f>
        <v>4</v>
      </c>
      <c r="AF230" s="22">
        <f>IF('Growth (no penalty)'!AE214&gt;0,1,IF('Growth (no penalty)'!AE317&gt;0,4,0))</f>
        <v>4</v>
      </c>
      <c r="AG230" s="22">
        <f>IF('Growth (no penalty)'!AF214&gt;0,1,IF('Growth (no penalty)'!AF317&gt;0,4,0))</f>
        <v>4</v>
      </c>
      <c r="AH230" s="22">
        <f>IF('Growth (no penalty)'!AG214&gt;0,1,IF('Growth (no penalty)'!AG317&gt;0,4,0))</f>
        <v>4</v>
      </c>
      <c r="AI230" s="22">
        <f>IF('Growth (no penalty)'!AH214&gt;0,1,IF('Growth (no penalty)'!AH317&gt;0,4,0))</f>
        <v>4</v>
      </c>
      <c r="AJ230" s="22">
        <f>IF('Growth (no penalty)'!AI214&gt;0,1,IF('Growth (no penalty)'!AI317&gt;0,4,0))</f>
        <v>4</v>
      </c>
      <c r="AK230" s="22">
        <f>IF('Growth (no penalty)'!AJ214&gt;0,1,IF('Growth (no penalty)'!AJ317&gt;0,4,0))</f>
        <v>4</v>
      </c>
      <c r="AL230" s="22">
        <f>IF('Growth (no penalty)'!AK214&gt;0,1,IF('Growth (no penalty)'!AK317&gt;0,4,0))</f>
        <v>4</v>
      </c>
      <c r="AM230" s="22">
        <f>IF('Growth (no penalty)'!AL214&gt;0,1,IF('Growth (no penalty)'!AL317&gt;0,4,0))</f>
        <v>4</v>
      </c>
      <c r="AN230" s="22">
        <f>IF('Growth (no penalty)'!AM214&gt;0,1,IF('Growth (no penalty)'!AM317&gt;0,4,0))</f>
        <v>4</v>
      </c>
      <c r="AO230" s="22">
        <f>IF('Growth (no penalty)'!AN214&gt;0,1,IF('Growth (no penalty)'!AN317&gt;0,4,0))</f>
        <v>4</v>
      </c>
      <c r="AP230" s="22">
        <f>IF('Growth (no penalty)'!AO214&gt;0,1,IF('Growth (no penalty)'!AO317&gt;0,4,0))</f>
        <v>4</v>
      </c>
      <c r="AQ230" s="22">
        <f>IF('Growth (no penalty)'!AP214&gt;0,1,IF('Growth (no penalty)'!AP317&gt;0,4,0))</f>
        <v>4</v>
      </c>
      <c r="AR230" s="22">
        <f>IF('Growth (no penalty)'!AQ214&gt;0,1,IF('Growth (no penalty)'!AQ317&gt;0,4,0))</f>
        <v>4</v>
      </c>
      <c r="AS230" s="22">
        <f>IF('Growth (no penalty)'!AR214&gt;0,1,IF('Growth (no penalty)'!AR317&gt;0,4,0))</f>
        <v>4</v>
      </c>
      <c r="AT230" s="22">
        <f>IF('Growth (no penalty)'!AS214&gt;0,1,IF('Growth (no penalty)'!AS317&gt;0,4,0))</f>
        <v>4</v>
      </c>
      <c r="AU230" s="22">
        <f>IF('Growth (no penalty)'!AT214&gt;0,1,IF('Growth (no penalty)'!AT317&gt;0,4,0))</f>
        <v>4</v>
      </c>
      <c r="AV230" s="22">
        <f>IF('Growth (no penalty)'!AU214&gt;0,1,IF('Growth (no penalty)'!AU317&gt;0,4,0))</f>
        <v>4</v>
      </c>
      <c r="AW230" s="22">
        <f>IF('Growth (no penalty)'!AV214&gt;0,1,IF('Growth (no penalty)'!AV317&gt;0,4,0))</f>
        <v>4</v>
      </c>
      <c r="AX230" s="22">
        <f>IF('Growth (no penalty)'!AW214&gt;0,1,IF('Growth (no penalty)'!AW317&gt;0,4,0))</f>
        <v>4</v>
      </c>
      <c r="AY230" s="22">
        <f>IF('Growth (no penalty)'!AX214&gt;0,1,IF('Growth (no penalty)'!AX317&gt;0,4,0))</f>
        <v>4</v>
      </c>
      <c r="AZ230" s="22">
        <f>IF('Growth (no penalty)'!AY214&gt;0,1,IF('Growth (no penalty)'!AY317&gt;0,4,0))</f>
        <v>4</v>
      </c>
      <c r="BA230" s="22">
        <f>IF('Growth (no penalty)'!AZ214&gt;0,1,IF('Growth (no penalty)'!AZ317&gt;0,4,0))</f>
        <v>4</v>
      </c>
      <c r="BB230" s="22">
        <f>IF('Growth (no penalty)'!BA214&gt;0,1,IF('Growth (no penalty)'!BA317&gt;0,4,0))</f>
        <v>4</v>
      </c>
      <c r="BC230" s="22">
        <f>IF('Growth (no penalty)'!BB214&gt;0,1,IF('Growth (no penalty)'!BB317&gt;0,4,0))</f>
        <v>4</v>
      </c>
      <c r="BD230" s="22">
        <f>IF('Growth (no penalty)'!BC214&gt;0,1,IF('Growth (no penalty)'!BC317&gt;0,4,0))</f>
        <v>4</v>
      </c>
      <c r="BE230" s="22">
        <f>IF('Growth (no penalty)'!BD214&gt;0,1,IF('Growth (no penalty)'!BD317&gt;0,4,0))</f>
        <v>4</v>
      </c>
      <c r="BF230" s="22">
        <f>IF('Growth (no penalty)'!BE214&gt;0,1,IF('Growth (no penalty)'!BE317&gt;0,4,0))</f>
        <v>4</v>
      </c>
      <c r="BG230" s="22">
        <f>IF('Growth (no penalty)'!BF214&gt;0,1,IF('Growth (no penalty)'!BF317&gt;0,4,0))</f>
        <v>4</v>
      </c>
      <c r="BH230" s="22">
        <f>IF('Growth (no penalty)'!BG214&gt;0,1,IF('Growth (no penalty)'!BG317&gt;0,4,0))</f>
        <v>4</v>
      </c>
      <c r="BI230" s="22">
        <f>IF('Growth (no penalty)'!BH214&gt;0,1,IF('Growth (no penalty)'!BH317&gt;0,4,0))</f>
        <v>4</v>
      </c>
      <c r="BJ230" s="22">
        <f>IF('Growth (no penalty)'!BI214&gt;0,1,IF('Growth (no penalty)'!BI317&gt;0,4,0))</f>
        <v>4</v>
      </c>
      <c r="BK230" s="23">
        <f>IF('Growth (no penalty)'!BJ214&gt;0,1,IF('Growth (no penalty)'!BJ317&gt;0,4,0))</f>
        <v>4</v>
      </c>
    </row>
    <row r="231" spans="1:63" x14ac:dyDescent="0.3">
      <c r="A231" s="4" t="str">
        <f>'Growth profile'!A88</f>
        <v>project 135</v>
      </c>
      <c r="B231" s="13" t="s">
        <v>3</v>
      </c>
      <c r="C231" s="19">
        <f>'Raw profile'!I88</f>
        <v>2039</v>
      </c>
      <c r="D231" s="20">
        <f>IF('Raw profile'!C196&gt;0,1,IF('Raw profile'!C299&gt;0,2,0))</f>
        <v>0</v>
      </c>
      <c r="E231" s="20">
        <f>IF('Raw profile'!D196&gt;0,1,IF('Raw profile'!D299&gt;0,2,0))</f>
        <v>0</v>
      </c>
      <c r="F231" s="20">
        <f>IF('Raw profile'!E196&gt;0,1,IF('Raw profile'!E299&gt;0,2,0))</f>
        <v>0</v>
      </c>
      <c r="G231" s="20">
        <f>IF('Raw profile'!F196&gt;0,1,IF('Raw profile'!F299&gt;0,2,0))</f>
        <v>0</v>
      </c>
      <c r="H231" s="20">
        <f>IF('Raw profile'!G196&gt;0,1,IF('Raw profile'!G299&gt;0,2,0))</f>
        <v>0</v>
      </c>
      <c r="I231" s="20">
        <f>IF('Raw profile'!H196&gt;0,1,IF('Raw profile'!H299&gt;0,2,0))</f>
        <v>0</v>
      </c>
      <c r="J231" s="20">
        <f>IF('Raw profile'!I196&gt;0,1,IF('Raw profile'!I299&gt;0,2,0))</f>
        <v>0</v>
      </c>
      <c r="K231" s="20">
        <f>IF('Raw profile'!J196&gt;0,1,IF('Raw profile'!J299&gt;0,2,0))</f>
        <v>0</v>
      </c>
      <c r="L231" s="20">
        <f>IF('Raw profile'!K196&gt;0,1,IF('Raw profile'!K299&gt;0,2,0))</f>
        <v>0</v>
      </c>
      <c r="M231" s="20">
        <f>IF('Raw profile'!L196&gt;0,1,IF('Raw profile'!L299&gt;0,2,0))</f>
        <v>0</v>
      </c>
      <c r="N231" s="20">
        <f>IF('Raw profile'!M196&gt;0,1,IF('Raw profile'!M299&gt;0,2,0))</f>
        <v>0</v>
      </c>
      <c r="O231" s="20">
        <f>IF('Raw profile'!N196&gt;0,1,IF('Raw profile'!N299&gt;0,2,0))</f>
        <v>0</v>
      </c>
      <c r="P231" s="20">
        <f>IF('Raw profile'!O196&gt;0,1,IF('Raw profile'!O299&gt;0,2,0))</f>
        <v>0</v>
      </c>
      <c r="Q231" s="20">
        <f>IF('Raw profile'!P196&gt;0,1,IF('Raw profile'!P299&gt;0,2,0))</f>
        <v>1</v>
      </c>
      <c r="R231" s="20">
        <f>IF('Raw profile'!Q196&gt;0,1,IF('Raw profile'!Q299&gt;0,2,0))</f>
        <v>1</v>
      </c>
      <c r="S231" s="20">
        <f>IF('Raw profile'!R196&gt;0,1,IF('Raw profile'!R299&gt;0,2,0))</f>
        <v>1</v>
      </c>
      <c r="T231" s="20">
        <f>IF('Raw profile'!S196&gt;0,1,IF('Raw profile'!S299&gt;0,2,0))</f>
        <v>1</v>
      </c>
      <c r="U231" s="20">
        <f>IF('Raw profile'!T196&gt;0,1,IF('Raw profile'!T299&gt;0,2,0))</f>
        <v>1</v>
      </c>
      <c r="V231" s="20">
        <f>IF('Raw profile'!U196&gt;0,1,IF('Raw profile'!U299&gt;0,2,0))</f>
        <v>1</v>
      </c>
      <c r="W231" s="20">
        <f>IF('Raw profile'!V196&gt;0,1,IF('Raw profile'!V299&gt;0,2,0))</f>
        <v>2</v>
      </c>
      <c r="X231" s="20">
        <f>IF('Raw profile'!W196&gt;0,1,IF('Raw profile'!W299&gt;0,2,0))</f>
        <v>2</v>
      </c>
      <c r="Y231" s="20">
        <f>IF('Raw profile'!X196&gt;0,1,IF('Raw profile'!X299&gt;0,2,0))</f>
        <v>2</v>
      </c>
      <c r="Z231" s="20">
        <f>IF('Raw profile'!Y196&gt;0,1,IF('Raw profile'!Y299&gt;0,2,0))</f>
        <v>2</v>
      </c>
      <c r="AA231" s="20">
        <f>IF('Raw profile'!Z196&gt;0,1,IF('Raw profile'!Z299&gt;0,2,0))</f>
        <v>2</v>
      </c>
      <c r="AB231" s="20">
        <f>IF('Raw profile'!AA196&gt;0,1,IF('Raw profile'!AA299&gt;0,2,0))</f>
        <v>2</v>
      </c>
      <c r="AC231" s="20">
        <f>IF('Raw profile'!AB196&gt;0,1,IF('Raw profile'!AB299&gt;0,2,0))</f>
        <v>2</v>
      </c>
      <c r="AD231" s="20">
        <f>IF('Raw profile'!AC196&gt;0,1,IF('Raw profile'!AC299&gt;0,2,0))</f>
        <v>2</v>
      </c>
      <c r="AE231" s="20">
        <f>IF('Raw profile'!AD196&gt;0,1,IF('Raw profile'!AD299&gt;0,2,0))</f>
        <v>2</v>
      </c>
      <c r="AF231" s="20">
        <f>IF('Raw profile'!AE196&gt;0,1,IF('Raw profile'!AE299&gt;0,2,0))</f>
        <v>2</v>
      </c>
      <c r="AG231" s="20">
        <f>IF('Raw profile'!AF196&gt;0,1,IF('Raw profile'!AF299&gt;0,2,0))</f>
        <v>2</v>
      </c>
      <c r="AH231" s="20">
        <f>IF('Raw profile'!AG196&gt;0,1,IF('Raw profile'!AG299&gt;0,2,0))</f>
        <v>2</v>
      </c>
      <c r="AI231" s="20">
        <f>IF('Raw profile'!AH196&gt;0,1,IF('Raw profile'!AH299&gt;0,2,0))</f>
        <v>2</v>
      </c>
      <c r="AJ231" s="20">
        <f>IF('Raw profile'!AI196&gt;0,1,IF('Raw profile'!AI299&gt;0,2,0))</f>
        <v>2</v>
      </c>
      <c r="AK231" s="20">
        <f>IF('Raw profile'!AJ196&gt;0,1,IF('Raw profile'!AJ299&gt;0,2,0))</f>
        <v>2</v>
      </c>
      <c r="AL231" s="20">
        <f>IF('Raw profile'!AK196&gt;0,1,IF('Raw profile'!AK299&gt;0,2,0))</f>
        <v>2</v>
      </c>
      <c r="AM231" s="20">
        <f>IF('Raw profile'!AL196&gt;0,1,IF('Raw profile'!AL299&gt;0,2,0))</f>
        <v>2</v>
      </c>
      <c r="AN231" s="20">
        <f>IF('Raw profile'!AM196&gt;0,1,IF('Raw profile'!AM299&gt;0,2,0))</f>
        <v>2</v>
      </c>
      <c r="AO231" s="20">
        <f>IF('Raw profile'!AN196&gt;0,1,IF('Raw profile'!AN299&gt;0,2,0))</f>
        <v>2</v>
      </c>
      <c r="AP231" s="20">
        <f>IF('Raw profile'!AO196&gt;0,1,IF('Raw profile'!AO299&gt;0,2,0))</f>
        <v>2</v>
      </c>
      <c r="AQ231" s="20">
        <f>IF('Raw profile'!AP196&gt;0,1,IF('Raw profile'!AP299&gt;0,2,0))</f>
        <v>2</v>
      </c>
      <c r="AR231" s="20">
        <f>IF('Raw profile'!AQ196&gt;0,1,IF('Raw profile'!AQ299&gt;0,2,0))</f>
        <v>2</v>
      </c>
      <c r="AS231" s="20">
        <f>IF('Raw profile'!AR196&gt;0,1,IF('Raw profile'!AR299&gt;0,2,0))</f>
        <v>2</v>
      </c>
      <c r="AT231" s="20">
        <f>IF('Raw profile'!AS196&gt;0,1,IF('Raw profile'!AS299&gt;0,2,0))</f>
        <v>2</v>
      </c>
      <c r="AU231" s="20">
        <f>IF('Raw profile'!AT196&gt;0,1,IF('Raw profile'!AT299&gt;0,2,0))</f>
        <v>2</v>
      </c>
      <c r="AV231" s="20">
        <f>IF('Raw profile'!AU196&gt;0,1,IF('Raw profile'!AU299&gt;0,2,0))</f>
        <v>2</v>
      </c>
      <c r="AW231" s="20">
        <f>IF('Raw profile'!AV196&gt;0,1,IF('Raw profile'!AV299&gt;0,2,0))</f>
        <v>2</v>
      </c>
      <c r="AX231" s="20">
        <f>IF('Raw profile'!AW196&gt;0,1,IF('Raw profile'!AW299&gt;0,2,0))</f>
        <v>2</v>
      </c>
      <c r="AY231" s="20">
        <f>IF('Raw profile'!AX196&gt;0,1,IF('Raw profile'!AX299&gt;0,2,0))</f>
        <v>2</v>
      </c>
      <c r="AZ231" s="20">
        <f>IF('Raw profile'!AY196&gt;0,1,IF('Raw profile'!AY299&gt;0,2,0))</f>
        <v>2</v>
      </c>
      <c r="BA231" s="20">
        <f>IF('Raw profile'!AZ196&gt;0,1,IF('Raw profile'!AZ299&gt;0,2,0))</f>
        <v>2</v>
      </c>
      <c r="BB231" s="20">
        <f>IF('Raw profile'!BA196&gt;0,1,IF('Raw profile'!BA299&gt;0,2,0))</f>
        <v>2</v>
      </c>
      <c r="BC231" s="20">
        <f>IF('Raw profile'!BB196&gt;0,1,IF('Raw profile'!BB299&gt;0,2,0))</f>
        <v>2</v>
      </c>
      <c r="BD231" s="20">
        <f>IF('Raw profile'!BC196&gt;0,1,IF('Raw profile'!BC299&gt;0,2,0))</f>
        <v>2</v>
      </c>
      <c r="BE231" s="20">
        <f>IF('Raw profile'!BD196&gt;0,1,IF('Raw profile'!BD299&gt;0,2,0))</f>
        <v>2</v>
      </c>
      <c r="BF231" s="20">
        <f>IF('Raw profile'!BE196&gt;0,1,IF('Raw profile'!BE299&gt;0,2,0))</f>
        <v>2</v>
      </c>
      <c r="BG231" s="20">
        <f>IF('Raw profile'!BF196&gt;0,1,IF('Raw profile'!BF299&gt;0,2,0))</f>
        <v>2</v>
      </c>
      <c r="BH231" s="20">
        <f>IF('Raw profile'!BG196&gt;0,1,IF('Raw profile'!BG299&gt;0,2,0))</f>
        <v>2</v>
      </c>
      <c r="BI231" s="20">
        <f>IF('Raw profile'!BH196&gt;0,1,IF('Raw profile'!BH299&gt;0,2,0))</f>
        <v>2</v>
      </c>
      <c r="BJ231" s="20">
        <f>IF('Raw profile'!BI196&gt;0,1,IF('Raw profile'!BI299&gt;0,2,0))</f>
        <v>2</v>
      </c>
      <c r="BK231" s="21">
        <f>IF('Raw profile'!BJ196&gt;0,1,IF('Raw profile'!BJ299&gt;0,2,0))</f>
        <v>0</v>
      </c>
    </row>
    <row r="232" spans="1:63" x14ac:dyDescent="0.3">
      <c r="B232" s="13" t="s">
        <v>4</v>
      </c>
      <c r="C232" s="19">
        <f>'Growth profile'!I88</f>
        <v>2034</v>
      </c>
      <c r="D232" s="20">
        <f>IF('Growth profile'!C196&gt;0,1,IF('Growth profile'!C299&gt;0,3,0))</f>
        <v>0</v>
      </c>
      <c r="E232" s="20">
        <f>IF('Growth profile'!D196&gt;0,1,IF('Growth profile'!D299&gt;0,3,0))</f>
        <v>0</v>
      </c>
      <c r="F232" s="20">
        <f>IF('Growth profile'!E196&gt;0,1,IF('Growth profile'!E299&gt;0,3,0))</f>
        <v>0</v>
      </c>
      <c r="G232" s="20">
        <f>IF('Growth profile'!F196&gt;0,1,IF('Growth profile'!F299&gt;0,3,0))</f>
        <v>0</v>
      </c>
      <c r="H232" s="20">
        <f>IF('Growth profile'!G196&gt;0,1,IF('Growth profile'!G299&gt;0,3,0))</f>
        <v>0</v>
      </c>
      <c r="I232" s="20">
        <f>IF('Growth profile'!H196&gt;0,1,IF('Growth profile'!H299&gt;0,3,0))</f>
        <v>0</v>
      </c>
      <c r="J232" s="20">
        <f>IF('Growth profile'!I196&gt;0,1,IF('Growth profile'!I299&gt;0,3,0))</f>
        <v>0</v>
      </c>
      <c r="K232" s="20">
        <f>IF('Growth profile'!J196&gt;0,1,IF('Growth profile'!J299&gt;0,3,0))</f>
        <v>0</v>
      </c>
      <c r="L232" s="20">
        <f>IF('Growth profile'!K196&gt;0,1,IF('Growth profile'!K299&gt;0,3,0))</f>
        <v>1</v>
      </c>
      <c r="M232" s="20">
        <f>IF('Growth profile'!L196&gt;0,1,IF('Growth profile'!L299&gt;0,3,0))</f>
        <v>1</v>
      </c>
      <c r="N232" s="20">
        <f>IF('Growth profile'!M196&gt;0,1,IF('Growth profile'!M299&gt;0,3,0))</f>
        <v>1</v>
      </c>
      <c r="O232" s="20">
        <f>IF('Growth profile'!N196&gt;0,1,IF('Growth profile'!N299&gt;0,3,0))</f>
        <v>1</v>
      </c>
      <c r="P232" s="20">
        <f>IF('Growth profile'!O196&gt;0,1,IF('Growth profile'!O299&gt;0,3,0))</f>
        <v>1</v>
      </c>
      <c r="Q232" s="20">
        <f>IF('Growth profile'!P196&gt;0,1,IF('Growth profile'!P299&gt;0,3,0))</f>
        <v>1</v>
      </c>
      <c r="R232" s="20">
        <f>IF('Growth profile'!Q196&gt;0,1,IF('Growth profile'!Q299&gt;0,3,0))</f>
        <v>3</v>
      </c>
      <c r="S232" s="20">
        <f>IF('Growth profile'!R196&gt;0,1,IF('Growth profile'!R299&gt;0,3,0))</f>
        <v>3</v>
      </c>
      <c r="T232" s="20">
        <f>IF('Growth profile'!S196&gt;0,1,IF('Growth profile'!S299&gt;0,3,0))</f>
        <v>3</v>
      </c>
      <c r="U232" s="20">
        <f>IF('Growth profile'!T196&gt;0,1,IF('Growth profile'!T299&gt;0,3,0))</f>
        <v>3</v>
      </c>
      <c r="V232" s="20">
        <f>IF('Growth profile'!U196&gt;0,1,IF('Growth profile'!U299&gt;0,3,0))</f>
        <v>3</v>
      </c>
      <c r="W232" s="20">
        <f>IF('Growth profile'!V196&gt;0,1,IF('Growth profile'!V299&gt;0,3,0))</f>
        <v>3</v>
      </c>
      <c r="X232" s="20">
        <f>IF('Growth profile'!W196&gt;0,1,IF('Growth profile'!W299&gt;0,3,0))</f>
        <v>3</v>
      </c>
      <c r="Y232" s="20">
        <f>IF('Growth profile'!X196&gt;0,1,IF('Growth profile'!X299&gt;0,3,0))</f>
        <v>3</v>
      </c>
      <c r="Z232" s="20">
        <f>IF('Growth profile'!Y196&gt;0,1,IF('Growth profile'!Y299&gt;0,3,0))</f>
        <v>3</v>
      </c>
      <c r="AA232" s="20">
        <f>IF('Growth profile'!Z196&gt;0,1,IF('Growth profile'!Z299&gt;0,3,0))</f>
        <v>3</v>
      </c>
      <c r="AB232" s="20">
        <f>IF('Growth profile'!AA196&gt;0,1,IF('Growth profile'!AA299&gt;0,3,0))</f>
        <v>3</v>
      </c>
      <c r="AC232" s="20">
        <f>IF('Growth profile'!AB196&gt;0,1,IF('Growth profile'!AB299&gt;0,3,0))</f>
        <v>3</v>
      </c>
      <c r="AD232" s="20">
        <f>IF('Growth profile'!AC196&gt;0,1,IF('Growth profile'!AC299&gt;0,3,0))</f>
        <v>3</v>
      </c>
      <c r="AE232" s="20">
        <f>IF('Growth profile'!AD196&gt;0,1,IF('Growth profile'!AD299&gt;0,3,0))</f>
        <v>3</v>
      </c>
      <c r="AF232" s="20">
        <f>IF('Growth profile'!AE196&gt;0,1,IF('Growth profile'!AE299&gt;0,3,0))</f>
        <v>3</v>
      </c>
      <c r="AG232" s="20">
        <f>IF('Growth profile'!AF196&gt;0,1,IF('Growth profile'!AF299&gt;0,3,0))</f>
        <v>3</v>
      </c>
      <c r="AH232" s="20">
        <f>IF('Growth profile'!AG196&gt;0,1,IF('Growth profile'!AG299&gt;0,3,0))</f>
        <v>3</v>
      </c>
      <c r="AI232" s="20">
        <f>IF('Growth profile'!AH196&gt;0,1,IF('Growth profile'!AH299&gt;0,3,0))</f>
        <v>3</v>
      </c>
      <c r="AJ232" s="20">
        <f>IF('Growth profile'!AI196&gt;0,1,IF('Growth profile'!AI299&gt;0,3,0))</f>
        <v>3</v>
      </c>
      <c r="AK232" s="20">
        <f>IF('Growth profile'!AJ196&gt;0,1,IF('Growth profile'!AJ299&gt;0,3,0))</f>
        <v>3</v>
      </c>
      <c r="AL232" s="20">
        <f>IF('Growth profile'!AK196&gt;0,1,IF('Growth profile'!AK299&gt;0,3,0))</f>
        <v>3</v>
      </c>
      <c r="AM232" s="20">
        <f>IF('Growth profile'!AL196&gt;0,1,IF('Growth profile'!AL299&gt;0,3,0))</f>
        <v>3</v>
      </c>
      <c r="AN232" s="20">
        <f>IF('Growth profile'!AM196&gt;0,1,IF('Growth profile'!AM299&gt;0,3,0))</f>
        <v>3</v>
      </c>
      <c r="AO232" s="20">
        <f>IF('Growth profile'!AN196&gt;0,1,IF('Growth profile'!AN299&gt;0,3,0))</f>
        <v>3</v>
      </c>
      <c r="AP232" s="20">
        <f>IF('Growth profile'!AO196&gt;0,1,IF('Growth profile'!AO299&gt;0,3,0))</f>
        <v>3</v>
      </c>
      <c r="AQ232" s="20">
        <f>IF('Growth profile'!AP196&gt;0,1,IF('Growth profile'!AP299&gt;0,3,0))</f>
        <v>3</v>
      </c>
      <c r="AR232" s="20">
        <f>IF('Growth profile'!AQ196&gt;0,1,IF('Growth profile'!AQ299&gt;0,3,0))</f>
        <v>3</v>
      </c>
      <c r="AS232" s="20">
        <f>IF('Growth profile'!AR196&gt;0,1,IF('Growth profile'!AR299&gt;0,3,0))</f>
        <v>3</v>
      </c>
      <c r="AT232" s="20">
        <f>IF('Growth profile'!AS196&gt;0,1,IF('Growth profile'!AS299&gt;0,3,0))</f>
        <v>3</v>
      </c>
      <c r="AU232" s="20">
        <f>IF('Growth profile'!AT196&gt;0,1,IF('Growth profile'!AT299&gt;0,3,0))</f>
        <v>3</v>
      </c>
      <c r="AV232" s="20">
        <f>IF('Growth profile'!AU196&gt;0,1,IF('Growth profile'!AU299&gt;0,3,0))</f>
        <v>3</v>
      </c>
      <c r="AW232" s="20">
        <f>IF('Growth profile'!AV196&gt;0,1,IF('Growth profile'!AV299&gt;0,3,0))</f>
        <v>3</v>
      </c>
      <c r="AX232" s="20">
        <f>IF('Growth profile'!AW196&gt;0,1,IF('Growth profile'!AW299&gt;0,3,0))</f>
        <v>3</v>
      </c>
      <c r="AY232" s="20">
        <f>IF('Growth profile'!AX196&gt;0,1,IF('Growth profile'!AX299&gt;0,3,0))</f>
        <v>3</v>
      </c>
      <c r="AZ232" s="20">
        <f>IF('Growth profile'!AY196&gt;0,1,IF('Growth profile'!AY299&gt;0,3,0))</f>
        <v>3</v>
      </c>
      <c r="BA232" s="20">
        <f>IF('Growth profile'!AZ196&gt;0,1,IF('Growth profile'!AZ299&gt;0,3,0))</f>
        <v>3</v>
      </c>
      <c r="BB232" s="20">
        <f>IF('Growth profile'!BA196&gt;0,1,IF('Growth profile'!BA299&gt;0,3,0))</f>
        <v>3</v>
      </c>
      <c r="BC232" s="20">
        <f>IF('Growth profile'!BB196&gt;0,1,IF('Growth profile'!BB299&gt;0,3,0))</f>
        <v>3</v>
      </c>
      <c r="BD232" s="20">
        <f>IF('Growth profile'!BC196&gt;0,1,IF('Growth profile'!BC299&gt;0,3,0))</f>
        <v>3</v>
      </c>
      <c r="BE232" s="20">
        <f>IF('Growth profile'!BD196&gt;0,1,IF('Growth profile'!BD299&gt;0,3,0))</f>
        <v>3</v>
      </c>
      <c r="BF232" s="20">
        <f>IF('Growth profile'!BE196&gt;0,1,IF('Growth profile'!BE299&gt;0,3,0))</f>
        <v>0</v>
      </c>
      <c r="BG232" s="20">
        <f>IF('Growth profile'!BF196&gt;0,1,IF('Growth profile'!BF299&gt;0,3,0))</f>
        <v>0</v>
      </c>
      <c r="BH232" s="20">
        <f>IF('Growth profile'!BG196&gt;0,1,IF('Growth profile'!BG299&gt;0,3,0))</f>
        <v>0</v>
      </c>
      <c r="BI232" s="20">
        <f>IF('Growth profile'!BH196&gt;0,1,IF('Growth profile'!BH299&gt;0,3,0))</f>
        <v>0</v>
      </c>
      <c r="BJ232" s="20">
        <f>IF('Growth profile'!BI196&gt;0,1,IF('Growth profile'!BI299&gt;0,3,0))</f>
        <v>0</v>
      </c>
      <c r="BK232" s="21">
        <f>IF('Growth profile'!BJ196&gt;0,1,IF('Growth profile'!BJ299&gt;0,3,0))</f>
        <v>0</v>
      </c>
    </row>
    <row r="233" spans="1:63" x14ac:dyDescent="0.3">
      <c r="B233" s="13" t="s">
        <v>59</v>
      </c>
      <c r="C233" s="19">
        <f>'Growth (no penalty)'!I88</f>
        <v>2040</v>
      </c>
      <c r="D233" s="22">
        <f>IF('Growth (no penalty)'!C196&gt;0,1,IF('Growth (no penalty)'!C299&gt;0,4,0))</f>
        <v>0</v>
      </c>
      <c r="E233" s="22">
        <f>IF('Growth (no penalty)'!D196&gt;0,1,IF('Growth (no penalty)'!D299&gt;0,4,0))</f>
        <v>0</v>
      </c>
      <c r="F233" s="22">
        <f>IF('Growth (no penalty)'!E196&gt;0,1,IF('Growth (no penalty)'!E299&gt;0,4,0))</f>
        <v>0</v>
      </c>
      <c r="G233" s="22">
        <f>IF('Growth (no penalty)'!F196&gt;0,1,IF('Growth (no penalty)'!F299&gt;0,4,0))</f>
        <v>0</v>
      </c>
      <c r="H233" s="22">
        <f>IF('Growth (no penalty)'!G196&gt;0,1,IF('Growth (no penalty)'!G299&gt;0,4,0))</f>
        <v>0</v>
      </c>
      <c r="I233" s="22">
        <f>IF('Growth (no penalty)'!H196&gt;0,1,IF('Growth (no penalty)'!H299&gt;0,4,0))</f>
        <v>0</v>
      </c>
      <c r="J233" s="22">
        <f>IF('Growth (no penalty)'!I196&gt;0,1,IF('Growth (no penalty)'!I299&gt;0,4,0))</f>
        <v>0</v>
      </c>
      <c r="K233" s="22">
        <f>IF('Growth (no penalty)'!J196&gt;0,1,IF('Growth (no penalty)'!J299&gt;0,4,0))</f>
        <v>0</v>
      </c>
      <c r="L233" s="22">
        <f>IF('Growth (no penalty)'!K196&gt;0,1,IF('Growth (no penalty)'!K299&gt;0,4,0))</f>
        <v>0</v>
      </c>
      <c r="M233" s="22">
        <f>IF('Growth (no penalty)'!L196&gt;0,1,IF('Growth (no penalty)'!L299&gt;0,4,0))</f>
        <v>0</v>
      </c>
      <c r="N233" s="22">
        <f>IF('Growth (no penalty)'!M196&gt;0,1,IF('Growth (no penalty)'!M299&gt;0,4,0))</f>
        <v>0</v>
      </c>
      <c r="O233" s="22">
        <f>IF('Growth (no penalty)'!N196&gt;0,1,IF('Growth (no penalty)'!N299&gt;0,4,0))</f>
        <v>0</v>
      </c>
      <c r="P233" s="22">
        <f>IF('Growth (no penalty)'!O196&gt;0,1,IF('Growth (no penalty)'!O299&gt;0,4,0))</f>
        <v>0</v>
      </c>
      <c r="Q233" s="22">
        <f>IF('Growth (no penalty)'!P196&gt;0,1,IF('Growth (no penalty)'!P299&gt;0,4,0))</f>
        <v>0</v>
      </c>
      <c r="R233" s="22">
        <f>IF('Growth (no penalty)'!Q196&gt;0,1,IF('Growth (no penalty)'!Q299&gt;0,4,0))</f>
        <v>1</v>
      </c>
      <c r="S233" s="22">
        <f>IF('Growth (no penalty)'!R196&gt;0,1,IF('Growth (no penalty)'!R299&gt;0,4,0))</f>
        <v>1</v>
      </c>
      <c r="T233" s="22">
        <f>IF('Growth (no penalty)'!S196&gt;0,1,IF('Growth (no penalty)'!S299&gt;0,4,0))</f>
        <v>1</v>
      </c>
      <c r="U233" s="22">
        <f>IF('Growth (no penalty)'!T196&gt;0,1,IF('Growth (no penalty)'!T299&gt;0,4,0))</f>
        <v>1</v>
      </c>
      <c r="V233" s="22">
        <f>IF('Growth (no penalty)'!U196&gt;0,1,IF('Growth (no penalty)'!U299&gt;0,4,0))</f>
        <v>1</v>
      </c>
      <c r="W233" s="22">
        <f>IF('Growth (no penalty)'!V196&gt;0,1,IF('Growth (no penalty)'!V299&gt;0,4,0))</f>
        <v>1</v>
      </c>
      <c r="X233" s="22">
        <f>IF('Growth (no penalty)'!W196&gt;0,1,IF('Growth (no penalty)'!W299&gt;0,4,0))</f>
        <v>4</v>
      </c>
      <c r="Y233" s="22">
        <f>IF('Growth (no penalty)'!X196&gt;0,1,IF('Growth (no penalty)'!X299&gt;0,4,0))</f>
        <v>4</v>
      </c>
      <c r="Z233" s="22">
        <f>IF('Growth (no penalty)'!Y196&gt;0,1,IF('Growth (no penalty)'!Y299&gt;0,4,0))</f>
        <v>4</v>
      </c>
      <c r="AA233" s="22">
        <f>IF('Growth (no penalty)'!Z196&gt;0,1,IF('Growth (no penalty)'!Z299&gt;0,4,0))</f>
        <v>4</v>
      </c>
      <c r="AB233" s="22">
        <f>IF('Growth (no penalty)'!AA196&gt;0,1,IF('Growth (no penalty)'!AA299&gt;0,4,0))</f>
        <v>4</v>
      </c>
      <c r="AC233" s="22">
        <f>IF('Growth (no penalty)'!AB196&gt;0,1,IF('Growth (no penalty)'!AB299&gt;0,4,0))</f>
        <v>4</v>
      </c>
      <c r="AD233" s="22">
        <f>IF('Growth (no penalty)'!AC196&gt;0,1,IF('Growth (no penalty)'!AC299&gt;0,4,0))</f>
        <v>4</v>
      </c>
      <c r="AE233" s="22">
        <f>IF('Growth (no penalty)'!AD196&gt;0,1,IF('Growth (no penalty)'!AD299&gt;0,4,0))</f>
        <v>4</v>
      </c>
      <c r="AF233" s="22">
        <f>IF('Growth (no penalty)'!AE196&gt;0,1,IF('Growth (no penalty)'!AE299&gt;0,4,0))</f>
        <v>4</v>
      </c>
      <c r="AG233" s="22">
        <f>IF('Growth (no penalty)'!AF196&gt;0,1,IF('Growth (no penalty)'!AF299&gt;0,4,0))</f>
        <v>4</v>
      </c>
      <c r="AH233" s="22">
        <f>IF('Growth (no penalty)'!AG196&gt;0,1,IF('Growth (no penalty)'!AG299&gt;0,4,0))</f>
        <v>4</v>
      </c>
      <c r="AI233" s="22">
        <f>IF('Growth (no penalty)'!AH196&gt;0,1,IF('Growth (no penalty)'!AH299&gt;0,4,0))</f>
        <v>4</v>
      </c>
      <c r="AJ233" s="22">
        <f>IF('Growth (no penalty)'!AI196&gt;0,1,IF('Growth (no penalty)'!AI299&gt;0,4,0))</f>
        <v>4</v>
      </c>
      <c r="AK233" s="22">
        <f>IF('Growth (no penalty)'!AJ196&gt;0,1,IF('Growth (no penalty)'!AJ299&gt;0,4,0))</f>
        <v>4</v>
      </c>
      <c r="AL233" s="22">
        <f>IF('Growth (no penalty)'!AK196&gt;0,1,IF('Growth (no penalty)'!AK299&gt;0,4,0))</f>
        <v>4</v>
      </c>
      <c r="AM233" s="22">
        <f>IF('Growth (no penalty)'!AL196&gt;0,1,IF('Growth (no penalty)'!AL299&gt;0,4,0))</f>
        <v>4</v>
      </c>
      <c r="AN233" s="22">
        <f>IF('Growth (no penalty)'!AM196&gt;0,1,IF('Growth (no penalty)'!AM299&gt;0,4,0))</f>
        <v>4</v>
      </c>
      <c r="AO233" s="22">
        <f>IF('Growth (no penalty)'!AN196&gt;0,1,IF('Growth (no penalty)'!AN299&gt;0,4,0))</f>
        <v>4</v>
      </c>
      <c r="AP233" s="22">
        <f>IF('Growth (no penalty)'!AO196&gt;0,1,IF('Growth (no penalty)'!AO299&gt;0,4,0))</f>
        <v>4</v>
      </c>
      <c r="AQ233" s="22">
        <f>IF('Growth (no penalty)'!AP196&gt;0,1,IF('Growth (no penalty)'!AP299&gt;0,4,0))</f>
        <v>4</v>
      </c>
      <c r="AR233" s="22">
        <f>IF('Growth (no penalty)'!AQ196&gt;0,1,IF('Growth (no penalty)'!AQ299&gt;0,4,0))</f>
        <v>4</v>
      </c>
      <c r="AS233" s="22">
        <f>IF('Growth (no penalty)'!AR196&gt;0,1,IF('Growth (no penalty)'!AR299&gt;0,4,0))</f>
        <v>4</v>
      </c>
      <c r="AT233" s="22">
        <f>IF('Growth (no penalty)'!AS196&gt;0,1,IF('Growth (no penalty)'!AS299&gt;0,4,0))</f>
        <v>4</v>
      </c>
      <c r="AU233" s="22">
        <f>IF('Growth (no penalty)'!AT196&gt;0,1,IF('Growth (no penalty)'!AT299&gt;0,4,0))</f>
        <v>4</v>
      </c>
      <c r="AV233" s="22">
        <f>IF('Growth (no penalty)'!AU196&gt;0,1,IF('Growth (no penalty)'!AU299&gt;0,4,0))</f>
        <v>4</v>
      </c>
      <c r="AW233" s="22">
        <f>IF('Growth (no penalty)'!AV196&gt;0,1,IF('Growth (no penalty)'!AV299&gt;0,4,0))</f>
        <v>4</v>
      </c>
      <c r="AX233" s="22">
        <f>IF('Growth (no penalty)'!AW196&gt;0,1,IF('Growth (no penalty)'!AW299&gt;0,4,0))</f>
        <v>4</v>
      </c>
      <c r="AY233" s="22">
        <f>IF('Growth (no penalty)'!AX196&gt;0,1,IF('Growth (no penalty)'!AX299&gt;0,4,0))</f>
        <v>4</v>
      </c>
      <c r="AZ233" s="22">
        <f>IF('Growth (no penalty)'!AY196&gt;0,1,IF('Growth (no penalty)'!AY299&gt;0,4,0))</f>
        <v>4</v>
      </c>
      <c r="BA233" s="22">
        <f>IF('Growth (no penalty)'!AZ196&gt;0,1,IF('Growth (no penalty)'!AZ299&gt;0,4,0))</f>
        <v>4</v>
      </c>
      <c r="BB233" s="22">
        <f>IF('Growth (no penalty)'!BA196&gt;0,1,IF('Growth (no penalty)'!BA299&gt;0,4,0))</f>
        <v>4</v>
      </c>
      <c r="BC233" s="22">
        <f>IF('Growth (no penalty)'!BB196&gt;0,1,IF('Growth (no penalty)'!BB299&gt;0,4,0))</f>
        <v>4</v>
      </c>
      <c r="BD233" s="22">
        <f>IF('Growth (no penalty)'!BC196&gt;0,1,IF('Growth (no penalty)'!BC299&gt;0,4,0))</f>
        <v>4</v>
      </c>
      <c r="BE233" s="22">
        <f>IF('Growth (no penalty)'!BD196&gt;0,1,IF('Growth (no penalty)'!BD299&gt;0,4,0))</f>
        <v>4</v>
      </c>
      <c r="BF233" s="22">
        <f>IF('Growth (no penalty)'!BE196&gt;0,1,IF('Growth (no penalty)'!BE299&gt;0,4,0))</f>
        <v>4</v>
      </c>
      <c r="BG233" s="22">
        <f>IF('Growth (no penalty)'!BF196&gt;0,1,IF('Growth (no penalty)'!BF299&gt;0,4,0))</f>
        <v>4</v>
      </c>
      <c r="BH233" s="22">
        <f>IF('Growth (no penalty)'!BG196&gt;0,1,IF('Growth (no penalty)'!BG299&gt;0,4,0))</f>
        <v>4</v>
      </c>
      <c r="BI233" s="22">
        <f>IF('Growth (no penalty)'!BH196&gt;0,1,IF('Growth (no penalty)'!BH299&gt;0,4,0))</f>
        <v>4</v>
      </c>
      <c r="BJ233" s="22">
        <f>IF('Growth (no penalty)'!BI196&gt;0,1,IF('Growth (no penalty)'!BI299&gt;0,4,0))</f>
        <v>4</v>
      </c>
      <c r="BK233" s="23">
        <f>IF('Growth (no penalty)'!BJ196&gt;0,1,IF('Growth (no penalty)'!BJ299&gt;0,4,0))</f>
        <v>4</v>
      </c>
    </row>
    <row r="234" spans="1:63" x14ac:dyDescent="0.3">
      <c r="A234" s="4" t="str">
        <f>'Growth profile'!A109</f>
        <v>project 180</v>
      </c>
      <c r="B234" s="13" t="s">
        <v>3</v>
      </c>
      <c r="C234" s="19">
        <f>'Raw profile'!I109</f>
        <v>2040</v>
      </c>
      <c r="D234" s="20">
        <f>IF('Raw profile'!C217&gt;0,1,IF('Raw profile'!C320&gt;0,2,0))</f>
        <v>0</v>
      </c>
      <c r="E234" s="20">
        <f>IF('Raw profile'!D217&gt;0,1,IF('Raw profile'!D320&gt;0,2,0))</f>
        <v>0</v>
      </c>
      <c r="F234" s="20">
        <f>IF('Raw profile'!E217&gt;0,1,IF('Raw profile'!E320&gt;0,2,0))</f>
        <v>0</v>
      </c>
      <c r="G234" s="20">
        <f>IF('Raw profile'!F217&gt;0,1,IF('Raw profile'!F320&gt;0,2,0))</f>
        <v>0</v>
      </c>
      <c r="H234" s="20">
        <f>IF('Raw profile'!G217&gt;0,1,IF('Raw profile'!G320&gt;0,2,0))</f>
        <v>0</v>
      </c>
      <c r="I234" s="20">
        <f>IF('Raw profile'!H217&gt;0,1,IF('Raw profile'!H320&gt;0,2,0))</f>
        <v>0</v>
      </c>
      <c r="J234" s="20">
        <f>IF('Raw profile'!I217&gt;0,1,IF('Raw profile'!I320&gt;0,2,0))</f>
        <v>0</v>
      </c>
      <c r="K234" s="20">
        <f>IF('Raw profile'!J217&gt;0,1,IF('Raw profile'!J320&gt;0,2,0))</f>
        <v>0</v>
      </c>
      <c r="L234" s="20">
        <f>IF('Raw profile'!K217&gt;0,1,IF('Raw profile'!K320&gt;0,2,0))</f>
        <v>0</v>
      </c>
      <c r="M234" s="20">
        <f>IF('Raw profile'!L217&gt;0,1,IF('Raw profile'!L320&gt;0,2,0))</f>
        <v>0</v>
      </c>
      <c r="N234" s="20">
        <f>IF('Raw profile'!M217&gt;0,1,IF('Raw profile'!M320&gt;0,2,0))</f>
        <v>0</v>
      </c>
      <c r="O234" s="20">
        <f>IF('Raw profile'!N217&gt;0,1,IF('Raw profile'!N320&gt;0,2,0))</f>
        <v>0</v>
      </c>
      <c r="P234" s="20">
        <f>IF('Raw profile'!O217&gt;0,1,IF('Raw profile'!O320&gt;0,2,0))</f>
        <v>0</v>
      </c>
      <c r="Q234" s="20">
        <f>IF('Raw profile'!P217&gt;0,1,IF('Raw profile'!P320&gt;0,2,0))</f>
        <v>0</v>
      </c>
      <c r="R234" s="20">
        <f>IF('Raw profile'!Q217&gt;0,1,IF('Raw profile'!Q320&gt;0,2,0))</f>
        <v>1</v>
      </c>
      <c r="S234" s="20">
        <f>IF('Raw profile'!R217&gt;0,1,IF('Raw profile'!R320&gt;0,2,0))</f>
        <v>1</v>
      </c>
      <c r="T234" s="20">
        <f>IF('Raw profile'!S217&gt;0,1,IF('Raw profile'!S320&gt;0,2,0))</f>
        <v>2</v>
      </c>
      <c r="U234" s="20">
        <f>IF('Raw profile'!T217&gt;0,1,IF('Raw profile'!T320&gt;0,2,0))</f>
        <v>2</v>
      </c>
      <c r="V234" s="20">
        <f>IF('Raw profile'!U217&gt;0,1,IF('Raw profile'!U320&gt;0,2,0))</f>
        <v>2</v>
      </c>
      <c r="W234" s="20">
        <f>IF('Raw profile'!V217&gt;0,1,IF('Raw profile'!V320&gt;0,2,0))</f>
        <v>2</v>
      </c>
      <c r="X234" s="20">
        <f>IF('Raw profile'!W217&gt;0,1,IF('Raw profile'!W320&gt;0,2,0))</f>
        <v>2</v>
      </c>
      <c r="Y234" s="20">
        <f>IF('Raw profile'!X217&gt;0,1,IF('Raw profile'!X320&gt;0,2,0))</f>
        <v>2</v>
      </c>
      <c r="Z234" s="20">
        <f>IF('Raw profile'!Y217&gt;0,1,IF('Raw profile'!Y320&gt;0,2,0))</f>
        <v>2</v>
      </c>
      <c r="AA234" s="20">
        <f>IF('Raw profile'!Z217&gt;0,1,IF('Raw profile'!Z320&gt;0,2,0))</f>
        <v>2</v>
      </c>
      <c r="AB234" s="20">
        <f>IF('Raw profile'!AA217&gt;0,1,IF('Raw profile'!AA320&gt;0,2,0))</f>
        <v>2</v>
      </c>
      <c r="AC234" s="20">
        <f>IF('Raw profile'!AB217&gt;0,1,IF('Raw profile'!AB320&gt;0,2,0))</f>
        <v>2</v>
      </c>
      <c r="AD234" s="20">
        <f>IF('Raw profile'!AC217&gt;0,1,IF('Raw profile'!AC320&gt;0,2,0))</f>
        <v>2</v>
      </c>
      <c r="AE234" s="20">
        <f>IF('Raw profile'!AD217&gt;0,1,IF('Raw profile'!AD320&gt;0,2,0))</f>
        <v>2</v>
      </c>
      <c r="AF234" s="20">
        <f>IF('Raw profile'!AE217&gt;0,1,IF('Raw profile'!AE320&gt;0,2,0))</f>
        <v>2</v>
      </c>
      <c r="AG234" s="20">
        <f>IF('Raw profile'!AF217&gt;0,1,IF('Raw profile'!AF320&gt;0,2,0))</f>
        <v>2</v>
      </c>
      <c r="AH234" s="20">
        <f>IF('Raw profile'!AG217&gt;0,1,IF('Raw profile'!AG320&gt;0,2,0))</f>
        <v>2</v>
      </c>
      <c r="AI234" s="20">
        <f>IF('Raw profile'!AH217&gt;0,1,IF('Raw profile'!AH320&gt;0,2,0))</f>
        <v>2</v>
      </c>
      <c r="AJ234" s="20">
        <f>IF('Raw profile'!AI217&gt;0,1,IF('Raw profile'!AI320&gt;0,2,0))</f>
        <v>2</v>
      </c>
      <c r="AK234" s="20">
        <f>IF('Raw profile'!AJ217&gt;0,1,IF('Raw profile'!AJ320&gt;0,2,0))</f>
        <v>2</v>
      </c>
      <c r="AL234" s="20">
        <f>IF('Raw profile'!AK217&gt;0,1,IF('Raw profile'!AK320&gt;0,2,0))</f>
        <v>2</v>
      </c>
      <c r="AM234" s="20">
        <f>IF('Raw profile'!AL217&gt;0,1,IF('Raw profile'!AL320&gt;0,2,0))</f>
        <v>2</v>
      </c>
      <c r="AN234" s="20">
        <f>IF('Raw profile'!AM217&gt;0,1,IF('Raw profile'!AM320&gt;0,2,0))</f>
        <v>2</v>
      </c>
      <c r="AO234" s="20">
        <f>IF('Raw profile'!AN217&gt;0,1,IF('Raw profile'!AN320&gt;0,2,0))</f>
        <v>2</v>
      </c>
      <c r="AP234" s="20">
        <f>IF('Raw profile'!AO217&gt;0,1,IF('Raw profile'!AO320&gt;0,2,0))</f>
        <v>2</v>
      </c>
      <c r="AQ234" s="20">
        <f>IF('Raw profile'!AP217&gt;0,1,IF('Raw profile'!AP320&gt;0,2,0))</f>
        <v>2</v>
      </c>
      <c r="AR234" s="20">
        <f>IF('Raw profile'!AQ217&gt;0,1,IF('Raw profile'!AQ320&gt;0,2,0))</f>
        <v>2</v>
      </c>
      <c r="AS234" s="20">
        <f>IF('Raw profile'!AR217&gt;0,1,IF('Raw profile'!AR320&gt;0,2,0))</f>
        <v>2</v>
      </c>
      <c r="AT234" s="20">
        <f>IF('Raw profile'!AS217&gt;0,1,IF('Raw profile'!AS320&gt;0,2,0))</f>
        <v>2</v>
      </c>
      <c r="AU234" s="20">
        <f>IF('Raw profile'!AT217&gt;0,1,IF('Raw profile'!AT320&gt;0,2,0))</f>
        <v>2</v>
      </c>
      <c r="AV234" s="20">
        <f>IF('Raw profile'!AU217&gt;0,1,IF('Raw profile'!AU320&gt;0,2,0))</f>
        <v>2</v>
      </c>
      <c r="AW234" s="20">
        <f>IF('Raw profile'!AV217&gt;0,1,IF('Raw profile'!AV320&gt;0,2,0))</f>
        <v>2</v>
      </c>
      <c r="AX234" s="20">
        <f>IF('Raw profile'!AW217&gt;0,1,IF('Raw profile'!AW320&gt;0,2,0))</f>
        <v>2</v>
      </c>
      <c r="AY234" s="20">
        <f>IF('Raw profile'!AX217&gt;0,1,IF('Raw profile'!AX320&gt;0,2,0))</f>
        <v>2</v>
      </c>
      <c r="AZ234" s="20">
        <f>IF('Raw profile'!AY217&gt;0,1,IF('Raw profile'!AY320&gt;0,2,0))</f>
        <v>2</v>
      </c>
      <c r="BA234" s="20">
        <f>IF('Raw profile'!AZ217&gt;0,1,IF('Raw profile'!AZ320&gt;0,2,0))</f>
        <v>2</v>
      </c>
      <c r="BB234" s="20">
        <f>IF('Raw profile'!BA217&gt;0,1,IF('Raw profile'!BA320&gt;0,2,0))</f>
        <v>2</v>
      </c>
      <c r="BC234" s="20">
        <f>IF('Raw profile'!BB217&gt;0,1,IF('Raw profile'!BB320&gt;0,2,0))</f>
        <v>2</v>
      </c>
      <c r="BD234" s="20">
        <f>IF('Raw profile'!BC217&gt;0,1,IF('Raw profile'!BC320&gt;0,2,0))</f>
        <v>2</v>
      </c>
      <c r="BE234" s="20">
        <f>IF('Raw profile'!BD217&gt;0,1,IF('Raw profile'!BD320&gt;0,2,0))</f>
        <v>2</v>
      </c>
      <c r="BF234" s="20">
        <f>IF('Raw profile'!BE217&gt;0,1,IF('Raw profile'!BE320&gt;0,2,0))</f>
        <v>2</v>
      </c>
      <c r="BG234" s="20">
        <f>IF('Raw profile'!BF217&gt;0,1,IF('Raw profile'!BF320&gt;0,2,0))</f>
        <v>2</v>
      </c>
      <c r="BH234" s="20">
        <f>IF('Raw profile'!BG217&gt;0,1,IF('Raw profile'!BG320&gt;0,2,0))</f>
        <v>0</v>
      </c>
      <c r="BI234" s="20">
        <f>IF('Raw profile'!BH217&gt;0,1,IF('Raw profile'!BH320&gt;0,2,0))</f>
        <v>0</v>
      </c>
      <c r="BJ234" s="20">
        <f>IF('Raw profile'!BI217&gt;0,1,IF('Raw profile'!BI320&gt;0,2,0))</f>
        <v>0</v>
      </c>
      <c r="BK234" s="21">
        <f>IF('Raw profile'!BJ217&gt;0,1,IF('Raw profile'!BJ320&gt;0,2,0))</f>
        <v>0</v>
      </c>
    </row>
    <row r="235" spans="1:63" x14ac:dyDescent="0.3">
      <c r="B235" s="13" t="s">
        <v>4</v>
      </c>
      <c r="C235" s="19">
        <f>'Growth profile'!I109</f>
        <v>2026</v>
      </c>
      <c r="D235" s="20">
        <f>IF('Growth profile'!C217&gt;0,1,IF('Growth profile'!C320&gt;0,3,0))</f>
        <v>1</v>
      </c>
      <c r="E235" s="20">
        <f>IF('Growth profile'!D217&gt;0,1,IF('Growth profile'!D320&gt;0,3,0))</f>
        <v>1</v>
      </c>
      <c r="F235" s="20">
        <f>IF('Growth profile'!E217&gt;0,1,IF('Growth profile'!E320&gt;0,3,0))</f>
        <v>3</v>
      </c>
      <c r="G235" s="20">
        <f>IF('Growth profile'!F217&gt;0,1,IF('Growth profile'!F320&gt;0,3,0))</f>
        <v>3</v>
      </c>
      <c r="H235" s="20">
        <f>IF('Growth profile'!G217&gt;0,1,IF('Growth profile'!G320&gt;0,3,0))</f>
        <v>3</v>
      </c>
      <c r="I235" s="20">
        <f>IF('Growth profile'!H217&gt;0,1,IF('Growth profile'!H320&gt;0,3,0))</f>
        <v>3</v>
      </c>
      <c r="J235" s="20">
        <f>IF('Growth profile'!I217&gt;0,1,IF('Growth profile'!I320&gt;0,3,0))</f>
        <v>3</v>
      </c>
      <c r="K235" s="20">
        <f>IF('Growth profile'!J217&gt;0,1,IF('Growth profile'!J320&gt;0,3,0))</f>
        <v>3</v>
      </c>
      <c r="L235" s="20">
        <f>IF('Growth profile'!K217&gt;0,1,IF('Growth profile'!K320&gt;0,3,0))</f>
        <v>3</v>
      </c>
      <c r="M235" s="20">
        <f>IF('Growth profile'!L217&gt;0,1,IF('Growth profile'!L320&gt;0,3,0))</f>
        <v>3</v>
      </c>
      <c r="N235" s="20">
        <f>IF('Growth profile'!M217&gt;0,1,IF('Growth profile'!M320&gt;0,3,0))</f>
        <v>3</v>
      </c>
      <c r="O235" s="20">
        <f>IF('Growth profile'!N217&gt;0,1,IF('Growth profile'!N320&gt;0,3,0))</f>
        <v>3</v>
      </c>
      <c r="P235" s="20">
        <f>IF('Growth profile'!O217&gt;0,1,IF('Growth profile'!O320&gt;0,3,0))</f>
        <v>3</v>
      </c>
      <c r="Q235" s="20">
        <f>IF('Growth profile'!P217&gt;0,1,IF('Growth profile'!P320&gt;0,3,0))</f>
        <v>3</v>
      </c>
      <c r="R235" s="20">
        <f>IF('Growth profile'!Q217&gt;0,1,IF('Growth profile'!Q320&gt;0,3,0))</f>
        <v>3</v>
      </c>
      <c r="S235" s="20">
        <f>IF('Growth profile'!R217&gt;0,1,IF('Growth profile'!R320&gt;0,3,0))</f>
        <v>3</v>
      </c>
      <c r="T235" s="20">
        <f>IF('Growth profile'!S217&gt;0,1,IF('Growth profile'!S320&gt;0,3,0))</f>
        <v>3</v>
      </c>
      <c r="U235" s="20">
        <f>IF('Growth profile'!T217&gt;0,1,IF('Growth profile'!T320&gt;0,3,0))</f>
        <v>3</v>
      </c>
      <c r="V235" s="20">
        <f>IF('Growth profile'!U217&gt;0,1,IF('Growth profile'!U320&gt;0,3,0))</f>
        <v>3</v>
      </c>
      <c r="W235" s="20">
        <f>IF('Growth profile'!V217&gt;0,1,IF('Growth profile'!V320&gt;0,3,0))</f>
        <v>3</v>
      </c>
      <c r="X235" s="20">
        <f>IF('Growth profile'!W217&gt;0,1,IF('Growth profile'!W320&gt;0,3,0))</f>
        <v>3</v>
      </c>
      <c r="Y235" s="20">
        <f>IF('Growth profile'!X217&gt;0,1,IF('Growth profile'!X320&gt;0,3,0))</f>
        <v>3</v>
      </c>
      <c r="Z235" s="20">
        <f>IF('Growth profile'!Y217&gt;0,1,IF('Growth profile'!Y320&gt;0,3,0))</f>
        <v>3</v>
      </c>
      <c r="AA235" s="20">
        <f>IF('Growth profile'!Z217&gt;0,1,IF('Growth profile'!Z320&gt;0,3,0))</f>
        <v>3</v>
      </c>
      <c r="AB235" s="20">
        <f>IF('Growth profile'!AA217&gt;0,1,IF('Growth profile'!AA320&gt;0,3,0))</f>
        <v>3</v>
      </c>
      <c r="AC235" s="20">
        <f>IF('Growth profile'!AB217&gt;0,1,IF('Growth profile'!AB320&gt;0,3,0))</f>
        <v>3</v>
      </c>
      <c r="AD235" s="20">
        <f>IF('Growth profile'!AC217&gt;0,1,IF('Growth profile'!AC320&gt;0,3,0))</f>
        <v>3</v>
      </c>
      <c r="AE235" s="20">
        <f>IF('Growth profile'!AD217&gt;0,1,IF('Growth profile'!AD320&gt;0,3,0))</f>
        <v>3</v>
      </c>
      <c r="AF235" s="20">
        <f>IF('Growth profile'!AE217&gt;0,1,IF('Growth profile'!AE320&gt;0,3,0))</f>
        <v>3</v>
      </c>
      <c r="AG235" s="20">
        <f>IF('Growth profile'!AF217&gt;0,1,IF('Growth profile'!AF320&gt;0,3,0))</f>
        <v>3</v>
      </c>
      <c r="AH235" s="20">
        <f>IF('Growth profile'!AG217&gt;0,1,IF('Growth profile'!AG320&gt;0,3,0))</f>
        <v>3</v>
      </c>
      <c r="AI235" s="20">
        <f>IF('Growth profile'!AH217&gt;0,1,IF('Growth profile'!AH320&gt;0,3,0))</f>
        <v>3</v>
      </c>
      <c r="AJ235" s="20">
        <f>IF('Growth profile'!AI217&gt;0,1,IF('Growth profile'!AI320&gt;0,3,0))</f>
        <v>3</v>
      </c>
      <c r="AK235" s="20">
        <f>IF('Growth profile'!AJ217&gt;0,1,IF('Growth profile'!AJ320&gt;0,3,0))</f>
        <v>3</v>
      </c>
      <c r="AL235" s="20">
        <f>IF('Growth profile'!AK217&gt;0,1,IF('Growth profile'!AK320&gt;0,3,0))</f>
        <v>3</v>
      </c>
      <c r="AM235" s="20">
        <f>IF('Growth profile'!AL217&gt;0,1,IF('Growth profile'!AL320&gt;0,3,0))</f>
        <v>3</v>
      </c>
      <c r="AN235" s="20">
        <f>IF('Growth profile'!AM217&gt;0,1,IF('Growth profile'!AM320&gt;0,3,0))</f>
        <v>3</v>
      </c>
      <c r="AO235" s="20">
        <f>IF('Growth profile'!AN217&gt;0,1,IF('Growth profile'!AN320&gt;0,3,0))</f>
        <v>3</v>
      </c>
      <c r="AP235" s="20">
        <f>IF('Growth profile'!AO217&gt;0,1,IF('Growth profile'!AO320&gt;0,3,0))</f>
        <v>3</v>
      </c>
      <c r="AQ235" s="20">
        <f>IF('Growth profile'!AP217&gt;0,1,IF('Growth profile'!AP320&gt;0,3,0))</f>
        <v>3</v>
      </c>
      <c r="AR235" s="20">
        <f>IF('Growth profile'!AQ217&gt;0,1,IF('Growth profile'!AQ320&gt;0,3,0))</f>
        <v>3</v>
      </c>
      <c r="AS235" s="20">
        <f>IF('Growth profile'!AR217&gt;0,1,IF('Growth profile'!AR320&gt;0,3,0))</f>
        <v>3</v>
      </c>
      <c r="AT235" s="20">
        <f>IF('Growth profile'!AS217&gt;0,1,IF('Growth profile'!AS320&gt;0,3,0))</f>
        <v>0</v>
      </c>
      <c r="AU235" s="20">
        <f>IF('Growth profile'!AT217&gt;0,1,IF('Growth profile'!AT320&gt;0,3,0))</f>
        <v>0</v>
      </c>
      <c r="AV235" s="20">
        <f>IF('Growth profile'!AU217&gt;0,1,IF('Growth profile'!AU320&gt;0,3,0))</f>
        <v>0</v>
      </c>
      <c r="AW235" s="20">
        <f>IF('Growth profile'!AV217&gt;0,1,IF('Growth profile'!AV320&gt;0,3,0))</f>
        <v>0</v>
      </c>
      <c r="AX235" s="20">
        <f>IF('Growth profile'!AW217&gt;0,1,IF('Growth profile'!AW320&gt;0,3,0))</f>
        <v>0</v>
      </c>
      <c r="AY235" s="20">
        <f>IF('Growth profile'!AX217&gt;0,1,IF('Growth profile'!AX320&gt;0,3,0))</f>
        <v>0</v>
      </c>
      <c r="AZ235" s="20">
        <f>IF('Growth profile'!AY217&gt;0,1,IF('Growth profile'!AY320&gt;0,3,0))</f>
        <v>0</v>
      </c>
      <c r="BA235" s="20">
        <f>IF('Growth profile'!AZ217&gt;0,1,IF('Growth profile'!AZ320&gt;0,3,0))</f>
        <v>0</v>
      </c>
      <c r="BB235" s="20">
        <f>IF('Growth profile'!BA217&gt;0,1,IF('Growth profile'!BA320&gt;0,3,0))</f>
        <v>0</v>
      </c>
      <c r="BC235" s="20">
        <f>IF('Growth profile'!BB217&gt;0,1,IF('Growth profile'!BB320&gt;0,3,0))</f>
        <v>0</v>
      </c>
      <c r="BD235" s="20">
        <f>IF('Growth profile'!BC217&gt;0,1,IF('Growth profile'!BC320&gt;0,3,0))</f>
        <v>0</v>
      </c>
      <c r="BE235" s="20">
        <f>IF('Growth profile'!BD217&gt;0,1,IF('Growth profile'!BD320&gt;0,3,0))</f>
        <v>0</v>
      </c>
      <c r="BF235" s="20">
        <f>IF('Growth profile'!BE217&gt;0,1,IF('Growth profile'!BE320&gt;0,3,0))</f>
        <v>0</v>
      </c>
      <c r="BG235" s="20">
        <f>IF('Growth profile'!BF217&gt;0,1,IF('Growth profile'!BF320&gt;0,3,0))</f>
        <v>0</v>
      </c>
      <c r="BH235" s="20">
        <f>IF('Growth profile'!BG217&gt;0,1,IF('Growth profile'!BG320&gt;0,3,0))</f>
        <v>0</v>
      </c>
      <c r="BI235" s="20">
        <f>IF('Growth profile'!BH217&gt;0,1,IF('Growth profile'!BH320&gt;0,3,0))</f>
        <v>0</v>
      </c>
      <c r="BJ235" s="20">
        <f>IF('Growth profile'!BI217&gt;0,1,IF('Growth profile'!BI320&gt;0,3,0))</f>
        <v>0</v>
      </c>
      <c r="BK235" s="21">
        <f>IF('Growth profile'!BJ217&gt;0,1,IF('Growth profile'!BJ320&gt;0,3,0))</f>
        <v>0</v>
      </c>
    </row>
    <row r="236" spans="1:63" x14ac:dyDescent="0.3">
      <c r="B236" s="13" t="s">
        <v>59</v>
      </c>
      <c r="C236" s="19">
        <f>'Growth (no penalty)'!I109</f>
        <v>2026</v>
      </c>
      <c r="D236" s="22">
        <f>IF('Growth (no penalty)'!C217&gt;0,1,IF('Growth (no penalty)'!C320&gt;0,4,0))</f>
        <v>1</v>
      </c>
      <c r="E236" s="22">
        <f>IF('Growth (no penalty)'!D217&gt;0,1,IF('Growth (no penalty)'!D320&gt;0,4,0))</f>
        <v>1</v>
      </c>
      <c r="F236" s="22">
        <f>IF('Growth (no penalty)'!E217&gt;0,1,IF('Growth (no penalty)'!E320&gt;0,4,0))</f>
        <v>4</v>
      </c>
      <c r="G236" s="22">
        <f>IF('Growth (no penalty)'!F217&gt;0,1,IF('Growth (no penalty)'!F320&gt;0,4,0))</f>
        <v>4</v>
      </c>
      <c r="H236" s="22">
        <f>IF('Growth (no penalty)'!G217&gt;0,1,IF('Growth (no penalty)'!G320&gt;0,4,0))</f>
        <v>4</v>
      </c>
      <c r="I236" s="22">
        <f>IF('Growth (no penalty)'!H217&gt;0,1,IF('Growth (no penalty)'!H320&gt;0,4,0))</f>
        <v>4</v>
      </c>
      <c r="J236" s="22">
        <f>IF('Growth (no penalty)'!I217&gt;0,1,IF('Growth (no penalty)'!I320&gt;0,4,0))</f>
        <v>4</v>
      </c>
      <c r="K236" s="22">
        <f>IF('Growth (no penalty)'!J217&gt;0,1,IF('Growth (no penalty)'!J320&gt;0,4,0))</f>
        <v>4</v>
      </c>
      <c r="L236" s="22">
        <f>IF('Growth (no penalty)'!K217&gt;0,1,IF('Growth (no penalty)'!K320&gt;0,4,0))</f>
        <v>4</v>
      </c>
      <c r="M236" s="22">
        <f>IF('Growth (no penalty)'!L217&gt;0,1,IF('Growth (no penalty)'!L320&gt;0,4,0))</f>
        <v>4</v>
      </c>
      <c r="N236" s="22">
        <f>IF('Growth (no penalty)'!M217&gt;0,1,IF('Growth (no penalty)'!M320&gt;0,4,0))</f>
        <v>4</v>
      </c>
      <c r="O236" s="22">
        <f>IF('Growth (no penalty)'!N217&gt;0,1,IF('Growth (no penalty)'!N320&gt;0,4,0))</f>
        <v>4</v>
      </c>
      <c r="P236" s="22">
        <f>IF('Growth (no penalty)'!O217&gt;0,1,IF('Growth (no penalty)'!O320&gt;0,4,0))</f>
        <v>4</v>
      </c>
      <c r="Q236" s="22">
        <f>IF('Growth (no penalty)'!P217&gt;0,1,IF('Growth (no penalty)'!P320&gt;0,4,0))</f>
        <v>4</v>
      </c>
      <c r="R236" s="22">
        <f>IF('Growth (no penalty)'!Q217&gt;0,1,IF('Growth (no penalty)'!Q320&gt;0,4,0))</f>
        <v>4</v>
      </c>
      <c r="S236" s="22">
        <f>IF('Growth (no penalty)'!R217&gt;0,1,IF('Growth (no penalty)'!R320&gt;0,4,0))</f>
        <v>4</v>
      </c>
      <c r="T236" s="22">
        <f>IF('Growth (no penalty)'!S217&gt;0,1,IF('Growth (no penalty)'!S320&gt;0,4,0))</f>
        <v>4</v>
      </c>
      <c r="U236" s="22">
        <f>IF('Growth (no penalty)'!T217&gt;0,1,IF('Growth (no penalty)'!T320&gt;0,4,0))</f>
        <v>4</v>
      </c>
      <c r="V236" s="22">
        <f>IF('Growth (no penalty)'!U217&gt;0,1,IF('Growth (no penalty)'!U320&gt;0,4,0))</f>
        <v>4</v>
      </c>
      <c r="W236" s="22">
        <f>IF('Growth (no penalty)'!V217&gt;0,1,IF('Growth (no penalty)'!V320&gt;0,4,0))</f>
        <v>4</v>
      </c>
      <c r="X236" s="22">
        <f>IF('Growth (no penalty)'!W217&gt;0,1,IF('Growth (no penalty)'!W320&gt;0,4,0))</f>
        <v>4</v>
      </c>
      <c r="Y236" s="22">
        <f>IF('Growth (no penalty)'!X217&gt;0,1,IF('Growth (no penalty)'!X320&gt;0,4,0))</f>
        <v>4</v>
      </c>
      <c r="Z236" s="22">
        <f>IF('Growth (no penalty)'!Y217&gt;0,1,IF('Growth (no penalty)'!Y320&gt;0,4,0))</f>
        <v>4</v>
      </c>
      <c r="AA236" s="22">
        <f>IF('Growth (no penalty)'!Z217&gt;0,1,IF('Growth (no penalty)'!Z320&gt;0,4,0))</f>
        <v>4</v>
      </c>
      <c r="AB236" s="22">
        <f>IF('Growth (no penalty)'!AA217&gt;0,1,IF('Growth (no penalty)'!AA320&gt;0,4,0))</f>
        <v>4</v>
      </c>
      <c r="AC236" s="22">
        <f>IF('Growth (no penalty)'!AB217&gt;0,1,IF('Growth (no penalty)'!AB320&gt;0,4,0))</f>
        <v>4</v>
      </c>
      <c r="AD236" s="22">
        <f>IF('Growth (no penalty)'!AC217&gt;0,1,IF('Growth (no penalty)'!AC320&gt;0,4,0))</f>
        <v>4</v>
      </c>
      <c r="AE236" s="22">
        <f>IF('Growth (no penalty)'!AD217&gt;0,1,IF('Growth (no penalty)'!AD320&gt;0,4,0))</f>
        <v>4</v>
      </c>
      <c r="AF236" s="22">
        <f>IF('Growth (no penalty)'!AE217&gt;0,1,IF('Growth (no penalty)'!AE320&gt;0,4,0))</f>
        <v>4</v>
      </c>
      <c r="AG236" s="22">
        <f>IF('Growth (no penalty)'!AF217&gt;0,1,IF('Growth (no penalty)'!AF320&gt;0,4,0))</f>
        <v>4</v>
      </c>
      <c r="AH236" s="22">
        <f>IF('Growth (no penalty)'!AG217&gt;0,1,IF('Growth (no penalty)'!AG320&gt;0,4,0))</f>
        <v>4</v>
      </c>
      <c r="AI236" s="22">
        <f>IF('Growth (no penalty)'!AH217&gt;0,1,IF('Growth (no penalty)'!AH320&gt;0,4,0))</f>
        <v>4</v>
      </c>
      <c r="AJ236" s="22">
        <f>IF('Growth (no penalty)'!AI217&gt;0,1,IF('Growth (no penalty)'!AI320&gt;0,4,0))</f>
        <v>4</v>
      </c>
      <c r="AK236" s="22">
        <f>IF('Growth (no penalty)'!AJ217&gt;0,1,IF('Growth (no penalty)'!AJ320&gt;0,4,0))</f>
        <v>4</v>
      </c>
      <c r="AL236" s="22">
        <f>IF('Growth (no penalty)'!AK217&gt;0,1,IF('Growth (no penalty)'!AK320&gt;0,4,0))</f>
        <v>4</v>
      </c>
      <c r="AM236" s="22">
        <f>IF('Growth (no penalty)'!AL217&gt;0,1,IF('Growth (no penalty)'!AL320&gt;0,4,0))</f>
        <v>4</v>
      </c>
      <c r="AN236" s="22">
        <f>IF('Growth (no penalty)'!AM217&gt;0,1,IF('Growth (no penalty)'!AM320&gt;0,4,0))</f>
        <v>4</v>
      </c>
      <c r="AO236" s="22">
        <f>IF('Growth (no penalty)'!AN217&gt;0,1,IF('Growth (no penalty)'!AN320&gt;0,4,0))</f>
        <v>4</v>
      </c>
      <c r="AP236" s="22">
        <f>IF('Growth (no penalty)'!AO217&gt;0,1,IF('Growth (no penalty)'!AO320&gt;0,4,0))</f>
        <v>4</v>
      </c>
      <c r="AQ236" s="22">
        <f>IF('Growth (no penalty)'!AP217&gt;0,1,IF('Growth (no penalty)'!AP320&gt;0,4,0))</f>
        <v>4</v>
      </c>
      <c r="AR236" s="22">
        <f>IF('Growth (no penalty)'!AQ217&gt;0,1,IF('Growth (no penalty)'!AQ320&gt;0,4,0))</f>
        <v>4</v>
      </c>
      <c r="AS236" s="22">
        <f>IF('Growth (no penalty)'!AR217&gt;0,1,IF('Growth (no penalty)'!AR320&gt;0,4,0))</f>
        <v>4</v>
      </c>
      <c r="AT236" s="22">
        <f>IF('Growth (no penalty)'!AS217&gt;0,1,IF('Growth (no penalty)'!AS320&gt;0,4,0))</f>
        <v>0</v>
      </c>
      <c r="AU236" s="22">
        <f>IF('Growth (no penalty)'!AT217&gt;0,1,IF('Growth (no penalty)'!AT320&gt;0,4,0))</f>
        <v>0</v>
      </c>
      <c r="AV236" s="22">
        <f>IF('Growth (no penalty)'!AU217&gt;0,1,IF('Growth (no penalty)'!AU320&gt;0,4,0))</f>
        <v>0</v>
      </c>
      <c r="AW236" s="22">
        <f>IF('Growth (no penalty)'!AV217&gt;0,1,IF('Growth (no penalty)'!AV320&gt;0,4,0))</f>
        <v>0</v>
      </c>
      <c r="AX236" s="22">
        <f>IF('Growth (no penalty)'!AW217&gt;0,1,IF('Growth (no penalty)'!AW320&gt;0,4,0))</f>
        <v>0</v>
      </c>
      <c r="AY236" s="22">
        <f>IF('Growth (no penalty)'!AX217&gt;0,1,IF('Growth (no penalty)'!AX320&gt;0,4,0))</f>
        <v>0</v>
      </c>
      <c r="AZ236" s="22">
        <f>IF('Growth (no penalty)'!AY217&gt;0,1,IF('Growth (no penalty)'!AY320&gt;0,4,0))</f>
        <v>0</v>
      </c>
      <c r="BA236" s="22">
        <f>IF('Growth (no penalty)'!AZ217&gt;0,1,IF('Growth (no penalty)'!AZ320&gt;0,4,0))</f>
        <v>0</v>
      </c>
      <c r="BB236" s="22">
        <f>IF('Growth (no penalty)'!BA217&gt;0,1,IF('Growth (no penalty)'!BA320&gt;0,4,0))</f>
        <v>0</v>
      </c>
      <c r="BC236" s="22">
        <f>IF('Growth (no penalty)'!BB217&gt;0,1,IF('Growth (no penalty)'!BB320&gt;0,4,0))</f>
        <v>0</v>
      </c>
      <c r="BD236" s="22">
        <f>IF('Growth (no penalty)'!BC217&gt;0,1,IF('Growth (no penalty)'!BC320&gt;0,4,0))</f>
        <v>0</v>
      </c>
      <c r="BE236" s="22">
        <f>IF('Growth (no penalty)'!BD217&gt;0,1,IF('Growth (no penalty)'!BD320&gt;0,4,0))</f>
        <v>0</v>
      </c>
      <c r="BF236" s="22">
        <f>IF('Growth (no penalty)'!BE217&gt;0,1,IF('Growth (no penalty)'!BE320&gt;0,4,0))</f>
        <v>0</v>
      </c>
      <c r="BG236" s="22">
        <f>IF('Growth (no penalty)'!BF217&gt;0,1,IF('Growth (no penalty)'!BF320&gt;0,4,0))</f>
        <v>0</v>
      </c>
      <c r="BH236" s="22">
        <f>IF('Growth (no penalty)'!BG217&gt;0,1,IF('Growth (no penalty)'!BG320&gt;0,4,0))</f>
        <v>0</v>
      </c>
      <c r="BI236" s="22">
        <f>IF('Growth (no penalty)'!BH217&gt;0,1,IF('Growth (no penalty)'!BH320&gt;0,4,0))</f>
        <v>0</v>
      </c>
      <c r="BJ236" s="22">
        <f>IF('Growth (no penalty)'!BI217&gt;0,1,IF('Growth (no penalty)'!BI320&gt;0,4,0))</f>
        <v>0</v>
      </c>
      <c r="BK236" s="23">
        <f>IF('Growth (no penalty)'!BJ217&gt;0,1,IF('Growth (no penalty)'!BJ320&gt;0,4,0))</f>
        <v>0</v>
      </c>
    </row>
    <row r="237" spans="1:63" x14ac:dyDescent="0.3">
      <c r="A237" s="4" t="str">
        <f>'Growth profile'!A120</f>
        <v>project 204</v>
      </c>
      <c r="B237" s="13" t="s">
        <v>3</v>
      </c>
      <c r="C237" s="19">
        <f>'Raw profile'!I120</f>
        <v>2040</v>
      </c>
      <c r="D237" s="20">
        <f>IF('Raw profile'!C228&gt;0,1,IF('Raw profile'!C331&gt;0,2,0))</f>
        <v>0</v>
      </c>
      <c r="E237" s="20">
        <f>IF('Raw profile'!D228&gt;0,1,IF('Raw profile'!D331&gt;0,2,0))</f>
        <v>0</v>
      </c>
      <c r="F237" s="20">
        <f>IF('Raw profile'!E228&gt;0,1,IF('Raw profile'!E331&gt;0,2,0))</f>
        <v>0</v>
      </c>
      <c r="G237" s="20">
        <f>IF('Raw profile'!F228&gt;0,1,IF('Raw profile'!F331&gt;0,2,0))</f>
        <v>0</v>
      </c>
      <c r="H237" s="20">
        <f>IF('Raw profile'!G228&gt;0,1,IF('Raw profile'!G331&gt;0,2,0))</f>
        <v>0</v>
      </c>
      <c r="I237" s="20">
        <f>IF('Raw profile'!H228&gt;0,1,IF('Raw profile'!H331&gt;0,2,0))</f>
        <v>0</v>
      </c>
      <c r="J237" s="20">
        <f>IF('Raw profile'!I228&gt;0,1,IF('Raw profile'!I331&gt;0,2,0))</f>
        <v>0</v>
      </c>
      <c r="K237" s="20">
        <f>IF('Raw profile'!J228&gt;0,1,IF('Raw profile'!J331&gt;0,2,0))</f>
        <v>0</v>
      </c>
      <c r="L237" s="20">
        <f>IF('Raw profile'!K228&gt;0,1,IF('Raw profile'!K331&gt;0,2,0))</f>
        <v>0</v>
      </c>
      <c r="M237" s="20">
        <f>IF('Raw profile'!L228&gt;0,1,IF('Raw profile'!L331&gt;0,2,0))</f>
        <v>0</v>
      </c>
      <c r="N237" s="20">
        <f>IF('Raw profile'!M228&gt;0,1,IF('Raw profile'!M331&gt;0,2,0))</f>
        <v>0</v>
      </c>
      <c r="O237" s="20">
        <f>IF('Raw profile'!N228&gt;0,1,IF('Raw profile'!N331&gt;0,2,0))</f>
        <v>0</v>
      </c>
      <c r="P237" s="20">
        <f>IF('Raw profile'!O228&gt;0,1,IF('Raw profile'!O331&gt;0,2,0))</f>
        <v>0</v>
      </c>
      <c r="Q237" s="20">
        <f>IF('Raw profile'!P228&gt;0,1,IF('Raw profile'!P331&gt;0,2,0))</f>
        <v>0</v>
      </c>
      <c r="R237" s="20">
        <f>IF('Raw profile'!Q228&gt;0,1,IF('Raw profile'!Q331&gt;0,2,0))</f>
        <v>1</v>
      </c>
      <c r="S237" s="20">
        <f>IF('Raw profile'!R228&gt;0,1,IF('Raw profile'!R331&gt;0,2,0))</f>
        <v>1</v>
      </c>
      <c r="T237" s="20">
        <f>IF('Raw profile'!S228&gt;0,1,IF('Raw profile'!S331&gt;0,2,0))</f>
        <v>1</v>
      </c>
      <c r="U237" s="20">
        <f>IF('Raw profile'!T228&gt;0,1,IF('Raw profile'!T331&gt;0,2,0))</f>
        <v>2</v>
      </c>
      <c r="V237" s="20">
        <f>IF('Raw profile'!U228&gt;0,1,IF('Raw profile'!U331&gt;0,2,0))</f>
        <v>2</v>
      </c>
      <c r="W237" s="20">
        <f>IF('Raw profile'!V228&gt;0,1,IF('Raw profile'!V331&gt;0,2,0))</f>
        <v>2</v>
      </c>
      <c r="X237" s="20">
        <f>IF('Raw profile'!W228&gt;0,1,IF('Raw profile'!W331&gt;0,2,0))</f>
        <v>2</v>
      </c>
      <c r="Y237" s="20">
        <f>IF('Raw profile'!X228&gt;0,1,IF('Raw profile'!X331&gt;0,2,0))</f>
        <v>2</v>
      </c>
      <c r="Z237" s="20">
        <f>IF('Raw profile'!Y228&gt;0,1,IF('Raw profile'!Y331&gt;0,2,0))</f>
        <v>2</v>
      </c>
      <c r="AA237" s="20">
        <f>IF('Raw profile'!Z228&gt;0,1,IF('Raw profile'!Z331&gt;0,2,0))</f>
        <v>2</v>
      </c>
      <c r="AB237" s="20">
        <f>IF('Raw profile'!AA228&gt;0,1,IF('Raw profile'!AA331&gt;0,2,0))</f>
        <v>2</v>
      </c>
      <c r="AC237" s="20">
        <f>IF('Raw profile'!AB228&gt;0,1,IF('Raw profile'!AB331&gt;0,2,0))</f>
        <v>2</v>
      </c>
      <c r="AD237" s="20">
        <f>IF('Raw profile'!AC228&gt;0,1,IF('Raw profile'!AC331&gt;0,2,0))</f>
        <v>2</v>
      </c>
      <c r="AE237" s="20">
        <f>IF('Raw profile'!AD228&gt;0,1,IF('Raw profile'!AD331&gt;0,2,0))</f>
        <v>2</v>
      </c>
      <c r="AF237" s="20">
        <f>IF('Raw profile'!AE228&gt;0,1,IF('Raw profile'!AE331&gt;0,2,0))</f>
        <v>2</v>
      </c>
      <c r="AG237" s="20">
        <f>IF('Raw profile'!AF228&gt;0,1,IF('Raw profile'!AF331&gt;0,2,0))</f>
        <v>2</v>
      </c>
      <c r="AH237" s="20">
        <f>IF('Raw profile'!AG228&gt;0,1,IF('Raw profile'!AG331&gt;0,2,0))</f>
        <v>2</v>
      </c>
      <c r="AI237" s="20">
        <f>IF('Raw profile'!AH228&gt;0,1,IF('Raw profile'!AH331&gt;0,2,0))</f>
        <v>2</v>
      </c>
      <c r="AJ237" s="20">
        <f>IF('Raw profile'!AI228&gt;0,1,IF('Raw profile'!AI331&gt;0,2,0))</f>
        <v>2</v>
      </c>
      <c r="AK237" s="20">
        <f>IF('Raw profile'!AJ228&gt;0,1,IF('Raw profile'!AJ331&gt;0,2,0))</f>
        <v>2</v>
      </c>
      <c r="AL237" s="20">
        <f>IF('Raw profile'!AK228&gt;0,1,IF('Raw profile'!AK331&gt;0,2,0))</f>
        <v>2</v>
      </c>
      <c r="AM237" s="20">
        <f>IF('Raw profile'!AL228&gt;0,1,IF('Raw profile'!AL331&gt;0,2,0))</f>
        <v>2</v>
      </c>
      <c r="AN237" s="20">
        <f>IF('Raw profile'!AM228&gt;0,1,IF('Raw profile'!AM331&gt;0,2,0))</f>
        <v>2</v>
      </c>
      <c r="AO237" s="20">
        <f>IF('Raw profile'!AN228&gt;0,1,IF('Raw profile'!AN331&gt;0,2,0))</f>
        <v>2</v>
      </c>
      <c r="AP237" s="20">
        <f>IF('Raw profile'!AO228&gt;0,1,IF('Raw profile'!AO331&gt;0,2,0))</f>
        <v>2</v>
      </c>
      <c r="AQ237" s="20">
        <f>IF('Raw profile'!AP228&gt;0,1,IF('Raw profile'!AP331&gt;0,2,0))</f>
        <v>2</v>
      </c>
      <c r="AR237" s="20">
        <f>IF('Raw profile'!AQ228&gt;0,1,IF('Raw profile'!AQ331&gt;0,2,0))</f>
        <v>2</v>
      </c>
      <c r="AS237" s="20">
        <f>IF('Raw profile'!AR228&gt;0,1,IF('Raw profile'!AR331&gt;0,2,0))</f>
        <v>2</v>
      </c>
      <c r="AT237" s="20">
        <f>IF('Raw profile'!AS228&gt;0,1,IF('Raw profile'!AS331&gt;0,2,0))</f>
        <v>2</v>
      </c>
      <c r="AU237" s="20">
        <f>IF('Raw profile'!AT228&gt;0,1,IF('Raw profile'!AT331&gt;0,2,0))</f>
        <v>2</v>
      </c>
      <c r="AV237" s="20">
        <f>IF('Raw profile'!AU228&gt;0,1,IF('Raw profile'!AU331&gt;0,2,0))</f>
        <v>2</v>
      </c>
      <c r="AW237" s="20">
        <f>IF('Raw profile'!AV228&gt;0,1,IF('Raw profile'!AV331&gt;0,2,0))</f>
        <v>2</v>
      </c>
      <c r="AX237" s="20">
        <f>IF('Raw profile'!AW228&gt;0,1,IF('Raw profile'!AW331&gt;0,2,0))</f>
        <v>2</v>
      </c>
      <c r="AY237" s="20">
        <f>IF('Raw profile'!AX228&gt;0,1,IF('Raw profile'!AX331&gt;0,2,0))</f>
        <v>2</v>
      </c>
      <c r="AZ237" s="20">
        <f>IF('Raw profile'!AY228&gt;0,1,IF('Raw profile'!AY331&gt;0,2,0))</f>
        <v>2</v>
      </c>
      <c r="BA237" s="20">
        <f>IF('Raw profile'!AZ228&gt;0,1,IF('Raw profile'!AZ331&gt;0,2,0))</f>
        <v>2</v>
      </c>
      <c r="BB237" s="20">
        <f>IF('Raw profile'!BA228&gt;0,1,IF('Raw profile'!BA331&gt;0,2,0))</f>
        <v>2</v>
      </c>
      <c r="BC237" s="20">
        <f>IF('Raw profile'!BB228&gt;0,1,IF('Raw profile'!BB331&gt;0,2,0))</f>
        <v>2</v>
      </c>
      <c r="BD237" s="20">
        <f>IF('Raw profile'!BC228&gt;0,1,IF('Raw profile'!BC331&gt;0,2,0))</f>
        <v>2</v>
      </c>
      <c r="BE237" s="20">
        <f>IF('Raw profile'!BD228&gt;0,1,IF('Raw profile'!BD331&gt;0,2,0))</f>
        <v>2</v>
      </c>
      <c r="BF237" s="20">
        <f>IF('Raw profile'!BE228&gt;0,1,IF('Raw profile'!BE331&gt;0,2,0))</f>
        <v>2</v>
      </c>
      <c r="BG237" s="20">
        <f>IF('Raw profile'!BF228&gt;0,1,IF('Raw profile'!BF331&gt;0,2,0))</f>
        <v>2</v>
      </c>
      <c r="BH237" s="20">
        <f>IF('Raw profile'!BG228&gt;0,1,IF('Raw profile'!BG331&gt;0,2,0))</f>
        <v>2</v>
      </c>
      <c r="BI237" s="20">
        <f>IF('Raw profile'!BH228&gt;0,1,IF('Raw profile'!BH331&gt;0,2,0))</f>
        <v>0</v>
      </c>
      <c r="BJ237" s="20">
        <f>IF('Raw profile'!BI228&gt;0,1,IF('Raw profile'!BI331&gt;0,2,0))</f>
        <v>0</v>
      </c>
      <c r="BK237" s="21">
        <f>IF('Raw profile'!BJ228&gt;0,1,IF('Raw profile'!BJ331&gt;0,2,0))</f>
        <v>0</v>
      </c>
    </row>
    <row r="238" spans="1:63" x14ac:dyDescent="0.3">
      <c r="B238" s="13" t="s">
        <v>4</v>
      </c>
      <c r="C238" s="19">
        <f>'Growth profile'!I120</f>
        <v>2032</v>
      </c>
      <c r="D238" s="20">
        <f>IF('Growth profile'!C228&gt;0,1,IF('Growth profile'!C331&gt;0,3,0))</f>
        <v>0</v>
      </c>
      <c r="E238" s="20">
        <f>IF('Growth profile'!D228&gt;0,1,IF('Growth profile'!D331&gt;0,3,0))</f>
        <v>0</v>
      </c>
      <c r="F238" s="20">
        <f>IF('Growth profile'!E228&gt;0,1,IF('Growth profile'!E331&gt;0,3,0))</f>
        <v>0</v>
      </c>
      <c r="G238" s="20">
        <f>IF('Growth profile'!F228&gt;0,1,IF('Growth profile'!F331&gt;0,3,0))</f>
        <v>0</v>
      </c>
      <c r="H238" s="20">
        <f>IF('Growth profile'!G228&gt;0,1,IF('Growth profile'!G331&gt;0,3,0))</f>
        <v>0</v>
      </c>
      <c r="I238" s="20">
        <f>IF('Growth profile'!H228&gt;0,1,IF('Growth profile'!H331&gt;0,3,0))</f>
        <v>0</v>
      </c>
      <c r="J238" s="20">
        <f>IF('Growth profile'!I228&gt;0,1,IF('Growth profile'!I331&gt;0,3,0))</f>
        <v>1</v>
      </c>
      <c r="K238" s="20">
        <f>IF('Growth profile'!J228&gt;0,1,IF('Growth profile'!J331&gt;0,3,0))</f>
        <v>1</v>
      </c>
      <c r="L238" s="20">
        <f>IF('Growth profile'!K228&gt;0,1,IF('Growth profile'!K331&gt;0,3,0))</f>
        <v>1</v>
      </c>
      <c r="M238" s="20">
        <f>IF('Growth profile'!L228&gt;0,1,IF('Growth profile'!L331&gt;0,3,0))</f>
        <v>3</v>
      </c>
      <c r="N238" s="20">
        <f>IF('Growth profile'!M228&gt;0,1,IF('Growth profile'!M331&gt;0,3,0))</f>
        <v>3</v>
      </c>
      <c r="O238" s="20">
        <f>IF('Growth profile'!N228&gt;0,1,IF('Growth profile'!N331&gt;0,3,0))</f>
        <v>3</v>
      </c>
      <c r="P238" s="20">
        <f>IF('Growth profile'!O228&gt;0,1,IF('Growth profile'!O331&gt;0,3,0))</f>
        <v>3</v>
      </c>
      <c r="Q238" s="20">
        <f>IF('Growth profile'!P228&gt;0,1,IF('Growth profile'!P331&gt;0,3,0))</f>
        <v>3</v>
      </c>
      <c r="R238" s="20">
        <f>IF('Growth profile'!Q228&gt;0,1,IF('Growth profile'!Q331&gt;0,3,0))</f>
        <v>3</v>
      </c>
      <c r="S238" s="20">
        <f>IF('Growth profile'!R228&gt;0,1,IF('Growth profile'!R331&gt;0,3,0))</f>
        <v>3</v>
      </c>
      <c r="T238" s="20">
        <f>IF('Growth profile'!S228&gt;0,1,IF('Growth profile'!S331&gt;0,3,0))</f>
        <v>3</v>
      </c>
      <c r="U238" s="20">
        <f>IF('Growth profile'!T228&gt;0,1,IF('Growth profile'!T331&gt;0,3,0))</f>
        <v>3</v>
      </c>
      <c r="V238" s="20">
        <f>IF('Growth profile'!U228&gt;0,1,IF('Growth profile'!U331&gt;0,3,0))</f>
        <v>3</v>
      </c>
      <c r="W238" s="20">
        <f>IF('Growth profile'!V228&gt;0,1,IF('Growth profile'!V331&gt;0,3,0))</f>
        <v>3</v>
      </c>
      <c r="X238" s="20">
        <f>IF('Growth profile'!W228&gt;0,1,IF('Growth profile'!W331&gt;0,3,0))</f>
        <v>3</v>
      </c>
      <c r="Y238" s="20">
        <f>IF('Growth profile'!X228&gt;0,1,IF('Growth profile'!X331&gt;0,3,0))</f>
        <v>3</v>
      </c>
      <c r="Z238" s="20">
        <f>IF('Growth profile'!Y228&gt;0,1,IF('Growth profile'!Y331&gt;0,3,0))</f>
        <v>3</v>
      </c>
      <c r="AA238" s="20">
        <f>IF('Growth profile'!Z228&gt;0,1,IF('Growth profile'!Z331&gt;0,3,0))</f>
        <v>3</v>
      </c>
      <c r="AB238" s="20">
        <f>IF('Growth profile'!AA228&gt;0,1,IF('Growth profile'!AA331&gt;0,3,0))</f>
        <v>3</v>
      </c>
      <c r="AC238" s="20">
        <f>IF('Growth profile'!AB228&gt;0,1,IF('Growth profile'!AB331&gt;0,3,0))</f>
        <v>3</v>
      </c>
      <c r="AD238" s="20">
        <f>IF('Growth profile'!AC228&gt;0,1,IF('Growth profile'!AC331&gt;0,3,0))</f>
        <v>3</v>
      </c>
      <c r="AE238" s="20">
        <f>IF('Growth profile'!AD228&gt;0,1,IF('Growth profile'!AD331&gt;0,3,0))</f>
        <v>3</v>
      </c>
      <c r="AF238" s="20">
        <f>IF('Growth profile'!AE228&gt;0,1,IF('Growth profile'!AE331&gt;0,3,0))</f>
        <v>3</v>
      </c>
      <c r="AG238" s="20">
        <f>IF('Growth profile'!AF228&gt;0,1,IF('Growth profile'!AF331&gt;0,3,0))</f>
        <v>3</v>
      </c>
      <c r="AH238" s="20">
        <f>IF('Growth profile'!AG228&gt;0,1,IF('Growth profile'!AG331&gt;0,3,0))</f>
        <v>3</v>
      </c>
      <c r="AI238" s="20">
        <f>IF('Growth profile'!AH228&gt;0,1,IF('Growth profile'!AH331&gt;0,3,0))</f>
        <v>3</v>
      </c>
      <c r="AJ238" s="20">
        <f>IF('Growth profile'!AI228&gt;0,1,IF('Growth profile'!AI331&gt;0,3,0))</f>
        <v>3</v>
      </c>
      <c r="AK238" s="20">
        <f>IF('Growth profile'!AJ228&gt;0,1,IF('Growth profile'!AJ331&gt;0,3,0))</f>
        <v>3</v>
      </c>
      <c r="AL238" s="20">
        <f>IF('Growth profile'!AK228&gt;0,1,IF('Growth profile'!AK331&gt;0,3,0))</f>
        <v>3</v>
      </c>
      <c r="AM238" s="20">
        <f>IF('Growth profile'!AL228&gt;0,1,IF('Growth profile'!AL331&gt;0,3,0))</f>
        <v>3</v>
      </c>
      <c r="AN238" s="20">
        <f>IF('Growth profile'!AM228&gt;0,1,IF('Growth profile'!AM331&gt;0,3,0))</f>
        <v>3</v>
      </c>
      <c r="AO238" s="20">
        <f>IF('Growth profile'!AN228&gt;0,1,IF('Growth profile'!AN331&gt;0,3,0))</f>
        <v>3</v>
      </c>
      <c r="AP238" s="20">
        <f>IF('Growth profile'!AO228&gt;0,1,IF('Growth profile'!AO331&gt;0,3,0))</f>
        <v>3</v>
      </c>
      <c r="AQ238" s="20">
        <f>IF('Growth profile'!AP228&gt;0,1,IF('Growth profile'!AP331&gt;0,3,0))</f>
        <v>3</v>
      </c>
      <c r="AR238" s="20">
        <f>IF('Growth profile'!AQ228&gt;0,1,IF('Growth profile'!AQ331&gt;0,3,0))</f>
        <v>3</v>
      </c>
      <c r="AS238" s="20">
        <f>IF('Growth profile'!AR228&gt;0,1,IF('Growth profile'!AR331&gt;0,3,0))</f>
        <v>3</v>
      </c>
      <c r="AT238" s="20">
        <f>IF('Growth profile'!AS228&gt;0,1,IF('Growth profile'!AS331&gt;0,3,0))</f>
        <v>3</v>
      </c>
      <c r="AU238" s="20">
        <f>IF('Growth profile'!AT228&gt;0,1,IF('Growth profile'!AT331&gt;0,3,0))</f>
        <v>3</v>
      </c>
      <c r="AV238" s="20">
        <f>IF('Growth profile'!AU228&gt;0,1,IF('Growth profile'!AU331&gt;0,3,0))</f>
        <v>3</v>
      </c>
      <c r="AW238" s="20">
        <f>IF('Growth profile'!AV228&gt;0,1,IF('Growth profile'!AV331&gt;0,3,0))</f>
        <v>3</v>
      </c>
      <c r="AX238" s="20">
        <f>IF('Growth profile'!AW228&gt;0,1,IF('Growth profile'!AW331&gt;0,3,0))</f>
        <v>3</v>
      </c>
      <c r="AY238" s="20">
        <f>IF('Growth profile'!AX228&gt;0,1,IF('Growth profile'!AX331&gt;0,3,0))</f>
        <v>3</v>
      </c>
      <c r="AZ238" s="20">
        <f>IF('Growth profile'!AY228&gt;0,1,IF('Growth profile'!AY331&gt;0,3,0))</f>
        <v>3</v>
      </c>
      <c r="BA238" s="20">
        <f>IF('Growth profile'!AZ228&gt;0,1,IF('Growth profile'!AZ331&gt;0,3,0))</f>
        <v>0</v>
      </c>
      <c r="BB238" s="20">
        <f>IF('Growth profile'!BA228&gt;0,1,IF('Growth profile'!BA331&gt;0,3,0))</f>
        <v>0</v>
      </c>
      <c r="BC238" s="20">
        <f>IF('Growth profile'!BB228&gt;0,1,IF('Growth profile'!BB331&gt;0,3,0))</f>
        <v>0</v>
      </c>
      <c r="BD238" s="20">
        <f>IF('Growth profile'!BC228&gt;0,1,IF('Growth profile'!BC331&gt;0,3,0))</f>
        <v>0</v>
      </c>
      <c r="BE238" s="20">
        <f>IF('Growth profile'!BD228&gt;0,1,IF('Growth profile'!BD331&gt;0,3,0))</f>
        <v>0</v>
      </c>
      <c r="BF238" s="20">
        <f>IF('Growth profile'!BE228&gt;0,1,IF('Growth profile'!BE331&gt;0,3,0))</f>
        <v>0</v>
      </c>
      <c r="BG238" s="20">
        <f>IF('Growth profile'!BF228&gt;0,1,IF('Growth profile'!BF331&gt;0,3,0))</f>
        <v>0</v>
      </c>
      <c r="BH238" s="20">
        <f>IF('Growth profile'!BG228&gt;0,1,IF('Growth profile'!BG331&gt;0,3,0))</f>
        <v>0</v>
      </c>
      <c r="BI238" s="20">
        <f>IF('Growth profile'!BH228&gt;0,1,IF('Growth profile'!BH331&gt;0,3,0))</f>
        <v>0</v>
      </c>
      <c r="BJ238" s="20">
        <f>IF('Growth profile'!BI228&gt;0,1,IF('Growth profile'!BI331&gt;0,3,0))</f>
        <v>0</v>
      </c>
      <c r="BK238" s="21">
        <f>IF('Growth profile'!BJ228&gt;0,1,IF('Growth profile'!BJ331&gt;0,3,0))</f>
        <v>0</v>
      </c>
    </row>
    <row r="239" spans="1:63" x14ac:dyDescent="0.3">
      <c r="B239" s="13" t="s">
        <v>59</v>
      </c>
      <c r="C239" s="19">
        <f>'Growth (no penalty)'!I120</f>
        <v>2027</v>
      </c>
      <c r="D239" s="22">
        <f>IF('Growth (no penalty)'!C228&gt;0,1,IF('Growth (no penalty)'!C331&gt;0,4,0))</f>
        <v>0</v>
      </c>
      <c r="E239" s="22">
        <f>IF('Growth (no penalty)'!D228&gt;0,1,IF('Growth (no penalty)'!D331&gt;0,4,0))</f>
        <v>1</v>
      </c>
      <c r="F239" s="22">
        <f>IF('Growth (no penalty)'!E228&gt;0,1,IF('Growth (no penalty)'!E331&gt;0,4,0))</f>
        <v>1</v>
      </c>
      <c r="G239" s="22">
        <f>IF('Growth (no penalty)'!F228&gt;0,1,IF('Growth (no penalty)'!F331&gt;0,4,0))</f>
        <v>1</v>
      </c>
      <c r="H239" s="22">
        <f>IF('Growth (no penalty)'!G228&gt;0,1,IF('Growth (no penalty)'!G331&gt;0,4,0))</f>
        <v>4</v>
      </c>
      <c r="I239" s="22">
        <f>IF('Growth (no penalty)'!H228&gt;0,1,IF('Growth (no penalty)'!H331&gt;0,4,0))</f>
        <v>4</v>
      </c>
      <c r="J239" s="22">
        <f>IF('Growth (no penalty)'!I228&gt;0,1,IF('Growth (no penalty)'!I331&gt;0,4,0))</f>
        <v>4</v>
      </c>
      <c r="K239" s="22">
        <f>IF('Growth (no penalty)'!J228&gt;0,1,IF('Growth (no penalty)'!J331&gt;0,4,0))</f>
        <v>4</v>
      </c>
      <c r="L239" s="22">
        <f>IF('Growth (no penalty)'!K228&gt;0,1,IF('Growth (no penalty)'!K331&gt;0,4,0))</f>
        <v>4</v>
      </c>
      <c r="M239" s="22">
        <f>IF('Growth (no penalty)'!L228&gt;0,1,IF('Growth (no penalty)'!L331&gt;0,4,0))</f>
        <v>4</v>
      </c>
      <c r="N239" s="22">
        <f>IF('Growth (no penalty)'!M228&gt;0,1,IF('Growth (no penalty)'!M331&gt;0,4,0))</f>
        <v>4</v>
      </c>
      <c r="O239" s="22">
        <f>IF('Growth (no penalty)'!N228&gt;0,1,IF('Growth (no penalty)'!N331&gt;0,4,0))</f>
        <v>4</v>
      </c>
      <c r="P239" s="22">
        <f>IF('Growth (no penalty)'!O228&gt;0,1,IF('Growth (no penalty)'!O331&gt;0,4,0))</f>
        <v>4</v>
      </c>
      <c r="Q239" s="22">
        <f>IF('Growth (no penalty)'!P228&gt;0,1,IF('Growth (no penalty)'!P331&gt;0,4,0))</f>
        <v>4</v>
      </c>
      <c r="R239" s="22">
        <f>IF('Growth (no penalty)'!Q228&gt;0,1,IF('Growth (no penalty)'!Q331&gt;0,4,0))</f>
        <v>4</v>
      </c>
      <c r="S239" s="22">
        <f>IF('Growth (no penalty)'!R228&gt;0,1,IF('Growth (no penalty)'!R331&gt;0,4,0))</f>
        <v>4</v>
      </c>
      <c r="T239" s="22">
        <f>IF('Growth (no penalty)'!S228&gt;0,1,IF('Growth (no penalty)'!S331&gt;0,4,0))</f>
        <v>4</v>
      </c>
      <c r="U239" s="22">
        <f>IF('Growth (no penalty)'!T228&gt;0,1,IF('Growth (no penalty)'!T331&gt;0,4,0))</f>
        <v>4</v>
      </c>
      <c r="V239" s="22">
        <f>IF('Growth (no penalty)'!U228&gt;0,1,IF('Growth (no penalty)'!U331&gt;0,4,0))</f>
        <v>4</v>
      </c>
      <c r="W239" s="22">
        <f>IF('Growth (no penalty)'!V228&gt;0,1,IF('Growth (no penalty)'!V331&gt;0,4,0))</f>
        <v>4</v>
      </c>
      <c r="X239" s="22">
        <f>IF('Growth (no penalty)'!W228&gt;0,1,IF('Growth (no penalty)'!W331&gt;0,4,0))</f>
        <v>4</v>
      </c>
      <c r="Y239" s="22">
        <f>IF('Growth (no penalty)'!X228&gt;0,1,IF('Growth (no penalty)'!X331&gt;0,4,0))</f>
        <v>4</v>
      </c>
      <c r="Z239" s="22">
        <f>IF('Growth (no penalty)'!Y228&gt;0,1,IF('Growth (no penalty)'!Y331&gt;0,4,0))</f>
        <v>4</v>
      </c>
      <c r="AA239" s="22">
        <f>IF('Growth (no penalty)'!Z228&gt;0,1,IF('Growth (no penalty)'!Z331&gt;0,4,0))</f>
        <v>4</v>
      </c>
      <c r="AB239" s="22">
        <f>IF('Growth (no penalty)'!AA228&gt;0,1,IF('Growth (no penalty)'!AA331&gt;0,4,0))</f>
        <v>4</v>
      </c>
      <c r="AC239" s="22">
        <f>IF('Growth (no penalty)'!AB228&gt;0,1,IF('Growth (no penalty)'!AB331&gt;0,4,0))</f>
        <v>4</v>
      </c>
      <c r="AD239" s="22">
        <f>IF('Growth (no penalty)'!AC228&gt;0,1,IF('Growth (no penalty)'!AC331&gt;0,4,0))</f>
        <v>4</v>
      </c>
      <c r="AE239" s="22">
        <f>IF('Growth (no penalty)'!AD228&gt;0,1,IF('Growth (no penalty)'!AD331&gt;0,4,0))</f>
        <v>4</v>
      </c>
      <c r="AF239" s="22">
        <f>IF('Growth (no penalty)'!AE228&gt;0,1,IF('Growth (no penalty)'!AE331&gt;0,4,0))</f>
        <v>4</v>
      </c>
      <c r="AG239" s="22">
        <f>IF('Growth (no penalty)'!AF228&gt;0,1,IF('Growth (no penalty)'!AF331&gt;0,4,0))</f>
        <v>4</v>
      </c>
      <c r="AH239" s="22">
        <f>IF('Growth (no penalty)'!AG228&gt;0,1,IF('Growth (no penalty)'!AG331&gt;0,4,0))</f>
        <v>4</v>
      </c>
      <c r="AI239" s="22">
        <f>IF('Growth (no penalty)'!AH228&gt;0,1,IF('Growth (no penalty)'!AH331&gt;0,4,0))</f>
        <v>4</v>
      </c>
      <c r="AJ239" s="22">
        <f>IF('Growth (no penalty)'!AI228&gt;0,1,IF('Growth (no penalty)'!AI331&gt;0,4,0))</f>
        <v>4</v>
      </c>
      <c r="AK239" s="22">
        <f>IF('Growth (no penalty)'!AJ228&gt;0,1,IF('Growth (no penalty)'!AJ331&gt;0,4,0))</f>
        <v>4</v>
      </c>
      <c r="AL239" s="22">
        <f>IF('Growth (no penalty)'!AK228&gt;0,1,IF('Growth (no penalty)'!AK331&gt;0,4,0))</f>
        <v>4</v>
      </c>
      <c r="AM239" s="22">
        <f>IF('Growth (no penalty)'!AL228&gt;0,1,IF('Growth (no penalty)'!AL331&gt;0,4,0))</f>
        <v>4</v>
      </c>
      <c r="AN239" s="22">
        <f>IF('Growth (no penalty)'!AM228&gt;0,1,IF('Growth (no penalty)'!AM331&gt;0,4,0))</f>
        <v>4</v>
      </c>
      <c r="AO239" s="22">
        <f>IF('Growth (no penalty)'!AN228&gt;0,1,IF('Growth (no penalty)'!AN331&gt;0,4,0))</f>
        <v>4</v>
      </c>
      <c r="AP239" s="22">
        <f>IF('Growth (no penalty)'!AO228&gt;0,1,IF('Growth (no penalty)'!AO331&gt;0,4,0))</f>
        <v>4</v>
      </c>
      <c r="AQ239" s="22">
        <f>IF('Growth (no penalty)'!AP228&gt;0,1,IF('Growth (no penalty)'!AP331&gt;0,4,0))</f>
        <v>4</v>
      </c>
      <c r="AR239" s="22">
        <f>IF('Growth (no penalty)'!AQ228&gt;0,1,IF('Growth (no penalty)'!AQ331&gt;0,4,0))</f>
        <v>4</v>
      </c>
      <c r="AS239" s="22">
        <f>IF('Growth (no penalty)'!AR228&gt;0,1,IF('Growth (no penalty)'!AR331&gt;0,4,0))</f>
        <v>4</v>
      </c>
      <c r="AT239" s="22">
        <f>IF('Growth (no penalty)'!AS228&gt;0,1,IF('Growth (no penalty)'!AS331&gt;0,4,0))</f>
        <v>4</v>
      </c>
      <c r="AU239" s="22">
        <f>IF('Growth (no penalty)'!AT228&gt;0,1,IF('Growth (no penalty)'!AT331&gt;0,4,0))</f>
        <v>4</v>
      </c>
      <c r="AV239" s="22">
        <f>IF('Growth (no penalty)'!AU228&gt;0,1,IF('Growth (no penalty)'!AU331&gt;0,4,0))</f>
        <v>0</v>
      </c>
      <c r="AW239" s="22">
        <f>IF('Growth (no penalty)'!AV228&gt;0,1,IF('Growth (no penalty)'!AV331&gt;0,4,0))</f>
        <v>0</v>
      </c>
      <c r="AX239" s="22">
        <f>IF('Growth (no penalty)'!AW228&gt;0,1,IF('Growth (no penalty)'!AW331&gt;0,4,0))</f>
        <v>0</v>
      </c>
      <c r="AY239" s="22">
        <f>IF('Growth (no penalty)'!AX228&gt;0,1,IF('Growth (no penalty)'!AX331&gt;0,4,0))</f>
        <v>0</v>
      </c>
      <c r="AZ239" s="22">
        <f>IF('Growth (no penalty)'!AY228&gt;0,1,IF('Growth (no penalty)'!AY331&gt;0,4,0))</f>
        <v>0</v>
      </c>
      <c r="BA239" s="22">
        <f>IF('Growth (no penalty)'!AZ228&gt;0,1,IF('Growth (no penalty)'!AZ331&gt;0,4,0))</f>
        <v>0</v>
      </c>
      <c r="BB239" s="22">
        <f>IF('Growth (no penalty)'!BA228&gt;0,1,IF('Growth (no penalty)'!BA331&gt;0,4,0))</f>
        <v>0</v>
      </c>
      <c r="BC239" s="22">
        <f>IF('Growth (no penalty)'!BB228&gt;0,1,IF('Growth (no penalty)'!BB331&gt;0,4,0))</f>
        <v>0</v>
      </c>
      <c r="BD239" s="22">
        <f>IF('Growth (no penalty)'!BC228&gt;0,1,IF('Growth (no penalty)'!BC331&gt;0,4,0))</f>
        <v>0</v>
      </c>
      <c r="BE239" s="22">
        <f>IF('Growth (no penalty)'!BD228&gt;0,1,IF('Growth (no penalty)'!BD331&gt;0,4,0))</f>
        <v>0</v>
      </c>
      <c r="BF239" s="22">
        <f>IF('Growth (no penalty)'!BE228&gt;0,1,IF('Growth (no penalty)'!BE331&gt;0,4,0))</f>
        <v>0</v>
      </c>
      <c r="BG239" s="22">
        <f>IF('Growth (no penalty)'!BF228&gt;0,1,IF('Growth (no penalty)'!BF331&gt;0,4,0))</f>
        <v>0</v>
      </c>
      <c r="BH239" s="22">
        <f>IF('Growth (no penalty)'!BG228&gt;0,1,IF('Growth (no penalty)'!BG331&gt;0,4,0))</f>
        <v>0</v>
      </c>
      <c r="BI239" s="22">
        <f>IF('Growth (no penalty)'!BH228&gt;0,1,IF('Growth (no penalty)'!BH331&gt;0,4,0))</f>
        <v>0</v>
      </c>
      <c r="BJ239" s="22">
        <f>IF('Growth (no penalty)'!BI228&gt;0,1,IF('Growth (no penalty)'!BI331&gt;0,4,0))</f>
        <v>0</v>
      </c>
      <c r="BK239" s="23">
        <f>IF('Growth (no penalty)'!BJ228&gt;0,1,IF('Growth (no penalty)'!BJ331&gt;0,4,0))</f>
        <v>0</v>
      </c>
    </row>
    <row r="240" spans="1:63" x14ac:dyDescent="0.3">
      <c r="A240" s="4" t="str">
        <f>'Growth profile'!A60</f>
        <v>project 74</v>
      </c>
      <c r="B240" s="13" t="s">
        <v>3</v>
      </c>
      <c r="C240" s="19">
        <f>'Raw profile'!I60</f>
        <v>2040</v>
      </c>
      <c r="D240" s="20">
        <f>IF('Raw profile'!C168&gt;0,1,IF('Raw profile'!C271&gt;0,2,0))</f>
        <v>0</v>
      </c>
      <c r="E240" s="20">
        <f>IF('Raw profile'!D168&gt;0,1,IF('Raw profile'!D271&gt;0,2,0))</f>
        <v>0</v>
      </c>
      <c r="F240" s="20">
        <f>IF('Raw profile'!E168&gt;0,1,IF('Raw profile'!E271&gt;0,2,0))</f>
        <v>0</v>
      </c>
      <c r="G240" s="20">
        <f>IF('Raw profile'!F168&gt;0,1,IF('Raw profile'!F271&gt;0,2,0))</f>
        <v>0</v>
      </c>
      <c r="H240" s="20">
        <f>IF('Raw profile'!G168&gt;0,1,IF('Raw profile'!G271&gt;0,2,0))</f>
        <v>0</v>
      </c>
      <c r="I240" s="20">
        <f>IF('Raw profile'!H168&gt;0,1,IF('Raw profile'!H271&gt;0,2,0))</f>
        <v>0</v>
      </c>
      <c r="J240" s="20">
        <f>IF('Raw profile'!I168&gt;0,1,IF('Raw profile'!I271&gt;0,2,0))</f>
        <v>0</v>
      </c>
      <c r="K240" s="20">
        <f>IF('Raw profile'!J168&gt;0,1,IF('Raw profile'!J271&gt;0,2,0))</f>
        <v>0</v>
      </c>
      <c r="L240" s="20">
        <f>IF('Raw profile'!K168&gt;0,1,IF('Raw profile'!K271&gt;0,2,0))</f>
        <v>0</v>
      </c>
      <c r="M240" s="20">
        <f>IF('Raw profile'!L168&gt;0,1,IF('Raw profile'!L271&gt;0,2,0))</f>
        <v>0</v>
      </c>
      <c r="N240" s="20">
        <f>IF('Raw profile'!M168&gt;0,1,IF('Raw profile'!M271&gt;0,2,0))</f>
        <v>0</v>
      </c>
      <c r="O240" s="20">
        <f>IF('Raw profile'!N168&gt;0,1,IF('Raw profile'!N271&gt;0,2,0))</f>
        <v>0</v>
      </c>
      <c r="P240" s="20">
        <f>IF('Raw profile'!O168&gt;0,1,IF('Raw profile'!O271&gt;0,2,0))</f>
        <v>0</v>
      </c>
      <c r="Q240" s="20">
        <f>IF('Raw profile'!P168&gt;0,1,IF('Raw profile'!P271&gt;0,2,0))</f>
        <v>0</v>
      </c>
      <c r="R240" s="20">
        <f>IF('Raw profile'!Q168&gt;0,1,IF('Raw profile'!Q271&gt;0,2,0))</f>
        <v>1</v>
      </c>
      <c r="S240" s="20">
        <f>IF('Raw profile'!R168&gt;0,1,IF('Raw profile'!R271&gt;0,2,0))</f>
        <v>1</v>
      </c>
      <c r="T240" s="20">
        <f>IF('Raw profile'!S168&gt;0,1,IF('Raw profile'!S271&gt;0,2,0))</f>
        <v>1</v>
      </c>
      <c r="U240" s="20">
        <f>IF('Raw profile'!T168&gt;0,1,IF('Raw profile'!T271&gt;0,2,0))</f>
        <v>1</v>
      </c>
      <c r="V240" s="20">
        <f>IF('Raw profile'!U168&gt;0,1,IF('Raw profile'!U271&gt;0,2,0))</f>
        <v>1</v>
      </c>
      <c r="W240" s="20">
        <f>IF('Raw profile'!V168&gt;0,1,IF('Raw profile'!V271&gt;0,2,0))</f>
        <v>2</v>
      </c>
      <c r="X240" s="20">
        <f>IF('Raw profile'!W168&gt;0,1,IF('Raw profile'!W271&gt;0,2,0))</f>
        <v>2</v>
      </c>
      <c r="Y240" s="20">
        <f>IF('Raw profile'!X168&gt;0,1,IF('Raw profile'!X271&gt;0,2,0))</f>
        <v>2</v>
      </c>
      <c r="Z240" s="20">
        <f>IF('Raw profile'!Y168&gt;0,1,IF('Raw profile'!Y271&gt;0,2,0))</f>
        <v>2</v>
      </c>
      <c r="AA240" s="20">
        <f>IF('Raw profile'!Z168&gt;0,1,IF('Raw profile'!Z271&gt;0,2,0))</f>
        <v>2</v>
      </c>
      <c r="AB240" s="20">
        <f>IF('Raw profile'!AA168&gt;0,1,IF('Raw profile'!AA271&gt;0,2,0))</f>
        <v>2</v>
      </c>
      <c r="AC240" s="20">
        <f>IF('Raw profile'!AB168&gt;0,1,IF('Raw profile'!AB271&gt;0,2,0))</f>
        <v>2</v>
      </c>
      <c r="AD240" s="20">
        <f>IF('Raw profile'!AC168&gt;0,1,IF('Raw profile'!AC271&gt;0,2,0))</f>
        <v>2</v>
      </c>
      <c r="AE240" s="20">
        <f>IF('Raw profile'!AD168&gt;0,1,IF('Raw profile'!AD271&gt;0,2,0))</f>
        <v>2</v>
      </c>
      <c r="AF240" s="20">
        <f>IF('Raw profile'!AE168&gt;0,1,IF('Raw profile'!AE271&gt;0,2,0))</f>
        <v>2</v>
      </c>
      <c r="AG240" s="20">
        <f>IF('Raw profile'!AF168&gt;0,1,IF('Raw profile'!AF271&gt;0,2,0))</f>
        <v>2</v>
      </c>
      <c r="AH240" s="20">
        <f>IF('Raw profile'!AG168&gt;0,1,IF('Raw profile'!AG271&gt;0,2,0))</f>
        <v>2</v>
      </c>
      <c r="AI240" s="20">
        <f>IF('Raw profile'!AH168&gt;0,1,IF('Raw profile'!AH271&gt;0,2,0))</f>
        <v>2</v>
      </c>
      <c r="AJ240" s="20">
        <f>IF('Raw profile'!AI168&gt;0,1,IF('Raw profile'!AI271&gt;0,2,0))</f>
        <v>2</v>
      </c>
      <c r="AK240" s="20">
        <f>IF('Raw profile'!AJ168&gt;0,1,IF('Raw profile'!AJ271&gt;0,2,0))</f>
        <v>2</v>
      </c>
      <c r="AL240" s="20">
        <f>IF('Raw profile'!AK168&gt;0,1,IF('Raw profile'!AK271&gt;0,2,0))</f>
        <v>2</v>
      </c>
      <c r="AM240" s="20">
        <f>IF('Raw profile'!AL168&gt;0,1,IF('Raw profile'!AL271&gt;0,2,0))</f>
        <v>2</v>
      </c>
      <c r="AN240" s="20">
        <f>IF('Raw profile'!AM168&gt;0,1,IF('Raw profile'!AM271&gt;0,2,0))</f>
        <v>2</v>
      </c>
      <c r="AO240" s="20">
        <f>IF('Raw profile'!AN168&gt;0,1,IF('Raw profile'!AN271&gt;0,2,0))</f>
        <v>2</v>
      </c>
      <c r="AP240" s="20">
        <f>IF('Raw profile'!AO168&gt;0,1,IF('Raw profile'!AO271&gt;0,2,0))</f>
        <v>2</v>
      </c>
      <c r="AQ240" s="20">
        <f>IF('Raw profile'!AP168&gt;0,1,IF('Raw profile'!AP271&gt;0,2,0))</f>
        <v>2</v>
      </c>
      <c r="AR240" s="20">
        <f>IF('Raw profile'!AQ168&gt;0,1,IF('Raw profile'!AQ271&gt;0,2,0))</f>
        <v>2</v>
      </c>
      <c r="AS240" s="20">
        <f>IF('Raw profile'!AR168&gt;0,1,IF('Raw profile'!AR271&gt;0,2,0))</f>
        <v>2</v>
      </c>
      <c r="AT240" s="20">
        <f>IF('Raw profile'!AS168&gt;0,1,IF('Raw profile'!AS271&gt;0,2,0))</f>
        <v>2</v>
      </c>
      <c r="AU240" s="20">
        <f>IF('Raw profile'!AT168&gt;0,1,IF('Raw profile'!AT271&gt;0,2,0))</f>
        <v>2</v>
      </c>
      <c r="AV240" s="20">
        <f>IF('Raw profile'!AU168&gt;0,1,IF('Raw profile'!AU271&gt;0,2,0))</f>
        <v>2</v>
      </c>
      <c r="AW240" s="20">
        <f>IF('Raw profile'!AV168&gt;0,1,IF('Raw profile'!AV271&gt;0,2,0))</f>
        <v>2</v>
      </c>
      <c r="AX240" s="20">
        <f>IF('Raw profile'!AW168&gt;0,1,IF('Raw profile'!AW271&gt;0,2,0))</f>
        <v>2</v>
      </c>
      <c r="AY240" s="20">
        <f>IF('Raw profile'!AX168&gt;0,1,IF('Raw profile'!AX271&gt;0,2,0))</f>
        <v>2</v>
      </c>
      <c r="AZ240" s="20">
        <f>IF('Raw profile'!AY168&gt;0,1,IF('Raw profile'!AY271&gt;0,2,0))</f>
        <v>2</v>
      </c>
      <c r="BA240" s="20">
        <f>IF('Raw profile'!AZ168&gt;0,1,IF('Raw profile'!AZ271&gt;0,2,0))</f>
        <v>2</v>
      </c>
      <c r="BB240" s="20">
        <f>IF('Raw profile'!BA168&gt;0,1,IF('Raw profile'!BA271&gt;0,2,0))</f>
        <v>2</v>
      </c>
      <c r="BC240" s="20">
        <f>IF('Raw profile'!BB168&gt;0,1,IF('Raw profile'!BB271&gt;0,2,0))</f>
        <v>2</v>
      </c>
      <c r="BD240" s="20">
        <f>IF('Raw profile'!BC168&gt;0,1,IF('Raw profile'!BC271&gt;0,2,0))</f>
        <v>2</v>
      </c>
      <c r="BE240" s="20">
        <f>IF('Raw profile'!BD168&gt;0,1,IF('Raw profile'!BD271&gt;0,2,0))</f>
        <v>2</v>
      </c>
      <c r="BF240" s="20">
        <f>IF('Raw profile'!BE168&gt;0,1,IF('Raw profile'!BE271&gt;0,2,0))</f>
        <v>2</v>
      </c>
      <c r="BG240" s="20">
        <f>IF('Raw profile'!BF168&gt;0,1,IF('Raw profile'!BF271&gt;0,2,0))</f>
        <v>2</v>
      </c>
      <c r="BH240" s="20">
        <f>IF('Raw profile'!BG168&gt;0,1,IF('Raw profile'!BG271&gt;0,2,0))</f>
        <v>2</v>
      </c>
      <c r="BI240" s="20">
        <f>IF('Raw profile'!BH168&gt;0,1,IF('Raw profile'!BH271&gt;0,2,0))</f>
        <v>2</v>
      </c>
      <c r="BJ240" s="20">
        <f>IF('Raw profile'!BI168&gt;0,1,IF('Raw profile'!BI271&gt;0,2,0))</f>
        <v>2</v>
      </c>
      <c r="BK240" s="21">
        <f>IF('Raw profile'!BJ168&gt;0,1,IF('Raw profile'!BJ271&gt;0,2,0))</f>
        <v>0</v>
      </c>
    </row>
    <row r="241" spans="1:63" x14ac:dyDescent="0.3">
      <c r="B241" s="13" t="s">
        <v>4</v>
      </c>
      <c r="C241" s="19">
        <f>'Growth profile'!I60</f>
        <v>2033</v>
      </c>
      <c r="D241" s="20">
        <f>IF('Growth profile'!C168&gt;0,1,IF('Growth profile'!C271&gt;0,3,0))</f>
        <v>0</v>
      </c>
      <c r="E241" s="20">
        <f>IF('Growth profile'!D168&gt;0,1,IF('Growth profile'!D271&gt;0,3,0))</f>
        <v>0</v>
      </c>
      <c r="F241" s="20">
        <f>IF('Growth profile'!E168&gt;0,1,IF('Growth profile'!E271&gt;0,3,0))</f>
        <v>0</v>
      </c>
      <c r="G241" s="20">
        <f>IF('Growth profile'!F168&gt;0,1,IF('Growth profile'!F271&gt;0,3,0))</f>
        <v>0</v>
      </c>
      <c r="H241" s="20">
        <f>IF('Growth profile'!G168&gt;0,1,IF('Growth profile'!G271&gt;0,3,0))</f>
        <v>0</v>
      </c>
      <c r="I241" s="20">
        <f>IF('Growth profile'!H168&gt;0,1,IF('Growth profile'!H271&gt;0,3,0))</f>
        <v>0</v>
      </c>
      <c r="J241" s="20">
        <f>IF('Growth profile'!I168&gt;0,1,IF('Growth profile'!I271&gt;0,3,0))</f>
        <v>0</v>
      </c>
      <c r="K241" s="20">
        <f>IF('Growth profile'!J168&gt;0,1,IF('Growth profile'!J271&gt;0,3,0))</f>
        <v>1</v>
      </c>
      <c r="L241" s="20">
        <f>IF('Growth profile'!K168&gt;0,1,IF('Growth profile'!K271&gt;0,3,0))</f>
        <v>1</v>
      </c>
      <c r="M241" s="20">
        <f>IF('Growth profile'!L168&gt;0,1,IF('Growth profile'!L271&gt;0,3,0))</f>
        <v>1</v>
      </c>
      <c r="N241" s="20">
        <f>IF('Growth profile'!M168&gt;0,1,IF('Growth profile'!M271&gt;0,3,0))</f>
        <v>1</v>
      </c>
      <c r="O241" s="20">
        <f>IF('Growth profile'!N168&gt;0,1,IF('Growth profile'!N271&gt;0,3,0))</f>
        <v>1</v>
      </c>
      <c r="P241" s="20">
        <f>IF('Growth profile'!O168&gt;0,1,IF('Growth profile'!O271&gt;0,3,0))</f>
        <v>3</v>
      </c>
      <c r="Q241" s="20">
        <f>IF('Growth profile'!P168&gt;0,1,IF('Growth profile'!P271&gt;0,3,0))</f>
        <v>3</v>
      </c>
      <c r="R241" s="20">
        <f>IF('Growth profile'!Q168&gt;0,1,IF('Growth profile'!Q271&gt;0,3,0))</f>
        <v>3</v>
      </c>
      <c r="S241" s="20">
        <f>IF('Growth profile'!R168&gt;0,1,IF('Growth profile'!R271&gt;0,3,0))</f>
        <v>3</v>
      </c>
      <c r="T241" s="20">
        <f>IF('Growth profile'!S168&gt;0,1,IF('Growth profile'!S271&gt;0,3,0))</f>
        <v>3</v>
      </c>
      <c r="U241" s="20">
        <f>IF('Growth profile'!T168&gt;0,1,IF('Growth profile'!T271&gt;0,3,0))</f>
        <v>3</v>
      </c>
      <c r="V241" s="20">
        <f>IF('Growth profile'!U168&gt;0,1,IF('Growth profile'!U271&gt;0,3,0))</f>
        <v>3</v>
      </c>
      <c r="W241" s="20">
        <f>IF('Growth profile'!V168&gt;0,1,IF('Growth profile'!V271&gt;0,3,0))</f>
        <v>3</v>
      </c>
      <c r="X241" s="20">
        <f>IF('Growth profile'!W168&gt;0,1,IF('Growth profile'!W271&gt;0,3,0))</f>
        <v>3</v>
      </c>
      <c r="Y241" s="20">
        <f>IF('Growth profile'!X168&gt;0,1,IF('Growth profile'!X271&gt;0,3,0))</f>
        <v>3</v>
      </c>
      <c r="Z241" s="20">
        <f>IF('Growth profile'!Y168&gt;0,1,IF('Growth profile'!Y271&gt;0,3,0))</f>
        <v>3</v>
      </c>
      <c r="AA241" s="20">
        <f>IF('Growth profile'!Z168&gt;0,1,IF('Growth profile'!Z271&gt;0,3,0))</f>
        <v>3</v>
      </c>
      <c r="AB241" s="20">
        <f>IF('Growth profile'!AA168&gt;0,1,IF('Growth profile'!AA271&gt;0,3,0))</f>
        <v>3</v>
      </c>
      <c r="AC241" s="20">
        <f>IF('Growth profile'!AB168&gt;0,1,IF('Growth profile'!AB271&gt;0,3,0))</f>
        <v>3</v>
      </c>
      <c r="AD241" s="20">
        <f>IF('Growth profile'!AC168&gt;0,1,IF('Growth profile'!AC271&gt;0,3,0))</f>
        <v>3</v>
      </c>
      <c r="AE241" s="20">
        <f>IF('Growth profile'!AD168&gt;0,1,IF('Growth profile'!AD271&gt;0,3,0))</f>
        <v>3</v>
      </c>
      <c r="AF241" s="20">
        <f>IF('Growth profile'!AE168&gt;0,1,IF('Growth profile'!AE271&gt;0,3,0))</f>
        <v>3</v>
      </c>
      <c r="AG241" s="20">
        <f>IF('Growth profile'!AF168&gt;0,1,IF('Growth profile'!AF271&gt;0,3,0))</f>
        <v>3</v>
      </c>
      <c r="AH241" s="20">
        <f>IF('Growth profile'!AG168&gt;0,1,IF('Growth profile'!AG271&gt;0,3,0))</f>
        <v>3</v>
      </c>
      <c r="AI241" s="20">
        <f>IF('Growth profile'!AH168&gt;0,1,IF('Growth profile'!AH271&gt;0,3,0))</f>
        <v>3</v>
      </c>
      <c r="AJ241" s="20">
        <f>IF('Growth profile'!AI168&gt;0,1,IF('Growth profile'!AI271&gt;0,3,0))</f>
        <v>3</v>
      </c>
      <c r="AK241" s="20">
        <f>IF('Growth profile'!AJ168&gt;0,1,IF('Growth profile'!AJ271&gt;0,3,0))</f>
        <v>3</v>
      </c>
      <c r="AL241" s="20">
        <f>IF('Growth profile'!AK168&gt;0,1,IF('Growth profile'!AK271&gt;0,3,0))</f>
        <v>3</v>
      </c>
      <c r="AM241" s="20">
        <f>IF('Growth profile'!AL168&gt;0,1,IF('Growth profile'!AL271&gt;0,3,0))</f>
        <v>3</v>
      </c>
      <c r="AN241" s="20">
        <f>IF('Growth profile'!AM168&gt;0,1,IF('Growth profile'!AM271&gt;0,3,0))</f>
        <v>3</v>
      </c>
      <c r="AO241" s="20">
        <f>IF('Growth profile'!AN168&gt;0,1,IF('Growth profile'!AN271&gt;0,3,0))</f>
        <v>3</v>
      </c>
      <c r="AP241" s="20">
        <f>IF('Growth profile'!AO168&gt;0,1,IF('Growth profile'!AO271&gt;0,3,0))</f>
        <v>3</v>
      </c>
      <c r="AQ241" s="20">
        <f>IF('Growth profile'!AP168&gt;0,1,IF('Growth profile'!AP271&gt;0,3,0))</f>
        <v>3</v>
      </c>
      <c r="AR241" s="20">
        <f>IF('Growth profile'!AQ168&gt;0,1,IF('Growth profile'!AQ271&gt;0,3,0))</f>
        <v>3</v>
      </c>
      <c r="AS241" s="20">
        <f>IF('Growth profile'!AR168&gt;0,1,IF('Growth profile'!AR271&gt;0,3,0))</f>
        <v>3</v>
      </c>
      <c r="AT241" s="20">
        <f>IF('Growth profile'!AS168&gt;0,1,IF('Growth profile'!AS271&gt;0,3,0))</f>
        <v>3</v>
      </c>
      <c r="AU241" s="20">
        <f>IF('Growth profile'!AT168&gt;0,1,IF('Growth profile'!AT271&gt;0,3,0))</f>
        <v>3</v>
      </c>
      <c r="AV241" s="20">
        <f>IF('Growth profile'!AU168&gt;0,1,IF('Growth profile'!AU271&gt;0,3,0))</f>
        <v>3</v>
      </c>
      <c r="AW241" s="20">
        <f>IF('Growth profile'!AV168&gt;0,1,IF('Growth profile'!AV271&gt;0,3,0))</f>
        <v>3</v>
      </c>
      <c r="AX241" s="20">
        <f>IF('Growth profile'!AW168&gt;0,1,IF('Growth profile'!AW271&gt;0,3,0))</f>
        <v>3</v>
      </c>
      <c r="AY241" s="20">
        <f>IF('Growth profile'!AX168&gt;0,1,IF('Growth profile'!AX271&gt;0,3,0))</f>
        <v>3</v>
      </c>
      <c r="AZ241" s="20">
        <f>IF('Growth profile'!AY168&gt;0,1,IF('Growth profile'!AY271&gt;0,3,0))</f>
        <v>3</v>
      </c>
      <c r="BA241" s="20">
        <f>IF('Growth profile'!AZ168&gt;0,1,IF('Growth profile'!AZ271&gt;0,3,0))</f>
        <v>3</v>
      </c>
      <c r="BB241" s="20">
        <f>IF('Growth profile'!BA168&gt;0,1,IF('Growth profile'!BA271&gt;0,3,0))</f>
        <v>3</v>
      </c>
      <c r="BC241" s="20">
        <f>IF('Growth profile'!BB168&gt;0,1,IF('Growth profile'!BB271&gt;0,3,0))</f>
        <v>3</v>
      </c>
      <c r="BD241" s="20">
        <f>IF('Growth profile'!BC168&gt;0,1,IF('Growth profile'!BC271&gt;0,3,0))</f>
        <v>0</v>
      </c>
      <c r="BE241" s="20">
        <f>IF('Growth profile'!BD168&gt;0,1,IF('Growth profile'!BD271&gt;0,3,0))</f>
        <v>0</v>
      </c>
      <c r="BF241" s="20">
        <f>IF('Growth profile'!BE168&gt;0,1,IF('Growth profile'!BE271&gt;0,3,0))</f>
        <v>0</v>
      </c>
      <c r="BG241" s="20">
        <f>IF('Growth profile'!BF168&gt;0,1,IF('Growth profile'!BF271&gt;0,3,0))</f>
        <v>0</v>
      </c>
      <c r="BH241" s="20">
        <f>IF('Growth profile'!BG168&gt;0,1,IF('Growth profile'!BG271&gt;0,3,0))</f>
        <v>0</v>
      </c>
      <c r="BI241" s="20">
        <f>IF('Growth profile'!BH168&gt;0,1,IF('Growth profile'!BH271&gt;0,3,0))</f>
        <v>0</v>
      </c>
      <c r="BJ241" s="20">
        <f>IF('Growth profile'!BI168&gt;0,1,IF('Growth profile'!BI271&gt;0,3,0))</f>
        <v>0</v>
      </c>
      <c r="BK241" s="21">
        <f>IF('Growth profile'!BJ168&gt;0,1,IF('Growth profile'!BJ271&gt;0,3,0))</f>
        <v>0</v>
      </c>
    </row>
    <row r="242" spans="1:63" x14ac:dyDescent="0.3">
      <c r="B242" s="13" t="s">
        <v>59</v>
      </c>
      <c r="C242" s="19">
        <f>'Growth (no penalty)'!I60</f>
        <v>2041</v>
      </c>
      <c r="D242" s="22">
        <f>IF('Growth (no penalty)'!C168&gt;0,1,IF('Growth (no penalty)'!C271&gt;0,4,0))</f>
        <v>0</v>
      </c>
      <c r="E242" s="22">
        <f>IF('Growth (no penalty)'!D168&gt;0,1,IF('Growth (no penalty)'!D271&gt;0,4,0))</f>
        <v>0</v>
      </c>
      <c r="F242" s="22">
        <f>IF('Growth (no penalty)'!E168&gt;0,1,IF('Growth (no penalty)'!E271&gt;0,4,0))</f>
        <v>0</v>
      </c>
      <c r="G242" s="22">
        <f>IF('Growth (no penalty)'!F168&gt;0,1,IF('Growth (no penalty)'!F271&gt;0,4,0))</f>
        <v>0</v>
      </c>
      <c r="H242" s="22">
        <f>IF('Growth (no penalty)'!G168&gt;0,1,IF('Growth (no penalty)'!G271&gt;0,4,0))</f>
        <v>0</v>
      </c>
      <c r="I242" s="22">
        <f>IF('Growth (no penalty)'!H168&gt;0,1,IF('Growth (no penalty)'!H271&gt;0,4,0))</f>
        <v>0</v>
      </c>
      <c r="J242" s="22">
        <f>IF('Growth (no penalty)'!I168&gt;0,1,IF('Growth (no penalty)'!I271&gt;0,4,0))</f>
        <v>0</v>
      </c>
      <c r="K242" s="22">
        <f>IF('Growth (no penalty)'!J168&gt;0,1,IF('Growth (no penalty)'!J271&gt;0,4,0))</f>
        <v>0</v>
      </c>
      <c r="L242" s="22">
        <f>IF('Growth (no penalty)'!K168&gt;0,1,IF('Growth (no penalty)'!K271&gt;0,4,0))</f>
        <v>0</v>
      </c>
      <c r="M242" s="22">
        <f>IF('Growth (no penalty)'!L168&gt;0,1,IF('Growth (no penalty)'!L271&gt;0,4,0))</f>
        <v>0</v>
      </c>
      <c r="N242" s="22">
        <f>IF('Growth (no penalty)'!M168&gt;0,1,IF('Growth (no penalty)'!M271&gt;0,4,0))</f>
        <v>0</v>
      </c>
      <c r="O242" s="22">
        <f>IF('Growth (no penalty)'!N168&gt;0,1,IF('Growth (no penalty)'!N271&gt;0,4,0))</f>
        <v>0</v>
      </c>
      <c r="P242" s="22">
        <f>IF('Growth (no penalty)'!O168&gt;0,1,IF('Growth (no penalty)'!O271&gt;0,4,0))</f>
        <v>0</v>
      </c>
      <c r="Q242" s="22">
        <f>IF('Growth (no penalty)'!P168&gt;0,1,IF('Growth (no penalty)'!P271&gt;0,4,0))</f>
        <v>0</v>
      </c>
      <c r="R242" s="22">
        <f>IF('Growth (no penalty)'!Q168&gt;0,1,IF('Growth (no penalty)'!Q271&gt;0,4,0))</f>
        <v>0</v>
      </c>
      <c r="S242" s="22">
        <f>IF('Growth (no penalty)'!R168&gt;0,1,IF('Growth (no penalty)'!R271&gt;0,4,0))</f>
        <v>1</v>
      </c>
      <c r="T242" s="22">
        <f>IF('Growth (no penalty)'!S168&gt;0,1,IF('Growth (no penalty)'!S271&gt;0,4,0))</f>
        <v>1</v>
      </c>
      <c r="U242" s="22">
        <f>IF('Growth (no penalty)'!T168&gt;0,1,IF('Growth (no penalty)'!T271&gt;0,4,0))</f>
        <v>1</v>
      </c>
      <c r="V242" s="22">
        <f>IF('Growth (no penalty)'!U168&gt;0,1,IF('Growth (no penalty)'!U271&gt;0,4,0))</f>
        <v>1</v>
      </c>
      <c r="W242" s="22">
        <f>IF('Growth (no penalty)'!V168&gt;0,1,IF('Growth (no penalty)'!V271&gt;0,4,0))</f>
        <v>1</v>
      </c>
      <c r="X242" s="22">
        <f>IF('Growth (no penalty)'!W168&gt;0,1,IF('Growth (no penalty)'!W271&gt;0,4,0))</f>
        <v>4</v>
      </c>
      <c r="Y242" s="22">
        <f>IF('Growth (no penalty)'!X168&gt;0,1,IF('Growth (no penalty)'!X271&gt;0,4,0))</f>
        <v>4</v>
      </c>
      <c r="Z242" s="22">
        <f>IF('Growth (no penalty)'!Y168&gt;0,1,IF('Growth (no penalty)'!Y271&gt;0,4,0))</f>
        <v>4</v>
      </c>
      <c r="AA242" s="22">
        <f>IF('Growth (no penalty)'!Z168&gt;0,1,IF('Growth (no penalty)'!Z271&gt;0,4,0))</f>
        <v>4</v>
      </c>
      <c r="AB242" s="22">
        <f>IF('Growth (no penalty)'!AA168&gt;0,1,IF('Growth (no penalty)'!AA271&gt;0,4,0))</f>
        <v>4</v>
      </c>
      <c r="AC242" s="22">
        <f>IF('Growth (no penalty)'!AB168&gt;0,1,IF('Growth (no penalty)'!AB271&gt;0,4,0))</f>
        <v>4</v>
      </c>
      <c r="AD242" s="22">
        <f>IF('Growth (no penalty)'!AC168&gt;0,1,IF('Growth (no penalty)'!AC271&gt;0,4,0))</f>
        <v>4</v>
      </c>
      <c r="AE242" s="22">
        <f>IF('Growth (no penalty)'!AD168&gt;0,1,IF('Growth (no penalty)'!AD271&gt;0,4,0))</f>
        <v>4</v>
      </c>
      <c r="AF242" s="22">
        <f>IF('Growth (no penalty)'!AE168&gt;0,1,IF('Growth (no penalty)'!AE271&gt;0,4,0))</f>
        <v>4</v>
      </c>
      <c r="AG242" s="22">
        <f>IF('Growth (no penalty)'!AF168&gt;0,1,IF('Growth (no penalty)'!AF271&gt;0,4,0))</f>
        <v>4</v>
      </c>
      <c r="AH242" s="22">
        <f>IF('Growth (no penalty)'!AG168&gt;0,1,IF('Growth (no penalty)'!AG271&gt;0,4,0))</f>
        <v>4</v>
      </c>
      <c r="AI242" s="22">
        <f>IF('Growth (no penalty)'!AH168&gt;0,1,IF('Growth (no penalty)'!AH271&gt;0,4,0))</f>
        <v>4</v>
      </c>
      <c r="AJ242" s="22">
        <f>IF('Growth (no penalty)'!AI168&gt;0,1,IF('Growth (no penalty)'!AI271&gt;0,4,0))</f>
        <v>4</v>
      </c>
      <c r="AK242" s="22">
        <f>IF('Growth (no penalty)'!AJ168&gt;0,1,IF('Growth (no penalty)'!AJ271&gt;0,4,0))</f>
        <v>4</v>
      </c>
      <c r="AL242" s="22">
        <f>IF('Growth (no penalty)'!AK168&gt;0,1,IF('Growth (no penalty)'!AK271&gt;0,4,0))</f>
        <v>4</v>
      </c>
      <c r="AM242" s="22">
        <f>IF('Growth (no penalty)'!AL168&gt;0,1,IF('Growth (no penalty)'!AL271&gt;0,4,0))</f>
        <v>4</v>
      </c>
      <c r="AN242" s="22">
        <f>IF('Growth (no penalty)'!AM168&gt;0,1,IF('Growth (no penalty)'!AM271&gt;0,4,0))</f>
        <v>4</v>
      </c>
      <c r="AO242" s="22">
        <f>IF('Growth (no penalty)'!AN168&gt;0,1,IF('Growth (no penalty)'!AN271&gt;0,4,0))</f>
        <v>4</v>
      </c>
      <c r="AP242" s="22">
        <f>IF('Growth (no penalty)'!AO168&gt;0,1,IF('Growth (no penalty)'!AO271&gt;0,4,0))</f>
        <v>4</v>
      </c>
      <c r="AQ242" s="22">
        <f>IF('Growth (no penalty)'!AP168&gt;0,1,IF('Growth (no penalty)'!AP271&gt;0,4,0))</f>
        <v>4</v>
      </c>
      <c r="AR242" s="22">
        <f>IF('Growth (no penalty)'!AQ168&gt;0,1,IF('Growth (no penalty)'!AQ271&gt;0,4,0))</f>
        <v>4</v>
      </c>
      <c r="AS242" s="22">
        <f>IF('Growth (no penalty)'!AR168&gt;0,1,IF('Growth (no penalty)'!AR271&gt;0,4,0))</f>
        <v>4</v>
      </c>
      <c r="AT242" s="22">
        <f>IF('Growth (no penalty)'!AS168&gt;0,1,IF('Growth (no penalty)'!AS271&gt;0,4,0))</f>
        <v>4</v>
      </c>
      <c r="AU242" s="22">
        <f>IF('Growth (no penalty)'!AT168&gt;0,1,IF('Growth (no penalty)'!AT271&gt;0,4,0))</f>
        <v>4</v>
      </c>
      <c r="AV242" s="22">
        <f>IF('Growth (no penalty)'!AU168&gt;0,1,IF('Growth (no penalty)'!AU271&gt;0,4,0))</f>
        <v>4</v>
      </c>
      <c r="AW242" s="22">
        <f>IF('Growth (no penalty)'!AV168&gt;0,1,IF('Growth (no penalty)'!AV271&gt;0,4,0))</f>
        <v>4</v>
      </c>
      <c r="AX242" s="22">
        <f>IF('Growth (no penalty)'!AW168&gt;0,1,IF('Growth (no penalty)'!AW271&gt;0,4,0))</f>
        <v>4</v>
      </c>
      <c r="AY242" s="22">
        <f>IF('Growth (no penalty)'!AX168&gt;0,1,IF('Growth (no penalty)'!AX271&gt;0,4,0))</f>
        <v>4</v>
      </c>
      <c r="AZ242" s="22">
        <f>IF('Growth (no penalty)'!AY168&gt;0,1,IF('Growth (no penalty)'!AY271&gt;0,4,0))</f>
        <v>4</v>
      </c>
      <c r="BA242" s="22">
        <f>IF('Growth (no penalty)'!AZ168&gt;0,1,IF('Growth (no penalty)'!AZ271&gt;0,4,0))</f>
        <v>4</v>
      </c>
      <c r="BB242" s="22">
        <f>IF('Growth (no penalty)'!BA168&gt;0,1,IF('Growth (no penalty)'!BA271&gt;0,4,0))</f>
        <v>4</v>
      </c>
      <c r="BC242" s="22">
        <f>IF('Growth (no penalty)'!BB168&gt;0,1,IF('Growth (no penalty)'!BB271&gt;0,4,0))</f>
        <v>4</v>
      </c>
      <c r="BD242" s="22">
        <f>IF('Growth (no penalty)'!BC168&gt;0,1,IF('Growth (no penalty)'!BC271&gt;0,4,0))</f>
        <v>4</v>
      </c>
      <c r="BE242" s="22">
        <f>IF('Growth (no penalty)'!BD168&gt;0,1,IF('Growth (no penalty)'!BD271&gt;0,4,0))</f>
        <v>4</v>
      </c>
      <c r="BF242" s="22">
        <f>IF('Growth (no penalty)'!BE168&gt;0,1,IF('Growth (no penalty)'!BE271&gt;0,4,0))</f>
        <v>4</v>
      </c>
      <c r="BG242" s="22">
        <f>IF('Growth (no penalty)'!BF168&gt;0,1,IF('Growth (no penalty)'!BF271&gt;0,4,0))</f>
        <v>4</v>
      </c>
      <c r="BH242" s="22">
        <f>IF('Growth (no penalty)'!BG168&gt;0,1,IF('Growth (no penalty)'!BG271&gt;0,4,0))</f>
        <v>4</v>
      </c>
      <c r="BI242" s="22">
        <f>IF('Growth (no penalty)'!BH168&gt;0,1,IF('Growth (no penalty)'!BH271&gt;0,4,0))</f>
        <v>4</v>
      </c>
      <c r="BJ242" s="22">
        <f>IF('Growth (no penalty)'!BI168&gt;0,1,IF('Growth (no penalty)'!BI271&gt;0,4,0))</f>
        <v>4</v>
      </c>
      <c r="BK242" s="23">
        <f>IF('Growth (no penalty)'!BJ168&gt;0,1,IF('Growth (no penalty)'!BJ271&gt;0,4,0))</f>
        <v>4</v>
      </c>
    </row>
    <row r="243" spans="1:63" x14ac:dyDescent="0.3">
      <c r="A243" s="4" t="str">
        <f>'Growth profile'!A105</f>
        <v>project 168</v>
      </c>
      <c r="B243" s="13" t="s">
        <v>3</v>
      </c>
      <c r="C243" s="19">
        <f>'Raw profile'!I105</f>
        <v>2040</v>
      </c>
      <c r="D243" s="20">
        <f>IF('Raw profile'!C213&gt;0,1,IF('Raw profile'!C316&gt;0,2,0))</f>
        <v>0</v>
      </c>
      <c r="E243" s="20">
        <f>IF('Raw profile'!D213&gt;0,1,IF('Raw profile'!D316&gt;0,2,0))</f>
        <v>0</v>
      </c>
      <c r="F243" s="20">
        <f>IF('Raw profile'!E213&gt;0,1,IF('Raw profile'!E316&gt;0,2,0))</f>
        <v>0</v>
      </c>
      <c r="G243" s="20">
        <f>IF('Raw profile'!F213&gt;0,1,IF('Raw profile'!F316&gt;0,2,0))</f>
        <v>0</v>
      </c>
      <c r="H243" s="20">
        <f>IF('Raw profile'!G213&gt;0,1,IF('Raw profile'!G316&gt;0,2,0))</f>
        <v>0</v>
      </c>
      <c r="I243" s="20">
        <f>IF('Raw profile'!H213&gt;0,1,IF('Raw profile'!H316&gt;0,2,0))</f>
        <v>0</v>
      </c>
      <c r="J243" s="20">
        <f>IF('Raw profile'!I213&gt;0,1,IF('Raw profile'!I316&gt;0,2,0))</f>
        <v>0</v>
      </c>
      <c r="K243" s="20">
        <f>IF('Raw profile'!J213&gt;0,1,IF('Raw profile'!J316&gt;0,2,0))</f>
        <v>0</v>
      </c>
      <c r="L243" s="20">
        <f>IF('Raw profile'!K213&gt;0,1,IF('Raw profile'!K316&gt;0,2,0))</f>
        <v>0</v>
      </c>
      <c r="M243" s="20">
        <f>IF('Raw profile'!L213&gt;0,1,IF('Raw profile'!L316&gt;0,2,0))</f>
        <v>0</v>
      </c>
      <c r="N243" s="20">
        <f>IF('Raw profile'!M213&gt;0,1,IF('Raw profile'!M316&gt;0,2,0))</f>
        <v>0</v>
      </c>
      <c r="O243" s="20">
        <f>IF('Raw profile'!N213&gt;0,1,IF('Raw profile'!N316&gt;0,2,0))</f>
        <v>0</v>
      </c>
      <c r="P243" s="20">
        <f>IF('Raw profile'!O213&gt;0,1,IF('Raw profile'!O316&gt;0,2,0))</f>
        <v>0</v>
      </c>
      <c r="Q243" s="20">
        <f>IF('Raw profile'!P213&gt;0,1,IF('Raw profile'!P316&gt;0,2,0))</f>
        <v>0</v>
      </c>
      <c r="R243" s="20">
        <f>IF('Raw profile'!Q213&gt;0,1,IF('Raw profile'!Q316&gt;0,2,0))</f>
        <v>1</v>
      </c>
      <c r="S243" s="20">
        <f>IF('Raw profile'!R213&gt;0,1,IF('Raw profile'!R316&gt;0,2,0))</f>
        <v>1</v>
      </c>
      <c r="T243" s="20">
        <f>IF('Raw profile'!S213&gt;0,1,IF('Raw profile'!S316&gt;0,2,0))</f>
        <v>1</v>
      </c>
      <c r="U243" s="20">
        <f>IF('Raw profile'!T213&gt;0,1,IF('Raw profile'!T316&gt;0,2,0))</f>
        <v>1</v>
      </c>
      <c r="V243" s="20">
        <f>IF('Raw profile'!U213&gt;0,1,IF('Raw profile'!U316&gt;0,2,0))</f>
        <v>1</v>
      </c>
      <c r="W243" s="20">
        <f>IF('Raw profile'!V213&gt;0,1,IF('Raw profile'!V316&gt;0,2,0))</f>
        <v>2</v>
      </c>
      <c r="X243" s="20">
        <f>IF('Raw profile'!W213&gt;0,1,IF('Raw profile'!W316&gt;0,2,0))</f>
        <v>2</v>
      </c>
      <c r="Y243" s="20">
        <f>IF('Raw profile'!X213&gt;0,1,IF('Raw profile'!X316&gt;0,2,0))</f>
        <v>2</v>
      </c>
      <c r="Z243" s="20">
        <f>IF('Raw profile'!Y213&gt;0,1,IF('Raw profile'!Y316&gt;0,2,0))</f>
        <v>2</v>
      </c>
      <c r="AA243" s="20">
        <f>IF('Raw profile'!Z213&gt;0,1,IF('Raw profile'!Z316&gt;0,2,0))</f>
        <v>2</v>
      </c>
      <c r="AB243" s="20">
        <f>IF('Raw profile'!AA213&gt;0,1,IF('Raw profile'!AA316&gt;0,2,0))</f>
        <v>2</v>
      </c>
      <c r="AC243" s="20">
        <f>IF('Raw profile'!AB213&gt;0,1,IF('Raw profile'!AB316&gt;0,2,0))</f>
        <v>2</v>
      </c>
      <c r="AD243" s="20">
        <f>IF('Raw profile'!AC213&gt;0,1,IF('Raw profile'!AC316&gt;0,2,0))</f>
        <v>2</v>
      </c>
      <c r="AE243" s="20">
        <f>IF('Raw profile'!AD213&gt;0,1,IF('Raw profile'!AD316&gt;0,2,0))</f>
        <v>2</v>
      </c>
      <c r="AF243" s="20">
        <f>IF('Raw profile'!AE213&gt;0,1,IF('Raw profile'!AE316&gt;0,2,0))</f>
        <v>2</v>
      </c>
      <c r="AG243" s="20">
        <f>IF('Raw profile'!AF213&gt;0,1,IF('Raw profile'!AF316&gt;0,2,0))</f>
        <v>2</v>
      </c>
      <c r="AH243" s="20">
        <f>IF('Raw profile'!AG213&gt;0,1,IF('Raw profile'!AG316&gt;0,2,0))</f>
        <v>2</v>
      </c>
      <c r="AI243" s="20">
        <f>IF('Raw profile'!AH213&gt;0,1,IF('Raw profile'!AH316&gt;0,2,0))</f>
        <v>2</v>
      </c>
      <c r="AJ243" s="20">
        <f>IF('Raw profile'!AI213&gt;0,1,IF('Raw profile'!AI316&gt;0,2,0))</f>
        <v>2</v>
      </c>
      <c r="AK243" s="20">
        <f>IF('Raw profile'!AJ213&gt;0,1,IF('Raw profile'!AJ316&gt;0,2,0))</f>
        <v>2</v>
      </c>
      <c r="AL243" s="20">
        <f>IF('Raw profile'!AK213&gt;0,1,IF('Raw profile'!AK316&gt;0,2,0))</f>
        <v>2</v>
      </c>
      <c r="AM243" s="20">
        <f>IF('Raw profile'!AL213&gt;0,1,IF('Raw profile'!AL316&gt;0,2,0))</f>
        <v>2</v>
      </c>
      <c r="AN243" s="20">
        <f>IF('Raw profile'!AM213&gt;0,1,IF('Raw profile'!AM316&gt;0,2,0))</f>
        <v>2</v>
      </c>
      <c r="AO243" s="20">
        <f>IF('Raw profile'!AN213&gt;0,1,IF('Raw profile'!AN316&gt;0,2,0))</f>
        <v>2</v>
      </c>
      <c r="AP243" s="20">
        <f>IF('Raw profile'!AO213&gt;0,1,IF('Raw profile'!AO316&gt;0,2,0))</f>
        <v>2</v>
      </c>
      <c r="AQ243" s="20">
        <f>IF('Raw profile'!AP213&gt;0,1,IF('Raw profile'!AP316&gt;0,2,0))</f>
        <v>2</v>
      </c>
      <c r="AR243" s="20">
        <f>IF('Raw profile'!AQ213&gt;0,1,IF('Raw profile'!AQ316&gt;0,2,0))</f>
        <v>2</v>
      </c>
      <c r="AS243" s="20">
        <f>IF('Raw profile'!AR213&gt;0,1,IF('Raw profile'!AR316&gt;0,2,0))</f>
        <v>2</v>
      </c>
      <c r="AT243" s="20">
        <f>IF('Raw profile'!AS213&gt;0,1,IF('Raw profile'!AS316&gt;0,2,0))</f>
        <v>2</v>
      </c>
      <c r="AU243" s="20">
        <f>IF('Raw profile'!AT213&gt;0,1,IF('Raw profile'!AT316&gt;0,2,0))</f>
        <v>2</v>
      </c>
      <c r="AV243" s="20">
        <f>IF('Raw profile'!AU213&gt;0,1,IF('Raw profile'!AU316&gt;0,2,0))</f>
        <v>2</v>
      </c>
      <c r="AW243" s="20">
        <f>IF('Raw profile'!AV213&gt;0,1,IF('Raw profile'!AV316&gt;0,2,0))</f>
        <v>2</v>
      </c>
      <c r="AX243" s="20">
        <f>IF('Raw profile'!AW213&gt;0,1,IF('Raw profile'!AW316&gt;0,2,0))</f>
        <v>2</v>
      </c>
      <c r="AY243" s="20">
        <f>IF('Raw profile'!AX213&gt;0,1,IF('Raw profile'!AX316&gt;0,2,0))</f>
        <v>2</v>
      </c>
      <c r="AZ243" s="20">
        <f>IF('Raw profile'!AY213&gt;0,1,IF('Raw profile'!AY316&gt;0,2,0))</f>
        <v>2</v>
      </c>
      <c r="BA243" s="20">
        <f>IF('Raw profile'!AZ213&gt;0,1,IF('Raw profile'!AZ316&gt;0,2,0))</f>
        <v>2</v>
      </c>
      <c r="BB243" s="20">
        <f>IF('Raw profile'!BA213&gt;0,1,IF('Raw profile'!BA316&gt;0,2,0))</f>
        <v>2</v>
      </c>
      <c r="BC243" s="20">
        <f>IF('Raw profile'!BB213&gt;0,1,IF('Raw profile'!BB316&gt;0,2,0))</f>
        <v>2</v>
      </c>
      <c r="BD243" s="20">
        <f>IF('Raw profile'!BC213&gt;0,1,IF('Raw profile'!BC316&gt;0,2,0))</f>
        <v>2</v>
      </c>
      <c r="BE243" s="20">
        <f>IF('Raw profile'!BD213&gt;0,1,IF('Raw profile'!BD316&gt;0,2,0))</f>
        <v>2</v>
      </c>
      <c r="BF243" s="20">
        <f>IF('Raw profile'!BE213&gt;0,1,IF('Raw profile'!BE316&gt;0,2,0))</f>
        <v>2</v>
      </c>
      <c r="BG243" s="20">
        <f>IF('Raw profile'!BF213&gt;0,1,IF('Raw profile'!BF316&gt;0,2,0))</f>
        <v>2</v>
      </c>
      <c r="BH243" s="20">
        <f>IF('Raw profile'!BG213&gt;0,1,IF('Raw profile'!BG316&gt;0,2,0))</f>
        <v>2</v>
      </c>
      <c r="BI243" s="20">
        <f>IF('Raw profile'!BH213&gt;0,1,IF('Raw profile'!BH316&gt;0,2,0))</f>
        <v>2</v>
      </c>
      <c r="BJ243" s="20">
        <f>IF('Raw profile'!BI213&gt;0,1,IF('Raw profile'!BI316&gt;0,2,0))</f>
        <v>2</v>
      </c>
      <c r="BK243" s="21">
        <f>IF('Raw profile'!BJ213&gt;0,1,IF('Raw profile'!BJ316&gt;0,2,0))</f>
        <v>0</v>
      </c>
    </row>
    <row r="244" spans="1:63" x14ac:dyDescent="0.3">
      <c r="B244" s="13" t="s">
        <v>4</v>
      </c>
      <c r="C244" s="19">
        <f>'Growth profile'!I105</f>
        <v>2035</v>
      </c>
      <c r="D244" s="20">
        <f>IF('Growth profile'!C213&gt;0,1,IF('Growth profile'!C316&gt;0,3,0))</f>
        <v>0</v>
      </c>
      <c r="E244" s="20">
        <f>IF('Growth profile'!D213&gt;0,1,IF('Growth profile'!D316&gt;0,3,0))</f>
        <v>0</v>
      </c>
      <c r="F244" s="20">
        <f>IF('Growth profile'!E213&gt;0,1,IF('Growth profile'!E316&gt;0,3,0))</f>
        <v>0</v>
      </c>
      <c r="G244" s="20">
        <f>IF('Growth profile'!F213&gt;0,1,IF('Growth profile'!F316&gt;0,3,0))</f>
        <v>0</v>
      </c>
      <c r="H244" s="20">
        <f>IF('Growth profile'!G213&gt;0,1,IF('Growth profile'!G316&gt;0,3,0))</f>
        <v>0</v>
      </c>
      <c r="I244" s="20">
        <f>IF('Growth profile'!H213&gt;0,1,IF('Growth profile'!H316&gt;0,3,0))</f>
        <v>0</v>
      </c>
      <c r="J244" s="20">
        <f>IF('Growth profile'!I213&gt;0,1,IF('Growth profile'!I316&gt;0,3,0))</f>
        <v>0</v>
      </c>
      <c r="K244" s="20">
        <f>IF('Growth profile'!J213&gt;0,1,IF('Growth profile'!J316&gt;0,3,0))</f>
        <v>0</v>
      </c>
      <c r="L244" s="20">
        <f>IF('Growth profile'!K213&gt;0,1,IF('Growth profile'!K316&gt;0,3,0))</f>
        <v>0</v>
      </c>
      <c r="M244" s="20">
        <f>IF('Growth profile'!L213&gt;0,1,IF('Growth profile'!L316&gt;0,3,0))</f>
        <v>1</v>
      </c>
      <c r="N244" s="20">
        <f>IF('Growth profile'!M213&gt;0,1,IF('Growth profile'!M316&gt;0,3,0))</f>
        <v>1</v>
      </c>
      <c r="O244" s="20">
        <f>IF('Growth profile'!N213&gt;0,1,IF('Growth profile'!N316&gt;0,3,0))</f>
        <v>1</v>
      </c>
      <c r="P244" s="20">
        <f>IF('Growth profile'!O213&gt;0,1,IF('Growth profile'!O316&gt;0,3,0))</f>
        <v>1</v>
      </c>
      <c r="Q244" s="20">
        <f>IF('Growth profile'!P213&gt;0,1,IF('Growth profile'!P316&gt;0,3,0))</f>
        <v>1</v>
      </c>
      <c r="R244" s="20">
        <f>IF('Growth profile'!Q213&gt;0,1,IF('Growth profile'!Q316&gt;0,3,0))</f>
        <v>3</v>
      </c>
      <c r="S244" s="20">
        <f>IF('Growth profile'!R213&gt;0,1,IF('Growth profile'!R316&gt;0,3,0))</f>
        <v>3</v>
      </c>
      <c r="T244" s="20">
        <f>IF('Growth profile'!S213&gt;0,1,IF('Growth profile'!S316&gt;0,3,0))</f>
        <v>3</v>
      </c>
      <c r="U244" s="20">
        <f>IF('Growth profile'!T213&gt;0,1,IF('Growth profile'!T316&gt;0,3,0))</f>
        <v>3</v>
      </c>
      <c r="V244" s="20">
        <f>IF('Growth profile'!U213&gt;0,1,IF('Growth profile'!U316&gt;0,3,0))</f>
        <v>3</v>
      </c>
      <c r="W244" s="20">
        <f>IF('Growth profile'!V213&gt;0,1,IF('Growth profile'!V316&gt;0,3,0))</f>
        <v>3</v>
      </c>
      <c r="X244" s="20">
        <f>IF('Growth profile'!W213&gt;0,1,IF('Growth profile'!W316&gt;0,3,0))</f>
        <v>3</v>
      </c>
      <c r="Y244" s="20">
        <f>IF('Growth profile'!X213&gt;0,1,IF('Growth profile'!X316&gt;0,3,0))</f>
        <v>3</v>
      </c>
      <c r="Z244" s="20">
        <f>IF('Growth profile'!Y213&gt;0,1,IF('Growth profile'!Y316&gt;0,3,0))</f>
        <v>3</v>
      </c>
      <c r="AA244" s="20">
        <f>IF('Growth profile'!Z213&gt;0,1,IF('Growth profile'!Z316&gt;0,3,0))</f>
        <v>3</v>
      </c>
      <c r="AB244" s="20">
        <f>IF('Growth profile'!AA213&gt;0,1,IF('Growth profile'!AA316&gt;0,3,0))</f>
        <v>3</v>
      </c>
      <c r="AC244" s="20">
        <f>IF('Growth profile'!AB213&gt;0,1,IF('Growth profile'!AB316&gt;0,3,0))</f>
        <v>3</v>
      </c>
      <c r="AD244" s="20">
        <f>IF('Growth profile'!AC213&gt;0,1,IF('Growth profile'!AC316&gt;0,3,0))</f>
        <v>3</v>
      </c>
      <c r="AE244" s="20">
        <f>IF('Growth profile'!AD213&gt;0,1,IF('Growth profile'!AD316&gt;0,3,0))</f>
        <v>3</v>
      </c>
      <c r="AF244" s="20">
        <f>IF('Growth profile'!AE213&gt;0,1,IF('Growth profile'!AE316&gt;0,3,0))</f>
        <v>3</v>
      </c>
      <c r="AG244" s="20">
        <f>IF('Growth profile'!AF213&gt;0,1,IF('Growth profile'!AF316&gt;0,3,0))</f>
        <v>3</v>
      </c>
      <c r="AH244" s="20">
        <f>IF('Growth profile'!AG213&gt;0,1,IF('Growth profile'!AG316&gt;0,3,0))</f>
        <v>3</v>
      </c>
      <c r="AI244" s="20">
        <f>IF('Growth profile'!AH213&gt;0,1,IF('Growth profile'!AH316&gt;0,3,0))</f>
        <v>3</v>
      </c>
      <c r="AJ244" s="20">
        <f>IF('Growth profile'!AI213&gt;0,1,IF('Growth profile'!AI316&gt;0,3,0))</f>
        <v>3</v>
      </c>
      <c r="AK244" s="20">
        <f>IF('Growth profile'!AJ213&gt;0,1,IF('Growth profile'!AJ316&gt;0,3,0))</f>
        <v>3</v>
      </c>
      <c r="AL244" s="20">
        <f>IF('Growth profile'!AK213&gt;0,1,IF('Growth profile'!AK316&gt;0,3,0))</f>
        <v>3</v>
      </c>
      <c r="AM244" s="20">
        <f>IF('Growth profile'!AL213&gt;0,1,IF('Growth profile'!AL316&gt;0,3,0))</f>
        <v>3</v>
      </c>
      <c r="AN244" s="20">
        <f>IF('Growth profile'!AM213&gt;0,1,IF('Growth profile'!AM316&gt;0,3,0))</f>
        <v>3</v>
      </c>
      <c r="AO244" s="20">
        <f>IF('Growth profile'!AN213&gt;0,1,IF('Growth profile'!AN316&gt;0,3,0))</f>
        <v>3</v>
      </c>
      <c r="AP244" s="20">
        <f>IF('Growth profile'!AO213&gt;0,1,IF('Growth profile'!AO316&gt;0,3,0))</f>
        <v>3</v>
      </c>
      <c r="AQ244" s="20">
        <f>IF('Growth profile'!AP213&gt;0,1,IF('Growth profile'!AP316&gt;0,3,0))</f>
        <v>3</v>
      </c>
      <c r="AR244" s="20">
        <f>IF('Growth profile'!AQ213&gt;0,1,IF('Growth profile'!AQ316&gt;0,3,0))</f>
        <v>3</v>
      </c>
      <c r="AS244" s="20">
        <f>IF('Growth profile'!AR213&gt;0,1,IF('Growth profile'!AR316&gt;0,3,0))</f>
        <v>3</v>
      </c>
      <c r="AT244" s="20">
        <f>IF('Growth profile'!AS213&gt;0,1,IF('Growth profile'!AS316&gt;0,3,0))</f>
        <v>3</v>
      </c>
      <c r="AU244" s="20">
        <f>IF('Growth profile'!AT213&gt;0,1,IF('Growth profile'!AT316&gt;0,3,0))</f>
        <v>3</v>
      </c>
      <c r="AV244" s="20">
        <f>IF('Growth profile'!AU213&gt;0,1,IF('Growth profile'!AU316&gt;0,3,0))</f>
        <v>3</v>
      </c>
      <c r="AW244" s="20">
        <f>IF('Growth profile'!AV213&gt;0,1,IF('Growth profile'!AV316&gt;0,3,0))</f>
        <v>3</v>
      </c>
      <c r="AX244" s="20">
        <f>IF('Growth profile'!AW213&gt;0,1,IF('Growth profile'!AW316&gt;0,3,0))</f>
        <v>3</v>
      </c>
      <c r="AY244" s="20">
        <f>IF('Growth profile'!AX213&gt;0,1,IF('Growth profile'!AX316&gt;0,3,0))</f>
        <v>3</v>
      </c>
      <c r="AZ244" s="20">
        <f>IF('Growth profile'!AY213&gt;0,1,IF('Growth profile'!AY316&gt;0,3,0))</f>
        <v>3</v>
      </c>
      <c r="BA244" s="20">
        <f>IF('Growth profile'!AZ213&gt;0,1,IF('Growth profile'!AZ316&gt;0,3,0))</f>
        <v>3</v>
      </c>
      <c r="BB244" s="20">
        <f>IF('Growth profile'!BA213&gt;0,1,IF('Growth profile'!BA316&gt;0,3,0))</f>
        <v>3</v>
      </c>
      <c r="BC244" s="20">
        <f>IF('Growth profile'!BB213&gt;0,1,IF('Growth profile'!BB316&gt;0,3,0))</f>
        <v>3</v>
      </c>
      <c r="BD244" s="20">
        <f>IF('Growth profile'!BC213&gt;0,1,IF('Growth profile'!BC316&gt;0,3,0))</f>
        <v>3</v>
      </c>
      <c r="BE244" s="20">
        <f>IF('Growth profile'!BD213&gt;0,1,IF('Growth profile'!BD316&gt;0,3,0))</f>
        <v>3</v>
      </c>
      <c r="BF244" s="20">
        <f>IF('Growth profile'!BE213&gt;0,1,IF('Growth profile'!BE316&gt;0,3,0))</f>
        <v>0</v>
      </c>
      <c r="BG244" s="20">
        <f>IF('Growth profile'!BF213&gt;0,1,IF('Growth profile'!BF316&gt;0,3,0))</f>
        <v>0</v>
      </c>
      <c r="BH244" s="20">
        <f>IF('Growth profile'!BG213&gt;0,1,IF('Growth profile'!BG316&gt;0,3,0))</f>
        <v>0</v>
      </c>
      <c r="BI244" s="20">
        <f>IF('Growth profile'!BH213&gt;0,1,IF('Growth profile'!BH316&gt;0,3,0))</f>
        <v>0</v>
      </c>
      <c r="BJ244" s="20">
        <f>IF('Growth profile'!BI213&gt;0,1,IF('Growth profile'!BI316&gt;0,3,0))</f>
        <v>0</v>
      </c>
      <c r="BK244" s="21">
        <f>IF('Growth profile'!BJ213&gt;0,1,IF('Growth profile'!BJ316&gt;0,3,0))</f>
        <v>0</v>
      </c>
    </row>
    <row r="245" spans="1:63" x14ac:dyDescent="0.3">
      <c r="B245" s="13" t="s">
        <v>59</v>
      </c>
      <c r="C245" s="19">
        <f>'Growth (no penalty)'!I105</f>
        <v>2041</v>
      </c>
      <c r="D245" s="22">
        <f>IF('Growth (no penalty)'!C213&gt;0,1,IF('Growth (no penalty)'!C316&gt;0,4,0))</f>
        <v>0</v>
      </c>
      <c r="E245" s="22">
        <f>IF('Growth (no penalty)'!D213&gt;0,1,IF('Growth (no penalty)'!D316&gt;0,4,0))</f>
        <v>0</v>
      </c>
      <c r="F245" s="22">
        <f>IF('Growth (no penalty)'!E213&gt;0,1,IF('Growth (no penalty)'!E316&gt;0,4,0))</f>
        <v>0</v>
      </c>
      <c r="G245" s="22">
        <f>IF('Growth (no penalty)'!F213&gt;0,1,IF('Growth (no penalty)'!F316&gt;0,4,0))</f>
        <v>0</v>
      </c>
      <c r="H245" s="22">
        <f>IF('Growth (no penalty)'!G213&gt;0,1,IF('Growth (no penalty)'!G316&gt;0,4,0))</f>
        <v>0</v>
      </c>
      <c r="I245" s="22">
        <f>IF('Growth (no penalty)'!H213&gt;0,1,IF('Growth (no penalty)'!H316&gt;0,4,0))</f>
        <v>0</v>
      </c>
      <c r="J245" s="22">
        <f>IF('Growth (no penalty)'!I213&gt;0,1,IF('Growth (no penalty)'!I316&gt;0,4,0))</f>
        <v>0</v>
      </c>
      <c r="K245" s="22">
        <f>IF('Growth (no penalty)'!J213&gt;0,1,IF('Growth (no penalty)'!J316&gt;0,4,0))</f>
        <v>0</v>
      </c>
      <c r="L245" s="22">
        <f>IF('Growth (no penalty)'!K213&gt;0,1,IF('Growth (no penalty)'!K316&gt;0,4,0))</f>
        <v>0</v>
      </c>
      <c r="M245" s="22">
        <f>IF('Growth (no penalty)'!L213&gt;0,1,IF('Growth (no penalty)'!L316&gt;0,4,0))</f>
        <v>0</v>
      </c>
      <c r="N245" s="22">
        <f>IF('Growth (no penalty)'!M213&gt;0,1,IF('Growth (no penalty)'!M316&gt;0,4,0))</f>
        <v>0</v>
      </c>
      <c r="O245" s="22">
        <f>IF('Growth (no penalty)'!N213&gt;0,1,IF('Growth (no penalty)'!N316&gt;0,4,0))</f>
        <v>0</v>
      </c>
      <c r="P245" s="22">
        <f>IF('Growth (no penalty)'!O213&gt;0,1,IF('Growth (no penalty)'!O316&gt;0,4,0))</f>
        <v>0</v>
      </c>
      <c r="Q245" s="22">
        <f>IF('Growth (no penalty)'!P213&gt;0,1,IF('Growth (no penalty)'!P316&gt;0,4,0))</f>
        <v>0</v>
      </c>
      <c r="R245" s="22">
        <f>IF('Growth (no penalty)'!Q213&gt;0,1,IF('Growth (no penalty)'!Q316&gt;0,4,0))</f>
        <v>0</v>
      </c>
      <c r="S245" s="22">
        <f>IF('Growth (no penalty)'!R213&gt;0,1,IF('Growth (no penalty)'!R316&gt;0,4,0))</f>
        <v>1</v>
      </c>
      <c r="T245" s="22">
        <f>IF('Growth (no penalty)'!S213&gt;0,1,IF('Growth (no penalty)'!S316&gt;0,4,0))</f>
        <v>1</v>
      </c>
      <c r="U245" s="22">
        <f>IF('Growth (no penalty)'!T213&gt;0,1,IF('Growth (no penalty)'!T316&gt;0,4,0))</f>
        <v>1</v>
      </c>
      <c r="V245" s="22">
        <f>IF('Growth (no penalty)'!U213&gt;0,1,IF('Growth (no penalty)'!U316&gt;0,4,0))</f>
        <v>1</v>
      </c>
      <c r="W245" s="22">
        <f>IF('Growth (no penalty)'!V213&gt;0,1,IF('Growth (no penalty)'!V316&gt;0,4,0))</f>
        <v>1</v>
      </c>
      <c r="X245" s="22">
        <f>IF('Growth (no penalty)'!W213&gt;0,1,IF('Growth (no penalty)'!W316&gt;0,4,0))</f>
        <v>4</v>
      </c>
      <c r="Y245" s="22">
        <f>IF('Growth (no penalty)'!X213&gt;0,1,IF('Growth (no penalty)'!X316&gt;0,4,0))</f>
        <v>4</v>
      </c>
      <c r="Z245" s="22">
        <f>IF('Growth (no penalty)'!Y213&gt;0,1,IF('Growth (no penalty)'!Y316&gt;0,4,0))</f>
        <v>4</v>
      </c>
      <c r="AA245" s="22">
        <f>IF('Growth (no penalty)'!Z213&gt;0,1,IF('Growth (no penalty)'!Z316&gt;0,4,0))</f>
        <v>4</v>
      </c>
      <c r="AB245" s="22">
        <f>IF('Growth (no penalty)'!AA213&gt;0,1,IF('Growth (no penalty)'!AA316&gt;0,4,0))</f>
        <v>4</v>
      </c>
      <c r="AC245" s="22">
        <f>IF('Growth (no penalty)'!AB213&gt;0,1,IF('Growth (no penalty)'!AB316&gt;0,4,0))</f>
        <v>4</v>
      </c>
      <c r="AD245" s="22">
        <f>IF('Growth (no penalty)'!AC213&gt;0,1,IF('Growth (no penalty)'!AC316&gt;0,4,0))</f>
        <v>4</v>
      </c>
      <c r="AE245" s="22">
        <f>IF('Growth (no penalty)'!AD213&gt;0,1,IF('Growth (no penalty)'!AD316&gt;0,4,0))</f>
        <v>4</v>
      </c>
      <c r="AF245" s="22">
        <f>IF('Growth (no penalty)'!AE213&gt;0,1,IF('Growth (no penalty)'!AE316&gt;0,4,0))</f>
        <v>4</v>
      </c>
      <c r="AG245" s="22">
        <f>IF('Growth (no penalty)'!AF213&gt;0,1,IF('Growth (no penalty)'!AF316&gt;0,4,0))</f>
        <v>4</v>
      </c>
      <c r="AH245" s="22">
        <f>IF('Growth (no penalty)'!AG213&gt;0,1,IF('Growth (no penalty)'!AG316&gt;0,4,0))</f>
        <v>4</v>
      </c>
      <c r="AI245" s="22">
        <f>IF('Growth (no penalty)'!AH213&gt;0,1,IF('Growth (no penalty)'!AH316&gt;0,4,0))</f>
        <v>4</v>
      </c>
      <c r="AJ245" s="22">
        <f>IF('Growth (no penalty)'!AI213&gt;0,1,IF('Growth (no penalty)'!AI316&gt;0,4,0))</f>
        <v>4</v>
      </c>
      <c r="AK245" s="22">
        <f>IF('Growth (no penalty)'!AJ213&gt;0,1,IF('Growth (no penalty)'!AJ316&gt;0,4,0))</f>
        <v>4</v>
      </c>
      <c r="AL245" s="22">
        <f>IF('Growth (no penalty)'!AK213&gt;0,1,IF('Growth (no penalty)'!AK316&gt;0,4,0))</f>
        <v>4</v>
      </c>
      <c r="AM245" s="22">
        <f>IF('Growth (no penalty)'!AL213&gt;0,1,IF('Growth (no penalty)'!AL316&gt;0,4,0))</f>
        <v>4</v>
      </c>
      <c r="AN245" s="22">
        <f>IF('Growth (no penalty)'!AM213&gt;0,1,IF('Growth (no penalty)'!AM316&gt;0,4,0))</f>
        <v>4</v>
      </c>
      <c r="AO245" s="22">
        <f>IF('Growth (no penalty)'!AN213&gt;0,1,IF('Growth (no penalty)'!AN316&gt;0,4,0))</f>
        <v>4</v>
      </c>
      <c r="AP245" s="22">
        <f>IF('Growth (no penalty)'!AO213&gt;0,1,IF('Growth (no penalty)'!AO316&gt;0,4,0))</f>
        <v>4</v>
      </c>
      <c r="AQ245" s="22">
        <f>IF('Growth (no penalty)'!AP213&gt;0,1,IF('Growth (no penalty)'!AP316&gt;0,4,0))</f>
        <v>4</v>
      </c>
      <c r="AR245" s="22">
        <f>IF('Growth (no penalty)'!AQ213&gt;0,1,IF('Growth (no penalty)'!AQ316&gt;0,4,0))</f>
        <v>4</v>
      </c>
      <c r="AS245" s="22">
        <f>IF('Growth (no penalty)'!AR213&gt;0,1,IF('Growth (no penalty)'!AR316&gt;0,4,0))</f>
        <v>4</v>
      </c>
      <c r="AT245" s="22">
        <f>IF('Growth (no penalty)'!AS213&gt;0,1,IF('Growth (no penalty)'!AS316&gt;0,4,0))</f>
        <v>4</v>
      </c>
      <c r="AU245" s="22">
        <f>IF('Growth (no penalty)'!AT213&gt;0,1,IF('Growth (no penalty)'!AT316&gt;0,4,0))</f>
        <v>4</v>
      </c>
      <c r="AV245" s="22">
        <f>IF('Growth (no penalty)'!AU213&gt;0,1,IF('Growth (no penalty)'!AU316&gt;0,4,0))</f>
        <v>4</v>
      </c>
      <c r="AW245" s="22">
        <f>IF('Growth (no penalty)'!AV213&gt;0,1,IF('Growth (no penalty)'!AV316&gt;0,4,0))</f>
        <v>4</v>
      </c>
      <c r="AX245" s="22">
        <f>IF('Growth (no penalty)'!AW213&gt;0,1,IF('Growth (no penalty)'!AW316&gt;0,4,0))</f>
        <v>4</v>
      </c>
      <c r="AY245" s="22">
        <f>IF('Growth (no penalty)'!AX213&gt;0,1,IF('Growth (no penalty)'!AX316&gt;0,4,0))</f>
        <v>4</v>
      </c>
      <c r="AZ245" s="22">
        <f>IF('Growth (no penalty)'!AY213&gt;0,1,IF('Growth (no penalty)'!AY316&gt;0,4,0))</f>
        <v>4</v>
      </c>
      <c r="BA245" s="22">
        <f>IF('Growth (no penalty)'!AZ213&gt;0,1,IF('Growth (no penalty)'!AZ316&gt;0,4,0))</f>
        <v>4</v>
      </c>
      <c r="BB245" s="22">
        <f>IF('Growth (no penalty)'!BA213&gt;0,1,IF('Growth (no penalty)'!BA316&gt;0,4,0))</f>
        <v>4</v>
      </c>
      <c r="BC245" s="22">
        <f>IF('Growth (no penalty)'!BB213&gt;0,1,IF('Growth (no penalty)'!BB316&gt;0,4,0))</f>
        <v>4</v>
      </c>
      <c r="BD245" s="22">
        <f>IF('Growth (no penalty)'!BC213&gt;0,1,IF('Growth (no penalty)'!BC316&gt;0,4,0))</f>
        <v>4</v>
      </c>
      <c r="BE245" s="22">
        <f>IF('Growth (no penalty)'!BD213&gt;0,1,IF('Growth (no penalty)'!BD316&gt;0,4,0))</f>
        <v>4</v>
      </c>
      <c r="BF245" s="22">
        <f>IF('Growth (no penalty)'!BE213&gt;0,1,IF('Growth (no penalty)'!BE316&gt;0,4,0))</f>
        <v>4</v>
      </c>
      <c r="BG245" s="22">
        <f>IF('Growth (no penalty)'!BF213&gt;0,1,IF('Growth (no penalty)'!BF316&gt;0,4,0))</f>
        <v>4</v>
      </c>
      <c r="BH245" s="22">
        <f>IF('Growth (no penalty)'!BG213&gt;0,1,IF('Growth (no penalty)'!BG316&gt;0,4,0))</f>
        <v>4</v>
      </c>
      <c r="BI245" s="22">
        <f>IF('Growth (no penalty)'!BH213&gt;0,1,IF('Growth (no penalty)'!BH316&gt;0,4,0))</f>
        <v>4</v>
      </c>
      <c r="BJ245" s="22">
        <f>IF('Growth (no penalty)'!BI213&gt;0,1,IF('Growth (no penalty)'!BI316&gt;0,4,0))</f>
        <v>4</v>
      </c>
      <c r="BK245" s="23">
        <f>IF('Growth (no penalty)'!BJ213&gt;0,1,IF('Growth (no penalty)'!BJ316&gt;0,4,0))</f>
        <v>4</v>
      </c>
    </row>
    <row r="246" spans="1:63" x14ac:dyDescent="0.3">
      <c r="A246" s="4" t="str">
        <f>'Growth profile'!A94</f>
        <v>project 148</v>
      </c>
      <c r="B246" s="13" t="s">
        <v>3</v>
      </c>
      <c r="C246" s="19">
        <f>'Raw profile'!I94</f>
        <v>2041</v>
      </c>
      <c r="D246" s="20">
        <f>IF('Raw profile'!C202&gt;0,1,IF('Raw profile'!C305&gt;0,2,0))</f>
        <v>0</v>
      </c>
      <c r="E246" s="20">
        <f>IF('Raw profile'!D202&gt;0,1,IF('Raw profile'!D305&gt;0,2,0))</f>
        <v>0</v>
      </c>
      <c r="F246" s="20">
        <f>IF('Raw profile'!E202&gt;0,1,IF('Raw profile'!E305&gt;0,2,0))</f>
        <v>0</v>
      </c>
      <c r="G246" s="20">
        <f>IF('Raw profile'!F202&gt;0,1,IF('Raw profile'!F305&gt;0,2,0))</f>
        <v>0</v>
      </c>
      <c r="H246" s="20">
        <f>IF('Raw profile'!G202&gt;0,1,IF('Raw profile'!G305&gt;0,2,0))</f>
        <v>0</v>
      </c>
      <c r="I246" s="20">
        <f>IF('Raw profile'!H202&gt;0,1,IF('Raw profile'!H305&gt;0,2,0))</f>
        <v>0</v>
      </c>
      <c r="J246" s="20">
        <f>IF('Raw profile'!I202&gt;0,1,IF('Raw profile'!I305&gt;0,2,0))</f>
        <v>0</v>
      </c>
      <c r="K246" s="20">
        <f>IF('Raw profile'!J202&gt;0,1,IF('Raw profile'!J305&gt;0,2,0))</f>
        <v>0</v>
      </c>
      <c r="L246" s="20">
        <f>IF('Raw profile'!K202&gt;0,1,IF('Raw profile'!K305&gt;0,2,0))</f>
        <v>0</v>
      </c>
      <c r="M246" s="20">
        <f>IF('Raw profile'!L202&gt;0,1,IF('Raw profile'!L305&gt;0,2,0))</f>
        <v>0</v>
      </c>
      <c r="N246" s="20">
        <f>IF('Raw profile'!M202&gt;0,1,IF('Raw profile'!M305&gt;0,2,0))</f>
        <v>0</v>
      </c>
      <c r="O246" s="20">
        <f>IF('Raw profile'!N202&gt;0,1,IF('Raw profile'!N305&gt;0,2,0))</f>
        <v>0</v>
      </c>
      <c r="P246" s="20">
        <f>IF('Raw profile'!O202&gt;0,1,IF('Raw profile'!O305&gt;0,2,0))</f>
        <v>0</v>
      </c>
      <c r="Q246" s="20">
        <f>IF('Raw profile'!P202&gt;0,1,IF('Raw profile'!P305&gt;0,2,0))</f>
        <v>0</v>
      </c>
      <c r="R246" s="20">
        <f>IF('Raw profile'!Q202&gt;0,1,IF('Raw profile'!Q305&gt;0,2,0))</f>
        <v>0</v>
      </c>
      <c r="S246" s="20">
        <f>IF('Raw profile'!R202&gt;0,1,IF('Raw profile'!R305&gt;0,2,0))</f>
        <v>1</v>
      </c>
      <c r="T246" s="20">
        <f>IF('Raw profile'!S202&gt;0,1,IF('Raw profile'!S305&gt;0,2,0))</f>
        <v>1</v>
      </c>
      <c r="U246" s="20">
        <f>IF('Raw profile'!T202&gt;0,1,IF('Raw profile'!T305&gt;0,2,0))</f>
        <v>1</v>
      </c>
      <c r="V246" s="20">
        <f>IF('Raw profile'!U202&gt;0,1,IF('Raw profile'!U305&gt;0,2,0))</f>
        <v>1</v>
      </c>
      <c r="W246" s="20">
        <f>IF('Raw profile'!V202&gt;0,1,IF('Raw profile'!V305&gt;0,2,0))</f>
        <v>2</v>
      </c>
      <c r="X246" s="20">
        <f>IF('Raw profile'!W202&gt;0,1,IF('Raw profile'!W305&gt;0,2,0))</f>
        <v>2</v>
      </c>
      <c r="Y246" s="20">
        <f>IF('Raw profile'!X202&gt;0,1,IF('Raw profile'!X305&gt;0,2,0))</f>
        <v>2</v>
      </c>
      <c r="Z246" s="20">
        <f>IF('Raw profile'!Y202&gt;0,1,IF('Raw profile'!Y305&gt;0,2,0))</f>
        <v>2</v>
      </c>
      <c r="AA246" s="20">
        <f>IF('Raw profile'!Z202&gt;0,1,IF('Raw profile'!Z305&gt;0,2,0))</f>
        <v>2</v>
      </c>
      <c r="AB246" s="20">
        <f>IF('Raw profile'!AA202&gt;0,1,IF('Raw profile'!AA305&gt;0,2,0))</f>
        <v>2</v>
      </c>
      <c r="AC246" s="20">
        <f>IF('Raw profile'!AB202&gt;0,1,IF('Raw profile'!AB305&gt;0,2,0))</f>
        <v>2</v>
      </c>
      <c r="AD246" s="20">
        <f>IF('Raw profile'!AC202&gt;0,1,IF('Raw profile'!AC305&gt;0,2,0))</f>
        <v>2</v>
      </c>
      <c r="AE246" s="20">
        <f>IF('Raw profile'!AD202&gt;0,1,IF('Raw profile'!AD305&gt;0,2,0))</f>
        <v>2</v>
      </c>
      <c r="AF246" s="20">
        <f>IF('Raw profile'!AE202&gt;0,1,IF('Raw profile'!AE305&gt;0,2,0))</f>
        <v>2</v>
      </c>
      <c r="AG246" s="20">
        <f>IF('Raw profile'!AF202&gt;0,1,IF('Raw profile'!AF305&gt;0,2,0))</f>
        <v>2</v>
      </c>
      <c r="AH246" s="20">
        <f>IF('Raw profile'!AG202&gt;0,1,IF('Raw profile'!AG305&gt;0,2,0))</f>
        <v>2</v>
      </c>
      <c r="AI246" s="20">
        <f>IF('Raw profile'!AH202&gt;0,1,IF('Raw profile'!AH305&gt;0,2,0))</f>
        <v>2</v>
      </c>
      <c r="AJ246" s="20">
        <f>IF('Raw profile'!AI202&gt;0,1,IF('Raw profile'!AI305&gt;0,2,0))</f>
        <v>2</v>
      </c>
      <c r="AK246" s="20">
        <f>IF('Raw profile'!AJ202&gt;0,1,IF('Raw profile'!AJ305&gt;0,2,0))</f>
        <v>2</v>
      </c>
      <c r="AL246" s="20">
        <f>IF('Raw profile'!AK202&gt;0,1,IF('Raw profile'!AK305&gt;0,2,0))</f>
        <v>2</v>
      </c>
      <c r="AM246" s="20">
        <f>IF('Raw profile'!AL202&gt;0,1,IF('Raw profile'!AL305&gt;0,2,0))</f>
        <v>2</v>
      </c>
      <c r="AN246" s="20">
        <f>IF('Raw profile'!AM202&gt;0,1,IF('Raw profile'!AM305&gt;0,2,0))</f>
        <v>2</v>
      </c>
      <c r="AO246" s="20">
        <f>IF('Raw profile'!AN202&gt;0,1,IF('Raw profile'!AN305&gt;0,2,0))</f>
        <v>2</v>
      </c>
      <c r="AP246" s="20">
        <f>IF('Raw profile'!AO202&gt;0,1,IF('Raw profile'!AO305&gt;0,2,0))</f>
        <v>2</v>
      </c>
      <c r="AQ246" s="20">
        <f>IF('Raw profile'!AP202&gt;0,1,IF('Raw profile'!AP305&gt;0,2,0))</f>
        <v>2</v>
      </c>
      <c r="AR246" s="20">
        <f>IF('Raw profile'!AQ202&gt;0,1,IF('Raw profile'!AQ305&gt;0,2,0))</f>
        <v>2</v>
      </c>
      <c r="AS246" s="20">
        <f>IF('Raw profile'!AR202&gt;0,1,IF('Raw profile'!AR305&gt;0,2,0))</f>
        <v>2</v>
      </c>
      <c r="AT246" s="20">
        <f>IF('Raw profile'!AS202&gt;0,1,IF('Raw profile'!AS305&gt;0,2,0))</f>
        <v>2</v>
      </c>
      <c r="AU246" s="20">
        <f>IF('Raw profile'!AT202&gt;0,1,IF('Raw profile'!AT305&gt;0,2,0))</f>
        <v>2</v>
      </c>
      <c r="AV246" s="20">
        <f>IF('Raw profile'!AU202&gt;0,1,IF('Raw profile'!AU305&gt;0,2,0))</f>
        <v>2</v>
      </c>
      <c r="AW246" s="20">
        <f>IF('Raw profile'!AV202&gt;0,1,IF('Raw profile'!AV305&gt;0,2,0))</f>
        <v>2</v>
      </c>
      <c r="AX246" s="20">
        <f>IF('Raw profile'!AW202&gt;0,1,IF('Raw profile'!AW305&gt;0,2,0))</f>
        <v>2</v>
      </c>
      <c r="AY246" s="20">
        <f>IF('Raw profile'!AX202&gt;0,1,IF('Raw profile'!AX305&gt;0,2,0))</f>
        <v>2</v>
      </c>
      <c r="AZ246" s="20">
        <f>IF('Raw profile'!AY202&gt;0,1,IF('Raw profile'!AY305&gt;0,2,0))</f>
        <v>2</v>
      </c>
      <c r="BA246" s="20">
        <f>IF('Raw profile'!AZ202&gt;0,1,IF('Raw profile'!AZ305&gt;0,2,0))</f>
        <v>2</v>
      </c>
      <c r="BB246" s="20">
        <f>IF('Raw profile'!BA202&gt;0,1,IF('Raw profile'!BA305&gt;0,2,0))</f>
        <v>2</v>
      </c>
      <c r="BC246" s="20">
        <f>IF('Raw profile'!BB202&gt;0,1,IF('Raw profile'!BB305&gt;0,2,0))</f>
        <v>2</v>
      </c>
      <c r="BD246" s="20">
        <f>IF('Raw profile'!BC202&gt;0,1,IF('Raw profile'!BC305&gt;0,2,0))</f>
        <v>2</v>
      </c>
      <c r="BE246" s="20">
        <f>IF('Raw profile'!BD202&gt;0,1,IF('Raw profile'!BD305&gt;0,2,0))</f>
        <v>2</v>
      </c>
      <c r="BF246" s="20">
        <f>IF('Raw profile'!BE202&gt;0,1,IF('Raw profile'!BE305&gt;0,2,0))</f>
        <v>2</v>
      </c>
      <c r="BG246" s="20">
        <f>IF('Raw profile'!BF202&gt;0,1,IF('Raw profile'!BF305&gt;0,2,0))</f>
        <v>2</v>
      </c>
      <c r="BH246" s="20">
        <f>IF('Raw profile'!BG202&gt;0,1,IF('Raw profile'!BG305&gt;0,2,0))</f>
        <v>2</v>
      </c>
      <c r="BI246" s="20">
        <f>IF('Raw profile'!BH202&gt;0,1,IF('Raw profile'!BH305&gt;0,2,0))</f>
        <v>2</v>
      </c>
      <c r="BJ246" s="20">
        <f>IF('Raw profile'!BI202&gt;0,1,IF('Raw profile'!BI305&gt;0,2,0))</f>
        <v>2</v>
      </c>
      <c r="BK246" s="21">
        <f>IF('Raw profile'!BJ202&gt;0,1,IF('Raw profile'!BJ305&gt;0,2,0))</f>
        <v>0</v>
      </c>
    </row>
    <row r="247" spans="1:63" x14ac:dyDescent="0.3">
      <c r="B247" s="13" t="s">
        <v>4</v>
      </c>
      <c r="C247" s="19">
        <f>'Growth profile'!I94</f>
        <v>2026</v>
      </c>
      <c r="D247" s="20">
        <f>IF('Growth profile'!C202&gt;0,1,IF('Growth profile'!C305&gt;0,3,0))</f>
        <v>1</v>
      </c>
      <c r="E247" s="20">
        <f>IF('Growth profile'!D202&gt;0,1,IF('Growth profile'!D305&gt;0,3,0))</f>
        <v>1</v>
      </c>
      <c r="F247" s="20">
        <f>IF('Growth profile'!E202&gt;0,1,IF('Growth profile'!E305&gt;0,3,0))</f>
        <v>1</v>
      </c>
      <c r="G247" s="20">
        <f>IF('Growth profile'!F202&gt;0,1,IF('Growth profile'!F305&gt;0,3,0))</f>
        <v>1</v>
      </c>
      <c r="H247" s="20">
        <f>IF('Growth profile'!G202&gt;0,1,IF('Growth profile'!G305&gt;0,3,0))</f>
        <v>3</v>
      </c>
      <c r="I247" s="20">
        <f>IF('Growth profile'!H202&gt;0,1,IF('Growth profile'!H305&gt;0,3,0))</f>
        <v>3</v>
      </c>
      <c r="J247" s="20">
        <f>IF('Growth profile'!I202&gt;0,1,IF('Growth profile'!I305&gt;0,3,0))</f>
        <v>3</v>
      </c>
      <c r="K247" s="20">
        <f>IF('Growth profile'!J202&gt;0,1,IF('Growth profile'!J305&gt;0,3,0))</f>
        <v>3</v>
      </c>
      <c r="L247" s="20">
        <f>IF('Growth profile'!K202&gt;0,1,IF('Growth profile'!K305&gt;0,3,0))</f>
        <v>3</v>
      </c>
      <c r="M247" s="20">
        <f>IF('Growth profile'!L202&gt;0,1,IF('Growth profile'!L305&gt;0,3,0))</f>
        <v>3</v>
      </c>
      <c r="N247" s="20">
        <f>IF('Growth profile'!M202&gt;0,1,IF('Growth profile'!M305&gt;0,3,0))</f>
        <v>3</v>
      </c>
      <c r="O247" s="20">
        <f>IF('Growth profile'!N202&gt;0,1,IF('Growth profile'!N305&gt;0,3,0))</f>
        <v>3</v>
      </c>
      <c r="P247" s="20">
        <f>IF('Growth profile'!O202&gt;0,1,IF('Growth profile'!O305&gt;0,3,0))</f>
        <v>3</v>
      </c>
      <c r="Q247" s="20">
        <f>IF('Growth profile'!P202&gt;0,1,IF('Growth profile'!P305&gt;0,3,0))</f>
        <v>3</v>
      </c>
      <c r="R247" s="20">
        <f>IF('Growth profile'!Q202&gt;0,1,IF('Growth profile'!Q305&gt;0,3,0))</f>
        <v>3</v>
      </c>
      <c r="S247" s="20">
        <f>IF('Growth profile'!R202&gt;0,1,IF('Growth profile'!R305&gt;0,3,0))</f>
        <v>3</v>
      </c>
      <c r="T247" s="20">
        <f>IF('Growth profile'!S202&gt;0,1,IF('Growth profile'!S305&gt;0,3,0))</f>
        <v>3</v>
      </c>
      <c r="U247" s="20">
        <f>IF('Growth profile'!T202&gt;0,1,IF('Growth profile'!T305&gt;0,3,0))</f>
        <v>3</v>
      </c>
      <c r="V247" s="20">
        <f>IF('Growth profile'!U202&gt;0,1,IF('Growth profile'!U305&gt;0,3,0))</f>
        <v>3</v>
      </c>
      <c r="W247" s="20">
        <f>IF('Growth profile'!V202&gt;0,1,IF('Growth profile'!V305&gt;0,3,0))</f>
        <v>3</v>
      </c>
      <c r="X247" s="20">
        <f>IF('Growth profile'!W202&gt;0,1,IF('Growth profile'!W305&gt;0,3,0))</f>
        <v>3</v>
      </c>
      <c r="Y247" s="20">
        <f>IF('Growth profile'!X202&gt;0,1,IF('Growth profile'!X305&gt;0,3,0))</f>
        <v>3</v>
      </c>
      <c r="Z247" s="20">
        <f>IF('Growth profile'!Y202&gt;0,1,IF('Growth profile'!Y305&gt;0,3,0))</f>
        <v>3</v>
      </c>
      <c r="AA247" s="20">
        <f>IF('Growth profile'!Z202&gt;0,1,IF('Growth profile'!Z305&gt;0,3,0))</f>
        <v>3</v>
      </c>
      <c r="AB247" s="20">
        <f>IF('Growth profile'!AA202&gt;0,1,IF('Growth profile'!AA305&gt;0,3,0))</f>
        <v>3</v>
      </c>
      <c r="AC247" s="20">
        <f>IF('Growth profile'!AB202&gt;0,1,IF('Growth profile'!AB305&gt;0,3,0))</f>
        <v>3</v>
      </c>
      <c r="AD247" s="20">
        <f>IF('Growth profile'!AC202&gt;0,1,IF('Growth profile'!AC305&gt;0,3,0))</f>
        <v>3</v>
      </c>
      <c r="AE247" s="20">
        <f>IF('Growth profile'!AD202&gt;0,1,IF('Growth profile'!AD305&gt;0,3,0))</f>
        <v>3</v>
      </c>
      <c r="AF247" s="20">
        <f>IF('Growth profile'!AE202&gt;0,1,IF('Growth profile'!AE305&gt;0,3,0))</f>
        <v>3</v>
      </c>
      <c r="AG247" s="20">
        <f>IF('Growth profile'!AF202&gt;0,1,IF('Growth profile'!AF305&gt;0,3,0))</f>
        <v>3</v>
      </c>
      <c r="AH247" s="20">
        <f>IF('Growth profile'!AG202&gt;0,1,IF('Growth profile'!AG305&gt;0,3,0))</f>
        <v>3</v>
      </c>
      <c r="AI247" s="20">
        <f>IF('Growth profile'!AH202&gt;0,1,IF('Growth profile'!AH305&gt;0,3,0))</f>
        <v>3</v>
      </c>
      <c r="AJ247" s="20">
        <f>IF('Growth profile'!AI202&gt;0,1,IF('Growth profile'!AI305&gt;0,3,0))</f>
        <v>3</v>
      </c>
      <c r="AK247" s="20">
        <f>IF('Growth profile'!AJ202&gt;0,1,IF('Growth profile'!AJ305&gt;0,3,0))</f>
        <v>3</v>
      </c>
      <c r="AL247" s="20">
        <f>IF('Growth profile'!AK202&gt;0,1,IF('Growth profile'!AK305&gt;0,3,0))</f>
        <v>3</v>
      </c>
      <c r="AM247" s="20">
        <f>IF('Growth profile'!AL202&gt;0,1,IF('Growth profile'!AL305&gt;0,3,0))</f>
        <v>3</v>
      </c>
      <c r="AN247" s="20">
        <f>IF('Growth profile'!AM202&gt;0,1,IF('Growth profile'!AM305&gt;0,3,0))</f>
        <v>3</v>
      </c>
      <c r="AO247" s="20">
        <f>IF('Growth profile'!AN202&gt;0,1,IF('Growth profile'!AN305&gt;0,3,0))</f>
        <v>3</v>
      </c>
      <c r="AP247" s="20">
        <f>IF('Growth profile'!AO202&gt;0,1,IF('Growth profile'!AO305&gt;0,3,0))</f>
        <v>3</v>
      </c>
      <c r="AQ247" s="20">
        <f>IF('Growth profile'!AP202&gt;0,1,IF('Growth profile'!AP305&gt;0,3,0))</f>
        <v>3</v>
      </c>
      <c r="AR247" s="20">
        <f>IF('Growth profile'!AQ202&gt;0,1,IF('Growth profile'!AQ305&gt;0,3,0))</f>
        <v>3</v>
      </c>
      <c r="AS247" s="20">
        <f>IF('Growth profile'!AR202&gt;0,1,IF('Growth profile'!AR305&gt;0,3,0))</f>
        <v>3</v>
      </c>
      <c r="AT247" s="20">
        <f>IF('Growth profile'!AS202&gt;0,1,IF('Growth profile'!AS305&gt;0,3,0))</f>
        <v>3</v>
      </c>
      <c r="AU247" s="20">
        <f>IF('Growth profile'!AT202&gt;0,1,IF('Growth profile'!AT305&gt;0,3,0))</f>
        <v>3</v>
      </c>
      <c r="AV247" s="20">
        <f>IF('Growth profile'!AU202&gt;0,1,IF('Growth profile'!AU305&gt;0,3,0))</f>
        <v>0</v>
      </c>
      <c r="AW247" s="20">
        <f>IF('Growth profile'!AV202&gt;0,1,IF('Growth profile'!AV305&gt;0,3,0))</f>
        <v>0</v>
      </c>
      <c r="AX247" s="20">
        <f>IF('Growth profile'!AW202&gt;0,1,IF('Growth profile'!AW305&gt;0,3,0))</f>
        <v>0</v>
      </c>
      <c r="AY247" s="20">
        <f>IF('Growth profile'!AX202&gt;0,1,IF('Growth profile'!AX305&gt;0,3,0))</f>
        <v>0</v>
      </c>
      <c r="AZ247" s="20">
        <f>IF('Growth profile'!AY202&gt;0,1,IF('Growth profile'!AY305&gt;0,3,0))</f>
        <v>0</v>
      </c>
      <c r="BA247" s="20">
        <f>IF('Growth profile'!AZ202&gt;0,1,IF('Growth profile'!AZ305&gt;0,3,0))</f>
        <v>0</v>
      </c>
      <c r="BB247" s="20">
        <f>IF('Growth profile'!BA202&gt;0,1,IF('Growth profile'!BA305&gt;0,3,0))</f>
        <v>0</v>
      </c>
      <c r="BC247" s="20">
        <f>IF('Growth profile'!BB202&gt;0,1,IF('Growth profile'!BB305&gt;0,3,0))</f>
        <v>0</v>
      </c>
      <c r="BD247" s="20">
        <f>IF('Growth profile'!BC202&gt;0,1,IF('Growth profile'!BC305&gt;0,3,0))</f>
        <v>0</v>
      </c>
      <c r="BE247" s="20">
        <f>IF('Growth profile'!BD202&gt;0,1,IF('Growth profile'!BD305&gt;0,3,0))</f>
        <v>0</v>
      </c>
      <c r="BF247" s="20">
        <f>IF('Growth profile'!BE202&gt;0,1,IF('Growth profile'!BE305&gt;0,3,0))</f>
        <v>0</v>
      </c>
      <c r="BG247" s="20">
        <f>IF('Growth profile'!BF202&gt;0,1,IF('Growth profile'!BF305&gt;0,3,0))</f>
        <v>0</v>
      </c>
      <c r="BH247" s="20">
        <f>IF('Growth profile'!BG202&gt;0,1,IF('Growth profile'!BG305&gt;0,3,0))</f>
        <v>0</v>
      </c>
      <c r="BI247" s="20">
        <f>IF('Growth profile'!BH202&gt;0,1,IF('Growth profile'!BH305&gt;0,3,0))</f>
        <v>0</v>
      </c>
      <c r="BJ247" s="20">
        <f>IF('Growth profile'!BI202&gt;0,1,IF('Growth profile'!BI305&gt;0,3,0))</f>
        <v>0</v>
      </c>
      <c r="BK247" s="21">
        <f>IF('Growth profile'!BJ202&gt;0,1,IF('Growth profile'!BJ305&gt;0,3,0))</f>
        <v>0</v>
      </c>
    </row>
    <row r="248" spans="1:63" x14ac:dyDescent="0.3">
      <c r="B248" s="13" t="s">
        <v>59</v>
      </c>
      <c r="C248" s="19">
        <f>'Growth (no penalty)'!I94</f>
        <v>2026</v>
      </c>
      <c r="D248" s="22">
        <f>IF('Growth (no penalty)'!C202&gt;0,1,IF('Growth (no penalty)'!C305&gt;0,4,0))</f>
        <v>1</v>
      </c>
      <c r="E248" s="22">
        <f>IF('Growth (no penalty)'!D202&gt;0,1,IF('Growth (no penalty)'!D305&gt;0,4,0))</f>
        <v>1</v>
      </c>
      <c r="F248" s="22">
        <f>IF('Growth (no penalty)'!E202&gt;0,1,IF('Growth (no penalty)'!E305&gt;0,4,0))</f>
        <v>1</v>
      </c>
      <c r="G248" s="22">
        <f>IF('Growth (no penalty)'!F202&gt;0,1,IF('Growth (no penalty)'!F305&gt;0,4,0))</f>
        <v>1</v>
      </c>
      <c r="H248" s="22">
        <f>IF('Growth (no penalty)'!G202&gt;0,1,IF('Growth (no penalty)'!G305&gt;0,4,0))</f>
        <v>4</v>
      </c>
      <c r="I248" s="22">
        <f>IF('Growth (no penalty)'!H202&gt;0,1,IF('Growth (no penalty)'!H305&gt;0,4,0))</f>
        <v>4</v>
      </c>
      <c r="J248" s="22">
        <f>IF('Growth (no penalty)'!I202&gt;0,1,IF('Growth (no penalty)'!I305&gt;0,4,0))</f>
        <v>4</v>
      </c>
      <c r="K248" s="22">
        <f>IF('Growth (no penalty)'!J202&gt;0,1,IF('Growth (no penalty)'!J305&gt;0,4,0))</f>
        <v>4</v>
      </c>
      <c r="L248" s="22">
        <f>IF('Growth (no penalty)'!K202&gt;0,1,IF('Growth (no penalty)'!K305&gt;0,4,0))</f>
        <v>4</v>
      </c>
      <c r="M248" s="22">
        <f>IF('Growth (no penalty)'!L202&gt;0,1,IF('Growth (no penalty)'!L305&gt;0,4,0))</f>
        <v>4</v>
      </c>
      <c r="N248" s="22">
        <f>IF('Growth (no penalty)'!M202&gt;0,1,IF('Growth (no penalty)'!M305&gt;0,4,0))</f>
        <v>4</v>
      </c>
      <c r="O248" s="22">
        <f>IF('Growth (no penalty)'!N202&gt;0,1,IF('Growth (no penalty)'!N305&gt;0,4,0))</f>
        <v>4</v>
      </c>
      <c r="P248" s="22">
        <f>IF('Growth (no penalty)'!O202&gt;0,1,IF('Growth (no penalty)'!O305&gt;0,4,0))</f>
        <v>4</v>
      </c>
      <c r="Q248" s="22">
        <f>IF('Growth (no penalty)'!P202&gt;0,1,IF('Growth (no penalty)'!P305&gt;0,4,0))</f>
        <v>4</v>
      </c>
      <c r="R248" s="22">
        <f>IF('Growth (no penalty)'!Q202&gt;0,1,IF('Growth (no penalty)'!Q305&gt;0,4,0))</f>
        <v>4</v>
      </c>
      <c r="S248" s="22">
        <f>IF('Growth (no penalty)'!R202&gt;0,1,IF('Growth (no penalty)'!R305&gt;0,4,0))</f>
        <v>4</v>
      </c>
      <c r="T248" s="22">
        <f>IF('Growth (no penalty)'!S202&gt;0,1,IF('Growth (no penalty)'!S305&gt;0,4,0))</f>
        <v>4</v>
      </c>
      <c r="U248" s="22">
        <f>IF('Growth (no penalty)'!T202&gt;0,1,IF('Growth (no penalty)'!T305&gt;0,4,0))</f>
        <v>4</v>
      </c>
      <c r="V248" s="22">
        <f>IF('Growth (no penalty)'!U202&gt;0,1,IF('Growth (no penalty)'!U305&gt;0,4,0))</f>
        <v>4</v>
      </c>
      <c r="W248" s="22">
        <f>IF('Growth (no penalty)'!V202&gt;0,1,IF('Growth (no penalty)'!V305&gt;0,4,0))</f>
        <v>4</v>
      </c>
      <c r="X248" s="22">
        <f>IF('Growth (no penalty)'!W202&gt;0,1,IF('Growth (no penalty)'!W305&gt;0,4,0))</f>
        <v>4</v>
      </c>
      <c r="Y248" s="22">
        <f>IF('Growth (no penalty)'!X202&gt;0,1,IF('Growth (no penalty)'!X305&gt;0,4,0))</f>
        <v>4</v>
      </c>
      <c r="Z248" s="22">
        <f>IF('Growth (no penalty)'!Y202&gt;0,1,IF('Growth (no penalty)'!Y305&gt;0,4,0))</f>
        <v>4</v>
      </c>
      <c r="AA248" s="22">
        <f>IF('Growth (no penalty)'!Z202&gt;0,1,IF('Growth (no penalty)'!Z305&gt;0,4,0))</f>
        <v>4</v>
      </c>
      <c r="AB248" s="22">
        <f>IF('Growth (no penalty)'!AA202&gt;0,1,IF('Growth (no penalty)'!AA305&gt;0,4,0))</f>
        <v>4</v>
      </c>
      <c r="AC248" s="22">
        <f>IF('Growth (no penalty)'!AB202&gt;0,1,IF('Growth (no penalty)'!AB305&gt;0,4,0))</f>
        <v>4</v>
      </c>
      <c r="AD248" s="22">
        <f>IF('Growth (no penalty)'!AC202&gt;0,1,IF('Growth (no penalty)'!AC305&gt;0,4,0))</f>
        <v>4</v>
      </c>
      <c r="AE248" s="22">
        <f>IF('Growth (no penalty)'!AD202&gt;0,1,IF('Growth (no penalty)'!AD305&gt;0,4,0))</f>
        <v>4</v>
      </c>
      <c r="AF248" s="22">
        <f>IF('Growth (no penalty)'!AE202&gt;0,1,IF('Growth (no penalty)'!AE305&gt;0,4,0))</f>
        <v>4</v>
      </c>
      <c r="AG248" s="22">
        <f>IF('Growth (no penalty)'!AF202&gt;0,1,IF('Growth (no penalty)'!AF305&gt;0,4,0))</f>
        <v>4</v>
      </c>
      <c r="AH248" s="22">
        <f>IF('Growth (no penalty)'!AG202&gt;0,1,IF('Growth (no penalty)'!AG305&gt;0,4,0))</f>
        <v>4</v>
      </c>
      <c r="AI248" s="22">
        <f>IF('Growth (no penalty)'!AH202&gt;0,1,IF('Growth (no penalty)'!AH305&gt;0,4,0))</f>
        <v>4</v>
      </c>
      <c r="AJ248" s="22">
        <f>IF('Growth (no penalty)'!AI202&gt;0,1,IF('Growth (no penalty)'!AI305&gt;0,4,0))</f>
        <v>4</v>
      </c>
      <c r="AK248" s="22">
        <f>IF('Growth (no penalty)'!AJ202&gt;0,1,IF('Growth (no penalty)'!AJ305&gt;0,4,0))</f>
        <v>4</v>
      </c>
      <c r="AL248" s="22">
        <f>IF('Growth (no penalty)'!AK202&gt;0,1,IF('Growth (no penalty)'!AK305&gt;0,4,0))</f>
        <v>4</v>
      </c>
      <c r="AM248" s="22">
        <f>IF('Growth (no penalty)'!AL202&gt;0,1,IF('Growth (no penalty)'!AL305&gt;0,4,0))</f>
        <v>4</v>
      </c>
      <c r="AN248" s="22">
        <f>IF('Growth (no penalty)'!AM202&gt;0,1,IF('Growth (no penalty)'!AM305&gt;0,4,0))</f>
        <v>4</v>
      </c>
      <c r="AO248" s="22">
        <f>IF('Growth (no penalty)'!AN202&gt;0,1,IF('Growth (no penalty)'!AN305&gt;0,4,0))</f>
        <v>4</v>
      </c>
      <c r="AP248" s="22">
        <f>IF('Growth (no penalty)'!AO202&gt;0,1,IF('Growth (no penalty)'!AO305&gt;0,4,0))</f>
        <v>4</v>
      </c>
      <c r="AQ248" s="22">
        <f>IF('Growth (no penalty)'!AP202&gt;0,1,IF('Growth (no penalty)'!AP305&gt;0,4,0))</f>
        <v>4</v>
      </c>
      <c r="AR248" s="22">
        <f>IF('Growth (no penalty)'!AQ202&gt;0,1,IF('Growth (no penalty)'!AQ305&gt;0,4,0))</f>
        <v>4</v>
      </c>
      <c r="AS248" s="22">
        <f>IF('Growth (no penalty)'!AR202&gt;0,1,IF('Growth (no penalty)'!AR305&gt;0,4,0))</f>
        <v>4</v>
      </c>
      <c r="AT248" s="22">
        <f>IF('Growth (no penalty)'!AS202&gt;0,1,IF('Growth (no penalty)'!AS305&gt;0,4,0))</f>
        <v>4</v>
      </c>
      <c r="AU248" s="22">
        <f>IF('Growth (no penalty)'!AT202&gt;0,1,IF('Growth (no penalty)'!AT305&gt;0,4,0))</f>
        <v>4</v>
      </c>
      <c r="AV248" s="22">
        <f>IF('Growth (no penalty)'!AU202&gt;0,1,IF('Growth (no penalty)'!AU305&gt;0,4,0))</f>
        <v>0</v>
      </c>
      <c r="AW248" s="22">
        <f>IF('Growth (no penalty)'!AV202&gt;0,1,IF('Growth (no penalty)'!AV305&gt;0,4,0))</f>
        <v>0</v>
      </c>
      <c r="AX248" s="22">
        <f>IF('Growth (no penalty)'!AW202&gt;0,1,IF('Growth (no penalty)'!AW305&gt;0,4,0))</f>
        <v>0</v>
      </c>
      <c r="AY248" s="22">
        <f>IF('Growth (no penalty)'!AX202&gt;0,1,IF('Growth (no penalty)'!AX305&gt;0,4,0))</f>
        <v>0</v>
      </c>
      <c r="AZ248" s="22">
        <f>IF('Growth (no penalty)'!AY202&gt;0,1,IF('Growth (no penalty)'!AY305&gt;0,4,0))</f>
        <v>0</v>
      </c>
      <c r="BA248" s="22">
        <f>IF('Growth (no penalty)'!AZ202&gt;0,1,IF('Growth (no penalty)'!AZ305&gt;0,4,0))</f>
        <v>0</v>
      </c>
      <c r="BB248" s="22">
        <f>IF('Growth (no penalty)'!BA202&gt;0,1,IF('Growth (no penalty)'!BA305&gt;0,4,0))</f>
        <v>0</v>
      </c>
      <c r="BC248" s="22">
        <f>IF('Growth (no penalty)'!BB202&gt;0,1,IF('Growth (no penalty)'!BB305&gt;0,4,0))</f>
        <v>0</v>
      </c>
      <c r="BD248" s="22">
        <f>IF('Growth (no penalty)'!BC202&gt;0,1,IF('Growth (no penalty)'!BC305&gt;0,4,0))</f>
        <v>0</v>
      </c>
      <c r="BE248" s="22">
        <f>IF('Growth (no penalty)'!BD202&gt;0,1,IF('Growth (no penalty)'!BD305&gt;0,4,0))</f>
        <v>0</v>
      </c>
      <c r="BF248" s="22">
        <f>IF('Growth (no penalty)'!BE202&gt;0,1,IF('Growth (no penalty)'!BE305&gt;0,4,0))</f>
        <v>0</v>
      </c>
      <c r="BG248" s="22">
        <f>IF('Growth (no penalty)'!BF202&gt;0,1,IF('Growth (no penalty)'!BF305&gt;0,4,0))</f>
        <v>0</v>
      </c>
      <c r="BH248" s="22">
        <f>IF('Growth (no penalty)'!BG202&gt;0,1,IF('Growth (no penalty)'!BG305&gt;0,4,0))</f>
        <v>0</v>
      </c>
      <c r="BI248" s="22">
        <f>IF('Growth (no penalty)'!BH202&gt;0,1,IF('Growth (no penalty)'!BH305&gt;0,4,0))</f>
        <v>0</v>
      </c>
      <c r="BJ248" s="22">
        <f>IF('Growth (no penalty)'!BI202&gt;0,1,IF('Growth (no penalty)'!BI305&gt;0,4,0))</f>
        <v>0</v>
      </c>
      <c r="BK248" s="23">
        <f>IF('Growth (no penalty)'!BJ202&gt;0,1,IF('Growth (no penalty)'!BJ305&gt;0,4,0))</f>
        <v>0</v>
      </c>
    </row>
    <row r="249" spans="1:63" x14ac:dyDescent="0.3">
      <c r="A249" s="4" t="str">
        <f>'Growth profile'!A114</f>
        <v>project 188</v>
      </c>
      <c r="B249" s="13" t="s">
        <v>3</v>
      </c>
      <c r="C249" s="19">
        <f>'Raw profile'!I114</f>
        <v>2041</v>
      </c>
      <c r="D249" s="20">
        <f>IF('Raw profile'!C222&gt;0,1,IF('Raw profile'!C325&gt;0,2,0))</f>
        <v>0</v>
      </c>
      <c r="E249" s="20">
        <f>IF('Raw profile'!D222&gt;0,1,IF('Raw profile'!D325&gt;0,2,0))</f>
        <v>0</v>
      </c>
      <c r="F249" s="20">
        <f>IF('Raw profile'!E222&gt;0,1,IF('Raw profile'!E325&gt;0,2,0))</f>
        <v>0</v>
      </c>
      <c r="G249" s="20">
        <f>IF('Raw profile'!F222&gt;0,1,IF('Raw profile'!F325&gt;0,2,0))</f>
        <v>0</v>
      </c>
      <c r="H249" s="20">
        <f>IF('Raw profile'!G222&gt;0,1,IF('Raw profile'!G325&gt;0,2,0))</f>
        <v>0</v>
      </c>
      <c r="I249" s="20">
        <f>IF('Raw profile'!H222&gt;0,1,IF('Raw profile'!H325&gt;0,2,0))</f>
        <v>0</v>
      </c>
      <c r="J249" s="20">
        <f>IF('Raw profile'!I222&gt;0,1,IF('Raw profile'!I325&gt;0,2,0))</f>
        <v>0</v>
      </c>
      <c r="K249" s="20">
        <f>IF('Raw profile'!J222&gt;0,1,IF('Raw profile'!J325&gt;0,2,0))</f>
        <v>0</v>
      </c>
      <c r="L249" s="20">
        <f>IF('Raw profile'!K222&gt;0,1,IF('Raw profile'!K325&gt;0,2,0))</f>
        <v>0</v>
      </c>
      <c r="M249" s="20">
        <f>IF('Raw profile'!L222&gt;0,1,IF('Raw profile'!L325&gt;0,2,0))</f>
        <v>0</v>
      </c>
      <c r="N249" s="20">
        <f>IF('Raw profile'!M222&gt;0,1,IF('Raw profile'!M325&gt;0,2,0))</f>
        <v>0</v>
      </c>
      <c r="O249" s="20">
        <f>IF('Raw profile'!N222&gt;0,1,IF('Raw profile'!N325&gt;0,2,0))</f>
        <v>0</v>
      </c>
      <c r="P249" s="20">
        <f>IF('Raw profile'!O222&gt;0,1,IF('Raw profile'!O325&gt;0,2,0))</f>
        <v>0</v>
      </c>
      <c r="Q249" s="20">
        <f>IF('Raw profile'!P222&gt;0,1,IF('Raw profile'!P325&gt;0,2,0))</f>
        <v>0</v>
      </c>
      <c r="R249" s="20">
        <f>IF('Raw profile'!Q222&gt;0,1,IF('Raw profile'!Q325&gt;0,2,0))</f>
        <v>0</v>
      </c>
      <c r="S249" s="20">
        <f>IF('Raw profile'!R222&gt;0,1,IF('Raw profile'!R325&gt;0,2,0))</f>
        <v>1</v>
      </c>
      <c r="T249" s="20">
        <f>IF('Raw profile'!S222&gt;0,1,IF('Raw profile'!S325&gt;0,2,0))</f>
        <v>1</v>
      </c>
      <c r="U249" s="20">
        <f>IF('Raw profile'!T222&gt;0,1,IF('Raw profile'!T325&gt;0,2,0))</f>
        <v>1</v>
      </c>
      <c r="V249" s="20">
        <f>IF('Raw profile'!U222&gt;0,1,IF('Raw profile'!U325&gt;0,2,0))</f>
        <v>2</v>
      </c>
      <c r="W249" s="20">
        <f>IF('Raw profile'!V222&gt;0,1,IF('Raw profile'!V325&gt;0,2,0))</f>
        <v>2</v>
      </c>
      <c r="X249" s="20">
        <f>IF('Raw profile'!W222&gt;0,1,IF('Raw profile'!W325&gt;0,2,0))</f>
        <v>2</v>
      </c>
      <c r="Y249" s="20">
        <f>IF('Raw profile'!X222&gt;0,1,IF('Raw profile'!X325&gt;0,2,0))</f>
        <v>2</v>
      </c>
      <c r="Z249" s="20">
        <f>IF('Raw profile'!Y222&gt;0,1,IF('Raw profile'!Y325&gt;0,2,0))</f>
        <v>2</v>
      </c>
      <c r="AA249" s="20">
        <f>IF('Raw profile'!Z222&gt;0,1,IF('Raw profile'!Z325&gt;0,2,0))</f>
        <v>2</v>
      </c>
      <c r="AB249" s="20">
        <f>IF('Raw profile'!AA222&gt;0,1,IF('Raw profile'!AA325&gt;0,2,0))</f>
        <v>2</v>
      </c>
      <c r="AC249" s="20">
        <f>IF('Raw profile'!AB222&gt;0,1,IF('Raw profile'!AB325&gt;0,2,0))</f>
        <v>2</v>
      </c>
      <c r="AD249" s="20">
        <f>IF('Raw profile'!AC222&gt;0,1,IF('Raw profile'!AC325&gt;0,2,0))</f>
        <v>2</v>
      </c>
      <c r="AE249" s="20">
        <f>IF('Raw profile'!AD222&gt;0,1,IF('Raw profile'!AD325&gt;0,2,0))</f>
        <v>2</v>
      </c>
      <c r="AF249" s="20">
        <f>IF('Raw profile'!AE222&gt;0,1,IF('Raw profile'!AE325&gt;0,2,0))</f>
        <v>2</v>
      </c>
      <c r="AG249" s="20">
        <f>IF('Raw profile'!AF222&gt;0,1,IF('Raw profile'!AF325&gt;0,2,0))</f>
        <v>2</v>
      </c>
      <c r="AH249" s="20">
        <f>IF('Raw profile'!AG222&gt;0,1,IF('Raw profile'!AG325&gt;0,2,0))</f>
        <v>2</v>
      </c>
      <c r="AI249" s="20">
        <f>IF('Raw profile'!AH222&gt;0,1,IF('Raw profile'!AH325&gt;0,2,0))</f>
        <v>2</v>
      </c>
      <c r="AJ249" s="20">
        <f>IF('Raw profile'!AI222&gt;0,1,IF('Raw profile'!AI325&gt;0,2,0))</f>
        <v>2</v>
      </c>
      <c r="AK249" s="20">
        <f>IF('Raw profile'!AJ222&gt;0,1,IF('Raw profile'!AJ325&gt;0,2,0))</f>
        <v>2</v>
      </c>
      <c r="AL249" s="20">
        <f>IF('Raw profile'!AK222&gt;0,1,IF('Raw profile'!AK325&gt;0,2,0))</f>
        <v>2</v>
      </c>
      <c r="AM249" s="20">
        <f>IF('Raw profile'!AL222&gt;0,1,IF('Raw profile'!AL325&gt;0,2,0))</f>
        <v>2</v>
      </c>
      <c r="AN249" s="20">
        <f>IF('Raw profile'!AM222&gt;0,1,IF('Raw profile'!AM325&gt;0,2,0))</f>
        <v>2</v>
      </c>
      <c r="AO249" s="20">
        <f>IF('Raw profile'!AN222&gt;0,1,IF('Raw profile'!AN325&gt;0,2,0))</f>
        <v>2</v>
      </c>
      <c r="AP249" s="20">
        <f>IF('Raw profile'!AO222&gt;0,1,IF('Raw profile'!AO325&gt;0,2,0))</f>
        <v>2</v>
      </c>
      <c r="AQ249" s="20">
        <f>IF('Raw profile'!AP222&gt;0,1,IF('Raw profile'!AP325&gt;0,2,0))</f>
        <v>2</v>
      </c>
      <c r="AR249" s="20">
        <f>IF('Raw profile'!AQ222&gt;0,1,IF('Raw profile'!AQ325&gt;0,2,0))</f>
        <v>2</v>
      </c>
      <c r="AS249" s="20">
        <f>IF('Raw profile'!AR222&gt;0,1,IF('Raw profile'!AR325&gt;0,2,0))</f>
        <v>2</v>
      </c>
      <c r="AT249" s="20">
        <f>IF('Raw profile'!AS222&gt;0,1,IF('Raw profile'!AS325&gt;0,2,0))</f>
        <v>2</v>
      </c>
      <c r="AU249" s="20">
        <f>IF('Raw profile'!AT222&gt;0,1,IF('Raw profile'!AT325&gt;0,2,0))</f>
        <v>2</v>
      </c>
      <c r="AV249" s="20">
        <f>IF('Raw profile'!AU222&gt;0,1,IF('Raw profile'!AU325&gt;0,2,0))</f>
        <v>2</v>
      </c>
      <c r="AW249" s="20">
        <f>IF('Raw profile'!AV222&gt;0,1,IF('Raw profile'!AV325&gt;0,2,0))</f>
        <v>2</v>
      </c>
      <c r="AX249" s="20">
        <f>IF('Raw profile'!AW222&gt;0,1,IF('Raw profile'!AW325&gt;0,2,0))</f>
        <v>2</v>
      </c>
      <c r="AY249" s="20">
        <f>IF('Raw profile'!AX222&gt;0,1,IF('Raw profile'!AX325&gt;0,2,0))</f>
        <v>2</v>
      </c>
      <c r="AZ249" s="20">
        <f>IF('Raw profile'!AY222&gt;0,1,IF('Raw profile'!AY325&gt;0,2,0))</f>
        <v>2</v>
      </c>
      <c r="BA249" s="20">
        <f>IF('Raw profile'!AZ222&gt;0,1,IF('Raw profile'!AZ325&gt;0,2,0))</f>
        <v>2</v>
      </c>
      <c r="BB249" s="20">
        <f>IF('Raw profile'!BA222&gt;0,1,IF('Raw profile'!BA325&gt;0,2,0))</f>
        <v>2</v>
      </c>
      <c r="BC249" s="20">
        <f>IF('Raw profile'!BB222&gt;0,1,IF('Raw profile'!BB325&gt;0,2,0))</f>
        <v>2</v>
      </c>
      <c r="BD249" s="20">
        <f>IF('Raw profile'!BC222&gt;0,1,IF('Raw profile'!BC325&gt;0,2,0))</f>
        <v>2</v>
      </c>
      <c r="BE249" s="20">
        <f>IF('Raw profile'!BD222&gt;0,1,IF('Raw profile'!BD325&gt;0,2,0))</f>
        <v>2</v>
      </c>
      <c r="BF249" s="20">
        <f>IF('Raw profile'!BE222&gt;0,1,IF('Raw profile'!BE325&gt;0,2,0))</f>
        <v>2</v>
      </c>
      <c r="BG249" s="20">
        <f>IF('Raw profile'!BF222&gt;0,1,IF('Raw profile'!BF325&gt;0,2,0))</f>
        <v>2</v>
      </c>
      <c r="BH249" s="20">
        <f>IF('Raw profile'!BG222&gt;0,1,IF('Raw profile'!BG325&gt;0,2,0))</f>
        <v>2</v>
      </c>
      <c r="BI249" s="20">
        <f>IF('Raw profile'!BH222&gt;0,1,IF('Raw profile'!BH325&gt;0,2,0))</f>
        <v>2</v>
      </c>
      <c r="BJ249" s="20">
        <f>IF('Raw profile'!BI222&gt;0,1,IF('Raw profile'!BI325&gt;0,2,0))</f>
        <v>0</v>
      </c>
      <c r="BK249" s="21">
        <f>IF('Raw profile'!BJ222&gt;0,1,IF('Raw profile'!BJ325&gt;0,2,0))</f>
        <v>0</v>
      </c>
    </row>
    <row r="250" spans="1:63" x14ac:dyDescent="0.3">
      <c r="B250" s="13" t="s">
        <v>4</v>
      </c>
      <c r="C250" s="19">
        <f>'Growth profile'!I114</f>
        <v>2026</v>
      </c>
      <c r="D250" s="20">
        <f>IF('Growth profile'!C222&gt;0,1,IF('Growth profile'!C325&gt;0,3,0))</f>
        <v>1</v>
      </c>
      <c r="E250" s="20">
        <f>IF('Growth profile'!D222&gt;0,1,IF('Growth profile'!D325&gt;0,3,0))</f>
        <v>1</v>
      </c>
      <c r="F250" s="20">
        <f>IF('Growth profile'!E222&gt;0,1,IF('Growth profile'!E325&gt;0,3,0))</f>
        <v>1</v>
      </c>
      <c r="G250" s="20">
        <f>IF('Growth profile'!F222&gt;0,1,IF('Growth profile'!F325&gt;0,3,0))</f>
        <v>3</v>
      </c>
      <c r="H250" s="20">
        <f>IF('Growth profile'!G222&gt;0,1,IF('Growth profile'!G325&gt;0,3,0))</f>
        <v>3</v>
      </c>
      <c r="I250" s="20">
        <f>IF('Growth profile'!H222&gt;0,1,IF('Growth profile'!H325&gt;0,3,0))</f>
        <v>3</v>
      </c>
      <c r="J250" s="20">
        <f>IF('Growth profile'!I222&gt;0,1,IF('Growth profile'!I325&gt;0,3,0))</f>
        <v>3</v>
      </c>
      <c r="K250" s="20">
        <f>IF('Growth profile'!J222&gt;0,1,IF('Growth profile'!J325&gt;0,3,0))</f>
        <v>3</v>
      </c>
      <c r="L250" s="20">
        <f>IF('Growth profile'!K222&gt;0,1,IF('Growth profile'!K325&gt;0,3,0))</f>
        <v>3</v>
      </c>
      <c r="M250" s="20">
        <f>IF('Growth profile'!L222&gt;0,1,IF('Growth profile'!L325&gt;0,3,0))</f>
        <v>3</v>
      </c>
      <c r="N250" s="20">
        <f>IF('Growth profile'!M222&gt;0,1,IF('Growth profile'!M325&gt;0,3,0))</f>
        <v>3</v>
      </c>
      <c r="O250" s="20">
        <f>IF('Growth profile'!N222&gt;0,1,IF('Growth profile'!N325&gt;0,3,0))</f>
        <v>3</v>
      </c>
      <c r="P250" s="20">
        <f>IF('Growth profile'!O222&gt;0,1,IF('Growth profile'!O325&gt;0,3,0))</f>
        <v>3</v>
      </c>
      <c r="Q250" s="20">
        <f>IF('Growth profile'!P222&gt;0,1,IF('Growth profile'!P325&gt;0,3,0))</f>
        <v>3</v>
      </c>
      <c r="R250" s="20">
        <f>IF('Growth profile'!Q222&gt;0,1,IF('Growth profile'!Q325&gt;0,3,0))</f>
        <v>3</v>
      </c>
      <c r="S250" s="20">
        <f>IF('Growth profile'!R222&gt;0,1,IF('Growth profile'!R325&gt;0,3,0))</f>
        <v>3</v>
      </c>
      <c r="T250" s="20">
        <f>IF('Growth profile'!S222&gt;0,1,IF('Growth profile'!S325&gt;0,3,0))</f>
        <v>3</v>
      </c>
      <c r="U250" s="20">
        <f>IF('Growth profile'!T222&gt;0,1,IF('Growth profile'!T325&gt;0,3,0))</f>
        <v>3</v>
      </c>
      <c r="V250" s="20">
        <f>IF('Growth profile'!U222&gt;0,1,IF('Growth profile'!U325&gt;0,3,0))</f>
        <v>3</v>
      </c>
      <c r="W250" s="20">
        <f>IF('Growth profile'!V222&gt;0,1,IF('Growth profile'!V325&gt;0,3,0))</f>
        <v>3</v>
      </c>
      <c r="X250" s="20">
        <f>IF('Growth profile'!W222&gt;0,1,IF('Growth profile'!W325&gt;0,3,0))</f>
        <v>3</v>
      </c>
      <c r="Y250" s="20">
        <f>IF('Growth profile'!X222&gt;0,1,IF('Growth profile'!X325&gt;0,3,0))</f>
        <v>3</v>
      </c>
      <c r="Z250" s="20">
        <f>IF('Growth profile'!Y222&gt;0,1,IF('Growth profile'!Y325&gt;0,3,0))</f>
        <v>3</v>
      </c>
      <c r="AA250" s="20">
        <f>IF('Growth profile'!Z222&gt;0,1,IF('Growth profile'!Z325&gt;0,3,0))</f>
        <v>3</v>
      </c>
      <c r="AB250" s="20">
        <f>IF('Growth profile'!AA222&gt;0,1,IF('Growth profile'!AA325&gt;0,3,0))</f>
        <v>3</v>
      </c>
      <c r="AC250" s="20">
        <f>IF('Growth profile'!AB222&gt;0,1,IF('Growth profile'!AB325&gt;0,3,0))</f>
        <v>3</v>
      </c>
      <c r="AD250" s="20">
        <f>IF('Growth profile'!AC222&gt;0,1,IF('Growth profile'!AC325&gt;0,3,0))</f>
        <v>3</v>
      </c>
      <c r="AE250" s="20">
        <f>IF('Growth profile'!AD222&gt;0,1,IF('Growth profile'!AD325&gt;0,3,0))</f>
        <v>3</v>
      </c>
      <c r="AF250" s="20">
        <f>IF('Growth profile'!AE222&gt;0,1,IF('Growth profile'!AE325&gt;0,3,0))</f>
        <v>3</v>
      </c>
      <c r="AG250" s="20">
        <f>IF('Growth profile'!AF222&gt;0,1,IF('Growth profile'!AF325&gt;0,3,0))</f>
        <v>3</v>
      </c>
      <c r="AH250" s="20">
        <f>IF('Growth profile'!AG222&gt;0,1,IF('Growth profile'!AG325&gt;0,3,0))</f>
        <v>3</v>
      </c>
      <c r="AI250" s="20">
        <f>IF('Growth profile'!AH222&gt;0,1,IF('Growth profile'!AH325&gt;0,3,0))</f>
        <v>3</v>
      </c>
      <c r="AJ250" s="20">
        <f>IF('Growth profile'!AI222&gt;0,1,IF('Growth profile'!AI325&gt;0,3,0))</f>
        <v>3</v>
      </c>
      <c r="AK250" s="20">
        <f>IF('Growth profile'!AJ222&gt;0,1,IF('Growth profile'!AJ325&gt;0,3,0))</f>
        <v>3</v>
      </c>
      <c r="AL250" s="20">
        <f>IF('Growth profile'!AK222&gt;0,1,IF('Growth profile'!AK325&gt;0,3,0))</f>
        <v>3</v>
      </c>
      <c r="AM250" s="20">
        <f>IF('Growth profile'!AL222&gt;0,1,IF('Growth profile'!AL325&gt;0,3,0))</f>
        <v>3</v>
      </c>
      <c r="AN250" s="20">
        <f>IF('Growth profile'!AM222&gt;0,1,IF('Growth profile'!AM325&gt;0,3,0))</f>
        <v>3</v>
      </c>
      <c r="AO250" s="20">
        <f>IF('Growth profile'!AN222&gt;0,1,IF('Growth profile'!AN325&gt;0,3,0))</f>
        <v>3</v>
      </c>
      <c r="AP250" s="20">
        <f>IF('Growth profile'!AO222&gt;0,1,IF('Growth profile'!AO325&gt;0,3,0))</f>
        <v>3</v>
      </c>
      <c r="AQ250" s="20">
        <f>IF('Growth profile'!AP222&gt;0,1,IF('Growth profile'!AP325&gt;0,3,0))</f>
        <v>3</v>
      </c>
      <c r="AR250" s="20">
        <f>IF('Growth profile'!AQ222&gt;0,1,IF('Growth profile'!AQ325&gt;0,3,0))</f>
        <v>3</v>
      </c>
      <c r="AS250" s="20">
        <f>IF('Growth profile'!AR222&gt;0,1,IF('Growth profile'!AR325&gt;0,3,0))</f>
        <v>3</v>
      </c>
      <c r="AT250" s="20">
        <f>IF('Growth profile'!AS222&gt;0,1,IF('Growth profile'!AS325&gt;0,3,0))</f>
        <v>3</v>
      </c>
      <c r="AU250" s="20">
        <f>IF('Growth profile'!AT222&gt;0,1,IF('Growth profile'!AT325&gt;0,3,0))</f>
        <v>0</v>
      </c>
      <c r="AV250" s="20">
        <f>IF('Growth profile'!AU222&gt;0,1,IF('Growth profile'!AU325&gt;0,3,0))</f>
        <v>0</v>
      </c>
      <c r="AW250" s="20">
        <f>IF('Growth profile'!AV222&gt;0,1,IF('Growth profile'!AV325&gt;0,3,0))</f>
        <v>0</v>
      </c>
      <c r="AX250" s="20">
        <f>IF('Growth profile'!AW222&gt;0,1,IF('Growth profile'!AW325&gt;0,3,0))</f>
        <v>0</v>
      </c>
      <c r="AY250" s="20">
        <f>IF('Growth profile'!AX222&gt;0,1,IF('Growth profile'!AX325&gt;0,3,0))</f>
        <v>0</v>
      </c>
      <c r="AZ250" s="20">
        <f>IF('Growth profile'!AY222&gt;0,1,IF('Growth profile'!AY325&gt;0,3,0))</f>
        <v>0</v>
      </c>
      <c r="BA250" s="20">
        <f>IF('Growth profile'!AZ222&gt;0,1,IF('Growth profile'!AZ325&gt;0,3,0))</f>
        <v>0</v>
      </c>
      <c r="BB250" s="20">
        <f>IF('Growth profile'!BA222&gt;0,1,IF('Growth profile'!BA325&gt;0,3,0))</f>
        <v>0</v>
      </c>
      <c r="BC250" s="20">
        <f>IF('Growth profile'!BB222&gt;0,1,IF('Growth profile'!BB325&gt;0,3,0))</f>
        <v>0</v>
      </c>
      <c r="BD250" s="20">
        <f>IF('Growth profile'!BC222&gt;0,1,IF('Growth profile'!BC325&gt;0,3,0))</f>
        <v>0</v>
      </c>
      <c r="BE250" s="20">
        <f>IF('Growth profile'!BD222&gt;0,1,IF('Growth profile'!BD325&gt;0,3,0))</f>
        <v>0</v>
      </c>
      <c r="BF250" s="20">
        <f>IF('Growth profile'!BE222&gt;0,1,IF('Growth profile'!BE325&gt;0,3,0))</f>
        <v>0</v>
      </c>
      <c r="BG250" s="20">
        <f>IF('Growth profile'!BF222&gt;0,1,IF('Growth profile'!BF325&gt;0,3,0))</f>
        <v>0</v>
      </c>
      <c r="BH250" s="20">
        <f>IF('Growth profile'!BG222&gt;0,1,IF('Growth profile'!BG325&gt;0,3,0))</f>
        <v>0</v>
      </c>
      <c r="BI250" s="20">
        <f>IF('Growth profile'!BH222&gt;0,1,IF('Growth profile'!BH325&gt;0,3,0))</f>
        <v>0</v>
      </c>
      <c r="BJ250" s="20">
        <f>IF('Growth profile'!BI222&gt;0,1,IF('Growth profile'!BI325&gt;0,3,0))</f>
        <v>0</v>
      </c>
      <c r="BK250" s="21">
        <f>IF('Growth profile'!BJ222&gt;0,1,IF('Growth profile'!BJ325&gt;0,3,0))</f>
        <v>0</v>
      </c>
    </row>
    <row r="251" spans="1:63" x14ac:dyDescent="0.3">
      <c r="B251" s="13" t="s">
        <v>59</v>
      </c>
      <c r="C251" s="19">
        <f>'Growth (no penalty)'!I114</f>
        <v>2028</v>
      </c>
      <c r="D251" s="22">
        <f>IF('Growth (no penalty)'!C222&gt;0,1,IF('Growth (no penalty)'!C325&gt;0,4,0))</f>
        <v>0</v>
      </c>
      <c r="E251" s="22">
        <f>IF('Growth (no penalty)'!D222&gt;0,1,IF('Growth (no penalty)'!D325&gt;0,4,0))</f>
        <v>0</v>
      </c>
      <c r="F251" s="22">
        <f>IF('Growth (no penalty)'!E222&gt;0,1,IF('Growth (no penalty)'!E325&gt;0,4,0))</f>
        <v>1</v>
      </c>
      <c r="G251" s="22">
        <f>IF('Growth (no penalty)'!F222&gt;0,1,IF('Growth (no penalty)'!F325&gt;0,4,0))</f>
        <v>1</v>
      </c>
      <c r="H251" s="22">
        <f>IF('Growth (no penalty)'!G222&gt;0,1,IF('Growth (no penalty)'!G325&gt;0,4,0))</f>
        <v>1</v>
      </c>
      <c r="I251" s="22">
        <f>IF('Growth (no penalty)'!H222&gt;0,1,IF('Growth (no penalty)'!H325&gt;0,4,0))</f>
        <v>4</v>
      </c>
      <c r="J251" s="22">
        <f>IF('Growth (no penalty)'!I222&gt;0,1,IF('Growth (no penalty)'!I325&gt;0,4,0))</f>
        <v>4</v>
      </c>
      <c r="K251" s="22">
        <f>IF('Growth (no penalty)'!J222&gt;0,1,IF('Growth (no penalty)'!J325&gt;0,4,0))</f>
        <v>4</v>
      </c>
      <c r="L251" s="22">
        <f>IF('Growth (no penalty)'!K222&gt;0,1,IF('Growth (no penalty)'!K325&gt;0,4,0))</f>
        <v>4</v>
      </c>
      <c r="M251" s="22">
        <f>IF('Growth (no penalty)'!L222&gt;0,1,IF('Growth (no penalty)'!L325&gt;0,4,0))</f>
        <v>4</v>
      </c>
      <c r="N251" s="22">
        <f>IF('Growth (no penalty)'!M222&gt;0,1,IF('Growth (no penalty)'!M325&gt;0,4,0))</f>
        <v>4</v>
      </c>
      <c r="O251" s="22">
        <f>IF('Growth (no penalty)'!N222&gt;0,1,IF('Growth (no penalty)'!N325&gt;0,4,0))</f>
        <v>4</v>
      </c>
      <c r="P251" s="22">
        <f>IF('Growth (no penalty)'!O222&gt;0,1,IF('Growth (no penalty)'!O325&gt;0,4,0))</f>
        <v>4</v>
      </c>
      <c r="Q251" s="22">
        <f>IF('Growth (no penalty)'!P222&gt;0,1,IF('Growth (no penalty)'!P325&gt;0,4,0))</f>
        <v>4</v>
      </c>
      <c r="R251" s="22">
        <f>IF('Growth (no penalty)'!Q222&gt;0,1,IF('Growth (no penalty)'!Q325&gt;0,4,0))</f>
        <v>4</v>
      </c>
      <c r="S251" s="22">
        <f>IF('Growth (no penalty)'!R222&gt;0,1,IF('Growth (no penalty)'!R325&gt;0,4,0))</f>
        <v>4</v>
      </c>
      <c r="T251" s="22">
        <f>IF('Growth (no penalty)'!S222&gt;0,1,IF('Growth (no penalty)'!S325&gt;0,4,0))</f>
        <v>4</v>
      </c>
      <c r="U251" s="22">
        <f>IF('Growth (no penalty)'!T222&gt;0,1,IF('Growth (no penalty)'!T325&gt;0,4,0))</f>
        <v>4</v>
      </c>
      <c r="V251" s="22">
        <f>IF('Growth (no penalty)'!U222&gt;0,1,IF('Growth (no penalty)'!U325&gt;0,4,0))</f>
        <v>4</v>
      </c>
      <c r="W251" s="22">
        <f>IF('Growth (no penalty)'!V222&gt;0,1,IF('Growth (no penalty)'!V325&gt;0,4,0))</f>
        <v>4</v>
      </c>
      <c r="X251" s="22">
        <f>IF('Growth (no penalty)'!W222&gt;0,1,IF('Growth (no penalty)'!W325&gt;0,4,0))</f>
        <v>4</v>
      </c>
      <c r="Y251" s="22">
        <f>IF('Growth (no penalty)'!X222&gt;0,1,IF('Growth (no penalty)'!X325&gt;0,4,0))</f>
        <v>4</v>
      </c>
      <c r="Z251" s="22">
        <f>IF('Growth (no penalty)'!Y222&gt;0,1,IF('Growth (no penalty)'!Y325&gt;0,4,0))</f>
        <v>4</v>
      </c>
      <c r="AA251" s="22">
        <f>IF('Growth (no penalty)'!Z222&gt;0,1,IF('Growth (no penalty)'!Z325&gt;0,4,0))</f>
        <v>4</v>
      </c>
      <c r="AB251" s="22">
        <f>IF('Growth (no penalty)'!AA222&gt;0,1,IF('Growth (no penalty)'!AA325&gt;0,4,0))</f>
        <v>4</v>
      </c>
      <c r="AC251" s="22">
        <f>IF('Growth (no penalty)'!AB222&gt;0,1,IF('Growth (no penalty)'!AB325&gt;0,4,0))</f>
        <v>4</v>
      </c>
      <c r="AD251" s="22">
        <f>IF('Growth (no penalty)'!AC222&gt;0,1,IF('Growth (no penalty)'!AC325&gt;0,4,0))</f>
        <v>4</v>
      </c>
      <c r="AE251" s="22">
        <f>IF('Growth (no penalty)'!AD222&gt;0,1,IF('Growth (no penalty)'!AD325&gt;0,4,0))</f>
        <v>4</v>
      </c>
      <c r="AF251" s="22">
        <f>IF('Growth (no penalty)'!AE222&gt;0,1,IF('Growth (no penalty)'!AE325&gt;0,4,0))</f>
        <v>4</v>
      </c>
      <c r="AG251" s="22">
        <f>IF('Growth (no penalty)'!AF222&gt;0,1,IF('Growth (no penalty)'!AF325&gt;0,4,0))</f>
        <v>4</v>
      </c>
      <c r="AH251" s="22">
        <f>IF('Growth (no penalty)'!AG222&gt;0,1,IF('Growth (no penalty)'!AG325&gt;0,4,0))</f>
        <v>4</v>
      </c>
      <c r="AI251" s="22">
        <f>IF('Growth (no penalty)'!AH222&gt;0,1,IF('Growth (no penalty)'!AH325&gt;0,4,0))</f>
        <v>4</v>
      </c>
      <c r="AJ251" s="22">
        <f>IF('Growth (no penalty)'!AI222&gt;0,1,IF('Growth (no penalty)'!AI325&gt;0,4,0))</f>
        <v>4</v>
      </c>
      <c r="AK251" s="22">
        <f>IF('Growth (no penalty)'!AJ222&gt;0,1,IF('Growth (no penalty)'!AJ325&gt;0,4,0))</f>
        <v>4</v>
      </c>
      <c r="AL251" s="22">
        <f>IF('Growth (no penalty)'!AK222&gt;0,1,IF('Growth (no penalty)'!AK325&gt;0,4,0))</f>
        <v>4</v>
      </c>
      <c r="AM251" s="22">
        <f>IF('Growth (no penalty)'!AL222&gt;0,1,IF('Growth (no penalty)'!AL325&gt;0,4,0))</f>
        <v>4</v>
      </c>
      <c r="AN251" s="22">
        <f>IF('Growth (no penalty)'!AM222&gt;0,1,IF('Growth (no penalty)'!AM325&gt;0,4,0))</f>
        <v>4</v>
      </c>
      <c r="AO251" s="22">
        <f>IF('Growth (no penalty)'!AN222&gt;0,1,IF('Growth (no penalty)'!AN325&gt;0,4,0))</f>
        <v>4</v>
      </c>
      <c r="AP251" s="22">
        <f>IF('Growth (no penalty)'!AO222&gt;0,1,IF('Growth (no penalty)'!AO325&gt;0,4,0))</f>
        <v>4</v>
      </c>
      <c r="AQ251" s="22">
        <f>IF('Growth (no penalty)'!AP222&gt;0,1,IF('Growth (no penalty)'!AP325&gt;0,4,0))</f>
        <v>4</v>
      </c>
      <c r="AR251" s="22">
        <f>IF('Growth (no penalty)'!AQ222&gt;0,1,IF('Growth (no penalty)'!AQ325&gt;0,4,0))</f>
        <v>4</v>
      </c>
      <c r="AS251" s="22">
        <f>IF('Growth (no penalty)'!AR222&gt;0,1,IF('Growth (no penalty)'!AR325&gt;0,4,0))</f>
        <v>4</v>
      </c>
      <c r="AT251" s="22">
        <f>IF('Growth (no penalty)'!AS222&gt;0,1,IF('Growth (no penalty)'!AS325&gt;0,4,0))</f>
        <v>4</v>
      </c>
      <c r="AU251" s="22">
        <f>IF('Growth (no penalty)'!AT222&gt;0,1,IF('Growth (no penalty)'!AT325&gt;0,4,0))</f>
        <v>4</v>
      </c>
      <c r="AV251" s="22">
        <f>IF('Growth (no penalty)'!AU222&gt;0,1,IF('Growth (no penalty)'!AU325&gt;0,4,0))</f>
        <v>4</v>
      </c>
      <c r="AW251" s="22">
        <f>IF('Growth (no penalty)'!AV222&gt;0,1,IF('Growth (no penalty)'!AV325&gt;0,4,0))</f>
        <v>0</v>
      </c>
      <c r="AX251" s="22">
        <f>IF('Growth (no penalty)'!AW222&gt;0,1,IF('Growth (no penalty)'!AW325&gt;0,4,0))</f>
        <v>0</v>
      </c>
      <c r="AY251" s="22">
        <f>IF('Growth (no penalty)'!AX222&gt;0,1,IF('Growth (no penalty)'!AX325&gt;0,4,0))</f>
        <v>0</v>
      </c>
      <c r="AZ251" s="22">
        <f>IF('Growth (no penalty)'!AY222&gt;0,1,IF('Growth (no penalty)'!AY325&gt;0,4,0))</f>
        <v>0</v>
      </c>
      <c r="BA251" s="22">
        <f>IF('Growth (no penalty)'!AZ222&gt;0,1,IF('Growth (no penalty)'!AZ325&gt;0,4,0))</f>
        <v>0</v>
      </c>
      <c r="BB251" s="22">
        <f>IF('Growth (no penalty)'!BA222&gt;0,1,IF('Growth (no penalty)'!BA325&gt;0,4,0))</f>
        <v>0</v>
      </c>
      <c r="BC251" s="22">
        <f>IF('Growth (no penalty)'!BB222&gt;0,1,IF('Growth (no penalty)'!BB325&gt;0,4,0))</f>
        <v>0</v>
      </c>
      <c r="BD251" s="22">
        <f>IF('Growth (no penalty)'!BC222&gt;0,1,IF('Growth (no penalty)'!BC325&gt;0,4,0))</f>
        <v>0</v>
      </c>
      <c r="BE251" s="22">
        <f>IF('Growth (no penalty)'!BD222&gt;0,1,IF('Growth (no penalty)'!BD325&gt;0,4,0))</f>
        <v>0</v>
      </c>
      <c r="BF251" s="22">
        <f>IF('Growth (no penalty)'!BE222&gt;0,1,IF('Growth (no penalty)'!BE325&gt;0,4,0))</f>
        <v>0</v>
      </c>
      <c r="BG251" s="22">
        <f>IF('Growth (no penalty)'!BF222&gt;0,1,IF('Growth (no penalty)'!BF325&gt;0,4,0))</f>
        <v>0</v>
      </c>
      <c r="BH251" s="22">
        <f>IF('Growth (no penalty)'!BG222&gt;0,1,IF('Growth (no penalty)'!BG325&gt;0,4,0))</f>
        <v>0</v>
      </c>
      <c r="BI251" s="22">
        <f>IF('Growth (no penalty)'!BH222&gt;0,1,IF('Growth (no penalty)'!BH325&gt;0,4,0))</f>
        <v>0</v>
      </c>
      <c r="BJ251" s="22">
        <f>IF('Growth (no penalty)'!BI222&gt;0,1,IF('Growth (no penalty)'!BI325&gt;0,4,0))</f>
        <v>0</v>
      </c>
      <c r="BK251" s="23">
        <f>IF('Growth (no penalty)'!BJ222&gt;0,1,IF('Growth (no penalty)'!BJ325&gt;0,4,0))</f>
        <v>0</v>
      </c>
    </row>
    <row r="252" spans="1:63" x14ac:dyDescent="0.3">
      <c r="A252" s="4" t="str">
        <f>'Growth profile'!A123</f>
        <v>project 218</v>
      </c>
      <c r="B252" s="13" t="s">
        <v>3</v>
      </c>
      <c r="C252" s="19">
        <f>'Raw profile'!I123</f>
        <v>2041</v>
      </c>
      <c r="D252" s="20">
        <f>IF('Raw profile'!C231&gt;0,1,IF('Raw profile'!C334&gt;0,2,0))</f>
        <v>0</v>
      </c>
      <c r="E252" s="20">
        <f>IF('Raw profile'!D231&gt;0,1,IF('Raw profile'!D334&gt;0,2,0))</f>
        <v>0</v>
      </c>
      <c r="F252" s="20">
        <f>IF('Raw profile'!E231&gt;0,1,IF('Raw profile'!E334&gt;0,2,0))</f>
        <v>0</v>
      </c>
      <c r="G252" s="20">
        <f>IF('Raw profile'!F231&gt;0,1,IF('Raw profile'!F334&gt;0,2,0))</f>
        <v>0</v>
      </c>
      <c r="H252" s="20">
        <f>IF('Raw profile'!G231&gt;0,1,IF('Raw profile'!G334&gt;0,2,0))</f>
        <v>0</v>
      </c>
      <c r="I252" s="20">
        <f>IF('Raw profile'!H231&gt;0,1,IF('Raw profile'!H334&gt;0,2,0))</f>
        <v>0</v>
      </c>
      <c r="J252" s="20">
        <f>IF('Raw profile'!I231&gt;0,1,IF('Raw profile'!I334&gt;0,2,0))</f>
        <v>0</v>
      </c>
      <c r="K252" s="20">
        <f>IF('Raw profile'!J231&gt;0,1,IF('Raw profile'!J334&gt;0,2,0))</f>
        <v>0</v>
      </c>
      <c r="L252" s="20">
        <f>IF('Raw profile'!K231&gt;0,1,IF('Raw profile'!K334&gt;0,2,0))</f>
        <v>0</v>
      </c>
      <c r="M252" s="20">
        <f>IF('Raw profile'!L231&gt;0,1,IF('Raw profile'!L334&gt;0,2,0))</f>
        <v>0</v>
      </c>
      <c r="N252" s="20">
        <f>IF('Raw profile'!M231&gt;0,1,IF('Raw profile'!M334&gt;0,2,0))</f>
        <v>0</v>
      </c>
      <c r="O252" s="20">
        <f>IF('Raw profile'!N231&gt;0,1,IF('Raw profile'!N334&gt;0,2,0))</f>
        <v>0</v>
      </c>
      <c r="P252" s="20">
        <f>IF('Raw profile'!O231&gt;0,1,IF('Raw profile'!O334&gt;0,2,0))</f>
        <v>0</v>
      </c>
      <c r="Q252" s="20">
        <f>IF('Raw profile'!P231&gt;0,1,IF('Raw profile'!P334&gt;0,2,0))</f>
        <v>0</v>
      </c>
      <c r="R252" s="20">
        <f>IF('Raw profile'!Q231&gt;0,1,IF('Raw profile'!Q334&gt;0,2,0))</f>
        <v>0</v>
      </c>
      <c r="S252" s="20">
        <f>IF('Raw profile'!R231&gt;0,1,IF('Raw profile'!R334&gt;0,2,0))</f>
        <v>1</v>
      </c>
      <c r="T252" s="20">
        <f>IF('Raw profile'!S231&gt;0,1,IF('Raw profile'!S334&gt;0,2,0))</f>
        <v>1</v>
      </c>
      <c r="U252" s="20">
        <f>IF('Raw profile'!T231&gt;0,1,IF('Raw profile'!T334&gt;0,2,0))</f>
        <v>1</v>
      </c>
      <c r="V252" s="20">
        <f>IF('Raw profile'!U231&gt;0,1,IF('Raw profile'!U334&gt;0,2,0))</f>
        <v>2</v>
      </c>
      <c r="W252" s="20">
        <f>IF('Raw profile'!V231&gt;0,1,IF('Raw profile'!V334&gt;0,2,0))</f>
        <v>2</v>
      </c>
      <c r="X252" s="20">
        <f>IF('Raw profile'!W231&gt;0,1,IF('Raw profile'!W334&gt;0,2,0))</f>
        <v>2</v>
      </c>
      <c r="Y252" s="20">
        <f>IF('Raw profile'!X231&gt;0,1,IF('Raw profile'!X334&gt;0,2,0))</f>
        <v>2</v>
      </c>
      <c r="Z252" s="20">
        <f>IF('Raw profile'!Y231&gt;0,1,IF('Raw profile'!Y334&gt;0,2,0))</f>
        <v>2</v>
      </c>
      <c r="AA252" s="20">
        <f>IF('Raw profile'!Z231&gt;0,1,IF('Raw profile'!Z334&gt;0,2,0))</f>
        <v>2</v>
      </c>
      <c r="AB252" s="20">
        <f>IF('Raw profile'!AA231&gt;0,1,IF('Raw profile'!AA334&gt;0,2,0))</f>
        <v>2</v>
      </c>
      <c r="AC252" s="20">
        <f>IF('Raw profile'!AB231&gt;0,1,IF('Raw profile'!AB334&gt;0,2,0))</f>
        <v>2</v>
      </c>
      <c r="AD252" s="20">
        <f>IF('Raw profile'!AC231&gt;0,1,IF('Raw profile'!AC334&gt;0,2,0))</f>
        <v>2</v>
      </c>
      <c r="AE252" s="20">
        <f>IF('Raw profile'!AD231&gt;0,1,IF('Raw profile'!AD334&gt;0,2,0))</f>
        <v>2</v>
      </c>
      <c r="AF252" s="20">
        <f>IF('Raw profile'!AE231&gt;0,1,IF('Raw profile'!AE334&gt;0,2,0))</f>
        <v>2</v>
      </c>
      <c r="AG252" s="20">
        <f>IF('Raw profile'!AF231&gt;0,1,IF('Raw profile'!AF334&gt;0,2,0))</f>
        <v>2</v>
      </c>
      <c r="AH252" s="20">
        <f>IF('Raw profile'!AG231&gt;0,1,IF('Raw profile'!AG334&gt;0,2,0))</f>
        <v>2</v>
      </c>
      <c r="AI252" s="20">
        <f>IF('Raw profile'!AH231&gt;0,1,IF('Raw profile'!AH334&gt;0,2,0))</f>
        <v>2</v>
      </c>
      <c r="AJ252" s="20">
        <f>IF('Raw profile'!AI231&gt;0,1,IF('Raw profile'!AI334&gt;0,2,0))</f>
        <v>2</v>
      </c>
      <c r="AK252" s="20">
        <f>IF('Raw profile'!AJ231&gt;0,1,IF('Raw profile'!AJ334&gt;0,2,0))</f>
        <v>2</v>
      </c>
      <c r="AL252" s="20">
        <f>IF('Raw profile'!AK231&gt;0,1,IF('Raw profile'!AK334&gt;0,2,0))</f>
        <v>2</v>
      </c>
      <c r="AM252" s="20">
        <f>IF('Raw profile'!AL231&gt;0,1,IF('Raw profile'!AL334&gt;0,2,0))</f>
        <v>2</v>
      </c>
      <c r="AN252" s="20">
        <f>IF('Raw profile'!AM231&gt;0,1,IF('Raw profile'!AM334&gt;0,2,0))</f>
        <v>2</v>
      </c>
      <c r="AO252" s="20">
        <f>IF('Raw profile'!AN231&gt;0,1,IF('Raw profile'!AN334&gt;0,2,0))</f>
        <v>2</v>
      </c>
      <c r="AP252" s="20">
        <f>IF('Raw profile'!AO231&gt;0,1,IF('Raw profile'!AO334&gt;0,2,0))</f>
        <v>2</v>
      </c>
      <c r="AQ252" s="20">
        <f>IF('Raw profile'!AP231&gt;0,1,IF('Raw profile'!AP334&gt;0,2,0))</f>
        <v>2</v>
      </c>
      <c r="AR252" s="20">
        <f>IF('Raw profile'!AQ231&gt;0,1,IF('Raw profile'!AQ334&gt;0,2,0))</f>
        <v>2</v>
      </c>
      <c r="AS252" s="20">
        <f>IF('Raw profile'!AR231&gt;0,1,IF('Raw profile'!AR334&gt;0,2,0))</f>
        <v>2</v>
      </c>
      <c r="AT252" s="20">
        <f>IF('Raw profile'!AS231&gt;0,1,IF('Raw profile'!AS334&gt;0,2,0))</f>
        <v>2</v>
      </c>
      <c r="AU252" s="20">
        <f>IF('Raw profile'!AT231&gt;0,1,IF('Raw profile'!AT334&gt;0,2,0))</f>
        <v>2</v>
      </c>
      <c r="AV252" s="20">
        <f>IF('Raw profile'!AU231&gt;0,1,IF('Raw profile'!AU334&gt;0,2,0))</f>
        <v>2</v>
      </c>
      <c r="AW252" s="20">
        <f>IF('Raw profile'!AV231&gt;0,1,IF('Raw profile'!AV334&gt;0,2,0))</f>
        <v>2</v>
      </c>
      <c r="AX252" s="20">
        <f>IF('Raw profile'!AW231&gt;0,1,IF('Raw profile'!AW334&gt;0,2,0))</f>
        <v>2</v>
      </c>
      <c r="AY252" s="20">
        <f>IF('Raw profile'!AX231&gt;0,1,IF('Raw profile'!AX334&gt;0,2,0))</f>
        <v>2</v>
      </c>
      <c r="AZ252" s="20">
        <f>IF('Raw profile'!AY231&gt;0,1,IF('Raw profile'!AY334&gt;0,2,0))</f>
        <v>2</v>
      </c>
      <c r="BA252" s="20">
        <f>IF('Raw profile'!AZ231&gt;0,1,IF('Raw profile'!AZ334&gt;0,2,0))</f>
        <v>2</v>
      </c>
      <c r="BB252" s="20">
        <f>IF('Raw profile'!BA231&gt;0,1,IF('Raw profile'!BA334&gt;0,2,0))</f>
        <v>2</v>
      </c>
      <c r="BC252" s="20">
        <f>IF('Raw profile'!BB231&gt;0,1,IF('Raw profile'!BB334&gt;0,2,0))</f>
        <v>2</v>
      </c>
      <c r="BD252" s="20">
        <f>IF('Raw profile'!BC231&gt;0,1,IF('Raw profile'!BC334&gt;0,2,0))</f>
        <v>2</v>
      </c>
      <c r="BE252" s="20">
        <f>IF('Raw profile'!BD231&gt;0,1,IF('Raw profile'!BD334&gt;0,2,0))</f>
        <v>2</v>
      </c>
      <c r="BF252" s="20">
        <f>IF('Raw profile'!BE231&gt;0,1,IF('Raw profile'!BE334&gt;0,2,0))</f>
        <v>2</v>
      </c>
      <c r="BG252" s="20">
        <f>IF('Raw profile'!BF231&gt;0,1,IF('Raw profile'!BF334&gt;0,2,0))</f>
        <v>2</v>
      </c>
      <c r="BH252" s="20">
        <f>IF('Raw profile'!BG231&gt;0,1,IF('Raw profile'!BG334&gt;0,2,0))</f>
        <v>2</v>
      </c>
      <c r="BI252" s="20">
        <f>IF('Raw profile'!BH231&gt;0,1,IF('Raw profile'!BH334&gt;0,2,0))</f>
        <v>2</v>
      </c>
      <c r="BJ252" s="20">
        <f>IF('Raw profile'!BI231&gt;0,1,IF('Raw profile'!BI334&gt;0,2,0))</f>
        <v>0</v>
      </c>
      <c r="BK252" s="21">
        <f>IF('Raw profile'!BJ231&gt;0,1,IF('Raw profile'!BJ334&gt;0,2,0))</f>
        <v>0</v>
      </c>
    </row>
    <row r="253" spans="1:63" x14ac:dyDescent="0.3">
      <c r="B253" s="13" t="s">
        <v>4</v>
      </c>
      <c r="C253" s="19">
        <f>'Growth profile'!I123</f>
        <v>2029</v>
      </c>
      <c r="D253" s="20">
        <f>IF('Growth profile'!C231&gt;0,1,IF('Growth profile'!C334&gt;0,3,0))</f>
        <v>0</v>
      </c>
      <c r="E253" s="20">
        <f>IF('Growth profile'!D231&gt;0,1,IF('Growth profile'!D334&gt;0,3,0))</f>
        <v>0</v>
      </c>
      <c r="F253" s="20">
        <f>IF('Growth profile'!E231&gt;0,1,IF('Growth profile'!E334&gt;0,3,0))</f>
        <v>0</v>
      </c>
      <c r="G253" s="20">
        <f>IF('Growth profile'!F231&gt;0,1,IF('Growth profile'!F334&gt;0,3,0))</f>
        <v>1</v>
      </c>
      <c r="H253" s="20">
        <f>IF('Growth profile'!G231&gt;0,1,IF('Growth profile'!G334&gt;0,3,0))</f>
        <v>1</v>
      </c>
      <c r="I253" s="20">
        <f>IF('Growth profile'!H231&gt;0,1,IF('Growth profile'!H334&gt;0,3,0))</f>
        <v>1</v>
      </c>
      <c r="J253" s="20">
        <f>IF('Growth profile'!I231&gt;0,1,IF('Growth profile'!I334&gt;0,3,0))</f>
        <v>3</v>
      </c>
      <c r="K253" s="20">
        <f>IF('Growth profile'!J231&gt;0,1,IF('Growth profile'!J334&gt;0,3,0))</f>
        <v>3</v>
      </c>
      <c r="L253" s="20">
        <f>IF('Growth profile'!K231&gt;0,1,IF('Growth profile'!K334&gt;0,3,0))</f>
        <v>3</v>
      </c>
      <c r="M253" s="20">
        <f>IF('Growth profile'!L231&gt;0,1,IF('Growth profile'!L334&gt;0,3,0))</f>
        <v>3</v>
      </c>
      <c r="N253" s="20">
        <f>IF('Growth profile'!M231&gt;0,1,IF('Growth profile'!M334&gt;0,3,0))</f>
        <v>3</v>
      </c>
      <c r="O253" s="20">
        <f>IF('Growth profile'!N231&gt;0,1,IF('Growth profile'!N334&gt;0,3,0))</f>
        <v>3</v>
      </c>
      <c r="P253" s="20">
        <f>IF('Growth profile'!O231&gt;0,1,IF('Growth profile'!O334&gt;0,3,0))</f>
        <v>3</v>
      </c>
      <c r="Q253" s="20">
        <f>IF('Growth profile'!P231&gt;0,1,IF('Growth profile'!P334&gt;0,3,0))</f>
        <v>3</v>
      </c>
      <c r="R253" s="20">
        <f>IF('Growth profile'!Q231&gt;0,1,IF('Growth profile'!Q334&gt;0,3,0))</f>
        <v>3</v>
      </c>
      <c r="S253" s="20">
        <f>IF('Growth profile'!R231&gt;0,1,IF('Growth profile'!R334&gt;0,3,0))</f>
        <v>3</v>
      </c>
      <c r="T253" s="20">
        <f>IF('Growth profile'!S231&gt;0,1,IF('Growth profile'!S334&gt;0,3,0))</f>
        <v>3</v>
      </c>
      <c r="U253" s="20">
        <f>IF('Growth profile'!T231&gt;0,1,IF('Growth profile'!T334&gt;0,3,0))</f>
        <v>3</v>
      </c>
      <c r="V253" s="20">
        <f>IF('Growth profile'!U231&gt;0,1,IF('Growth profile'!U334&gt;0,3,0))</f>
        <v>3</v>
      </c>
      <c r="W253" s="20">
        <f>IF('Growth profile'!V231&gt;0,1,IF('Growth profile'!V334&gt;0,3,0))</f>
        <v>3</v>
      </c>
      <c r="X253" s="20">
        <f>IF('Growth profile'!W231&gt;0,1,IF('Growth profile'!W334&gt;0,3,0))</f>
        <v>3</v>
      </c>
      <c r="Y253" s="20">
        <f>IF('Growth profile'!X231&gt;0,1,IF('Growth profile'!X334&gt;0,3,0))</f>
        <v>3</v>
      </c>
      <c r="Z253" s="20">
        <f>IF('Growth profile'!Y231&gt;0,1,IF('Growth profile'!Y334&gt;0,3,0))</f>
        <v>3</v>
      </c>
      <c r="AA253" s="20">
        <f>IF('Growth profile'!Z231&gt;0,1,IF('Growth profile'!Z334&gt;0,3,0))</f>
        <v>3</v>
      </c>
      <c r="AB253" s="20">
        <f>IF('Growth profile'!AA231&gt;0,1,IF('Growth profile'!AA334&gt;0,3,0))</f>
        <v>3</v>
      </c>
      <c r="AC253" s="20">
        <f>IF('Growth profile'!AB231&gt;0,1,IF('Growth profile'!AB334&gt;0,3,0))</f>
        <v>3</v>
      </c>
      <c r="AD253" s="20">
        <f>IF('Growth profile'!AC231&gt;0,1,IF('Growth profile'!AC334&gt;0,3,0))</f>
        <v>3</v>
      </c>
      <c r="AE253" s="20">
        <f>IF('Growth profile'!AD231&gt;0,1,IF('Growth profile'!AD334&gt;0,3,0))</f>
        <v>3</v>
      </c>
      <c r="AF253" s="20">
        <f>IF('Growth profile'!AE231&gt;0,1,IF('Growth profile'!AE334&gt;0,3,0))</f>
        <v>3</v>
      </c>
      <c r="AG253" s="20">
        <f>IF('Growth profile'!AF231&gt;0,1,IF('Growth profile'!AF334&gt;0,3,0))</f>
        <v>3</v>
      </c>
      <c r="AH253" s="20">
        <f>IF('Growth profile'!AG231&gt;0,1,IF('Growth profile'!AG334&gt;0,3,0))</f>
        <v>3</v>
      </c>
      <c r="AI253" s="20">
        <f>IF('Growth profile'!AH231&gt;0,1,IF('Growth profile'!AH334&gt;0,3,0))</f>
        <v>3</v>
      </c>
      <c r="AJ253" s="20">
        <f>IF('Growth profile'!AI231&gt;0,1,IF('Growth profile'!AI334&gt;0,3,0))</f>
        <v>3</v>
      </c>
      <c r="AK253" s="20">
        <f>IF('Growth profile'!AJ231&gt;0,1,IF('Growth profile'!AJ334&gt;0,3,0))</f>
        <v>3</v>
      </c>
      <c r="AL253" s="20">
        <f>IF('Growth profile'!AK231&gt;0,1,IF('Growth profile'!AK334&gt;0,3,0))</f>
        <v>3</v>
      </c>
      <c r="AM253" s="20">
        <f>IF('Growth profile'!AL231&gt;0,1,IF('Growth profile'!AL334&gt;0,3,0))</f>
        <v>3</v>
      </c>
      <c r="AN253" s="20">
        <f>IF('Growth profile'!AM231&gt;0,1,IF('Growth profile'!AM334&gt;0,3,0))</f>
        <v>3</v>
      </c>
      <c r="AO253" s="20">
        <f>IF('Growth profile'!AN231&gt;0,1,IF('Growth profile'!AN334&gt;0,3,0))</f>
        <v>3</v>
      </c>
      <c r="AP253" s="20">
        <f>IF('Growth profile'!AO231&gt;0,1,IF('Growth profile'!AO334&gt;0,3,0))</f>
        <v>3</v>
      </c>
      <c r="AQ253" s="20">
        <f>IF('Growth profile'!AP231&gt;0,1,IF('Growth profile'!AP334&gt;0,3,0))</f>
        <v>3</v>
      </c>
      <c r="AR253" s="20">
        <f>IF('Growth profile'!AQ231&gt;0,1,IF('Growth profile'!AQ334&gt;0,3,0))</f>
        <v>3</v>
      </c>
      <c r="AS253" s="20">
        <f>IF('Growth profile'!AR231&gt;0,1,IF('Growth profile'!AR334&gt;0,3,0))</f>
        <v>3</v>
      </c>
      <c r="AT253" s="20">
        <f>IF('Growth profile'!AS231&gt;0,1,IF('Growth profile'!AS334&gt;0,3,0))</f>
        <v>3</v>
      </c>
      <c r="AU253" s="20">
        <f>IF('Growth profile'!AT231&gt;0,1,IF('Growth profile'!AT334&gt;0,3,0))</f>
        <v>3</v>
      </c>
      <c r="AV253" s="20">
        <f>IF('Growth profile'!AU231&gt;0,1,IF('Growth profile'!AU334&gt;0,3,0))</f>
        <v>3</v>
      </c>
      <c r="AW253" s="20">
        <f>IF('Growth profile'!AV231&gt;0,1,IF('Growth profile'!AV334&gt;0,3,0))</f>
        <v>3</v>
      </c>
      <c r="AX253" s="20">
        <f>IF('Growth profile'!AW231&gt;0,1,IF('Growth profile'!AW334&gt;0,3,0))</f>
        <v>0</v>
      </c>
      <c r="AY253" s="20">
        <f>IF('Growth profile'!AX231&gt;0,1,IF('Growth profile'!AX334&gt;0,3,0))</f>
        <v>0</v>
      </c>
      <c r="AZ253" s="20">
        <f>IF('Growth profile'!AY231&gt;0,1,IF('Growth profile'!AY334&gt;0,3,0))</f>
        <v>0</v>
      </c>
      <c r="BA253" s="20">
        <f>IF('Growth profile'!AZ231&gt;0,1,IF('Growth profile'!AZ334&gt;0,3,0))</f>
        <v>0</v>
      </c>
      <c r="BB253" s="20">
        <f>IF('Growth profile'!BA231&gt;0,1,IF('Growth profile'!BA334&gt;0,3,0))</f>
        <v>0</v>
      </c>
      <c r="BC253" s="20">
        <f>IF('Growth profile'!BB231&gt;0,1,IF('Growth profile'!BB334&gt;0,3,0))</f>
        <v>0</v>
      </c>
      <c r="BD253" s="20">
        <f>IF('Growth profile'!BC231&gt;0,1,IF('Growth profile'!BC334&gt;0,3,0))</f>
        <v>0</v>
      </c>
      <c r="BE253" s="20">
        <f>IF('Growth profile'!BD231&gt;0,1,IF('Growth profile'!BD334&gt;0,3,0))</f>
        <v>0</v>
      </c>
      <c r="BF253" s="20">
        <f>IF('Growth profile'!BE231&gt;0,1,IF('Growth profile'!BE334&gt;0,3,0))</f>
        <v>0</v>
      </c>
      <c r="BG253" s="20">
        <f>IF('Growth profile'!BF231&gt;0,1,IF('Growth profile'!BF334&gt;0,3,0))</f>
        <v>0</v>
      </c>
      <c r="BH253" s="20">
        <f>IF('Growth profile'!BG231&gt;0,1,IF('Growth profile'!BG334&gt;0,3,0))</f>
        <v>0</v>
      </c>
      <c r="BI253" s="20">
        <f>IF('Growth profile'!BH231&gt;0,1,IF('Growth profile'!BH334&gt;0,3,0))</f>
        <v>0</v>
      </c>
      <c r="BJ253" s="20">
        <f>IF('Growth profile'!BI231&gt;0,1,IF('Growth profile'!BI334&gt;0,3,0))</f>
        <v>0</v>
      </c>
      <c r="BK253" s="21">
        <f>IF('Growth profile'!BJ231&gt;0,1,IF('Growth profile'!BJ334&gt;0,3,0))</f>
        <v>0</v>
      </c>
    </row>
    <row r="254" spans="1:63" x14ac:dyDescent="0.3">
      <c r="B254" s="13" t="s">
        <v>59</v>
      </c>
      <c r="C254" s="19">
        <f>'Growth (no penalty)'!I123</f>
        <v>2028</v>
      </c>
      <c r="D254" s="22">
        <f>IF('Growth (no penalty)'!C231&gt;0,1,IF('Growth (no penalty)'!C334&gt;0,4,0))</f>
        <v>0</v>
      </c>
      <c r="E254" s="22">
        <f>IF('Growth (no penalty)'!D231&gt;0,1,IF('Growth (no penalty)'!D334&gt;0,4,0))</f>
        <v>0</v>
      </c>
      <c r="F254" s="22">
        <f>IF('Growth (no penalty)'!E231&gt;0,1,IF('Growth (no penalty)'!E334&gt;0,4,0))</f>
        <v>1</v>
      </c>
      <c r="G254" s="22">
        <f>IF('Growth (no penalty)'!F231&gt;0,1,IF('Growth (no penalty)'!F334&gt;0,4,0))</f>
        <v>1</v>
      </c>
      <c r="H254" s="22">
        <f>IF('Growth (no penalty)'!G231&gt;0,1,IF('Growth (no penalty)'!G334&gt;0,4,0))</f>
        <v>1</v>
      </c>
      <c r="I254" s="22">
        <f>IF('Growth (no penalty)'!H231&gt;0,1,IF('Growth (no penalty)'!H334&gt;0,4,0))</f>
        <v>4</v>
      </c>
      <c r="J254" s="22">
        <f>IF('Growth (no penalty)'!I231&gt;0,1,IF('Growth (no penalty)'!I334&gt;0,4,0))</f>
        <v>4</v>
      </c>
      <c r="K254" s="22">
        <f>IF('Growth (no penalty)'!J231&gt;0,1,IF('Growth (no penalty)'!J334&gt;0,4,0))</f>
        <v>4</v>
      </c>
      <c r="L254" s="22">
        <f>IF('Growth (no penalty)'!K231&gt;0,1,IF('Growth (no penalty)'!K334&gt;0,4,0))</f>
        <v>4</v>
      </c>
      <c r="M254" s="22">
        <f>IF('Growth (no penalty)'!L231&gt;0,1,IF('Growth (no penalty)'!L334&gt;0,4,0))</f>
        <v>4</v>
      </c>
      <c r="N254" s="22">
        <f>IF('Growth (no penalty)'!M231&gt;0,1,IF('Growth (no penalty)'!M334&gt;0,4,0))</f>
        <v>4</v>
      </c>
      <c r="O254" s="22">
        <f>IF('Growth (no penalty)'!N231&gt;0,1,IF('Growth (no penalty)'!N334&gt;0,4,0))</f>
        <v>4</v>
      </c>
      <c r="P254" s="22">
        <f>IF('Growth (no penalty)'!O231&gt;0,1,IF('Growth (no penalty)'!O334&gt;0,4,0))</f>
        <v>4</v>
      </c>
      <c r="Q254" s="22">
        <f>IF('Growth (no penalty)'!P231&gt;0,1,IF('Growth (no penalty)'!P334&gt;0,4,0))</f>
        <v>4</v>
      </c>
      <c r="R254" s="22">
        <f>IF('Growth (no penalty)'!Q231&gt;0,1,IF('Growth (no penalty)'!Q334&gt;0,4,0))</f>
        <v>4</v>
      </c>
      <c r="S254" s="22">
        <f>IF('Growth (no penalty)'!R231&gt;0,1,IF('Growth (no penalty)'!R334&gt;0,4,0))</f>
        <v>4</v>
      </c>
      <c r="T254" s="22">
        <f>IF('Growth (no penalty)'!S231&gt;0,1,IF('Growth (no penalty)'!S334&gt;0,4,0))</f>
        <v>4</v>
      </c>
      <c r="U254" s="22">
        <f>IF('Growth (no penalty)'!T231&gt;0,1,IF('Growth (no penalty)'!T334&gt;0,4,0))</f>
        <v>4</v>
      </c>
      <c r="V254" s="22">
        <f>IF('Growth (no penalty)'!U231&gt;0,1,IF('Growth (no penalty)'!U334&gt;0,4,0))</f>
        <v>4</v>
      </c>
      <c r="W254" s="22">
        <f>IF('Growth (no penalty)'!V231&gt;0,1,IF('Growth (no penalty)'!V334&gt;0,4,0))</f>
        <v>4</v>
      </c>
      <c r="X254" s="22">
        <f>IF('Growth (no penalty)'!W231&gt;0,1,IF('Growth (no penalty)'!W334&gt;0,4,0))</f>
        <v>4</v>
      </c>
      <c r="Y254" s="22">
        <f>IF('Growth (no penalty)'!X231&gt;0,1,IF('Growth (no penalty)'!X334&gt;0,4,0))</f>
        <v>4</v>
      </c>
      <c r="Z254" s="22">
        <f>IF('Growth (no penalty)'!Y231&gt;0,1,IF('Growth (no penalty)'!Y334&gt;0,4,0))</f>
        <v>4</v>
      </c>
      <c r="AA254" s="22">
        <f>IF('Growth (no penalty)'!Z231&gt;0,1,IF('Growth (no penalty)'!Z334&gt;0,4,0))</f>
        <v>4</v>
      </c>
      <c r="AB254" s="22">
        <f>IF('Growth (no penalty)'!AA231&gt;0,1,IF('Growth (no penalty)'!AA334&gt;0,4,0))</f>
        <v>4</v>
      </c>
      <c r="AC254" s="22">
        <f>IF('Growth (no penalty)'!AB231&gt;0,1,IF('Growth (no penalty)'!AB334&gt;0,4,0))</f>
        <v>4</v>
      </c>
      <c r="AD254" s="22">
        <f>IF('Growth (no penalty)'!AC231&gt;0,1,IF('Growth (no penalty)'!AC334&gt;0,4,0))</f>
        <v>4</v>
      </c>
      <c r="AE254" s="22">
        <f>IF('Growth (no penalty)'!AD231&gt;0,1,IF('Growth (no penalty)'!AD334&gt;0,4,0))</f>
        <v>4</v>
      </c>
      <c r="AF254" s="22">
        <f>IF('Growth (no penalty)'!AE231&gt;0,1,IF('Growth (no penalty)'!AE334&gt;0,4,0))</f>
        <v>4</v>
      </c>
      <c r="AG254" s="22">
        <f>IF('Growth (no penalty)'!AF231&gt;0,1,IF('Growth (no penalty)'!AF334&gt;0,4,0))</f>
        <v>4</v>
      </c>
      <c r="AH254" s="22">
        <f>IF('Growth (no penalty)'!AG231&gt;0,1,IF('Growth (no penalty)'!AG334&gt;0,4,0))</f>
        <v>4</v>
      </c>
      <c r="AI254" s="22">
        <f>IF('Growth (no penalty)'!AH231&gt;0,1,IF('Growth (no penalty)'!AH334&gt;0,4,0))</f>
        <v>4</v>
      </c>
      <c r="AJ254" s="22">
        <f>IF('Growth (no penalty)'!AI231&gt;0,1,IF('Growth (no penalty)'!AI334&gt;0,4,0))</f>
        <v>4</v>
      </c>
      <c r="AK254" s="22">
        <f>IF('Growth (no penalty)'!AJ231&gt;0,1,IF('Growth (no penalty)'!AJ334&gt;0,4,0))</f>
        <v>4</v>
      </c>
      <c r="AL254" s="22">
        <f>IF('Growth (no penalty)'!AK231&gt;0,1,IF('Growth (no penalty)'!AK334&gt;0,4,0))</f>
        <v>4</v>
      </c>
      <c r="AM254" s="22">
        <f>IF('Growth (no penalty)'!AL231&gt;0,1,IF('Growth (no penalty)'!AL334&gt;0,4,0))</f>
        <v>4</v>
      </c>
      <c r="AN254" s="22">
        <f>IF('Growth (no penalty)'!AM231&gt;0,1,IF('Growth (no penalty)'!AM334&gt;0,4,0))</f>
        <v>4</v>
      </c>
      <c r="AO254" s="22">
        <f>IF('Growth (no penalty)'!AN231&gt;0,1,IF('Growth (no penalty)'!AN334&gt;0,4,0))</f>
        <v>4</v>
      </c>
      <c r="AP254" s="22">
        <f>IF('Growth (no penalty)'!AO231&gt;0,1,IF('Growth (no penalty)'!AO334&gt;0,4,0))</f>
        <v>4</v>
      </c>
      <c r="AQ254" s="22">
        <f>IF('Growth (no penalty)'!AP231&gt;0,1,IF('Growth (no penalty)'!AP334&gt;0,4,0))</f>
        <v>4</v>
      </c>
      <c r="AR254" s="22">
        <f>IF('Growth (no penalty)'!AQ231&gt;0,1,IF('Growth (no penalty)'!AQ334&gt;0,4,0))</f>
        <v>4</v>
      </c>
      <c r="AS254" s="22">
        <f>IF('Growth (no penalty)'!AR231&gt;0,1,IF('Growth (no penalty)'!AR334&gt;0,4,0))</f>
        <v>4</v>
      </c>
      <c r="AT254" s="22">
        <f>IF('Growth (no penalty)'!AS231&gt;0,1,IF('Growth (no penalty)'!AS334&gt;0,4,0))</f>
        <v>4</v>
      </c>
      <c r="AU254" s="22">
        <f>IF('Growth (no penalty)'!AT231&gt;0,1,IF('Growth (no penalty)'!AT334&gt;0,4,0))</f>
        <v>4</v>
      </c>
      <c r="AV254" s="22">
        <f>IF('Growth (no penalty)'!AU231&gt;0,1,IF('Growth (no penalty)'!AU334&gt;0,4,0))</f>
        <v>4</v>
      </c>
      <c r="AW254" s="22">
        <f>IF('Growth (no penalty)'!AV231&gt;0,1,IF('Growth (no penalty)'!AV334&gt;0,4,0))</f>
        <v>0</v>
      </c>
      <c r="AX254" s="22">
        <f>IF('Growth (no penalty)'!AW231&gt;0,1,IF('Growth (no penalty)'!AW334&gt;0,4,0))</f>
        <v>0</v>
      </c>
      <c r="AY254" s="22">
        <f>IF('Growth (no penalty)'!AX231&gt;0,1,IF('Growth (no penalty)'!AX334&gt;0,4,0))</f>
        <v>0</v>
      </c>
      <c r="AZ254" s="22">
        <f>IF('Growth (no penalty)'!AY231&gt;0,1,IF('Growth (no penalty)'!AY334&gt;0,4,0))</f>
        <v>0</v>
      </c>
      <c r="BA254" s="22">
        <f>IF('Growth (no penalty)'!AZ231&gt;0,1,IF('Growth (no penalty)'!AZ334&gt;0,4,0))</f>
        <v>0</v>
      </c>
      <c r="BB254" s="22">
        <f>IF('Growth (no penalty)'!BA231&gt;0,1,IF('Growth (no penalty)'!BA334&gt;0,4,0))</f>
        <v>0</v>
      </c>
      <c r="BC254" s="22">
        <f>IF('Growth (no penalty)'!BB231&gt;0,1,IF('Growth (no penalty)'!BB334&gt;0,4,0))</f>
        <v>0</v>
      </c>
      <c r="BD254" s="22">
        <f>IF('Growth (no penalty)'!BC231&gt;0,1,IF('Growth (no penalty)'!BC334&gt;0,4,0))</f>
        <v>0</v>
      </c>
      <c r="BE254" s="22">
        <f>IF('Growth (no penalty)'!BD231&gt;0,1,IF('Growth (no penalty)'!BD334&gt;0,4,0))</f>
        <v>0</v>
      </c>
      <c r="BF254" s="22">
        <f>IF('Growth (no penalty)'!BE231&gt;0,1,IF('Growth (no penalty)'!BE334&gt;0,4,0))</f>
        <v>0</v>
      </c>
      <c r="BG254" s="22">
        <f>IF('Growth (no penalty)'!BF231&gt;0,1,IF('Growth (no penalty)'!BF334&gt;0,4,0))</f>
        <v>0</v>
      </c>
      <c r="BH254" s="22">
        <f>IF('Growth (no penalty)'!BG231&gt;0,1,IF('Growth (no penalty)'!BG334&gt;0,4,0))</f>
        <v>0</v>
      </c>
      <c r="BI254" s="22">
        <f>IF('Growth (no penalty)'!BH231&gt;0,1,IF('Growth (no penalty)'!BH334&gt;0,4,0))</f>
        <v>0</v>
      </c>
      <c r="BJ254" s="22">
        <f>IF('Growth (no penalty)'!BI231&gt;0,1,IF('Growth (no penalty)'!BI334&gt;0,4,0))</f>
        <v>0</v>
      </c>
      <c r="BK254" s="23">
        <f>IF('Growth (no penalty)'!BJ231&gt;0,1,IF('Growth (no penalty)'!BJ334&gt;0,4,0))</f>
        <v>0</v>
      </c>
    </row>
    <row r="255" spans="1:63" x14ac:dyDescent="0.3">
      <c r="A255" s="4" t="str">
        <f>'Growth profile'!A71</f>
        <v>project 101</v>
      </c>
      <c r="B255" s="13" t="s">
        <v>3</v>
      </c>
      <c r="C255" s="19">
        <f>'Raw profile'!I71</f>
        <v>2041</v>
      </c>
      <c r="D255" s="20">
        <f>IF('Raw profile'!C179&gt;0,1,IF('Raw profile'!C282&gt;0,2,0))</f>
        <v>0</v>
      </c>
      <c r="E255" s="20">
        <f>IF('Raw profile'!D179&gt;0,1,IF('Raw profile'!D282&gt;0,2,0))</f>
        <v>0</v>
      </c>
      <c r="F255" s="20">
        <f>IF('Raw profile'!E179&gt;0,1,IF('Raw profile'!E282&gt;0,2,0))</f>
        <v>0</v>
      </c>
      <c r="G255" s="20">
        <f>IF('Raw profile'!F179&gt;0,1,IF('Raw profile'!F282&gt;0,2,0))</f>
        <v>0</v>
      </c>
      <c r="H255" s="20">
        <f>IF('Raw profile'!G179&gt;0,1,IF('Raw profile'!G282&gt;0,2,0))</f>
        <v>0</v>
      </c>
      <c r="I255" s="20">
        <f>IF('Raw profile'!H179&gt;0,1,IF('Raw profile'!H282&gt;0,2,0))</f>
        <v>0</v>
      </c>
      <c r="J255" s="20">
        <f>IF('Raw profile'!I179&gt;0,1,IF('Raw profile'!I282&gt;0,2,0))</f>
        <v>0</v>
      </c>
      <c r="K255" s="20">
        <f>IF('Raw profile'!J179&gt;0,1,IF('Raw profile'!J282&gt;0,2,0))</f>
        <v>0</v>
      </c>
      <c r="L255" s="20">
        <f>IF('Raw profile'!K179&gt;0,1,IF('Raw profile'!K282&gt;0,2,0))</f>
        <v>0</v>
      </c>
      <c r="M255" s="20">
        <f>IF('Raw profile'!L179&gt;0,1,IF('Raw profile'!L282&gt;0,2,0))</f>
        <v>0</v>
      </c>
      <c r="N255" s="20">
        <f>IF('Raw profile'!M179&gt;0,1,IF('Raw profile'!M282&gt;0,2,0))</f>
        <v>0</v>
      </c>
      <c r="O255" s="20">
        <f>IF('Raw profile'!N179&gt;0,1,IF('Raw profile'!N282&gt;0,2,0))</f>
        <v>0</v>
      </c>
      <c r="P255" s="20">
        <f>IF('Raw profile'!O179&gt;0,1,IF('Raw profile'!O282&gt;0,2,0))</f>
        <v>0</v>
      </c>
      <c r="Q255" s="20">
        <f>IF('Raw profile'!P179&gt;0,1,IF('Raw profile'!P282&gt;0,2,0))</f>
        <v>0</v>
      </c>
      <c r="R255" s="20">
        <f>IF('Raw profile'!Q179&gt;0,1,IF('Raw profile'!Q282&gt;0,2,0))</f>
        <v>0</v>
      </c>
      <c r="S255" s="20">
        <f>IF('Raw profile'!R179&gt;0,1,IF('Raw profile'!R282&gt;0,2,0))</f>
        <v>1</v>
      </c>
      <c r="T255" s="20">
        <f>IF('Raw profile'!S179&gt;0,1,IF('Raw profile'!S282&gt;0,2,0))</f>
        <v>1</v>
      </c>
      <c r="U255" s="20">
        <f>IF('Raw profile'!T179&gt;0,1,IF('Raw profile'!T282&gt;0,2,0))</f>
        <v>1</v>
      </c>
      <c r="V255" s="20">
        <f>IF('Raw profile'!U179&gt;0,1,IF('Raw profile'!U282&gt;0,2,0))</f>
        <v>2</v>
      </c>
      <c r="W255" s="20">
        <f>IF('Raw profile'!V179&gt;0,1,IF('Raw profile'!V282&gt;0,2,0))</f>
        <v>2</v>
      </c>
      <c r="X255" s="20">
        <f>IF('Raw profile'!W179&gt;0,1,IF('Raw profile'!W282&gt;0,2,0))</f>
        <v>2</v>
      </c>
      <c r="Y255" s="20">
        <f>IF('Raw profile'!X179&gt;0,1,IF('Raw profile'!X282&gt;0,2,0))</f>
        <v>2</v>
      </c>
      <c r="Z255" s="20">
        <f>IF('Raw profile'!Y179&gt;0,1,IF('Raw profile'!Y282&gt;0,2,0))</f>
        <v>2</v>
      </c>
      <c r="AA255" s="20">
        <f>IF('Raw profile'!Z179&gt;0,1,IF('Raw profile'!Z282&gt;0,2,0))</f>
        <v>2</v>
      </c>
      <c r="AB255" s="20">
        <f>IF('Raw profile'!AA179&gt;0,1,IF('Raw profile'!AA282&gt;0,2,0))</f>
        <v>2</v>
      </c>
      <c r="AC255" s="20">
        <f>IF('Raw profile'!AB179&gt;0,1,IF('Raw profile'!AB282&gt;0,2,0))</f>
        <v>2</v>
      </c>
      <c r="AD255" s="20">
        <f>IF('Raw profile'!AC179&gt;0,1,IF('Raw profile'!AC282&gt;0,2,0))</f>
        <v>2</v>
      </c>
      <c r="AE255" s="20">
        <f>IF('Raw profile'!AD179&gt;0,1,IF('Raw profile'!AD282&gt;0,2,0))</f>
        <v>2</v>
      </c>
      <c r="AF255" s="20">
        <f>IF('Raw profile'!AE179&gt;0,1,IF('Raw profile'!AE282&gt;0,2,0))</f>
        <v>2</v>
      </c>
      <c r="AG255" s="20">
        <f>IF('Raw profile'!AF179&gt;0,1,IF('Raw profile'!AF282&gt;0,2,0))</f>
        <v>2</v>
      </c>
      <c r="AH255" s="20">
        <f>IF('Raw profile'!AG179&gt;0,1,IF('Raw profile'!AG282&gt;0,2,0))</f>
        <v>2</v>
      </c>
      <c r="AI255" s="20">
        <f>IF('Raw profile'!AH179&gt;0,1,IF('Raw profile'!AH282&gt;0,2,0))</f>
        <v>2</v>
      </c>
      <c r="AJ255" s="20">
        <f>IF('Raw profile'!AI179&gt;0,1,IF('Raw profile'!AI282&gt;0,2,0))</f>
        <v>2</v>
      </c>
      <c r="AK255" s="20">
        <f>IF('Raw profile'!AJ179&gt;0,1,IF('Raw profile'!AJ282&gt;0,2,0))</f>
        <v>2</v>
      </c>
      <c r="AL255" s="20">
        <f>IF('Raw profile'!AK179&gt;0,1,IF('Raw profile'!AK282&gt;0,2,0))</f>
        <v>2</v>
      </c>
      <c r="AM255" s="20">
        <f>IF('Raw profile'!AL179&gt;0,1,IF('Raw profile'!AL282&gt;0,2,0))</f>
        <v>2</v>
      </c>
      <c r="AN255" s="20">
        <f>IF('Raw profile'!AM179&gt;0,1,IF('Raw profile'!AM282&gt;0,2,0))</f>
        <v>2</v>
      </c>
      <c r="AO255" s="20">
        <f>IF('Raw profile'!AN179&gt;0,1,IF('Raw profile'!AN282&gt;0,2,0))</f>
        <v>2</v>
      </c>
      <c r="AP255" s="20">
        <f>IF('Raw profile'!AO179&gt;0,1,IF('Raw profile'!AO282&gt;0,2,0))</f>
        <v>2</v>
      </c>
      <c r="AQ255" s="20">
        <f>IF('Raw profile'!AP179&gt;0,1,IF('Raw profile'!AP282&gt;0,2,0))</f>
        <v>2</v>
      </c>
      <c r="AR255" s="20">
        <f>IF('Raw profile'!AQ179&gt;0,1,IF('Raw profile'!AQ282&gt;0,2,0))</f>
        <v>2</v>
      </c>
      <c r="AS255" s="20">
        <f>IF('Raw profile'!AR179&gt;0,1,IF('Raw profile'!AR282&gt;0,2,0))</f>
        <v>2</v>
      </c>
      <c r="AT255" s="20">
        <f>IF('Raw profile'!AS179&gt;0,1,IF('Raw profile'!AS282&gt;0,2,0))</f>
        <v>2</v>
      </c>
      <c r="AU255" s="20">
        <f>IF('Raw profile'!AT179&gt;0,1,IF('Raw profile'!AT282&gt;0,2,0))</f>
        <v>2</v>
      </c>
      <c r="AV255" s="20">
        <f>IF('Raw profile'!AU179&gt;0,1,IF('Raw profile'!AU282&gt;0,2,0))</f>
        <v>2</v>
      </c>
      <c r="AW255" s="20">
        <f>IF('Raw profile'!AV179&gt;0,1,IF('Raw profile'!AV282&gt;0,2,0))</f>
        <v>2</v>
      </c>
      <c r="AX255" s="20">
        <f>IF('Raw profile'!AW179&gt;0,1,IF('Raw profile'!AW282&gt;0,2,0))</f>
        <v>2</v>
      </c>
      <c r="AY255" s="20">
        <f>IF('Raw profile'!AX179&gt;0,1,IF('Raw profile'!AX282&gt;0,2,0))</f>
        <v>2</v>
      </c>
      <c r="AZ255" s="20">
        <f>IF('Raw profile'!AY179&gt;0,1,IF('Raw profile'!AY282&gt;0,2,0))</f>
        <v>2</v>
      </c>
      <c r="BA255" s="20">
        <f>IF('Raw profile'!AZ179&gt;0,1,IF('Raw profile'!AZ282&gt;0,2,0))</f>
        <v>2</v>
      </c>
      <c r="BB255" s="20">
        <f>IF('Raw profile'!BA179&gt;0,1,IF('Raw profile'!BA282&gt;0,2,0))</f>
        <v>2</v>
      </c>
      <c r="BC255" s="20">
        <f>IF('Raw profile'!BB179&gt;0,1,IF('Raw profile'!BB282&gt;0,2,0))</f>
        <v>2</v>
      </c>
      <c r="BD255" s="20">
        <f>IF('Raw profile'!BC179&gt;0,1,IF('Raw profile'!BC282&gt;0,2,0))</f>
        <v>2</v>
      </c>
      <c r="BE255" s="20">
        <f>IF('Raw profile'!BD179&gt;0,1,IF('Raw profile'!BD282&gt;0,2,0))</f>
        <v>2</v>
      </c>
      <c r="BF255" s="20">
        <f>IF('Raw profile'!BE179&gt;0,1,IF('Raw profile'!BE282&gt;0,2,0))</f>
        <v>2</v>
      </c>
      <c r="BG255" s="20">
        <f>IF('Raw profile'!BF179&gt;0,1,IF('Raw profile'!BF282&gt;0,2,0))</f>
        <v>2</v>
      </c>
      <c r="BH255" s="20">
        <f>IF('Raw profile'!BG179&gt;0,1,IF('Raw profile'!BG282&gt;0,2,0))</f>
        <v>2</v>
      </c>
      <c r="BI255" s="20">
        <f>IF('Raw profile'!BH179&gt;0,1,IF('Raw profile'!BH282&gt;0,2,0))</f>
        <v>2</v>
      </c>
      <c r="BJ255" s="20">
        <f>IF('Raw profile'!BI179&gt;0,1,IF('Raw profile'!BI282&gt;0,2,0))</f>
        <v>0</v>
      </c>
      <c r="BK255" s="21">
        <f>IF('Raw profile'!BJ179&gt;0,1,IF('Raw profile'!BJ282&gt;0,2,0))</f>
        <v>0</v>
      </c>
    </row>
    <row r="256" spans="1:63" x14ac:dyDescent="0.3">
      <c r="B256" s="13" t="s">
        <v>4</v>
      </c>
      <c r="C256" s="19">
        <f>'Growth profile'!I71</f>
        <v>2030</v>
      </c>
      <c r="D256" s="20">
        <f>IF('Growth profile'!C179&gt;0,1,IF('Growth profile'!C282&gt;0,3,0))</f>
        <v>0</v>
      </c>
      <c r="E256" s="20">
        <f>IF('Growth profile'!D179&gt;0,1,IF('Growth profile'!D282&gt;0,3,0))</f>
        <v>0</v>
      </c>
      <c r="F256" s="20">
        <f>IF('Growth profile'!E179&gt;0,1,IF('Growth profile'!E282&gt;0,3,0))</f>
        <v>0</v>
      </c>
      <c r="G256" s="20">
        <f>IF('Growth profile'!F179&gt;0,1,IF('Growth profile'!F282&gt;0,3,0))</f>
        <v>0</v>
      </c>
      <c r="H256" s="20">
        <f>IF('Growth profile'!G179&gt;0,1,IF('Growth profile'!G282&gt;0,3,0))</f>
        <v>1</v>
      </c>
      <c r="I256" s="20">
        <f>IF('Growth profile'!H179&gt;0,1,IF('Growth profile'!H282&gt;0,3,0))</f>
        <v>1</v>
      </c>
      <c r="J256" s="20">
        <f>IF('Growth profile'!I179&gt;0,1,IF('Growth profile'!I282&gt;0,3,0))</f>
        <v>1</v>
      </c>
      <c r="K256" s="20">
        <f>IF('Growth profile'!J179&gt;0,1,IF('Growth profile'!J282&gt;0,3,0))</f>
        <v>3</v>
      </c>
      <c r="L256" s="20">
        <f>IF('Growth profile'!K179&gt;0,1,IF('Growth profile'!K282&gt;0,3,0))</f>
        <v>3</v>
      </c>
      <c r="M256" s="20">
        <f>IF('Growth profile'!L179&gt;0,1,IF('Growth profile'!L282&gt;0,3,0))</f>
        <v>3</v>
      </c>
      <c r="N256" s="20">
        <f>IF('Growth profile'!M179&gt;0,1,IF('Growth profile'!M282&gt;0,3,0))</f>
        <v>3</v>
      </c>
      <c r="O256" s="20">
        <f>IF('Growth profile'!N179&gt;0,1,IF('Growth profile'!N282&gt;0,3,0))</f>
        <v>3</v>
      </c>
      <c r="P256" s="20">
        <f>IF('Growth profile'!O179&gt;0,1,IF('Growth profile'!O282&gt;0,3,0))</f>
        <v>3</v>
      </c>
      <c r="Q256" s="20">
        <f>IF('Growth profile'!P179&gt;0,1,IF('Growth profile'!P282&gt;0,3,0))</f>
        <v>3</v>
      </c>
      <c r="R256" s="20">
        <f>IF('Growth profile'!Q179&gt;0,1,IF('Growth profile'!Q282&gt;0,3,0))</f>
        <v>3</v>
      </c>
      <c r="S256" s="20">
        <f>IF('Growth profile'!R179&gt;0,1,IF('Growth profile'!R282&gt;0,3,0))</f>
        <v>3</v>
      </c>
      <c r="T256" s="20">
        <f>IF('Growth profile'!S179&gt;0,1,IF('Growth profile'!S282&gt;0,3,0))</f>
        <v>3</v>
      </c>
      <c r="U256" s="20">
        <f>IF('Growth profile'!T179&gt;0,1,IF('Growth profile'!T282&gt;0,3,0))</f>
        <v>3</v>
      </c>
      <c r="V256" s="20">
        <f>IF('Growth profile'!U179&gt;0,1,IF('Growth profile'!U282&gt;0,3,0))</f>
        <v>3</v>
      </c>
      <c r="W256" s="20">
        <f>IF('Growth profile'!V179&gt;0,1,IF('Growth profile'!V282&gt;0,3,0))</f>
        <v>3</v>
      </c>
      <c r="X256" s="20">
        <f>IF('Growth profile'!W179&gt;0,1,IF('Growth profile'!W282&gt;0,3,0))</f>
        <v>3</v>
      </c>
      <c r="Y256" s="20">
        <f>IF('Growth profile'!X179&gt;0,1,IF('Growth profile'!X282&gt;0,3,0))</f>
        <v>3</v>
      </c>
      <c r="Z256" s="20">
        <f>IF('Growth profile'!Y179&gt;0,1,IF('Growth profile'!Y282&gt;0,3,0))</f>
        <v>3</v>
      </c>
      <c r="AA256" s="20">
        <f>IF('Growth profile'!Z179&gt;0,1,IF('Growth profile'!Z282&gt;0,3,0))</f>
        <v>3</v>
      </c>
      <c r="AB256" s="20">
        <f>IF('Growth profile'!AA179&gt;0,1,IF('Growth profile'!AA282&gt;0,3,0))</f>
        <v>3</v>
      </c>
      <c r="AC256" s="20">
        <f>IF('Growth profile'!AB179&gt;0,1,IF('Growth profile'!AB282&gt;0,3,0))</f>
        <v>3</v>
      </c>
      <c r="AD256" s="20">
        <f>IF('Growth profile'!AC179&gt;0,1,IF('Growth profile'!AC282&gt;0,3,0))</f>
        <v>3</v>
      </c>
      <c r="AE256" s="20">
        <f>IF('Growth profile'!AD179&gt;0,1,IF('Growth profile'!AD282&gt;0,3,0))</f>
        <v>3</v>
      </c>
      <c r="AF256" s="20">
        <f>IF('Growth profile'!AE179&gt;0,1,IF('Growth profile'!AE282&gt;0,3,0))</f>
        <v>3</v>
      </c>
      <c r="AG256" s="20">
        <f>IF('Growth profile'!AF179&gt;0,1,IF('Growth profile'!AF282&gt;0,3,0))</f>
        <v>3</v>
      </c>
      <c r="AH256" s="20">
        <f>IF('Growth profile'!AG179&gt;0,1,IF('Growth profile'!AG282&gt;0,3,0))</f>
        <v>3</v>
      </c>
      <c r="AI256" s="20">
        <f>IF('Growth profile'!AH179&gt;0,1,IF('Growth profile'!AH282&gt;0,3,0))</f>
        <v>3</v>
      </c>
      <c r="AJ256" s="20">
        <f>IF('Growth profile'!AI179&gt;0,1,IF('Growth profile'!AI282&gt;0,3,0))</f>
        <v>3</v>
      </c>
      <c r="AK256" s="20">
        <f>IF('Growth profile'!AJ179&gt;0,1,IF('Growth profile'!AJ282&gt;0,3,0))</f>
        <v>3</v>
      </c>
      <c r="AL256" s="20">
        <f>IF('Growth profile'!AK179&gt;0,1,IF('Growth profile'!AK282&gt;0,3,0))</f>
        <v>3</v>
      </c>
      <c r="AM256" s="20">
        <f>IF('Growth profile'!AL179&gt;0,1,IF('Growth profile'!AL282&gt;0,3,0))</f>
        <v>3</v>
      </c>
      <c r="AN256" s="20">
        <f>IF('Growth profile'!AM179&gt;0,1,IF('Growth profile'!AM282&gt;0,3,0))</f>
        <v>3</v>
      </c>
      <c r="AO256" s="20">
        <f>IF('Growth profile'!AN179&gt;0,1,IF('Growth profile'!AN282&gt;0,3,0))</f>
        <v>3</v>
      </c>
      <c r="AP256" s="20">
        <f>IF('Growth profile'!AO179&gt;0,1,IF('Growth profile'!AO282&gt;0,3,0))</f>
        <v>3</v>
      </c>
      <c r="AQ256" s="20">
        <f>IF('Growth profile'!AP179&gt;0,1,IF('Growth profile'!AP282&gt;0,3,0))</f>
        <v>3</v>
      </c>
      <c r="AR256" s="20">
        <f>IF('Growth profile'!AQ179&gt;0,1,IF('Growth profile'!AQ282&gt;0,3,0))</f>
        <v>3</v>
      </c>
      <c r="AS256" s="20">
        <f>IF('Growth profile'!AR179&gt;0,1,IF('Growth profile'!AR282&gt;0,3,0))</f>
        <v>3</v>
      </c>
      <c r="AT256" s="20">
        <f>IF('Growth profile'!AS179&gt;0,1,IF('Growth profile'!AS282&gt;0,3,0))</f>
        <v>3</v>
      </c>
      <c r="AU256" s="20">
        <f>IF('Growth profile'!AT179&gt;0,1,IF('Growth profile'!AT282&gt;0,3,0))</f>
        <v>3</v>
      </c>
      <c r="AV256" s="20">
        <f>IF('Growth profile'!AU179&gt;0,1,IF('Growth profile'!AU282&gt;0,3,0))</f>
        <v>3</v>
      </c>
      <c r="AW256" s="20">
        <f>IF('Growth profile'!AV179&gt;0,1,IF('Growth profile'!AV282&gt;0,3,0))</f>
        <v>3</v>
      </c>
      <c r="AX256" s="20">
        <f>IF('Growth profile'!AW179&gt;0,1,IF('Growth profile'!AW282&gt;0,3,0))</f>
        <v>3</v>
      </c>
      <c r="AY256" s="20">
        <f>IF('Growth profile'!AX179&gt;0,1,IF('Growth profile'!AX282&gt;0,3,0))</f>
        <v>0</v>
      </c>
      <c r="AZ256" s="20">
        <f>IF('Growth profile'!AY179&gt;0,1,IF('Growth profile'!AY282&gt;0,3,0))</f>
        <v>0</v>
      </c>
      <c r="BA256" s="20">
        <f>IF('Growth profile'!AZ179&gt;0,1,IF('Growth profile'!AZ282&gt;0,3,0))</f>
        <v>0</v>
      </c>
      <c r="BB256" s="20">
        <f>IF('Growth profile'!BA179&gt;0,1,IF('Growth profile'!BA282&gt;0,3,0))</f>
        <v>0</v>
      </c>
      <c r="BC256" s="20">
        <f>IF('Growth profile'!BB179&gt;0,1,IF('Growth profile'!BB282&gt;0,3,0))</f>
        <v>0</v>
      </c>
      <c r="BD256" s="20">
        <f>IF('Growth profile'!BC179&gt;0,1,IF('Growth profile'!BC282&gt;0,3,0))</f>
        <v>0</v>
      </c>
      <c r="BE256" s="20">
        <f>IF('Growth profile'!BD179&gt;0,1,IF('Growth profile'!BD282&gt;0,3,0))</f>
        <v>0</v>
      </c>
      <c r="BF256" s="20">
        <f>IF('Growth profile'!BE179&gt;0,1,IF('Growth profile'!BE282&gt;0,3,0))</f>
        <v>0</v>
      </c>
      <c r="BG256" s="20">
        <f>IF('Growth profile'!BF179&gt;0,1,IF('Growth profile'!BF282&gt;0,3,0))</f>
        <v>0</v>
      </c>
      <c r="BH256" s="20">
        <f>IF('Growth profile'!BG179&gt;0,1,IF('Growth profile'!BG282&gt;0,3,0))</f>
        <v>0</v>
      </c>
      <c r="BI256" s="20">
        <f>IF('Growth profile'!BH179&gt;0,1,IF('Growth profile'!BH282&gt;0,3,0))</f>
        <v>0</v>
      </c>
      <c r="BJ256" s="20">
        <f>IF('Growth profile'!BI179&gt;0,1,IF('Growth profile'!BI282&gt;0,3,0))</f>
        <v>0</v>
      </c>
      <c r="BK256" s="21">
        <f>IF('Growth profile'!BJ179&gt;0,1,IF('Growth profile'!BJ282&gt;0,3,0))</f>
        <v>0</v>
      </c>
    </row>
    <row r="257" spans="1:63" x14ac:dyDescent="0.3">
      <c r="B257" s="13" t="s">
        <v>59</v>
      </c>
      <c r="C257" s="19">
        <f>'Growth (no penalty)'!I71</f>
        <v>2028</v>
      </c>
      <c r="D257" s="22">
        <f>IF('Growth (no penalty)'!C179&gt;0,1,IF('Growth (no penalty)'!C282&gt;0,4,0))</f>
        <v>0</v>
      </c>
      <c r="E257" s="22">
        <f>IF('Growth (no penalty)'!D179&gt;0,1,IF('Growth (no penalty)'!D282&gt;0,4,0))</f>
        <v>0</v>
      </c>
      <c r="F257" s="22">
        <f>IF('Growth (no penalty)'!E179&gt;0,1,IF('Growth (no penalty)'!E282&gt;0,4,0))</f>
        <v>1</v>
      </c>
      <c r="G257" s="22">
        <f>IF('Growth (no penalty)'!F179&gt;0,1,IF('Growth (no penalty)'!F282&gt;0,4,0))</f>
        <v>1</v>
      </c>
      <c r="H257" s="22">
        <f>IF('Growth (no penalty)'!G179&gt;0,1,IF('Growth (no penalty)'!G282&gt;0,4,0))</f>
        <v>1</v>
      </c>
      <c r="I257" s="22">
        <f>IF('Growth (no penalty)'!H179&gt;0,1,IF('Growth (no penalty)'!H282&gt;0,4,0))</f>
        <v>4</v>
      </c>
      <c r="J257" s="22">
        <f>IF('Growth (no penalty)'!I179&gt;0,1,IF('Growth (no penalty)'!I282&gt;0,4,0))</f>
        <v>4</v>
      </c>
      <c r="K257" s="22">
        <f>IF('Growth (no penalty)'!J179&gt;0,1,IF('Growth (no penalty)'!J282&gt;0,4,0))</f>
        <v>4</v>
      </c>
      <c r="L257" s="22">
        <f>IF('Growth (no penalty)'!K179&gt;0,1,IF('Growth (no penalty)'!K282&gt;0,4,0))</f>
        <v>4</v>
      </c>
      <c r="M257" s="22">
        <f>IF('Growth (no penalty)'!L179&gt;0,1,IF('Growth (no penalty)'!L282&gt;0,4,0))</f>
        <v>4</v>
      </c>
      <c r="N257" s="22">
        <f>IF('Growth (no penalty)'!M179&gt;0,1,IF('Growth (no penalty)'!M282&gt;0,4,0))</f>
        <v>4</v>
      </c>
      <c r="O257" s="22">
        <f>IF('Growth (no penalty)'!N179&gt;0,1,IF('Growth (no penalty)'!N282&gt;0,4,0))</f>
        <v>4</v>
      </c>
      <c r="P257" s="22">
        <f>IF('Growth (no penalty)'!O179&gt;0,1,IF('Growth (no penalty)'!O282&gt;0,4,0))</f>
        <v>4</v>
      </c>
      <c r="Q257" s="22">
        <f>IF('Growth (no penalty)'!P179&gt;0,1,IF('Growth (no penalty)'!P282&gt;0,4,0))</f>
        <v>4</v>
      </c>
      <c r="R257" s="22">
        <f>IF('Growth (no penalty)'!Q179&gt;0,1,IF('Growth (no penalty)'!Q282&gt;0,4,0))</f>
        <v>4</v>
      </c>
      <c r="S257" s="22">
        <f>IF('Growth (no penalty)'!R179&gt;0,1,IF('Growth (no penalty)'!R282&gt;0,4,0))</f>
        <v>4</v>
      </c>
      <c r="T257" s="22">
        <f>IF('Growth (no penalty)'!S179&gt;0,1,IF('Growth (no penalty)'!S282&gt;0,4,0))</f>
        <v>4</v>
      </c>
      <c r="U257" s="22">
        <f>IF('Growth (no penalty)'!T179&gt;0,1,IF('Growth (no penalty)'!T282&gt;0,4,0))</f>
        <v>4</v>
      </c>
      <c r="V257" s="22">
        <f>IF('Growth (no penalty)'!U179&gt;0,1,IF('Growth (no penalty)'!U282&gt;0,4,0))</f>
        <v>4</v>
      </c>
      <c r="W257" s="22">
        <f>IF('Growth (no penalty)'!V179&gt;0,1,IF('Growth (no penalty)'!V282&gt;0,4,0))</f>
        <v>4</v>
      </c>
      <c r="X257" s="22">
        <f>IF('Growth (no penalty)'!W179&gt;0,1,IF('Growth (no penalty)'!W282&gt;0,4,0))</f>
        <v>4</v>
      </c>
      <c r="Y257" s="22">
        <f>IF('Growth (no penalty)'!X179&gt;0,1,IF('Growth (no penalty)'!X282&gt;0,4,0))</f>
        <v>4</v>
      </c>
      <c r="Z257" s="22">
        <f>IF('Growth (no penalty)'!Y179&gt;0,1,IF('Growth (no penalty)'!Y282&gt;0,4,0))</f>
        <v>4</v>
      </c>
      <c r="AA257" s="22">
        <f>IF('Growth (no penalty)'!Z179&gt;0,1,IF('Growth (no penalty)'!Z282&gt;0,4,0))</f>
        <v>4</v>
      </c>
      <c r="AB257" s="22">
        <f>IF('Growth (no penalty)'!AA179&gt;0,1,IF('Growth (no penalty)'!AA282&gt;0,4,0))</f>
        <v>4</v>
      </c>
      <c r="AC257" s="22">
        <f>IF('Growth (no penalty)'!AB179&gt;0,1,IF('Growth (no penalty)'!AB282&gt;0,4,0))</f>
        <v>4</v>
      </c>
      <c r="AD257" s="22">
        <f>IF('Growth (no penalty)'!AC179&gt;0,1,IF('Growth (no penalty)'!AC282&gt;0,4,0))</f>
        <v>4</v>
      </c>
      <c r="AE257" s="22">
        <f>IF('Growth (no penalty)'!AD179&gt;0,1,IF('Growth (no penalty)'!AD282&gt;0,4,0))</f>
        <v>4</v>
      </c>
      <c r="AF257" s="22">
        <f>IF('Growth (no penalty)'!AE179&gt;0,1,IF('Growth (no penalty)'!AE282&gt;0,4,0))</f>
        <v>4</v>
      </c>
      <c r="AG257" s="22">
        <f>IF('Growth (no penalty)'!AF179&gt;0,1,IF('Growth (no penalty)'!AF282&gt;0,4,0))</f>
        <v>4</v>
      </c>
      <c r="AH257" s="22">
        <f>IF('Growth (no penalty)'!AG179&gt;0,1,IF('Growth (no penalty)'!AG282&gt;0,4,0))</f>
        <v>4</v>
      </c>
      <c r="AI257" s="22">
        <f>IF('Growth (no penalty)'!AH179&gt;0,1,IF('Growth (no penalty)'!AH282&gt;0,4,0))</f>
        <v>4</v>
      </c>
      <c r="AJ257" s="22">
        <f>IF('Growth (no penalty)'!AI179&gt;0,1,IF('Growth (no penalty)'!AI282&gt;0,4,0))</f>
        <v>4</v>
      </c>
      <c r="AK257" s="22">
        <f>IF('Growth (no penalty)'!AJ179&gt;0,1,IF('Growth (no penalty)'!AJ282&gt;0,4,0))</f>
        <v>4</v>
      </c>
      <c r="AL257" s="22">
        <f>IF('Growth (no penalty)'!AK179&gt;0,1,IF('Growth (no penalty)'!AK282&gt;0,4,0))</f>
        <v>4</v>
      </c>
      <c r="AM257" s="22">
        <f>IF('Growth (no penalty)'!AL179&gt;0,1,IF('Growth (no penalty)'!AL282&gt;0,4,0))</f>
        <v>4</v>
      </c>
      <c r="AN257" s="22">
        <f>IF('Growth (no penalty)'!AM179&gt;0,1,IF('Growth (no penalty)'!AM282&gt;0,4,0))</f>
        <v>4</v>
      </c>
      <c r="AO257" s="22">
        <f>IF('Growth (no penalty)'!AN179&gt;0,1,IF('Growth (no penalty)'!AN282&gt;0,4,0))</f>
        <v>4</v>
      </c>
      <c r="AP257" s="22">
        <f>IF('Growth (no penalty)'!AO179&gt;0,1,IF('Growth (no penalty)'!AO282&gt;0,4,0))</f>
        <v>4</v>
      </c>
      <c r="AQ257" s="22">
        <f>IF('Growth (no penalty)'!AP179&gt;0,1,IF('Growth (no penalty)'!AP282&gt;0,4,0))</f>
        <v>4</v>
      </c>
      <c r="AR257" s="22">
        <f>IF('Growth (no penalty)'!AQ179&gt;0,1,IF('Growth (no penalty)'!AQ282&gt;0,4,0))</f>
        <v>4</v>
      </c>
      <c r="AS257" s="22">
        <f>IF('Growth (no penalty)'!AR179&gt;0,1,IF('Growth (no penalty)'!AR282&gt;0,4,0))</f>
        <v>4</v>
      </c>
      <c r="AT257" s="22">
        <f>IF('Growth (no penalty)'!AS179&gt;0,1,IF('Growth (no penalty)'!AS282&gt;0,4,0))</f>
        <v>4</v>
      </c>
      <c r="AU257" s="22">
        <f>IF('Growth (no penalty)'!AT179&gt;0,1,IF('Growth (no penalty)'!AT282&gt;0,4,0))</f>
        <v>4</v>
      </c>
      <c r="AV257" s="22">
        <f>IF('Growth (no penalty)'!AU179&gt;0,1,IF('Growth (no penalty)'!AU282&gt;0,4,0))</f>
        <v>4</v>
      </c>
      <c r="AW257" s="22">
        <f>IF('Growth (no penalty)'!AV179&gt;0,1,IF('Growth (no penalty)'!AV282&gt;0,4,0))</f>
        <v>0</v>
      </c>
      <c r="AX257" s="22">
        <f>IF('Growth (no penalty)'!AW179&gt;0,1,IF('Growth (no penalty)'!AW282&gt;0,4,0))</f>
        <v>0</v>
      </c>
      <c r="AY257" s="22">
        <f>IF('Growth (no penalty)'!AX179&gt;0,1,IF('Growth (no penalty)'!AX282&gt;0,4,0))</f>
        <v>0</v>
      </c>
      <c r="AZ257" s="22">
        <f>IF('Growth (no penalty)'!AY179&gt;0,1,IF('Growth (no penalty)'!AY282&gt;0,4,0))</f>
        <v>0</v>
      </c>
      <c r="BA257" s="22">
        <f>IF('Growth (no penalty)'!AZ179&gt;0,1,IF('Growth (no penalty)'!AZ282&gt;0,4,0))</f>
        <v>0</v>
      </c>
      <c r="BB257" s="22">
        <f>IF('Growth (no penalty)'!BA179&gt;0,1,IF('Growth (no penalty)'!BA282&gt;0,4,0))</f>
        <v>0</v>
      </c>
      <c r="BC257" s="22">
        <f>IF('Growth (no penalty)'!BB179&gt;0,1,IF('Growth (no penalty)'!BB282&gt;0,4,0))</f>
        <v>0</v>
      </c>
      <c r="BD257" s="22">
        <f>IF('Growth (no penalty)'!BC179&gt;0,1,IF('Growth (no penalty)'!BC282&gt;0,4,0))</f>
        <v>0</v>
      </c>
      <c r="BE257" s="22">
        <f>IF('Growth (no penalty)'!BD179&gt;0,1,IF('Growth (no penalty)'!BD282&gt;0,4,0))</f>
        <v>0</v>
      </c>
      <c r="BF257" s="22">
        <f>IF('Growth (no penalty)'!BE179&gt;0,1,IF('Growth (no penalty)'!BE282&gt;0,4,0))</f>
        <v>0</v>
      </c>
      <c r="BG257" s="22">
        <f>IF('Growth (no penalty)'!BF179&gt;0,1,IF('Growth (no penalty)'!BF282&gt;0,4,0))</f>
        <v>0</v>
      </c>
      <c r="BH257" s="22">
        <f>IF('Growth (no penalty)'!BG179&gt;0,1,IF('Growth (no penalty)'!BG282&gt;0,4,0))</f>
        <v>0</v>
      </c>
      <c r="BI257" s="22">
        <f>IF('Growth (no penalty)'!BH179&gt;0,1,IF('Growth (no penalty)'!BH282&gt;0,4,0))</f>
        <v>0</v>
      </c>
      <c r="BJ257" s="22">
        <f>IF('Growth (no penalty)'!BI179&gt;0,1,IF('Growth (no penalty)'!BI282&gt;0,4,0))</f>
        <v>0</v>
      </c>
      <c r="BK257" s="23">
        <f>IF('Growth (no penalty)'!BJ179&gt;0,1,IF('Growth (no penalty)'!BJ282&gt;0,4,0))</f>
        <v>0</v>
      </c>
    </row>
    <row r="258" spans="1:63" x14ac:dyDescent="0.3">
      <c r="A258" s="4" t="str">
        <f>'Growth profile'!A104</f>
        <v>project 167</v>
      </c>
      <c r="B258" s="13" t="s">
        <v>3</v>
      </c>
      <c r="C258" s="19">
        <f>'Raw profile'!I104</f>
        <v>2041</v>
      </c>
      <c r="D258" s="20">
        <f>IF('Raw profile'!C212&gt;0,1,IF('Raw profile'!C315&gt;0,2,0))</f>
        <v>0</v>
      </c>
      <c r="E258" s="20">
        <f>IF('Raw profile'!D212&gt;0,1,IF('Raw profile'!D315&gt;0,2,0))</f>
        <v>0</v>
      </c>
      <c r="F258" s="20">
        <f>IF('Raw profile'!E212&gt;0,1,IF('Raw profile'!E315&gt;0,2,0))</f>
        <v>0</v>
      </c>
      <c r="G258" s="20">
        <f>IF('Raw profile'!F212&gt;0,1,IF('Raw profile'!F315&gt;0,2,0))</f>
        <v>0</v>
      </c>
      <c r="H258" s="20">
        <f>IF('Raw profile'!G212&gt;0,1,IF('Raw profile'!G315&gt;0,2,0))</f>
        <v>0</v>
      </c>
      <c r="I258" s="20">
        <f>IF('Raw profile'!H212&gt;0,1,IF('Raw profile'!H315&gt;0,2,0))</f>
        <v>0</v>
      </c>
      <c r="J258" s="20">
        <f>IF('Raw profile'!I212&gt;0,1,IF('Raw profile'!I315&gt;0,2,0))</f>
        <v>0</v>
      </c>
      <c r="K258" s="20">
        <f>IF('Raw profile'!J212&gt;0,1,IF('Raw profile'!J315&gt;0,2,0))</f>
        <v>0</v>
      </c>
      <c r="L258" s="20">
        <f>IF('Raw profile'!K212&gt;0,1,IF('Raw profile'!K315&gt;0,2,0))</f>
        <v>0</v>
      </c>
      <c r="M258" s="20">
        <f>IF('Raw profile'!L212&gt;0,1,IF('Raw profile'!L315&gt;0,2,0))</f>
        <v>0</v>
      </c>
      <c r="N258" s="20">
        <f>IF('Raw profile'!M212&gt;0,1,IF('Raw profile'!M315&gt;0,2,0))</f>
        <v>0</v>
      </c>
      <c r="O258" s="20">
        <f>IF('Raw profile'!N212&gt;0,1,IF('Raw profile'!N315&gt;0,2,0))</f>
        <v>0</v>
      </c>
      <c r="P258" s="20">
        <f>IF('Raw profile'!O212&gt;0,1,IF('Raw profile'!O315&gt;0,2,0))</f>
        <v>0</v>
      </c>
      <c r="Q258" s="20">
        <f>IF('Raw profile'!P212&gt;0,1,IF('Raw profile'!P315&gt;0,2,0))</f>
        <v>0</v>
      </c>
      <c r="R258" s="20">
        <f>IF('Raw profile'!Q212&gt;0,1,IF('Raw profile'!Q315&gt;0,2,0))</f>
        <v>0</v>
      </c>
      <c r="S258" s="20">
        <f>IF('Raw profile'!R212&gt;0,1,IF('Raw profile'!R315&gt;0,2,0))</f>
        <v>1</v>
      </c>
      <c r="T258" s="20">
        <f>IF('Raw profile'!S212&gt;0,1,IF('Raw profile'!S315&gt;0,2,0))</f>
        <v>1</v>
      </c>
      <c r="U258" s="20">
        <f>IF('Raw profile'!T212&gt;0,1,IF('Raw profile'!T315&gt;0,2,0))</f>
        <v>1</v>
      </c>
      <c r="V258" s="20">
        <f>IF('Raw profile'!U212&gt;0,1,IF('Raw profile'!U315&gt;0,2,0))</f>
        <v>1</v>
      </c>
      <c r="W258" s="20">
        <f>IF('Raw profile'!V212&gt;0,1,IF('Raw profile'!V315&gt;0,2,0))</f>
        <v>2</v>
      </c>
      <c r="X258" s="20">
        <f>IF('Raw profile'!W212&gt;0,1,IF('Raw profile'!W315&gt;0,2,0))</f>
        <v>2</v>
      </c>
      <c r="Y258" s="20">
        <f>IF('Raw profile'!X212&gt;0,1,IF('Raw profile'!X315&gt;0,2,0))</f>
        <v>2</v>
      </c>
      <c r="Z258" s="20">
        <f>IF('Raw profile'!Y212&gt;0,1,IF('Raw profile'!Y315&gt;0,2,0))</f>
        <v>2</v>
      </c>
      <c r="AA258" s="20">
        <f>IF('Raw profile'!Z212&gt;0,1,IF('Raw profile'!Z315&gt;0,2,0))</f>
        <v>2</v>
      </c>
      <c r="AB258" s="20">
        <f>IF('Raw profile'!AA212&gt;0,1,IF('Raw profile'!AA315&gt;0,2,0))</f>
        <v>2</v>
      </c>
      <c r="AC258" s="20">
        <f>IF('Raw profile'!AB212&gt;0,1,IF('Raw profile'!AB315&gt;0,2,0))</f>
        <v>2</v>
      </c>
      <c r="AD258" s="20">
        <f>IF('Raw profile'!AC212&gt;0,1,IF('Raw profile'!AC315&gt;0,2,0))</f>
        <v>2</v>
      </c>
      <c r="AE258" s="20">
        <f>IF('Raw profile'!AD212&gt;0,1,IF('Raw profile'!AD315&gt;0,2,0))</f>
        <v>2</v>
      </c>
      <c r="AF258" s="20">
        <f>IF('Raw profile'!AE212&gt;0,1,IF('Raw profile'!AE315&gt;0,2,0))</f>
        <v>2</v>
      </c>
      <c r="AG258" s="20">
        <f>IF('Raw profile'!AF212&gt;0,1,IF('Raw profile'!AF315&gt;0,2,0))</f>
        <v>2</v>
      </c>
      <c r="AH258" s="20">
        <f>IF('Raw profile'!AG212&gt;0,1,IF('Raw profile'!AG315&gt;0,2,0))</f>
        <v>2</v>
      </c>
      <c r="AI258" s="20">
        <f>IF('Raw profile'!AH212&gt;0,1,IF('Raw profile'!AH315&gt;0,2,0))</f>
        <v>2</v>
      </c>
      <c r="AJ258" s="20">
        <f>IF('Raw profile'!AI212&gt;0,1,IF('Raw profile'!AI315&gt;0,2,0))</f>
        <v>2</v>
      </c>
      <c r="AK258" s="20">
        <f>IF('Raw profile'!AJ212&gt;0,1,IF('Raw profile'!AJ315&gt;0,2,0))</f>
        <v>2</v>
      </c>
      <c r="AL258" s="20">
        <f>IF('Raw profile'!AK212&gt;0,1,IF('Raw profile'!AK315&gt;0,2,0))</f>
        <v>2</v>
      </c>
      <c r="AM258" s="20">
        <f>IF('Raw profile'!AL212&gt;0,1,IF('Raw profile'!AL315&gt;0,2,0))</f>
        <v>2</v>
      </c>
      <c r="AN258" s="20">
        <f>IF('Raw profile'!AM212&gt;0,1,IF('Raw profile'!AM315&gt;0,2,0))</f>
        <v>2</v>
      </c>
      <c r="AO258" s="20">
        <f>IF('Raw profile'!AN212&gt;0,1,IF('Raw profile'!AN315&gt;0,2,0))</f>
        <v>2</v>
      </c>
      <c r="AP258" s="20">
        <f>IF('Raw profile'!AO212&gt;0,1,IF('Raw profile'!AO315&gt;0,2,0))</f>
        <v>2</v>
      </c>
      <c r="AQ258" s="20">
        <f>IF('Raw profile'!AP212&gt;0,1,IF('Raw profile'!AP315&gt;0,2,0))</f>
        <v>2</v>
      </c>
      <c r="AR258" s="20">
        <f>IF('Raw profile'!AQ212&gt;0,1,IF('Raw profile'!AQ315&gt;0,2,0))</f>
        <v>2</v>
      </c>
      <c r="AS258" s="20">
        <f>IF('Raw profile'!AR212&gt;0,1,IF('Raw profile'!AR315&gt;0,2,0))</f>
        <v>2</v>
      </c>
      <c r="AT258" s="20">
        <f>IF('Raw profile'!AS212&gt;0,1,IF('Raw profile'!AS315&gt;0,2,0))</f>
        <v>2</v>
      </c>
      <c r="AU258" s="20">
        <f>IF('Raw profile'!AT212&gt;0,1,IF('Raw profile'!AT315&gt;0,2,0))</f>
        <v>2</v>
      </c>
      <c r="AV258" s="20">
        <f>IF('Raw profile'!AU212&gt;0,1,IF('Raw profile'!AU315&gt;0,2,0))</f>
        <v>2</v>
      </c>
      <c r="AW258" s="20">
        <f>IF('Raw profile'!AV212&gt;0,1,IF('Raw profile'!AV315&gt;0,2,0))</f>
        <v>2</v>
      </c>
      <c r="AX258" s="20">
        <f>IF('Raw profile'!AW212&gt;0,1,IF('Raw profile'!AW315&gt;0,2,0))</f>
        <v>2</v>
      </c>
      <c r="AY258" s="20">
        <f>IF('Raw profile'!AX212&gt;0,1,IF('Raw profile'!AX315&gt;0,2,0))</f>
        <v>2</v>
      </c>
      <c r="AZ258" s="20">
        <f>IF('Raw profile'!AY212&gt;0,1,IF('Raw profile'!AY315&gt;0,2,0))</f>
        <v>2</v>
      </c>
      <c r="BA258" s="20">
        <f>IF('Raw profile'!AZ212&gt;0,1,IF('Raw profile'!AZ315&gt;0,2,0))</f>
        <v>2</v>
      </c>
      <c r="BB258" s="20">
        <f>IF('Raw profile'!BA212&gt;0,1,IF('Raw profile'!BA315&gt;0,2,0))</f>
        <v>2</v>
      </c>
      <c r="BC258" s="20">
        <f>IF('Raw profile'!BB212&gt;0,1,IF('Raw profile'!BB315&gt;0,2,0))</f>
        <v>2</v>
      </c>
      <c r="BD258" s="20">
        <f>IF('Raw profile'!BC212&gt;0,1,IF('Raw profile'!BC315&gt;0,2,0))</f>
        <v>2</v>
      </c>
      <c r="BE258" s="20">
        <f>IF('Raw profile'!BD212&gt;0,1,IF('Raw profile'!BD315&gt;0,2,0))</f>
        <v>2</v>
      </c>
      <c r="BF258" s="20">
        <f>IF('Raw profile'!BE212&gt;0,1,IF('Raw profile'!BE315&gt;0,2,0))</f>
        <v>2</v>
      </c>
      <c r="BG258" s="20">
        <f>IF('Raw profile'!BF212&gt;0,1,IF('Raw profile'!BF315&gt;0,2,0))</f>
        <v>2</v>
      </c>
      <c r="BH258" s="20">
        <f>IF('Raw profile'!BG212&gt;0,1,IF('Raw profile'!BG315&gt;0,2,0))</f>
        <v>2</v>
      </c>
      <c r="BI258" s="20">
        <f>IF('Raw profile'!BH212&gt;0,1,IF('Raw profile'!BH315&gt;0,2,0))</f>
        <v>2</v>
      </c>
      <c r="BJ258" s="20">
        <f>IF('Raw profile'!BI212&gt;0,1,IF('Raw profile'!BI315&gt;0,2,0))</f>
        <v>2</v>
      </c>
      <c r="BK258" s="21">
        <f>IF('Raw profile'!BJ212&gt;0,1,IF('Raw profile'!BJ315&gt;0,2,0))</f>
        <v>0</v>
      </c>
    </row>
    <row r="259" spans="1:63" x14ac:dyDescent="0.3">
      <c r="B259" s="13" t="s">
        <v>4</v>
      </c>
      <c r="C259" s="19">
        <f>'Growth profile'!I104</f>
        <v>2030</v>
      </c>
      <c r="D259" s="20">
        <f>IF('Growth profile'!C212&gt;0,1,IF('Growth profile'!C315&gt;0,3,0))</f>
        <v>0</v>
      </c>
      <c r="E259" s="20">
        <f>IF('Growth profile'!D212&gt;0,1,IF('Growth profile'!D315&gt;0,3,0))</f>
        <v>0</v>
      </c>
      <c r="F259" s="20">
        <f>IF('Growth profile'!E212&gt;0,1,IF('Growth profile'!E315&gt;0,3,0))</f>
        <v>0</v>
      </c>
      <c r="G259" s="20">
        <f>IF('Growth profile'!F212&gt;0,1,IF('Growth profile'!F315&gt;0,3,0))</f>
        <v>0</v>
      </c>
      <c r="H259" s="20">
        <f>IF('Growth profile'!G212&gt;0,1,IF('Growth profile'!G315&gt;0,3,0))</f>
        <v>1</v>
      </c>
      <c r="I259" s="20">
        <f>IF('Growth profile'!H212&gt;0,1,IF('Growth profile'!H315&gt;0,3,0))</f>
        <v>1</v>
      </c>
      <c r="J259" s="20">
        <f>IF('Growth profile'!I212&gt;0,1,IF('Growth profile'!I315&gt;0,3,0))</f>
        <v>1</v>
      </c>
      <c r="K259" s="20">
        <f>IF('Growth profile'!J212&gt;0,1,IF('Growth profile'!J315&gt;0,3,0))</f>
        <v>1</v>
      </c>
      <c r="L259" s="20">
        <f>IF('Growth profile'!K212&gt;0,1,IF('Growth profile'!K315&gt;0,3,0))</f>
        <v>3</v>
      </c>
      <c r="M259" s="20">
        <f>IF('Growth profile'!L212&gt;0,1,IF('Growth profile'!L315&gt;0,3,0))</f>
        <v>3</v>
      </c>
      <c r="N259" s="20">
        <f>IF('Growth profile'!M212&gt;0,1,IF('Growth profile'!M315&gt;0,3,0))</f>
        <v>3</v>
      </c>
      <c r="O259" s="20">
        <f>IF('Growth profile'!N212&gt;0,1,IF('Growth profile'!N315&gt;0,3,0))</f>
        <v>3</v>
      </c>
      <c r="P259" s="20">
        <f>IF('Growth profile'!O212&gt;0,1,IF('Growth profile'!O315&gt;0,3,0))</f>
        <v>3</v>
      </c>
      <c r="Q259" s="20">
        <f>IF('Growth profile'!P212&gt;0,1,IF('Growth profile'!P315&gt;0,3,0))</f>
        <v>3</v>
      </c>
      <c r="R259" s="20">
        <f>IF('Growth profile'!Q212&gt;0,1,IF('Growth profile'!Q315&gt;0,3,0))</f>
        <v>3</v>
      </c>
      <c r="S259" s="20">
        <f>IF('Growth profile'!R212&gt;0,1,IF('Growth profile'!R315&gt;0,3,0))</f>
        <v>3</v>
      </c>
      <c r="T259" s="20">
        <f>IF('Growth profile'!S212&gt;0,1,IF('Growth profile'!S315&gt;0,3,0))</f>
        <v>3</v>
      </c>
      <c r="U259" s="20">
        <f>IF('Growth profile'!T212&gt;0,1,IF('Growth profile'!T315&gt;0,3,0))</f>
        <v>3</v>
      </c>
      <c r="V259" s="20">
        <f>IF('Growth profile'!U212&gt;0,1,IF('Growth profile'!U315&gt;0,3,0))</f>
        <v>3</v>
      </c>
      <c r="W259" s="20">
        <f>IF('Growth profile'!V212&gt;0,1,IF('Growth profile'!V315&gt;0,3,0))</f>
        <v>3</v>
      </c>
      <c r="X259" s="20">
        <f>IF('Growth profile'!W212&gt;0,1,IF('Growth profile'!W315&gt;0,3,0))</f>
        <v>3</v>
      </c>
      <c r="Y259" s="20">
        <f>IF('Growth profile'!X212&gt;0,1,IF('Growth profile'!X315&gt;0,3,0))</f>
        <v>3</v>
      </c>
      <c r="Z259" s="20">
        <f>IF('Growth profile'!Y212&gt;0,1,IF('Growth profile'!Y315&gt;0,3,0))</f>
        <v>3</v>
      </c>
      <c r="AA259" s="20">
        <f>IF('Growth profile'!Z212&gt;0,1,IF('Growth profile'!Z315&gt;0,3,0))</f>
        <v>3</v>
      </c>
      <c r="AB259" s="20">
        <f>IF('Growth profile'!AA212&gt;0,1,IF('Growth profile'!AA315&gt;0,3,0))</f>
        <v>3</v>
      </c>
      <c r="AC259" s="20">
        <f>IF('Growth profile'!AB212&gt;0,1,IF('Growth profile'!AB315&gt;0,3,0))</f>
        <v>3</v>
      </c>
      <c r="AD259" s="20">
        <f>IF('Growth profile'!AC212&gt;0,1,IF('Growth profile'!AC315&gt;0,3,0))</f>
        <v>3</v>
      </c>
      <c r="AE259" s="20">
        <f>IF('Growth profile'!AD212&gt;0,1,IF('Growth profile'!AD315&gt;0,3,0))</f>
        <v>3</v>
      </c>
      <c r="AF259" s="20">
        <f>IF('Growth profile'!AE212&gt;0,1,IF('Growth profile'!AE315&gt;0,3,0))</f>
        <v>3</v>
      </c>
      <c r="AG259" s="20">
        <f>IF('Growth profile'!AF212&gt;0,1,IF('Growth profile'!AF315&gt;0,3,0))</f>
        <v>3</v>
      </c>
      <c r="AH259" s="20">
        <f>IF('Growth profile'!AG212&gt;0,1,IF('Growth profile'!AG315&gt;0,3,0))</f>
        <v>3</v>
      </c>
      <c r="AI259" s="20">
        <f>IF('Growth profile'!AH212&gt;0,1,IF('Growth profile'!AH315&gt;0,3,0))</f>
        <v>3</v>
      </c>
      <c r="AJ259" s="20">
        <f>IF('Growth profile'!AI212&gt;0,1,IF('Growth profile'!AI315&gt;0,3,0))</f>
        <v>3</v>
      </c>
      <c r="AK259" s="20">
        <f>IF('Growth profile'!AJ212&gt;0,1,IF('Growth profile'!AJ315&gt;0,3,0))</f>
        <v>3</v>
      </c>
      <c r="AL259" s="20">
        <f>IF('Growth profile'!AK212&gt;0,1,IF('Growth profile'!AK315&gt;0,3,0))</f>
        <v>3</v>
      </c>
      <c r="AM259" s="20">
        <f>IF('Growth profile'!AL212&gt;0,1,IF('Growth profile'!AL315&gt;0,3,0))</f>
        <v>3</v>
      </c>
      <c r="AN259" s="20">
        <f>IF('Growth profile'!AM212&gt;0,1,IF('Growth profile'!AM315&gt;0,3,0))</f>
        <v>3</v>
      </c>
      <c r="AO259" s="20">
        <f>IF('Growth profile'!AN212&gt;0,1,IF('Growth profile'!AN315&gt;0,3,0))</f>
        <v>3</v>
      </c>
      <c r="AP259" s="20">
        <f>IF('Growth profile'!AO212&gt;0,1,IF('Growth profile'!AO315&gt;0,3,0))</f>
        <v>3</v>
      </c>
      <c r="AQ259" s="20">
        <f>IF('Growth profile'!AP212&gt;0,1,IF('Growth profile'!AP315&gt;0,3,0))</f>
        <v>3</v>
      </c>
      <c r="AR259" s="20">
        <f>IF('Growth profile'!AQ212&gt;0,1,IF('Growth profile'!AQ315&gt;0,3,0))</f>
        <v>3</v>
      </c>
      <c r="AS259" s="20">
        <f>IF('Growth profile'!AR212&gt;0,1,IF('Growth profile'!AR315&gt;0,3,0))</f>
        <v>3</v>
      </c>
      <c r="AT259" s="20">
        <f>IF('Growth profile'!AS212&gt;0,1,IF('Growth profile'!AS315&gt;0,3,0))</f>
        <v>3</v>
      </c>
      <c r="AU259" s="20">
        <f>IF('Growth profile'!AT212&gt;0,1,IF('Growth profile'!AT315&gt;0,3,0))</f>
        <v>3</v>
      </c>
      <c r="AV259" s="20">
        <f>IF('Growth profile'!AU212&gt;0,1,IF('Growth profile'!AU315&gt;0,3,0))</f>
        <v>3</v>
      </c>
      <c r="AW259" s="20">
        <f>IF('Growth profile'!AV212&gt;0,1,IF('Growth profile'!AV315&gt;0,3,0))</f>
        <v>3</v>
      </c>
      <c r="AX259" s="20">
        <f>IF('Growth profile'!AW212&gt;0,1,IF('Growth profile'!AW315&gt;0,3,0))</f>
        <v>3</v>
      </c>
      <c r="AY259" s="20">
        <f>IF('Growth profile'!AX212&gt;0,1,IF('Growth profile'!AX315&gt;0,3,0))</f>
        <v>3</v>
      </c>
      <c r="AZ259" s="20">
        <f>IF('Growth profile'!AY212&gt;0,1,IF('Growth profile'!AY315&gt;0,3,0))</f>
        <v>0</v>
      </c>
      <c r="BA259" s="20">
        <f>IF('Growth profile'!AZ212&gt;0,1,IF('Growth profile'!AZ315&gt;0,3,0))</f>
        <v>0</v>
      </c>
      <c r="BB259" s="20">
        <f>IF('Growth profile'!BA212&gt;0,1,IF('Growth profile'!BA315&gt;0,3,0))</f>
        <v>0</v>
      </c>
      <c r="BC259" s="20">
        <f>IF('Growth profile'!BB212&gt;0,1,IF('Growth profile'!BB315&gt;0,3,0))</f>
        <v>0</v>
      </c>
      <c r="BD259" s="20">
        <f>IF('Growth profile'!BC212&gt;0,1,IF('Growth profile'!BC315&gt;0,3,0))</f>
        <v>0</v>
      </c>
      <c r="BE259" s="20">
        <f>IF('Growth profile'!BD212&gt;0,1,IF('Growth profile'!BD315&gt;0,3,0))</f>
        <v>0</v>
      </c>
      <c r="BF259" s="20">
        <f>IF('Growth profile'!BE212&gt;0,1,IF('Growth profile'!BE315&gt;0,3,0))</f>
        <v>0</v>
      </c>
      <c r="BG259" s="20">
        <f>IF('Growth profile'!BF212&gt;0,1,IF('Growth profile'!BF315&gt;0,3,0))</f>
        <v>0</v>
      </c>
      <c r="BH259" s="20">
        <f>IF('Growth profile'!BG212&gt;0,1,IF('Growth profile'!BG315&gt;0,3,0))</f>
        <v>0</v>
      </c>
      <c r="BI259" s="20">
        <f>IF('Growth profile'!BH212&gt;0,1,IF('Growth profile'!BH315&gt;0,3,0))</f>
        <v>0</v>
      </c>
      <c r="BJ259" s="20">
        <f>IF('Growth profile'!BI212&gt;0,1,IF('Growth profile'!BI315&gt;0,3,0))</f>
        <v>0</v>
      </c>
      <c r="BK259" s="21">
        <f>IF('Growth profile'!BJ212&gt;0,1,IF('Growth profile'!BJ315&gt;0,3,0))</f>
        <v>0</v>
      </c>
    </row>
    <row r="260" spans="1:63" x14ac:dyDescent="0.3">
      <c r="B260" s="13" t="s">
        <v>59</v>
      </c>
      <c r="C260" s="19">
        <f>'Growth (no penalty)'!I104</f>
        <v>2031</v>
      </c>
      <c r="D260" s="22">
        <f>IF('Growth (no penalty)'!C212&gt;0,1,IF('Growth (no penalty)'!C315&gt;0,4,0))</f>
        <v>0</v>
      </c>
      <c r="E260" s="22">
        <f>IF('Growth (no penalty)'!D212&gt;0,1,IF('Growth (no penalty)'!D315&gt;0,4,0))</f>
        <v>0</v>
      </c>
      <c r="F260" s="22">
        <f>IF('Growth (no penalty)'!E212&gt;0,1,IF('Growth (no penalty)'!E315&gt;0,4,0))</f>
        <v>0</v>
      </c>
      <c r="G260" s="22">
        <f>IF('Growth (no penalty)'!F212&gt;0,1,IF('Growth (no penalty)'!F315&gt;0,4,0))</f>
        <v>0</v>
      </c>
      <c r="H260" s="22">
        <f>IF('Growth (no penalty)'!G212&gt;0,1,IF('Growth (no penalty)'!G315&gt;0,4,0))</f>
        <v>0</v>
      </c>
      <c r="I260" s="22">
        <f>IF('Growth (no penalty)'!H212&gt;0,1,IF('Growth (no penalty)'!H315&gt;0,4,0))</f>
        <v>1</v>
      </c>
      <c r="J260" s="22">
        <f>IF('Growth (no penalty)'!I212&gt;0,1,IF('Growth (no penalty)'!I315&gt;0,4,0))</f>
        <v>1</v>
      </c>
      <c r="K260" s="22">
        <f>IF('Growth (no penalty)'!J212&gt;0,1,IF('Growth (no penalty)'!J315&gt;0,4,0))</f>
        <v>1</v>
      </c>
      <c r="L260" s="22">
        <f>IF('Growth (no penalty)'!K212&gt;0,1,IF('Growth (no penalty)'!K315&gt;0,4,0))</f>
        <v>1</v>
      </c>
      <c r="M260" s="22">
        <f>IF('Growth (no penalty)'!L212&gt;0,1,IF('Growth (no penalty)'!L315&gt;0,4,0))</f>
        <v>4</v>
      </c>
      <c r="N260" s="22">
        <f>IF('Growth (no penalty)'!M212&gt;0,1,IF('Growth (no penalty)'!M315&gt;0,4,0))</f>
        <v>4</v>
      </c>
      <c r="O260" s="22">
        <f>IF('Growth (no penalty)'!N212&gt;0,1,IF('Growth (no penalty)'!N315&gt;0,4,0))</f>
        <v>4</v>
      </c>
      <c r="P260" s="22">
        <f>IF('Growth (no penalty)'!O212&gt;0,1,IF('Growth (no penalty)'!O315&gt;0,4,0))</f>
        <v>4</v>
      </c>
      <c r="Q260" s="22">
        <f>IF('Growth (no penalty)'!P212&gt;0,1,IF('Growth (no penalty)'!P315&gt;0,4,0))</f>
        <v>4</v>
      </c>
      <c r="R260" s="22">
        <f>IF('Growth (no penalty)'!Q212&gt;0,1,IF('Growth (no penalty)'!Q315&gt;0,4,0))</f>
        <v>4</v>
      </c>
      <c r="S260" s="22">
        <f>IF('Growth (no penalty)'!R212&gt;0,1,IF('Growth (no penalty)'!R315&gt;0,4,0))</f>
        <v>4</v>
      </c>
      <c r="T260" s="22">
        <f>IF('Growth (no penalty)'!S212&gt;0,1,IF('Growth (no penalty)'!S315&gt;0,4,0))</f>
        <v>4</v>
      </c>
      <c r="U260" s="22">
        <f>IF('Growth (no penalty)'!T212&gt;0,1,IF('Growth (no penalty)'!T315&gt;0,4,0))</f>
        <v>4</v>
      </c>
      <c r="V260" s="22">
        <f>IF('Growth (no penalty)'!U212&gt;0,1,IF('Growth (no penalty)'!U315&gt;0,4,0))</f>
        <v>4</v>
      </c>
      <c r="W260" s="22">
        <f>IF('Growth (no penalty)'!V212&gt;0,1,IF('Growth (no penalty)'!V315&gt;0,4,0))</f>
        <v>4</v>
      </c>
      <c r="X260" s="22">
        <f>IF('Growth (no penalty)'!W212&gt;0,1,IF('Growth (no penalty)'!W315&gt;0,4,0))</f>
        <v>4</v>
      </c>
      <c r="Y260" s="22">
        <f>IF('Growth (no penalty)'!X212&gt;0,1,IF('Growth (no penalty)'!X315&gt;0,4,0))</f>
        <v>4</v>
      </c>
      <c r="Z260" s="22">
        <f>IF('Growth (no penalty)'!Y212&gt;0,1,IF('Growth (no penalty)'!Y315&gt;0,4,0))</f>
        <v>4</v>
      </c>
      <c r="AA260" s="22">
        <f>IF('Growth (no penalty)'!Z212&gt;0,1,IF('Growth (no penalty)'!Z315&gt;0,4,0))</f>
        <v>4</v>
      </c>
      <c r="AB260" s="22">
        <f>IF('Growth (no penalty)'!AA212&gt;0,1,IF('Growth (no penalty)'!AA315&gt;0,4,0))</f>
        <v>4</v>
      </c>
      <c r="AC260" s="22">
        <f>IF('Growth (no penalty)'!AB212&gt;0,1,IF('Growth (no penalty)'!AB315&gt;0,4,0))</f>
        <v>4</v>
      </c>
      <c r="AD260" s="22">
        <f>IF('Growth (no penalty)'!AC212&gt;0,1,IF('Growth (no penalty)'!AC315&gt;0,4,0))</f>
        <v>4</v>
      </c>
      <c r="AE260" s="22">
        <f>IF('Growth (no penalty)'!AD212&gt;0,1,IF('Growth (no penalty)'!AD315&gt;0,4,0))</f>
        <v>4</v>
      </c>
      <c r="AF260" s="22">
        <f>IF('Growth (no penalty)'!AE212&gt;0,1,IF('Growth (no penalty)'!AE315&gt;0,4,0))</f>
        <v>4</v>
      </c>
      <c r="AG260" s="22">
        <f>IF('Growth (no penalty)'!AF212&gt;0,1,IF('Growth (no penalty)'!AF315&gt;0,4,0))</f>
        <v>4</v>
      </c>
      <c r="AH260" s="22">
        <f>IF('Growth (no penalty)'!AG212&gt;0,1,IF('Growth (no penalty)'!AG315&gt;0,4,0))</f>
        <v>4</v>
      </c>
      <c r="AI260" s="22">
        <f>IF('Growth (no penalty)'!AH212&gt;0,1,IF('Growth (no penalty)'!AH315&gt;0,4,0))</f>
        <v>4</v>
      </c>
      <c r="AJ260" s="22">
        <f>IF('Growth (no penalty)'!AI212&gt;0,1,IF('Growth (no penalty)'!AI315&gt;0,4,0))</f>
        <v>4</v>
      </c>
      <c r="AK260" s="22">
        <f>IF('Growth (no penalty)'!AJ212&gt;0,1,IF('Growth (no penalty)'!AJ315&gt;0,4,0))</f>
        <v>4</v>
      </c>
      <c r="AL260" s="22">
        <f>IF('Growth (no penalty)'!AK212&gt;0,1,IF('Growth (no penalty)'!AK315&gt;0,4,0))</f>
        <v>4</v>
      </c>
      <c r="AM260" s="22">
        <f>IF('Growth (no penalty)'!AL212&gt;0,1,IF('Growth (no penalty)'!AL315&gt;0,4,0))</f>
        <v>4</v>
      </c>
      <c r="AN260" s="22">
        <f>IF('Growth (no penalty)'!AM212&gt;0,1,IF('Growth (no penalty)'!AM315&gt;0,4,0))</f>
        <v>4</v>
      </c>
      <c r="AO260" s="22">
        <f>IF('Growth (no penalty)'!AN212&gt;0,1,IF('Growth (no penalty)'!AN315&gt;0,4,0))</f>
        <v>4</v>
      </c>
      <c r="AP260" s="22">
        <f>IF('Growth (no penalty)'!AO212&gt;0,1,IF('Growth (no penalty)'!AO315&gt;0,4,0))</f>
        <v>4</v>
      </c>
      <c r="AQ260" s="22">
        <f>IF('Growth (no penalty)'!AP212&gt;0,1,IF('Growth (no penalty)'!AP315&gt;0,4,0))</f>
        <v>4</v>
      </c>
      <c r="AR260" s="22">
        <f>IF('Growth (no penalty)'!AQ212&gt;0,1,IF('Growth (no penalty)'!AQ315&gt;0,4,0))</f>
        <v>4</v>
      </c>
      <c r="AS260" s="22">
        <f>IF('Growth (no penalty)'!AR212&gt;0,1,IF('Growth (no penalty)'!AR315&gt;0,4,0))</f>
        <v>4</v>
      </c>
      <c r="AT260" s="22">
        <f>IF('Growth (no penalty)'!AS212&gt;0,1,IF('Growth (no penalty)'!AS315&gt;0,4,0))</f>
        <v>4</v>
      </c>
      <c r="AU260" s="22">
        <f>IF('Growth (no penalty)'!AT212&gt;0,1,IF('Growth (no penalty)'!AT315&gt;0,4,0))</f>
        <v>4</v>
      </c>
      <c r="AV260" s="22">
        <f>IF('Growth (no penalty)'!AU212&gt;0,1,IF('Growth (no penalty)'!AU315&gt;0,4,0))</f>
        <v>4</v>
      </c>
      <c r="AW260" s="22">
        <f>IF('Growth (no penalty)'!AV212&gt;0,1,IF('Growth (no penalty)'!AV315&gt;0,4,0))</f>
        <v>4</v>
      </c>
      <c r="AX260" s="22">
        <f>IF('Growth (no penalty)'!AW212&gt;0,1,IF('Growth (no penalty)'!AW315&gt;0,4,0))</f>
        <v>4</v>
      </c>
      <c r="AY260" s="22">
        <f>IF('Growth (no penalty)'!AX212&gt;0,1,IF('Growth (no penalty)'!AX315&gt;0,4,0))</f>
        <v>4</v>
      </c>
      <c r="AZ260" s="22">
        <f>IF('Growth (no penalty)'!AY212&gt;0,1,IF('Growth (no penalty)'!AY315&gt;0,4,0))</f>
        <v>4</v>
      </c>
      <c r="BA260" s="22">
        <f>IF('Growth (no penalty)'!AZ212&gt;0,1,IF('Growth (no penalty)'!AZ315&gt;0,4,0))</f>
        <v>0</v>
      </c>
      <c r="BB260" s="22">
        <f>IF('Growth (no penalty)'!BA212&gt;0,1,IF('Growth (no penalty)'!BA315&gt;0,4,0))</f>
        <v>0</v>
      </c>
      <c r="BC260" s="22">
        <f>IF('Growth (no penalty)'!BB212&gt;0,1,IF('Growth (no penalty)'!BB315&gt;0,4,0))</f>
        <v>0</v>
      </c>
      <c r="BD260" s="22">
        <f>IF('Growth (no penalty)'!BC212&gt;0,1,IF('Growth (no penalty)'!BC315&gt;0,4,0))</f>
        <v>0</v>
      </c>
      <c r="BE260" s="22">
        <f>IF('Growth (no penalty)'!BD212&gt;0,1,IF('Growth (no penalty)'!BD315&gt;0,4,0))</f>
        <v>0</v>
      </c>
      <c r="BF260" s="22">
        <f>IF('Growth (no penalty)'!BE212&gt;0,1,IF('Growth (no penalty)'!BE315&gt;0,4,0))</f>
        <v>0</v>
      </c>
      <c r="BG260" s="22">
        <f>IF('Growth (no penalty)'!BF212&gt;0,1,IF('Growth (no penalty)'!BF315&gt;0,4,0))</f>
        <v>0</v>
      </c>
      <c r="BH260" s="22">
        <f>IF('Growth (no penalty)'!BG212&gt;0,1,IF('Growth (no penalty)'!BG315&gt;0,4,0))</f>
        <v>0</v>
      </c>
      <c r="BI260" s="22">
        <f>IF('Growth (no penalty)'!BH212&gt;0,1,IF('Growth (no penalty)'!BH315&gt;0,4,0))</f>
        <v>0</v>
      </c>
      <c r="BJ260" s="22">
        <f>IF('Growth (no penalty)'!BI212&gt;0,1,IF('Growth (no penalty)'!BI315&gt;0,4,0))</f>
        <v>0</v>
      </c>
      <c r="BK260" s="23">
        <f>IF('Growth (no penalty)'!BJ212&gt;0,1,IF('Growth (no penalty)'!BJ315&gt;0,4,0))</f>
        <v>0</v>
      </c>
    </row>
    <row r="261" spans="1:63" x14ac:dyDescent="0.3">
      <c r="A261" s="4" t="str">
        <f>'Growth profile'!A72</f>
        <v>project 103</v>
      </c>
      <c r="B261" s="13" t="s">
        <v>3</v>
      </c>
      <c r="C261" s="19">
        <f>'Raw profile'!I72</f>
        <v>2041</v>
      </c>
      <c r="D261" s="20">
        <f>IF('Raw profile'!C180&gt;0,1,IF('Raw profile'!C283&gt;0,2,0))</f>
        <v>0</v>
      </c>
      <c r="E261" s="20">
        <f>IF('Raw profile'!D180&gt;0,1,IF('Raw profile'!D283&gt;0,2,0))</f>
        <v>0</v>
      </c>
      <c r="F261" s="20">
        <f>IF('Raw profile'!E180&gt;0,1,IF('Raw profile'!E283&gt;0,2,0))</f>
        <v>0</v>
      </c>
      <c r="G261" s="20">
        <f>IF('Raw profile'!F180&gt;0,1,IF('Raw profile'!F283&gt;0,2,0))</f>
        <v>0</v>
      </c>
      <c r="H261" s="20">
        <f>IF('Raw profile'!G180&gt;0,1,IF('Raw profile'!G283&gt;0,2,0))</f>
        <v>0</v>
      </c>
      <c r="I261" s="20">
        <f>IF('Raw profile'!H180&gt;0,1,IF('Raw profile'!H283&gt;0,2,0))</f>
        <v>0</v>
      </c>
      <c r="J261" s="20">
        <f>IF('Raw profile'!I180&gt;0,1,IF('Raw profile'!I283&gt;0,2,0))</f>
        <v>0</v>
      </c>
      <c r="K261" s="20">
        <f>IF('Raw profile'!J180&gt;0,1,IF('Raw profile'!J283&gt;0,2,0))</f>
        <v>0</v>
      </c>
      <c r="L261" s="20">
        <f>IF('Raw profile'!K180&gt;0,1,IF('Raw profile'!K283&gt;0,2,0))</f>
        <v>0</v>
      </c>
      <c r="M261" s="20">
        <f>IF('Raw profile'!L180&gt;0,1,IF('Raw profile'!L283&gt;0,2,0))</f>
        <v>0</v>
      </c>
      <c r="N261" s="20">
        <f>IF('Raw profile'!M180&gt;0,1,IF('Raw profile'!M283&gt;0,2,0))</f>
        <v>0</v>
      </c>
      <c r="O261" s="20">
        <f>IF('Raw profile'!N180&gt;0,1,IF('Raw profile'!N283&gt;0,2,0))</f>
        <v>0</v>
      </c>
      <c r="P261" s="20">
        <f>IF('Raw profile'!O180&gt;0,1,IF('Raw profile'!O283&gt;0,2,0))</f>
        <v>0</v>
      </c>
      <c r="Q261" s="20">
        <f>IF('Raw profile'!P180&gt;0,1,IF('Raw profile'!P283&gt;0,2,0))</f>
        <v>0</v>
      </c>
      <c r="R261" s="20">
        <f>IF('Raw profile'!Q180&gt;0,1,IF('Raw profile'!Q283&gt;0,2,0))</f>
        <v>0</v>
      </c>
      <c r="S261" s="20">
        <f>IF('Raw profile'!R180&gt;0,1,IF('Raw profile'!R283&gt;0,2,0))</f>
        <v>1</v>
      </c>
      <c r="T261" s="20">
        <f>IF('Raw profile'!S180&gt;0,1,IF('Raw profile'!S283&gt;0,2,0))</f>
        <v>1</v>
      </c>
      <c r="U261" s="20">
        <f>IF('Raw profile'!T180&gt;0,1,IF('Raw profile'!T283&gt;0,2,0))</f>
        <v>1</v>
      </c>
      <c r="V261" s="20">
        <f>IF('Raw profile'!U180&gt;0,1,IF('Raw profile'!U283&gt;0,2,0))</f>
        <v>2</v>
      </c>
      <c r="W261" s="20">
        <f>IF('Raw profile'!V180&gt;0,1,IF('Raw profile'!V283&gt;0,2,0))</f>
        <v>2</v>
      </c>
      <c r="X261" s="20">
        <f>IF('Raw profile'!W180&gt;0,1,IF('Raw profile'!W283&gt;0,2,0))</f>
        <v>2</v>
      </c>
      <c r="Y261" s="20">
        <f>IF('Raw profile'!X180&gt;0,1,IF('Raw profile'!X283&gt;0,2,0))</f>
        <v>2</v>
      </c>
      <c r="Z261" s="20">
        <f>IF('Raw profile'!Y180&gt;0,1,IF('Raw profile'!Y283&gt;0,2,0))</f>
        <v>2</v>
      </c>
      <c r="AA261" s="20">
        <f>IF('Raw profile'!Z180&gt;0,1,IF('Raw profile'!Z283&gt;0,2,0))</f>
        <v>2</v>
      </c>
      <c r="AB261" s="20">
        <f>IF('Raw profile'!AA180&gt;0,1,IF('Raw profile'!AA283&gt;0,2,0))</f>
        <v>2</v>
      </c>
      <c r="AC261" s="20">
        <f>IF('Raw profile'!AB180&gt;0,1,IF('Raw profile'!AB283&gt;0,2,0))</f>
        <v>2</v>
      </c>
      <c r="AD261" s="20">
        <f>IF('Raw profile'!AC180&gt;0,1,IF('Raw profile'!AC283&gt;0,2,0))</f>
        <v>2</v>
      </c>
      <c r="AE261" s="20">
        <f>IF('Raw profile'!AD180&gt;0,1,IF('Raw profile'!AD283&gt;0,2,0))</f>
        <v>2</v>
      </c>
      <c r="AF261" s="20">
        <f>IF('Raw profile'!AE180&gt;0,1,IF('Raw profile'!AE283&gt;0,2,0))</f>
        <v>2</v>
      </c>
      <c r="AG261" s="20">
        <f>IF('Raw profile'!AF180&gt;0,1,IF('Raw profile'!AF283&gt;0,2,0))</f>
        <v>2</v>
      </c>
      <c r="AH261" s="20">
        <f>IF('Raw profile'!AG180&gt;0,1,IF('Raw profile'!AG283&gt;0,2,0))</f>
        <v>2</v>
      </c>
      <c r="AI261" s="20">
        <f>IF('Raw profile'!AH180&gt;0,1,IF('Raw profile'!AH283&gt;0,2,0))</f>
        <v>2</v>
      </c>
      <c r="AJ261" s="20">
        <f>IF('Raw profile'!AI180&gt;0,1,IF('Raw profile'!AI283&gt;0,2,0))</f>
        <v>2</v>
      </c>
      <c r="AK261" s="20">
        <f>IF('Raw profile'!AJ180&gt;0,1,IF('Raw profile'!AJ283&gt;0,2,0))</f>
        <v>2</v>
      </c>
      <c r="AL261" s="20">
        <f>IF('Raw profile'!AK180&gt;0,1,IF('Raw profile'!AK283&gt;0,2,0))</f>
        <v>2</v>
      </c>
      <c r="AM261" s="20">
        <f>IF('Raw profile'!AL180&gt;0,1,IF('Raw profile'!AL283&gt;0,2,0))</f>
        <v>2</v>
      </c>
      <c r="AN261" s="20">
        <f>IF('Raw profile'!AM180&gt;0,1,IF('Raw profile'!AM283&gt;0,2,0))</f>
        <v>2</v>
      </c>
      <c r="AO261" s="20">
        <f>IF('Raw profile'!AN180&gt;0,1,IF('Raw profile'!AN283&gt;0,2,0))</f>
        <v>2</v>
      </c>
      <c r="AP261" s="20">
        <f>IF('Raw profile'!AO180&gt;0,1,IF('Raw profile'!AO283&gt;0,2,0))</f>
        <v>2</v>
      </c>
      <c r="AQ261" s="20">
        <f>IF('Raw profile'!AP180&gt;0,1,IF('Raw profile'!AP283&gt;0,2,0))</f>
        <v>2</v>
      </c>
      <c r="AR261" s="20">
        <f>IF('Raw profile'!AQ180&gt;0,1,IF('Raw profile'!AQ283&gt;0,2,0))</f>
        <v>2</v>
      </c>
      <c r="AS261" s="20">
        <f>IF('Raw profile'!AR180&gt;0,1,IF('Raw profile'!AR283&gt;0,2,0))</f>
        <v>2</v>
      </c>
      <c r="AT261" s="20">
        <f>IF('Raw profile'!AS180&gt;0,1,IF('Raw profile'!AS283&gt;0,2,0))</f>
        <v>2</v>
      </c>
      <c r="AU261" s="20">
        <f>IF('Raw profile'!AT180&gt;0,1,IF('Raw profile'!AT283&gt;0,2,0))</f>
        <v>2</v>
      </c>
      <c r="AV261" s="20">
        <f>IF('Raw profile'!AU180&gt;0,1,IF('Raw profile'!AU283&gt;0,2,0))</f>
        <v>2</v>
      </c>
      <c r="AW261" s="20">
        <f>IF('Raw profile'!AV180&gt;0,1,IF('Raw profile'!AV283&gt;0,2,0))</f>
        <v>2</v>
      </c>
      <c r="AX261" s="20">
        <f>IF('Raw profile'!AW180&gt;0,1,IF('Raw profile'!AW283&gt;0,2,0))</f>
        <v>2</v>
      </c>
      <c r="AY261" s="20">
        <f>IF('Raw profile'!AX180&gt;0,1,IF('Raw profile'!AX283&gt;0,2,0))</f>
        <v>2</v>
      </c>
      <c r="AZ261" s="20">
        <f>IF('Raw profile'!AY180&gt;0,1,IF('Raw profile'!AY283&gt;0,2,0))</f>
        <v>2</v>
      </c>
      <c r="BA261" s="20">
        <f>IF('Raw profile'!AZ180&gt;0,1,IF('Raw profile'!AZ283&gt;0,2,0))</f>
        <v>2</v>
      </c>
      <c r="BB261" s="20">
        <f>IF('Raw profile'!BA180&gt;0,1,IF('Raw profile'!BA283&gt;0,2,0))</f>
        <v>2</v>
      </c>
      <c r="BC261" s="20">
        <f>IF('Raw profile'!BB180&gt;0,1,IF('Raw profile'!BB283&gt;0,2,0))</f>
        <v>2</v>
      </c>
      <c r="BD261" s="20">
        <f>IF('Raw profile'!BC180&gt;0,1,IF('Raw profile'!BC283&gt;0,2,0))</f>
        <v>2</v>
      </c>
      <c r="BE261" s="20">
        <f>IF('Raw profile'!BD180&gt;0,1,IF('Raw profile'!BD283&gt;0,2,0))</f>
        <v>2</v>
      </c>
      <c r="BF261" s="20">
        <f>IF('Raw profile'!BE180&gt;0,1,IF('Raw profile'!BE283&gt;0,2,0))</f>
        <v>2</v>
      </c>
      <c r="BG261" s="20">
        <f>IF('Raw profile'!BF180&gt;0,1,IF('Raw profile'!BF283&gt;0,2,0))</f>
        <v>2</v>
      </c>
      <c r="BH261" s="20">
        <f>IF('Raw profile'!BG180&gt;0,1,IF('Raw profile'!BG283&gt;0,2,0))</f>
        <v>2</v>
      </c>
      <c r="BI261" s="20">
        <f>IF('Raw profile'!BH180&gt;0,1,IF('Raw profile'!BH283&gt;0,2,0))</f>
        <v>2</v>
      </c>
      <c r="BJ261" s="20">
        <f>IF('Raw profile'!BI180&gt;0,1,IF('Raw profile'!BI283&gt;0,2,0))</f>
        <v>0</v>
      </c>
      <c r="BK261" s="21">
        <f>IF('Raw profile'!BJ180&gt;0,1,IF('Raw profile'!BJ283&gt;0,2,0))</f>
        <v>0</v>
      </c>
    </row>
    <row r="262" spans="1:63" x14ac:dyDescent="0.3">
      <c r="B262" s="13" t="s">
        <v>4</v>
      </c>
      <c r="C262" s="19">
        <f>'Growth profile'!I72</f>
        <v>2033</v>
      </c>
      <c r="D262" s="20">
        <f>IF('Growth profile'!C180&gt;0,1,IF('Growth profile'!C283&gt;0,3,0))</f>
        <v>0</v>
      </c>
      <c r="E262" s="20">
        <f>IF('Growth profile'!D180&gt;0,1,IF('Growth profile'!D283&gt;0,3,0))</f>
        <v>0</v>
      </c>
      <c r="F262" s="20">
        <f>IF('Growth profile'!E180&gt;0,1,IF('Growth profile'!E283&gt;0,3,0))</f>
        <v>0</v>
      </c>
      <c r="G262" s="20">
        <f>IF('Growth profile'!F180&gt;0,1,IF('Growth profile'!F283&gt;0,3,0))</f>
        <v>0</v>
      </c>
      <c r="H262" s="20">
        <f>IF('Growth profile'!G180&gt;0,1,IF('Growth profile'!G283&gt;0,3,0))</f>
        <v>0</v>
      </c>
      <c r="I262" s="20">
        <f>IF('Growth profile'!H180&gt;0,1,IF('Growth profile'!H283&gt;0,3,0))</f>
        <v>0</v>
      </c>
      <c r="J262" s="20">
        <f>IF('Growth profile'!I180&gt;0,1,IF('Growth profile'!I283&gt;0,3,0))</f>
        <v>0</v>
      </c>
      <c r="K262" s="20">
        <f>IF('Growth profile'!J180&gt;0,1,IF('Growth profile'!J283&gt;0,3,0))</f>
        <v>1</v>
      </c>
      <c r="L262" s="20">
        <f>IF('Growth profile'!K180&gt;0,1,IF('Growth profile'!K283&gt;0,3,0))</f>
        <v>1</v>
      </c>
      <c r="M262" s="20">
        <f>IF('Growth profile'!L180&gt;0,1,IF('Growth profile'!L283&gt;0,3,0))</f>
        <v>1</v>
      </c>
      <c r="N262" s="20">
        <f>IF('Growth profile'!M180&gt;0,1,IF('Growth profile'!M283&gt;0,3,0))</f>
        <v>3</v>
      </c>
      <c r="O262" s="20">
        <f>IF('Growth profile'!N180&gt;0,1,IF('Growth profile'!N283&gt;0,3,0))</f>
        <v>3</v>
      </c>
      <c r="P262" s="20">
        <f>IF('Growth profile'!O180&gt;0,1,IF('Growth profile'!O283&gt;0,3,0))</f>
        <v>3</v>
      </c>
      <c r="Q262" s="20">
        <f>IF('Growth profile'!P180&gt;0,1,IF('Growth profile'!P283&gt;0,3,0))</f>
        <v>3</v>
      </c>
      <c r="R262" s="20">
        <f>IF('Growth profile'!Q180&gt;0,1,IF('Growth profile'!Q283&gt;0,3,0))</f>
        <v>3</v>
      </c>
      <c r="S262" s="20">
        <f>IF('Growth profile'!R180&gt;0,1,IF('Growth profile'!R283&gt;0,3,0))</f>
        <v>3</v>
      </c>
      <c r="T262" s="20">
        <f>IF('Growth profile'!S180&gt;0,1,IF('Growth profile'!S283&gt;0,3,0))</f>
        <v>3</v>
      </c>
      <c r="U262" s="20">
        <f>IF('Growth profile'!T180&gt;0,1,IF('Growth profile'!T283&gt;0,3,0))</f>
        <v>3</v>
      </c>
      <c r="V262" s="20">
        <f>IF('Growth profile'!U180&gt;0,1,IF('Growth profile'!U283&gt;0,3,0))</f>
        <v>3</v>
      </c>
      <c r="W262" s="20">
        <f>IF('Growth profile'!V180&gt;0,1,IF('Growth profile'!V283&gt;0,3,0))</f>
        <v>3</v>
      </c>
      <c r="X262" s="20">
        <f>IF('Growth profile'!W180&gt;0,1,IF('Growth profile'!W283&gt;0,3,0))</f>
        <v>3</v>
      </c>
      <c r="Y262" s="20">
        <f>IF('Growth profile'!X180&gt;0,1,IF('Growth profile'!X283&gt;0,3,0))</f>
        <v>3</v>
      </c>
      <c r="Z262" s="20">
        <f>IF('Growth profile'!Y180&gt;0,1,IF('Growth profile'!Y283&gt;0,3,0))</f>
        <v>3</v>
      </c>
      <c r="AA262" s="20">
        <f>IF('Growth profile'!Z180&gt;0,1,IF('Growth profile'!Z283&gt;0,3,0))</f>
        <v>3</v>
      </c>
      <c r="AB262" s="20">
        <f>IF('Growth profile'!AA180&gt;0,1,IF('Growth profile'!AA283&gt;0,3,0))</f>
        <v>3</v>
      </c>
      <c r="AC262" s="20">
        <f>IF('Growth profile'!AB180&gt;0,1,IF('Growth profile'!AB283&gt;0,3,0))</f>
        <v>3</v>
      </c>
      <c r="AD262" s="20">
        <f>IF('Growth profile'!AC180&gt;0,1,IF('Growth profile'!AC283&gt;0,3,0))</f>
        <v>3</v>
      </c>
      <c r="AE262" s="20">
        <f>IF('Growth profile'!AD180&gt;0,1,IF('Growth profile'!AD283&gt;0,3,0))</f>
        <v>3</v>
      </c>
      <c r="AF262" s="20">
        <f>IF('Growth profile'!AE180&gt;0,1,IF('Growth profile'!AE283&gt;0,3,0))</f>
        <v>3</v>
      </c>
      <c r="AG262" s="20">
        <f>IF('Growth profile'!AF180&gt;0,1,IF('Growth profile'!AF283&gt;0,3,0))</f>
        <v>3</v>
      </c>
      <c r="AH262" s="20">
        <f>IF('Growth profile'!AG180&gt;0,1,IF('Growth profile'!AG283&gt;0,3,0))</f>
        <v>3</v>
      </c>
      <c r="AI262" s="20">
        <f>IF('Growth profile'!AH180&gt;0,1,IF('Growth profile'!AH283&gt;0,3,0))</f>
        <v>3</v>
      </c>
      <c r="AJ262" s="20">
        <f>IF('Growth profile'!AI180&gt;0,1,IF('Growth profile'!AI283&gt;0,3,0))</f>
        <v>3</v>
      </c>
      <c r="AK262" s="20">
        <f>IF('Growth profile'!AJ180&gt;0,1,IF('Growth profile'!AJ283&gt;0,3,0))</f>
        <v>3</v>
      </c>
      <c r="AL262" s="20">
        <f>IF('Growth profile'!AK180&gt;0,1,IF('Growth profile'!AK283&gt;0,3,0))</f>
        <v>3</v>
      </c>
      <c r="AM262" s="20">
        <f>IF('Growth profile'!AL180&gt;0,1,IF('Growth profile'!AL283&gt;0,3,0))</f>
        <v>3</v>
      </c>
      <c r="AN262" s="20">
        <f>IF('Growth profile'!AM180&gt;0,1,IF('Growth profile'!AM283&gt;0,3,0))</f>
        <v>3</v>
      </c>
      <c r="AO262" s="20">
        <f>IF('Growth profile'!AN180&gt;0,1,IF('Growth profile'!AN283&gt;0,3,0))</f>
        <v>3</v>
      </c>
      <c r="AP262" s="20">
        <f>IF('Growth profile'!AO180&gt;0,1,IF('Growth profile'!AO283&gt;0,3,0))</f>
        <v>3</v>
      </c>
      <c r="AQ262" s="20">
        <f>IF('Growth profile'!AP180&gt;0,1,IF('Growth profile'!AP283&gt;0,3,0))</f>
        <v>3</v>
      </c>
      <c r="AR262" s="20">
        <f>IF('Growth profile'!AQ180&gt;0,1,IF('Growth profile'!AQ283&gt;0,3,0))</f>
        <v>3</v>
      </c>
      <c r="AS262" s="20">
        <f>IF('Growth profile'!AR180&gt;0,1,IF('Growth profile'!AR283&gt;0,3,0))</f>
        <v>3</v>
      </c>
      <c r="AT262" s="20">
        <f>IF('Growth profile'!AS180&gt;0,1,IF('Growth profile'!AS283&gt;0,3,0))</f>
        <v>3</v>
      </c>
      <c r="AU262" s="20">
        <f>IF('Growth profile'!AT180&gt;0,1,IF('Growth profile'!AT283&gt;0,3,0))</f>
        <v>3</v>
      </c>
      <c r="AV262" s="20">
        <f>IF('Growth profile'!AU180&gt;0,1,IF('Growth profile'!AU283&gt;0,3,0))</f>
        <v>3</v>
      </c>
      <c r="AW262" s="20">
        <f>IF('Growth profile'!AV180&gt;0,1,IF('Growth profile'!AV283&gt;0,3,0))</f>
        <v>3</v>
      </c>
      <c r="AX262" s="20">
        <f>IF('Growth profile'!AW180&gt;0,1,IF('Growth profile'!AW283&gt;0,3,0))</f>
        <v>3</v>
      </c>
      <c r="AY262" s="20">
        <f>IF('Growth profile'!AX180&gt;0,1,IF('Growth profile'!AX283&gt;0,3,0))</f>
        <v>3</v>
      </c>
      <c r="AZ262" s="20">
        <f>IF('Growth profile'!AY180&gt;0,1,IF('Growth profile'!AY283&gt;0,3,0))</f>
        <v>3</v>
      </c>
      <c r="BA262" s="20">
        <f>IF('Growth profile'!AZ180&gt;0,1,IF('Growth profile'!AZ283&gt;0,3,0))</f>
        <v>3</v>
      </c>
      <c r="BB262" s="20">
        <f>IF('Growth profile'!BA180&gt;0,1,IF('Growth profile'!BA283&gt;0,3,0))</f>
        <v>0</v>
      </c>
      <c r="BC262" s="20">
        <f>IF('Growth profile'!BB180&gt;0,1,IF('Growth profile'!BB283&gt;0,3,0))</f>
        <v>0</v>
      </c>
      <c r="BD262" s="20">
        <f>IF('Growth profile'!BC180&gt;0,1,IF('Growth profile'!BC283&gt;0,3,0))</f>
        <v>0</v>
      </c>
      <c r="BE262" s="20">
        <f>IF('Growth profile'!BD180&gt;0,1,IF('Growth profile'!BD283&gt;0,3,0))</f>
        <v>0</v>
      </c>
      <c r="BF262" s="20">
        <f>IF('Growth profile'!BE180&gt;0,1,IF('Growth profile'!BE283&gt;0,3,0))</f>
        <v>0</v>
      </c>
      <c r="BG262" s="20">
        <f>IF('Growth profile'!BF180&gt;0,1,IF('Growth profile'!BF283&gt;0,3,0))</f>
        <v>0</v>
      </c>
      <c r="BH262" s="20">
        <f>IF('Growth profile'!BG180&gt;0,1,IF('Growth profile'!BG283&gt;0,3,0))</f>
        <v>0</v>
      </c>
      <c r="BI262" s="20">
        <f>IF('Growth profile'!BH180&gt;0,1,IF('Growth profile'!BH283&gt;0,3,0))</f>
        <v>0</v>
      </c>
      <c r="BJ262" s="20">
        <f>IF('Growth profile'!BI180&gt;0,1,IF('Growth profile'!BI283&gt;0,3,0))</f>
        <v>0</v>
      </c>
      <c r="BK262" s="21">
        <f>IF('Growth profile'!BJ180&gt;0,1,IF('Growth profile'!BJ283&gt;0,3,0))</f>
        <v>0</v>
      </c>
    </row>
    <row r="263" spans="1:63" x14ac:dyDescent="0.3">
      <c r="B263" s="13" t="s">
        <v>59</v>
      </c>
      <c r="C263" s="19">
        <f>'Growth (no penalty)'!I72</f>
        <v>2043</v>
      </c>
      <c r="D263" s="22">
        <f>IF('Growth (no penalty)'!C180&gt;0,1,IF('Growth (no penalty)'!C283&gt;0,4,0))</f>
        <v>0</v>
      </c>
      <c r="E263" s="22">
        <f>IF('Growth (no penalty)'!D180&gt;0,1,IF('Growth (no penalty)'!D283&gt;0,4,0))</f>
        <v>0</v>
      </c>
      <c r="F263" s="22">
        <f>IF('Growth (no penalty)'!E180&gt;0,1,IF('Growth (no penalty)'!E283&gt;0,4,0))</f>
        <v>0</v>
      </c>
      <c r="G263" s="22">
        <f>IF('Growth (no penalty)'!F180&gt;0,1,IF('Growth (no penalty)'!F283&gt;0,4,0))</f>
        <v>0</v>
      </c>
      <c r="H263" s="22">
        <f>IF('Growth (no penalty)'!G180&gt;0,1,IF('Growth (no penalty)'!G283&gt;0,4,0))</f>
        <v>0</v>
      </c>
      <c r="I263" s="22">
        <f>IF('Growth (no penalty)'!H180&gt;0,1,IF('Growth (no penalty)'!H283&gt;0,4,0))</f>
        <v>0</v>
      </c>
      <c r="J263" s="22">
        <f>IF('Growth (no penalty)'!I180&gt;0,1,IF('Growth (no penalty)'!I283&gt;0,4,0))</f>
        <v>0</v>
      </c>
      <c r="K263" s="22">
        <f>IF('Growth (no penalty)'!J180&gt;0,1,IF('Growth (no penalty)'!J283&gt;0,4,0))</f>
        <v>0</v>
      </c>
      <c r="L263" s="22">
        <f>IF('Growth (no penalty)'!K180&gt;0,1,IF('Growth (no penalty)'!K283&gt;0,4,0))</f>
        <v>0</v>
      </c>
      <c r="M263" s="22">
        <f>IF('Growth (no penalty)'!L180&gt;0,1,IF('Growth (no penalty)'!L283&gt;0,4,0))</f>
        <v>0</v>
      </c>
      <c r="N263" s="22">
        <f>IF('Growth (no penalty)'!M180&gt;0,1,IF('Growth (no penalty)'!M283&gt;0,4,0))</f>
        <v>0</v>
      </c>
      <c r="O263" s="22">
        <f>IF('Growth (no penalty)'!N180&gt;0,1,IF('Growth (no penalty)'!N283&gt;0,4,0))</f>
        <v>0</v>
      </c>
      <c r="P263" s="22">
        <f>IF('Growth (no penalty)'!O180&gt;0,1,IF('Growth (no penalty)'!O283&gt;0,4,0))</f>
        <v>0</v>
      </c>
      <c r="Q263" s="22">
        <f>IF('Growth (no penalty)'!P180&gt;0,1,IF('Growth (no penalty)'!P283&gt;0,4,0))</f>
        <v>0</v>
      </c>
      <c r="R263" s="22">
        <f>IF('Growth (no penalty)'!Q180&gt;0,1,IF('Growth (no penalty)'!Q283&gt;0,4,0))</f>
        <v>0</v>
      </c>
      <c r="S263" s="22">
        <f>IF('Growth (no penalty)'!R180&gt;0,1,IF('Growth (no penalty)'!R283&gt;0,4,0))</f>
        <v>0</v>
      </c>
      <c r="T263" s="22">
        <f>IF('Growth (no penalty)'!S180&gt;0,1,IF('Growth (no penalty)'!S283&gt;0,4,0))</f>
        <v>0</v>
      </c>
      <c r="U263" s="22">
        <f>IF('Growth (no penalty)'!T180&gt;0,1,IF('Growth (no penalty)'!T283&gt;0,4,0))</f>
        <v>1</v>
      </c>
      <c r="V263" s="22">
        <f>IF('Growth (no penalty)'!U180&gt;0,1,IF('Growth (no penalty)'!U283&gt;0,4,0))</f>
        <v>1</v>
      </c>
      <c r="W263" s="22">
        <f>IF('Growth (no penalty)'!V180&gt;0,1,IF('Growth (no penalty)'!V283&gt;0,4,0))</f>
        <v>1</v>
      </c>
      <c r="X263" s="22">
        <f>IF('Growth (no penalty)'!W180&gt;0,1,IF('Growth (no penalty)'!W283&gt;0,4,0))</f>
        <v>4</v>
      </c>
      <c r="Y263" s="22">
        <f>IF('Growth (no penalty)'!X180&gt;0,1,IF('Growth (no penalty)'!X283&gt;0,4,0))</f>
        <v>4</v>
      </c>
      <c r="Z263" s="22">
        <f>IF('Growth (no penalty)'!Y180&gt;0,1,IF('Growth (no penalty)'!Y283&gt;0,4,0))</f>
        <v>4</v>
      </c>
      <c r="AA263" s="22">
        <f>IF('Growth (no penalty)'!Z180&gt;0,1,IF('Growth (no penalty)'!Z283&gt;0,4,0))</f>
        <v>4</v>
      </c>
      <c r="AB263" s="22">
        <f>IF('Growth (no penalty)'!AA180&gt;0,1,IF('Growth (no penalty)'!AA283&gt;0,4,0))</f>
        <v>4</v>
      </c>
      <c r="AC263" s="22">
        <f>IF('Growth (no penalty)'!AB180&gt;0,1,IF('Growth (no penalty)'!AB283&gt;0,4,0))</f>
        <v>4</v>
      </c>
      <c r="AD263" s="22">
        <f>IF('Growth (no penalty)'!AC180&gt;0,1,IF('Growth (no penalty)'!AC283&gt;0,4,0))</f>
        <v>4</v>
      </c>
      <c r="AE263" s="22">
        <f>IF('Growth (no penalty)'!AD180&gt;0,1,IF('Growth (no penalty)'!AD283&gt;0,4,0))</f>
        <v>4</v>
      </c>
      <c r="AF263" s="22">
        <f>IF('Growth (no penalty)'!AE180&gt;0,1,IF('Growth (no penalty)'!AE283&gt;0,4,0))</f>
        <v>4</v>
      </c>
      <c r="AG263" s="22">
        <f>IF('Growth (no penalty)'!AF180&gt;0,1,IF('Growth (no penalty)'!AF283&gt;0,4,0))</f>
        <v>4</v>
      </c>
      <c r="AH263" s="22">
        <f>IF('Growth (no penalty)'!AG180&gt;0,1,IF('Growth (no penalty)'!AG283&gt;0,4,0))</f>
        <v>4</v>
      </c>
      <c r="AI263" s="22">
        <f>IF('Growth (no penalty)'!AH180&gt;0,1,IF('Growth (no penalty)'!AH283&gt;0,4,0))</f>
        <v>4</v>
      </c>
      <c r="AJ263" s="22">
        <f>IF('Growth (no penalty)'!AI180&gt;0,1,IF('Growth (no penalty)'!AI283&gt;0,4,0))</f>
        <v>4</v>
      </c>
      <c r="AK263" s="22">
        <f>IF('Growth (no penalty)'!AJ180&gt;0,1,IF('Growth (no penalty)'!AJ283&gt;0,4,0))</f>
        <v>4</v>
      </c>
      <c r="AL263" s="22">
        <f>IF('Growth (no penalty)'!AK180&gt;0,1,IF('Growth (no penalty)'!AK283&gt;0,4,0))</f>
        <v>4</v>
      </c>
      <c r="AM263" s="22">
        <f>IF('Growth (no penalty)'!AL180&gt;0,1,IF('Growth (no penalty)'!AL283&gt;0,4,0))</f>
        <v>4</v>
      </c>
      <c r="AN263" s="22">
        <f>IF('Growth (no penalty)'!AM180&gt;0,1,IF('Growth (no penalty)'!AM283&gt;0,4,0))</f>
        <v>4</v>
      </c>
      <c r="AO263" s="22">
        <f>IF('Growth (no penalty)'!AN180&gt;0,1,IF('Growth (no penalty)'!AN283&gt;0,4,0))</f>
        <v>4</v>
      </c>
      <c r="AP263" s="22">
        <f>IF('Growth (no penalty)'!AO180&gt;0,1,IF('Growth (no penalty)'!AO283&gt;0,4,0))</f>
        <v>4</v>
      </c>
      <c r="AQ263" s="22">
        <f>IF('Growth (no penalty)'!AP180&gt;0,1,IF('Growth (no penalty)'!AP283&gt;0,4,0))</f>
        <v>4</v>
      </c>
      <c r="AR263" s="22">
        <f>IF('Growth (no penalty)'!AQ180&gt;0,1,IF('Growth (no penalty)'!AQ283&gt;0,4,0))</f>
        <v>4</v>
      </c>
      <c r="AS263" s="22">
        <f>IF('Growth (no penalty)'!AR180&gt;0,1,IF('Growth (no penalty)'!AR283&gt;0,4,0))</f>
        <v>4</v>
      </c>
      <c r="AT263" s="22">
        <f>IF('Growth (no penalty)'!AS180&gt;0,1,IF('Growth (no penalty)'!AS283&gt;0,4,0))</f>
        <v>4</v>
      </c>
      <c r="AU263" s="22">
        <f>IF('Growth (no penalty)'!AT180&gt;0,1,IF('Growth (no penalty)'!AT283&gt;0,4,0))</f>
        <v>4</v>
      </c>
      <c r="AV263" s="22">
        <f>IF('Growth (no penalty)'!AU180&gt;0,1,IF('Growth (no penalty)'!AU283&gt;0,4,0))</f>
        <v>4</v>
      </c>
      <c r="AW263" s="22">
        <f>IF('Growth (no penalty)'!AV180&gt;0,1,IF('Growth (no penalty)'!AV283&gt;0,4,0))</f>
        <v>4</v>
      </c>
      <c r="AX263" s="22">
        <f>IF('Growth (no penalty)'!AW180&gt;0,1,IF('Growth (no penalty)'!AW283&gt;0,4,0))</f>
        <v>4</v>
      </c>
      <c r="AY263" s="22">
        <f>IF('Growth (no penalty)'!AX180&gt;0,1,IF('Growth (no penalty)'!AX283&gt;0,4,0))</f>
        <v>4</v>
      </c>
      <c r="AZ263" s="22">
        <f>IF('Growth (no penalty)'!AY180&gt;0,1,IF('Growth (no penalty)'!AY283&gt;0,4,0))</f>
        <v>4</v>
      </c>
      <c r="BA263" s="22">
        <f>IF('Growth (no penalty)'!AZ180&gt;0,1,IF('Growth (no penalty)'!AZ283&gt;0,4,0))</f>
        <v>4</v>
      </c>
      <c r="BB263" s="22">
        <f>IF('Growth (no penalty)'!BA180&gt;0,1,IF('Growth (no penalty)'!BA283&gt;0,4,0))</f>
        <v>4</v>
      </c>
      <c r="BC263" s="22">
        <f>IF('Growth (no penalty)'!BB180&gt;0,1,IF('Growth (no penalty)'!BB283&gt;0,4,0))</f>
        <v>4</v>
      </c>
      <c r="BD263" s="22">
        <f>IF('Growth (no penalty)'!BC180&gt;0,1,IF('Growth (no penalty)'!BC283&gt;0,4,0))</f>
        <v>4</v>
      </c>
      <c r="BE263" s="22">
        <f>IF('Growth (no penalty)'!BD180&gt;0,1,IF('Growth (no penalty)'!BD283&gt;0,4,0))</f>
        <v>4</v>
      </c>
      <c r="BF263" s="22">
        <f>IF('Growth (no penalty)'!BE180&gt;0,1,IF('Growth (no penalty)'!BE283&gt;0,4,0))</f>
        <v>4</v>
      </c>
      <c r="BG263" s="22">
        <f>IF('Growth (no penalty)'!BF180&gt;0,1,IF('Growth (no penalty)'!BF283&gt;0,4,0))</f>
        <v>4</v>
      </c>
      <c r="BH263" s="22">
        <f>IF('Growth (no penalty)'!BG180&gt;0,1,IF('Growth (no penalty)'!BG283&gt;0,4,0))</f>
        <v>4</v>
      </c>
      <c r="BI263" s="22">
        <f>IF('Growth (no penalty)'!BH180&gt;0,1,IF('Growth (no penalty)'!BH283&gt;0,4,0))</f>
        <v>4</v>
      </c>
      <c r="BJ263" s="22">
        <f>IF('Growth (no penalty)'!BI180&gt;0,1,IF('Growth (no penalty)'!BI283&gt;0,4,0))</f>
        <v>4</v>
      </c>
      <c r="BK263" s="23">
        <f>IF('Growth (no penalty)'!BJ180&gt;0,1,IF('Growth (no penalty)'!BJ283&gt;0,4,0))</f>
        <v>4</v>
      </c>
    </row>
    <row r="264" spans="1:63" x14ac:dyDescent="0.3">
      <c r="A264" s="4" t="str">
        <f>'Growth profile'!A90</f>
        <v>project 142</v>
      </c>
      <c r="B264" s="13" t="s">
        <v>3</v>
      </c>
      <c r="C264" s="19">
        <f>'Raw profile'!I90</f>
        <v>2041</v>
      </c>
      <c r="D264" s="20">
        <f>IF('Raw profile'!C198&gt;0,1,IF('Raw profile'!C301&gt;0,2,0))</f>
        <v>0</v>
      </c>
      <c r="E264" s="20">
        <f>IF('Raw profile'!D198&gt;0,1,IF('Raw profile'!D301&gt;0,2,0))</f>
        <v>0</v>
      </c>
      <c r="F264" s="20">
        <f>IF('Raw profile'!E198&gt;0,1,IF('Raw profile'!E301&gt;0,2,0))</f>
        <v>0</v>
      </c>
      <c r="G264" s="20">
        <f>IF('Raw profile'!F198&gt;0,1,IF('Raw profile'!F301&gt;0,2,0))</f>
        <v>0</v>
      </c>
      <c r="H264" s="20">
        <f>IF('Raw profile'!G198&gt;0,1,IF('Raw profile'!G301&gt;0,2,0))</f>
        <v>0</v>
      </c>
      <c r="I264" s="20">
        <f>IF('Raw profile'!H198&gt;0,1,IF('Raw profile'!H301&gt;0,2,0))</f>
        <v>0</v>
      </c>
      <c r="J264" s="20">
        <f>IF('Raw profile'!I198&gt;0,1,IF('Raw profile'!I301&gt;0,2,0))</f>
        <v>0</v>
      </c>
      <c r="K264" s="20">
        <f>IF('Raw profile'!J198&gt;0,1,IF('Raw profile'!J301&gt;0,2,0))</f>
        <v>0</v>
      </c>
      <c r="L264" s="20">
        <f>IF('Raw profile'!K198&gt;0,1,IF('Raw profile'!K301&gt;0,2,0))</f>
        <v>0</v>
      </c>
      <c r="M264" s="20">
        <f>IF('Raw profile'!L198&gt;0,1,IF('Raw profile'!L301&gt;0,2,0))</f>
        <v>0</v>
      </c>
      <c r="N264" s="20">
        <f>IF('Raw profile'!M198&gt;0,1,IF('Raw profile'!M301&gt;0,2,0))</f>
        <v>0</v>
      </c>
      <c r="O264" s="20">
        <f>IF('Raw profile'!N198&gt;0,1,IF('Raw profile'!N301&gt;0,2,0))</f>
        <v>0</v>
      </c>
      <c r="P264" s="20">
        <f>IF('Raw profile'!O198&gt;0,1,IF('Raw profile'!O301&gt;0,2,0))</f>
        <v>0</v>
      </c>
      <c r="Q264" s="20">
        <f>IF('Raw profile'!P198&gt;0,1,IF('Raw profile'!P301&gt;0,2,0))</f>
        <v>0</v>
      </c>
      <c r="R264" s="20">
        <f>IF('Raw profile'!Q198&gt;0,1,IF('Raw profile'!Q301&gt;0,2,0))</f>
        <v>0</v>
      </c>
      <c r="S264" s="20">
        <f>IF('Raw profile'!R198&gt;0,1,IF('Raw profile'!R301&gt;0,2,0))</f>
        <v>1</v>
      </c>
      <c r="T264" s="20">
        <f>IF('Raw profile'!S198&gt;0,1,IF('Raw profile'!S301&gt;0,2,0))</f>
        <v>1</v>
      </c>
      <c r="U264" s="20">
        <f>IF('Raw profile'!T198&gt;0,1,IF('Raw profile'!T301&gt;0,2,0))</f>
        <v>1</v>
      </c>
      <c r="V264" s="20">
        <f>IF('Raw profile'!U198&gt;0,1,IF('Raw profile'!U301&gt;0,2,0))</f>
        <v>2</v>
      </c>
      <c r="W264" s="20">
        <f>IF('Raw profile'!V198&gt;0,1,IF('Raw profile'!V301&gt;0,2,0))</f>
        <v>2</v>
      </c>
      <c r="X264" s="20">
        <f>IF('Raw profile'!W198&gt;0,1,IF('Raw profile'!W301&gt;0,2,0))</f>
        <v>2</v>
      </c>
      <c r="Y264" s="20">
        <f>IF('Raw profile'!X198&gt;0,1,IF('Raw profile'!X301&gt;0,2,0))</f>
        <v>2</v>
      </c>
      <c r="Z264" s="20">
        <f>IF('Raw profile'!Y198&gt;0,1,IF('Raw profile'!Y301&gt;0,2,0))</f>
        <v>2</v>
      </c>
      <c r="AA264" s="20">
        <f>IF('Raw profile'!Z198&gt;0,1,IF('Raw profile'!Z301&gt;0,2,0))</f>
        <v>2</v>
      </c>
      <c r="AB264" s="20">
        <f>IF('Raw profile'!AA198&gt;0,1,IF('Raw profile'!AA301&gt;0,2,0))</f>
        <v>2</v>
      </c>
      <c r="AC264" s="20">
        <f>IF('Raw profile'!AB198&gt;0,1,IF('Raw profile'!AB301&gt;0,2,0))</f>
        <v>2</v>
      </c>
      <c r="AD264" s="20">
        <f>IF('Raw profile'!AC198&gt;0,1,IF('Raw profile'!AC301&gt;0,2,0))</f>
        <v>2</v>
      </c>
      <c r="AE264" s="20">
        <f>IF('Raw profile'!AD198&gt;0,1,IF('Raw profile'!AD301&gt;0,2,0))</f>
        <v>2</v>
      </c>
      <c r="AF264" s="20">
        <f>IF('Raw profile'!AE198&gt;0,1,IF('Raw profile'!AE301&gt;0,2,0))</f>
        <v>2</v>
      </c>
      <c r="AG264" s="20">
        <f>IF('Raw profile'!AF198&gt;0,1,IF('Raw profile'!AF301&gt;0,2,0))</f>
        <v>2</v>
      </c>
      <c r="AH264" s="20">
        <f>IF('Raw profile'!AG198&gt;0,1,IF('Raw profile'!AG301&gt;0,2,0))</f>
        <v>2</v>
      </c>
      <c r="AI264" s="20">
        <f>IF('Raw profile'!AH198&gt;0,1,IF('Raw profile'!AH301&gt;0,2,0))</f>
        <v>2</v>
      </c>
      <c r="AJ264" s="20">
        <f>IF('Raw profile'!AI198&gt;0,1,IF('Raw profile'!AI301&gt;0,2,0))</f>
        <v>2</v>
      </c>
      <c r="AK264" s="20">
        <f>IF('Raw profile'!AJ198&gt;0,1,IF('Raw profile'!AJ301&gt;0,2,0))</f>
        <v>2</v>
      </c>
      <c r="AL264" s="20">
        <f>IF('Raw profile'!AK198&gt;0,1,IF('Raw profile'!AK301&gt;0,2,0))</f>
        <v>2</v>
      </c>
      <c r="AM264" s="20">
        <f>IF('Raw profile'!AL198&gt;0,1,IF('Raw profile'!AL301&gt;0,2,0))</f>
        <v>2</v>
      </c>
      <c r="AN264" s="20">
        <f>IF('Raw profile'!AM198&gt;0,1,IF('Raw profile'!AM301&gt;0,2,0))</f>
        <v>2</v>
      </c>
      <c r="AO264" s="20">
        <f>IF('Raw profile'!AN198&gt;0,1,IF('Raw profile'!AN301&gt;0,2,0))</f>
        <v>2</v>
      </c>
      <c r="AP264" s="20">
        <f>IF('Raw profile'!AO198&gt;0,1,IF('Raw profile'!AO301&gt;0,2,0))</f>
        <v>2</v>
      </c>
      <c r="AQ264" s="20">
        <f>IF('Raw profile'!AP198&gt;0,1,IF('Raw profile'!AP301&gt;0,2,0))</f>
        <v>2</v>
      </c>
      <c r="AR264" s="20">
        <f>IF('Raw profile'!AQ198&gt;0,1,IF('Raw profile'!AQ301&gt;0,2,0))</f>
        <v>2</v>
      </c>
      <c r="AS264" s="20">
        <f>IF('Raw profile'!AR198&gt;0,1,IF('Raw profile'!AR301&gt;0,2,0))</f>
        <v>2</v>
      </c>
      <c r="AT264" s="20">
        <f>IF('Raw profile'!AS198&gt;0,1,IF('Raw profile'!AS301&gt;0,2,0))</f>
        <v>2</v>
      </c>
      <c r="AU264" s="20">
        <f>IF('Raw profile'!AT198&gt;0,1,IF('Raw profile'!AT301&gt;0,2,0))</f>
        <v>2</v>
      </c>
      <c r="AV264" s="20">
        <f>IF('Raw profile'!AU198&gt;0,1,IF('Raw profile'!AU301&gt;0,2,0))</f>
        <v>2</v>
      </c>
      <c r="AW264" s="20">
        <f>IF('Raw profile'!AV198&gt;0,1,IF('Raw profile'!AV301&gt;0,2,0))</f>
        <v>2</v>
      </c>
      <c r="AX264" s="20">
        <f>IF('Raw profile'!AW198&gt;0,1,IF('Raw profile'!AW301&gt;0,2,0))</f>
        <v>2</v>
      </c>
      <c r="AY264" s="20">
        <f>IF('Raw profile'!AX198&gt;0,1,IF('Raw profile'!AX301&gt;0,2,0))</f>
        <v>2</v>
      </c>
      <c r="AZ264" s="20">
        <f>IF('Raw profile'!AY198&gt;0,1,IF('Raw profile'!AY301&gt;0,2,0))</f>
        <v>2</v>
      </c>
      <c r="BA264" s="20">
        <f>IF('Raw profile'!AZ198&gt;0,1,IF('Raw profile'!AZ301&gt;0,2,0))</f>
        <v>2</v>
      </c>
      <c r="BB264" s="20">
        <f>IF('Raw profile'!BA198&gt;0,1,IF('Raw profile'!BA301&gt;0,2,0))</f>
        <v>2</v>
      </c>
      <c r="BC264" s="20">
        <f>IF('Raw profile'!BB198&gt;0,1,IF('Raw profile'!BB301&gt;0,2,0))</f>
        <v>2</v>
      </c>
      <c r="BD264" s="20">
        <f>IF('Raw profile'!BC198&gt;0,1,IF('Raw profile'!BC301&gt;0,2,0))</f>
        <v>2</v>
      </c>
      <c r="BE264" s="20">
        <f>IF('Raw profile'!BD198&gt;0,1,IF('Raw profile'!BD301&gt;0,2,0))</f>
        <v>2</v>
      </c>
      <c r="BF264" s="20">
        <f>IF('Raw profile'!BE198&gt;0,1,IF('Raw profile'!BE301&gt;0,2,0))</f>
        <v>2</v>
      </c>
      <c r="BG264" s="20">
        <f>IF('Raw profile'!BF198&gt;0,1,IF('Raw profile'!BF301&gt;0,2,0))</f>
        <v>2</v>
      </c>
      <c r="BH264" s="20">
        <f>IF('Raw profile'!BG198&gt;0,1,IF('Raw profile'!BG301&gt;0,2,0))</f>
        <v>2</v>
      </c>
      <c r="BI264" s="20">
        <f>IF('Raw profile'!BH198&gt;0,1,IF('Raw profile'!BH301&gt;0,2,0))</f>
        <v>2</v>
      </c>
      <c r="BJ264" s="20">
        <f>IF('Raw profile'!BI198&gt;0,1,IF('Raw profile'!BI301&gt;0,2,0))</f>
        <v>0</v>
      </c>
      <c r="BK264" s="21">
        <f>IF('Raw profile'!BJ198&gt;0,1,IF('Raw profile'!BJ301&gt;0,2,0))</f>
        <v>0</v>
      </c>
    </row>
    <row r="265" spans="1:63" x14ac:dyDescent="0.3">
      <c r="B265" s="13" t="s">
        <v>4</v>
      </c>
      <c r="C265" s="19">
        <f>'Growth profile'!I90</f>
        <v>2033</v>
      </c>
      <c r="D265" s="20">
        <f>IF('Growth profile'!C198&gt;0,1,IF('Growth profile'!C301&gt;0,3,0))</f>
        <v>0</v>
      </c>
      <c r="E265" s="20">
        <f>IF('Growth profile'!D198&gt;0,1,IF('Growth profile'!D301&gt;0,3,0))</f>
        <v>0</v>
      </c>
      <c r="F265" s="20">
        <f>IF('Growth profile'!E198&gt;0,1,IF('Growth profile'!E301&gt;0,3,0))</f>
        <v>0</v>
      </c>
      <c r="G265" s="20">
        <f>IF('Growth profile'!F198&gt;0,1,IF('Growth profile'!F301&gt;0,3,0))</f>
        <v>0</v>
      </c>
      <c r="H265" s="20">
        <f>IF('Growth profile'!G198&gt;0,1,IF('Growth profile'!G301&gt;0,3,0))</f>
        <v>0</v>
      </c>
      <c r="I265" s="20">
        <f>IF('Growth profile'!H198&gt;0,1,IF('Growth profile'!H301&gt;0,3,0))</f>
        <v>0</v>
      </c>
      <c r="J265" s="20">
        <f>IF('Growth profile'!I198&gt;0,1,IF('Growth profile'!I301&gt;0,3,0))</f>
        <v>0</v>
      </c>
      <c r="K265" s="20">
        <f>IF('Growth profile'!J198&gt;0,1,IF('Growth profile'!J301&gt;0,3,0))</f>
        <v>1</v>
      </c>
      <c r="L265" s="20">
        <f>IF('Growth profile'!K198&gt;0,1,IF('Growth profile'!K301&gt;0,3,0))</f>
        <v>1</v>
      </c>
      <c r="M265" s="20">
        <f>IF('Growth profile'!L198&gt;0,1,IF('Growth profile'!L301&gt;0,3,0))</f>
        <v>1</v>
      </c>
      <c r="N265" s="20">
        <f>IF('Growth profile'!M198&gt;0,1,IF('Growth profile'!M301&gt;0,3,0))</f>
        <v>3</v>
      </c>
      <c r="O265" s="20">
        <f>IF('Growth profile'!N198&gt;0,1,IF('Growth profile'!N301&gt;0,3,0))</f>
        <v>3</v>
      </c>
      <c r="P265" s="20">
        <f>IF('Growth profile'!O198&gt;0,1,IF('Growth profile'!O301&gt;0,3,0))</f>
        <v>3</v>
      </c>
      <c r="Q265" s="20">
        <f>IF('Growth profile'!P198&gt;0,1,IF('Growth profile'!P301&gt;0,3,0))</f>
        <v>3</v>
      </c>
      <c r="R265" s="20">
        <f>IF('Growth profile'!Q198&gt;0,1,IF('Growth profile'!Q301&gt;0,3,0))</f>
        <v>3</v>
      </c>
      <c r="S265" s="20">
        <f>IF('Growth profile'!R198&gt;0,1,IF('Growth profile'!R301&gt;0,3,0))</f>
        <v>3</v>
      </c>
      <c r="T265" s="20">
        <f>IF('Growth profile'!S198&gt;0,1,IF('Growth profile'!S301&gt;0,3,0))</f>
        <v>3</v>
      </c>
      <c r="U265" s="20">
        <f>IF('Growth profile'!T198&gt;0,1,IF('Growth profile'!T301&gt;0,3,0))</f>
        <v>3</v>
      </c>
      <c r="V265" s="20">
        <f>IF('Growth profile'!U198&gt;0,1,IF('Growth profile'!U301&gt;0,3,0))</f>
        <v>3</v>
      </c>
      <c r="W265" s="20">
        <f>IF('Growth profile'!V198&gt;0,1,IF('Growth profile'!V301&gt;0,3,0))</f>
        <v>3</v>
      </c>
      <c r="X265" s="20">
        <f>IF('Growth profile'!W198&gt;0,1,IF('Growth profile'!W301&gt;0,3,0))</f>
        <v>3</v>
      </c>
      <c r="Y265" s="20">
        <f>IF('Growth profile'!X198&gt;0,1,IF('Growth profile'!X301&gt;0,3,0))</f>
        <v>3</v>
      </c>
      <c r="Z265" s="20">
        <f>IF('Growth profile'!Y198&gt;0,1,IF('Growth profile'!Y301&gt;0,3,0))</f>
        <v>3</v>
      </c>
      <c r="AA265" s="20">
        <f>IF('Growth profile'!Z198&gt;0,1,IF('Growth profile'!Z301&gt;0,3,0))</f>
        <v>3</v>
      </c>
      <c r="AB265" s="20">
        <f>IF('Growth profile'!AA198&gt;0,1,IF('Growth profile'!AA301&gt;0,3,0))</f>
        <v>3</v>
      </c>
      <c r="AC265" s="20">
        <f>IF('Growth profile'!AB198&gt;0,1,IF('Growth profile'!AB301&gt;0,3,0))</f>
        <v>3</v>
      </c>
      <c r="AD265" s="20">
        <f>IF('Growth profile'!AC198&gt;0,1,IF('Growth profile'!AC301&gt;0,3,0))</f>
        <v>3</v>
      </c>
      <c r="AE265" s="20">
        <f>IF('Growth profile'!AD198&gt;0,1,IF('Growth profile'!AD301&gt;0,3,0))</f>
        <v>3</v>
      </c>
      <c r="AF265" s="20">
        <f>IF('Growth profile'!AE198&gt;0,1,IF('Growth profile'!AE301&gt;0,3,0))</f>
        <v>3</v>
      </c>
      <c r="AG265" s="20">
        <f>IF('Growth profile'!AF198&gt;0,1,IF('Growth profile'!AF301&gt;0,3,0))</f>
        <v>3</v>
      </c>
      <c r="AH265" s="20">
        <f>IF('Growth profile'!AG198&gt;0,1,IF('Growth profile'!AG301&gt;0,3,0))</f>
        <v>3</v>
      </c>
      <c r="AI265" s="20">
        <f>IF('Growth profile'!AH198&gt;0,1,IF('Growth profile'!AH301&gt;0,3,0))</f>
        <v>3</v>
      </c>
      <c r="AJ265" s="20">
        <f>IF('Growth profile'!AI198&gt;0,1,IF('Growth profile'!AI301&gt;0,3,0))</f>
        <v>3</v>
      </c>
      <c r="AK265" s="20">
        <f>IF('Growth profile'!AJ198&gt;0,1,IF('Growth profile'!AJ301&gt;0,3,0))</f>
        <v>3</v>
      </c>
      <c r="AL265" s="20">
        <f>IF('Growth profile'!AK198&gt;0,1,IF('Growth profile'!AK301&gt;0,3,0))</f>
        <v>3</v>
      </c>
      <c r="AM265" s="20">
        <f>IF('Growth profile'!AL198&gt;0,1,IF('Growth profile'!AL301&gt;0,3,0))</f>
        <v>3</v>
      </c>
      <c r="AN265" s="20">
        <f>IF('Growth profile'!AM198&gt;0,1,IF('Growth profile'!AM301&gt;0,3,0))</f>
        <v>3</v>
      </c>
      <c r="AO265" s="20">
        <f>IF('Growth profile'!AN198&gt;0,1,IF('Growth profile'!AN301&gt;0,3,0))</f>
        <v>3</v>
      </c>
      <c r="AP265" s="20">
        <f>IF('Growth profile'!AO198&gt;0,1,IF('Growth profile'!AO301&gt;0,3,0))</f>
        <v>3</v>
      </c>
      <c r="AQ265" s="20">
        <f>IF('Growth profile'!AP198&gt;0,1,IF('Growth profile'!AP301&gt;0,3,0))</f>
        <v>3</v>
      </c>
      <c r="AR265" s="20">
        <f>IF('Growth profile'!AQ198&gt;0,1,IF('Growth profile'!AQ301&gt;0,3,0))</f>
        <v>3</v>
      </c>
      <c r="AS265" s="20">
        <f>IF('Growth profile'!AR198&gt;0,1,IF('Growth profile'!AR301&gt;0,3,0))</f>
        <v>3</v>
      </c>
      <c r="AT265" s="20">
        <f>IF('Growth profile'!AS198&gt;0,1,IF('Growth profile'!AS301&gt;0,3,0))</f>
        <v>3</v>
      </c>
      <c r="AU265" s="20">
        <f>IF('Growth profile'!AT198&gt;0,1,IF('Growth profile'!AT301&gt;0,3,0))</f>
        <v>3</v>
      </c>
      <c r="AV265" s="20">
        <f>IF('Growth profile'!AU198&gt;0,1,IF('Growth profile'!AU301&gt;0,3,0))</f>
        <v>3</v>
      </c>
      <c r="AW265" s="20">
        <f>IF('Growth profile'!AV198&gt;0,1,IF('Growth profile'!AV301&gt;0,3,0))</f>
        <v>3</v>
      </c>
      <c r="AX265" s="20">
        <f>IF('Growth profile'!AW198&gt;0,1,IF('Growth profile'!AW301&gt;0,3,0))</f>
        <v>3</v>
      </c>
      <c r="AY265" s="20">
        <f>IF('Growth profile'!AX198&gt;0,1,IF('Growth profile'!AX301&gt;0,3,0))</f>
        <v>3</v>
      </c>
      <c r="AZ265" s="20">
        <f>IF('Growth profile'!AY198&gt;0,1,IF('Growth profile'!AY301&gt;0,3,0))</f>
        <v>3</v>
      </c>
      <c r="BA265" s="20">
        <f>IF('Growth profile'!AZ198&gt;0,1,IF('Growth profile'!AZ301&gt;0,3,0))</f>
        <v>3</v>
      </c>
      <c r="BB265" s="20">
        <f>IF('Growth profile'!BA198&gt;0,1,IF('Growth profile'!BA301&gt;0,3,0))</f>
        <v>0</v>
      </c>
      <c r="BC265" s="20">
        <f>IF('Growth profile'!BB198&gt;0,1,IF('Growth profile'!BB301&gt;0,3,0))</f>
        <v>0</v>
      </c>
      <c r="BD265" s="20">
        <f>IF('Growth profile'!BC198&gt;0,1,IF('Growth profile'!BC301&gt;0,3,0))</f>
        <v>0</v>
      </c>
      <c r="BE265" s="20">
        <f>IF('Growth profile'!BD198&gt;0,1,IF('Growth profile'!BD301&gt;0,3,0))</f>
        <v>0</v>
      </c>
      <c r="BF265" s="20">
        <f>IF('Growth profile'!BE198&gt;0,1,IF('Growth profile'!BE301&gt;0,3,0))</f>
        <v>0</v>
      </c>
      <c r="BG265" s="20">
        <f>IF('Growth profile'!BF198&gt;0,1,IF('Growth profile'!BF301&gt;0,3,0))</f>
        <v>0</v>
      </c>
      <c r="BH265" s="20">
        <f>IF('Growth profile'!BG198&gt;0,1,IF('Growth profile'!BG301&gt;0,3,0))</f>
        <v>0</v>
      </c>
      <c r="BI265" s="20">
        <f>IF('Growth profile'!BH198&gt;0,1,IF('Growth profile'!BH301&gt;0,3,0))</f>
        <v>0</v>
      </c>
      <c r="BJ265" s="20">
        <f>IF('Growth profile'!BI198&gt;0,1,IF('Growth profile'!BI301&gt;0,3,0))</f>
        <v>0</v>
      </c>
      <c r="BK265" s="21">
        <f>IF('Growth profile'!BJ198&gt;0,1,IF('Growth profile'!BJ301&gt;0,3,0))</f>
        <v>0</v>
      </c>
    </row>
    <row r="266" spans="1:63" x14ac:dyDescent="0.3">
      <c r="B266" s="13" t="s">
        <v>59</v>
      </c>
      <c r="C266" s="19">
        <f>'Growth (no penalty)'!I90</f>
        <v>2043</v>
      </c>
      <c r="D266" s="22">
        <f>IF('Growth (no penalty)'!C198&gt;0,1,IF('Growth (no penalty)'!C301&gt;0,4,0))</f>
        <v>0</v>
      </c>
      <c r="E266" s="22">
        <f>IF('Growth (no penalty)'!D198&gt;0,1,IF('Growth (no penalty)'!D301&gt;0,4,0))</f>
        <v>0</v>
      </c>
      <c r="F266" s="22">
        <f>IF('Growth (no penalty)'!E198&gt;0,1,IF('Growth (no penalty)'!E301&gt;0,4,0))</f>
        <v>0</v>
      </c>
      <c r="G266" s="22">
        <f>IF('Growth (no penalty)'!F198&gt;0,1,IF('Growth (no penalty)'!F301&gt;0,4,0))</f>
        <v>0</v>
      </c>
      <c r="H266" s="22">
        <f>IF('Growth (no penalty)'!G198&gt;0,1,IF('Growth (no penalty)'!G301&gt;0,4,0))</f>
        <v>0</v>
      </c>
      <c r="I266" s="22">
        <f>IF('Growth (no penalty)'!H198&gt;0,1,IF('Growth (no penalty)'!H301&gt;0,4,0))</f>
        <v>0</v>
      </c>
      <c r="J266" s="22">
        <f>IF('Growth (no penalty)'!I198&gt;0,1,IF('Growth (no penalty)'!I301&gt;0,4,0))</f>
        <v>0</v>
      </c>
      <c r="K266" s="22">
        <f>IF('Growth (no penalty)'!J198&gt;0,1,IF('Growth (no penalty)'!J301&gt;0,4,0))</f>
        <v>0</v>
      </c>
      <c r="L266" s="22">
        <f>IF('Growth (no penalty)'!K198&gt;0,1,IF('Growth (no penalty)'!K301&gt;0,4,0))</f>
        <v>0</v>
      </c>
      <c r="M266" s="22">
        <f>IF('Growth (no penalty)'!L198&gt;0,1,IF('Growth (no penalty)'!L301&gt;0,4,0))</f>
        <v>0</v>
      </c>
      <c r="N266" s="22">
        <f>IF('Growth (no penalty)'!M198&gt;0,1,IF('Growth (no penalty)'!M301&gt;0,4,0))</f>
        <v>0</v>
      </c>
      <c r="O266" s="22">
        <f>IF('Growth (no penalty)'!N198&gt;0,1,IF('Growth (no penalty)'!N301&gt;0,4,0))</f>
        <v>0</v>
      </c>
      <c r="P266" s="22">
        <f>IF('Growth (no penalty)'!O198&gt;0,1,IF('Growth (no penalty)'!O301&gt;0,4,0))</f>
        <v>0</v>
      </c>
      <c r="Q266" s="22">
        <f>IF('Growth (no penalty)'!P198&gt;0,1,IF('Growth (no penalty)'!P301&gt;0,4,0))</f>
        <v>0</v>
      </c>
      <c r="R266" s="22">
        <f>IF('Growth (no penalty)'!Q198&gt;0,1,IF('Growth (no penalty)'!Q301&gt;0,4,0))</f>
        <v>0</v>
      </c>
      <c r="S266" s="22">
        <f>IF('Growth (no penalty)'!R198&gt;0,1,IF('Growth (no penalty)'!R301&gt;0,4,0))</f>
        <v>0</v>
      </c>
      <c r="T266" s="22">
        <f>IF('Growth (no penalty)'!S198&gt;0,1,IF('Growth (no penalty)'!S301&gt;0,4,0))</f>
        <v>0</v>
      </c>
      <c r="U266" s="22">
        <f>IF('Growth (no penalty)'!T198&gt;0,1,IF('Growth (no penalty)'!T301&gt;0,4,0))</f>
        <v>1</v>
      </c>
      <c r="V266" s="22">
        <f>IF('Growth (no penalty)'!U198&gt;0,1,IF('Growth (no penalty)'!U301&gt;0,4,0))</f>
        <v>1</v>
      </c>
      <c r="W266" s="22">
        <f>IF('Growth (no penalty)'!V198&gt;0,1,IF('Growth (no penalty)'!V301&gt;0,4,0))</f>
        <v>1</v>
      </c>
      <c r="X266" s="22">
        <f>IF('Growth (no penalty)'!W198&gt;0,1,IF('Growth (no penalty)'!W301&gt;0,4,0))</f>
        <v>4</v>
      </c>
      <c r="Y266" s="22">
        <f>IF('Growth (no penalty)'!X198&gt;0,1,IF('Growth (no penalty)'!X301&gt;0,4,0))</f>
        <v>4</v>
      </c>
      <c r="Z266" s="22">
        <f>IF('Growth (no penalty)'!Y198&gt;0,1,IF('Growth (no penalty)'!Y301&gt;0,4,0))</f>
        <v>4</v>
      </c>
      <c r="AA266" s="22">
        <f>IF('Growth (no penalty)'!Z198&gt;0,1,IF('Growth (no penalty)'!Z301&gt;0,4,0))</f>
        <v>4</v>
      </c>
      <c r="AB266" s="22">
        <f>IF('Growth (no penalty)'!AA198&gt;0,1,IF('Growth (no penalty)'!AA301&gt;0,4,0))</f>
        <v>4</v>
      </c>
      <c r="AC266" s="22">
        <f>IF('Growth (no penalty)'!AB198&gt;0,1,IF('Growth (no penalty)'!AB301&gt;0,4,0))</f>
        <v>4</v>
      </c>
      <c r="AD266" s="22">
        <f>IF('Growth (no penalty)'!AC198&gt;0,1,IF('Growth (no penalty)'!AC301&gt;0,4,0))</f>
        <v>4</v>
      </c>
      <c r="AE266" s="22">
        <f>IF('Growth (no penalty)'!AD198&gt;0,1,IF('Growth (no penalty)'!AD301&gt;0,4,0))</f>
        <v>4</v>
      </c>
      <c r="AF266" s="22">
        <f>IF('Growth (no penalty)'!AE198&gt;0,1,IF('Growth (no penalty)'!AE301&gt;0,4,0))</f>
        <v>4</v>
      </c>
      <c r="AG266" s="22">
        <f>IF('Growth (no penalty)'!AF198&gt;0,1,IF('Growth (no penalty)'!AF301&gt;0,4,0))</f>
        <v>4</v>
      </c>
      <c r="AH266" s="22">
        <f>IF('Growth (no penalty)'!AG198&gt;0,1,IF('Growth (no penalty)'!AG301&gt;0,4,0))</f>
        <v>4</v>
      </c>
      <c r="AI266" s="22">
        <f>IF('Growth (no penalty)'!AH198&gt;0,1,IF('Growth (no penalty)'!AH301&gt;0,4,0))</f>
        <v>4</v>
      </c>
      <c r="AJ266" s="22">
        <f>IF('Growth (no penalty)'!AI198&gt;0,1,IF('Growth (no penalty)'!AI301&gt;0,4,0))</f>
        <v>4</v>
      </c>
      <c r="AK266" s="22">
        <f>IF('Growth (no penalty)'!AJ198&gt;0,1,IF('Growth (no penalty)'!AJ301&gt;0,4,0))</f>
        <v>4</v>
      </c>
      <c r="AL266" s="22">
        <f>IF('Growth (no penalty)'!AK198&gt;0,1,IF('Growth (no penalty)'!AK301&gt;0,4,0))</f>
        <v>4</v>
      </c>
      <c r="AM266" s="22">
        <f>IF('Growth (no penalty)'!AL198&gt;0,1,IF('Growth (no penalty)'!AL301&gt;0,4,0))</f>
        <v>4</v>
      </c>
      <c r="AN266" s="22">
        <f>IF('Growth (no penalty)'!AM198&gt;0,1,IF('Growth (no penalty)'!AM301&gt;0,4,0))</f>
        <v>4</v>
      </c>
      <c r="AO266" s="22">
        <f>IF('Growth (no penalty)'!AN198&gt;0,1,IF('Growth (no penalty)'!AN301&gt;0,4,0))</f>
        <v>4</v>
      </c>
      <c r="AP266" s="22">
        <f>IF('Growth (no penalty)'!AO198&gt;0,1,IF('Growth (no penalty)'!AO301&gt;0,4,0))</f>
        <v>4</v>
      </c>
      <c r="AQ266" s="22">
        <f>IF('Growth (no penalty)'!AP198&gt;0,1,IF('Growth (no penalty)'!AP301&gt;0,4,0))</f>
        <v>4</v>
      </c>
      <c r="AR266" s="22">
        <f>IF('Growth (no penalty)'!AQ198&gt;0,1,IF('Growth (no penalty)'!AQ301&gt;0,4,0))</f>
        <v>4</v>
      </c>
      <c r="AS266" s="22">
        <f>IF('Growth (no penalty)'!AR198&gt;0,1,IF('Growth (no penalty)'!AR301&gt;0,4,0))</f>
        <v>4</v>
      </c>
      <c r="AT266" s="22">
        <f>IF('Growth (no penalty)'!AS198&gt;0,1,IF('Growth (no penalty)'!AS301&gt;0,4,0))</f>
        <v>4</v>
      </c>
      <c r="AU266" s="22">
        <f>IF('Growth (no penalty)'!AT198&gt;0,1,IF('Growth (no penalty)'!AT301&gt;0,4,0))</f>
        <v>4</v>
      </c>
      <c r="AV266" s="22">
        <f>IF('Growth (no penalty)'!AU198&gt;0,1,IF('Growth (no penalty)'!AU301&gt;0,4,0))</f>
        <v>4</v>
      </c>
      <c r="AW266" s="22">
        <f>IF('Growth (no penalty)'!AV198&gt;0,1,IF('Growth (no penalty)'!AV301&gt;0,4,0))</f>
        <v>4</v>
      </c>
      <c r="AX266" s="22">
        <f>IF('Growth (no penalty)'!AW198&gt;0,1,IF('Growth (no penalty)'!AW301&gt;0,4,0))</f>
        <v>4</v>
      </c>
      <c r="AY266" s="22">
        <f>IF('Growth (no penalty)'!AX198&gt;0,1,IF('Growth (no penalty)'!AX301&gt;0,4,0))</f>
        <v>4</v>
      </c>
      <c r="AZ266" s="22">
        <f>IF('Growth (no penalty)'!AY198&gt;0,1,IF('Growth (no penalty)'!AY301&gt;0,4,0))</f>
        <v>4</v>
      </c>
      <c r="BA266" s="22">
        <f>IF('Growth (no penalty)'!AZ198&gt;0,1,IF('Growth (no penalty)'!AZ301&gt;0,4,0))</f>
        <v>4</v>
      </c>
      <c r="BB266" s="22">
        <f>IF('Growth (no penalty)'!BA198&gt;0,1,IF('Growth (no penalty)'!BA301&gt;0,4,0))</f>
        <v>4</v>
      </c>
      <c r="BC266" s="22">
        <f>IF('Growth (no penalty)'!BB198&gt;0,1,IF('Growth (no penalty)'!BB301&gt;0,4,0))</f>
        <v>4</v>
      </c>
      <c r="BD266" s="22">
        <f>IF('Growth (no penalty)'!BC198&gt;0,1,IF('Growth (no penalty)'!BC301&gt;0,4,0))</f>
        <v>4</v>
      </c>
      <c r="BE266" s="22">
        <f>IF('Growth (no penalty)'!BD198&gt;0,1,IF('Growth (no penalty)'!BD301&gt;0,4,0))</f>
        <v>4</v>
      </c>
      <c r="BF266" s="22">
        <f>IF('Growth (no penalty)'!BE198&gt;0,1,IF('Growth (no penalty)'!BE301&gt;0,4,0))</f>
        <v>4</v>
      </c>
      <c r="BG266" s="22">
        <f>IF('Growth (no penalty)'!BF198&gt;0,1,IF('Growth (no penalty)'!BF301&gt;0,4,0))</f>
        <v>4</v>
      </c>
      <c r="BH266" s="22">
        <f>IF('Growth (no penalty)'!BG198&gt;0,1,IF('Growth (no penalty)'!BG301&gt;0,4,0))</f>
        <v>4</v>
      </c>
      <c r="BI266" s="22">
        <f>IF('Growth (no penalty)'!BH198&gt;0,1,IF('Growth (no penalty)'!BH301&gt;0,4,0))</f>
        <v>4</v>
      </c>
      <c r="BJ266" s="22">
        <f>IF('Growth (no penalty)'!BI198&gt;0,1,IF('Growth (no penalty)'!BI301&gt;0,4,0))</f>
        <v>4</v>
      </c>
      <c r="BK266" s="23">
        <f>IF('Growth (no penalty)'!BJ198&gt;0,1,IF('Growth (no penalty)'!BJ301&gt;0,4,0))</f>
        <v>4</v>
      </c>
    </row>
    <row r="267" spans="1:63" x14ac:dyDescent="0.3">
      <c r="A267" s="4" t="str">
        <f>'Growth profile'!A58</f>
        <v>project 61</v>
      </c>
      <c r="B267" s="13" t="s">
        <v>3</v>
      </c>
      <c r="C267" s="19">
        <f>'Raw profile'!I58</f>
        <v>2041</v>
      </c>
      <c r="D267" s="20">
        <f>IF('Raw profile'!C166&gt;0,1,IF('Raw profile'!C269&gt;0,2,0))</f>
        <v>0</v>
      </c>
      <c r="E267" s="20">
        <f>IF('Raw profile'!D166&gt;0,1,IF('Raw profile'!D269&gt;0,2,0))</f>
        <v>0</v>
      </c>
      <c r="F267" s="20">
        <f>IF('Raw profile'!E166&gt;0,1,IF('Raw profile'!E269&gt;0,2,0))</f>
        <v>0</v>
      </c>
      <c r="G267" s="20">
        <f>IF('Raw profile'!F166&gt;0,1,IF('Raw profile'!F269&gt;0,2,0))</f>
        <v>0</v>
      </c>
      <c r="H267" s="20">
        <f>IF('Raw profile'!G166&gt;0,1,IF('Raw profile'!G269&gt;0,2,0))</f>
        <v>0</v>
      </c>
      <c r="I267" s="20">
        <f>IF('Raw profile'!H166&gt;0,1,IF('Raw profile'!H269&gt;0,2,0))</f>
        <v>0</v>
      </c>
      <c r="J267" s="20">
        <f>IF('Raw profile'!I166&gt;0,1,IF('Raw profile'!I269&gt;0,2,0))</f>
        <v>0</v>
      </c>
      <c r="K267" s="20">
        <f>IF('Raw profile'!J166&gt;0,1,IF('Raw profile'!J269&gt;0,2,0))</f>
        <v>0</v>
      </c>
      <c r="L267" s="20">
        <f>IF('Raw profile'!K166&gt;0,1,IF('Raw profile'!K269&gt;0,2,0))</f>
        <v>0</v>
      </c>
      <c r="M267" s="20">
        <f>IF('Raw profile'!L166&gt;0,1,IF('Raw profile'!L269&gt;0,2,0))</f>
        <v>0</v>
      </c>
      <c r="N267" s="20">
        <f>IF('Raw profile'!M166&gt;0,1,IF('Raw profile'!M269&gt;0,2,0))</f>
        <v>0</v>
      </c>
      <c r="O267" s="20">
        <f>IF('Raw profile'!N166&gt;0,1,IF('Raw profile'!N269&gt;0,2,0))</f>
        <v>0</v>
      </c>
      <c r="P267" s="20">
        <f>IF('Raw profile'!O166&gt;0,1,IF('Raw profile'!O269&gt;0,2,0))</f>
        <v>0</v>
      </c>
      <c r="Q267" s="20">
        <f>IF('Raw profile'!P166&gt;0,1,IF('Raw profile'!P269&gt;0,2,0))</f>
        <v>0</v>
      </c>
      <c r="R267" s="20">
        <f>IF('Raw profile'!Q166&gt;0,1,IF('Raw profile'!Q269&gt;0,2,0))</f>
        <v>0</v>
      </c>
      <c r="S267" s="20">
        <f>IF('Raw profile'!R166&gt;0,1,IF('Raw profile'!R269&gt;0,2,0))</f>
        <v>1</v>
      </c>
      <c r="T267" s="20">
        <f>IF('Raw profile'!S166&gt;0,1,IF('Raw profile'!S269&gt;0,2,0))</f>
        <v>2</v>
      </c>
      <c r="U267" s="20">
        <f>IF('Raw profile'!T166&gt;0,1,IF('Raw profile'!T269&gt;0,2,0))</f>
        <v>2</v>
      </c>
      <c r="V267" s="20">
        <f>IF('Raw profile'!U166&gt;0,1,IF('Raw profile'!U269&gt;0,2,0))</f>
        <v>2</v>
      </c>
      <c r="W267" s="20">
        <f>IF('Raw profile'!V166&gt;0,1,IF('Raw profile'!V269&gt;0,2,0))</f>
        <v>2</v>
      </c>
      <c r="X267" s="20">
        <f>IF('Raw profile'!W166&gt;0,1,IF('Raw profile'!W269&gt;0,2,0))</f>
        <v>2</v>
      </c>
      <c r="Y267" s="20">
        <f>IF('Raw profile'!X166&gt;0,1,IF('Raw profile'!X269&gt;0,2,0))</f>
        <v>2</v>
      </c>
      <c r="Z267" s="20">
        <f>IF('Raw profile'!Y166&gt;0,1,IF('Raw profile'!Y269&gt;0,2,0))</f>
        <v>2</v>
      </c>
      <c r="AA267" s="20">
        <f>IF('Raw profile'!Z166&gt;0,1,IF('Raw profile'!Z269&gt;0,2,0))</f>
        <v>2</v>
      </c>
      <c r="AB267" s="20">
        <f>IF('Raw profile'!AA166&gt;0,1,IF('Raw profile'!AA269&gt;0,2,0))</f>
        <v>2</v>
      </c>
      <c r="AC267" s="20">
        <f>IF('Raw profile'!AB166&gt;0,1,IF('Raw profile'!AB269&gt;0,2,0))</f>
        <v>2</v>
      </c>
      <c r="AD267" s="20">
        <f>IF('Raw profile'!AC166&gt;0,1,IF('Raw profile'!AC269&gt;0,2,0))</f>
        <v>2</v>
      </c>
      <c r="AE267" s="20">
        <f>IF('Raw profile'!AD166&gt;0,1,IF('Raw profile'!AD269&gt;0,2,0))</f>
        <v>2</v>
      </c>
      <c r="AF267" s="20">
        <f>IF('Raw profile'!AE166&gt;0,1,IF('Raw profile'!AE269&gt;0,2,0))</f>
        <v>2</v>
      </c>
      <c r="AG267" s="20">
        <f>IF('Raw profile'!AF166&gt;0,1,IF('Raw profile'!AF269&gt;0,2,0))</f>
        <v>2</v>
      </c>
      <c r="AH267" s="20">
        <f>IF('Raw profile'!AG166&gt;0,1,IF('Raw profile'!AG269&gt;0,2,0))</f>
        <v>2</v>
      </c>
      <c r="AI267" s="20">
        <f>IF('Raw profile'!AH166&gt;0,1,IF('Raw profile'!AH269&gt;0,2,0))</f>
        <v>2</v>
      </c>
      <c r="AJ267" s="20">
        <f>IF('Raw profile'!AI166&gt;0,1,IF('Raw profile'!AI269&gt;0,2,0))</f>
        <v>2</v>
      </c>
      <c r="AK267" s="20">
        <f>IF('Raw profile'!AJ166&gt;0,1,IF('Raw profile'!AJ269&gt;0,2,0))</f>
        <v>2</v>
      </c>
      <c r="AL267" s="20">
        <f>IF('Raw profile'!AK166&gt;0,1,IF('Raw profile'!AK269&gt;0,2,0))</f>
        <v>2</v>
      </c>
      <c r="AM267" s="20">
        <f>IF('Raw profile'!AL166&gt;0,1,IF('Raw profile'!AL269&gt;0,2,0))</f>
        <v>2</v>
      </c>
      <c r="AN267" s="20">
        <f>IF('Raw profile'!AM166&gt;0,1,IF('Raw profile'!AM269&gt;0,2,0))</f>
        <v>2</v>
      </c>
      <c r="AO267" s="20">
        <f>IF('Raw profile'!AN166&gt;0,1,IF('Raw profile'!AN269&gt;0,2,0))</f>
        <v>2</v>
      </c>
      <c r="AP267" s="20">
        <f>IF('Raw profile'!AO166&gt;0,1,IF('Raw profile'!AO269&gt;0,2,0))</f>
        <v>2</v>
      </c>
      <c r="AQ267" s="20">
        <f>IF('Raw profile'!AP166&gt;0,1,IF('Raw profile'!AP269&gt;0,2,0))</f>
        <v>2</v>
      </c>
      <c r="AR267" s="20">
        <f>IF('Raw profile'!AQ166&gt;0,1,IF('Raw profile'!AQ269&gt;0,2,0))</f>
        <v>2</v>
      </c>
      <c r="AS267" s="20">
        <f>IF('Raw profile'!AR166&gt;0,1,IF('Raw profile'!AR269&gt;0,2,0))</f>
        <v>2</v>
      </c>
      <c r="AT267" s="20">
        <f>IF('Raw profile'!AS166&gt;0,1,IF('Raw profile'!AS269&gt;0,2,0))</f>
        <v>2</v>
      </c>
      <c r="AU267" s="20">
        <f>IF('Raw profile'!AT166&gt;0,1,IF('Raw profile'!AT269&gt;0,2,0))</f>
        <v>2</v>
      </c>
      <c r="AV267" s="20">
        <f>IF('Raw profile'!AU166&gt;0,1,IF('Raw profile'!AU269&gt;0,2,0))</f>
        <v>2</v>
      </c>
      <c r="AW267" s="20">
        <f>IF('Raw profile'!AV166&gt;0,1,IF('Raw profile'!AV269&gt;0,2,0))</f>
        <v>2</v>
      </c>
      <c r="AX267" s="20">
        <f>IF('Raw profile'!AW166&gt;0,1,IF('Raw profile'!AW269&gt;0,2,0))</f>
        <v>2</v>
      </c>
      <c r="AY267" s="20">
        <f>IF('Raw profile'!AX166&gt;0,1,IF('Raw profile'!AX269&gt;0,2,0))</f>
        <v>2</v>
      </c>
      <c r="AZ267" s="20">
        <f>IF('Raw profile'!AY166&gt;0,1,IF('Raw profile'!AY269&gt;0,2,0))</f>
        <v>2</v>
      </c>
      <c r="BA267" s="20">
        <f>IF('Raw profile'!AZ166&gt;0,1,IF('Raw profile'!AZ269&gt;0,2,0))</f>
        <v>2</v>
      </c>
      <c r="BB267" s="20">
        <f>IF('Raw profile'!BA166&gt;0,1,IF('Raw profile'!BA269&gt;0,2,0))</f>
        <v>2</v>
      </c>
      <c r="BC267" s="20">
        <f>IF('Raw profile'!BB166&gt;0,1,IF('Raw profile'!BB269&gt;0,2,0))</f>
        <v>2</v>
      </c>
      <c r="BD267" s="20">
        <f>IF('Raw profile'!BC166&gt;0,1,IF('Raw profile'!BC269&gt;0,2,0))</f>
        <v>2</v>
      </c>
      <c r="BE267" s="20">
        <f>IF('Raw profile'!BD166&gt;0,1,IF('Raw profile'!BD269&gt;0,2,0))</f>
        <v>2</v>
      </c>
      <c r="BF267" s="20">
        <f>IF('Raw profile'!BE166&gt;0,1,IF('Raw profile'!BE269&gt;0,2,0))</f>
        <v>2</v>
      </c>
      <c r="BG267" s="20">
        <f>IF('Raw profile'!BF166&gt;0,1,IF('Raw profile'!BF269&gt;0,2,0))</f>
        <v>2</v>
      </c>
      <c r="BH267" s="20">
        <f>IF('Raw profile'!BG166&gt;0,1,IF('Raw profile'!BG269&gt;0,2,0))</f>
        <v>0</v>
      </c>
      <c r="BI267" s="20">
        <f>IF('Raw profile'!BH166&gt;0,1,IF('Raw profile'!BH269&gt;0,2,0))</f>
        <v>0</v>
      </c>
      <c r="BJ267" s="20">
        <f>IF('Raw profile'!BI166&gt;0,1,IF('Raw profile'!BI269&gt;0,2,0))</f>
        <v>0</v>
      </c>
      <c r="BK267" s="21">
        <f>IF('Raw profile'!BJ166&gt;0,1,IF('Raw profile'!BJ269&gt;0,2,0))</f>
        <v>0</v>
      </c>
    </row>
    <row r="268" spans="1:63" x14ac:dyDescent="0.3">
      <c r="B268" s="13" t="s">
        <v>4</v>
      </c>
      <c r="C268" s="19">
        <f>'Growth profile'!I58</f>
        <v>2035</v>
      </c>
      <c r="D268" s="20">
        <f>IF('Growth profile'!C166&gt;0,1,IF('Growth profile'!C269&gt;0,3,0))</f>
        <v>0</v>
      </c>
      <c r="E268" s="20">
        <f>IF('Growth profile'!D166&gt;0,1,IF('Growth profile'!D269&gt;0,3,0))</f>
        <v>0</v>
      </c>
      <c r="F268" s="20">
        <f>IF('Growth profile'!E166&gt;0,1,IF('Growth profile'!E269&gt;0,3,0))</f>
        <v>0</v>
      </c>
      <c r="G268" s="20">
        <f>IF('Growth profile'!F166&gt;0,1,IF('Growth profile'!F269&gt;0,3,0))</f>
        <v>0</v>
      </c>
      <c r="H268" s="20">
        <f>IF('Growth profile'!G166&gt;0,1,IF('Growth profile'!G269&gt;0,3,0))</f>
        <v>0</v>
      </c>
      <c r="I268" s="20">
        <f>IF('Growth profile'!H166&gt;0,1,IF('Growth profile'!H269&gt;0,3,0))</f>
        <v>0</v>
      </c>
      <c r="J268" s="20">
        <f>IF('Growth profile'!I166&gt;0,1,IF('Growth profile'!I269&gt;0,3,0))</f>
        <v>0</v>
      </c>
      <c r="K268" s="20">
        <f>IF('Growth profile'!J166&gt;0,1,IF('Growth profile'!J269&gt;0,3,0))</f>
        <v>0</v>
      </c>
      <c r="L268" s="20">
        <f>IF('Growth profile'!K166&gt;0,1,IF('Growth profile'!K269&gt;0,3,0))</f>
        <v>0</v>
      </c>
      <c r="M268" s="20">
        <f>IF('Growth profile'!L166&gt;0,1,IF('Growth profile'!L269&gt;0,3,0))</f>
        <v>1</v>
      </c>
      <c r="N268" s="20">
        <f>IF('Growth profile'!M166&gt;0,1,IF('Growth profile'!M269&gt;0,3,0))</f>
        <v>3</v>
      </c>
      <c r="O268" s="20">
        <f>IF('Growth profile'!N166&gt;0,1,IF('Growth profile'!N269&gt;0,3,0))</f>
        <v>3</v>
      </c>
      <c r="P268" s="20">
        <f>IF('Growth profile'!O166&gt;0,1,IF('Growth profile'!O269&gt;0,3,0))</f>
        <v>3</v>
      </c>
      <c r="Q268" s="20">
        <f>IF('Growth profile'!P166&gt;0,1,IF('Growth profile'!P269&gt;0,3,0))</f>
        <v>3</v>
      </c>
      <c r="R268" s="20">
        <f>IF('Growth profile'!Q166&gt;0,1,IF('Growth profile'!Q269&gt;0,3,0))</f>
        <v>3</v>
      </c>
      <c r="S268" s="20">
        <f>IF('Growth profile'!R166&gt;0,1,IF('Growth profile'!R269&gt;0,3,0))</f>
        <v>3</v>
      </c>
      <c r="T268" s="20">
        <f>IF('Growth profile'!S166&gt;0,1,IF('Growth profile'!S269&gt;0,3,0))</f>
        <v>3</v>
      </c>
      <c r="U268" s="20">
        <f>IF('Growth profile'!T166&gt;0,1,IF('Growth profile'!T269&gt;0,3,0))</f>
        <v>3</v>
      </c>
      <c r="V268" s="20">
        <f>IF('Growth profile'!U166&gt;0,1,IF('Growth profile'!U269&gt;0,3,0))</f>
        <v>3</v>
      </c>
      <c r="W268" s="20">
        <f>IF('Growth profile'!V166&gt;0,1,IF('Growth profile'!V269&gt;0,3,0))</f>
        <v>3</v>
      </c>
      <c r="X268" s="20">
        <f>IF('Growth profile'!W166&gt;0,1,IF('Growth profile'!W269&gt;0,3,0))</f>
        <v>3</v>
      </c>
      <c r="Y268" s="20">
        <f>IF('Growth profile'!X166&gt;0,1,IF('Growth profile'!X269&gt;0,3,0))</f>
        <v>3</v>
      </c>
      <c r="Z268" s="20">
        <f>IF('Growth profile'!Y166&gt;0,1,IF('Growth profile'!Y269&gt;0,3,0))</f>
        <v>3</v>
      </c>
      <c r="AA268" s="20">
        <f>IF('Growth profile'!Z166&gt;0,1,IF('Growth profile'!Z269&gt;0,3,0))</f>
        <v>3</v>
      </c>
      <c r="AB268" s="20">
        <f>IF('Growth profile'!AA166&gt;0,1,IF('Growth profile'!AA269&gt;0,3,0))</f>
        <v>3</v>
      </c>
      <c r="AC268" s="20">
        <f>IF('Growth profile'!AB166&gt;0,1,IF('Growth profile'!AB269&gt;0,3,0))</f>
        <v>3</v>
      </c>
      <c r="AD268" s="20">
        <f>IF('Growth profile'!AC166&gt;0,1,IF('Growth profile'!AC269&gt;0,3,0))</f>
        <v>3</v>
      </c>
      <c r="AE268" s="20">
        <f>IF('Growth profile'!AD166&gt;0,1,IF('Growth profile'!AD269&gt;0,3,0))</f>
        <v>3</v>
      </c>
      <c r="AF268" s="20">
        <f>IF('Growth profile'!AE166&gt;0,1,IF('Growth profile'!AE269&gt;0,3,0))</f>
        <v>3</v>
      </c>
      <c r="AG268" s="20">
        <f>IF('Growth profile'!AF166&gt;0,1,IF('Growth profile'!AF269&gt;0,3,0))</f>
        <v>3</v>
      </c>
      <c r="AH268" s="20">
        <f>IF('Growth profile'!AG166&gt;0,1,IF('Growth profile'!AG269&gt;0,3,0))</f>
        <v>3</v>
      </c>
      <c r="AI268" s="20">
        <f>IF('Growth profile'!AH166&gt;0,1,IF('Growth profile'!AH269&gt;0,3,0))</f>
        <v>3</v>
      </c>
      <c r="AJ268" s="20">
        <f>IF('Growth profile'!AI166&gt;0,1,IF('Growth profile'!AI269&gt;0,3,0))</f>
        <v>3</v>
      </c>
      <c r="AK268" s="20">
        <f>IF('Growth profile'!AJ166&gt;0,1,IF('Growth profile'!AJ269&gt;0,3,0))</f>
        <v>3</v>
      </c>
      <c r="AL268" s="20">
        <f>IF('Growth profile'!AK166&gt;0,1,IF('Growth profile'!AK269&gt;0,3,0))</f>
        <v>3</v>
      </c>
      <c r="AM268" s="20">
        <f>IF('Growth profile'!AL166&gt;0,1,IF('Growth profile'!AL269&gt;0,3,0))</f>
        <v>3</v>
      </c>
      <c r="AN268" s="20">
        <f>IF('Growth profile'!AM166&gt;0,1,IF('Growth profile'!AM269&gt;0,3,0))</f>
        <v>3</v>
      </c>
      <c r="AO268" s="20">
        <f>IF('Growth profile'!AN166&gt;0,1,IF('Growth profile'!AN269&gt;0,3,0))</f>
        <v>3</v>
      </c>
      <c r="AP268" s="20">
        <f>IF('Growth profile'!AO166&gt;0,1,IF('Growth profile'!AO269&gt;0,3,0))</f>
        <v>3</v>
      </c>
      <c r="AQ268" s="20">
        <f>IF('Growth profile'!AP166&gt;0,1,IF('Growth profile'!AP269&gt;0,3,0))</f>
        <v>3</v>
      </c>
      <c r="AR268" s="20">
        <f>IF('Growth profile'!AQ166&gt;0,1,IF('Growth profile'!AQ269&gt;0,3,0))</f>
        <v>3</v>
      </c>
      <c r="AS268" s="20">
        <f>IF('Growth profile'!AR166&gt;0,1,IF('Growth profile'!AR269&gt;0,3,0))</f>
        <v>3</v>
      </c>
      <c r="AT268" s="20">
        <f>IF('Growth profile'!AS166&gt;0,1,IF('Growth profile'!AS269&gt;0,3,0))</f>
        <v>3</v>
      </c>
      <c r="AU268" s="20">
        <f>IF('Growth profile'!AT166&gt;0,1,IF('Growth profile'!AT269&gt;0,3,0))</f>
        <v>3</v>
      </c>
      <c r="AV268" s="20">
        <f>IF('Growth profile'!AU166&gt;0,1,IF('Growth profile'!AU269&gt;0,3,0))</f>
        <v>3</v>
      </c>
      <c r="AW268" s="20">
        <f>IF('Growth profile'!AV166&gt;0,1,IF('Growth profile'!AV269&gt;0,3,0))</f>
        <v>3</v>
      </c>
      <c r="AX268" s="20">
        <f>IF('Growth profile'!AW166&gt;0,1,IF('Growth profile'!AW269&gt;0,3,0))</f>
        <v>3</v>
      </c>
      <c r="AY268" s="20">
        <f>IF('Growth profile'!AX166&gt;0,1,IF('Growth profile'!AX269&gt;0,3,0))</f>
        <v>3</v>
      </c>
      <c r="AZ268" s="20">
        <f>IF('Growth profile'!AY166&gt;0,1,IF('Growth profile'!AY269&gt;0,3,0))</f>
        <v>3</v>
      </c>
      <c r="BA268" s="20">
        <f>IF('Growth profile'!AZ166&gt;0,1,IF('Growth profile'!AZ269&gt;0,3,0))</f>
        <v>3</v>
      </c>
      <c r="BB268" s="20">
        <f>IF('Growth profile'!BA166&gt;0,1,IF('Growth profile'!BA269&gt;0,3,0))</f>
        <v>0</v>
      </c>
      <c r="BC268" s="20">
        <f>IF('Growth profile'!BB166&gt;0,1,IF('Growth profile'!BB269&gt;0,3,0))</f>
        <v>0</v>
      </c>
      <c r="BD268" s="20">
        <f>IF('Growth profile'!BC166&gt;0,1,IF('Growth profile'!BC269&gt;0,3,0))</f>
        <v>0</v>
      </c>
      <c r="BE268" s="20">
        <f>IF('Growth profile'!BD166&gt;0,1,IF('Growth profile'!BD269&gt;0,3,0))</f>
        <v>0</v>
      </c>
      <c r="BF268" s="20">
        <f>IF('Growth profile'!BE166&gt;0,1,IF('Growth profile'!BE269&gt;0,3,0))</f>
        <v>0</v>
      </c>
      <c r="BG268" s="20">
        <f>IF('Growth profile'!BF166&gt;0,1,IF('Growth profile'!BF269&gt;0,3,0))</f>
        <v>0</v>
      </c>
      <c r="BH268" s="20">
        <f>IF('Growth profile'!BG166&gt;0,1,IF('Growth profile'!BG269&gt;0,3,0))</f>
        <v>0</v>
      </c>
      <c r="BI268" s="20">
        <f>IF('Growth profile'!BH166&gt;0,1,IF('Growth profile'!BH269&gt;0,3,0))</f>
        <v>0</v>
      </c>
      <c r="BJ268" s="20">
        <f>IF('Growth profile'!BI166&gt;0,1,IF('Growth profile'!BI269&gt;0,3,0))</f>
        <v>0</v>
      </c>
      <c r="BK268" s="21">
        <f>IF('Growth profile'!BJ166&gt;0,1,IF('Growth profile'!BJ269&gt;0,3,0))</f>
        <v>0</v>
      </c>
    </row>
    <row r="269" spans="1:63" x14ac:dyDescent="0.3">
      <c r="B269" s="13" t="s">
        <v>59</v>
      </c>
      <c r="C269" s="19">
        <f>'Growth (no penalty)'!I58</f>
        <v>2045</v>
      </c>
      <c r="D269" s="22">
        <f>IF('Growth (no penalty)'!C166&gt;0,1,IF('Growth (no penalty)'!C269&gt;0,4,0))</f>
        <v>0</v>
      </c>
      <c r="E269" s="22">
        <f>IF('Growth (no penalty)'!D166&gt;0,1,IF('Growth (no penalty)'!D269&gt;0,4,0))</f>
        <v>0</v>
      </c>
      <c r="F269" s="22">
        <f>IF('Growth (no penalty)'!E166&gt;0,1,IF('Growth (no penalty)'!E269&gt;0,4,0))</f>
        <v>0</v>
      </c>
      <c r="G269" s="22">
        <f>IF('Growth (no penalty)'!F166&gt;0,1,IF('Growth (no penalty)'!F269&gt;0,4,0))</f>
        <v>0</v>
      </c>
      <c r="H269" s="22">
        <f>IF('Growth (no penalty)'!G166&gt;0,1,IF('Growth (no penalty)'!G269&gt;0,4,0))</f>
        <v>0</v>
      </c>
      <c r="I269" s="22">
        <f>IF('Growth (no penalty)'!H166&gt;0,1,IF('Growth (no penalty)'!H269&gt;0,4,0))</f>
        <v>0</v>
      </c>
      <c r="J269" s="22">
        <f>IF('Growth (no penalty)'!I166&gt;0,1,IF('Growth (no penalty)'!I269&gt;0,4,0))</f>
        <v>0</v>
      </c>
      <c r="K269" s="22">
        <f>IF('Growth (no penalty)'!J166&gt;0,1,IF('Growth (no penalty)'!J269&gt;0,4,0))</f>
        <v>0</v>
      </c>
      <c r="L269" s="22">
        <f>IF('Growth (no penalty)'!K166&gt;0,1,IF('Growth (no penalty)'!K269&gt;0,4,0))</f>
        <v>0</v>
      </c>
      <c r="M269" s="22">
        <f>IF('Growth (no penalty)'!L166&gt;0,1,IF('Growth (no penalty)'!L269&gt;0,4,0))</f>
        <v>0</v>
      </c>
      <c r="N269" s="22">
        <f>IF('Growth (no penalty)'!M166&gt;0,1,IF('Growth (no penalty)'!M269&gt;0,4,0))</f>
        <v>0</v>
      </c>
      <c r="O269" s="22">
        <f>IF('Growth (no penalty)'!N166&gt;0,1,IF('Growth (no penalty)'!N269&gt;0,4,0))</f>
        <v>0</v>
      </c>
      <c r="P269" s="22">
        <f>IF('Growth (no penalty)'!O166&gt;0,1,IF('Growth (no penalty)'!O269&gt;0,4,0))</f>
        <v>0</v>
      </c>
      <c r="Q269" s="22">
        <f>IF('Growth (no penalty)'!P166&gt;0,1,IF('Growth (no penalty)'!P269&gt;0,4,0))</f>
        <v>0</v>
      </c>
      <c r="R269" s="22">
        <f>IF('Growth (no penalty)'!Q166&gt;0,1,IF('Growth (no penalty)'!Q269&gt;0,4,0))</f>
        <v>0</v>
      </c>
      <c r="S269" s="22">
        <f>IF('Growth (no penalty)'!R166&gt;0,1,IF('Growth (no penalty)'!R269&gt;0,4,0))</f>
        <v>0</v>
      </c>
      <c r="T269" s="22">
        <f>IF('Growth (no penalty)'!S166&gt;0,1,IF('Growth (no penalty)'!S269&gt;0,4,0))</f>
        <v>0</v>
      </c>
      <c r="U269" s="22">
        <f>IF('Growth (no penalty)'!T166&gt;0,1,IF('Growth (no penalty)'!T269&gt;0,4,0))</f>
        <v>0</v>
      </c>
      <c r="V269" s="22">
        <f>IF('Growth (no penalty)'!U166&gt;0,1,IF('Growth (no penalty)'!U269&gt;0,4,0))</f>
        <v>0</v>
      </c>
      <c r="W269" s="22">
        <f>IF('Growth (no penalty)'!V166&gt;0,1,IF('Growth (no penalty)'!V269&gt;0,4,0))</f>
        <v>1</v>
      </c>
      <c r="X269" s="22">
        <f>IF('Growth (no penalty)'!W166&gt;0,1,IF('Growth (no penalty)'!W269&gt;0,4,0))</f>
        <v>4</v>
      </c>
      <c r="Y269" s="22">
        <f>IF('Growth (no penalty)'!X166&gt;0,1,IF('Growth (no penalty)'!X269&gt;0,4,0))</f>
        <v>4</v>
      </c>
      <c r="Z269" s="22">
        <f>IF('Growth (no penalty)'!Y166&gt;0,1,IF('Growth (no penalty)'!Y269&gt;0,4,0))</f>
        <v>4</v>
      </c>
      <c r="AA269" s="22">
        <f>IF('Growth (no penalty)'!Z166&gt;0,1,IF('Growth (no penalty)'!Z269&gt;0,4,0))</f>
        <v>4</v>
      </c>
      <c r="AB269" s="22">
        <f>IF('Growth (no penalty)'!AA166&gt;0,1,IF('Growth (no penalty)'!AA269&gt;0,4,0))</f>
        <v>4</v>
      </c>
      <c r="AC269" s="22">
        <f>IF('Growth (no penalty)'!AB166&gt;0,1,IF('Growth (no penalty)'!AB269&gt;0,4,0))</f>
        <v>4</v>
      </c>
      <c r="AD269" s="22">
        <f>IF('Growth (no penalty)'!AC166&gt;0,1,IF('Growth (no penalty)'!AC269&gt;0,4,0))</f>
        <v>4</v>
      </c>
      <c r="AE269" s="22">
        <f>IF('Growth (no penalty)'!AD166&gt;0,1,IF('Growth (no penalty)'!AD269&gt;0,4,0))</f>
        <v>4</v>
      </c>
      <c r="AF269" s="22">
        <f>IF('Growth (no penalty)'!AE166&gt;0,1,IF('Growth (no penalty)'!AE269&gt;0,4,0))</f>
        <v>4</v>
      </c>
      <c r="AG269" s="22">
        <f>IF('Growth (no penalty)'!AF166&gt;0,1,IF('Growth (no penalty)'!AF269&gt;0,4,0))</f>
        <v>4</v>
      </c>
      <c r="AH269" s="22">
        <f>IF('Growth (no penalty)'!AG166&gt;0,1,IF('Growth (no penalty)'!AG269&gt;0,4,0))</f>
        <v>4</v>
      </c>
      <c r="AI269" s="22">
        <f>IF('Growth (no penalty)'!AH166&gt;0,1,IF('Growth (no penalty)'!AH269&gt;0,4,0))</f>
        <v>4</v>
      </c>
      <c r="AJ269" s="22">
        <f>IF('Growth (no penalty)'!AI166&gt;0,1,IF('Growth (no penalty)'!AI269&gt;0,4,0))</f>
        <v>4</v>
      </c>
      <c r="AK269" s="22">
        <f>IF('Growth (no penalty)'!AJ166&gt;0,1,IF('Growth (no penalty)'!AJ269&gt;0,4,0))</f>
        <v>4</v>
      </c>
      <c r="AL269" s="22">
        <f>IF('Growth (no penalty)'!AK166&gt;0,1,IF('Growth (no penalty)'!AK269&gt;0,4,0))</f>
        <v>4</v>
      </c>
      <c r="AM269" s="22">
        <f>IF('Growth (no penalty)'!AL166&gt;0,1,IF('Growth (no penalty)'!AL269&gt;0,4,0))</f>
        <v>4</v>
      </c>
      <c r="AN269" s="22">
        <f>IF('Growth (no penalty)'!AM166&gt;0,1,IF('Growth (no penalty)'!AM269&gt;0,4,0))</f>
        <v>4</v>
      </c>
      <c r="AO269" s="22">
        <f>IF('Growth (no penalty)'!AN166&gt;0,1,IF('Growth (no penalty)'!AN269&gt;0,4,0))</f>
        <v>4</v>
      </c>
      <c r="AP269" s="22">
        <f>IF('Growth (no penalty)'!AO166&gt;0,1,IF('Growth (no penalty)'!AO269&gt;0,4,0))</f>
        <v>4</v>
      </c>
      <c r="AQ269" s="22">
        <f>IF('Growth (no penalty)'!AP166&gt;0,1,IF('Growth (no penalty)'!AP269&gt;0,4,0))</f>
        <v>4</v>
      </c>
      <c r="AR269" s="22">
        <f>IF('Growth (no penalty)'!AQ166&gt;0,1,IF('Growth (no penalty)'!AQ269&gt;0,4,0))</f>
        <v>4</v>
      </c>
      <c r="AS269" s="22">
        <f>IF('Growth (no penalty)'!AR166&gt;0,1,IF('Growth (no penalty)'!AR269&gt;0,4,0))</f>
        <v>4</v>
      </c>
      <c r="AT269" s="22">
        <f>IF('Growth (no penalty)'!AS166&gt;0,1,IF('Growth (no penalty)'!AS269&gt;0,4,0))</f>
        <v>4</v>
      </c>
      <c r="AU269" s="22">
        <f>IF('Growth (no penalty)'!AT166&gt;0,1,IF('Growth (no penalty)'!AT269&gt;0,4,0))</f>
        <v>4</v>
      </c>
      <c r="AV269" s="22">
        <f>IF('Growth (no penalty)'!AU166&gt;0,1,IF('Growth (no penalty)'!AU269&gt;0,4,0))</f>
        <v>4</v>
      </c>
      <c r="AW269" s="22">
        <f>IF('Growth (no penalty)'!AV166&gt;0,1,IF('Growth (no penalty)'!AV269&gt;0,4,0))</f>
        <v>4</v>
      </c>
      <c r="AX269" s="22">
        <f>IF('Growth (no penalty)'!AW166&gt;0,1,IF('Growth (no penalty)'!AW269&gt;0,4,0))</f>
        <v>4</v>
      </c>
      <c r="AY269" s="22">
        <f>IF('Growth (no penalty)'!AX166&gt;0,1,IF('Growth (no penalty)'!AX269&gt;0,4,0))</f>
        <v>4</v>
      </c>
      <c r="AZ269" s="22">
        <f>IF('Growth (no penalty)'!AY166&gt;0,1,IF('Growth (no penalty)'!AY269&gt;0,4,0))</f>
        <v>4</v>
      </c>
      <c r="BA269" s="22">
        <f>IF('Growth (no penalty)'!AZ166&gt;0,1,IF('Growth (no penalty)'!AZ269&gt;0,4,0))</f>
        <v>4</v>
      </c>
      <c r="BB269" s="22">
        <f>IF('Growth (no penalty)'!BA166&gt;0,1,IF('Growth (no penalty)'!BA269&gt;0,4,0))</f>
        <v>4</v>
      </c>
      <c r="BC269" s="22">
        <f>IF('Growth (no penalty)'!BB166&gt;0,1,IF('Growth (no penalty)'!BB269&gt;0,4,0))</f>
        <v>4</v>
      </c>
      <c r="BD269" s="22">
        <f>IF('Growth (no penalty)'!BC166&gt;0,1,IF('Growth (no penalty)'!BC269&gt;0,4,0))</f>
        <v>4</v>
      </c>
      <c r="BE269" s="22">
        <f>IF('Growth (no penalty)'!BD166&gt;0,1,IF('Growth (no penalty)'!BD269&gt;0,4,0))</f>
        <v>4</v>
      </c>
      <c r="BF269" s="22">
        <f>IF('Growth (no penalty)'!BE166&gt;0,1,IF('Growth (no penalty)'!BE269&gt;0,4,0))</f>
        <v>4</v>
      </c>
      <c r="BG269" s="22">
        <f>IF('Growth (no penalty)'!BF166&gt;0,1,IF('Growth (no penalty)'!BF269&gt;0,4,0))</f>
        <v>4</v>
      </c>
      <c r="BH269" s="22">
        <f>IF('Growth (no penalty)'!BG166&gt;0,1,IF('Growth (no penalty)'!BG269&gt;0,4,0))</f>
        <v>4</v>
      </c>
      <c r="BI269" s="22">
        <f>IF('Growth (no penalty)'!BH166&gt;0,1,IF('Growth (no penalty)'!BH269&gt;0,4,0))</f>
        <v>4</v>
      </c>
      <c r="BJ269" s="22">
        <f>IF('Growth (no penalty)'!BI166&gt;0,1,IF('Growth (no penalty)'!BI269&gt;0,4,0))</f>
        <v>4</v>
      </c>
      <c r="BK269" s="23">
        <f>IF('Growth (no penalty)'!BJ166&gt;0,1,IF('Growth (no penalty)'!BJ269&gt;0,4,0))</f>
        <v>4</v>
      </c>
    </row>
    <row r="270" spans="1:63" x14ac:dyDescent="0.3">
      <c r="A270" s="4" t="str">
        <f>'Growth profile'!A27</f>
        <v>project 8</v>
      </c>
      <c r="B270" s="13" t="s">
        <v>3</v>
      </c>
      <c r="C270" s="19">
        <f>'Raw profile'!I27</f>
        <v>2041</v>
      </c>
      <c r="D270" s="20">
        <f>IF('Raw profile'!C135&gt;0,1,IF('Raw profile'!C238&gt;0,2,0))</f>
        <v>0</v>
      </c>
      <c r="E270" s="20">
        <f>IF('Raw profile'!D135&gt;0,1,IF('Raw profile'!D238&gt;0,2,0))</f>
        <v>0</v>
      </c>
      <c r="F270" s="20">
        <f>IF('Raw profile'!E135&gt;0,1,IF('Raw profile'!E238&gt;0,2,0))</f>
        <v>0</v>
      </c>
      <c r="G270" s="20">
        <f>IF('Raw profile'!F135&gt;0,1,IF('Raw profile'!F238&gt;0,2,0))</f>
        <v>0</v>
      </c>
      <c r="H270" s="20">
        <f>IF('Raw profile'!G135&gt;0,1,IF('Raw profile'!G238&gt;0,2,0))</f>
        <v>0</v>
      </c>
      <c r="I270" s="20">
        <f>IF('Raw profile'!H135&gt;0,1,IF('Raw profile'!H238&gt;0,2,0))</f>
        <v>0</v>
      </c>
      <c r="J270" s="20">
        <f>IF('Raw profile'!I135&gt;0,1,IF('Raw profile'!I238&gt;0,2,0))</f>
        <v>0</v>
      </c>
      <c r="K270" s="20">
        <f>IF('Raw profile'!J135&gt;0,1,IF('Raw profile'!J238&gt;0,2,0))</f>
        <v>0</v>
      </c>
      <c r="L270" s="20">
        <f>IF('Raw profile'!K135&gt;0,1,IF('Raw profile'!K238&gt;0,2,0))</f>
        <v>0</v>
      </c>
      <c r="M270" s="20">
        <f>IF('Raw profile'!L135&gt;0,1,IF('Raw profile'!L238&gt;0,2,0))</f>
        <v>0</v>
      </c>
      <c r="N270" s="20">
        <f>IF('Raw profile'!M135&gt;0,1,IF('Raw profile'!M238&gt;0,2,0))</f>
        <v>0</v>
      </c>
      <c r="O270" s="20">
        <f>IF('Raw profile'!N135&gt;0,1,IF('Raw profile'!N238&gt;0,2,0))</f>
        <v>0</v>
      </c>
      <c r="P270" s="20">
        <f>IF('Raw profile'!O135&gt;0,1,IF('Raw profile'!O238&gt;0,2,0))</f>
        <v>0</v>
      </c>
      <c r="Q270" s="20">
        <f>IF('Raw profile'!P135&gt;0,1,IF('Raw profile'!P238&gt;0,2,0))</f>
        <v>0</v>
      </c>
      <c r="R270" s="20">
        <f>IF('Raw profile'!Q135&gt;0,1,IF('Raw profile'!Q238&gt;0,2,0))</f>
        <v>0</v>
      </c>
      <c r="S270" s="20">
        <f>IF('Raw profile'!R135&gt;0,1,IF('Raw profile'!R238&gt;0,2,0))</f>
        <v>1</v>
      </c>
      <c r="T270" s="20">
        <f>IF('Raw profile'!S135&gt;0,1,IF('Raw profile'!S238&gt;0,2,0))</f>
        <v>2</v>
      </c>
      <c r="U270" s="20">
        <f>IF('Raw profile'!T135&gt;0,1,IF('Raw profile'!T238&gt;0,2,0))</f>
        <v>2</v>
      </c>
      <c r="V270" s="20">
        <f>IF('Raw profile'!U135&gt;0,1,IF('Raw profile'!U238&gt;0,2,0))</f>
        <v>2</v>
      </c>
      <c r="W270" s="20">
        <f>IF('Raw profile'!V135&gt;0,1,IF('Raw profile'!V238&gt;0,2,0))</f>
        <v>2</v>
      </c>
      <c r="X270" s="20">
        <f>IF('Raw profile'!W135&gt;0,1,IF('Raw profile'!W238&gt;0,2,0))</f>
        <v>2</v>
      </c>
      <c r="Y270" s="20">
        <f>IF('Raw profile'!X135&gt;0,1,IF('Raw profile'!X238&gt;0,2,0))</f>
        <v>2</v>
      </c>
      <c r="Z270" s="20">
        <f>IF('Raw profile'!Y135&gt;0,1,IF('Raw profile'!Y238&gt;0,2,0))</f>
        <v>2</v>
      </c>
      <c r="AA270" s="20">
        <f>IF('Raw profile'!Z135&gt;0,1,IF('Raw profile'!Z238&gt;0,2,0))</f>
        <v>2</v>
      </c>
      <c r="AB270" s="20">
        <f>IF('Raw profile'!AA135&gt;0,1,IF('Raw profile'!AA238&gt;0,2,0))</f>
        <v>2</v>
      </c>
      <c r="AC270" s="20">
        <f>IF('Raw profile'!AB135&gt;0,1,IF('Raw profile'!AB238&gt;0,2,0))</f>
        <v>2</v>
      </c>
      <c r="AD270" s="20">
        <f>IF('Raw profile'!AC135&gt;0,1,IF('Raw profile'!AC238&gt;0,2,0))</f>
        <v>2</v>
      </c>
      <c r="AE270" s="20">
        <f>IF('Raw profile'!AD135&gt;0,1,IF('Raw profile'!AD238&gt;0,2,0))</f>
        <v>2</v>
      </c>
      <c r="AF270" s="20">
        <f>IF('Raw profile'!AE135&gt;0,1,IF('Raw profile'!AE238&gt;0,2,0))</f>
        <v>2</v>
      </c>
      <c r="AG270" s="20">
        <f>IF('Raw profile'!AF135&gt;0,1,IF('Raw profile'!AF238&gt;0,2,0))</f>
        <v>2</v>
      </c>
      <c r="AH270" s="20">
        <f>IF('Raw profile'!AG135&gt;0,1,IF('Raw profile'!AG238&gt;0,2,0))</f>
        <v>2</v>
      </c>
      <c r="AI270" s="20">
        <f>IF('Raw profile'!AH135&gt;0,1,IF('Raw profile'!AH238&gt;0,2,0))</f>
        <v>2</v>
      </c>
      <c r="AJ270" s="20">
        <f>IF('Raw profile'!AI135&gt;0,1,IF('Raw profile'!AI238&gt;0,2,0))</f>
        <v>2</v>
      </c>
      <c r="AK270" s="20">
        <f>IF('Raw profile'!AJ135&gt;0,1,IF('Raw profile'!AJ238&gt;0,2,0))</f>
        <v>2</v>
      </c>
      <c r="AL270" s="20">
        <f>IF('Raw profile'!AK135&gt;0,1,IF('Raw profile'!AK238&gt;0,2,0))</f>
        <v>2</v>
      </c>
      <c r="AM270" s="20">
        <f>IF('Raw profile'!AL135&gt;0,1,IF('Raw profile'!AL238&gt;0,2,0))</f>
        <v>2</v>
      </c>
      <c r="AN270" s="20">
        <f>IF('Raw profile'!AM135&gt;0,1,IF('Raw profile'!AM238&gt;0,2,0))</f>
        <v>2</v>
      </c>
      <c r="AO270" s="20">
        <f>IF('Raw profile'!AN135&gt;0,1,IF('Raw profile'!AN238&gt;0,2,0))</f>
        <v>2</v>
      </c>
      <c r="AP270" s="20">
        <f>IF('Raw profile'!AO135&gt;0,1,IF('Raw profile'!AO238&gt;0,2,0))</f>
        <v>2</v>
      </c>
      <c r="AQ270" s="20">
        <f>IF('Raw profile'!AP135&gt;0,1,IF('Raw profile'!AP238&gt;0,2,0))</f>
        <v>2</v>
      </c>
      <c r="AR270" s="20">
        <f>IF('Raw profile'!AQ135&gt;0,1,IF('Raw profile'!AQ238&gt;0,2,0))</f>
        <v>2</v>
      </c>
      <c r="AS270" s="20">
        <f>IF('Raw profile'!AR135&gt;0,1,IF('Raw profile'!AR238&gt;0,2,0))</f>
        <v>2</v>
      </c>
      <c r="AT270" s="20">
        <f>IF('Raw profile'!AS135&gt;0,1,IF('Raw profile'!AS238&gt;0,2,0))</f>
        <v>2</v>
      </c>
      <c r="AU270" s="20">
        <f>IF('Raw profile'!AT135&gt;0,1,IF('Raw profile'!AT238&gt;0,2,0))</f>
        <v>2</v>
      </c>
      <c r="AV270" s="20">
        <f>IF('Raw profile'!AU135&gt;0,1,IF('Raw profile'!AU238&gt;0,2,0))</f>
        <v>2</v>
      </c>
      <c r="AW270" s="20">
        <f>IF('Raw profile'!AV135&gt;0,1,IF('Raw profile'!AV238&gt;0,2,0))</f>
        <v>2</v>
      </c>
      <c r="AX270" s="20">
        <f>IF('Raw profile'!AW135&gt;0,1,IF('Raw profile'!AW238&gt;0,2,0))</f>
        <v>2</v>
      </c>
      <c r="AY270" s="20">
        <f>IF('Raw profile'!AX135&gt;0,1,IF('Raw profile'!AX238&gt;0,2,0))</f>
        <v>2</v>
      </c>
      <c r="AZ270" s="20">
        <f>IF('Raw profile'!AY135&gt;0,1,IF('Raw profile'!AY238&gt;0,2,0))</f>
        <v>2</v>
      </c>
      <c r="BA270" s="20">
        <f>IF('Raw profile'!AZ135&gt;0,1,IF('Raw profile'!AZ238&gt;0,2,0))</f>
        <v>2</v>
      </c>
      <c r="BB270" s="20">
        <f>IF('Raw profile'!BA135&gt;0,1,IF('Raw profile'!BA238&gt;0,2,0))</f>
        <v>2</v>
      </c>
      <c r="BC270" s="20">
        <f>IF('Raw profile'!BB135&gt;0,1,IF('Raw profile'!BB238&gt;0,2,0))</f>
        <v>2</v>
      </c>
      <c r="BD270" s="20">
        <f>IF('Raw profile'!BC135&gt;0,1,IF('Raw profile'!BC238&gt;0,2,0))</f>
        <v>2</v>
      </c>
      <c r="BE270" s="20">
        <f>IF('Raw profile'!BD135&gt;0,1,IF('Raw profile'!BD238&gt;0,2,0))</f>
        <v>2</v>
      </c>
      <c r="BF270" s="20">
        <f>IF('Raw profile'!BE135&gt;0,1,IF('Raw profile'!BE238&gt;0,2,0))</f>
        <v>2</v>
      </c>
      <c r="BG270" s="20">
        <f>IF('Raw profile'!BF135&gt;0,1,IF('Raw profile'!BF238&gt;0,2,0))</f>
        <v>2</v>
      </c>
      <c r="BH270" s="20">
        <f>IF('Raw profile'!BG135&gt;0,1,IF('Raw profile'!BG238&gt;0,2,0))</f>
        <v>0</v>
      </c>
      <c r="BI270" s="20">
        <f>IF('Raw profile'!BH135&gt;0,1,IF('Raw profile'!BH238&gt;0,2,0))</f>
        <v>0</v>
      </c>
      <c r="BJ270" s="20">
        <f>IF('Raw profile'!BI135&gt;0,1,IF('Raw profile'!BI238&gt;0,2,0))</f>
        <v>0</v>
      </c>
      <c r="BK270" s="21">
        <f>IF('Raw profile'!BJ135&gt;0,1,IF('Raw profile'!BJ238&gt;0,2,0))</f>
        <v>0</v>
      </c>
    </row>
    <row r="271" spans="1:63" x14ac:dyDescent="0.3">
      <c r="B271" s="13" t="s">
        <v>4</v>
      </c>
      <c r="C271" s="19">
        <f>'Growth profile'!I27</f>
        <v>2037</v>
      </c>
      <c r="D271" s="20">
        <f>IF('Growth profile'!C135&gt;0,1,IF('Growth profile'!C238&gt;0,3,0))</f>
        <v>0</v>
      </c>
      <c r="E271" s="20">
        <f>IF('Growth profile'!D135&gt;0,1,IF('Growth profile'!D238&gt;0,3,0))</f>
        <v>0</v>
      </c>
      <c r="F271" s="20">
        <f>IF('Growth profile'!E135&gt;0,1,IF('Growth profile'!E238&gt;0,3,0))</f>
        <v>0</v>
      </c>
      <c r="G271" s="20">
        <f>IF('Growth profile'!F135&gt;0,1,IF('Growth profile'!F238&gt;0,3,0))</f>
        <v>0</v>
      </c>
      <c r="H271" s="20">
        <f>IF('Growth profile'!G135&gt;0,1,IF('Growth profile'!G238&gt;0,3,0))</f>
        <v>0</v>
      </c>
      <c r="I271" s="20">
        <f>IF('Growth profile'!H135&gt;0,1,IF('Growth profile'!H238&gt;0,3,0))</f>
        <v>0</v>
      </c>
      <c r="J271" s="20">
        <f>IF('Growth profile'!I135&gt;0,1,IF('Growth profile'!I238&gt;0,3,0))</f>
        <v>0</v>
      </c>
      <c r="K271" s="20">
        <f>IF('Growth profile'!J135&gt;0,1,IF('Growth profile'!J238&gt;0,3,0))</f>
        <v>0</v>
      </c>
      <c r="L271" s="20">
        <f>IF('Growth profile'!K135&gt;0,1,IF('Growth profile'!K238&gt;0,3,0))</f>
        <v>0</v>
      </c>
      <c r="M271" s="20">
        <f>IF('Growth profile'!L135&gt;0,1,IF('Growth profile'!L238&gt;0,3,0))</f>
        <v>0</v>
      </c>
      <c r="N271" s="20">
        <f>IF('Growth profile'!M135&gt;0,1,IF('Growth profile'!M238&gt;0,3,0))</f>
        <v>0</v>
      </c>
      <c r="O271" s="20">
        <f>IF('Growth profile'!N135&gt;0,1,IF('Growth profile'!N238&gt;0,3,0))</f>
        <v>1</v>
      </c>
      <c r="P271" s="20">
        <f>IF('Growth profile'!O135&gt;0,1,IF('Growth profile'!O238&gt;0,3,0))</f>
        <v>3</v>
      </c>
      <c r="Q271" s="20">
        <f>IF('Growth profile'!P135&gt;0,1,IF('Growth profile'!P238&gt;0,3,0))</f>
        <v>3</v>
      </c>
      <c r="R271" s="20">
        <f>IF('Growth profile'!Q135&gt;0,1,IF('Growth profile'!Q238&gt;0,3,0))</f>
        <v>3</v>
      </c>
      <c r="S271" s="20">
        <f>IF('Growth profile'!R135&gt;0,1,IF('Growth profile'!R238&gt;0,3,0))</f>
        <v>3</v>
      </c>
      <c r="T271" s="20">
        <f>IF('Growth profile'!S135&gt;0,1,IF('Growth profile'!S238&gt;0,3,0))</f>
        <v>3</v>
      </c>
      <c r="U271" s="20">
        <f>IF('Growth profile'!T135&gt;0,1,IF('Growth profile'!T238&gt;0,3,0))</f>
        <v>3</v>
      </c>
      <c r="V271" s="20">
        <f>IF('Growth profile'!U135&gt;0,1,IF('Growth profile'!U238&gt;0,3,0))</f>
        <v>3</v>
      </c>
      <c r="W271" s="20">
        <f>IF('Growth profile'!V135&gt;0,1,IF('Growth profile'!V238&gt;0,3,0))</f>
        <v>3</v>
      </c>
      <c r="X271" s="20">
        <f>IF('Growth profile'!W135&gt;0,1,IF('Growth profile'!W238&gt;0,3,0))</f>
        <v>3</v>
      </c>
      <c r="Y271" s="20">
        <f>IF('Growth profile'!X135&gt;0,1,IF('Growth profile'!X238&gt;0,3,0))</f>
        <v>3</v>
      </c>
      <c r="Z271" s="20">
        <f>IF('Growth profile'!Y135&gt;0,1,IF('Growth profile'!Y238&gt;0,3,0))</f>
        <v>3</v>
      </c>
      <c r="AA271" s="20">
        <f>IF('Growth profile'!Z135&gt;0,1,IF('Growth profile'!Z238&gt;0,3,0))</f>
        <v>3</v>
      </c>
      <c r="AB271" s="20">
        <f>IF('Growth profile'!AA135&gt;0,1,IF('Growth profile'!AA238&gt;0,3,0))</f>
        <v>3</v>
      </c>
      <c r="AC271" s="20">
        <f>IF('Growth profile'!AB135&gt;0,1,IF('Growth profile'!AB238&gt;0,3,0))</f>
        <v>3</v>
      </c>
      <c r="AD271" s="20">
        <f>IF('Growth profile'!AC135&gt;0,1,IF('Growth profile'!AC238&gt;0,3,0))</f>
        <v>3</v>
      </c>
      <c r="AE271" s="20">
        <f>IF('Growth profile'!AD135&gt;0,1,IF('Growth profile'!AD238&gt;0,3,0))</f>
        <v>3</v>
      </c>
      <c r="AF271" s="20">
        <f>IF('Growth profile'!AE135&gt;0,1,IF('Growth profile'!AE238&gt;0,3,0))</f>
        <v>3</v>
      </c>
      <c r="AG271" s="20">
        <f>IF('Growth profile'!AF135&gt;0,1,IF('Growth profile'!AF238&gt;0,3,0))</f>
        <v>3</v>
      </c>
      <c r="AH271" s="20">
        <f>IF('Growth profile'!AG135&gt;0,1,IF('Growth profile'!AG238&gt;0,3,0))</f>
        <v>3</v>
      </c>
      <c r="AI271" s="20">
        <f>IF('Growth profile'!AH135&gt;0,1,IF('Growth profile'!AH238&gt;0,3,0))</f>
        <v>3</v>
      </c>
      <c r="AJ271" s="20">
        <f>IF('Growth profile'!AI135&gt;0,1,IF('Growth profile'!AI238&gt;0,3,0))</f>
        <v>3</v>
      </c>
      <c r="AK271" s="20">
        <f>IF('Growth profile'!AJ135&gt;0,1,IF('Growth profile'!AJ238&gt;0,3,0))</f>
        <v>3</v>
      </c>
      <c r="AL271" s="20">
        <f>IF('Growth profile'!AK135&gt;0,1,IF('Growth profile'!AK238&gt;0,3,0))</f>
        <v>3</v>
      </c>
      <c r="AM271" s="20">
        <f>IF('Growth profile'!AL135&gt;0,1,IF('Growth profile'!AL238&gt;0,3,0))</f>
        <v>3</v>
      </c>
      <c r="AN271" s="20">
        <f>IF('Growth profile'!AM135&gt;0,1,IF('Growth profile'!AM238&gt;0,3,0))</f>
        <v>3</v>
      </c>
      <c r="AO271" s="20">
        <f>IF('Growth profile'!AN135&gt;0,1,IF('Growth profile'!AN238&gt;0,3,0))</f>
        <v>3</v>
      </c>
      <c r="AP271" s="20">
        <f>IF('Growth profile'!AO135&gt;0,1,IF('Growth profile'!AO238&gt;0,3,0))</f>
        <v>3</v>
      </c>
      <c r="AQ271" s="20">
        <f>IF('Growth profile'!AP135&gt;0,1,IF('Growth profile'!AP238&gt;0,3,0))</f>
        <v>3</v>
      </c>
      <c r="AR271" s="20">
        <f>IF('Growth profile'!AQ135&gt;0,1,IF('Growth profile'!AQ238&gt;0,3,0))</f>
        <v>3</v>
      </c>
      <c r="AS271" s="20">
        <f>IF('Growth profile'!AR135&gt;0,1,IF('Growth profile'!AR238&gt;0,3,0))</f>
        <v>3</v>
      </c>
      <c r="AT271" s="20">
        <f>IF('Growth profile'!AS135&gt;0,1,IF('Growth profile'!AS238&gt;0,3,0))</f>
        <v>3</v>
      </c>
      <c r="AU271" s="20">
        <f>IF('Growth profile'!AT135&gt;0,1,IF('Growth profile'!AT238&gt;0,3,0))</f>
        <v>3</v>
      </c>
      <c r="AV271" s="20">
        <f>IF('Growth profile'!AU135&gt;0,1,IF('Growth profile'!AU238&gt;0,3,0))</f>
        <v>3</v>
      </c>
      <c r="AW271" s="20">
        <f>IF('Growth profile'!AV135&gt;0,1,IF('Growth profile'!AV238&gt;0,3,0))</f>
        <v>3</v>
      </c>
      <c r="AX271" s="20">
        <f>IF('Growth profile'!AW135&gt;0,1,IF('Growth profile'!AW238&gt;0,3,0))</f>
        <v>3</v>
      </c>
      <c r="AY271" s="20">
        <f>IF('Growth profile'!AX135&gt;0,1,IF('Growth profile'!AX238&gt;0,3,0))</f>
        <v>3</v>
      </c>
      <c r="AZ271" s="20">
        <f>IF('Growth profile'!AY135&gt;0,1,IF('Growth profile'!AY238&gt;0,3,0))</f>
        <v>3</v>
      </c>
      <c r="BA271" s="20">
        <f>IF('Growth profile'!AZ135&gt;0,1,IF('Growth profile'!AZ238&gt;0,3,0))</f>
        <v>3</v>
      </c>
      <c r="BB271" s="20">
        <f>IF('Growth profile'!BA135&gt;0,1,IF('Growth profile'!BA238&gt;0,3,0))</f>
        <v>3</v>
      </c>
      <c r="BC271" s="20">
        <f>IF('Growth profile'!BB135&gt;0,1,IF('Growth profile'!BB238&gt;0,3,0))</f>
        <v>3</v>
      </c>
      <c r="BD271" s="20">
        <f>IF('Growth profile'!BC135&gt;0,1,IF('Growth profile'!BC238&gt;0,3,0))</f>
        <v>0</v>
      </c>
      <c r="BE271" s="20">
        <f>IF('Growth profile'!BD135&gt;0,1,IF('Growth profile'!BD238&gt;0,3,0))</f>
        <v>0</v>
      </c>
      <c r="BF271" s="20">
        <f>IF('Growth profile'!BE135&gt;0,1,IF('Growth profile'!BE238&gt;0,3,0))</f>
        <v>0</v>
      </c>
      <c r="BG271" s="20">
        <f>IF('Growth profile'!BF135&gt;0,1,IF('Growth profile'!BF238&gt;0,3,0))</f>
        <v>0</v>
      </c>
      <c r="BH271" s="20">
        <f>IF('Growth profile'!BG135&gt;0,1,IF('Growth profile'!BG238&gt;0,3,0))</f>
        <v>0</v>
      </c>
      <c r="BI271" s="20">
        <f>IF('Growth profile'!BH135&gt;0,1,IF('Growth profile'!BH238&gt;0,3,0))</f>
        <v>0</v>
      </c>
      <c r="BJ271" s="20">
        <f>IF('Growth profile'!BI135&gt;0,1,IF('Growth profile'!BI238&gt;0,3,0))</f>
        <v>0</v>
      </c>
      <c r="BK271" s="21">
        <f>IF('Growth profile'!BJ135&gt;0,1,IF('Growth profile'!BJ238&gt;0,3,0))</f>
        <v>0</v>
      </c>
    </row>
    <row r="272" spans="1:63" x14ac:dyDescent="0.3">
      <c r="B272" s="13" t="s">
        <v>59</v>
      </c>
      <c r="C272" s="19">
        <f>'Growth (no penalty)'!I27</f>
        <v>2045</v>
      </c>
      <c r="D272" s="22">
        <f>IF('Growth (no penalty)'!C135&gt;0,1,IF('Growth (no penalty)'!C238&gt;0,4,0))</f>
        <v>0</v>
      </c>
      <c r="E272" s="22">
        <f>IF('Growth (no penalty)'!D135&gt;0,1,IF('Growth (no penalty)'!D238&gt;0,4,0))</f>
        <v>0</v>
      </c>
      <c r="F272" s="22">
        <f>IF('Growth (no penalty)'!E135&gt;0,1,IF('Growth (no penalty)'!E238&gt;0,4,0))</f>
        <v>0</v>
      </c>
      <c r="G272" s="22">
        <f>IF('Growth (no penalty)'!F135&gt;0,1,IF('Growth (no penalty)'!F238&gt;0,4,0))</f>
        <v>0</v>
      </c>
      <c r="H272" s="22">
        <f>IF('Growth (no penalty)'!G135&gt;0,1,IF('Growth (no penalty)'!G238&gt;0,4,0))</f>
        <v>0</v>
      </c>
      <c r="I272" s="22">
        <f>IF('Growth (no penalty)'!H135&gt;0,1,IF('Growth (no penalty)'!H238&gt;0,4,0))</f>
        <v>0</v>
      </c>
      <c r="J272" s="22">
        <f>IF('Growth (no penalty)'!I135&gt;0,1,IF('Growth (no penalty)'!I238&gt;0,4,0))</f>
        <v>0</v>
      </c>
      <c r="K272" s="22">
        <f>IF('Growth (no penalty)'!J135&gt;0,1,IF('Growth (no penalty)'!J238&gt;0,4,0))</f>
        <v>0</v>
      </c>
      <c r="L272" s="22">
        <f>IF('Growth (no penalty)'!K135&gt;0,1,IF('Growth (no penalty)'!K238&gt;0,4,0))</f>
        <v>0</v>
      </c>
      <c r="M272" s="22">
        <f>IF('Growth (no penalty)'!L135&gt;0,1,IF('Growth (no penalty)'!L238&gt;0,4,0))</f>
        <v>0</v>
      </c>
      <c r="N272" s="22">
        <f>IF('Growth (no penalty)'!M135&gt;0,1,IF('Growth (no penalty)'!M238&gt;0,4,0))</f>
        <v>0</v>
      </c>
      <c r="O272" s="22">
        <f>IF('Growth (no penalty)'!N135&gt;0,1,IF('Growth (no penalty)'!N238&gt;0,4,0))</f>
        <v>0</v>
      </c>
      <c r="P272" s="22">
        <f>IF('Growth (no penalty)'!O135&gt;0,1,IF('Growth (no penalty)'!O238&gt;0,4,0))</f>
        <v>0</v>
      </c>
      <c r="Q272" s="22">
        <f>IF('Growth (no penalty)'!P135&gt;0,1,IF('Growth (no penalty)'!P238&gt;0,4,0))</f>
        <v>0</v>
      </c>
      <c r="R272" s="22">
        <f>IF('Growth (no penalty)'!Q135&gt;0,1,IF('Growth (no penalty)'!Q238&gt;0,4,0))</f>
        <v>0</v>
      </c>
      <c r="S272" s="22">
        <f>IF('Growth (no penalty)'!R135&gt;0,1,IF('Growth (no penalty)'!R238&gt;0,4,0))</f>
        <v>0</v>
      </c>
      <c r="T272" s="22">
        <f>IF('Growth (no penalty)'!S135&gt;0,1,IF('Growth (no penalty)'!S238&gt;0,4,0))</f>
        <v>0</v>
      </c>
      <c r="U272" s="22">
        <f>IF('Growth (no penalty)'!T135&gt;0,1,IF('Growth (no penalty)'!T238&gt;0,4,0))</f>
        <v>0</v>
      </c>
      <c r="V272" s="22">
        <f>IF('Growth (no penalty)'!U135&gt;0,1,IF('Growth (no penalty)'!U238&gt;0,4,0))</f>
        <v>0</v>
      </c>
      <c r="W272" s="22">
        <f>IF('Growth (no penalty)'!V135&gt;0,1,IF('Growth (no penalty)'!V238&gt;0,4,0))</f>
        <v>1</v>
      </c>
      <c r="X272" s="22">
        <f>IF('Growth (no penalty)'!W135&gt;0,1,IF('Growth (no penalty)'!W238&gt;0,4,0))</f>
        <v>4</v>
      </c>
      <c r="Y272" s="22">
        <f>IF('Growth (no penalty)'!X135&gt;0,1,IF('Growth (no penalty)'!X238&gt;0,4,0))</f>
        <v>4</v>
      </c>
      <c r="Z272" s="22">
        <f>IF('Growth (no penalty)'!Y135&gt;0,1,IF('Growth (no penalty)'!Y238&gt;0,4,0))</f>
        <v>4</v>
      </c>
      <c r="AA272" s="22">
        <f>IF('Growth (no penalty)'!Z135&gt;0,1,IF('Growth (no penalty)'!Z238&gt;0,4,0))</f>
        <v>4</v>
      </c>
      <c r="AB272" s="22">
        <f>IF('Growth (no penalty)'!AA135&gt;0,1,IF('Growth (no penalty)'!AA238&gt;0,4,0))</f>
        <v>4</v>
      </c>
      <c r="AC272" s="22">
        <f>IF('Growth (no penalty)'!AB135&gt;0,1,IF('Growth (no penalty)'!AB238&gt;0,4,0))</f>
        <v>4</v>
      </c>
      <c r="AD272" s="22">
        <f>IF('Growth (no penalty)'!AC135&gt;0,1,IF('Growth (no penalty)'!AC238&gt;0,4,0))</f>
        <v>4</v>
      </c>
      <c r="AE272" s="22">
        <f>IF('Growth (no penalty)'!AD135&gt;0,1,IF('Growth (no penalty)'!AD238&gt;0,4,0))</f>
        <v>4</v>
      </c>
      <c r="AF272" s="22">
        <f>IF('Growth (no penalty)'!AE135&gt;0,1,IF('Growth (no penalty)'!AE238&gt;0,4,0))</f>
        <v>4</v>
      </c>
      <c r="AG272" s="22">
        <f>IF('Growth (no penalty)'!AF135&gt;0,1,IF('Growth (no penalty)'!AF238&gt;0,4,0))</f>
        <v>4</v>
      </c>
      <c r="AH272" s="22">
        <f>IF('Growth (no penalty)'!AG135&gt;0,1,IF('Growth (no penalty)'!AG238&gt;0,4,0))</f>
        <v>4</v>
      </c>
      <c r="AI272" s="22">
        <f>IF('Growth (no penalty)'!AH135&gt;0,1,IF('Growth (no penalty)'!AH238&gt;0,4,0))</f>
        <v>4</v>
      </c>
      <c r="AJ272" s="22">
        <f>IF('Growth (no penalty)'!AI135&gt;0,1,IF('Growth (no penalty)'!AI238&gt;0,4,0))</f>
        <v>4</v>
      </c>
      <c r="AK272" s="22">
        <f>IF('Growth (no penalty)'!AJ135&gt;0,1,IF('Growth (no penalty)'!AJ238&gt;0,4,0))</f>
        <v>4</v>
      </c>
      <c r="AL272" s="22">
        <f>IF('Growth (no penalty)'!AK135&gt;0,1,IF('Growth (no penalty)'!AK238&gt;0,4,0))</f>
        <v>4</v>
      </c>
      <c r="AM272" s="22">
        <f>IF('Growth (no penalty)'!AL135&gt;0,1,IF('Growth (no penalty)'!AL238&gt;0,4,0))</f>
        <v>4</v>
      </c>
      <c r="AN272" s="22">
        <f>IF('Growth (no penalty)'!AM135&gt;0,1,IF('Growth (no penalty)'!AM238&gt;0,4,0))</f>
        <v>4</v>
      </c>
      <c r="AO272" s="22">
        <f>IF('Growth (no penalty)'!AN135&gt;0,1,IF('Growth (no penalty)'!AN238&gt;0,4,0))</f>
        <v>4</v>
      </c>
      <c r="AP272" s="22">
        <f>IF('Growth (no penalty)'!AO135&gt;0,1,IF('Growth (no penalty)'!AO238&gt;0,4,0))</f>
        <v>4</v>
      </c>
      <c r="AQ272" s="22">
        <f>IF('Growth (no penalty)'!AP135&gt;0,1,IF('Growth (no penalty)'!AP238&gt;0,4,0))</f>
        <v>4</v>
      </c>
      <c r="AR272" s="22">
        <f>IF('Growth (no penalty)'!AQ135&gt;0,1,IF('Growth (no penalty)'!AQ238&gt;0,4,0))</f>
        <v>4</v>
      </c>
      <c r="AS272" s="22">
        <f>IF('Growth (no penalty)'!AR135&gt;0,1,IF('Growth (no penalty)'!AR238&gt;0,4,0))</f>
        <v>4</v>
      </c>
      <c r="AT272" s="22">
        <f>IF('Growth (no penalty)'!AS135&gt;0,1,IF('Growth (no penalty)'!AS238&gt;0,4,0))</f>
        <v>4</v>
      </c>
      <c r="AU272" s="22">
        <f>IF('Growth (no penalty)'!AT135&gt;0,1,IF('Growth (no penalty)'!AT238&gt;0,4,0))</f>
        <v>4</v>
      </c>
      <c r="AV272" s="22">
        <f>IF('Growth (no penalty)'!AU135&gt;0,1,IF('Growth (no penalty)'!AU238&gt;0,4,0))</f>
        <v>4</v>
      </c>
      <c r="AW272" s="22">
        <f>IF('Growth (no penalty)'!AV135&gt;0,1,IF('Growth (no penalty)'!AV238&gt;0,4,0))</f>
        <v>4</v>
      </c>
      <c r="AX272" s="22">
        <f>IF('Growth (no penalty)'!AW135&gt;0,1,IF('Growth (no penalty)'!AW238&gt;0,4,0))</f>
        <v>4</v>
      </c>
      <c r="AY272" s="22">
        <f>IF('Growth (no penalty)'!AX135&gt;0,1,IF('Growth (no penalty)'!AX238&gt;0,4,0))</f>
        <v>4</v>
      </c>
      <c r="AZ272" s="22">
        <f>IF('Growth (no penalty)'!AY135&gt;0,1,IF('Growth (no penalty)'!AY238&gt;0,4,0))</f>
        <v>4</v>
      </c>
      <c r="BA272" s="22">
        <f>IF('Growth (no penalty)'!AZ135&gt;0,1,IF('Growth (no penalty)'!AZ238&gt;0,4,0))</f>
        <v>4</v>
      </c>
      <c r="BB272" s="22">
        <f>IF('Growth (no penalty)'!BA135&gt;0,1,IF('Growth (no penalty)'!BA238&gt;0,4,0))</f>
        <v>4</v>
      </c>
      <c r="BC272" s="22">
        <f>IF('Growth (no penalty)'!BB135&gt;0,1,IF('Growth (no penalty)'!BB238&gt;0,4,0))</f>
        <v>4</v>
      </c>
      <c r="BD272" s="22">
        <f>IF('Growth (no penalty)'!BC135&gt;0,1,IF('Growth (no penalty)'!BC238&gt;0,4,0))</f>
        <v>4</v>
      </c>
      <c r="BE272" s="22">
        <f>IF('Growth (no penalty)'!BD135&gt;0,1,IF('Growth (no penalty)'!BD238&gt;0,4,0))</f>
        <v>4</v>
      </c>
      <c r="BF272" s="22">
        <f>IF('Growth (no penalty)'!BE135&gt;0,1,IF('Growth (no penalty)'!BE238&gt;0,4,0))</f>
        <v>4</v>
      </c>
      <c r="BG272" s="22">
        <f>IF('Growth (no penalty)'!BF135&gt;0,1,IF('Growth (no penalty)'!BF238&gt;0,4,0))</f>
        <v>4</v>
      </c>
      <c r="BH272" s="22">
        <f>IF('Growth (no penalty)'!BG135&gt;0,1,IF('Growth (no penalty)'!BG238&gt;0,4,0))</f>
        <v>4</v>
      </c>
      <c r="BI272" s="22">
        <f>IF('Growth (no penalty)'!BH135&gt;0,1,IF('Growth (no penalty)'!BH238&gt;0,4,0))</f>
        <v>4</v>
      </c>
      <c r="BJ272" s="22">
        <f>IF('Growth (no penalty)'!BI135&gt;0,1,IF('Growth (no penalty)'!BI238&gt;0,4,0))</f>
        <v>4</v>
      </c>
      <c r="BK272" s="23">
        <f>IF('Growth (no penalty)'!BJ135&gt;0,1,IF('Growth (no penalty)'!BJ238&gt;0,4,0))</f>
        <v>4</v>
      </c>
    </row>
    <row r="273" spans="1:63" x14ac:dyDescent="0.3">
      <c r="A273" s="4" t="str">
        <f>'Growth profile'!A54</f>
        <v>project 53</v>
      </c>
      <c r="B273" s="13" t="s">
        <v>3</v>
      </c>
      <c r="C273" s="19">
        <f>'Raw profile'!I54</f>
        <v>2041</v>
      </c>
      <c r="D273" s="20">
        <f>IF('Raw profile'!C162&gt;0,1,IF('Raw profile'!C265&gt;0,2,0))</f>
        <v>0</v>
      </c>
      <c r="E273" s="20">
        <f>IF('Raw profile'!D162&gt;0,1,IF('Raw profile'!D265&gt;0,2,0))</f>
        <v>0</v>
      </c>
      <c r="F273" s="20">
        <f>IF('Raw profile'!E162&gt;0,1,IF('Raw profile'!E265&gt;0,2,0))</f>
        <v>0</v>
      </c>
      <c r="G273" s="20">
        <f>IF('Raw profile'!F162&gt;0,1,IF('Raw profile'!F265&gt;0,2,0))</f>
        <v>0</v>
      </c>
      <c r="H273" s="20">
        <f>IF('Raw profile'!G162&gt;0,1,IF('Raw profile'!G265&gt;0,2,0))</f>
        <v>0</v>
      </c>
      <c r="I273" s="20">
        <f>IF('Raw profile'!H162&gt;0,1,IF('Raw profile'!H265&gt;0,2,0))</f>
        <v>0</v>
      </c>
      <c r="J273" s="20">
        <f>IF('Raw profile'!I162&gt;0,1,IF('Raw profile'!I265&gt;0,2,0))</f>
        <v>0</v>
      </c>
      <c r="K273" s="20">
        <f>IF('Raw profile'!J162&gt;0,1,IF('Raw profile'!J265&gt;0,2,0))</f>
        <v>0</v>
      </c>
      <c r="L273" s="20">
        <f>IF('Raw profile'!K162&gt;0,1,IF('Raw profile'!K265&gt;0,2,0))</f>
        <v>0</v>
      </c>
      <c r="M273" s="20">
        <f>IF('Raw profile'!L162&gt;0,1,IF('Raw profile'!L265&gt;0,2,0))</f>
        <v>0</v>
      </c>
      <c r="N273" s="20">
        <f>IF('Raw profile'!M162&gt;0,1,IF('Raw profile'!M265&gt;0,2,0))</f>
        <v>0</v>
      </c>
      <c r="O273" s="20">
        <f>IF('Raw profile'!N162&gt;0,1,IF('Raw profile'!N265&gt;0,2,0))</f>
        <v>0</v>
      </c>
      <c r="P273" s="20">
        <f>IF('Raw profile'!O162&gt;0,1,IF('Raw profile'!O265&gt;0,2,0))</f>
        <v>0</v>
      </c>
      <c r="Q273" s="20">
        <f>IF('Raw profile'!P162&gt;0,1,IF('Raw profile'!P265&gt;0,2,0))</f>
        <v>0</v>
      </c>
      <c r="R273" s="20">
        <f>IF('Raw profile'!Q162&gt;0,1,IF('Raw profile'!Q265&gt;0,2,0))</f>
        <v>0</v>
      </c>
      <c r="S273" s="20">
        <f>IF('Raw profile'!R162&gt;0,1,IF('Raw profile'!R265&gt;0,2,0))</f>
        <v>1</v>
      </c>
      <c r="T273" s="20">
        <f>IF('Raw profile'!S162&gt;0,1,IF('Raw profile'!S265&gt;0,2,0))</f>
        <v>1</v>
      </c>
      <c r="U273" s="20">
        <f>IF('Raw profile'!T162&gt;0,1,IF('Raw profile'!T265&gt;0,2,0))</f>
        <v>2</v>
      </c>
      <c r="V273" s="20">
        <f>IF('Raw profile'!U162&gt;0,1,IF('Raw profile'!U265&gt;0,2,0))</f>
        <v>2</v>
      </c>
      <c r="W273" s="20">
        <f>IF('Raw profile'!V162&gt;0,1,IF('Raw profile'!V265&gt;0,2,0))</f>
        <v>2</v>
      </c>
      <c r="X273" s="20">
        <f>IF('Raw profile'!W162&gt;0,1,IF('Raw profile'!W265&gt;0,2,0))</f>
        <v>2</v>
      </c>
      <c r="Y273" s="20">
        <f>IF('Raw profile'!X162&gt;0,1,IF('Raw profile'!X265&gt;0,2,0))</f>
        <v>2</v>
      </c>
      <c r="Z273" s="20">
        <f>IF('Raw profile'!Y162&gt;0,1,IF('Raw profile'!Y265&gt;0,2,0))</f>
        <v>2</v>
      </c>
      <c r="AA273" s="20">
        <f>IF('Raw profile'!Z162&gt;0,1,IF('Raw profile'!Z265&gt;0,2,0))</f>
        <v>2</v>
      </c>
      <c r="AB273" s="20">
        <f>IF('Raw profile'!AA162&gt;0,1,IF('Raw profile'!AA265&gt;0,2,0))</f>
        <v>2</v>
      </c>
      <c r="AC273" s="20">
        <f>IF('Raw profile'!AB162&gt;0,1,IF('Raw profile'!AB265&gt;0,2,0))</f>
        <v>2</v>
      </c>
      <c r="AD273" s="20">
        <f>IF('Raw profile'!AC162&gt;0,1,IF('Raw profile'!AC265&gt;0,2,0))</f>
        <v>2</v>
      </c>
      <c r="AE273" s="20">
        <f>IF('Raw profile'!AD162&gt;0,1,IF('Raw profile'!AD265&gt;0,2,0))</f>
        <v>2</v>
      </c>
      <c r="AF273" s="20">
        <f>IF('Raw profile'!AE162&gt;0,1,IF('Raw profile'!AE265&gt;0,2,0))</f>
        <v>2</v>
      </c>
      <c r="AG273" s="20">
        <f>IF('Raw profile'!AF162&gt;0,1,IF('Raw profile'!AF265&gt;0,2,0))</f>
        <v>2</v>
      </c>
      <c r="AH273" s="20">
        <f>IF('Raw profile'!AG162&gt;0,1,IF('Raw profile'!AG265&gt;0,2,0))</f>
        <v>2</v>
      </c>
      <c r="AI273" s="20">
        <f>IF('Raw profile'!AH162&gt;0,1,IF('Raw profile'!AH265&gt;0,2,0))</f>
        <v>2</v>
      </c>
      <c r="AJ273" s="20">
        <f>IF('Raw profile'!AI162&gt;0,1,IF('Raw profile'!AI265&gt;0,2,0))</f>
        <v>2</v>
      </c>
      <c r="AK273" s="20">
        <f>IF('Raw profile'!AJ162&gt;0,1,IF('Raw profile'!AJ265&gt;0,2,0))</f>
        <v>2</v>
      </c>
      <c r="AL273" s="20">
        <f>IF('Raw profile'!AK162&gt;0,1,IF('Raw profile'!AK265&gt;0,2,0))</f>
        <v>2</v>
      </c>
      <c r="AM273" s="20">
        <f>IF('Raw profile'!AL162&gt;0,1,IF('Raw profile'!AL265&gt;0,2,0))</f>
        <v>2</v>
      </c>
      <c r="AN273" s="20">
        <f>IF('Raw profile'!AM162&gt;0,1,IF('Raw profile'!AM265&gt;0,2,0))</f>
        <v>2</v>
      </c>
      <c r="AO273" s="20">
        <f>IF('Raw profile'!AN162&gt;0,1,IF('Raw profile'!AN265&gt;0,2,0))</f>
        <v>2</v>
      </c>
      <c r="AP273" s="20">
        <f>IF('Raw profile'!AO162&gt;0,1,IF('Raw profile'!AO265&gt;0,2,0))</f>
        <v>2</v>
      </c>
      <c r="AQ273" s="20">
        <f>IF('Raw profile'!AP162&gt;0,1,IF('Raw profile'!AP265&gt;0,2,0))</f>
        <v>2</v>
      </c>
      <c r="AR273" s="20">
        <f>IF('Raw profile'!AQ162&gt;0,1,IF('Raw profile'!AQ265&gt;0,2,0))</f>
        <v>2</v>
      </c>
      <c r="AS273" s="20">
        <f>IF('Raw profile'!AR162&gt;0,1,IF('Raw profile'!AR265&gt;0,2,0))</f>
        <v>2</v>
      </c>
      <c r="AT273" s="20">
        <f>IF('Raw profile'!AS162&gt;0,1,IF('Raw profile'!AS265&gt;0,2,0))</f>
        <v>2</v>
      </c>
      <c r="AU273" s="20">
        <f>IF('Raw profile'!AT162&gt;0,1,IF('Raw profile'!AT265&gt;0,2,0))</f>
        <v>2</v>
      </c>
      <c r="AV273" s="20">
        <f>IF('Raw profile'!AU162&gt;0,1,IF('Raw profile'!AU265&gt;0,2,0))</f>
        <v>2</v>
      </c>
      <c r="AW273" s="20">
        <f>IF('Raw profile'!AV162&gt;0,1,IF('Raw profile'!AV265&gt;0,2,0))</f>
        <v>2</v>
      </c>
      <c r="AX273" s="20">
        <f>IF('Raw profile'!AW162&gt;0,1,IF('Raw profile'!AW265&gt;0,2,0))</f>
        <v>2</v>
      </c>
      <c r="AY273" s="20">
        <f>IF('Raw profile'!AX162&gt;0,1,IF('Raw profile'!AX265&gt;0,2,0))</f>
        <v>2</v>
      </c>
      <c r="AZ273" s="20">
        <f>IF('Raw profile'!AY162&gt;0,1,IF('Raw profile'!AY265&gt;0,2,0))</f>
        <v>2</v>
      </c>
      <c r="BA273" s="20">
        <f>IF('Raw profile'!AZ162&gt;0,1,IF('Raw profile'!AZ265&gt;0,2,0))</f>
        <v>2</v>
      </c>
      <c r="BB273" s="20">
        <f>IF('Raw profile'!BA162&gt;0,1,IF('Raw profile'!BA265&gt;0,2,0))</f>
        <v>2</v>
      </c>
      <c r="BC273" s="20">
        <f>IF('Raw profile'!BB162&gt;0,1,IF('Raw profile'!BB265&gt;0,2,0))</f>
        <v>2</v>
      </c>
      <c r="BD273" s="20">
        <f>IF('Raw profile'!BC162&gt;0,1,IF('Raw profile'!BC265&gt;0,2,0))</f>
        <v>2</v>
      </c>
      <c r="BE273" s="20">
        <f>IF('Raw profile'!BD162&gt;0,1,IF('Raw profile'!BD265&gt;0,2,0))</f>
        <v>2</v>
      </c>
      <c r="BF273" s="20">
        <f>IF('Raw profile'!BE162&gt;0,1,IF('Raw profile'!BE265&gt;0,2,0))</f>
        <v>2</v>
      </c>
      <c r="BG273" s="20">
        <f>IF('Raw profile'!BF162&gt;0,1,IF('Raw profile'!BF265&gt;0,2,0))</f>
        <v>2</v>
      </c>
      <c r="BH273" s="20">
        <f>IF('Raw profile'!BG162&gt;0,1,IF('Raw profile'!BG265&gt;0,2,0))</f>
        <v>2</v>
      </c>
      <c r="BI273" s="20">
        <f>IF('Raw profile'!BH162&gt;0,1,IF('Raw profile'!BH265&gt;0,2,0))</f>
        <v>0</v>
      </c>
      <c r="BJ273" s="20">
        <f>IF('Raw profile'!BI162&gt;0,1,IF('Raw profile'!BI265&gt;0,2,0))</f>
        <v>0</v>
      </c>
      <c r="BK273" s="21">
        <f>IF('Raw profile'!BJ162&gt;0,1,IF('Raw profile'!BJ265&gt;0,2,0))</f>
        <v>0</v>
      </c>
    </row>
    <row r="274" spans="1:63" x14ac:dyDescent="0.3">
      <c r="B274" s="13" t="s">
        <v>4</v>
      </c>
      <c r="C274" s="19">
        <f>'Growth profile'!I54</f>
        <v>2038</v>
      </c>
      <c r="D274" s="20">
        <f>IF('Growth profile'!C162&gt;0,1,IF('Growth profile'!C265&gt;0,3,0))</f>
        <v>0</v>
      </c>
      <c r="E274" s="20">
        <f>IF('Growth profile'!D162&gt;0,1,IF('Growth profile'!D265&gt;0,3,0))</f>
        <v>0</v>
      </c>
      <c r="F274" s="20">
        <f>IF('Growth profile'!E162&gt;0,1,IF('Growth profile'!E265&gt;0,3,0))</f>
        <v>0</v>
      </c>
      <c r="G274" s="20">
        <f>IF('Growth profile'!F162&gt;0,1,IF('Growth profile'!F265&gt;0,3,0))</f>
        <v>0</v>
      </c>
      <c r="H274" s="20">
        <f>IF('Growth profile'!G162&gt;0,1,IF('Growth profile'!G265&gt;0,3,0))</f>
        <v>0</v>
      </c>
      <c r="I274" s="20">
        <f>IF('Growth profile'!H162&gt;0,1,IF('Growth profile'!H265&gt;0,3,0))</f>
        <v>0</v>
      </c>
      <c r="J274" s="20">
        <f>IF('Growth profile'!I162&gt;0,1,IF('Growth profile'!I265&gt;0,3,0))</f>
        <v>0</v>
      </c>
      <c r="K274" s="20">
        <f>IF('Growth profile'!J162&gt;0,1,IF('Growth profile'!J265&gt;0,3,0))</f>
        <v>0</v>
      </c>
      <c r="L274" s="20">
        <f>IF('Growth profile'!K162&gt;0,1,IF('Growth profile'!K265&gt;0,3,0))</f>
        <v>0</v>
      </c>
      <c r="M274" s="20">
        <f>IF('Growth profile'!L162&gt;0,1,IF('Growth profile'!L265&gt;0,3,0))</f>
        <v>0</v>
      </c>
      <c r="N274" s="20">
        <f>IF('Growth profile'!M162&gt;0,1,IF('Growth profile'!M265&gt;0,3,0))</f>
        <v>0</v>
      </c>
      <c r="O274" s="20">
        <f>IF('Growth profile'!N162&gt;0,1,IF('Growth profile'!N265&gt;0,3,0))</f>
        <v>0</v>
      </c>
      <c r="P274" s="20">
        <f>IF('Growth profile'!O162&gt;0,1,IF('Growth profile'!O265&gt;0,3,0))</f>
        <v>1</v>
      </c>
      <c r="Q274" s="20">
        <f>IF('Growth profile'!P162&gt;0,1,IF('Growth profile'!P265&gt;0,3,0))</f>
        <v>1</v>
      </c>
      <c r="R274" s="20">
        <f>IF('Growth profile'!Q162&gt;0,1,IF('Growth profile'!Q265&gt;0,3,0))</f>
        <v>3</v>
      </c>
      <c r="S274" s="20">
        <f>IF('Growth profile'!R162&gt;0,1,IF('Growth profile'!R265&gt;0,3,0))</f>
        <v>3</v>
      </c>
      <c r="T274" s="20">
        <f>IF('Growth profile'!S162&gt;0,1,IF('Growth profile'!S265&gt;0,3,0))</f>
        <v>3</v>
      </c>
      <c r="U274" s="20">
        <f>IF('Growth profile'!T162&gt;0,1,IF('Growth profile'!T265&gt;0,3,0))</f>
        <v>3</v>
      </c>
      <c r="V274" s="20">
        <f>IF('Growth profile'!U162&gt;0,1,IF('Growth profile'!U265&gt;0,3,0))</f>
        <v>3</v>
      </c>
      <c r="W274" s="20">
        <f>IF('Growth profile'!V162&gt;0,1,IF('Growth profile'!V265&gt;0,3,0))</f>
        <v>3</v>
      </c>
      <c r="X274" s="20">
        <f>IF('Growth profile'!W162&gt;0,1,IF('Growth profile'!W265&gt;0,3,0))</f>
        <v>3</v>
      </c>
      <c r="Y274" s="20">
        <f>IF('Growth profile'!X162&gt;0,1,IF('Growth profile'!X265&gt;0,3,0))</f>
        <v>3</v>
      </c>
      <c r="Z274" s="20">
        <f>IF('Growth profile'!Y162&gt;0,1,IF('Growth profile'!Y265&gt;0,3,0))</f>
        <v>3</v>
      </c>
      <c r="AA274" s="20">
        <f>IF('Growth profile'!Z162&gt;0,1,IF('Growth profile'!Z265&gt;0,3,0))</f>
        <v>3</v>
      </c>
      <c r="AB274" s="20">
        <f>IF('Growth profile'!AA162&gt;0,1,IF('Growth profile'!AA265&gt;0,3,0))</f>
        <v>3</v>
      </c>
      <c r="AC274" s="20">
        <f>IF('Growth profile'!AB162&gt;0,1,IF('Growth profile'!AB265&gt;0,3,0))</f>
        <v>3</v>
      </c>
      <c r="AD274" s="20">
        <f>IF('Growth profile'!AC162&gt;0,1,IF('Growth profile'!AC265&gt;0,3,0))</f>
        <v>3</v>
      </c>
      <c r="AE274" s="20">
        <f>IF('Growth profile'!AD162&gt;0,1,IF('Growth profile'!AD265&gt;0,3,0))</f>
        <v>3</v>
      </c>
      <c r="AF274" s="20">
        <f>IF('Growth profile'!AE162&gt;0,1,IF('Growth profile'!AE265&gt;0,3,0))</f>
        <v>3</v>
      </c>
      <c r="AG274" s="20">
        <f>IF('Growth profile'!AF162&gt;0,1,IF('Growth profile'!AF265&gt;0,3,0))</f>
        <v>3</v>
      </c>
      <c r="AH274" s="20">
        <f>IF('Growth profile'!AG162&gt;0,1,IF('Growth profile'!AG265&gt;0,3,0))</f>
        <v>3</v>
      </c>
      <c r="AI274" s="20">
        <f>IF('Growth profile'!AH162&gt;0,1,IF('Growth profile'!AH265&gt;0,3,0))</f>
        <v>3</v>
      </c>
      <c r="AJ274" s="20">
        <f>IF('Growth profile'!AI162&gt;0,1,IF('Growth profile'!AI265&gt;0,3,0))</f>
        <v>3</v>
      </c>
      <c r="AK274" s="20">
        <f>IF('Growth profile'!AJ162&gt;0,1,IF('Growth profile'!AJ265&gt;0,3,0))</f>
        <v>3</v>
      </c>
      <c r="AL274" s="20">
        <f>IF('Growth profile'!AK162&gt;0,1,IF('Growth profile'!AK265&gt;0,3,0))</f>
        <v>3</v>
      </c>
      <c r="AM274" s="20">
        <f>IF('Growth profile'!AL162&gt;0,1,IF('Growth profile'!AL265&gt;0,3,0))</f>
        <v>3</v>
      </c>
      <c r="AN274" s="20">
        <f>IF('Growth profile'!AM162&gt;0,1,IF('Growth profile'!AM265&gt;0,3,0))</f>
        <v>3</v>
      </c>
      <c r="AO274" s="20">
        <f>IF('Growth profile'!AN162&gt;0,1,IF('Growth profile'!AN265&gt;0,3,0))</f>
        <v>3</v>
      </c>
      <c r="AP274" s="20">
        <f>IF('Growth profile'!AO162&gt;0,1,IF('Growth profile'!AO265&gt;0,3,0))</f>
        <v>3</v>
      </c>
      <c r="AQ274" s="20">
        <f>IF('Growth profile'!AP162&gt;0,1,IF('Growth profile'!AP265&gt;0,3,0))</f>
        <v>3</v>
      </c>
      <c r="AR274" s="20">
        <f>IF('Growth profile'!AQ162&gt;0,1,IF('Growth profile'!AQ265&gt;0,3,0))</f>
        <v>3</v>
      </c>
      <c r="AS274" s="20">
        <f>IF('Growth profile'!AR162&gt;0,1,IF('Growth profile'!AR265&gt;0,3,0))</f>
        <v>3</v>
      </c>
      <c r="AT274" s="20">
        <f>IF('Growth profile'!AS162&gt;0,1,IF('Growth profile'!AS265&gt;0,3,0))</f>
        <v>3</v>
      </c>
      <c r="AU274" s="20">
        <f>IF('Growth profile'!AT162&gt;0,1,IF('Growth profile'!AT265&gt;0,3,0))</f>
        <v>3</v>
      </c>
      <c r="AV274" s="20">
        <f>IF('Growth profile'!AU162&gt;0,1,IF('Growth profile'!AU265&gt;0,3,0))</f>
        <v>3</v>
      </c>
      <c r="AW274" s="20">
        <f>IF('Growth profile'!AV162&gt;0,1,IF('Growth profile'!AV265&gt;0,3,0))</f>
        <v>3</v>
      </c>
      <c r="AX274" s="20">
        <f>IF('Growth profile'!AW162&gt;0,1,IF('Growth profile'!AW265&gt;0,3,0))</f>
        <v>3</v>
      </c>
      <c r="AY274" s="20">
        <f>IF('Growth profile'!AX162&gt;0,1,IF('Growth profile'!AX265&gt;0,3,0))</f>
        <v>3</v>
      </c>
      <c r="AZ274" s="20">
        <f>IF('Growth profile'!AY162&gt;0,1,IF('Growth profile'!AY265&gt;0,3,0))</f>
        <v>3</v>
      </c>
      <c r="BA274" s="20">
        <f>IF('Growth profile'!AZ162&gt;0,1,IF('Growth profile'!AZ265&gt;0,3,0))</f>
        <v>3</v>
      </c>
      <c r="BB274" s="20">
        <f>IF('Growth profile'!BA162&gt;0,1,IF('Growth profile'!BA265&gt;0,3,0))</f>
        <v>3</v>
      </c>
      <c r="BC274" s="20">
        <f>IF('Growth profile'!BB162&gt;0,1,IF('Growth profile'!BB265&gt;0,3,0))</f>
        <v>3</v>
      </c>
      <c r="BD274" s="20">
        <f>IF('Growth profile'!BC162&gt;0,1,IF('Growth profile'!BC265&gt;0,3,0))</f>
        <v>3</v>
      </c>
      <c r="BE274" s="20">
        <f>IF('Growth profile'!BD162&gt;0,1,IF('Growth profile'!BD265&gt;0,3,0))</f>
        <v>3</v>
      </c>
      <c r="BF274" s="20">
        <f>IF('Growth profile'!BE162&gt;0,1,IF('Growth profile'!BE265&gt;0,3,0))</f>
        <v>0</v>
      </c>
      <c r="BG274" s="20">
        <f>IF('Growth profile'!BF162&gt;0,1,IF('Growth profile'!BF265&gt;0,3,0))</f>
        <v>0</v>
      </c>
      <c r="BH274" s="20">
        <f>IF('Growth profile'!BG162&gt;0,1,IF('Growth profile'!BG265&gt;0,3,0))</f>
        <v>0</v>
      </c>
      <c r="BI274" s="20">
        <f>IF('Growth profile'!BH162&gt;0,1,IF('Growth profile'!BH265&gt;0,3,0))</f>
        <v>0</v>
      </c>
      <c r="BJ274" s="20">
        <f>IF('Growth profile'!BI162&gt;0,1,IF('Growth profile'!BI265&gt;0,3,0))</f>
        <v>0</v>
      </c>
      <c r="BK274" s="21">
        <f>IF('Growth profile'!BJ162&gt;0,1,IF('Growth profile'!BJ265&gt;0,3,0))</f>
        <v>0</v>
      </c>
    </row>
    <row r="275" spans="1:63" x14ac:dyDescent="0.3">
      <c r="B275" s="13" t="s">
        <v>59</v>
      </c>
      <c r="C275" s="19">
        <f>'Growth (no penalty)'!I54</f>
        <v>2044</v>
      </c>
      <c r="D275" s="22">
        <f>IF('Growth (no penalty)'!C162&gt;0,1,IF('Growth (no penalty)'!C265&gt;0,4,0))</f>
        <v>0</v>
      </c>
      <c r="E275" s="22">
        <f>IF('Growth (no penalty)'!D162&gt;0,1,IF('Growth (no penalty)'!D265&gt;0,4,0))</f>
        <v>0</v>
      </c>
      <c r="F275" s="22">
        <f>IF('Growth (no penalty)'!E162&gt;0,1,IF('Growth (no penalty)'!E265&gt;0,4,0))</f>
        <v>0</v>
      </c>
      <c r="G275" s="22">
        <f>IF('Growth (no penalty)'!F162&gt;0,1,IF('Growth (no penalty)'!F265&gt;0,4,0))</f>
        <v>0</v>
      </c>
      <c r="H275" s="22">
        <f>IF('Growth (no penalty)'!G162&gt;0,1,IF('Growth (no penalty)'!G265&gt;0,4,0))</f>
        <v>0</v>
      </c>
      <c r="I275" s="22">
        <f>IF('Growth (no penalty)'!H162&gt;0,1,IF('Growth (no penalty)'!H265&gt;0,4,0))</f>
        <v>0</v>
      </c>
      <c r="J275" s="22">
        <f>IF('Growth (no penalty)'!I162&gt;0,1,IF('Growth (no penalty)'!I265&gt;0,4,0))</f>
        <v>0</v>
      </c>
      <c r="K275" s="22">
        <f>IF('Growth (no penalty)'!J162&gt;0,1,IF('Growth (no penalty)'!J265&gt;0,4,0))</f>
        <v>0</v>
      </c>
      <c r="L275" s="22">
        <f>IF('Growth (no penalty)'!K162&gt;0,1,IF('Growth (no penalty)'!K265&gt;0,4,0))</f>
        <v>0</v>
      </c>
      <c r="M275" s="22">
        <f>IF('Growth (no penalty)'!L162&gt;0,1,IF('Growth (no penalty)'!L265&gt;0,4,0))</f>
        <v>0</v>
      </c>
      <c r="N275" s="22">
        <f>IF('Growth (no penalty)'!M162&gt;0,1,IF('Growth (no penalty)'!M265&gt;0,4,0))</f>
        <v>0</v>
      </c>
      <c r="O275" s="22">
        <f>IF('Growth (no penalty)'!N162&gt;0,1,IF('Growth (no penalty)'!N265&gt;0,4,0))</f>
        <v>0</v>
      </c>
      <c r="P275" s="22">
        <f>IF('Growth (no penalty)'!O162&gt;0,1,IF('Growth (no penalty)'!O265&gt;0,4,0))</f>
        <v>0</v>
      </c>
      <c r="Q275" s="22">
        <f>IF('Growth (no penalty)'!P162&gt;0,1,IF('Growth (no penalty)'!P265&gt;0,4,0))</f>
        <v>0</v>
      </c>
      <c r="R275" s="22">
        <f>IF('Growth (no penalty)'!Q162&gt;0,1,IF('Growth (no penalty)'!Q265&gt;0,4,0))</f>
        <v>0</v>
      </c>
      <c r="S275" s="22">
        <f>IF('Growth (no penalty)'!R162&gt;0,1,IF('Growth (no penalty)'!R265&gt;0,4,0))</f>
        <v>0</v>
      </c>
      <c r="T275" s="22">
        <f>IF('Growth (no penalty)'!S162&gt;0,1,IF('Growth (no penalty)'!S265&gt;0,4,0))</f>
        <v>0</v>
      </c>
      <c r="U275" s="22">
        <f>IF('Growth (no penalty)'!T162&gt;0,1,IF('Growth (no penalty)'!T265&gt;0,4,0))</f>
        <v>0</v>
      </c>
      <c r="V275" s="22">
        <f>IF('Growth (no penalty)'!U162&gt;0,1,IF('Growth (no penalty)'!U265&gt;0,4,0))</f>
        <v>1</v>
      </c>
      <c r="W275" s="22">
        <f>IF('Growth (no penalty)'!V162&gt;0,1,IF('Growth (no penalty)'!V265&gt;0,4,0))</f>
        <v>1</v>
      </c>
      <c r="X275" s="22">
        <f>IF('Growth (no penalty)'!W162&gt;0,1,IF('Growth (no penalty)'!W265&gt;0,4,0))</f>
        <v>4</v>
      </c>
      <c r="Y275" s="22">
        <f>IF('Growth (no penalty)'!X162&gt;0,1,IF('Growth (no penalty)'!X265&gt;0,4,0))</f>
        <v>4</v>
      </c>
      <c r="Z275" s="22">
        <f>IF('Growth (no penalty)'!Y162&gt;0,1,IF('Growth (no penalty)'!Y265&gt;0,4,0))</f>
        <v>4</v>
      </c>
      <c r="AA275" s="22">
        <f>IF('Growth (no penalty)'!Z162&gt;0,1,IF('Growth (no penalty)'!Z265&gt;0,4,0))</f>
        <v>4</v>
      </c>
      <c r="AB275" s="22">
        <f>IF('Growth (no penalty)'!AA162&gt;0,1,IF('Growth (no penalty)'!AA265&gt;0,4,0))</f>
        <v>4</v>
      </c>
      <c r="AC275" s="22">
        <f>IF('Growth (no penalty)'!AB162&gt;0,1,IF('Growth (no penalty)'!AB265&gt;0,4,0))</f>
        <v>4</v>
      </c>
      <c r="AD275" s="22">
        <f>IF('Growth (no penalty)'!AC162&gt;0,1,IF('Growth (no penalty)'!AC265&gt;0,4,0))</f>
        <v>4</v>
      </c>
      <c r="AE275" s="22">
        <f>IF('Growth (no penalty)'!AD162&gt;0,1,IF('Growth (no penalty)'!AD265&gt;0,4,0))</f>
        <v>4</v>
      </c>
      <c r="AF275" s="22">
        <f>IF('Growth (no penalty)'!AE162&gt;0,1,IF('Growth (no penalty)'!AE265&gt;0,4,0))</f>
        <v>4</v>
      </c>
      <c r="AG275" s="22">
        <f>IF('Growth (no penalty)'!AF162&gt;0,1,IF('Growth (no penalty)'!AF265&gt;0,4,0))</f>
        <v>4</v>
      </c>
      <c r="AH275" s="22">
        <f>IF('Growth (no penalty)'!AG162&gt;0,1,IF('Growth (no penalty)'!AG265&gt;0,4,0))</f>
        <v>4</v>
      </c>
      <c r="AI275" s="22">
        <f>IF('Growth (no penalty)'!AH162&gt;0,1,IF('Growth (no penalty)'!AH265&gt;0,4,0))</f>
        <v>4</v>
      </c>
      <c r="AJ275" s="22">
        <f>IF('Growth (no penalty)'!AI162&gt;0,1,IF('Growth (no penalty)'!AI265&gt;0,4,0))</f>
        <v>4</v>
      </c>
      <c r="AK275" s="22">
        <f>IF('Growth (no penalty)'!AJ162&gt;0,1,IF('Growth (no penalty)'!AJ265&gt;0,4,0))</f>
        <v>4</v>
      </c>
      <c r="AL275" s="22">
        <f>IF('Growth (no penalty)'!AK162&gt;0,1,IF('Growth (no penalty)'!AK265&gt;0,4,0))</f>
        <v>4</v>
      </c>
      <c r="AM275" s="22">
        <f>IF('Growth (no penalty)'!AL162&gt;0,1,IF('Growth (no penalty)'!AL265&gt;0,4,0))</f>
        <v>4</v>
      </c>
      <c r="AN275" s="22">
        <f>IF('Growth (no penalty)'!AM162&gt;0,1,IF('Growth (no penalty)'!AM265&gt;0,4,0))</f>
        <v>4</v>
      </c>
      <c r="AO275" s="22">
        <f>IF('Growth (no penalty)'!AN162&gt;0,1,IF('Growth (no penalty)'!AN265&gt;0,4,0))</f>
        <v>4</v>
      </c>
      <c r="AP275" s="22">
        <f>IF('Growth (no penalty)'!AO162&gt;0,1,IF('Growth (no penalty)'!AO265&gt;0,4,0))</f>
        <v>4</v>
      </c>
      <c r="AQ275" s="22">
        <f>IF('Growth (no penalty)'!AP162&gt;0,1,IF('Growth (no penalty)'!AP265&gt;0,4,0))</f>
        <v>4</v>
      </c>
      <c r="AR275" s="22">
        <f>IF('Growth (no penalty)'!AQ162&gt;0,1,IF('Growth (no penalty)'!AQ265&gt;0,4,0))</f>
        <v>4</v>
      </c>
      <c r="AS275" s="22">
        <f>IF('Growth (no penalty)'!AR162&gt;0,1,IF('Growth (no penalty)'!AR265&gt;0,4,0))</f>
        <v>4</v>
      </c>
      <c r="AT275" s="22">
        <f>IF('Growth (no penalty)'!AS162&gt;0,1,IF('Growth (no penalty)'!AS265&gt;0,4,0))</f>
        <v>4</v>
      </c>
      <c r="AU275" s="22">
        <f>IF('Growth (no penalty)'!AT162&gt;0,1,IF('Growth (no penalty)'!AT265&gt;0,4,0))</f>
        <v>4</v>
      </c>
      <c r="AV275" s="22">
        <f>IF('Growth (no penalty)'!AU162&gt;0,1,IF('Growth (no penalty)'!AU265&gt;0,4,0))</f>
        <v>4</v>
      </c>
      <c r="AW275" s="22">
        <f>IF('Growth (no penalty)'!AV162&gt;0,1,IF('Growth (no penalty)'!AV265&gt;0,4,0))</f>
        <v>4</v>
      </c>
      <c r="AX275" s="22">
        <f>IF('Growth (no penalty)'!AW162&gt;0,1,IF('Growth (no penalty)'!AW265&gt;0,4,0))</f>
        <v>4</v>
      </c>
      <c r="AY275" s="22">
        <f>IF('Growth (no penalty)'!AX162&gt;0,1,IF('Growth (no penalty)'!AX265&gt;0,4,0))</f>
        <v>4</v>
      </c>
      <c r="AZ275" s="22">
        <f>IF('Growth (no penalty)'!AY162&gt;0,1,IF('Growth (no penalty)'!AY265&gt;0,4,0))</f>
        <v>4</v>
      </c>
      <c r="BA275" s="22">
        <f>IF('Growth (no penalty)'!AZ162&gt;0,1,IF('Growth (no penalty)'!AZ265&gt;0,4,0))</f>
        <v>4</v>
      </c>
      <c r="BB275" s="22">
        <f>IF('Growth (no penalty)'!BA162&gt;0,1,IF('Growth (no penalty)'!BA265&gt;0,4,0))</f>
        <v>4</v>
      </c>
      <c r="BC275" s="22">
        <f>IF('Growth (no penalty)'!BB162&gt;0,1,IF('Growth (no penalty)'!BB265&gt;0,4,0))</f>
        <v>4</v>
      </c>
      <c r="BD275" s="22">
        <f>IF('Growth (no penalty)'!BC162&gt;0,1,IF('Growth (no penalty)'!BC265&gt;0,4,0))</f>
        <v>4</v>
      </c>
      <c r="BE275" s="22">
        <f>IF('Growth (no penalty)'!BD162&gt;0,1,IF('Growth (no penalty)'!BD265&gt;0,4,0))</f>
        <v>4</v>
      </c>
      <c r="BF275" s="22">
        <f>IF('Growth (no penalty)'!BE162&gt;0,1,IF('Growth (no penalty)'!BE265&gt;0,4,0))</f>
        <v>4</v>
      </c>
      <c r="BG275" s="22">
        <f>IF('Growth (no penalty)'!BF162&gt;0,1,IF('Growth (no penalty)'!BF265&gt;0,4,0))</f>
        <v>4</v>
      </c>
      <c r="BH275" s="22">
        <f>IF('Growth (no penalty)'!BG162&gt;0,1,IF('Growth (no penalty)'!BG265&gt;0,4,0))</f>
        <v>4</v>
      </c>
      <c r="BI275" s="22">
        <f>IF('Growth (no penalty)'!BH162&gt;0,1,IF('Growth (no penalty)'!BH265&gt;0,4,0))</f>
        <v>4</v>
      </c>
      <c r="BJ275" s="22">
        <f>IF('Growth (no penalty)'!BI162&gt;0,1,IF('Growth (no penalty)'!BI265&gt;0,4,0))</f>
        <v>4</v>
      </c>
      <c r="BK275" s="23">
        <f>IF('Growth (no penalty)'!BJ162&gt;0,1,IF('Growth (no penalty)'!BJ265&gt;0,4,0))</f>
        <v>4</v>
      </c>
    </row>
    <row r="276" spans="1:63" x14ac:dyDescent="0.3">
      <c r="A276" s="4" t="str">
        <f>'Growth profile'!A69</f>
        <v>project 98</v>
      </c>
      <c r="B276" s="13" t="s">
        <v>3</v>
      </c>
      <c r="C276" s="19">
        <f>'Raw profile'!I69</f>
        <v>2041</v>
      </c>
      <c r="D276" s="20">
        <f>IF('Raw profile'!C177&gt;0,1,IF('Raw profile'!C280&gt;0,2,0))</f>
        <v>0</v>
      </c>
      <c r="E276" s="20">
        <f>IF('Raw profile'!D177&gt;0,1,IF('Raw profile'!D280&gt;0,2,0))</f>
        <v>0</v>
      </c>
      <c r="F276" s="20">
        <f>IF('Raw profile'!E177&gt;0,1,IF('Raw profile'!E280&gt;0,2,0))</f>
        <v>0</v>
      </c>
      <c r="G276" s="20">
        <f>IF('Raw profile'!F177&gt;0,1,IF('Raw profile'!F280&gt;0,2,0))</f>
        <v>0</v>
      </c>
      <c r="H276" s="20">
        <f>IF('Raw profile'!G177&gt;0,1,IF('Raw profile'!G280&gt;0,2,0))</f>
        <v>0</v>
      </c>
      <c r="I276" s="20">
        <f>IF('Raw profile'!H177&gt;0,1,IF('Raw profile'!H280&gt;0,2,0))</f>
        <v>0</v>
      </c>
      <c r="J276" s="20">
        <f>IF('Raw profile'!I177&gt;0,1,IF('Raw profile'!I280&gt;0,2,0))</f>
        <v>0</v>
      </c>
      <c r="K276" s="20">
        <f>IF('Raw profile'!J177&gt;0,1,IF('Raw profile'!J280&gt;0,2,0))</f>
        <v>0</v>
      </c>
      <c r="L276" s="20">
        <f>IF('Raw profile'!K177&gt;0,1,IF('Raw profile'!K280&gt;0,2,0))</f>
        <v>0</v>
      </c>
      <c r="M276" s="20">
        <f>IF('Raw profile'!L177&gt;0,1,IF('Raw profile'!L280&gt;0,2,0))</f>
        <v>0</v>
      </c>
      <c r="N276" s="20">
        <f>IF('Raw profile'!M177&gt;0,1,IF('Raw profile'!M280&gt;0,2,0))</f>
        <v>0</v>
      </c>
      <c r="O276" s="20">
        <f>IF('Raw profile'!N177&gt;0,1,IF('Raw profile'!N280&gt;0,2,0))</f>
        <v>0</v>
      </c>
      <c r="P276" s="20">
        <f>IF('Raw profile'!O177&gt;0,1,IF('Raw profile'!O280&gt;0,2,0))</f>
        <v>0</v>
      </c>
      <c r="Q276" s="20">
        <f>IF('Raw profile'!P177&gt;0,1,IF('Raw profile'!P280&gt;0,2,0))</f>
        <v>0</v>
      </c>
      <c r="R276" s="20">
        <f>IF('Raw profile'!Q177&gt;0,1,IF('Raw profile'!Q280&gt;0,2,0))</f>
        <v>0</v>
      </c>
      <c r="S276" s="20">
        <f>IF('Raw profile'!R177&gt;0,1,IF('Raw profile'!R280&gt;0,2,0))</f>
        <v>1</v>
      </c>
      <c r="T276" s="20">
        <f>IF('Raw profile'!S177&gt;0,1,IF('Raw profile'!S280&gt;0,2,0))</f>
        <v>2</v>
      </c>
      <c r="U276" s="20">
        <f>IF('Raw profile'!T177&gt;0,1,IF('Raw profile'!T280&gt;0,2,0))</f>
        <v>2</v>
      </c>
      <c r="V276" s="20">
        <f>IF('Raw profile'!U177&gt;0,1,IF('Raw profile'!U280&gt;0,2,0))</f>
        <v>2</v>
      </c>
      <c r="W276" s="20">
        <f>IF('Raw profile'!V177&gt;0,1,IF('Raw profile'!V280&gt;0,2,0))</f>
        <v>2</v>
      </c>
      <c r="X276" s="20">
        <f>IF('Raw profile'!W177&gt;0,1,IF('Raw profile'!W280&gt;0,2,0))</f>
        <v>2</v>
      </c>
      <c r="Y276" s="20">
        <f>IF('Raw profile'!X177&gt;0,1,IF('Raw profile'!X280&gt;0,2,0))</f>
        <v>2</v>
      </c>
      <c r="Z276" s="20">
        <f>IF('Raw profile'!Y177&gt;0,1,IF('Raw profile'!Y280&gt;0,2,0))</f>
        <v>2</v>
      </c>
      <c r="AA276" s="20">
        <f>IF('Raw profile'!Z177&gt;0,1,IF('Raw profile'!Z280&gt;0,2,0))</f>
        <v>2</v>
      </c>
      <c r="AB276" s="20">
        <f>IF('Raw profile'!AA177&gt;0,1,IF('Raw profile'!AA280&gt;0,2,0))</f>
        <v>2</v>
      </c>
      <c r="AC276" s="20">
        <f>IF('Raw profile'!AB177&gt;0,1,IF('Raw profile'!AB280&gt;0,2,0))</f>
        <v>2</v>
      </c>
      <c r="AD276" s="20">
        <f>IF('Raw profile'!AC177&gt;0,1,IF('Raw profile'!AC280&gt;0,2,0))</f>
        <v>2</v>
      </c>
      <c r="AE276" s="20">
        <f>IF('Raw profile'!AD177&gt;0,1,IF('Raw profile'!AD280&gt;0,2,0))</f>
        <v>2</v>
      </c>
      <c r="AF276" s="20">
        <f>IF('Raw profile'!AE177&gt;0,1,IF('Raw profile'!AE280&gt;0,2,0))</f>
        <v>2</v>
      </c>
      <c r="AG276" s="20">
        <f>IF('Raw profile'!AF177&gt;0,1,IF('Raw profile'!AF280&gt;0,2,0))</f>
        <v>2</v>
      </c>
      <c r="AH276" s="20">
        <f>IF('Raw profile'!AG177&gt;0,1,IF('Raw profile'!AG280&gt;0,2,0))</f>
        <v>2</v>
      </c>
      <c r="AI276" s="20">
        <f>IF('Raw profile'!AH177&gt;0,1,IF('Raw profile'!AH280&gt;0,2,0))</f>
        <v>2</v>
      </c>
      <c r="AJ276" s="20">
        <f>IF('Raw profile'!AI177&gt;0,1,IF('Raw profile'!AI280&gt;0,2,0))</f>
        <v>2</v>
      </c>
      <c r="AK276" s="20">
        <f>IF('Raw profile'!AJ177&gt;0,1,IF('Raw profile'!AJ280&gt;0,2,0))</f>
        <v>2</v>
      </c>
      <c r="AL276" s="20">
        <f>IF('Raw profile'!AK177&gt;0,1,IF('Raw profile'!AK280&gt;0,2,0))</f>
        <v>2</v>
      </c>
      <c r="AM276" s="20">
        <f>IF('Raw profile'!AL177&gt;0,1,IF('Raw profile'!AL280&gt;0,2,0))</f>
        <v>2</v>
      </c>
      <c r="AN276" s="20">
        <f>IF('Raw profile'!AM177&gt;0,1,IF('Raw profile'!AM280&gt;0,2,0))</f>
        <v>2</v>
      </c>
      <c r="AO276" s="20">
        <f>IF('Raw profile'!AN177&gt;0,1,IF('Raw profile'!AN280&gt;0,2,0))</f>
        <v>2</v>
      </c>
      <c r="AP276" s="20">
        <f>IF('Raw profile'!AO177&gt;0,1,IF('Raw profile'!AO280&gt;0,2,0))</f>
        <v>2</v>
      </c>
      <c r="AQ276" s="20">
        <f>IF('Raw profile'!AP177&gt;0,1,IF('Raw profile'!AP280&gt;0,2,0))</f>
        <v>2</v>
      </c>
      <c r="AR276" s="20">
        <f>IF('Raw profile'!AQ177&gt;0,1,IF('Raw profile'!AQ280&gt;0,2,0))</f>
        <v>2</v>
      </c>
      <c r="AS276" s="20">
        <f>IF('Raw profile'!AR177&gt;0,1,IF('Raw profile'!AR280&gt;0,2,0))</f>
        <v>2</v>
      </c>
      <c r="AT276" s="20">
        <f>IF('Raw profile'!AS177&gt;0,1,IF('Raw profile'!AS280&gt;0,2,0))</f>
        <v>2</v>
      </c>
      <c r="AU276" s="20">
        <f>IF('Raw profile'!AT177&gt;0,1,IF('Raw profile'!AT280&gt;0,2,0))</f>
        <v>2</v>
      </c>
      <c r="AV276" s="20">
        <f>IF('Raw profile'!AU177&gt;0,1,IF('Raw profile'!AU280&gt;0,2,0))</f>
        <v>2</v>
      </c>
      <c r="AW276" s="20">
        <f>IF('Raw profile'!AV177&gt;0,1,IF('Raw profile'!AV280&gt;0,2,0))</f>
        <v>2</v>
      </c>
      <c r="AX276" s="20">
        <f>IF('Raw profile'!AW177&gt;0,1,IF('Raw profile'!AW280&gt;0,2,0))</f>
        <v>2</v>
      </c>
      <c r="AY276" s="20">
        <f>IF('Raw profile'!AX177&gt;0,1,IF('Raw profile'!AX280&gt;0,2,0))</f>
        <v>2</v>
      </c>
      <c r="AZ276" s="20">
        <f>IF('Raw profile'!AY177&gt;0,1,IF('Raw profile'!AY280&gt;0,2,0))</f>
        <v>2</v>
      </c>
      <c r="BA276" s="20">
        <f>IF('Raw profile'!AZ177&gt;0,1,IF('Raw profile'!AZ280&gt;0,2,0))</f>
        <v>2</v>
      </c>
      <c r="BB276" s="20">
        <f>IF('Raw profile'!BA177&gt;0,1,IF('Raw profile'!BA280&gt;0,2,0))</f>
        <v>2</v>
      </c>
      <c r="BC276" s="20">
        <f>IF('Raw profile'!BB177&gt;0,1,IF('Raw profile'!BB280&gt;0,2,0))</f>
        <v>2</v>
      </c>
      <c r="BD276" s="20">
        <f>IF('Raw profile'!BC177&gt;0,1,IF('Raw profile'!BC280&gt;0,2,0))</f>
        <v>2</v>
      </c>
      <c r="BE276" s="20">
        <f>IF('Raw profile'!BD177&gt;0,1,IF('Raw profile'!BD280&gt;0,2,0))</f>
        <v>2</v>
      </c>
      <c r="BF276" s="20">
        <f>IF('Raw profile'!BE177&gt;0,1,IF('Raw profile'!BE280&gt;0,2,0))</f>
        <v>2</v>
      </c>
      <c r="BG276" s="20">
        <f>IF('Raw profile'!BF177&gt;0,1,IF('Raw profile'!BF280&gt;0,2,0))</f>
        <v>2</v>
      </c>
      <c r="BH276" s="20">
        <f>IF('Raw profile'!BG177&gt;0,1,IF('Raw profile'!BG280&gt;0,2,0))</f>
        <v>0</v>
      </c>
      <c r="BI276" s="20">
        <f>IF('Raw profile'!BH177&gt;0,1,IF('Raw profile'!BH280&gt;0,2,0))</f>
        <v>0</v>
      </c>
      <c r="BJ276" s="20">
        <f>IF('Raw profile'!BI177&gt;0,1,IF('Raw profile'!BI280&gt;0,2,0))</f>
        <v>0</v>
      </c>
      <c r="BK276" s="21">
        <f>IF('Raw profile'!BJ177&gt;0,1,IF('Raw profile'!BJ280&gt;0,2,0))</f>
        <v>0</v>
      </c>
    </row>
    <row r="277" spans="1:63" x14ac:dyDescent="0.3">
      <c r="B277" s="13" t="s">
        <v>4</v>
      </c>
      <c r="C277" s="19">
        <f>'Growth profile'!I69</f>
        <v>2038</v>
      </c>
      <c r="D277" s="20">
        <f>IF('Growth profile'!C177&gt;0,1,IF('Growth profile'!C280&gt;0,3,0))</f>
        <v>0</v>
      </c>
      <c r="E277" s="20">
        <f>IF('Growth profile'!D177&gt;0,1,IF('Growth profile'!D280&gt;0,3,0))</f>
        <v>0</v>
      </c>
      <c r="F277" s="20">
        <f>IF('Growth profile'!E177&gt;0,1,IF('Growth profile'!E280&gt;0,3,0))</f>
        <v>0</v>
      </c>
      <c r="G277" s="20">
        <f>IF('Growth profile'!F177&gt;0,1,IF('Growth profile'!F280&gt;0,3,0))</f>
        <v>0</v>
      </c>
      <c r="H277" s="20">
        <f>IF('Growth profile'!G177&gt;0,1,IF('Growth profile'!G280&gt;0,3,0))</f>
        <v>0</v>
      </c>
      <c r="I277" s="20">
        <f>IF('Growth profile'!H177&gt;0,1,IF('Growth profile'!H280&gt;0,3,0))</f>
        <v>0</v>
      </c>
      <c r="J277" s="20">
        <f>IF('Growth profile'!I177&gt;0,1,IF('Growth profile'!I280&gt;0,3,0))</f>
        <v>0</v>
      </c>
      <c r="K277" s="20">
        <f>IF('Growth profile'!J177&gt;0,1,IF('Growth profile'!J280&gt;0,3,0))</f>
        <v>0</v>
      </c>
      <c r="L277" s="20">
        <f>IF('Growth profile'!K177&gt;0,1,IF('Growth profile'!K280&gt;0,3,0))</f>
        <v>0</v>
      </c>
      <c r="M277" s="20">
        <f>IF('Growth profile'!L177&gt;0,1,IF('Growth profile'!L280&gt;0,3,0))</f>
        <v>0</v>
      </c>
      <c r="N277" s="20">
        <f>IF('Growth profile'!M177&gt;0,1,IF('Growth profile'!M280&gt;0,3,0))</f>
        <v>0</v>
      </c>
      <c r="O277" s="20">
        <f>IF('Growth profile'!N177&gt;0,1,IF('Growth profile'!N280&gt;0,3,0))</f>
        <v>0</v>
      </c>
      <c r="P277" s="20">
        <f>IF('Growth profile'!O177&gt;0,1,IF('Growth profile'!O280&gt;0,3,0))</f>
        <v>1</v>
      </c>
      <c r="Q277" s="20">
        <f>IF('Growth profile'!P177&gt;0,1,IF('Growth profile'!P280&gt;0,3,0))</f>
        <v>3</v>
      </c>
      <c r="R277" s="20">
        <f>IF('Growth profile'!Q177&gt;0,1,IF('Growth profile'!Q280&gt;0,3,0))</f>
        <v>3</v>
      </c>
      <c r="S277" s="20">
        <f>IF('Growth profile'!R177&gt;0,1,IF('Growth profile'!R280&gt;0,3,0))</f>
        <v>3</v>
      </c>
      <c r="T277" s="20">
        <f>IF('Growth profile'!S177&gt;0,1,IF('Growth profile'!S280&gt;0,3,0))</f>
        <v>3</v>
      </c>
      <c r="U277" s="20">
        <f>IF('Growth profile'!T177&gt;0,1,IF('Growth profile'!T280&gt;0,3,0))</f>
        <v>3</v>
      </c>
      <c r="V277" s="20">
        <f>IF('Growth profile'!U177&gt;0,1,IF('Growth profile'!U280&gt;0,3,0))</f>
        <v>3</v>
      </c>
      <c r="W277" s="20">
        <f>IF('Growth profile'!V177&gt;0,1,IF('Growth profile'!V280&gt;0,3,0))</f>
        <v>3</v>
      </c>
      <c r="X277" s="20">
        <f>IF('Growth profile'!W177&gt;0,1,IF('Growth profile'!W280&gt;0,3,0))</f>
        <v>3</v>
      </c>
      <c r="Y277" s="20">
        <f>IF('Growth profile'!X177&gt;0,1,IF('Growth profile'!X280&gt;0,3,0))</f>
        <v>3</v>
      </c>
      <c r="Z277" s="20">
        <f>IF('Growth profile'!Y177&gt;0,1,IF('Growth profile'!Y280&gt;0,3,0))</f>
        <v>3</v>
      </c>
      <c r="AA277" s="20">
        <f>IF('Growth profile'!Z177&gt;0,1,IF('Growth profile'!Z280&gt;0,3,0))</f>
        <v>3</v>
      </c>
      <c r="AB277" s="20">
        <f>IF('Growth profile'!AA177&gt;0,1,IF('Growth profile'!AA280&gt;0,3,0))</f>
        <v>3</v>
      </c>
      <c r="AC277" s="20">
        <f>IF('Growth profile'!AB177&gt;0,1,IF('Growth profile'!AB280&gt;0,3,0))</f>
        <v>3</v>
      </c>
      <c r="AD277" s="20">
        <f>IF('Growth profile'!AC177&gt;0,1,IF('Growth profile'!AC280&gt;0,3,0))</f>
        <v>3</v>
      </c>
      <c r="AE277" s="20">
        <f>IF('Growth profile'!AD177&gt;0,1,IF('Growth profile'!AD280&gt;0,3,0))</f>
        <v>3</v>
      </c>
      <c r="AF277" s="20">
        <f>IF('Growth profile'!AE177&gt;0,1,IF('Growth profile'!AE280&gt;0,3,0))</f>
        <v>3</v>
      </c>
      <c r="AG277" s="20">
        <f>IF('Growth profile'!AF177&gt;0,1,IF('Growth profile'!AF280&gt;0,3,0))</f>
        <v>3</v>
      </c>
      <c r="AH277" s="20">
        <f>IF('Growth profile'!AG177&gt;0,1,IF('Growth profile'!AG280&gt;0,3,0))</f>
        <v>3</v>
      </c>
      <c r="AI277" s="20">
        <f>IF('Growth profile'!AH177&gt;0,1,IF('Growth profile'!AH280&gt;0,3,0))</f>
        <v>3</v>
      </c>
      <c r="AJ277" s="20">
        <f>IF('Growth profile'!AI177&gt;0,1,IF('Growth profile'!AI280&gt;0,3,0))</f>
        <v>3</v>
      </c>
      <c r="AK277" s="20">
        <f>IF('Growth profile'!AJ177&gt;0,1,IF('Growth profile'!AJ280&gt;0,3,0))</f>
        <v>3</v>
      </c>
      <c r="AL277" s="20">
        <f>IF('Growth profile'!AK177&gt;0,1,IF('Growth profile'!AK280&gt;0,3,0))</f>
        <v>3</v>
      </c>
      <c r="AM277" s="20">
        <f>IF('Growth profile'!AL177&gt;0,1,IF('Growth profile'!AL280&gt;0,3,0))</f>
        <v>3</v>
      </c>
      <c r="AN277" s="20">
        <f>IF('Growth profile'!AM177&gt;0,1,IF('Growth profile'!AM280&gt;0,3,0))</f>
        <v>3</v>
      </c>
      <c r="AO277" s="20">
        <f>IF('Growth profile'!AN177&gt;0,1,IF('Growth profile'!AN280&gt;0,3,0))</f>
        <v>3</v>
      </c>
      <c r="AP277" s="20">
        <f>IF('Growth profile'!AO177&gt;0,1,IF('Growth profile'!AO280&gt;0,3,0))</f>
        <v>3</v>
      </c>
      <c r="AQ277" s="20">
        <f>IF('Growth profile'!AP177&gt;0,1,IF('Growth profile'!AP280&gt;0,3,0))</f>
        <v>3</v>
      </c>
      <c r="AR277" s="20">
        <f>IF('Growth profile'!AQ177&gt;0,1,IF('Growth profile'!AQ280&gt;0,3,0))</f>
        <v>3</v>
      </c>
      <c r="AS277" s="20">
        <f>IF('Growth profile'!AR177&gt;0,1,IF('Growth profile'!AR280&gt;0,3,0))</f>
        <v>3</v>
      </c>
      <c r="AT277" s="20">
        <f>IF('Growth profile'!AS177&gt;0,1,IF('Growth profile'!AS280&gt;0,3,0))</f>
        <v>3</v>
      </c>
      <c r="AU277" s="20">
        <f>IF('Growth profile'!AT177&gt;0,1,IF('Growth profile'!AT280&gt;0,3,0))</f>
        <v>3</v>
      </c>
      <c r="AV277" s="20">
        <f>IF('Growth profile'!AU177&gt;0,1,IF('Growth profile'!AU280&gt;0,3,0))</f>
        <v>3</v>
      </c>
      <c r="AW277" s="20">
        <f>IF('Growth profile'!AV177&gt;0,1,IF('Growth profile'!AV280&gt;0,3,0))</f>
        <v>3</v>
      </c>
      <c r="AX277" s="20">
        <f>IF('Growth profile'!AW177&gt;0,1,IF('Growth profile'!AW280&gt;0,3,0))</f>
        <v>3</v>
      </c>
      <c r="AY277" s="20">
        <f>IF('Growth profile'!AX177&gt;0,1,IF('Growth profile'!AX280&gt;0,3,0))</f>
        <v>3</v>
      </c>
      <c r="AZ277" s="20">
        <f>IF('Growth profile'!AY177&gt;0,1,IF('Growth profile'!AY280&gt;0,3,0))</f>
        <v>3</v>
      </c>
      <c r="BA277" s="20">
        <f>IF('Growth profile'!AZ177&gt;0,1,IF('Growth profile'!AZ280&gt;0,3,0))</f>
        <v>3</v>
      </c>
      <c r="BB277" s="20">
        <f>IF('Growth profile'!BA177&gt;0,1,IF('Growth profile'!BA280&gt;0,3,0))</f>
        <v>3</v>
      </c>
      <c r="BC277" s="20">
        <f>IF('Growth profile'!BB177&gt;0,1,IF('Growth profile'!BB280&gt;0,3,0))</f>
        <v>3</v>
      </c>
      <c r="BD277" s="20">
        <f>IF('Growth profile'!BC177&gt;0,1,IF('Growth profile'!BC280&gt;0,3,0))</f>
        <v>3</v>
      </c>
      <c r="BE277" s="20">
        <f>IF('Growth profile'!BD177&gt;0,1,IF('Growth profile'!BD280&gt;0,3,0))</f>
        <v>0</v>
      </c>
      <c r="BF277" s="20">
        <f>IF('Growth profile'!BE177&gt;0,1,IF('Growth profile'!BE280&gt;0,3,0))</f>
        <v>0</v>
      </c>
      <c r="BG277" s="20">
        <f>IF('Growth profile'!BF177&gt;0,1,IF('Growth profile'!BF280&gt;0,3,0))</f>
        <v>0</v>
      </c>
      <c r="BH277" s="20">
        <f>IF('Growth profile'!BG177&gt;0,1,IF('Growth profile'!BG280&gt;0,3,0))</f>
        <v>0</v>
      </c>
      <c r="BI277" s="20">
        <f>IF('Growth profile'!BH177&gt;0,1,IF('Growth profile'!BH280&gt;0,3,0))</f>
        <v>0</v>
      </c>
      <c r="BJ277" s="20">
        <f>IF('Growth profile'!BI177&gt;0,1,IF('Growth profile'!BI280&gt;0,3,0))</f>
        <v>0</v>
      </c>
      <c r="BK277" s="21">
        <f>IF('Growth profile'!BJ177&gt;0,1,IF('Growth profile'!BJ280&gt;0,3,0))</f>
        <v>0</v>
      </c>
    </row>
    <row r="278" spans="1:63" x14ac:dyDescent="0.3">
      <c r="B278" s="13" t="s">
        <v>59</v>
      </c>
      <c r="C278" s="19">
        <f>'Growth (no penalty)'!I69</f>
        <v>2045</v>
      </c>
      <c r="D278" s="22">
        <f>IF('Growth (no penalty)'!C177&gt;0,1,IF('Growth (no penalty)'!C280&gt;0,4,0))</f>
        <v>0</v>
      </c>
      <c r="E278" s="22">
        <f>IF('Growth (no penalty)'!D177&gt;0,1,IF('Growth (no penalty)'!D280&gt;0,4,0))</f>
        <v>0</v>
      </c>
      <c r="F278" s="22">
        <f>IF('Growth (no penalty)'!E177&gt;0,1,IF('Growth (no penalty)'!E280&gt;0,4,0))</f>
        <v>0</v>
      </c>
      <c r="G278" s="22">
        <f>IF('Growth (no penalty)'!F177&gt;0,1,IF('Growth (no penalty)'!F280&gt;0,4,0))</f>
        <v>0</v>
      </c>
      <c r="H278" s="22">
        <f>IF('Growth (no penalty)'!G177&gt;0,1,IF('Growth (no penalty)'!G280&gt;0,4,0))</f>
        <v>0</v>
      </c>
      <c r="I278" s="22">
        <f>IF('Growth (no penalty)'!H177&gt;0,1,IF('Growth (no penalty)'!H280&gt;0,4,0))</f>
        <v>0</v>
      </c>
      <c r="J278" s="22">
        <f>IF('Growth (no penalty)'!I177&gt;0,1,IF('Growth (no penalty)'!I280&gt;0,4,0))</f>
        <v>0</v>
      </c>
      <c r="K278" s="22">
        <f>IF('Growth (no penalty)'!J177&gt;0,1,IF('Growth (no penalty)'!J280&gt;0,4,0))</f>
        <v>0</v>
      </c>
      <c r="L278" s="22">
        <f>IF('Growth (no penalty)'!K177&gt;0,1,IF('Growth (no penalty)'!K280&gt;0,4,0))</f>
        <v>0</v>
      </c>
      <c r="M278" s="22">
        <f>IF('Growth (no penalty)'!L177&gt;0,1,IF('Growth (no penalty)'!L280&gt;0,4,0))</f>
        <v>0</v>
      </c>
      <c r="N278" s="22">
        <f>IF('Growth (no penalty)'!M177&gt;0,1,IF('Growth (no penalty)'!M280&gt;0,4,0))</f>
        <v>0</v>
      </c>
      <c r="O278" s="22">
        <f>IF('Growth (no penalty)'!N177&gt;0,1,IF('Growth (no penalty)'!N280&gt;0,4,0))</f>
        <v>0</v>
      </c>
      <c r="P278" s="22">
        <f>IF('Growth (no penalty)'!O177&gt;0,1,IF('Growth (no penalty)'!O280&gt;0,4,0))</f>
        <v>0</v>
      </c>
      <c r="Q278" s="22">
        <f>IF('Growth (no penalty)'!P177&gt;0,1,IF('Growth (no penalty)'!P280&gt;0,4,0))</f>
        <v>0</v>
      </c>
      <c r="R278" s="22">
        <f>IF('Growth (no penalty)'!Q177&gt;0,1,IF('Growth (no penalty)'!Q280&gt;0,4,0))</f>
        <v>0</v>
      </c>
      <c r="S278" s="22">
        <f>IF('Growth (no penalty)'!R177&gt;0,1,IF('Growth (no penalty)'!R280&gt;0,4,0))</f>
        <v>0</v>
      </c>
      <c r="T278" s="22">
        <f>IF('Growth (no penalty)'!S177&gt;0,1,IF('Growth (no penalty)'!S280&gt;0,4,0))</f>
        <v>0</v>
      </c>
      <c r="U278" s="22">
        <f>IF('Growth (no penalty)'!T177&gt;0,1,IF('Growth (no penalty)'!T280&gt;0,4,0))</f>
        <v>0</v>
      </c>
      <c r="V278" s="22">
        <f>IF('Growth (no penalty)'!U177&gt;0,1,IF('Growth (no penalty)'!U280&gt;0,4,0))</f>
        <v>0</v>
      </c>
      <c r="W278" s="22">
        <f>IF('Growth (no penalty)'!V177&gt;0,1,IF('Growth (no penalty)'!V280&gt;0,4,0))</f>
        <v>1</v>
      </c>
      <c r="X278" s="22">
        <f>IF('Growth (no penalty)'!W177&gt;0,1,IF('Growth (no penalty)'!W280&gt;0,4,0))</f>
        <v>4</v>
      </c>
      <c r="Y278" s="22">
        <f>IF('Growth (no penalty)'!X177&gt;0,1,IF('Growth (no penalty)'!X280&gt;0,4,0))</f>
        <v>4</v>
      </c>
      <c r="Z278" s="22">
        <f>IF('Growth (no penalty)'!Y177&gt;0,1,IF('Growth (no penalty)'!Y280&gt;0,4,0))</f>
        <v>4</v>
      </c>
      <c r="AA278" s="22">
        <f>IF('Growth (no penalty)'!Z177&gt;0,1,IF('Growth (no penalty)'!Z280&gt;0,4,0))</f>
        <v>4</v>
      </c>
      <c r="AB278" s="22">
        <f>IF('Growth (no penalty)'!AA177&gt;0,1,IF('Growth (no penalty)'!AA280&gt;0,4,0))</f>
        <v>4</v>
      </c>
      <c r="AC278" s="22">
        <f>IF('Growth (no penalty)'!AB177&gt;0,1,IF('Growth (no penalty)'!AB280&gt;0,4,0))</f>
        <v>4</v>
      </c>
      <c r="AD278" s="22">
        <f>IF('Growth (no penalty)'!AC177&gt;0,1,IF('Growth (no penalty)'!AC280&gt;0,4,0))</f>
        <v>4</v>
      </c>
      <c r="AE278" s="22">
        <f>IF('Growth (no penalty)'!AD177&gt;0,1,IF('Growth (no penalty)'!AD280&gt;0,4,0))</f>
        <v>4</v>
      </c>
      <c r="AF278" s="22">
        <f>IF('Growth (no penalty)'!AE177&gt;0,1,IF('Growth (no penalty)'!AE280&gt;0,4,0))</f>
        <v>4</v>
      </c>
      <c r="AG278" s="22">
        <f>IF('Growth (no penalty)'!AF177&gt;0,1,IF('Growth (no penalty)'!AF280&gt;0,4,0))</f>
        <v>4</v>
      </c>
      <c r="AH278" s="22">
        <f>IF('Growth (no penalty)'!AG177&gt;0,1,IF('Growth (no penalty)'!AG280&gt;0,4,0))</f>
        <v>4</v>
      </c>
      <c r="AI278" s="22">
        <f>IF('Growth (no penalty)'!AH177&gt;0,1,IF('Growth (no penalty)'!AH280&gt;0,4,0))</f>
        <v>4</v>
      </c>
      <c r="AJ278" s="22">
        <f>IF('Growth (no penalty)'!AI177&gt;0,1,IF('Growth (no penalty)'!AI280&gt;0,4,0))</f>
        <v>4</v>
      </c>
      <c r="AK278" s="22">
        <f>IF('Growth (no penalty)'!AJ177&gt;0,1,IF('Growth (no penalty)'!AJ280&gt;0,4,0))</f>
        <v>4</v>
      </c>
      <c r="AL278" s="22">
        <f>IF('Growth (no penalty)'!AK177&gt;0,1,IF('Growth (no penalty)'!AK280&gt;0,4,0))</f>
        <v>4</v>
      </c>
      <c r="AM278" s="22">
        <f>IF('Growth (no penalty)'!AL177&gt;0,1,IF('Growth (no penalty)'!AL280&gt;0,4,0))</f>
        <v>4</v>
      </c>
      <c r="AN278" s="22">
        <f>IF('Growth (no penalty)'!AM177&gt;0,1,IF('Growth (no penalty)'!AM280&gt;0,4,0))</f>
        <v>4</v>
      </c>
      <c r="AO278" s="22">
        <f>IF('Growth (no penalty)'!AN177&gt;0,1,IF('Growth (no penalty)'!AN280&gt;0,4,0))</f>
        <v>4</v>
      </c>
      <c r="AP278" s="22">
        <f>IF('Growth (no penalty)'!AO177&gt;0,1,IF('Growth (no penalty)'!AO280&gt;0,4,0))</f>
        <v>4</v>
      </c>
      <c r="AQ278" s="22">
        <f>IF('Growth (no penalty)'!AP177&gt;0,1,IF('Growth (no penalty)'!AP280&gt;0,4,0))</f>
        <v>4</v>
      </c>
      <c r="AR278" s="22">
        <f>IF('Growth (no penalty)'!AQ177&gt;0,1,IF('Growth (no penalty)'!AQ280&gt;0,4,0))</f>
        <v>4</v>
      </c>
      <c r="AS278" s="22">
        <f>IF('Growth (no penalty)'!AR177&gt;0,1,IF('Growth (no penalty)'!AR280&gt;0,4,0))</f>
        <v>4</v>
      </c>
      <c r="AT278" s="22">
        <f>IF('Growth (no penalty)'!AS177&gt;0,1,IF('Growth (no penalty)'!AS280&gt;0,4,0))</f>
        <v>4</v>
      </c>
      <c r="AU278" s="22">
        <f>IF('Growth (no penalty)'!AT177&gt;0,1,IF('Growth (no penalty)'!AT280&gt;0,4,0))</f>
        <v>4</v>
      </c>
      <c r="AV278" s="22">
        <f>IF('Growth (no penalty)'!AU177&gt;0,1,IF('Growth (no penalty)'!AU280&gt;0,4,0))</f>
        <v>4</v>
      </c>
      <c r="AW278" s="22">
        <f>IF('Growth (no penalty)'!AV177&gt;0,1,IF('Growth (no penalty)'!AV280&gt;0,4,0))</f>
        <v>4</v>
      </c>
      <c r="AX278" s="22">
        <f>IF('Growth (no penalty)'!AW177&gt;0,1,IF('Growth (no penalty)'!AW280&gt;0,4,0))</f>
        <v>4</v>
      </c>
      <c r="AY278" s="22">
        <f>IF('Growth (no penalty)'!AX177&gt;0,1,IF('Growth (no penalty)'!AX280&gt;0,4,0))</f>
        <v>4</v>
      </c>
      <c r="AZ278" s="22">
        <f>IF('Growth (no penalty)'!AY177&gt;0,1,IF('Growth (no penalty)'!AY280&gt;0,4,0))</f>
        <v>4</v>
      </c>
      <c r="BA278" s="22">
        <f>IF('Growth (no penalty)'!AZ177&gt;0,1,IF('Growth (no penalty)'!AZ280&gt;0,4,0))</f>
        <v>4</v>
      </c>
      <c r="BB278" s="22">
        <f>IF('Growth (no penalty)'!BA177&gt;0,1,IF('Growth (no penalty)'!BA280&gt;0,4,0))</f>
        <v>4</v>
      </c>
      <c r="BC278" s="22">
        <f>IF('Growth (no penalty)'!BB177&gt;0,1,IF('Growth (no penalty)'!BB280&gt;0,4,0))</f>
        <v>4</v>
      </c>
      <c r="BD278" s="22">
        <f>IF('Growth (no penalty)'!BC177&gt;0,1,IF('Growth (no penalty)'!BC280&gt;0,4,0))</f>
        <v>4</v>
      </c>
      <c r="BE278" s="22">
        <f>IF('Growth (no penalty)'!BD177&gt;0,1,IF('Growth (no penalty)'!BD280&gt;0,4,0))</f>
        <v>4</v>
      </c>
      <c r="BF278" s="22">
        <f>IF('Growth (no penalty)'!BE177&gt;0,1,IF('Growth (no penalty)'!BE280&gt;0,4,0))</f>
        <v>4</v>
      </c>
      <c r="BG278" s="22">
        <f>IF('Growth (no penalty)'!BF177&gt;0,1,IF('Growth (no penalty)'!BF280&gt;0,4,0))</f>
        <v>4</v>
      </c>
      <c r="BH278" s="22">
        <f>IF('Growth (no penalty)'!BG177&gt;0,1,IF('Growth (no penalty)'!BG280&gt;0,4,0))</f>
        <v>4</v>
      </c>
      <c r="BI278" s="22">
        <f>IF('Growth (no penalty)'!BH177&gt;0,1,IF('Growth (no penalty)'!BH280&gt;0,4,0))</f>
        <v>4</v>
      </c>
      <c r="BJ278" s="22">
        <f>IF('Growth (no penalty)'!BI177&gt;0,1,IF('Growth (no penalty)'!BI280&gt;0,4,0))</f>
        <v>4</v>
      </c>
      <c r="BK278" s="23">
        <f>IF('Growth (no penalty)'!BJ177&gt;0,1,IF('Growth (no penalty)'!BJ280&gt;0,4,0))</f>
        <v>4</v>
      </c>
    </row>
    <row r="279" spans="1:63" x14ac:dyDescent="0.3">
      <c r="A279" s="4" t="str">
        <f>'Growth profile'!A44</f>
        <v>project 39</v>
      </c>
      <c r="B279" s="13" t="s">
        <v>3</v>
      </c>
      <c r="C279" s="19">
        <f>'Raw profile'!I44</f>
        <v>2042</v>
      </c>
      <c r="D279" s="20">
        <f>IF('Raw profile'!C152&gt;0,1,IF('Raw profile'!C255&gt;0,2,0))</f>
        <v>0</v>
      </c>
      <c r="E279" s="20">
        <f>IF('Raw profile'!D152&gt;0,1,IF('Raw profile'!D255&gt;0,2,0))</f>
        <v>0</v>
      </c>
      <c r="F279" s="20">
        <f>IF('Raw profile'!E152&gt;0,1,IF('Raw profile'!E255&gt;0,2,0))</f>
        <v>0</v>
      </c>
      <c r="G279" s="20">
        <f>IF('Raw profile'!F152&gt;0,1,IF('Raw profile'!F255&gt;0,2,0))</f>
        <v>0</v>
      </c>
      <c r="H279" s="20">
        <f>IF('Raw profile'!G152&gt;0,1,IF('Raw profile'!G255&gt;0,2,0))</f>
        <v>0</v>
      </c>
      <c r="I279" s="20">
        <f>IF('Raw profile'!H152&gt;0,1,IF('Raw profile'!H255&gt;0,2,0))</f>
        <v>0</v>
      </c>
      <c r="J279" s="20">
        <f>IF('Raw profile'!I152&gt;0,1,IF('Raw profile'!I255&gt;0,2,0))</f>
        <v>0</v>
      </c>
      <c r="K279" s="20">
        <f>IF('Raw profile'!J152&gt;0,1,IF('Raw profile'!J255&gt;0,2,0))</f>
        <v>0</v>
      </c>
      <c r="L279" s="20">
        <f>IF('Raw profile'!K152&gt;0,1,IF('Raw profile'!K255&gt;0,2,0))</f>
        <v>0</v>
      </c>
      <c r="M279" s="20">
        <f>IF('Raw profile'!L152&gt;0,1,IF('Raw profile'!L255&gt;0,2,0))</f>
        <v>0</v>
      </c>
      <c r="N279" s="20">
        <f>IF('Raw profile'!M152&gt;0,1,IF('Raw profile'!M255&gt;0,2,0))</f>
        <v>0</v>
      </c>
      <c r="O279" s="20">
        <f>IF('Raw profile'!N152&gt;0,1,IF('Raw profile'!N255&gt;0,2,0))</f>
        <v>0</v>
      </c>
      <c r="P279" s="20">
        <f>IF('Raw profile'!O152&gt;0,1,IF('Raw profile'!O255&gt;0,2,0))</f>
        <v>0</v>
      </c>
      <c r="Q279" s="20">
        <f>IF('Raw profile'!P152&gt;0,1,IF('Raw profile'!P255&gt;0,2,0))</f>
        <v>0</v>
      </c>
      <c r="R279" s="20">
        <f>IF('Raw profile'!Q152&gt;0,1,IF('Raw profile'!Q255&gt;0,2,0))</f>
        <v>0</v>
      </c>
      <c r="S279" s="20">
        <f>IF('Raw profile'!R152&gt;0,1,IF('Raw profile'!R255&gt;0,2,0))</f>
        <v>0</v>
      </c>
      <c r="T279" s="20">
        <f>IF('Raw profile'!S152&gt;0,1,IF('Raw profile'!S255&gt;0,2,0))</f>
        <v>1</v>
      </c>
      <c r="U279" s="20">
        <f>IF('Raw profile'!T152&gt;0,1,IF('Raw profile'!T255&gt;0,2,0))</f>
        <v>1</v>
      </c>
      <c r="V279" s="20">
        <f>IF('Raw profile'!U152&gt;0,1,IF('Raw profile'!U255&gt;0,2,0))</f>
        <v>2</v>
      </c>
      <c r="W279" s="20">
        <f>IF('Raw profile'!V152&gt;0,1,IF('Raw profile'!V255&gt;0,2,0))</f>
        <v>2</v>
      </c>
      <c r="X279" s="20">
        <f>IF('Raw profile'!W152&gt;0,1,IF('Raw profile'!W255&gt;0,2,0))</f>
        <v>2</v>
      </c>
      <c r="Y279" s="20">
        <f>IF('Raw profile'!X152&gt;0,1,IF('Raw profile'!X255&gt;0,2,0))</f>
        <v>2</v>
      </c>
      <c r="Z279" s="20">
        <f>IF('Raw profile'!Y152&gt;0,1,IF('Raw profile'!Y255&gt;0,2,0))</f>
        <v>2</v>
      </c>
      <c r="AA279" s="20">
        <f>IF('Raw profile'!Z152&gt;0,1,IF('Raw profile'!Z255&gt;0,2,0))</f>
        <v>2</v>
      </c>
      <c r="AB279" s="20">
        <f>IF('Raw profile'!AA152&gt;0,1,IF('Raw profile'!AA255&gt;0,2,0))</f>
        <v>2</v>
      </c>
      <c r="AC279" s="20">
        <f>IF('Raw profile'!AB152&gt;0,1,IF('Raw profile'!AB255&gt;0,2,0))</f>
        <v>2</v>
      </c>
      <c r="AD279" s="20">
        <f>IF('Raw profile'!AC152&gt;0,1,IF('Raw profile'!AC255&gt;0,2,0))</f>
        <v>2</v>
      </c>
      <c r="AE279" s="20">
        <f>IF('Raw profile'!AD152&gt;0,1,IF('Raw profile'!AD255&gt;0,2,0))</f>
        <v>2</v>
      </c>
      <c r="AF279" s="20">
        <f>IF('Raw profile'!AE152&gt;0,1,IF('Raw profile'!AE255&gt;0,2,0))</f>
        <v>2</v>
      </c>
      <c r="AG279" s="20">
        <f>IF('Raw profile'!AF152&gt;0,1,IF('Raw profile'!AF255&gt;0,2,0))</f>
        <v>2</v>
      </c>
      <c r="AH279" s="20">
        <f>IF('Raw profile'!AG152&gt;0,1,IF('Raw profile'!AG255&gt;0,2,0))</f>
        <v>2</v>
      </c>
      <c r="AI279" s="20">
        <f>IF('Raw profile'!AH152&gt;0,1,IF('Raw profile'!AH255&gt;0,2,0))</f>
        <v>2</v>
      </c>
      <c r="AJ279" s="20">
        <f>IF('Raw profile'!AI152&gt;0,1,IF('Raw profile'!AI255&gt;0,2,0))</f>
        <v>2</v>
      </c>
      <c r="AK279" s="20">
        <f>IF('Raw profile'!AJ152&gt;0,1,IF('Raw profile'!AJ255&gt;0,2,0))</f>
        <v>2</v>
      </c>
      <c r="AL279" s="20">
        <f>IF('Raw profile'!AK152&gt;0,1,IF('Raw profile'!AK255&gt;0,2,0))</f>
        <v>2</v>
      </c>
      <c r="AM279" s="20">
        <f>IF('Raw profile'!AL152&gt;0,1,IF('Raw profile'!AL255&gt;0,2,0))</f>
        <v>2</v>
      </c>
      <c r="AN279" s="20">
        <f>IF('Raw profile'!AM152&gt;0,1,IF('Raw profile'!AM255&gt;0,2,0))</f>
        <v>2</v>
      </c>
      <c r="AO279" s="20">
        <f>IF('Raw profile'!AN152&gt;0,1,IF('Raw profile'!AN255&gt;0,2,0))</f>
        <v>2</v>
      </c>
      <c r="AP279" s="20">
        <f>IF('Raw profile'!AO152&gt;0,1,IF('Raw profile'!AO255&gt;0,2,0))</f>
        <v>2</v>
      </c>
      <c r="AQ279" s="20">
        <f>IF('Raw profile'!AP152&gt;0,1,IF('Raw profile'!AP255&gt;0,2,0))</f>
        <v>2</v>
      </c>
      <c r="AR279" s="20">
        <f>IF('Raw profile'!AQ152&gt;0,1,IF('Raw profile'!AQ255&gt;0,2,0))</f>
        <v>2</v>
      </c>
      <c r="AS279" s="20">
        <f>IF('Raw profile'!AR152&gt;0,1,IF('Raw profile'!AR255&gt;0,2,0))</f>
        <v>2</v>
      </c>
      <c r="AT279" s="20">
        <f>IF('Raw profile'!AS152&gt;0,1,IF('Raw profile'!AS255&gt;0,2,0))</f>
        <v>2</v>
      </c>
      <c r="AU279" s="20">
        <f>IF('Raw profile'!AT152&gt;0,1,IF('Raw profile'!AT255&gt;0,2,0))</f>
        <v>2</v>
      </c>
      <c r="AV279" s="20">
        <f>IF('Raw profile'!AU152&gt;0,1,IF('Raw profile'!AU255&gt;0,2,0))</f>
        <v>2</v>
      </c>
      <c r="AW279" s="20">
        <f>IF('Raw profile'!AV152&gt;0,1,IF('Raw profile'!AV255&gt;0,2,0))</f>
        <v>2</v>
      </c>
      <c r="AX279" s="20">
        <f>IF('Raw profile'!AW152&gt;0,1,IF('Raw profile'!AW255&gt;0,2,0))</f>
        <v>2</v>
      </c>
      <c r="AY279" s="20">
        <f>IF('Raw profile'!AX152&gt;0,1,IF('Raw profile'!AX255&gt;0,2,0))</f>
        <v>2</v>
      </c>
      <c r="AZ279" s="20">
        <f>IF('Raw profile'!AY152&gt;0,1,IF('Raw profile'!AY255&gt;0,2,0))</f>
        <v>2</v>
      </c>
      <c r="BA279" s="20">
        <f>IF('Raw profile'!AZ152&gt;0,1,IF('Raw profile'!AZ255&gt;0,2,0))</f>
        <v>2</v>
      </c>
      <c r="BB279" s="20">
        <f>IF('Raw profile'!BA152&gt;0,1,IF('Raw profile'!BA255&gt;0,2,0))</f>
        <v>2</v>
      </c>
      <c r="BC279" s="20">
        <f>IF('Raw profile'!BB152&gt;0,1,IF('Raw profile'!BB255&gt;0,2,0))</f>
        <v>2</v>
      </c>
      <c r="BD279" s="20">
        <f>IF('Raw profile'!BC152&gt;0,1,IF('Raw profile'!BC255&gt;0,2,0))</f>
        <v>2</v>
      </c>
      <c r="BE279" s="20">
        <f>IF('Raw profile'!BD152&gt;0,1,IF('Raw profile'!BD255&gt;0,2,0))</f>
        <v>2</v>
      </c>
      <c r="BF279" s="20">
        <f>IF('Raw profile'!BE152&gt;0,1,IF('Raw profile'!BE255&gt;0,2,0))</f>
        <v>2</v>
      </c>
      <c r="BG279" s="20">
        <f>IF('Raw profile'!BF152&gt;0,1,IF('Raw profile'!BF255&gt;0,2,0))</f>
        <v>2</v>
      </c>
      <c r="BH279" s="20">
        <f>IF('Raw profile'!BG152&gt;0,1,IF('Raw profile'!BG255&gt;0,2,0))</f>
        <v>2</v>
      </c>
      <c r="BI279" s="20">
        <f>IF('Raw profile'!BH152&gt;0,1,IF('Raw profile'!BH255&gt;0,2,0))</f>
        <v>2</v>
      </c>
      <c r="BJ279" s="20">
        <f>IF('Raw profile'!BI152&gt;0,1,IF('Raw profile'!BI255&gt;0,2,0))</f>
        <v>0</v>
      </c>
      <c r="BK279" s="21">
        <f>IF('Raw profile'!BJ152&gt;0,1,IF('Raw profile'!BJ255&gt;0,2,0))</f>
        <v>0</v>
      </c>
    </row>
    <row r="280" spans="1:63" x14ac:dyDescent="0.3">
      <c r="B280" s="13" t="s">
        <v>4</v>
      </c>
      <c r="C280" s="19">
        <f>'Growth profile'!I44</f>
        <v>2026</v>
      </c>
      <c r="D280" s="20">
        <f>IF('Growth profile'!C152&gt;0,1,IF('Growth profile'!C255&gt;0,3,0))</f>
        <v>1</v>
      </c>
      <c r="E280" s="20">
        <f>IF('Growth profile'!D152&gt;0,1,IF('Growth profile'!D255&gt;0,3,0))</f>
        <v>1</v>
      </c>
      <c r="F280" s="20">
        <f>IF('Growth profile'!E152&gt;0,1,IF('Growth profile'!E255&gt;0,3,0))</f>
        <v>3</v>
      </c>
      <c r="G280" s="20">
        <f>IF('Growth profile'!F152&gt;0,1,IF('Growth profile'!F255&gt;0,3,0))</f>
        <v>3</v>
      </c>
      <c r="H280" s="20">
        <f>IF('Growth profile'!G152&gt;0,1,IF('Growth profile'!G255&gt;0,3,0))</f>
        <v>3</v>
      </c>
      <c r="I280" s="20">
        <f>IF('Growth profile'!H152&gt;0,1,IF('Growth profile'!H255&gt;0,3,0))</f>
        <v>3</v>
      </c>
      <c r="J280" s="20">
        <f>IF('Growth profile'!I152&gt;0,1,IF('Growth profile'!I255&gt;0,3,0))</f>
        <v>3</v>
      </c>
      <c r="K280" s="20">
        <f>IF('Growth profile'!J152&gt;0,1,IF('Growth profile'!J255&gt;0,3,0))</f>
        <v>3</v>
      </c>
      <c r="L280" s="20">
        <f>IF('Growth profile'!K152&gt;0,1,IF('Growth profile'!K255&gt;0,3,0))</f>
        <v>3</v>
      </c>
      <c r="M280" s="20">
        <f>IF('Growth profile'!L152&gt;0,1,IF('Growth profile'!L255&gt;0,3,0))</f>
        <v>3</v>
      </c>
      <c r="N280" s="20">
        <f>IF('Growth profile'!M152&gt;0,1,IF('Growth profile'!M255&gt;0,3,0))</f>
        <v>3</v>
      </c>
      <c r="O280" s="20">
        <f>IF('Growth profile'!N152&gt;0,1,IF('Growth profile'!N255&gt;0,3,0))</f>
        <v>3</v>
      </c>
      <c r="P280" s="20">
        <f>IF('Growth profile'!O152&gt;0,1,IF('Growth profile'!O255&gt;0,3,0))</f>
        <v>3</v>
      </c>
      <c r="Q280" s="20">
        <f>IF('Growth profile'!P152&gt;0,1,IF('Growth profile'!P255&gt;0,3,0))</f>
        <v>3</v>
      </c>
      <c r="R280" s="20">
        <f>IF('Growth profile'!Q152&gt;0,1,IF('Growth profile'!Q255&gt;0,3,0))</f>
        <v>3</v>
      </c>
      <c r="S280" s="20">
        <f>IF('Growth profile'!R152&gt;0,1,IF('Growth profile'!R255&gt;0,3,0))</f>
        <v>3</v>
      </c>
      <c r="T280" s="20">
        <f>IF('Growth profile'!S152&gt;0,1,IF('Growth profile'!S255&gt;0,3,0))</f>
        <v>3</v>
      </c>
      <c r="U280" s="20">
        <f>IF('Growth profile'!T152&gt;0,1,IF('Growth profile'!T255&gt;0,3,0))</f>
        <v>3</v>
      </c>
      <c r="V280" s="20">
        <f>IF('Growth profile'!U152&gt;0,1,IF('Growth profile'!U255&gt;0,3,0))</f>
        <v>3</v>
      </c>
      <c r="W280" s="20">
        <f>IF('Growth profile'!V152&gt;0,1,IF('Growth profile'!V255&gt;0,3,0))</f>
        <v>3</v>
      </c>
      <c r="X280" s="20">
        <f>IF('Growth profile'!W152&gt;0,1,IF('Growth profile'!W255&gt;0,3,0))</f>
        <v>3</v>
      </c>
      <c r="Y280" s="20">
        <f>IF('Growth profile'!X152&gt;0,1,IF('Growth profile'!X255&gt;0,3,0))</f>
        <v>3</v>
      </c>
      <c r="Z280" s="20">
        <f>IF('Growth profile'!Y152&gt;0,1,IF('Growth profile'!Y255&gt;0,3,0))</f>
        <v>3</v>
      </c>
      <c r="AA280" s="20">
        <f>IF('Growth profile'!Z152&gt;0,1,IF('Growth profile'!Z255&gt;0,3,0))</f>
        <v>3</v>
      </c>
      <c r="AB280" s="20">
        <f>IF('Growth profile'!AA152&gt;0,1,IF('Growth profile'!AA255&gt;0,3,0))</f>
        <v>3</v>
      </c>
      <c r="AC280" s="20">
        <f>IF('Growth profile'!AB152&gt;0,1,IF('Growth profile'!AB255&gt;0,3,0))</f>
        <v>3</v>
      </c>
      <c r="AD280" s="20">
        <f>IF('Growth profile'!AC152&gt;0,1,IF('Growth profile'!AC255&gt;0,3,0))</f>
        <v>3</v>
      </c>
      <c r="AE280" s="20">
        <f>IF('Growth profile'!AD152&gt;0,1,IF('Growth profile'!AD255&gt;0,3,0))</f>
        <v>3</v>
      </c>
      <c r="AF280" s="20">
        <f>IF('Growth profile'!AE152&gt;0,1,IF('Growth profile'!AE255&gt;0,3,0))</f>
        <v>3</v>
      </c>
      <c r="AG280" s="20">
        <f>IF('Growth profile'!AF152&gt;0,1,IF('Growth profile'!AF255&gt;0,3,0))</f>
        <v>3</v>
      </c>
      <c r="AH280" s="20">
        <f>IF('Growth profile'!AG152&gt;0,1,IF('Growth profile'!AG255&gt;0,3,0))</f>
        <v>3</v>
      </c>
      <c r="AI280" s="20">
        <f>IF('Growth profile'!AH152&gt;0,1,IF('Growth profile'!AH255&gt;0,3,0))</f>
        <v>3</v>
      </c>
      <c r="AJ280" s="20">
        <f>IF('Growth profile'!AI152&gt;0,1,IF('Growth profile'!AI255&gt;0,3,0))</f>
        <v>3</v>
      </c>
      <c r="AK280" s="20">
        <f>IF('Growth profile'!AJ152&gt;0,1,IF('Growth profile'!AJ255&gt;0,3,0))</f>
        <v>3</v>
      </c>
      <c r="AL280" s="20">
        <f>IF('Growth profile'!AK152&gt;0,1,IF('Growth profile'!AK255&gt;0,3,0))</f>
        <v>3</v>
      </c>
      <c r="AM280" s="20">
        <f>IF('Growth profile'!AL152&gt;0,1,IF('Growth profile'!AL255&gt;0,3,0))</f>
        <v>3</v>
      </c>
      <c r="AN280" s="20">
        <f>IF('Growth profile'!AM152&gt;0,1,IF('Growth profile'!AM255&gt;0,3,0))</f>
        <v>3</v>
      </c>
      <c r="AO280" s="20">
        <f>IF('Growth profile'!AN152&gt;0,1,IF('Growth profile'!AN255&gt;0,3,0))</f>
        <v>3</v>
      </c>
      <c r="AP280" s="20">
        <f>IF('Growth profile'!AO152&gt;0,1,IF('Growth profile'!AO255&gt;0,3,0))</f>
        <v>3</v>
      </c>
      <c r="AQ280" s="20">
        <f>IF('Growth profile'!AP152&gt;0,1,IF('Growth profile'!AP255&gt;0,3,0))</f>
        <v>3</v>
      </c>
      <c r="AR280" s="20">
        <f>IF('Growth profile'!AQ152&gt;0,1,IF('Growth profile'!AQ255&gt;0,3,0))</f>
        <v>3</v>
      </c>
      <c r="AS280" s="20">
        <f>IF('Growth profile'!AR152&gt;0,1,IF('Growth profile'!AR255&gt;0,3,0))</f>
        <v>3</v>
      </c>
      <c r="AT280" s="20">
        <f>IF('Growth profile'!AS152&gt;0,1,IF('Growth profile'!AS255&gt;0,3,0))</f>
        <v>0</v>
      </c>
      <c r="AU280" s="20">
        <f>IF('Growth profile'!AT152&gt;0,1,IF('Growth profile'!AT255&gt;0,3,0))</f>
        <v>0</v>
      </c>
      <c r="AV280" s="20">
        <f>IF('Growth profile'!AU152&gt;0,1,IF('Growth profile'!AU255&gt;0,3,0))</f>
        <v>0</v>
      </c>
      <c r="AW280" s="20">
        <f>IF('Growth profile'!AV152&gt;0,1,IF('Growth profile'!AV255&gt;0,3,0))</f>
        <v>0</v>
      </c>
      <c r="AX280" s="20">
        <f>IF('Growth profile'!AW152&gt;0,1,IF('Growth profile'!AW255&gt;0,3,0))</f>
        <v>0</v>
      </c>
      <c r="AY280" s="20">
        <f>IF('Growth profile'!AX152&gt;0,1,IF('Growth profile'!AX255&gt;0,3,0))</f>
        <v>0</v>
      </c>
      <c r="AZ280" s="20">
        <f>IF('Growth profile'!AY152&gt;0,1,IF('Growth profile'!AY255&gt;0,3,0))</f>
        <v>0</v>
      </c>
      <c r="BA280" s="20">
        <f>IF('Growth profile'!AZ152&gt;0,1,IF('Growth profile'!AZ255&gt;0,3,0))</f>
        <v>0</v>
      </c>
      <c r="BB280" s="20">
        <f>IF('Growth profile'!BA152&gt;0,1,IF('Growth profile'!BA255&gt;0,3,0))</f>
        <v>0</v>
      </c>
      <c r="BC280" s="20">
        <f>IF('Growth profile'!BB152&gt;0,1,IF('Growth profile'!BB255&gt;0,3,0))</f>
        <v>0</v>
      </c>
      <c r="BD280" s="20">
        <f>IF('Growth profile'!BC152&gt;0,1,IF('Growth profile'!BC255&gt;0,3,0))</f>
        <v>0</v>
      </c>
      <c r="BE280" s="20">
        <f>IF('Growth profile'!BD152&gt;0,1,IF('Growth profile'!BD255&gt;0,3,0))</f>
        <v>0</v>
      </c>
      <c r="BF280" s="20">
        <f>IF('Growth profile'!BE152&gt;0,1,IF('Growth profile'!BE255&gt;0,3,0))</f>
        <v>0</v>
      </c>
      <c r="BG280" s="20">
        <f>IF('Growth profile'!BF152&gt;0,1,IF('Growth profile'!BF255&gt;0,3,0))</f>
        <v>0</v>
      </c>
      <c r="BH280" s="20">
        <f>IF('Growth profile'!BG152&gt;0,1,IF('Growth profile'!BG255&gt;0,3,0))</f>
        <v>0</v>
      </c>
      <c r="BI280" s="20">
        <f>IF('Growth profile'!BH152&gt;0,1,IF('Growth profile'!BH255&gt;0,3,0))</f>
        <v>0</v>
      </c>
      <c r="BJ280" s="20">
        <f>IF('Growth profile'!BI152&gt;0,1,IF('Growth profile'!BI255&gt;0,3,0))</f>
        <v>0</v>
      </c>
      <c r="BK280" s="21">
        <f>IF('Growth profile'!BJ152&gt;0,1,IF('Growth profile'!BJ255&gt;0,3,0))</f>
        <v>0</v>
      </c>
    </row>
    <row r="281" spans="1:63" x14ac:dyDescent="0.3">
      <c r="B281" s="13" t="s">
        <v>59</v>
      </c>
      <c r="C281" s="19">
        <f>'Growth (no penalty)'!I44</f>
        <v>2026</v>
      </c>
      <c r="D281" s="22">
        <f>IF('Growth (no penalty)'!C152&gt;0,1,IF('Growth (no penalty)'!C255&gt;0,4,0))</f>
        <v>1</v>
      </c>
      <c r="E281" s="22">
        <f>IF('Growth (no penalty)'!D152&gt;0,1,IF('Growth (no penalty)'!D255&gt;0,4,0))</f>
        <v>1</v>
      </c>
      <c r="F281" s="22">
        <f>IF('Growth (no penalty)'!E152&gt;0,1,IF('Growth (no penalty)'!E255&gt;0,4,0))</f>
        <v>4</v>
      </c>
      <c r="G281" s="22">
        <f>IF('Growth (no penalty)'!F152&gt;0,1,IF('Growth (no penalty)'!F255&gt;0,4,0))</f>
        <v>4</v>
      </c>
      <c r="H281" s="22">
        <f>IF('Growth (no penalty)'!G152&gt;0,1,IF('Growth (no penalty)'!G255&gt;0,4,0))</f>
        <v>4</v>
      </c>
      <c r="I281" s="22">
        <f>IF('Growth (no penalty)'!H152&gt;0,1,IF('Growth (no penalty)'!H255&gt;0,4,0))</f>
        <v>4</v>
      </c>
      <c r="J281" s="22">
        <f>IF('Growth (no penalty)'!I152&gt;0,1,IF('Growth (no penalty)'!I255&gt;0,4,0))</f>
        <v>4</v>
      </c>
      <c r="K281" s="22">
        <f>IF('Growth (no penalty)'!J152&gt;0,1,IF('Growth (no penalty)'!J255&gt;0,4,0))</f>
        <v>4</v>
      </c>
      <c r="L281" s="22">
        <f>IF('Growth (no penalty)'!K152&gt;0,1,IF('Growth (no penalty)'!K255&gt;0,4,0))</f>
        <v>4</v>
      </c>
      <c r="M281" s="22">
        <f>IF('Growth (no penalty)'!L152&gt;0,1,IF('Growth (no penalty)'!L255&gt;0,4,0))</f>
        <v>4</v>
      </c>
      <c r="N281" s="22">
        <f>IF('Growth (no penalty)'!M152&gt;0,1,IF('Growth (no penalty)'!M255&gt;0,4,0))</f>
        <v>4</v>
      </c>
      <c r="O281" s="22">
        <f>IF('Growth (no penalty)'!N152&gt;0,1,IF('Growth (no penalty)'!N255&gt;0,4,0))</f>
        <v>4</v>
      </c>
      <c r="P281" s="22">
        <f>IF('Growth (no penalty)'!O152&gt;0,1,IF('Growth (no penalty)'!O255&gt;0,4,0))</f>
        <v>4</v>
      </c>
      <c r="Q281" s="22">
        <f>IF('Growth (no penalty)'!P152&gt;0,1,IF('Growth (no penalty)'!P255&gt;0,4,0))</f>
        <v>4</v>
      </c>
      <c r="R281" s="22">
        <f>IF('Growth (no penalty)'!Q152&gt;0,1,IF('Growth (no penalty)'!Q255&gt;0,4,0))</f>
        <v>4</v>
      </c>
      <c r="S281" s="22">
        <f>IF('Growth (no penalty)'!R152&gt;0,1,IF('Growth (no penalty)'!R255&gt;0,4,0))</f>
        <v>4</v>
      </c>
      <c r="T281" s="22">
        <f>IF('Growth (no penalty)'!S152&gt;0,1,IF('Growth (no penalty)'!S255&gt;0,4,0))</f>
        <v>4</v>
      </c>
      <c r="U281" s="22">
        <f>IF('Growth (no penalty)'!T152&gt;0,1,IF('Growth (no penalty)'!T255&gt;0,4,0))</f>
        <v>4</v>
      </c>
      <c r="V281" s="22">
        <f>IF('Growth (no penalty)'!U152&gt;0,1,IF('Growth (no penalty)'!U255&gt;0,4,0))</f>
        <v>4</v>
      </c>
      <c r="W281" s="22">
        <f>IF('Growth (no penalty)'!V152&gt;0,1,IF('Growth (no penalty)'!V255&gt;0,4,0))</f>
        <v>4</v>
      </c>
      <c r="X281" s="22">
        <f>IF('Growth (no penalty)'!W152&gt;0,1,IF('Growth (no penalty)'!W255&gt;0,4,0))</f>
        <v>4</v>
      </c>
      <c r="Y281" s="22">
        <f>IF('Growth (no penalty)'!X152&gt;0,1,IF('Growth (no penalty)'!X255&gt;0,4,0))</f>
        <v>4</v>
      </c>
      <c r="Z281" s="22">
        <f>IF('Growth (no penalty)'!Y152&gt;0,1,IF('Growth (no penalty)'!Y255&gt;0,4,0))</f>
        <v>4</v>
      </c>
      <c r="AA281" s="22">
        <f>IF('Growth (no penalty)'!Z152&gt;0,1,IF('Growth (no penalty)'!Z255&gt;0,4,0))</f>
        <v>4</v>
      </c>
      <c r="AB281" s="22">
        <f>IF('Growth (no penalty)'!AA152&gt;0,1,IF('Growth (no penalty)'!AA255&gt;0,4,0))</f>
        <v>4</v>
      </c>
      <c r="AC281" s="22">
        <f>IF('Growth (no penalty)'!AB152&gt;0,1,IF('Growth (no penalty)'!AB255&gt;0,4,0))</f>
        <v>4</v>
      </c>
      <c r="AD281" s="22">
        <f>IF('Growth (no penalty)'!AC152&gt;0,1,IF('Growth (no penalty)'!AC255&gt;0,4,0))</f>
        <v>4</v>
      </c>
      <c r="AE281" s="22">
        <f>IF('Growth (no penalty)'!AD152&gt;0,1,IF('Growth (no penalty)'!AD255&gt;0,4,0))</f>
        <v>4</v>
      </c>
      <c r="AF281" s="22">
        <f>IF('Growth (no penalty)'!AE152&gt;0,1,IF('Growth (no penalty)'!AE255&gt;0,4,0))</f>
        <v>4</v>
      </c>
      <c r="AG281" s="22">
        <f>IF('Growth (no penalty)'!AF152&gt;0,1,IF('Growth (no penalty)'!AF255&gt;0,4,0))</f>
        <v>4</v>
      </c>
      <c r="AH281" s="22">
        <f>IF('Growth (no penalty)'!AG152&gt;0,1,IF('Growth (no penalty)'!AG255&gt;0,4,0))</f>
        <v>4</v>
      </c>
      <c r="AI281" s="22">
        <f>IF('Growth (no penalty)'!AH152&gt;0,1,IF('Growth (no penalty)'!AH255&gt;0,4,0))</f>
        <v>4</v>
      </c>
      <c r="AJ281" s="22">
        <f>IF('Growth (no penalty)'!AI152&gt;0,1,IF('Growth (no penalty)'!AI255&gt;0,4,0))</f>
        <v>4</v>
      </c>
      <c r="AK281" s="22">
        <f>IF('Growth (no penalty)'!AJ152&gt;0,1,IF('Growth (no penalty)'!AJ255&gt;0,4,0))</f>
        <v>4</v>
      </c>
      <c r="AL281" s="22">
        <f>IF('Growth (no penalty)'!AK152&gt;0,1,IF('Growth (no penalty)'!AK255&gt;0,4,0))</f>
        <v>4</v>
      </c>
      <c r="AM281" s="22">
        <f>IF('Growth (no penalty)'!AL152&gt;0,1,IF('Growth (no penalty)'!AL255&gt;0,4,0))</f>
        <v>4</v>
      </c>
      <c r="AN281" s="22">
        <f>IF('Growth (no penalty)'!AM152&gt;0,1,IF('Growth (no penalty)'!AM255&gt;0,4,0))</f>
        <v>4</v>
      </c>
      <c r="AO281" s="22">
        <f>IF('Growth (no penalty)'!AN152&gt;0,1,IF('Growth (no penalty)'!AN255&gt;0,4,0))</f>
        <v>4</v>
      </c>
      <c r="AP281" s="22">
        <f>IF('Growth (no penalty)'!AO152&gt;0,1,IF('Growth (no penalty)'!AO255&gt;0,4,0))</f>
        <v>4</v>
      </c>
      <c r="AQ281" s="22">
        <f>IF('Growth (no penalty)'!AP152&gt;0,1,IF('Growth (no penalty)'!AP255&gt;0,4,0))</f>
        <v>4</v>
      </c>
      <c r="AR281" s="22">
        <f>IF('Growth (no penalty)'!AQ152&gt;0,1,IF('Growth (no penalty)'!AQ255&gt;0,4,0))</f>
        <v>4</v>
      </c>
      <c r="AS281" s="22">
        <f>IF('Growth (no penalty)'!AR152&gt;0,1,IF('Growth (no penalty)'!AR255&gt;0,4,0))</f>
        <v>4</v>
      </c>
      <c r="AT281" s="22">
        <f>IF('Growth (no penalty)'!AS152&gt;0,1,IF('Growth (no penalty)'!AS255&gt;0,4,0))</f>
        <v>0</v>
      </c>
      <c r="AU281" s="22">
        <f>IF('Growth (no penalty)'!AT152&gt;0,1,IF('Growth (no penalty)'!AT255&gt;0,4,0))</f>
        <v>0</v>
      </c>
      <c r="AV281" s="22">
        <f>IF('Growth (no penalty)'!AU152&gt;0,1,IF('Growth (no penalty)'!AU255&gt;0,4,0))</f>
        <v>0</v>
      </c>
      <c r="AW281" s="22">
        <f>IF('Growth (no penalty)'!AV152&gt;0,1,IF('Growth (no penalty)'!AV255&gt;0,4,0))</f>
        <v>0</v>
      </c>
      <c r="AX281" s="22">
        <f>IF('Growth (no penalty)'!AW152&gt;0,1,IF('Growth (no penalty)'!AW255&gt;0,4,0))</f>
        <v>0</v>
      </c>
      <c r="AY281" s="22">
        <f>IF('Growth (no penalty)'!AX152&gt;0,1,IF('Growth (no penalty)'!AX255&gt;0,4,0))</f>
        <v>0</v>
      </c>
      <c r="AZ281" s="22">
        <f>IF('Growth (no penalty)'!AY152&gt;0,1,IF('Growth (no penalty)'!AY255&gt;0,4,0))</f>
        <v>0</v>
      </c>
      <c r="BA281" s="22">
        <f>IF('Growth (no penalty)'!AZ152&gt;0,1,IF('Growth (no penalty)'!AZ255&gt;0,4,0))</f>
        <v>0</v>
      </c>
      <c r="BB281" s="22">
        <f>IF('Growth (no penalty)'!BA152&gt;0,1,IF('Growth (no penalty)'!BA255&gt;0,4,0))</f>
        <v>0</v>
      </c>
      <c r="BC281" s="22">
        <f>IF('Growth (no penalty)'!BB152&gt;0,1,IF('Growth (no penalty)'!BB255&gt;0,4,0))</f>
        <v>0</v>
      </c>
      <c r="BD281" s="22">
        <f>IF('Growth (no penalty)'!BC152&gt;0,1,IF('Growth (no penalty)'!BC255&gt;0,4,0))</f>
        <v>0</v>
      </c>
      <c r="BE281" s="22">
        <f>IF('Growth (no penalty)'!BD152&gt;0,1,IF('Growth (no penalty)'!BD255&gt;0,4,0))</f>
        <v>0</v>
      </c>
      <c r="BF281" s="22">
        <f>IF('Growth (no penalty)'!BE152&gt;0,1,IF('Growth (no penalty)'!BE255&gt;0,4,0))</f>
        <v>0</v>
      </c>
      <c r="BG281" s="22">
        <f>IF('Growth (no penalty)'!BF152&gt;0,1,IF('Growth (no penalty)'!BF255&gt;0,4,0))</f>
        <v>0</v>
      </c>
      <c r="BH281" s="22">
        <f>IF('Growth (no penalty)'!BG152&gt;0,1,IF('Growth (no penalty)'!BG255&gt;0,4,0))</f>
        <v>0</v>
      </c>
      <c r="BI281" s="22">
        <f>IF('Growth (no penalty)'!BH152&gt;0,1,IF('Growth (no penalty)'!BH255&gt;0,4,0))</f>
        <v>0</v>
      </c>
      <c r="BJ281" s="22">
        <f>IF('Growth (no penalty)'!BI152&gt;0,1,IF('Growth (no penalty)'!BI255&gt;0,4,0))</f>
        <v>0</v>
      </c>
      <c r="BK281" s="23">
        <f>IF('Growth (no penalty)'!BJ152&gt;0,1,IF('Growth (no penalty)'!BJ255&gt;0,4,0))</f>
        <v>0</v>
      </c>
    </row>
    <row r="282" spans="1:63" x14ac:dyDescent="0.3">
      <c r="A282" s="4" t="str">
        <f>'Growth profile'!A45</f>
        <v>project 40</v>
      </c>
      <c r="B282" s="13" t="s">
        <v>3</v>
      </c>
      <c r="C282" s="19">
        <f>'Raw profile'!I45</f>
        <v>2042</v>
      </c>
      <c r="D282" s="20">
        <f>IF('Raw profile'!C153&gt;0,1,IF('Raw profile'!C256&gt;0,2,0))</f>
        <v>0</v>
      </c>
      <c r="E282" s="20">
        <f>IF('Raw profile'!D153&gt;0,1,IF('Raw profile'!D256&gt;0,2,0))</f>
        <v>0</v>
      </c>
      <c r="F282" s="20">
        <f>IF('Raw profile'!E153&gt;0,1,IF('Raw profile'!E256&gt;0,2,0))</f>
        <v>0</v>
      </c>
      <c r="G282" s="20">
        <f>IF('Raw profile'!F153&gt;0,1,IF('Raw profile'!F256&gt;0,2,0))</f>
        <v>0</v>
      </c>
      <c r="H282" s="20">
        <f>IF('Raw profile'!G153&gt;0,1,IF('Raw profile'!G256&gt;0,2,0))</f>
        <v>0</v>
      </c>
      <c r="I282" s="20">
        <f>IF('Raw profile'!H153&gt;0,1,IF('Raw profile'!H256&gt;0,2,0))</f>
        <v>0</v>
      </c>
      <c r="J282" s="20">
        <f>IF('Raw profile'!I153&gt;0,1,IF('Raw profile'!I256&gt;0,2,0))</f>
        <v>0</v>
      </c>
      <c r="K282" s="20">
        <f>IF('Raw profile'!J153&gt;0,1,IF('Raw profile'!J256&gt;0,2,0))</f>
        <v>0</v>
      </c>
      <c r="L282" s="20">
        <f>IF('Raw profile'!K153&gt;0,1,IF('Raw profile'!K256&gt;0,2,0))</f>
        <v>0</v>
      </c>
      <c r="M282" s="20">
        <f>IF('Raw profile'!L153&gt;0,1,IF('Raw profile'!L256&gt;0,2,0))</f>
        <v>0</v>
      </c>
      <c r="N282" s="20">
        <f>IF('Raw profile'!M153&gt;0,1,IF('Raw profile'!M256&gt;0,2,0))</f>
        <v>0</v>
      </c>
      <c r="O282" s="20">
        <f>IF('Raw profile'!N153&gt;0,1,IF('Raw profile'!N256&gt;0,2,0))</f>
        <v>0</v>
      </c>
      <c r="P282" s="20">
        <f>IF('Raw profile'!O153&gt;0,1,IF('Raw profile'!O256&gt;0,2,0))</f>
        <v>0</v>
      </c>
      <c r="Q282" s="20">
        <f>IF('Raw profile'!P153&gt;0,1,IF('Raw profile'!P256&gt;0,2,0))</f>
        <v>0</v>
      </c>
      <c r="R282" s="20">
        <f>IF('Raw profile'!Q153&gt;0,1,IF('Raw profile'!Q256&gt;0,2,0))</f>
        <v>0</v>
      </c>
      <c r="S282" s="20">
        <f>IF('Raw profile'!R153&gt;0,1,IF('Raw profile'!R256&gt;0,2,0))</f>
        <v>0</v>
      </c>
      <c r="T282" s="20">
        <f>IF('Raw profile'!S153&gt;0,1,IF('Raw profile'!S256&gt;0,2,0))</f>
        <v>1</v>
      </c>
      <c r="U282" s="20">
        <f>IF('Raw profile'!T153&gt;0,1,IF('Raw profile'!T256&gt;0,2,0))</f>
        <v>1</v>
      </c>
      <c r="V282" s="20">
        <f>IF('Raw profile'!U153&gt;0,1,IF('Raw profile'!U256&gt;0,2,0))</f>
        <v>2</v>
      </c>
      <c r="W282" s="20">
        <f>IF('Raw profile'!V153&gt;0,1,IF('Raw profile'!V256&gt;0,2,0))</f>
        <v>2</v>
      </c>
      <c r="X282" s="20">
        <f>IF('Raw profile'!W153&gt;0,1,IF('Raw profile'!W256&gt;0,2,0))</f>
        <v>2</v>
      </c>
      <c r="Y282" s="20">
        <f>IF('Raw profile'!X153&gt;0,1,IF('Raw profile'!X256&gt;0,2,0))</f>
        <v>2</v>
      </c>
      <c r="Z282" s="20">
        <f>IF('Raw profile'!Y153&gt;0,1,IF('Raw profile'!Y256&gt;0,2,0))</f>
        <v>2</v>
      </c>
      <c r="AA282" s="20">
        <f>IF('Raw profile'!Z153&gt;0,1,IF('Raw profile'!Z256&gt;0,2,0))</f>
        <v>2</v>
      </c>
      <c r="AB282" s="20">
        <f>IF('Raw profile'!AA153&gt;0,1,IF('Raw profile'!AA256&gt;0,2,0))</f>
        <v>2</v>
      </c>
      <c r="AC282" s="20">
        <f>IF('Raw profile'!AB153&gt;0,1,IF('Raw profile'!AB256&gt;0,2,0))</f>
        <v>2</v>
      </c>
      <c r="AD282" s="20">
        <f>IF('Raw profile'!AC153&gt;0,1,IF('Raw profile'!AC256&gt;0,2,0))</f>
        <v>2</v>
      </c>
      <c r="AE282" s="20">
        <f>IF('Raw profile'!AD153&gt;0,1,IF('Raw profile'!AD256&gt;0,2,0))</f>
        <v>2</v>
      </c>
      <c r="AF282" s="20">
        <f>IF('Raw profile'!AE153&gt;0,1,IF('Raw profile'!AE256&gt;0,2,0))</f>
        <v>2</v>
      </c>
      <c r="AG282" s="20">
        <f>IF('Raw profile'!AF153&gt;0,1,IF('Raw profile'!AF256&gt;0,2,0))</f>
        <v>2</v>
      </c>
      <c r="AH282" s="20">
        <f>IF('Raw profile'!AG153&gt;0,1,IF('Raw profile'!AG256&gt;0,2,0))</f>
        <v>2</v>
      </c>
      <c r="AI282" s="20">
        <f>IF('Raw profile'!AH153&gt;0,1,IF('Raw profile'!AH256&gt;0,2,0))</f>
        <v>2</v>
      </c>
      <c r="AJ282" s="20">
        <f>IF('Raw profile'!AI153&gt;0,1,IF('Raw profile'!AI256&gt;0,2,0))</f>
        <v>2</v>
      </c>
      <c r="AK282" s="20">
        <f>IF('Raw profile'!AJ153&gt;0,1,IF('Raw profile'!AJ256&gt;0,2,0))</f>
        <v>2</v>
      </c>
      <c r="AL282" s="20">
        <f>IF('Raw profile'!AK153&gt;0,1,IF('Raw profile'!AK256&gt;0,2,0))</f>
        <v>2</v>
      </c>
      <c r="AM282" s="20">
        <f>IF('Raw profile'!AL153&gt;0,1,IF('Raw profile'!AL256&gt;0,2,0))</f>
        <v>2</v>
      </c>
      <c r="AN282" s="20">
        <f>IF('Raw profile'!AM153&gt;0,1,IF('Raw profile'!AM256&gt;0,2,0))</f>
        <v>2</v>
      </c>
      <c r="AO282" s="20">
        <f>IF('Raw profile'!AN153&gt;0,1,IF('Raw profile'!AN256&gt;0,2,0))</f>
        <v>2</v>
      </c>
      <c r="AP282" s="20">
        <f>IF('Raw profile'!AO153&gt;0,1,IF('Raw profile'!AO256&gt;0,2,0))</f>
        <v>2</v>
      </c>
      <c r="AQ282" s="20">
        <f>IF('Raw profile'!AP153&gt;0,1,IF('Raw profile'!AP256&gt;0,2,0))</f>
        <v>2</v>
      </c>
      <c r="AR282" s="20">
        <f>IF('Raw profile'!AQ153&gt;0,1,IF('Raw profile'!AQ256&gt;0,2,0))</f>
        <v>2</v>
      </c>
      <c r="AS282" s="20">
        <f>IF('Raw profile'!AR153&gt;0,1,IF('Raw profile'!AR256&gt;0,2,0))</f>
        <v>2</v>
      </c>
      <c r="AT282" s="20">
        <f>IF('Raw profile'!AS153&gt;0,1,IF('Raw profile'!AS256&gt;0,2,0))</f>
        <v>2</v>
      </c>
      <c r="AU282" s="20">
        <f>IF('Raw profile'!AT153&gt;0,1,IF('Raw profile'!AT256&gt;0,2,0))</f>
        <v>2</v>
      </c>
      <c r="AV282" s="20">
        <f>IF('Raw profile'!AU153&gt;0,1,IF('Raw profile'!AU256&gt;0,2,0))</f>
        <v>2</v>
      </c>
      <c r="AW282" s="20">
        <f>IF('Raw profile'!AV153&gt;0,1,IF('Raw profile'!AV256&gt;0,2,0))</f>
        <v>2</v>
      </c>
      <c r="AX282" s="20">
        <f>IF('Raw profile'!AW153&gt;0,1,IF('Raw profile'!AW256&gt;0,2,0))</f>
        <v>2</v>
      </c>
      <c r="AY282" s="20">
        <f>IF('Raw profile'!AX153&gt;0,1,IF('Raw profile'!AX256&gt;0,2,0))</f>
        <v>2</v>
      </c>
      <c r="AZ282" s="20">
        <f>IF('Raw profile'!AY153&gt;0,1,IF('Raw profile'!AY256&gt;0,2,0))</f>
        <v>2</v>
      </c>
      <c r="BA282" s="20">
        <f>IF('Raw profile'!AZ153&gt;0,1,IF('Raw profile'!AZ256&gt;0,2,0))</f>
        <v>2</v>
      </c>
      <c r="BB282" s="20">
        <f>IF('Raw profile'!BA153&gt;0,1,IF('Raw profile'!BA256&gt;0,2,0))</f>
        <v>2</v>
      </c>
      <c r="BC282" s="20">
        <f>IF('Raw profile'!BB153&gt;0,1,IF('Raw profile'!BB256&gt;0,2,0))</f>
        <v>2</v>
      </c>
      <c r="BD282" s="20">
        <f>IF('Raw profile'!BC153&gt;0,1,IF('Raw profile'!BC256&gt;0,2,0))</f>
        <v>2</v>
      </c>
      <c r="BE282" s="20">
        <f>IF('Raw profile'!BD153&gt;0,1,IF('Raw profile'!BD256&gt;0,2,0))</f>
        <v>2</v>
      </c>
      <c r="BF282" s="20">
        <f>IF('Raw profile'!BE153&gt;0,1,IF('Raw profile'!BE256&gt;0,2,0))</f>
        <v>2</v>
      </c>
      <c r="BG282" s="20">
        <f>IF('Raw profile'!BF153&gt;0,1,IF('Raw profile'!BF256&gt;0,2,0))</f>
        <v>2</v>
      </c>
      <c r="BH282" s="20">
        <f>IF('Raw profile'!BG153&gt;0,1,IF('Raw profile'!BG256&gt;0,2,0))</f>
        <v>2</v>
      </c>
      <c r="BI282" s="20">
        <f>IF('Raw profile'!BH153&gt;0,1,IF('Raw profile'!BH256&gt;0,2,0))</f>
        <v>2</v>
      </c>
      <c r="BJ282" s="20">
        <f>IF('Raw profile'!BI153&gt;0,1,IF('Raw profile'!BI256&gt;0,2,0))</f>
        <v>0</v>
      </c>
      <c r="BK282" s="21">
        <f>IF('Raw profile'!BJ153&gt;0,1,IF('Raw profile'!BJ256&gt;0,2,0))</f>
        <v>0</v>
      </c>
    </row>
    <row r="283" spans="1:63" x14ac:dyDescent="0.3">
      <c r="B283" s="13" t="s">
        <v>4</v>
      </c>
      <c r="C283" s="19">
        <f>'Growth profile'!I45</f>
        <v>2026</v>
      </c>
      <c r="D283" s="20">
        <f>IF('Growth profile'!C153&gt;0,1,IF('Growth profile'!C256&gt;0,3,0))</f>
        <v>1</v>
      </c>
      <c r="E283" s="20">
        <f>IF('Growth profile'!D153&gt;0,1,IF('Growth profile'!D256&gt;0,3,0))</f>
        <v>1</v>
      </c>
      <c r="F283" s="20">
        <f>IF('Growth profile'!E153&gt;0,1,IF('Growth profile'!E256&gt;0,3,0))</f>
        <v>3</v>
      </c>
      <c r="G283" s="20">
        <f>IF('Growth profile'!F153&gt;0,1,IF('Growth profile'!F256&gt;0,3,0))</f>
        <v>3</v>
      </c>
      <c r="H283" s="20">
        <f>IF('Growth profile'!G153&gt;0,1,IF('Growth profile'!G256&gt;0,3,0))</f>
        <v>3</v>
      </c>
      <c r="I283" s="20">
        <f>IF('Growth profile'!H153&gt;0,1,IF('Growth profile'!H256&gt;0,3,0))</f>
        <v>3</v>
      </c>
      <c r="J283" s="20">
        <f>IF('Growth profile'!I153&gt;0,1,IF('Growth profile'!I256&gt;0,3,0))</f>
        <v>3</v>
      </c>
      <c r="K283" s="20">
        <f>IF('Growth profile'!J153&gt;0,1,IF('Growth profile'!J256&gt;0,3,0))</f>
        <v>3</v>
      </c>
      <c r="L283" s="20">
        <f>IF('Growth profile'!K153&gt;0,1,IF('Growth profile'!K256&gt;0,3,0))</f>
        <v>3</v>
      </c>
      <c r="M283" s="20">
        <f>IF('Growth profile'!L153&gt;0,1,IF('Growth profile'!L256&gt;0,3,0))</f>
        <v>3</v>
      </c>
      <c r="N283" s="20">
        <f>IF('Growth profile'!M153&gt;0,1,IF('Growth profile'!M256&gt;0,3,0))</f>
        <v>3</v>
      </c>
      <c r="O283" s="20">
        <f>IF('Growth profile'!N153&gt;0,1,IF('Growth profile'!N256&gt;0,3,0))</f>
        <v>3</v>
      </c>
      <c r="P283" s="20">
        <f>IF('Growth profile'!O153&gt;0,1,IF('Growth profile'!O256&gt;0,3,0))</f>
        <v>3</v>
      </c>
      <c r="Q283" s="20">
        <f>IF('Growth profile'!P153&gt;0,1,IF('Growth profile'!P256&gt;0,3,0))</f>
        <v>3</v>
      </c>
      <c r="R283" s="20">
        <f>IF('Growth profile'!Q153&gt;0,1,IF('Growth profile'!Q256&gt;0,3,0))</f>
        <v>3</v>
      </c>
      <c r="S283" s="20">
        <f>IF('Growth profile'!R153&gt;0,1,IF('Growth profile'!R256&gt;0,3,0))</f>
        <v>3</v>
      </c>
      <c r="T283" s="20">
        <f>IF('Growth profile'!S153&gt;0,1,IF('Growth profile'!S256&gt;0,3,0))</f>
        <v>3</v>
      </c>
      <c r="U283" s="20">
        <f>IF('Growth profile'!T153&gt;0,1,IF('Growth profile'!T256&gt;0,3,0))</f>
        <v>3</v>
      </c>
      <c r="V283" s="20">
        <f>IF('Growth profile'!U153&gt;0,1,IF('Growth profile'!U256&gt;0,3,0))</f>
        <v>3</v>
      </c>
      <c r="W283" s="20">
        <f>IF('Growth profile'!V153&gt;0,1,IF('Growth profile'!V256&gt;0,3,0))</f>
        <v>3</v>
      </c>
      <c r="X283" s="20">
        <f>IF('Growth profile'!W153&gt;0,1,IF('Growth profile'!W256&gt;0,3,0))</f>
        <v>3</v>
      </c>
      <c r="Y283" s="20">
        <f>IF('Growth profile'!X153&gt;0,1,IF('Growth profile'!X256&gt;0,3,0))</f>
        <v>3</v>
      </c>
      <c r="Z283" s="20">
        <f>IF('Growth profile'!Y153&gt;0,1,IF('Growth profile'!Y256&gt;0,3,0))</f>
        <v>3</v>
      </c>
      <c r="AA283" s="20">
        <f>IF('Growth profile'!Z153&gt;0,1,IF('Growth profile'!Z256&gt;0,3,0))</f>
        <v>3</v>
      </c>
      <c r="AB283" s="20">
        <f>IF('Growth profile'!AA153&gt;0,1,IF('Growth profile'!AA256&gt;0,3,0))</f>
        <v>3</v>
      </c>
      <c r="AC283" s="20">
        <f>IF('Growth profile'!AB153&gt;0,1,IF('Growth profile'!AB256&gt;0,3,0))</f>
        <v>3</v>
      </c>
      <c r="AD283" s="20">
        <f>IF('Growth profile'!AC153&gt;0,1,IF('Growth profile'!AC256&gt;0,3,0))</f>
        <v>3</v>
      </c>
      <c r="AE283" s="20">
        <f>IF('Growth profile'!AD153&gt;0,1,IF('Growth profile'!AD256&gt;0,3,0))</f>
        <v>3</v>
      </c>
      <c r="AF283" s="20">
        <f>IF('Growth profile'!AE153&gt;0,1,IF('Growth profile'!AE256&gt;0,3,0))</f>
        <v>3</v>
      </c>
      <c r="AG283" s="20">
        <f>IF('Growth profile'!AF153&gt;0,1,IF('Growth profile'!AF256&gt;0,3,0))</f>
        <v>3</v>
      </c>
      <c r="AH283" s="20">
        <f>IF('Growth profile'!AG153&gt;0,1,IF('Growth profile'!AG256&gt;0,3,0))</f>
        <v>3</v>
      </c>
      <c r="AI283" s="20">
        <f>IF('Growth profile'!AH153&gt;0,1,IF('Growth profile'!AH256&gt;0,3,0))</f>
        <v>3</v>
      </c>
      <c r="AJ283" s="20">
        <f>IF('Growth profile'!AI153&gt;0,1,IF('Growth profile'!AI256&gt;0,3,0))</f>
        <v>3</v>
      </c>
      <c r="AK283" s="20">
        <f>IF('Growth profile'!AJ153&gt;0,1,IF('Growth profile'!AJ256&gt;0,3,0))</f>
        <v>3</v>
      </c>
      <c r="AL283" s="20">
        <f>IF('Growth profile'!AK153&gt;0,1,IF('Growth profile'!AK256&gt;0,3,0))</f>
        <v>3</v>
      </c>
      <c r="AM283" s="20">
        <f>IF('Growth profile'!AL153&gt;0,1,IF('Growth profile'!AL256&gt;0,3,0))</f>
        <v>3</v>
      </c>
      <c r="AN283" s="20">
        <f>IF('Growth profile'!AM153&gt;0,1,IF('Growth profile'!AM256&gt;0,3,0))</f>
        <v>3</v>
      </c>
      <c r="AO283" s="20">
        <f>IF('Growth profile'!AN153&gt;0,1,IF('Growth profile'!AN256&gt;0,3,0))</f>
        <v>3</v>
      </c>
      <c r="AP283" s="20">
        <f>IF('Growth profile'!AO153&gt;0,1,IF('Growth profile'!AO256&gt;0,3,0))</f>
        <v>3</v>
      </c>
      <c r="AQ283" s="20">
        <f>IF('Growth profile'!AP153&gt;0,1,IF('Growth profile'!AP256&gt;0,3,0))</f>
        <v>3</v>
      </c>
      <c r="AR283" s="20">
        <f>IF('Growth profile'!AQ153&gt;0,1,IF('Growth profile'!AQ256&gt;0,3,0))</f>
        <v>3</v>
      </c>
      <c r="AS283" s="20">
        <f>IF('Growth profile'!AR153&gt;0,1,IF('Growth profile'!AR256&gt;0,3,0))</f>
        <v>3</v>
      </c>
      <c r="AT283" s="20">
        <f>IF('Growth profile'!AS153&gt;0,1,IF('Growth profile'!AS256&gt;0,3,0))</f>
        <v>0</v>
      </c>
      <c r="AU283" s="20">
        <f>IF('Growth profile'!AT153&gt;0,1,IF('Growth profile'!AT256&gt;0,3,0))</f>
        <v>0</v>
      </c>
      <c r="AV283" s="20">
        <f>IF('Growth profile'!AU153&gt;0,1,IF('Growth profile'!AU256&gt;0,3,0))</f>
        <v>0</v>
      </c>
      <c r="AW283" s="20">
        <f>IF('Growth profile'!AV153&gt;0,1,IF('Growth profile'!AV256&gt;0,3,0))</f>
        <v>0</v>
      </c>
      <c r="AX283" s="20">
        <f>IF('Growth profile'!AW153&gt;0,1,IF('Growth profile'!AW256&gt;0,3,0))</f>
        <v>0</v>
      </c>
      <c r="AY283" s="20">
        <f>IF('Growth profile'!AX153&gt;0,1,IF('Growth profile'!AX256&gt;0,3,0))</f>
        <v>0</v>
      </c>
      <c r="AZ283" s="20">
        <f>IF('Growth profile'!AY153&gt;0,1,IF('Growth profile'!AY256&gt;0,3,0))</f>
        <v>0</v>
      </c>
      <c r="BA283" s="20">
        <f>IF('Growth profile'!AZ153&gt;0,1,IF('Growth profile'!AZ256&gt;0,3,0))</f>
        <v>0</v>
      </c>
      <c r="BB283" s="20">
        <f>IF('Growth profile'!BA153&gt;0,1,IF('Growth profile'!BA256&gt;0,3,0))</f>
        <v>0</v>
      </c>
      <c r="BC283" s="20">
        <f>IF('Growth profile'!BB153&gt;0,1,IF('Growth profile'!BB256&gt;0,3,0))</f>
        <v>0</v>
      </c>
      <c r="BD283" s="20">
        <f>IF('Growth profile'!BC153&gt;0,1,IF('Growth profile'!BC256&gt;0,3,0))</f>
        <v>0</v>
      </c>
      <c r="BE283" s="20">
        <f>IF('Growth profile'!BD153&gt;0,1,IF('Growth profile'!BD256&gt;0,3,0))</f>
        <v>0</v>
      </c>
      <c r="BF283" s="20">
        <f>IF('Growth profile'!BE153&gt;0,1,IF('Growth profile'!BE256&gt;0,3,0))</f>
        <v>0</v>
      </c>
      <c r="BG283" s="20">
        <f>IF('Growth profile'!BF153&gt;0,1,IF('Growth profile'!BF256&gt;0,3,0))</f>
        <v>0</v>
      </c>
      <c r="BH283" s="20">
        <f>IF('Growth profile'!BG153&gt;0,1,IF('Growth profile'!BG256&gt;0,3,0))</f>
        <v>0</v>
      </c>
      <c r="BI283" s="20">
        <f>IF('Growth profile'!BH153&gt;0,1,IF('Growth profile'!BH256&gt;0,3,0))</f>
        <v>0</v>
      </c>
      <c r="BJ283" s="20">
        <f>IF('Growth profile'!BI153&gt;0,1,IF('Growth profile'!BI256&gt;0,3,0))</f>
        <v>0</v>
      </c>
      <c r="BK283" s="21">
        <f>IF('Growth profile'!BJ153&gt;0,1,IF('Growth profile'!BJ256&gt;0,3,0))</f>
        <v>0</v>
      </c>
    </row>
    <row r="284" spans="1:63" x14ac:dyDescent="0.3">
      <c r="B284" s="13" t="s">
        <v>59</v>
      </c>
      <c r="C284" s="19">
        <f>'Growth (no penalty)'!I45</f>
        <v>2026</v>
      </c>
      <c r="D284" s="22">
        <f>IF('Growth (no penalty)'!C153&gt;0,1,IF('Growth (no penalty)'!C256&gt;0,4,0))</f>
        <v>1</v>
      </c>
      <c r="E284" s="22">
        <f>IF('Growth (no penalty)'!D153&gt;0,1,IF('Growth (no penalty)'!D256&gt;0,4,0))</f>
        <v>1</v>
      </c>
      <c r="F284" s="22">
        <f>IF('Growth (no penalty)'!E153&gt;0,1,IF('Growth (no penalty)'!E256&gt;0,4,0))</f>
        <v>4</v>
      </c>
      <c r="G284" s="22">
        <f>IF('Growth (no penalty)'!F153&gt;0,1,IF('Growth (no penalty)'!F256&gt;0,4,0))</f>
        <v>4</v>
      </c>
      <c r="H284" s="22">
        <f>IF('Growth (no penalty)'!G153&gt;0,1,IF('Growth (no penalty)'!G256&gt;0,4,0))</f>
        <v>4</v>
      </c>
      <c r="I284" s="22">
        <f>IF('Growth (no penalty)'!H153&gt;0,1,IF('Growth (no penalty)'!H256&gt;0,4,0))</f>
        <v>4</v>
      </c>
      <c r="J284" s="22">
        <f>IF('Growth (no penalty)'!I153&gt;0,1,IF('Growth (no penalty)'!I256&gt;0,4,0))</f>
        <v>4</v>
      </c>
      <c r="K284" s="22">
        <f>IF('Growth (no penalty)'!J153&gt;0,1,IF('Growth (no penalty)'!J256&gt;0,4,0))</f>
        <v>4</v>
      </c>
      <c r="L284" s="22">
        <f>IF('Growth (no penalty)'!K153&gt;0,1,IF('Growth (no penalty)'!K256&gt;0,4,0))</f>
        <v>4</v>
      </c>
      <c r="M284" s="22">
        <f>IF('Growth (no penalty)'!L153&gt;0,1,IF('Growth (no penalty)'!L256&gt;0,4,0))</f>
        <v>4</v>
      </c>
      <c r="N284" s="22">
        <f>IF('Growth (no penalty)'!M153&gt;0,1,IF('Growth (no penalty)'!M256&gt;0,4,0))</f>
        <v>4</v>
      </c>
      <c r="O284" s="22">
        <f>IF('Growth (no penalty)'!N153&gt;0,1,IF('Growth (no penalty)'!N256&gt;0,4,0))</f>
        <v>4</v>
      </c>
      <c r="P284" s="22">
        <f>IF('Growth (no penalty)'!O153&gt;0,1,IF('Growth (no penalty)'!O256&gt;0,4,0))</f>
        <v>4</v>
      </c>
      <c r="Q284" s="22">
        <f>IF('Growth (no penalty)'!P153&gt;0,1,IF('Growth (no penalty)'!P256&gt;0,4,0))</f>
        <v>4</v>
      </c>
      <c r="R284" s="22">
        <f>IF('Growth (no penalty)'!Q153&gt;0,1,IF('Growth (no penalty)'!Q256&gt;0,4,0))</f>
        <v>4</v>
      </c>
      <c r="S284" s="22">
        <f>IF('Growth (no penalty)'!R153&gt;0,1,IF('Growth (no penalty)'!R256&gt;0,4,0))</f>
        <v>4</v>
      </c>
      <c r="T284" s="22">
        <f>IF('Growth (no penalty)'!S153&gt;0,1,IF('Growth (no penalty)'!S256&gt;0,4,0))</f>
        <v>4</v>
      </c>
      <c r="U284" s="22">
        <f>IF('Growth (no penalty)'!T153&gt;0,1,IF('Growth (no penalty)'!T256&gt;0,4,0))</f>
        <v>4</v>
      </c>
      <c r="V284" s="22">
        <f>IF('Growth (no penalty)'!U153&gt;0,1,IF('Growth (no penalty)'!U256&gt;0,4,0))</f>
        <v>4</v>
      </c>
      <c r="W284" s="22">
        <f>IF('Growth (no penalty)'!V153&gt;0,1,IF('Growth (no penalty)'!V256&gt;0,4,0))</f>
        <v>4</v>
      </c>
      <c r="X284" s="22">
        <f>IF('Growth (no penalty)'!W153&gt;0,1,IF('Growth (no penalty)'!W256&gt;0,4,0))</f>
        <v>4</v>
      </c>
      <c r="Y284" s="22">
        <f>IF('Growth (no penalty)'!X153&gt;0,1,IF('Growth (no penalty)'!X256&gt;0,4,0))</f>
        <v>4</v>
      </c>
      <c r="Z284" s="22">
        <f>IF('Growth (no penalty)'!Y153&gt;0,1,IF('Growth (no penalty)'!Y256&gt;0,4,0))</f>
        <v>4</v>
      </c>
      <c r="AA284" s="22">
        <f>IF('Growth (no penalty)'!Z153&gt;0,1,IF('Growth (no penalty)'!Z256&gt;0,4,0))</f>
        <v>4</v>
      </c>
      <c r="AB284" s="22">
        <f>IF('Growth (no penalty)'!AA153&gt;0,1,IF('Growth (no penalty)'!AA256&gt;0,4,0))</f>
        <v>4</v>
      </c>
      <c r="AC284" s="22">
        <f>IF('Growth (no penalty)'!AB153&gt;0,1,IF('Growth (no penalty)'!AB256&gt;0,4,0))</f>
        <v>4</v>
      </c>
      <c r="AD284" s="22">
        <f>IF('Growth (no penalty)'!AC153&gt;0,1,IF('Growth (no penalty)'!AC256&gt;0,4,0))</f>
        <v>4</v>
      </c>
      <c r="AE284" s="22">
        <f>IF('Growth (no penalty)'!AD153&gt;0,1,IF('Growth (no penalty)'!AD256&gt;0,4,0))</f>
        <v>4</v>
      </c>
      <c r="AF284" s="22">
        <f>IF('Growth (no penalty)'!AE153&gt;0,1,IF('Growth (no penalty)'!AE256&gt;0,4,0))</f>
        <v>4</v>
      </c>
      <c r="AG284" s="22">
        <f>IF('Growth (no penalty)'!AF153&gt;0,1,IF('Growth (no penalty)'!AF256&gt;0,4,0))</f>
        <v>4</v>
      </c>
      <c r="AH284" s="22">
        <f>IF('Growth (no penalty)'!AG153&gt;0,1,IF('Growth (no penalty)'!AG256&gt;0,4,0))</f>
        <v>4</v>
      </c>
      <c r="AI284" s="22">
        <f>IF('Growth (no penalty)'!AH153&gt;0,1,IF('Growth (no penalty)'!AH256&gt;0,4,0))</f>
        <v>4</v>
      </c>
      <c r="AJ284" s="22">
        <f>IF('Growth (no penalty)'!AI153&gt;0,1,IF('Growth (no penalty)'!AI256&gt;0,4,0))</f>
        <v>4</v>
      </c>
      <c r="AK284" s="22">
        <f>IF('Growth (no penalty)'!AJ153&gt;0,1,IF('Growth (no penalty)'!AJ256&gt;0,4,0))</f>
        <v>4</v>
      </c>
      <c r="AL284" s="22">
        <f>IF('Growth (no penalty)'!AK153&gt;0,1,IF('Growth (no penalty)'!AK256&gt;0,4,0))</f>
        <v>4</v>
      </c>
      <c r="AM284" s="22">
        <f>IF('Growth (no penalty)'!AL153&gt;0,1,IF('Growth (no penalty)'!AL256&gt;0,4,0))</f>
        <v>4</v>
      </c>
      <c r="AN284" s="22">
        <f>IF('Growth (no penalty)'!AM153&gt;0,1,IF('Growth (no penalty)'!AM256&gt;0,4,0))</f>
        <v>4</v>
      </c>
      <c r="AO284" s="22">
        <f>IF('Growth (no penalty)'!AN153&gt;0,1,IF('Growth (no penalty)'!AN256&gt;0,4,0))</f>
        <v>4</v>
      </c>
      <c r="AP284" s="22">
        <f>IF('Growth (no penalty)'!AO153&gt;0,1,IF('Growth (no penalty)'!AO256&gt;0,4,0))</f>
        <v>4</v>
      </c>
      <c r="AQ284" s="22">
        <f>IF('Growth (no penalty)'!AP153&gt;0,1,IF('Growth (no penalty)'!AP256&gt;0,4,0))</f>
        <v>4</v>
      </c>
      <c r="AR284" s="22">
        <f>IF('Growth (no penalty)'!AQ153&gt;0,1,IF('Growth (no penalty)'!AQ256&gt;0,4,0))</f>
        <v>4</v>
      </c>
      <c r="AS284" s="22">
        <f>IF('Growth (no penalty)'!AR153&gt;0,1,IF('Growth (no penalty)'!AR256&gt;0,4,0))</f>
        <v>4</v>
      </c>
      <c r="AT284" s="22">
        <f>IF('Growth (no penalty)'!AS153&gt;0,1,IF('Growth (no penalty)'!AS256&gt;0,4,0))</f>
        <v>0</v>
      </c>
      <c r="AU284" s="22">
        <f>IF('Growth (no penalty)'!AT153&gt;0,1,IF('Growth (no penalty)'!AT256&gt;0,4,0))</f>
        <v>0</v>
      </c>
      <c r="AV284" s="22">
        <f>IF('Growth (no penalty)'!AU153&gt;0,1,IF('Growth (no penalty)'!AU256&gt;0,4,0))</f>
        <v>0</v>
      </c>
      <c r="AW284" s="22">
        <f>IF('Growth (no penalty)'!AV153&gt;0,1,IF('Growth (no penalty)'!AV256&gt;0,4,0))</f>
        <v>0</v>
      </c>
      <c r="AX284" s="22">
        <f>IF('Growth (no penalty)'!AW153&gt;0,1,IF('Growth (no penalty)'!AW256&gt;0,4,0))</f>
        <v>0</v>
      </c>
      <c r="AY284" s="22">
        <f>IF('Growth (no penalty)'!AX153&gt;0,1,IF('Growth (no penalty)'!AX256&gt;0,4,0))</f>
        <v>0</v>
      </c>
      <c r="AZ284" s="22">
        <f>IF('Growth (no penalty)'!AY153&gt;0,1,IF('Growth (no penalty)'!AY256&gt;0,4,0))</f>
        <v>0</v>
      </c>
      <c r="BA284" s="22">
        <f>IF('Growth (no penalty)'!AZ153&gt;0,1,IF('Growth (no penalty)'!AZ256&gt;0,4,0))</f>
        <v>0</v>
      </c>
      <c r="BB284" s="22">
        <f>IF('Growth (no penalty)'!BA153&gt;0,1,IF('Growth (no penalty)'!BA256&gt;0,4,0))</f>
        <v>0</v>
      </c>
      <c r="BC284" s="22">
        <f>IF('Growth (no penalty)'!BB153&gt;0,1,IF('Growth (no penalty)'!BB256&gt;0,4,0))</f>
        <v>0</v>
      </c>
      <c r="BD284" s="22">
        <f>IF('Growth (no penalty)'!BC153&gt;0,1,IF('Growth (no penalty)'!BC256&gt;0,4,0))</f>
        <v>0</v>
      </c>
      <c r="BE284" s="22">
        <f>IF('Growth (no penalty)'!BD153&gt;0,1,IF('Growth (no penalty)'!BD256&gt;0,4,0))</f>
        <v>0</v>
      </c>
      <c r="BF284" s="22">
        <f>IF('Growth (no penalty)'!BE153&gt;0,1,IF('Growth (no penalty)'!BE256&gt;0,4,0))</f>
        <v>0</v>
      </c>
      <c r="BG284" s="22">
        <f>IF('Growth (no penalty)'!BF153&gt;0,1,IF('Growth (no penalty)'!BF256&gt;0,4,0))</f>
        <v>0</v>
      </c>
      <c r="BH284" s="22">
        <f>IF('Growth (no penalty)'!BG153&gt;0,1,IF('Growth (no penalty)'!BG256&gt;0,4,0))</f>
        <v>0</v>
      </c>
      <c r="BI284" s="22">
        <f>IF('Growth (no penalty)'!BH153&gt;0,1,IF('Growth (no penalty)'!BH256&gt;0,4,0))</f>
        <v>0</v>
      </c>
      <c r="BJ284" s="22">
        <f>IF('Growth (no penalty)'!BI153&gt;0,1,IF('Growth (no penalty)'!BI256&gt;0,4,0))</f>
        <v>0</v>
      </c>
      <c r="BK284" s="23">
        <f>IF('Growth (no penalty)'!BJ153&gt;0,1,IF('Growth (no penalty)'!BJ256&gt;0,4,0))</f>
        <v>0</v>
      </c>
    </row>
    <row r="285" spans="1:63" x14ac:dyDescent="0.3">
      <c r="A285" s="4" t="str">
        <f>'Growth profile'!A100</f>
        <v>project 158</v>
      </c>
      <c r="B285" s="13" t="s">
        <v>3</v>
      </c>
      <c r="C285" s="19">
        <f>'Raw profile'!I100</f>
        <v>2042</v>
      </c>
      <c r="D285" s="20">
        <f>IF('Raw profile'!C208&gt;0,1,IF('Raw profile'!C311&gt;0,2,0))</f>
        <v>0</v>
      </c>
      <c r="E285" s="20">
        <f>IF('Raw profile'!D208&gt;0,1,IF('Raw profile'!D311&gt;0,2,0))</f>
        <v>0</v>
      </c>
      <c r="F285" s="20">
        <f>IF('Raw profile'!E208&gt;0,1,IF('Raw profile'!E311&gt;0,2,0))</f>
        <v>0</v>
      </c>
      <c r="G285" s="20">
        <f>IF('Raw profile'!F208&gt;0,1,IF('Raw profile'!F311&gt;0,2,0))</f>
        <v>0</v>
      </c>
      <c r="H285" s="20">
        <f>IF('Raw profile'!G208&gt;0,1,IF('Raw profile'!G311&gt;0,2,0))</f>
        <v>0</v>
      </c>
      <c r="I285" s="20">
        <f>IF('Raw profile'!H208&gt;0,1,IF('Raw profile'!H311&gt;0,2,0))</f>
        <v>0</v>
      </c>
      <c r="J285" s="20">
        <f>IF('Raw profile'!I208&gt;0,1,IF('Raw profile'!I311&gt;0,2,0))</f>
        <v>0</v>
      </c>
      <c r="K285" s="20">
        <f>IF('Raw profile'!J208&gt;0,1,IF('Raw profile'!J311&gt;0,2,0))</f>
        <v>0</v>
      </c>
      <c r="L285" s="20">
        <f>IF('Raw profile'!K208&gt;0,1,IF('Raw profile'!K311&gt;0,2,0))</f>
        <v>0</v>
      </c>
      <c r="M285" s="20">
        <f>IF('Raw profile'!L208&gt;0,1,IF('Raw profile'!L311&gt;0,2,0))</f>
        <v>0</v>
      </c>
      <c r="N285" s="20">
        <f>IF('Raw profile'!M208&gt;0,1,IF('Raw profile'!M311&gt;0,2,0))</f>
        <v>0</v>
      </c>
      <c r="O285" s="20">
        <f>IF('Raw profile'!N208&gt;0,1,IF('Raw profile'!N311&gt;0,2,0))</f>
        <v>0</v>
      </c>
      <c r="P285" s="20">
        <f>IF('Raw profile'!O208&gt;0,1,IF('Raw profile'!O311&gt;0,2,0))</f>
        <v>0</v>
      </c>
      <c r="Q285" s="20">
        <f>IF('Raw profile'!P208&gt;0,1,IF('Raw profile'!P311&gt;0,2,0))</f>
        <v>0</v>
      </c>
      <c r="R285" s="20">
        <f>IF('Raw profile'!Q208&gt;0,1,IF('Raw profile'!Q311&gt;0,2,0))</f>
        <v>0</v>
      </c>
      <c r="S285" s="20">
        <f>IF('Raw profile'!R208&gt;0,1,IF('Raw profile'!R311&gt;0,2,0))</f>
        <v>0</v>
      </c>
      <c r="T285" s="20">
        <f>IF('Raw profile'!S208&gt;0,1,IF('Raw profile'!S311&gt;0,2,0))</f>
        <v>1</v>
      </c>
      <c r="U285" s="20">
        <f>IF('Raw profile'!T208&gt;0,1,IF('Raw profile'!T311&gt;0,2,0))</f>
        <v>1</v>
      </c>
      <c r="V285" s="20">
        <f>IF('Raw profile'!U208&gt;0,1,IF('Raw profile'!U311&gt;0,2,0))</f>
        <v>1</v>
      </c>
      <c r="W285" s="20">
        <f>IF('Raw profile'!V208&gt;0,1,IF('Raw profile'!V311&gt;0,2,0))</f>
        <v>2</v>
      </c>
      <c r="X285" s="20">
        <f>IF('Raw profile'!W208&gt;0,1,IF('Raw profile'!W311&gt;0,2,0))</f>
        <v>2</v>
      </c>
      <c r="Y285" s="20">
        <f>IF('Raw profile'!X208&gt;0,1,IF('Raw profile'!X311&gt;0,2,0))</f>
        <v>2</v>
      </c>
      <c r="Z285" s="20">
        <f>IF('Raw profile'!Y208&gt;0,1,IF('Raw profile'!Y311&gt;0,2,0))</f>
        <v>2</v>
      </c>
      <c r="AA285" s="20">
        <f>IF('Raw profile'!Z208&gt;0,1,IF('Raw profile'!Z311&gt;0,2,0))</f>
        <v>2</v>
      </c>
      <c r="AB285" s="20">
        <f>IF('Raw profile'!AA208&gt;0,1,IF('Raw profile'!AA311&gt;0,2,0))</f>
        <v>2</v>
      </c>
      <c r="AC285" s="20">
        <f>IF('Raw profile'!AB208&gt;0,1,IF('Raw profile'!AB311&gt;0,2,0))</f>
        <v>2</v>
      </c>
      <c r="AD285" s="20">
        <f>IF('Raw profile'!AC208&gt;0,1,IF('Raw profile'!AC311&gt;0,2,0))</f>
        <v>2</v>
      </c>
      <c r="AE285" s="20">
        <f>IF('Raw profile'!AD208&gt;0,1,IF('Raw profile'!AD311&gt;0,2,0))</f>
        <v>2</v>
      </c>
      <c r="AF285" s="20">
        <f>IF('Raw profile'!AE208&gt;0,1,IF('Raw profile'!AE311&gt;0,2,0))</f>
        <v>2</v>
      </c>
      <c r="AG285" s="20">
        <f>IF('Raw profile'!AF208&gt;0,1,IF('Raw profile'!AF311&gt;0,2,0))</f>
        <v>2</v>
      </c>
      <c r="AH285" s="20">
        <f>IF('Raw profile'!AG208&gt;0,1,IF('Raw profile'!AG311&gt;0,2,0))</f>
        <v>2</v>
      </c>
      <c r="AI285" s="20">
        <f>IF('Raw profile'!AH208&gt;0,1,IF('Raw profile'!AH311&gt;0,2,0))</f>
        <v>2</v>
      </c>
      <c r="AJ285" s="20">
        <f>IF('Raw profile'!AI208&gt;0,1,IF('Raw profile'!AI311&gt;0,2,0))</f>
        <v>2</v>
      </c>
      <c r="AK285" s="20">
        <f>IF('Raw profile'!AJ208&gt;0,1,IF('Raw profile'!AJ311&gt;0,2,0))</f>
        <v>2</v>
      </c>
      <c r="AL285" s="20">
        <f>IF('Raw profile'!AK208&gt;0,1,IF('Raw profile'!AK311&gt;0,2,0))</f>
        <v>2</v>
      </c>
      <c r="AM285" s="20">
        <f>IF('Raw profile'!AL208&gt;0,1,IF('Raw profile'!AL311&gt;0,2,0))</f>
        <v>2</v>
      </c>
      <c r="AN285" s="20">
        <f>IF('Raw profile'!AM208&gt;0,1,IF('Raw profile'!AM311&gt;0,2,0))</f>
        <v>2</v>
      </c>
      <c r="AO285" s="20">
        <f>IF('Raw profile'!AN208&gt;0,1,IF('Raw profile'!AN311&gt;0,2,0))</f>
        <v>2</v>
      </c>
      <c r="AP285" s="20">
        <f>IF('Raw profile'!AO208&gt;0,1,IF('Raw profile'!AO311&gt;0,2,0))</f>
        <v>2</v>
      </c>
      <c r="AQ285" s="20">
        <f>IF('Raw profile'!AP208&gt;0,1,IF('Raw profile'!AP311&gt;0,2,0))</f>
        <v>2</v>
      </c>
      <c r="AR285" s="20">
        <f>IF('Raw profile'!AQ208&gt;0,1,IF('Raw profile'!AQ311&gt;0,2,0))</f>
        <v>2</v>
      </c>
      <c r="AS285" s="20">
        <f>IF('Raw profile'!AR208&gt;0,1,IF('Raw profile'!AR311&gt;0,2,0))</f>
        <v>2</v>
      </c>
      <c r="AT285" s="20">
        <f>IF('Raw profile'!AS208&gt;0,1,IF('Raw profile'!AS311&gt;0,2,0))</f>
        <v>2</v>
      </c>
      <c r="AU285" s="20">
        <f>IF('Raw profile'!AT208&gt;0,1,IF('Raw profile'!AT311&gt;0,2,0))</f>
        <v>2</v>
      </c>
      <c r="AV285" s="20">
        <f>IF('Raw profile'!AU208&gt;0,1,IF('Raw profile'!AU311&gt;0,2,0))</f>
        <v>2</v>
      </c>
      <c r="AW285" s="20">
        <f>IF('Raw profile'!AV208&gt;0,1,IF('Raw profile'!AV311&gt;0,2,0))</f>
        <v>2</v>
      </c>
      <c r="AX285" s="20">
        <f>IF('Raw profile'!AW208&gt;0,1,IF('Raw profile'!AW311&gt;0,2,0))</f>
        <v>2</v>
      </c>
      <c r="AY285" s="20">
        <f>IF('Raw profile'!AX208&gt;0,1,IF('Raw profile'!AX311&gt;0,2,0))</f>
        <v>2</v>
      </c>
      <c r="AZ285" s="20">
        <f>IF('Raw profile'!AY208&gt;0,1,IF('Raw profile'!AY311&gt;0,2,0))</f>
        <v>2</v>
      </c>
      <c r="BA285" s="20">
        <f>IF('Raw profile'!AZ208&gt;0,1,IF('Raw profile'!AZ311&gt;0,2,0))</f>
        <v>2</v>
      </c>
      <c r="BB285" s="20">
        <f>IF('Raw profile'!BA208&gt;0,1,IF('Raw profile'!BA311&gt;0,2,0))</f>
        <v>2</v>
      </c>
      <c r="BC285" s="20">
        <f>IF('Raw profile'!BB208&gt;0,1,IF('Raw profile'!BB311&gt;0,2,0))</f>
        <v>2</v>
      </c>
      <c r="BD285" s="20">
        <f>IF('Raw profile'!BC208&gt;0,1,IF('Raw profile'!BC311&gt;0,2,0))</f>
        <v>2</v>
      </c>
      <c r="BE285" s="20">
        <f>IF('Raw profile'!BD208&gt;0,1,IF('Raw profile'!BD311&gt;0,2,0))</f>
        <v>2</v>
      </c>
      <c r="BF285" s="20">
        <f>IF('Raw profile'!BE208&gt;0,1,IF('Raw profile'!BE311&gt;0,2,0))</f>
        <v>2</v>
      </c>
      <c r="BG285" s="20">
        <f>IF('Raw profile'!BF208&gt;0,1,IF('Raw profile'!BF311&gt;0,2,0))</f>
        <v>2</v>
      </c>
      <c r="BH285" s="20">
        <f>IF('Raw profile'!BG208&gt;0,1,IF('Raw profile'!BG311&gt;0,2,0))</f>
        <v>2</v>
      </c>
      <c r="BI285" s="20">
        <f>IF('Raw profile'!BH208&gt;0,1,IF('Raw profile'!BH311&gt;0,2,0))</f>
        <v>2</v>
      </c>
      <c r="BJ285" s="20">
        <f>IF('Raw profile'!BI208&gt;0,1,IF('Raw profile'!BI311&gt;0,2,0))</f>
        <v>2</v>
      </c>
      <c r="BK285" s="21">
        <f>IF('Raw profile'!BJ208&gt;0,1,IF('Raw profile'!BJ311&gt;0,2,0))</f>
        <v>0</v>
      </c>
    </row>
    <row r="286" spans="1:63" x14ac:dyDescent="0.3">
      <c r="B286" s="13" t="s">
        <v>4</v>
      </c>
      <c r="C286" s="19">
        <f>'Growth profile'!I100</f>
        <v>2026</v>
      </c>
      <c r="D286" s="20">
        <f>IF('Growth profile'!C208&gt;0,1,IF('Growth profile'!C311&gt;0,3,0))</f>
        <v>1</v>
      </c>
      <c r="E286" s="20">
        <f>IF('Growth profile'!D208&gt;0,1,IF('Growth profile'!D311&gt;0,3,0))</f>
        <v>1</v>
      </c>
      <c r="F286" s="20">
        <f>IF('Growth profile'!E208&gt;0,1,IF('Growth profile'!E311&gt;0,3,0))</f>
        <v>1</v>
      </c>
      <c r="G286" s="20">
        <f>IF('Growth profile'!F208&gt;0,1,IF('Growth profile'!F311&gt;0,3,0))</f>
        <v>3</v>
      </c>
      <c r="H286" s="20">
        <f>IF('Growth profile'!G208&gt;0,1,IF('Growth profile'!G311&gt;0,3,0))</f>
        <v>3</v>
      </c>
      <c r="I286" s="20">
        <f>IF('Growth profile'!H208&gt;0,1,IF('Growth profile'!H311&gt;0,3,0))</f>
        <v>3</v>
      </c>
      <c r="J286" s="20">
        <f>IF('Growth profile'!I208&gt;0,1,IF('Growth profile'!I311&gt;0,3,0))</f>
        <v>3</v>
      </c>
      <c r="K286" s="20">
        <f>IF('Growth profile'!J208&gt;0,1,IF('Growth profile'!J311&gt;0,3,0))</f>
        <v>3</v>
      </c>
      <c r="L286" s="20">
        <f>IF('Growth profile'!K208&gt;0,1,IF('Growth profile'!K311&gt;0,3,0))</f>
        <v>3</v>
      </c>
      <c r="M286" s="20">
        <f>IF('Growth profile'!L208&gt;0,1,IF('Growth profile'!L311&gt;0,3,0))</f>
        <v>3</v>
      </c>
      <c r="N286" s="20">
        <f>IF('Growth profile'!M208&gt;0,1,IF('Growth profile'!M311&gt;0,3,0))</f>
        <v>3</v>
      </c>
      <c r="O286" s="20">
        <f>IF('Growth profile'!N208&gt;0,1,IF('Growth profile'!N311&gt;0,3,0))</f>
        <v>3</v>
      </c>
      <c r="P286" s="20">
        <f>IF('Growth profile'!O208&gt;0,1,IF('Growth profile'!O311&gt;0,3,0))</f>
        <v>3</v>
      </c>
      <c r="Q286" s="20">
        <f>IF('Growth profile'!P208&gt;0,1,IF('Growth profile'!P311&gt;0,3,0))</f>
        <v>3</v>
      </c>
      <c r="R286" s="20">
        <f>IF('Growth profile'!Q208&gt;0,1,IF('Growth profile'!Q311&gt;0,3,0))</f>
        <v>3</v>
      </c>
      <c r="S286" s="20">
        <f>IF('Growth profile'!R208&gt;0,1,IF('Growth profile'!R311&gt;0,3,0))</f>
        <v>3</v>
      </c>
      <c r="T286" s="20">
        <f>IF('Growth profile'!S208&gt;0,1,IF('Growth profile'!S311&gt;0,3,0))</f>
        <v>3</v>
      </c>
      <c r="U286" s="20">
        <f>IF('Growth profile'!T208&gt;0,1,IF('Growth profile'!T311&gt;0,3,0))</f>
        <v>3</v>
      </c>
      <c r="V286" s="20">
        <f>IF('Growth profile'!U208&gt;0,1,IF('Growth profile'!U311&gt;0,3,0))</f>
        <v>3</v>
      </c>
      <c r="W286" s="20">
        <f>IF('Growth profile'!V208&gt;0,1,IF('Growth profile'!V311&gt;0,3,0))</f>
        <v>3</v>
      </c>
      <c r="X286" s="20">
        <f>IF('Growth profile'!W208&gt;0,1,IF('Growth profile'!W311&gt;0,3,0))</f>
        <v>3</v>
      </c>
      <c r="Y286" s="20">
        <f>IF('Growth profile'!X208&gt;0,1,IF('Growth profile'!X311&gt;0,3,0))</f>
        <v>3</v>
      </c>
      <c r="Z286" s="20">
        <f>IF('Growth profile'!Y208&gt;0,1,IF('Growth profile'!Y311&gt;0,3,0))</f>
        <v>3</v>
      </c>
      <c r="AA286" s="20">
        <f>IF('Growth profile'!Z208&gt;0,1,IF('Growth profile'!Z311&gt;0,3,0))</f>
        <v>3</v>
      </c>
      <c r="AB286" s="20">
        <f>IF('Growth profile'!AA208&gt;0,1,IF('Growth profile'!AA311&gt;0,3,0))</f>
        <v>3</v>
      </c>
      <c r="AC286" s="20">
        <f>IF('Growth profile'!AB208&gt;0,1,IF('Growth profile'!AB311&gt;0,3,0))</f>
        <v>3</v>
      </c>
      <c r="AD286" s="20">
        <f>IF('Growth profile'!AC208&gt;0,1,IF('Growth profile'!AC311&gt;0,3,0))</f>
        <v>3</v>
      </c>
      <c r="AE286" s="20">
        <f>IF('Growth profile'!AD208&gt;0,1,IF('Growth profile'!AD311&gt;0,3,0))</f>
        <v>3</v>
      </c>
      <c r="AF286" s="20">
        <f>IF('Growth profile'!AE208&gt;0,1,IF('Growth profile'!AE311&gt;0,3,0))</f>
        <v>3</v>
      </c>
      <c r="AG286" s="20">
        <f>IF('Growth profile'!AF208&gt;0,1,IF('Growth profile'!AF311&gt;0,3,0))</f>
        <v>3</v>
      </c>
      <c r="AH286" s="20">
        <f>IF('Growth profile'!AG208&gt;0,1,IF('Growth profile'!AG311&gt;0,3,0))</f>
        <v>3</v>
      </c>
      <c r="AI286" s="20">
        <f>IF('Growth profile'!AH208&gt;0,1,IF('Growth profile'!AH311&gt;0,3,0))</f>
        <v>3</v>
      </c>
      <c r="AJ286" s="20">
        <f>IF('Growth profile'!AI208&gt;0,1,IF('Growth profile'!AI311&gt;0,3,0))</f>
        <v>3</v>
      </c>
      <c r="AK286" s="20">
        <f>IF('Growth profile'!AJ208&gt;0,1,IF('Growth profile'!AJ311&gt;0,3,0))</f>
        <v>3</v>
      </c>
      <c r="AL286" s="20">
        <f>IF('Growth profile'!AK208&gt;0,1,IF('Growth profile'!AK311&gt;0,3,0))</f>
        <v>3</v>
      </c>
      <c r="AM286" s="20">
        <f>IF('Growth profile'!AL208&gt;0,1,IF('Growth profile'!AL311&gt;0,3,0))</f>
        <v>3</v>
      </c>
      <c r="AN286" s="20">
        <f>IF('Growth profile'!AM208&gt;0,1,IF('Growth profile'!AM311&gt;0,3,0))</f>
        <v>3</v>
      </c>
      <c r="AO286" s="20">
        <f>IF('Growth profile'!AN208&gt;0,1,IF('Growth profile'!AN311&gt;0,3,0))</f>
        <v>3</v>
      </c>
      <c r="AP286" s="20">
        <f>IF('Growth profile'!AO208&gt;0,1,IF('Growth profile'!AO311&gt;0,3,0))</f>
        <v>3</v>
      </c>
      <c r="AQ286" s="20">
        <f>IF('Growth profile'!AP208&gt;0,1,IF('Growth profile'!AP311&gt;0,3,0))</f>
        <v>3</v>
      </c>
      <c r="AR286" s="20">
        <f>IF('Growth profile'!AQ208&gt;0,1,IF('Growth profile'!AQ311&gt;0,3,0))</f>
        <v>3</v>
      </c>
      <c r="AS286" s="20">
        <f>IF('Growth profile'!AR208&gt;0,1,IF('Growth profile'!AR311&gt;0,3,0))</f>
        <v>3</v>
      </c>
      <c r="AT286" s="20">
        <f>IF('Growth profile'!AS208&gt;0,1,IF('Growth profile'!AS311&gt;0,3,0))</f>
        <v>3</v>
      </c>
      <c r="AU286" s="20">
        <f>IF('Growth profile'!AT208&gt;0,1,IF('Growth profile'!AT311&gt;0,3,0))</f>
        <v>0</v>
      </c>
      <c r="AV286" s="20">
        <f>IF('Growth profile'!AU208&gt;0,1,IF('Growth profile'!AU311&gt;0,3,0))</f>
        <v>0</v>
      </c>
      <c r="AW286" s="20">
        <f>IF('Growth profile'!AV208&gt;0,1,IF('Growth profile'!AV311&gt;0,3,0))</f>
        <v>0</v>
      </c>
      <c r="AX286" s="20">
        <f>IF('Growth profile'!AW208&gt;0,1,IF('Growth profile'!AW311&gt;0,3,0))</f>
        <v>0</v>
      </c>
      <c r="AY286" s="20">
        <f>IF('Growth profile'!AX208&gt;0,1,IF('Growth profile'!AX311&gt;0,3,0))</f>
        <v>0</v>
      </c>
      <c r="AZ286" s="20">
        <f>IF('Growth profile'!AY208&gt;0,1,IF('Growth profile'!AY311&gt;0,3,0))</f>
        <v>0</v>
      </c>
      <c r="BA286" s="20">
        <f>IF('Growth profile'!AZ208&gt;0,1,IF('Growth profile'!AZ311&gt;0,3,0))</f>
        <v>0</v>
      </c>
      <c r="BB286" s="20">
        <f>IF('Growth profile'!BA208&gt;0,1,IF('Growth profile'!BA311&gt;0,3,0))</f>
        <v>0</v>
      </c>
      <c r="BC286" s="20">
        <f>IF('Growth profile'!BB208&gt;0,1,IF('Growth profile'!BB311&gt;0,3,0))</f>
        <v>0</v>
      </c>
      <c r="BD286" s="20">
        <f>IF('Growth profile'!BC208&gt;0,1,IF('Growth profile'!BC311&gt;0,3,0))</f>
        <v>0</v>
      </c>
      <c r="BE286" s="20">
        <f>IF('Growth profile'!BD208&gt;0,1,IF('Growth profile'!BD311&gt;0,3,0))</f>
        <v>0</v>
      </c>
      <c r="BF286" s="20">
        <f>IF('Growth profile'!BE208&gt;0,1,IF('Growth profile'!BE311&gt;0,3,0))</f>
        <v>0</v>
      </c>
      <c r="BG286" s="20">
        <f>IF('Growth profile'!BF208&gt;0,1,IF('Growth profile'!BF311&gt;0,3,0))</f>
        <v>0</v>
      </c>
      <c r="BH286" s="20">
        <f>IF('Growth profile'!BG208&gt;0,1,IF('Growth profile'!BG311&gt;0,3,0))</f>
        <v>0</v>
      </c>
      <c r="BI286" s="20">
        <f>IF('Growth profile'!BH208&gt;0,1,IF('Growth profile'!BH311&gt;0,3,0))</f>
        <v>0</v>
      </c>
      <c r="BJ286" s="20">
        <f>IF('Growth profile'!BI208&gt;0,1,IF('Growth profile'!BI311&gt;0,3,0))</f>
        <v>0</v>
      </c>
      <c r="BK286" s="21">
        <f>IF('Growth profile'!BJ208&gt;0,1,IF('Growth profile'!BJ311&gt;0,3,0))</f>
        <v>0</v>
      </c>
    </row>
    <row r="287" spans="1:63" x14ac:dyDescent="0.3">
      <c r="B287" s="13" t="s">
        <v>59</v>
      </c>
      <c r="C287" s="19">
        <f>'Growth (no penalty)'!I100</f>
        <v>2026</v>
      </c>
      <c r="D287" s="22">
        <f>IF('Growth (no penalty)'!C208&gt;0,1,IF('Growth (no penalty)'!C311&gt;0,4,0))</f>
        <v>1</v>
      </c>
      <c r="E287" s="22">
        <f>IF('Growth (no penalty)'!D208&gt;0,1,IF('Growth (no penalty)'!D311&gt;0,4,0))</f>
        <v>1</v>
      </c>
      <c r="F287" s="22">
        <f>IF('Growth (no penalty)'!E208&gt;0,1,IF('Growth (no penalty)'!E311&gt;0,4,0))</f>
        <v>1</v>
      </c>
      <c r="G287" s="22">
        <f>IF('Growth (no penalty)'!F208&gt;0,1,IF('Growth (no penalty)'!F311&gt;0,4,0))</f>
        <v>4</v>
      </c>
      <c r="H287" s="22">
        <f>IF('Growth (no penalty)'!G208&gt;0,1,IF('Growth (no penalty)'!G311&gt;0,4,0))</f>
        <v>4</v>
      </c>
      <c r="I287" s="22">
        <f>IF('Growth (no penalty)'!H208&gt;0,1,IF('Growth (no penalty)'!H311&gt;0,4,0))</f>
        <v>4</v>
      </c>
      <c r="J287" s="22">
        <f>IF('Growth (no penalty)'!I208&gt;0,1,IF('Growth (no penalty)'!I311&gt;0,4,0))</f>
        <v>4</v>
      </c>
      <c r="K287" s="22">
        <f>IF('Growth (no penalty)'!J208&gt;0,1,IF('Growth (no penalty)'!J311&gt;0,4,0))</f>
        <v>4</v>
      </c>
      <c r="L287" s="22">
        <f>IF('Growth (no penalty)'!K208&gt;0,1,IF('Growth (no penalty)'!K311&gt;0,4,0))</f>
        <v>4</v>
      </c>
      <c r="M287" s="22">
        <f>IF('Growth (no penalty)'!L208&gt;0,1,IF('Growth (no penalty)'!L311&gt;0,4,0))</f>
        <v>4</v>
      </c>
      <c r="N287" s="22">
        <f>IF('Growth (no penalty)'!M208&gt;0,1,IF('Growth (no penalty)'!M311&gt;0,4,0))</f>
        <v>4</v>
      </c>
      <c r="O287" s="22">
        <f>IF('Growth (no penalty)'!N208&gt;0,1,IF('Growth (no penalty)'!N311&gt;0,4,0))</f>
        <v>4</v>
      </c>
      <c r="P287" s="22">
        <f>IF('Growth (no penalty)'!O208&gt;0,1,IF('Growth (no penalty)'!O311&gt;0,4,0))</f>
        <v>4</v>
      </c>
      <c r="Q287" s="22">
        <f>IF('Growth (no penalty)'!P208&gt;0,1,IF('Growth (no penalty)'!P311&gt;0,4,0))</f>
        <v>4</v>
      </c>
      <c r="R287" s="22">
        <f>IF('Growth (no penalty)'!Q208&gt;0,1,IF('Growth (no penalty)'!Q311&gt;0,4,0))</f>
        <v>4</v>
      </c>
      <c r="S287" s="22">
        <f>IF('Growth (no penalty)'!R208&gt;0,1,IF('Growth (no penalty)'!R311&gt;0,4,0))</f>
        <v>4</v>
      </c>
      <c r="T287" s="22">
        <f>IF('Growth (no penalty)'!S208&gt;0,1,IF('Growth (no penalty)'!S311&gt;0,4,0))</f>
        <v>4</v>
      </c>
      <c r="U287" s="22">
        <f>IF('Growth (no penalty)'!T208&gt;0,1,IF('Growth (no penalty)'!T311&gt;0,4,0))</f>
        <v>4</v>
      </c>
      <c r="V287" s="22">
        <f>IF('Growth (no penalty)'!U208&gt;0,1,IF('Growth (no penalty)'!U311&gt;0,4,0))</f>
        <v>4</v>
      </c>
      <c r="W287" s="22">
        <f>IF('Growth (no penalty)'!V208&gt;0,1,IF('Growth (no penalty)'!V311&gt;0,4,0))</f>
        <v>4</v>
      </c>
      <c r="X287" s="22">
        <f>IF('Growth (no penalty)'!W208&gt;0,1,IF('Growth (no penalty)'!W311&gt;0,4,0))</f>
        <v>4</v>
      </c>
      <c r="Y287" s="22">
        <f>IF('Growth (no penalty)'!X208&gt;0,1,IF('Growth (no penalty)'!X311&gt;0,4,0))</f>
        <v>4</v>
      </c>
      <c r="Z287" s="22">
        <f>IF('Growth (no penalty)'!Y208&gt;0,1,IF('Growth (no penalty)'!Y311&gt;0,4,0))</f>
        <v>4</v>
      </c>
      <c r="AA287" s="22">
        <f>IF('Growth (no penalty)'!Z208&gt;0,1,IF('Growth (no penalty)'!Z311&gt;0,4,0))</f>
        <v>4</v>
      </c>
      <c r="AB287" s="22">
        <f>IF('Growth (no penalty)'!AA208&gt;0,1,IF('Growth (no penalty)'!AA311&gt;0,4,0))</f>
        <v>4</v>
      </c>
      <c r="AC287" s="22">
        <f>IF('Growth (no penalty)'!AB208&gt;0,1,IF('Growth (no penalty)'!AB311&gt;0,4,0))</f>
        <v>4</v>
      </c>
      <c r="AD287" s="22">
        <f>IF('Growth (no penalty)'!AC208&gt;0,1,IF('Growth (no penalty)'!AC311&gt;0,4,0))</f>
        <v>4</v>
      </c>
      <c r="AE287" s="22">
        <f>IF('Growth (no penalty)'!AD208&gt;0,1,IF('Growth (no penalty)'!AD311&gt;0,4,0))</f>
        <v>4</v>
      </c>
      <c r="AF287" s="22">
        <f>IF('Growth (no penalty)'!AE208&gt;0,1,IF('Growth (no penalty)'!AE311&gt;0,4,0))</f>
        <v>4</v>
      </c>
      <c r="AG287" s="22">
        <f>IF('Growth (no penalty)'!AF208&gt;0,1,IF('Growth (no penalty)'!AF311&gt;0,4,0))</f>
        <v>4</v>
      </c>
      <c r="AH287" s="22">
        <f>IF('Growth (no penalty)'!AG208&gt;0,1,IF('Growth (no penalty)'!AG311&gt;0,4,0))</f>
        <v>4</v>
      </c>
      <c r="AI287" s="22">
        <f>IF('Growth (no penalty)'!AH208&gt;0,1,IF('Growth (no penalty)'!AH311&gt;0,4,0))</f>
        <v>4</v>
      </c>
      <c r="AJ287" s="22">
        <f>IF('Growth (no penalty)'!AI208&gt;0,1,IF('Growth (no penalty)'!AI311&gt;0,4,0))</f>
        <v>4</v>
      </c>
      <c r="AK287" s="22">
        <f>IF('Growth (no penalty)'!AJ208&gt;0,1,IF('Growth (no penalty)'!AJ311&gt;0,4,0))</f>
        <v>4</v>
      </c>
      <c r="AL287" s="22">
        <f>IF('Growth (no penalty)'!AK208&gt;0,1,IF('Growth (no penalty)'!AK311&gt;0,4,0))</f>
        <v>4</v>
      </c>
      <c r="AM287" s="22">
        <f>IF('Growth (no penalty)'!AL208&gt;0,1,IF('Growth (no penalty)'!AL311&gt;0,4,0))</f>
        <v>4</v>
      </c>
      <c r="AN287" s="22">
        <f>IF('Growth (no penalty)'!AM208&gt;0,1,IF('Growth (no penalty)'!AM311&gt;0,4,0))</f>
        <v>4</v>
      </c>
      <c r="AO287" s="22">
        <f>IF('Growth (no penalty)'!AN208&gt;0,1,IF('Growth (no penalty)'!AN311&gt;0,4,0))</f>
        <v>4</v>
      </c>
      <c r="AP287" s="22">
        <f>IF('Growth (no penalty)'!AO208&gt;0,1,IF('Growth (no penalty)'!AO311&gt;0,4,0))</f>
        <v>4</v>
      </c>
      <c r="AQ287" s="22">
        <f>IF('Growth (no penalty)'!AP208&gt;0,1,IF('Growth (no penalty)'!AP311&gt;0,4,0))</f>
        <v>4</v>
      </c>
      <c r="AR287" s="22">
        <f>IF('Growth (no penalty)'!AQ208&gt;0,1,IF('Growth (no penalty)'!AQ311&gt;0,4,0))</f>
        <v>4</v>
      </c>
      <c r="AS287" s="22">
        <f>IF('Growth (no penalty)'!AR208&gt;0,1,IF('Growth (no penalty)'!AR311&gt;0,4,0))</f>
        <v>4</v>
      </c>
      <c r="AT287" s="22">
        <f>IF('Growth (no penalty)'!AS208&gt;0,1,IF('Growth (no penalty)'!AS311&gt;0,4,0))</f>
        <v>4</v>
      </c>
      <c r="AU287" s="22">
        <f>IF('Growth (no penalty)'!AT208&gt;0,1,IF('Growth (no penalty)'!AT311&gt;0,4,0))</f>
        <v>0</v>
      </c>
      <c r="AV287" s="22">
        <f>IF('Growth (no penalty)'!AU208&gt;0,1,IF('Growth (no penalty)'!AU311&gt;0,4,0))</f>
        <v>0</v>
      </c>
      <c r="AW287" s="22">
        <f>IF('Growth (no penalty)'!AV208&gt;0,1,IF('Growth (no penalty)'!AV311&gt;0,4,0))</f>
        <v>0</v>
      </c>
      <c r="AX287" s="22">
        <f>IF('Growth (no penalty)'!AW208&gt;0,1,IF('Growth (no penalty)'!AW311&gt;0,4,0))</f>
        <v>0</v>
      </c>
      <c r="AY287" s="22">
        <f>IF('Growth (no penalty)'!AX208&gt;0,1,IF('Growth (no penalty)'!AX311&gt;0,4,0))</f>
        <v>0</v>
      </c>
      <c r="AZ287" s="22">
        <f>IF('Growth (no penalty)'!AY208&gt;0,1,IF('Growth (no penalty)'!AY311&gt;0,4,0))</f>
        <v>0</v>
      </c>
      <c r="BA287" s="22">
        <f>IF('Growth (no penalty)'!AZ208&gt;0,1,IF('Growth (no penalty)'!AZ311&gt;0,4,0))</f>
        <v>0</v>
      </c>
      <c r="BB287" s="22">
        <f>IF('Growth (no penalty)'!BA208&gt;0,1,IF('Growth (no penalty)'!BA311&gt;0,4,0))</f>
        <v>0</v>
      </c>
      <c r="BC287" s="22">
        <f>IF('Growth (no penalty)'!BB208&gt;0,1,IF('Growth (no penalty)'!BB311&gt;0,4,0))</f>
        <v>0</v>
      </c>
      <c r="BD287" s="22">
        <f>IF('Growth (no penalty)'!BC208&gt;0,1,IF('Growth (no penalty)'!BC311&gt;0,4,0))</f>
        <v>0</v>
      </c>
      <c r="BE287" s="22">
        <f>IF('Growth (no penalty)'!BD208&gt;0,1,IF('Growth (no penalty)'!BD311&gt;0,4,0))</f>
        <v>0</v>
      </c>
      <c r="BF287" s="22">
        <f>IF('Growth (no penalty)'!BE208&gt;0,1,IF('Growth (no penalty)'!BE311&gt;0,4,0))</f>
        <v>0</v>
      </c>
      <c r="BG287" s="22">
        <f>IF('Growth (no penalty)'!BF208&gt;0,1,IF('Growth (no penalty)'!BF311&gt;0,4,0))</f>
        <v>0</v>
      </c>
      <c r="BH287" s="22">
        <f>IF('Growth (no penalty)'!BG208&gt;0,1,IF('Growth (no penalty)'!BG311&gt;0,4,0))</f>
        <v>0</v>
      </c>
      <c r="BI287" s="22">
        <f>IF('Growth (no penalty)'!BH208&gt;0,1,IF('Growth (no penalty)'!BH311&gt;0,4,0))</f>
        <v>0</v>
      </c>
      <c r="BJ287" s="22">
        <f>IF('Growth (no penalty)'!BI208&gt;0,1,IF('Growth (no penalty)'!BI311&gt;0,4,0))</f>
        <v>0</v>
      </c>
      <c r="BK287" s="23">
        <f>IF('Growth (no penalty)'!BJ208&gt;0,1,IF('Growth (no penalty)'!BJ311&gt;0,4,0))</f>
        <v>0</v>
      </c>
    </row>
    <row r="288" spans="1:63" x14ac:dyDescent="0.3">
      <c r="A288" s="4" t="str">
        <f>'Growth profile'!A110</f>
        <v>project 181</v>
      </c>
      <c r="B288" s="13" t="s">
        <v>3</v>
      </c>
      <c r="C288" s="19">
        <f>'Raw profile'!I110</f>
        <v>2042</v>
      </c>
      <c r="D288" s="20">
        <f>IF('Raw profile'!C218&gt;0,1,IF('Raw profile'!C321&gt;0,2,0))</f>
        <v>0</v>
      </c>
      <c r="E288" s="20">
        <f>IF('Raw profile'!D218&gt;0,1,IF('Raw profile'!D321&gt;0,2,0))</f>
        <v>0</v>
      </c>
      <c r="F288" s="20">
        <f>IF('Raw profile'!E218&gt;0,1,IF('Raw profile'!E321&gt;0,2,0))</f>
        <v>0</v>
      </c>
      <c r="G288" s="20">
        <f>IF('Raw profile'!F218&gt;0,1,IF('Raw profile'!F321&gt;0,2,0))</f>
        <v>0</v>
      </c>
      <c r="H288" s="20">
        <f>IF('Raw profile'!G218&gt;0,1,IF('Raw profile'!G321&gt;0,2,0))</f>
        <v>0</v>
      </c>
      <c r="I288" s="20">
        <f>IF('Raw profile'!H218&gt;0,1,IF('Raw profile'!H321&gt;0,2,0))</f>
        <v>0</v>
      </c>
      <c r="J288" s="20">
        <f>IF('Raw profile'!I218&gt;0,1,IF('Raw profile'!I321&gt;0,2,0))</f>
        <v>0</v>
      </c>
      <c r="K288" s="20">
        <f>IF('Raw profile'!J218&gt;0,1,IF('Raw profile'!J321&gt;0,2,0))</f>
        <v>0</v>
      </c>
      <c r="L288" s="20">
        <f>IF('Raw profile'!K218&gt;0,1,IF('Raw profile'!K321&gt;0,2,0))</f>
        <v>0</v>
      </c>
      <c r="M288" s="20">
        <f>IF('Raw profile'!L218&gt;0,1,IF('Raw profile'!L321&gt;0,2,0))</f>
        <v>0</v>
      </c>
      <c r="N288" s="20">
        <f>IF('Raw profile'!M218&gt;0,1,IF('Raw profile'!M321&gt;0,2,0))</f>
        <v>0</v>
      </c>
      <c r="O288" s="20">
        <f>IF('Raw profile'!N218&gt;0,1,IF('Raw profile'!N321&gt;0,2,0))</f>
        <v>0</v>
      </c>
      <c r="P288" s="20">
        <f>IF('Raw profile'!O218&gt;0,1,IF('Raw profile'!O321&gt;0,2,0))</f>
        <v>0</v>
      </c>
      <c r="Q288" s="20">
        <f>IF('Raw profile'!P218&gt;0,1,IF('Raw profile'!P321&gt;0,2,0))</f>
        <v>0</v>
      </c>
      <c r="R288" s="20">
        <f>IF('Raw profile'!Q218&gt;0,1,IF('Raw profile'!Q321&gt;0,2,0))</f>
        <v>0</v>
      </c>
      <c r="S288" s="20">
        <f>IF('Raw profile'!R218&gt;0,1,IF('Raw profile'!R321&gt;0,2,0))</f>
        <v>0</v>
      </c>
      <c r="T288" s="20">
        <f>IF('Raw profile'!S218&gt;0,1,IF('Raw profile'!S321&gt;0,2,0))</f>
        <v>1</v>
      </c>
      <c r="U288" s="20">
        <f>IF('Raw profile'!T218&gt;0,1,IF('Raw profile'!T321&gt;0,2,0))</f>
        <v>2</v>
      </c>
      <c r="V288" s="20">
        <f>IF('Raw profile'!U218&gt;0,1,IF('Raw profile'!U321&gt;0,2,0))</f>
        <v>2</v>
      </c>
      <c r="W288" s="20">
        <f>IF('Raw profile'!V218&gt;0,1,IF('Raw profile'!V321&gt;0,2,0))</f>
        <v>2</v>
      </c>
      <c r="X288" s="20">
        <f>IF('Raw profile'!W218&gt;0,1,IF('Raw profile'!W321&gt;0,2,0))</f>
        <v>2</v>
      </c>
      <c r="Y288" s="20">
        <f>IF('Raw profile'!X218&gt;0,1,IF('Raw profile'!X321&gt;0,2,0))</f>
        <v>2</v>
      </c>
      <c r="Z288" s="20">
        <f>IF('Raw profile'!Y218&gt;0,1,IF('Raw profile'!Y321&gt;0,2,0))</f>
        <v>2</v>
      </c>
      <c r="AA288" s="20">
        <f>IF('Raw profile'!Z218&gt;0,1,IF('Raw profile'!Z321&gt;0,2,0))</f>
        <v>2</v>
      </c>
      <c r="AB288" s="20">
        <f>IF('Raw profile'!AA218&gt;0,1,IF('Raw profile'!AA321&gt;0,2,0))</f>
        <v>2</v>
      </c>
      <c r="AC288" s="20">
        <f>IF('Raw profile'!AB218&gt;0,1,IF('Raw profile'!AB321&gt;0,2,0))</f>
        <v>2</v>
      </c>
      <c r="AD288" s="20">
        <f>IF('Raw profile'!AC218&gt;0,1,IF('Raw profile'!AC321&gt;0,2,0))</f>
        <v>2</v>
      </c>
      <c r="AE288" s="20">
        <f>IF('Raw profile'!AD218&gt;0,1,IF('Raw profile'!AD321&gt;0,2,0))</f>
        <v>2</v>
      </c>
      <c r="AF288" s="20">
        <f>IF('Raw profile'!AE218&gt;0,1,IF('Raw profile'!AE321&gt;0,2,0))</f>
        <v>2</v>
      </c>
      <c r="AG288" s="20">
        <f>IF('Raw profile'!AF218&gt;0,1,IF('Raw profile'!AF321&gt;0,2,0))</f>
        <v>2</v>
      </c>
      <c r="AH288" s="20">
        <f>IF('Raw profile'!AG218&gt;0,1,IF('Raw profile'!AG321&gt;0,2,0))</f>
        <v>2</v>
      </c>
      <c r="AI288" s="20">
        <f>IF('Raw profile'!AH218&gt;0,1,IF('Raw profile'!AH321&gt;0,2,0))</f>
        <v>2</v>
      </c>
      <c r="AJ288" s="20">
        <f>IF('Raw profile'!AI218&gt;0,1,IF('Raw profile'!AI321&gt;0,2,0))</f>
        <v>2</v>
      </c>
      <c r="AK288" s="20">
        <f>IF('Raw profile'!AJ218&gt;0,1,IF('Raw profile'!AJ321&gt;0,2,0))</f>
        <v>2</v>
      </c>
      <c r="AL288" s="20">
        <f>IF('Raw profile'!AK218&gt;0,1,IF('Raw profile'!AK321&gt;0,2,0))</f>
        <v>2</v>
      </c>
      <c r="AM288" s="20">
        <f>IF('Raw profile'!AL218&gt;0,1,IF('Raw profile'!AL321&gt;0,2,0))</f>
        <v>2</v>
      </c>
      <c r="AN288" s="20">
        <f>IF('Raw profile'!AM218&gt;0,1,IF('Raw profile'!AM321&gt;0,2,0))</f>
        <v>2</v>
      </c>
      <c r="AO288" s="20">
        <f>IF('Raw profile'!AN218&gt;0,1,IF('Raw profile'!AN321&gt;0,2,0))</f>
        <v>2</v>
      </c>
      <c r="AP288" s="20">
        <f>IF('Raw profile'!AO218&gt;0,1,IF('Raw profile'!AO321&gt;0,2,0))</f>
        <v>2</v>
      </c>
      <c r="AQ288" s="20">
        <f>IF('Raw profile'!AP218&gt;0,1,IF('Raw profile'!AP321&gt;0,2,0))</f>
        <v>2</v>
      </c>
      <c r="AR288" s="20">
        <f>IF('Raw profile'!AQ218&gt;0,1,IF('Raw profile'!AQ321&gt;0,2,0))</f>
        <v>2</v>
      </c>
      <c r="AS288" s="20">
        <f>IF('Raw profile'!AR218&gt;0,1,IF('Raw profile'!AR321&gt;0,2,0))</f>
        <v>2</v>
      </c>
      <c r="AT288" s="20">
        <f>IF('Raw profile'!AS218&gt;0,1,IF('Raw profile'!AS321&gt;0,2,0))</f>
        <v>2</v>
      </c>
      <c r="AU288" s="20">
        <f>IF('Raw profile'!AT218&gt;0,1,IF('Raw profile'!AT321&gt;0,2,0))</f>
        <v>2</v>
      </c>
      <c r="AV288" s="20">
        <f>IF('Raw profile'!AU218&gt;0,1,IF('Raw profile'!AU321&gt;0,2,0))</f>
        <v>2</v>
      </c>
      <c r="AW288" s="20">
        <f>IF('Raw profile'!AV218&gt;0,1,IF('Raw profile'!AV321&gt;0,2,0))</f>
        <v>2</v>
      </c>
      <c r="AX288" s="20">
        <f>IF('Raw profile'!AW218&gt;0,1,IF('Raw profile'!AW321&gt;0,2,0))</f>
        <v>2</v>
      </c>
      <c r="AY288" s="20">
        <f>IF('Raw profile'!AX218&gt;0,1,IF('Raw profile'!AX321&gt;0,2,0))</f>
        <v>2</v>
      </c>
      <c r="AZ288" s="20">
        <f>IF('Raw profile'!AY218&gt;0,1,IF('Raw profile'!AY321&gt;0,2,0))</f>
        <v>2</v>
      </c>
      <c r="BA288" s="20">
        <f>IF('Raw profile'!AZ218&gt;0,1,IF('Raw profile'!AZ321&gt;0,2,0))</f>
        <v>2</v>
      </c>
      <c r="BB288" s="20">
        <f>IF('Raw profile'!BA218&gt;0,1,IF('Raw profile'!BA321&gt;0,2,0))</f>
        <v>2</v>
      </c>
      <c r="BC288" s="20">
        <f>IF('Raw profile'!BB218&gt;0,1,IF('Raw profile'!BB321&gt;0,2,0))</f>
        <v>2</v>
      </c>
      <c r="BD288" s="20">
        <f>IF('Raw profile'!BC218&gt;0,1,IF('Raw profile'!BC321&gt;0,2,0))</f>
        <v>2</v>
      </c>
      <c r="BE288" s="20">
        <f>IF('Raw profile'!BD218&gt;0,1,IF('Raw profile'!BD321&gt;0,2,0))</f>
        <v>2</v>
      </c>
      <c r="BF288" s="20">
        <f>IF('Raw profile'!BE218&gt;0,1,IF('Raw profile'!BE321&gt;0,2,0))</f>
        <v>2</v>
      </c>
      <c r="BG288" s="20">
        <f>IF('Raw profile'!BF218&gt;0,1,IF('Raw profile'!BF321&gt;0,2,0))</f>
        <v>2</v>
      </c>
      <c r="BH288" s="20">
        <f>IF('Raw profile'!BG218&gt;0,1,IF('Raw profile'!BG321&gt;0,2,0))</f>
        <v>2</v>
      </c>
      <c r="BI288" s="20">
        <f>IF('Raw profile'!BH218&gt;0,1,IF('Raw profile'!BH321&gt;0,2,0))</f>
        <v>0</v>
      </c>
      <c r="BJ288" s="20">
        <f>IF('Raw profile'!BI218&gt;0,1,IF('Raw profile'!BI321&gt;0,2,0))</f>
        <v>0</v>
      </c>
      <c r="BK288" s="21">
        <f>IF('Raw profile'!BJ218&gt;0,1,IF('Raw profile'!BJ321&gt;0,2,0))</f>
        <v>0</v>
      </c>
    </row>
    <row r="289" spans="1:63" x14ac:dyDescent="0.3">
      <c r="B289" s="13" t="s">
        <v>4</v>
      </c>
      <c r="C289" s="19">
        <f>'Growth profile'!I110</f>
        <v>2026</v>
      </c>
      <c r="D289" s="20">
        <f>IF('Growth profile'!C218&gt;0,1,IF('Growth profile'!C321&gt;0,3,0))</f>
        <v>1</v>
      </c>
      <c r="E289" s="20">
        <f>IF('Growth profile'!D218&gt;0,1,IF('Growth profile'!D321&gt;0,3,0))</f>
        <v>3</v>
      </c>
      <c r="F289" s="20">
        <f>IF('Growth profile'!E218&gt;0,1,IF('Growth profile'!E321&gt;0,3,0))</f>
        <v>3</v>
      </c>
      <c r="G289" s="20">
        <f>IF('Growth profile'!F218&gt;0,1,IF('Growth profile'!F321&gt;0,3,0))</f>
        <v>3</v>
      </c>
      <c r="H289" s="20">
        <f>IF('Growth profile'!G218&gt;0,1,IF('Growth profile'!G321&gt;0,3,0))</f>
        <v>3</v>
      </c>
      <c r="I289" s="20">
        <f>IF('Growth profile'!H218&gt;0,1,IF('Growth profile'!H321&gt;0,3,0))</f>
        <v>3</v>
      </c>
      <c r="J289" s="20">
        <f>IF('Growth profile'!I218&gt;0,1,IF('Growth profile'!I321&gt;0,3,0))</f>
        <v>3</v>
      </c>
      <c r="K289" s="20">
        <f>IF('Growth profile'!J218&gt;0,1,IF('Growth profile'!J321&gt;0,3,0))</f>
        <v>3</v>
      </c>
      <c r="L289" s="20">
        <f>IF('Growth profile'!K218&gt;0,1,IF('Growth profile'!K321&gt;0,3,0))</f>
        <v>3</v>
      </c>
      <c r="M289" s="20">
        <f>IF('Growth profile'!L218&gt;0,1,IF('Growth profile'!L321&gt;0,3,0))</f>
        <v>3</v>
      </c>
      <c r="N289" s="20">
        <f>IF('Growth profile'!M218&gt;0,1,IF('Growth profile'!M321&gt;0,3,0))</f>
        <v>3</v>
      </c>
      <c r="O289" s="20">
        <f>IF('Growth profile'!N218&gt;0,1,IF('Growth profile'!N321&gt;0,3,0))</f>
        <v>3</v>
      </c>
      <c r="P289" s="20">
        <f>IF('Growth profile'!O218&gt;0,1,IF('Growth profile'!O321&gt;0,3,0))</f>
        <v>3</v>
      </c>
      <c r="Q289" s="20">
        <f>IF('Growth profile'!P218&gt;0,1,IF('Growth profile'!P321&gt;0,3,0))</f>
        <v>3</v>
      </c>
      <c r="R289" s="20">
        <f>IF('Growth profile'!Q218&gt;0,1,IF('Growth profile'!Q321&gt;0,3,0))</f>
        <v>3</v>
      </c>
      <c r="S289" s="20">
        <f>IF('Growth profile'!R218&gt;0,1,IF('Growth profile'!R321&gt;0,3,0))</f>
        <v>3</v>
      </c>
      <c r="T289" s="20">
        <f>IF('Growth profile'!S218&gt;0,1,IF('Growth profile'!S321&gt;0,3,0))</f>
        <v>3</v>
      </c>
      <c r="U289" s="20">
        <f>IF('Growth profile'!T218&gt;0,1,IF('Growth profile'!T321&gt;0,3,0))</f>
        <v>3</v>
      </c>
      <c r="V289" s="20">
        <f>IF('Growth profile'!U218&gt;0,1,IF('Growth profile'!U321&gt;0,3,0))</f>
        <v>3</v>
      </c>
      <c r="W289" s="20">
        <f>IF('Growth profile'!V218&gt;0,1,IF('Growth profile'!V321&gt;0,3,0))</f>
        <v>3</v>
      </c>
      <c r="X289" s="20">
        <f>IF('Growth profile'!W218&gt;0,1,IF('Growth profile'!W321&gt;0,3,0))</f>
        <v>3</v>
      </c>
      <c r="Y289" s="20">
        <f>IF('Growth profile'!X218&gt;0,1,IF('Growth profile'!X321&gt;0,3,0))</f>
        <v>3</v>
      </c>
      <c r="Z289" s="20">
        <f>IF('Growth profile'!Y218&gt;0,1,IF('Growth profile'!Y321&gt;0,3,0))</f>
        <v>3</v>
      </c>
      <c r="AA289" s="20">
        <f>IF('Growth profile'!Z218&gt;0,1,IF('Growth profile'!Z321&gt;0,3,0))</f>
        <v>3</v>
      </c>
      <c r="AB289" s="20">
        <f>IF('Growth profile'!AA218&gt;0,1,IF('Growth profile'!AA321&gt;0,3,0))</f>
        <v>3</v>
      </c>
      <c r="AC289" s="20">
        <f>IF('Growth profile'!AB218&gt;0,1,IF('Growth profile'!AB321&gt;0,3,0))</f>
        <v>3</v>
      </c>
      <c r="AD289" s="20">
        <f>IF('Growth profile'!AC218&gt;0,1,IF('Growth profile'!AC321&gt;0,3,0))</f>
        <v>3</v>
      </c>
      <c r="AE289" s="20">
        <f>IF('Growth profile'!AD218&gt;0,1,IF('Growth profile'!AD321&gt;0,3,0))</f>
        <v>3</v>
      </c>
      <c r="AF289" s="20">
        <f>IF('Growth profile'!AE218&gt;0,1,IF('Growth profile'!AE321&gt;0,3,0))</f>
        <v>3</v>
      </c>
      <c r="AG289" s="20">
        <f>IF('Growth profile'!AF218&gt;0,1,IF('Growth profile'!AF321&gt;0,3,0))</f>
        <v>3</v>
      </c>
      <c r="AH289" s="20">
        <f>IF('Growth profile'!AG218&gt;0,1,IF('Growth profile'!AG321&gt;0,3,0))</f>
        <v>3</v>
      </c>
      <c r="AI289" s="20">
        <f>IF('Growth profile'!AH218&gt;0,1,IF('Growth profile'!AH321&gt;0,3,0))</f>
        <v>3</v>
      </c>
      <c r="AJ289" s="20">
        <f>IF('Growth profile'!AI218&gt;0,1,IF('Growth profile'!AI321&gt;0,3,0))</f>
        <v>3</v>
      </c>
      <c r="AK289" s="20">
        <f>IF('Growth profile'!AJ218&gt;0,1,IF('Growth profile'!AJ321&gt;0,3,0))</f>
        <v>3</v>
      </c>
      <c r="AL289" s="20">
        <f>IF('Growth profile'!AK218&gt;0,1,IF('Growth profile'!AK321&gt;0,3,0))</f>
        <v>3</v>
      </c>
      <c r="AM289" s="20">
        <f>IF('Growth profile'!AL218&gt;0,1,IF('Growth profile'!AL321&gt;0,3,0))</f>
        <v>3</v>
      </c>
      <c r="AN289" s="20">
        <f>IF('Growth profile'!AM218&gt;0,1,IF('Growth profile'!AM321&gt;0,3,0))</f>
        <v>3</v>
      </c>
      <c r="AO289" s="20">
        <f>IF('Growth profile'!AN218&gt;0,1,IF('Growth profile'!AN321&gt;0,3,0))</f>
        <v>3</v>
      </c>
      <c r="AP289" s="20">
        <f>IF('Growth profile'!AO218&gt;0,1,IF('Growth profile'!AO321&gt;0,3,0))</f>
        <v>3</v>
      </c>
      <c r="AQ289" s="20">
        <f>IF('Growth profile'!AP218&gt;0,1,IF('Growth profile'!AP321&gt;0,3,0))</f>
        <v>3</v>
      </c>
      <c r="AR289" s="20">
        <f>IF('Growth profile'!AQ218&gt;0,1,IF('Growth profile'!AQ321&gt;0,3,0))</f>
        <v>3</v>
      </c>
      <c r="AS289" s="20">
        <f>IF('Growth profile'!AR218&gt;0,1,IF('Growth profile'!AR321&gt;0,3,0))</f>
        <v>0</v>
      </c>
      <c r="AT289" s="20">
        <f>IF('Growth profile'!AS218&gt;0,1,IF('Growth profile'!AS321&gt;0,3,0))</f>
        <v>0</v>
      </c>
      <c r="AU289" s="20">
        <f>IF('Growth profile'!AT218&gt;0,1,IF('Growth profile'!AT321&gt;0,3,0))</f>
        <v>0</v>
      </c>
      <c r="AV289" s="20">
        <f>IF('Growth profile'!AU218&gt;0,1,IF('Growth profile'!AU321&gt;0,3,0))</f>
        <v>0</v>
      </c>
      <c r="AW289" s="20">
        <f>IF('Growth profile'!AV218&gt;0,1,IF('Growth profile'!AV321&gt;0,3,0))</f>
        <v>0</v>
      </c>
      <c r="AX289" s="20">
        <f>IF('Growth profile'!AW218&gt;0,1,IF('Growth profile'!AW321&gt;0,3,0))</f>
        <v>0</v>
      </c>
      <c r="AY289" s="20">
        <f>IF('Growth profile'!AX218&gt;0,1,IF('Growth profile'!AX321&gt;0,3,0))</f>
        <v>0</v>
      </c>
      <c r="AZ289" s="20">
        <f>IF('Growth profile'!AY218&gt;0,1,IF('Growth profile'!AY321&gt;0,3,0))</f>
        <v>0</v>
      </c>
      <c r="BA289" s="20">
        <f>IF('Growth profile'!AZ218&gt;0,1,IF('Growth profile'!AZ321&gt;0,3,0))</f>
        <v>0</v>
      </c>
      <c r="BB289" s="20">
        <f>IF('Growth profile'!BA218&gt;0,1,IF('Growth profile'!BA321&gt;0,3,0))</f>
        <v>0</v>
      </c>
      <c r="BC289" s="20">
        <f>IF('Growth profile'!BB218&gt;0,1,IF('Growth profile'!BB321&gt;0,3,0))</f>
        <v>0</v>
      </c>
      <c r="BD289" s="20">
        <f>IF('Growth profile'!BC218&gt;0,1,IF('Growth profile'!BC321&gt;0,3,0))</f>
        <v>0</v>
      </c>
      <c r="BE289" s="20">
        <f>IF('Growth profile'!BD218&gt;0,1,IF('Growth profile'!BD321&gt;0,3,0))</f>
        <v>0</v>
      </c>
      <c r="BF289" s="20">
        <f>IF('Growth profile'!BE218&gt;0,1,IF('Growth profile'!BE321&gt;0,3,0))</f>
        <v>0</v>
      </c>
      <c r="BG289" s="20">
        <f>IF('Growth profile'!BF218&gt;0,1,IF('Growth profile'!BF321&gt;0,3,0))</f>
        <v>0</v>
      </c>
      <c r="BH289" s="20">
        <f>IF('Growth profile'!BG218&gt;0,1,IF('Growth profile'!BG321&gt;0,3,0))</f>
        <v>0</v>
      </c>
      <c r="BI289" s="20">
        <f>IF('Growth profile'!BH218&gt;0,1,IF('Growth profile'!BH321&gt;0,3,0))</f>
        <v>0</v>
      </c>
      <c r="BJ289" s="20">
        <f>IF('Growth profile'!BI218&gt;0,1,IF('Growth profile'!BI321&gt;0,3,0))</f>
        <v>0</v>
      </c>
      <c r="BK289" s="21">
        <f>IF('Growth profile'!BJ218&gt;0,1,IF('Growth profile'!BJ321&gt;0,3,0))</f>
        <v>0</v>
      </c>
    </row>
    <row r="290" spans="1:63" x14ac:dyDescent="0.3">
      <c r="B290" s="13" t="s">
        <v>59</v>
      </c>
      <c r="C290" s="19">
        <f>'Growth (no penalty)'!I110</f>
        <v>2026</v>
      </c>
      <c r="D290" s="22">
        <f>IF('Growth (no penalty)'!C218&gt;0,1,IF('Growth (no penalty)'!C321&gt;0,4,0))</f>
        <v>1</v>
      </c>
      <c r="E290" s="22">
        <f>IF('Growth (no penalty)'!D218&gt;0,1,IF('Growth (no penalty)'!D321&gt;0,4,0))</f>
        <v>4</v>
      </c>
      <c r="F290" s="22">
        <f>IF('Growth (no penalty)'!E218&gt;0,1,IF('Growth (no penalty)'!E321&gt;0,4,0))</f>
        <v>4</v>
      </c>
      <c r="G290" s="22">
        <f>IF('Growth (no penalty)'!F218&gt;0,1,IF('Growth (no penalty)'!F321&gt;0,4,0))</f>
        <v>4</v>
      </c>
      <c r="H290" s="22">
        <f>IF('Growth (no penalty)'!G218&gt;0,1,IF('Growth (no penalty)'!G321&gt;0,4,0))</f>
        <v>4</v>
      </c>
      <c r="I290" s="22">
        <f>IF('Growth (no penalty)'!H218&gt;0,1,IF('Growth (no penalty)'!H321&gt;0,4,0))</f>
        <v>4</v>
      </c>
      <c r="J290" s="22">
        <f>IF('Growth (no penalty)'!I218&gt;0,1,IF('Growth (no penalty)'!I321&gt;0,4,0))</f>
        <v>4</v>
      </c>
      <c r="K290" s="22">
        <f>IF('Growth (no penalty)'!J218&gt;0,1,IF('Growth (no penalty)'!J321&gt;0,4,0))</f>
        <v>4</v>
      </c>
      <c r="L290" s="22">
        <f>IF('Growth (no penalty)'!K218&gt;0,1,IF('Growth (no penalty)'!K321&gt;0,4,0))</f>
        <v>4</v>
      </c>
      <c r="M290" s="22">
        <f>IF('Growth (no penalty)'!L218&gt;0,1,IF('Growth (no penalty)'!L321&gt;0,4,0))</f>
        <v>4</v>
      </c>
      <c r="N290" s="22">
        <f>IF('Growth (no penalty)'!M218&gt;0,1,IF('Growth (no penalty)'!M321&gt;0,4,0))</f>
        <v>4</v>
      </c>
      <c r="O290" s="22">
        <f>IF('Growth (no penalty)'!N218&gt;0,1,IF('Growth (no penalty)'!N321&gt;0,4,0))</f>
        <v>4</v>
      </c>
      <c r="P290" s="22">
        <f>IF('Growth (no penalty)'!O218&gt;0,1,IF('Growth (no penalty)'!O321&gt;0,4,0))</f>
        <v>4</v>
      </c>
      <c r="Q290" s="22">
        <f>IF('Growth (no penalty)'!P218&gt;0,1,IF('Growth (no penalty)'!P321&gt;0,4,0))</f>
        <v>4</v>
      </c>
      <c r="R290" s="22">
        <f>IF('Growth (no penalty)'!Q218&gt;0,1,IF('Growth (no penalty)'!Q321&gt;0,4,0))</f>
        <v>4</v>
      </c>
      <c r="S290" s="22">
        <f>IF('Growth (no penalty)'!R218&gt;0,1,IF('Growth (no penalty)'!R321&gt;0,4,0))</f>
        <v>4</v>
      </c>
      <c r="T290" s="22">
        <f>IF('Growth (no penalty)'!S218&gt;0,1,IF('Growth (no penalty)'!S321&gt;0,4,0))</f>
        <v>4</v>
      </c>
      <c r="U290" s="22">
        <f>IF('Growth (no penalty)'!T218&gt;0,1,IF('Growth (no penalty)'!T321&gt;0,4,0))</f>
        <v>4</v>
      </c>
      <c r="V290" s="22">
        <f>IF('Growth (no penalty)'!U218&gt;0,1,IF('Growth (no penalty)'!U321&gt;0,4,0))</f>
        <v>4</v>
      </c>
      <c r="W290" s="22">
        <f>IF('Growth (no penalty)'!V218&gt;0,1,IF('Growth (no penalty)'!V321&gt;0,4,0))</f>
        <v>4</v>
      </c>
      <c r="X290" s="22">
        <f>IF('Growth (no penalty)'!W218&gt;0,1,IF('Growth (no penalty)'!W321&gt;0,4,0))</f>
        <v>4</v>
      </c>
      <c r="Y290" s="22">
        <f>IF('Growth (no penalty)'!X218&gt;0,1,IF('Growth (no penalty)'!X321&gt;0,4,0))</f>
        <v>4</v>
      </c>
      <c r="Z290" s="22">
        <f>IF('Growth (no penalty)'!Y218&gt;0,1,IF('Growth (no penalty)'!Y321&gt;0,4,0))</f>
        <v>4</v>
      </c>
      <c r="AA290" s="22">
        <f>IF('Growth (no penalty)'!Z218&gt;0,1,IF('Growth (no penalty)'!Z321&gt;0,4,0))</f>
        <v>4</v>
      </c>
      <c r="AB290" s="22">
        <f>IF('Growth (no penalty)'!AA218&gt;0,1,IF('Growth (no penalty)'!AA321&gt;0,4,0))</f>
        <v>4</v>
      </c>
      <c r="AC290" s="22">
        <f>IF('Growth (no penalty)'!AB218&gt;0,1,IF('Growth (no penalty)'!AB321&gt;0,4,0))</f>
        <v>4</v>
      </c>
      <c r="AD290" s="22">
        <f>IF('Growth (no penalty)'!AC218&gt;0,1,IF('Growth (no penalty)'!AC321&gt;0,4,0))</f>
        <v>4</v>
      </c>
      <c r="AE290" s="22">
        <f>IF('Growth (no penalty)'!AD218&gt;0,1,IF('Growth (no penalty)'!AD321&gt;0,4,0))</f>
        <v>4</v>
      </c>
      <c r="AF290" s="22">
        <f>IF('Growth (no penalty)'!AE218&gt;0,1,IF('Growth (no penalty)'!AE321&gt;0,4,0))</f>
        <v>4</v>
      </c>
      <c r="AG290" s="22">
        <f>IF('Growth (no penalty)'!AF218&gt;0,1,IF('Growth (no penalty)'!AF321&gt;0,4,0))</f>
        <v>4</v>
      </c>
      <c r="AH290" s="22">
        <f>IF('Growth (no penalty)'!AG218&gt;0,1,IF('Growth (no penalty)'!AG321&gt;0,4,0))</f>
        <v>4</v>
      </c>
      <c r="AI290" s="22">
        <f>IF('Growth (no penalty)'!AH218&gt;0,1,IF('Growth (no penalty)'!AH321&gt;0,4,0))</f>
        <v>4</v>
      </c>
      <c r="AJ290" s="22">
        <f>IF('Growth (no penalty)'!AI218&gt;0,1,IF('Growth (no penalty)'!AI321&gt;0,4,0))</f>
        <v>4</v>
      </c>
      <c r="AK290" s="22">
        <f>IF('Growth (no penalty)'!AJ218&gt;0,1,IF('Growth (no penalty)'!AJ321&gt;0,4,0))</f>
        <v>4</v>
      </c>
      <c r="AL290" s="22">
        <f>IF('Growth (no penalty)'!AK218&gt;0,1,IF('Growth (no penalty)'!AK321&gt;0,4,0))</f>
        <v>4</v>
      </c>
      <c r="AM290" s="22">
        <f>IF('Growth (no penalty)'!AL218&gt;0,1,IF('Growth (no penalty)'!AL321&gt;0,4,0))</f>
        <v>4</v>
      </c>
      <c r="AN290" s="22">
        <f>IF('Growth (no penalty)'!AM218&gt;0,1,IF('Growth (no penalty)'!AM321&gt;0,4,0))</f>
        <v>4</v>
      </c>
      <c r="AO290" s="22">
        <f>IF('Growth (no penalty)'!AN218&gt;0,1,IF('Growth (no penalty)'!AN321&gt;0,4,0))</f>
        <v>4</v>
      </c>
      <c r="AP290" s="22">
        <f>IF('Growth (no penalty)'!AO218&gt;0,1,IF('Growth (no penalty)'!AO321&gt;0,4,0))</f>
        <v>4</v>
      </c>
      <c r="AQ290" s="22">
        <f>IF('Growth (no penalty)'!AP218&gt;0,1,IF('Growth (no penalty)'!AP321&gt;0,4,0))</f>
        <v>4</v>
      </c>
      <c r="AR290" s="22">
        <f>IF('Growth (no penalty)'!AQ218&gt;0,1,IF('Growth (no penalty)'!AQ321&gt;0,4,0))</f>
        <v>4</v>
      </c>
      <c r="AS290" s="22">
        <f>IF('Growth (no penalty)'!AR218&gt;0,1,IF('Growth (no penalty)'!AR321&gt;0,4,0))</f>
        <v>0</v>
      </c>
      <c r="AT290" s="22">
        <f>IF('Growth (no penalty)'!AS218&gt;0,1,IF('Growth (no penalty)'!AS321&gt;0,4,0))</f>
        <v>0</v>
      </c>
      <c r="AU290" s="22">
        <f>IF('Growth (no penalty)'!AT218&gt;0,1,IF('Growth (no penalty)'!AT321&gt;0,4,0))</f>
        <v>0</v>
      </c>
      <c r="AV290" s="22">
        <f>IF('Growth (no penalty)'!AU218&gt;0,1,IF('Growth (no penalty)'!AU321&gt;0,4,0))</f>
        <v>0</v>
      </c>
      <c r="AW290" s="22">
        <f>IF('Growth (no penalty)'!AV218&gt;0,1,IF('Growth (no penalty)'!AV321&gt;0,4,0))</f>
        <v>0</v>
      </c>
      <c r="AX290" s="22">
        <f>IF('Growth (no penalty)'!AW218&gt;0,1,IF('Growth (no penalty)'!AW321&gt;0,4,0))</f>
        <v>0</v>
      </c>
      <c r="AY290" s="22">
        <f>IF('Growth (no penalty)'!AX218&gt;0,1,IF('Growth (no penalty)'!AX321&gt;0,4,0))</f>
        <v>0</v>
      </c>
      <c r="AZ290" s="22">
        <f>IF('Growth (no penalty)'!AY218&gt;0,1,IF('Growth (no penalty)'!AY321&gt;0,4,0))</f>
        <v>0</v>
      </c>
      <c r="BA290" s="22">
        <f>IF('Growth (no penalty)'!AZ218&gt;0,1,IF('Growth (no penalty)'!AZ321&gt;0,4,0))</f>
        <v>0</v>
      </c>
      <c r="BB290" s="22">
        <f>IF('Growth (no penalty)'!BA218&gt;0,1,IF('Growth (no penalty)'!BA321&gt;0,4,0))</f>
        <v>0</v>
      </c>
      <c r="BC290" s="22">
        <f>IF('Growth (no penalty)'!BB218&gt;0,1,IF('Growth (no penalty)'!BB321&gt;0,4,0))</f>
        <v>0</v>
      </c>
      <c r="BD290" s="22">
        <f>IF('Growth (no penalty)'!BC218&gt;0,1,IF('Growth (no penalty)'!BC321&gt;0,4,0))</f>
        <v>0</v>
      </c>
      <c r="BE290" s="22">
        <f>IF('Growth (no penalty)'!BD218&gt;0,1,IF('Growth (no penalty)'!BD321&gt;0,4,0))</f>
        <v>0</v>
      </c>
      <c r="BF290" s="22">
        <f>IF('Growth (no penalty)'!BE218&gt;0,1,IF('Growth (no penalty)'!BE321&gt;0,4,0))</f>
        <v>0</v>
      </c>
      <c r="BG290" s="22">
        <f>IF('Growth (no penalty)'!BF218&gt;0,1,IF('Growth (no penalty)'!BF321&gt;0,4,0))</f>
        <v>0</v>
      </c>
      <c r="BH290" s="22">
        <f>IF('Growth (no penalty)'!BG218&gt;0,1,IF('Growth (no penalty)'!BG321&gt;0,4,0))</f>
        <v>0</v>
      </c>
      <c r="BI290" s="22">
        <f>IF('Growth (no penalty)'!BH218&gt;0,1,IF('Growth (no penalty)'!BH321&gt;0,4,0))</f>
        <v>0</v>
      </c>
      <c r="BJ290" s="22">
        <f>IF('Growth (no penalty)'!BI218&gt;0,1,IF('Growth (no penalty)'!BI321&gt;0,4,0))</f>
        <v>0</v>
      </c>
      <c r="BK290" s="23">
        <f>IF('Growth (no penalty)'!BJ218&gt;0,1,IF('Growth (no penalty)'!BJ321&gt;0,4,0))</f>
        <v>0</v>
      </c>
    </row>
    <row r="291" spans="1:63" x14ac:dyDescent="0.3">
      <c r="A291" s="4" t="str">
        <f>'Growth profile'!A113</f>
        <v>project 186</v>
      </c>
      <c r="B291" s="13" t="s">
        <v>3</v>
      </c>
      <c r="C291" s="19">
        <f>'Raw profile'!I113</f>
        <v>2042</v>
      </c>
      <c r="D291" s="20">
        <f>IF('Raw profile'!C221&gt;0,1,IF('Raw profile'!C324&gt;0,2,0))</f>
        <v>0</v>
      </c>
      <c r="E291" s="20">
        <f>IF('Raw profile'!D221&gt;0,1,IF('Raw profile'!D324&gt;0,2,0))</f>
        <v>0</v>
      </c>
      <c r="F291" s="20">
        <f>IF('Raw profile'!E221&gt;0,1,IF('Raw profile'!E324&gt;0,2,0))</f>
        <v>0</v>
      </c>
      <c r="G291" s="20">
        <f>IF('Raw profile'!F221&gt;0,1,IF('Raw profile'!F324&gt;0,2,0))</f>
        <v>0</v>
      </c>
      <c r="H291" s="20">
        <f>IF('Raw profile'!G221&gt;0,1,IF('Raw profile'!G324&gt;0,2,0))</f>
        <v>0</v>
      </c>
      <c r="I291" s="20">
        <f>IF('Raw profile'!H221&gt;0,1,IF('Raw profile'!H324&gt;0,2,0))</f>
        <v>0</v>
      </c>
      <c r="J291" s="20">
        <f>IF('Raw profile'!I221&gt;0,1,IF('Raw profile'!I324&gt;0,2,0))</f>
        <v>0</v>
      </c>
      <c r="K291" s="20">
        <f>IF('Raw profile'!J221&gt;0,1,IF('Raw profile'!J324&gt;0,2,0))</f>
        <v>0</v>
      </c>
      <c r="L291" s="20">
        <f>IF('Raw profile'!K221&gt;0,1,IF('Raw profile'!K324&gt;0,2,0))</f>
        <v>0</v>
      </c>
      <c r="M291" s="20">
        <f>IF('Raw profile'!L221&gt;0,1,IF('Raw profile'!L324&gt;0,2,0))</f>
        <v>0</v>
      </c>
      <c r="N291" s="20">
        <f>IF('Raw profile'!M221&gt;0,1,IF('Raw profile'!M324&gt;0,2,0))</f>
        <v>0</v>
      </c>
      <c r="O291" s="20">
        <f>IF('Raw profile'!N221&gt;0,1,IF('Raw profile'!N324&gt;0,2,0))</f>
        <v>0</v>
      </c>
      <c r="P291" s="20">
        <f>IF('Raw profile'!O221&gt;0,1,IF('Raw profile'!O324&gt;0,2,0))</f>
        <v>0</v>
      </c>
      <c r="Q291" s="20">
        <f>IF('Raw profile'!P221&gt;0,1,IF('Raw profile'!P324&gt;0,2,0))</f>
        <v>0</v>
      </c>
      <c r="R291" s="20">
        <f>IF('Raw profile'!Q221&gt;0,1,IF('Raw profile'!Q324&gt;0,2,0))</f>
        <v>0</v>
      </c>
      <c r="S291" s="20">
        <f>IF('Raw profile'!R221&gt;0,1,IF('Raw profile'!R324&gt;0,2,0))</f>
        <v>0</v>
      </c>
      <c r="T291" s="20">
        <f>IF('Raw profile'!S221&gt;0,1,IF('Raw profile'!S324&gt;0,2,0))</f>
        <v>1</v>
      </c>
      <c r="U291" s="20">
        <f>IF('Raw profile'!T221&gt;0,1,IF('Raw profile'!T324&gt;0,2,0))</f>
        <v>1</v>
      </c>
      <c r="V291" s="20">
        <f>IF('Raw profile'!U221&gt;0,1,IF('Raw profile'!U324&gt;0,2,0))</f>
        <v>1</v>
      </c>
      <c r="W291" s="20">
        <f>IF('Raw profile'!V221&gt;0,1,IF('Raw profile'!V324&gt;0,2,0))</f>
        <v>2</v>
      </c>
      <c r="X291" s="20">
        <f>IF('Raw profile'!W221&gt;0,1,IF('Raw profile'!W324&gt;0,2,0))</f>
        <v>2</v>
      </c>
      <c r="Y291" s="20">
        <f>IF('Raw profile'!X221&gt;0,1,IF('Raw profile'!X324&gt;0,2,0))</f>
        <v>2</v>
      </c>
      <c r="Z291" s="20">
        <f>IF('Raw profile'!Y221&gt;0,1,IF('Raw profile'!Y324&gt;0,2,0))</f>
        <v>2</v>
      </c>
      <c r="AA291" s="20">
        <f>IF('Raw profile'!Z221&gt;0,1,IF('Raw profile'!Z324&gt;0,2,0))</f>
        <v>2</v>
      </c>
      <c r="AB291" s="20">
        <f>IF('Raw profile'!AA221&gt;0,1,IF('Raw profile'!AA324&gt;0,2,0))</f>
        <v>2</v>
      </c>
      <c r="AC291" s="20">
        <f>IF('Raw profile'!AB221&gt;0,1,IF('Raw profile'!AB324&gt;0,2,0))</f>
        <v>2</v>
      </c>
      <c r="AD291" s="20">
        <f>IF('Raw profile'!AC221&gt;0,1,IF('Raw profile'!AC324&gt;0,2,0))</f>
        <v>2</v>
      </c>
      <c r="AE291" s="20">
        <f>IF('Raw profile'!AD221&gt;0,1,IF('Raw profile'!AD324&gt;0,2,0))</f>
        <v>2</v>
      </c>
      <c r="AF291" s="20">
        <f>IF('Raw profile'!AE221&gt;0,1,IF('Raw profile'!AE324&gt;0,2,0))</f>
        <v>2</v>
      </c>
      <c r="AG291" s="20">
        <f>IF('Raw profile'!AF221&gt;0,1,IF('Raw profile'!AF324&gt;0,2,0))</f>
        <v>2</v>
      </c>
      <c r="AH291" s="20">
        <f>IF('Raw profile'!AG221&gt;0,1,IF('Raw profile'!AG324&gt;0,2,0))</f>
        <v>2</v>
      </c>
      <c r="AI291" s="20">
        <f>IF('Raw profile'!AH221&gt;0,1,IF('Raw profile'!AH324&gt;0,2,0))</f>
        <v>2</v>
      </c>
      <c r="AJ291" s="20">
        <f>IF('Raw profile'!AI221&gt;0,1,IF('Raw profile'!AI324&gt;0,2,0))</f>
        <v>2</v>
      </c>
      <c r="AK291" s="20">
        <f>IF('Raw profile'!AJ221&gt;0,1,IF('Raw profile'!AJ324&gt;0,2,0))</f>
        <v>2</v>
      </c>
      <c r="AL291" s="20">
        <f>IF('Raw profile'!AK221&gt;0,1,IF('Raw profile'!AK324&gt;0,2,0))</f>
        <v>2</v>
      </c>
      <c r="AM291" s="20">
        <f>IF('Raw profile'!AL221&gt;0,1,IF('Raw profile'!AL324&gt;0,2,0))</f>
        <v>2</v>
      </c>
      <c r="AN291" s="20">
        <f>IF('Raw profile'!AM221&gt;0,1,IF('Raw profile'!AM324&gt;0,2,0))</f>
        <v>2</v>
      </c>
      <c r="AO291" s="20">
        <f>IF('Raw profile'!AN221&gt;0,1,IF('Raw profile'!AN324&gt;0,2,0))</f>
        <v>2</v>
      </c>
      <c r="AP291" s="20">
        <f>IF('Raw profile'!AO221&gt;0,1,IF('Raw profile'!AO324&gt;0,2,0))</f>
        <v>2</v>
      </c>
      <c r="AQ291" s="20">
        <f>IF('Raw profile'!AP221&gt;0,1,IF('Raw profile'!AP324&gt;0,2,0))</f>
        <v>2</v>
      </c>
      <c r="AR291" s="20">
        <f>IF('Raw profile'!AQ221&gt;0,1,IF('Raw profile'!AQ324&gt;0,2,0))</f>
        <v>2</v>
      </c>
      <c r="AS291" s="20">
        <f>IF('Raw profile'!AR221&gt;0,1,IF('Raw profile'!AR324&gt;0,2,0))</f>
        <v>2</v>
      </c>
      <c r="AT291" s="20">
        <f>IF('Raw profile'!AS221&gt;0,1,IF('Raw profile'!AS324&gt;0,2,0))</f>
        <v>2</v>
      </c>
      <c r="AU291" s="20">
        <f>IF('Raw profile'!AT221&gt;0,1,IF('Raw profile'!AT324&gt;0,2,0))</f>
        <v>2</v>
      </c>
      <c r="AV291" s="20">
        <f>IF('Raw profile'!AU221&gt;0,1,IF('Raw profile'!AU324&gt;0,2,0))</f>
        <v>2</v>
      </c>
      <c r="AW291" s="20">
        <f>IF('Raw profile'!AV221&gt;0,1,IF('Raw profile'!AV324&gt;0,2,0))</f>
        <v>2</v>
      </c>
      <c r="AX291" s="20">
        <f>IF('Raw profile'!AW221&gt;0,1,IF('Raw profile'!AW324&gt;0,2,0))</f>
        <v>2</v>
      </c>
      <c r="AY291" s="20">
        <f>IF('Raw profile'!AX221&gt;0,1,IF('Raw profile'!AX324&gt;0,2,0))</f>
        <v>2</v>
      </c>
      <c r="AZ291" s="20">
        <f>IF('Raw profile'!AY221&gt;0,1,IF('Raw profile'!AY324&gt;0,2,0))</f>
        <v>2</v>
      </c>
      <c r="BA291" s="20">
        <f>IF('Raw profile'!AZ221&gt;0,1,IF('Raw profile'!AZ324&gt;0,2,0))</f>
        <v>2</v>
      </c>
      <c r="BB291" s="20">
        <f>IF('Raw profile'!BA221&gt;0,1,IF('Raw profile'!BA324&gt;0,2,0))</f>
        <v>2</v>
      </c>
      <c r="BC291" s="20">
        <f>IF('Raw profile'!BB221&gt;0,1,IF('Raw profile'!BB324&gt;0,2,0))</f>
        <v>2</v>
      </c>
      <c r="BD291" s="20">
        <f>IF('Raw profile'!BC221&gt;0,1,IF('Raw profile'!BC324&gt;0,2,0))</f>
        <v>2</v>
      </c>
      <c r="BE291" s="20">
        <f>IF('Raw profile'!BD221&gt;0,1,IF('Raw profile'!BD324&gt;0,2,0))</f>
        <v>2</v>
      </c>
      <c r="BF291" s="20">
        <f>IF('Raw profile'!BE221&gt;0,1,IF('Raw profile'!BE324&gt;0,2,0))</f>
        <v>2</v>
      </c>
      <c r="BG291" s="20">
        <f>IF('Raw profile'!BF221&gt;0,1,IF('Raw profile'!BF324&gt;0,2,0))</f>
        <v>2</v>
      </c>
      <c r="BH291" s="20">
        <f>IF('Raw profile'!BG221&gt;0,1,IF('Raw profile'!BG324&gt;0,2,0))</f>
        <v>2</v>
      </c>
      <c r="BI291" s="20">
        <f>IF('Raw profile'!BH221&gt;0,1,IF('Raw profile'!BH324&gt;0,2,0))</f>
        <v>2</v>
      </c>
      <c r="BJ291" s="20">
        <f>IF('Raw profile'!BI221&gt;0,1,IF('Raw profile'!BI324&gt;0,2,0))</f>
        <v>2</v>
      </c>
      <c r="BK291" s="21">
        <f>IF('Raw profile'!BJ221&gt;0,1,IF('Raw profile'!BJ324&gt;0,2,0))</f>
        <v>0</v>
      </c>
    </row>
    <row r="292" spans="1:63" x14ac:dyDescent="0.3">
      <c r="B292" s="13" t="s">
        <v>4</v>
      </c>
      <c r="C292" s="19">
        <f>'Growth profile'!I113</f>
        <v>2031</v>
      </c>
      <c r="D292" s="20">
        <f>IF('Growth profile'!C221&gt;0,1,IF('Growth profile'!C324&gt;0,3,0))</f>
        <v>0</v>
      </c>
      <c r="E292" s="20">
        <f>IF('Growth profile'!D221&gt;0,1,IF('Growth profile'!D324&gt;0,3,0))</f>
        <v>0</v>
      </c>
      <c r="F292" s="20">
        <f>IF('Growth profile'!E221&gt;0,1,IF('Growth profile'!E324&gt;0,3,0))</f>
        <v>0</v>
      </c>
      <c r="G292" s="20">
        <f>IF('Growth profile'!F221&gt;0,1,IF('Growth profile'!F324&gt;0,3,0))</f>
        <v>0</v>
      </c>
      <c r="H292" s="20">
        <f>IF('Growth profile'!G221&gt;0,1,IF('Growth profile'!G324&gt;0,3,0))</f>
        <v>0</v>
      </c>
      <c r="I292" s="20">
        <f>IF('Growth profile'!H221&gt;0,1,IF('Growth profile'!H324&gt;0,3,0))</f>
        <v>1</v>
      </c>
      <c r="J292" s="20">
        <f>IF('Growth profile'!I221&gt;0,1,IF('Growth profile'!I324&gt;0,3,0))</f>
        <v>1</v>
      </c>
      <c r="K292" s="20">
        <f>IF('Growth profile'!J221&gt;0,1,IF('Growth profile'!J324&gt;0,3,0))</f>
        <v>1</v>
      </c>
      <c r="L292" s="20">
        <f>IF('Growth profile'!K221&gt;0,1,IF('Growth profile'!K324&gt;0,3,0))</f>
        <v>3</v>
      </c>
      <c r="M292" s="20">
        <f>IF('Growth profile'!L221&gt;0,1,IF('Growth profile'!L324&gt;0,3,0))</f>
        <v>3</v>
      </c>
      <c r="N292" s="20">
        <f>IF('Growth profile'!M221&gt;0,1,IF('Growth profile'!M324&gt;0,3,0))</f>
        <v>3</v>
      </c>
      <c r="O292" s="20">
        <f>IF('Growth profile'!N221&gt;0,1,IF('Growth profile'!N324&gt;0,3,0))</f>
        <v>3</v>
      </c>
      <c r="P292" s="20">
        <f>IF('Growth profile'!O221&gt;0,1,IF('Growth profile'!O324&gt;0,3,0))</f>
        <v>3</v>
      </c>
      <c r="Q292" s="20">
        <f>IF('Growth profile'!P221&gt;0,1,IF('Growth profile'!P324&gt;0,3,0))</f>
        <v>3</v>
      </c>
      <c r="R292" s="20">
        <f>IF('Growth profile'!Q221&gt;0,1,IF('Growth profile'!Q324&gt;0,3,0))</f>
        <v>3</v>
      </c>
      <c r="S292" s="20">
        <f>IF('Growth profile'!R221&gt;0,1,IF('Growth profile'!R324&gt;0,3,0))</f>
        <v>3</v>
      </c>
      <c r="T292" s="20">
        <f>IF('Growth profile'!S221&gt;0,1,IF('Growth profile'!S324&gt;0,3,0))</f>
        <v>3</v>
      </c>
      <c r="U292" s="20">
        <f>IF('Growth profile'!T221&gt;0,1,IF('Growth profile'!T324&gt;0,3,0))</f>
        <v>3</v>
      </c>
      <c r="V292" s="20">
        <f>IF('Growth profile'!U221&gt;0,1,IF('Growth profile'!U324&gt;0,3,0))</f>
        <v>3</v>
      </c>
      <c r="W292" s="20">
        <f>IF('Growth profile'!V221&gt;0,1,IF('Growth profile'!V324&gt;0,3,0))</f>
        <v>3</v>
      </c>
      <c r="X292" s="20">
        <f>IF('Growth profile'!W221&gt;0,1,IF('Growth profile'!W324&gt;0,3,0))</f>
        <v>3</v>
      </c>
      <c r="Y292" s="20">
        <f>IF('Growth profile'!X221&gt;0,1,IF('Growth profile'!X324&gt;0,3,0))</f>
        <v>3</v>
      </c>
      <c r="Z292" s="20">
        <f>IF('Growth profile'!Y221&gt;0,1,IF('Growth profile'!Y324&gt;0,3,0))</f>
        <v>3</v>
      </c>
      <c r="AA292" s="20">
        <f>IF('Growth profile'!Z221&gt;0,1,IF('Growth profile'!Z324&gt;0,3,0))</f>
        <v>3</v>
      </c>
      <c r="AB292" s="20">
        <f>IF('Growth profile'!AA221&gt;0,1,IF('Growth profile'!AA324&gt;0,3,0))</f>
        <v>3</v>
      </c>
      <c r="AC292" s="20">
        <f>IF('Growth profile'!AB221&gt;0,1,IF('Growth profile'!AB324&gt;0,3,0))</f>
        <v>3</v>
      </c>
      <c r="AD292" s="20">
        <f>IF('Growth profile'!AC221&gt;0,1,IF('Growth profile'!AC324&gt;0,3,0))</f>
        <v>3</v>
      </c>
      <c r="AE292" s="20">
        <f>IF('Growth profile'!AD221&gt;0,1,IF('Growth profile'!AD324&gt;0,3,0))</f>
        <v>3</v>
      </c>
      <c r="AF292" s="20">
        <f>IF('Growth profile'!AE221&gt;0,1,IF('Growth profile'!AE324&gt;0,3,0))</f>
        <v>3</v>
      </c>
      <c r="AG292" s="20">
        <f>IF('Growth profile'!AF221&gt;0,1,IF('Growth profile'!AF324&gt;0,3,0))</f>
        <v>3</v>
      </c>
      <c r="AH292" s="20">
        <f>IF('Growth profile'!AG221&gt;0,1,IF('Growth profile'!AG324&gt;0,3,0))</f>
        <v>3</v>
      </c>
      <c r="AI292" s="20">
        <f>IF('Growth profile'!AH221&gt;0,1,IF('Growth profile'!AH324&gt;0,3,0))</f>
        <v>3</v>
      </c>
      <c r="AJ292" s="20">
        <f>IF('Growth profile'!AI221&gt;0,1,IF('Growth profile'!AI324&gt;0,3,0))</f>
        <v>3</v>
      </c>
      <c r="AK292" s="20">
        <f>IF('Growth profile'!AJ221&gt;0,1,IF('Growth profile'!AJ324&gt;0,3,0))</f>
        <v>3</v>
      </c>
      <c r="AL292" s="20">
        <f>IF('Growth profile'!AK221&gt;0,1,IF('Growth profile'!AK324&gt;0,3,0))</f>
        <v>3</v>
      </c>
      <c r="AM292" s="20">
        <f>IF('Growth profile'!AL221&gt;0,1,IF('Growth profile'!AL324&gt;0,3,0))</f>
        <v>3</v>
      </c>
      <c r="AN292" s="20">
        <f>IF('Growth profile'!AM221&gt;0,1,IF('Growth profile'!AM324&gt;0,3,0))</f>
        <v>3</v>
      </c>
      <c r="AO292" s="20">
        <f>IF('Growth profile'!AN221&gt;0,1,IF('Growth profile'!AN324&gt;0,3,0))</f>
        <v>3</v>
      </c>
      <c r="AP292" s="20">
        <f>IF('Growth profile'!AO221&gt;0,1,IF('Growth profile'!AO324&gt;0,3,0))</f>
        <v>3</v>
      </c>
      <c r="AQ292" s="20">
        <f>IF('Growth profile'!AP221&gt;0,1,IF('Growth profile'!AP324&gt;0,3,0))</f>
        <v>3</v>
      </c>
      <c r="AR292" s="20">
        <f>IF('Growth profile'!AQ221&gt;0,1,IF('Growth profile'!AQ324&gt;0,3,0))</f>
        <v>3</v>
      </c>
      <c r="AS292" s="20">
        <f>IF('Growth profile'!AR221&gt;0,1,IF('Growth profile'!AR324&gt;0,3,0))</f>
        <v>3</v>
      </c>
      <c r="AT292" s="20">
        <f>IF('Growth profile'!AS221&gt;0,1,IF('Growth profile'!AS324&gt;0,3,0))</f>
        <v>3</v>
      </c>
      <c r="AU292" s="20">
        <f>IF('Growth profile'!AT221&gt;0,1,IF('Growth profile'!AT324&gt;0,3,0))</f>
        <v>3</v>
      </c>
      <c r="AV292" s="20">
        <f>IF('Growth profile'!AU221&gt;0,1,IF('Growth profile'!AU324&gt;0,3,0))</f>
        <v>3</v>
      </c>
      <c r="AW292" s="20">
        <f>IF('Growth profile'!AV221&gt;0,1,IF('Growth profile'!AV324&gt;0,3,0))</f>
        <v>3</v>
      </c>
      <c r="AX292" s="20">
        <f>IF('Growth profile'!AW221&gt;0,1,IF('Growth profile'!AW324&gt;0,3,0))</f>
        <v>3</v>
      </c>
      <c r="AY292" s="20">
        <f>IF('Growth profile'!AX221&gt;0,1,IF('Growth profile'!AX324&gt;0,3,0))</f>
        <v>3</v>
      </c>
      <c r="AZ292" s="20">
        <f>IF('Growth profile'!AY221&gt;0,1,IF('Growth profile'!AY324&gt;0,3,0))</f>
        <v>0</v>
      </c>
      <c r="BA292" s="20">
        <f>IF('Growth profile'!AZ221&gt;0,1,IF('Growth profile'!AZ324&gt;0,3,0))</f>
        <v>0</v>
      </c>
      <c r="BB292" s="20">
        <f>IF('Growth profile'!BA221&gt;0,1,IF('Growth profile'!BA324&gt;0,3,0))</f>
        <v>0</v>
      </c>
      <c r="BC292" s="20">
        <f>IF('Growth profile'!BB221&gt;0,1,IF('Growth profile'!BB324&gt;0,3,0))</f>
        <v>0</v>
      </c>
      <c r="BD292" s="20">
        <f>IF('Growth profile'!BC221&gt;0,1,IF('Growth profile'!BC324&gt;0,3,0))</f>
        <v>0</v>
      </c>
      <c r="BE292" s="20">
        <f>IF('Growth profile'!BD221&gt;0,1,IF('Growth profile'!BD324&gt;0,3,0))</f>
        <v>0</v>
      </c>
      <c r="BF292" s="20">
        <f>IF('Growth profile'!BE221&gt;0,1,IF('Growth profile'!BE324&gt;0,3,0))</f>
        <v>0</v>
      </c>
      <c r="BG292" s="20">
        <f>IF('Growth profile'!BF221&gt;0,1,IF('Growth profile'!BF324&gt;0,3,0))</f>
        <v>0</v>
      </c>
      <c r="BH292" s="20">
        <f>IF('Growth profile'!BG221&gt;0,1,IF('Growth profile'!BG324&gt;0,3,0))</f>
        <v>0</v>
      </c>
      <c r="BI292" s="20">
        <f>IF('Growth profile'!BH221&gt;0,1,IF('Growth profile'!BH324&gt;0,3,0))</f>
        <v>0</v>
      </c>
      <c r="BJ292" s="20">
        <f>IF('Growth profile'!BI221&gt;0,1,IF('Growth profile'!BI324&gt;0,3,0))</f>
        <v>0</v>
      </c>
      <c r="BK292" s="21">
        <f>IF('Growth profile'!BJ221&gt;0,1,IF('Growth profile'!BJ324&gt;0,3,0))</f>
        <v>0</v>
      </c>
    </row>
    <row r="293" spans="1:63" x14ac:dyDescent="0.3">
      <c r="B293" s="13" t="s">
        <v>59</v>
      </c>
      <c r="C293" s="19">
        <f>'Growth (no penalty)'!I113</f>
        <v>2031</v>
      </c>
      <c r="D293" s="22">
        <f>IF('Growth (no penalty)'!C221&gt;0,1,IF('Growth (no penalty)'!C324&gt;0,4,0))</f>
        <v>0</v>
      </c>
      <c r="E293" s="22">
        <f>IF('Growth (no penalty)'!D221&gt;0,1,IF('Growth (no penalty)'!D324&gt;0,4,0))</f>
        <v>0</v>
      </c>
      <c r="F293" s="22">
        <f>IF('Growth (no penalty)'!E221&gt;0,1,IF('Growth (no penalty)'!E324&gt;0,4,0))</f>
        <v>0</v>
      </c>
      <c r="G293" s="22">
        <f>IF('Growth (no penalty)'!F221&gt;0,1,IF('Growth (no penalty)'!F324&gt;0,4,0))</f>
        <v>0</v>
      </c>
      <c r="H293" s="22">
        <f>IF('Growth (no penalty)'!G221&gt;0,1,IF('Growth (no penalty)'!G324&gt;0,4,0))</f>
        <v>0</v>
      </c>
      <c r="I293" s="22">
        <f>IF('Growth (no penalty)'!H221&gt;0,1,IF('Growth (no penalty)'!H324&gt;0,4,0))</f>
        <v>1</v>
      </c>
      <c r="J293" s="22">
        <f>IF('Growth (no penalty)'!I221&gt;0,1,IF('Growth (no penalty)'!I324&gt;0,4,0))</f>
        <v>1</v>
      </c>
      <c r="K293" s="22">
        <f>IF('Growth (no penalty)'!J221&gt;0,1,IF('Growth (no penalty)'!J324&gt;0,4,0))</f>
        <v>1</v>
      </c>
      <c r="L293" s="22">
        <f>IF('Growth (no penalty)'!K221&gt;0,1,IF('Growth (no penalty)'!K324&gt;0,4,0))</f>
        <v>4</v>
      </c>
      <c r="M293" s="22">
        <f>IF('Growth (no penalty)'!L221&gt;0,1,IF('Growth (no penalty)'!L324&gt;0,4,0))</f>
        <v>4</v>
      </c>
      <c r="N293" s="22">
        <f>IF('Growth (no penalty)'!M221&gt;0,1,IF('Growth (no penalty)'!M324&gt;0,4,0))</f>
        <v>4</v>
      </c>
      <c r="O293" s="22">
        <f>IF('Growth (no penalty)'!N221&gt;0,1,IF('Growth (no penalty)'!N324&gt;0,4,0))</f>
        <v>4</v>
      </c>
      <c r="P293" s="22">
        <f>IF('Growth (no penalty)'!O221&gt;0,1,IF('Growth (no penalty)'!O324&gt;0,4,0))</f>
        <v>4</v>
      </c>
      <c r="Q293" s="22">
        <f>IF('Growth (no penalty)'!P221&gt;0,1,IF('Growth (no penalty)'!P324&gt;0,4,0))</f>
        <v>4</v>
      </c>
      <c r="R293" s="22">
        <f>IF('Growth (no penalty)'!Q221&gt;0,1,IF('Growth (no penalty)'!Q324&gt;0,4,0))</f>
        <v>4</v>
      </c>
      <c r="S293" s="22">
        <f>IF('Growth (no penalty)'!R221&gt;0,1,IF('Growth (no penalty)'!R324&gt;0,4,0))</f>
        <v>4</v>
      </c>
      <c r="T293" s="22">
        <f>IF('Growth (no penalty)'!S221&gt;0,1,IF('Growth (no penalty)'!S324&gt;0,4,0))</f>
        <v>4</v>
      </c>
      <c r="U293" s="22">
        <f>IF('Growth (no penalty)'!T221&gt;0,1,IF('Growth (no penalty)'!T324&gt;0,4,0))</f>
        <v>4</v>
      </c>
      <c r="V293" s="22">
        <f>IF('Growth (no penalty)'!U221&gt;0,1,IF('Growth (no penalty)'!U324&gt;0,4,0))</f>
        <v>4</v>
      </c>
      <c r="W293" s="22">
        <f>IF('Growth (no penalty)'!V221&gt;0,1,IF('Growth (no penalty)'!V324&gt;0,4,0))</f>
        <v>4</v>
      </c>
      <c r="X293" s="22">
        <f>IF('Growth (no penalty)'!W221&gt;0,1,IF('Growth (no penalty)'!W324&gt;0,4,0))</f>
        <v>4</v>
      </c>
      <c r="Y293" s="22">
        <f>IF('Growth (no penalty)'!X221&gt;0,1,IF('Growth (no penalty)'!X324&gt;0,4,0))</f>
        <v>4</v>
      </c>
      <c r="Z293" s="22">
        <f>IF('Growth (no penalty)'!Y221&gt;0,1,IF('Growth (no penalty)'!Y324&gt;0,4,0))</f>
        <v>4</v>
      </c>
      <c r="AA293" s="22">
        <f>IF('Growth (no penalty)'!Z221&gt;0,1,IF('Growth (no penalty)'!Z324&gt;0,4,0))</f>
        <v>4</v>
      </c>
      <c r="AB293" s="22">
        <f>IF('Growth (no penalty)'!AA221&gt;0,1,IF('Growth (no penalty)'!AA324&gt;0,4,0))</f>
        <v>4</v>
      </c>
      <c r="AC293" s="22">
        <f>IF('Growth (no penalty)'!AB221&gt;0,1,IF('Growth (no penalty)'!AB324&gt;0,4,0))</f>
        <v>4</v>
      </c>
      <c r="AD293" s="22">
        <f>IF('Growth (no penalty)'!AC221&gt;0,1,IF('Growth (no penalty)'!AC324&gt;0,4,0))</f>
        <v>4</v>
      </c>
      <c r="AE293" s="22">
        <f>IF('Growth (no penalty)'!AD221&gt;0,1,IF('Growth (no penalty)'!AD324&gt;0,4,0))</f>
        <v>4</v>
      </c>
      <c r="AF293" s="22">
        <f>IF('Growth (no penalty)'!AE221&gt;0,1,IF('Growth (no penalty)'!AE324&gt;0,4,0))</f>
        <v>4</v>
      </c>
      <c r="AG293" s="22">
        <f>IF('Growth (no penalty)'!AF221&gt;0,1,IF('Growth (no penalty)'!AF324&gt;0,4,0))</f>
        <v>4</v>
      </c>
      <c r="AH293" s="22">
        <f>IF('Growth (no penalty)'!AG221&gt;0,1,IF('Growth (no penalty)'!AG324&gt;0,4,0))</f>
        <v>4</v>
      </c>
      <c r="AI293" s="22">
        <f>IF('Growth (no penalty)'!AH221&gt;0,1,IF('Growth (no penalty)'!AH324&gt;0,4,0))</f>
        <v>4</v>
      </c>
      <c r="AJ293" s="22">
        <f>IF('Growth (no penalty)'!AI221&gt;0,1,IF('Growth (no penalty)'!AI324&gt;0,4,0))</f>
        <v>4</v>
      </c>
      <c r="AK293" s="22">
        <f>IF('Growth (no penalty)'!AJ221&gt;0,1,IF('Growth (no penalty)'!AJ324&gt;0,4,0))</f>
        <v>4</v>
      </c>
      <c r="AL293" s="22">
        <f>IF('Growth (no penalty)'!AK221&gt;0,1,IF('Growth (no penalty)'!AK324&gt;0,4,0))</f>
        <v>4</v>
      </c>
      <c r="AM293" s="22">
        <f>IF('Growth (no penalty)'!AL221&gt;0,1,IF('Growth (no penalty)'!AL324&gt;0,4,0))</f>
        <v>4</v>
      </c>
      <c r="AN293" s="22">
        <f>IF('Growth (no penalty)'!AM221&gt;0,1,IF('Growth (no penalty)'!AM324&gt;0,4,0))</f>
        <v>4</v>
      </c>
      <c r="AO293" s="22">
        <f>IF('Growth (no penalty)'!AN221&gt;0,1,IF('Growth (no penalty)'!AN324&gt;0,4,0))</f>
        <v>4</v>
      </c>
      <c r="AP293" s="22">
        <f>IF('Growth (no penalty)'!AO221&gt;0,1,IF('Growth (no penalty)'!AO324&gt;0,4,0))</f>
        <v>4</v>
      </c>
      <c r="AQ293" s="22">
        <f>IF('Growth (no penalty)'!AP221&gt;0,1,IF('Growth (no penalty)'!AP324&gt;0,4,0))</f>
        <v>4</v>
      </c>
      <c r="AR293" s="22">
        <f>IF('Growth (no penalty)'!AQ221&gt;0,1,IF('Growth (no penalty)'!AQ324&gt;0,4,0))</f>
        <v>4</v>
      </c>
      <c r="AS293" s="22">
        <f>IF('Growth (no penalty)'!AR221&gt;0,1,IF('Growth (no penalty)'!AR324&gt;0,4,0))</f>
        <v>4</v>
      </c>
      <c r="AT293" s="22">
        <f>IF('Growth (no penalty)'!AS221&gt;0,1,IF('Growth (no penalty)'!AS324&gt;0,4,0))</f>
        <v>4</v>
      </c>
      <c r="AU293" s="22">
        <f>IF('Growth (no penalty)'!AT221&gt;0,1,IF('Growth (no penalty)'!AT324&gt;0,4,0))</f>
        <v>4</v>
      </c>
      <c r="AV293" s="22">
        <f>IF('Growth (no penalty)'!AU221&gt;0,1,IF('Growth (no penalty)'!AU324&gt;0,4,0))</f>
        <v>4</v>
      </c>
      <c r="AW293" s="22">
        <f>IF('Growth (no penalty)'!AV221&gt;0,1,IF('Growth (no penalty)'!AV324&gt;0,4,0))</f>
        <v>4</v>
      </c>
      <c r="AX293" s="22">
        <f>IF('Growth (no penalty)'!AW221&gt;0,1,IF('Growth (no penalty)'!AW324&gt;0,4,0))</f>
        <v>4</v>
      </c>
      <c r="AY293" s="22">
        <f>IF('Growth (no penalty)'!AX221&gt;0,1,IF('Growth (no penalty)'!AX324&gt;0,4,0))</f>
        <v>4</v>
      </c>
      <c r="AZ293" s="22">
        <f>IF('Growth (no penalty)'!AY221&gt;0,1,IF('Growth (no penalty)'!AY324&gt;0,4,0))</f>
        <v>0</v>
      </c>
      <c r="BA293" s="22">
        <f>IF('Growth (no penalty)'!AZ221&gt;0,1,IF('Growth (no penalty)'!AZ324&gt;0,4,0))</f>
        <v>0</v>
      </c>
      <c r="BB293" s="22">
        <f>IF('Growth (no penalty)'!BA221&gt;0,1,IF('Growth (no penalty)'!BA324&gt;0,4,0))</f>
        <v>0</v>
      </c>
      <c r="BC293" s="22">
        <f>IF('Growth (no penalty)'!BB221&gt;0,1,IF('Growth (no penalty)'!BB324&gt;0,4,0))</f>
        <v>0</v>
      </c>
      <c r="BD293" s="22">
        <f>IF('Growth (no penalty)'!BC221&gt;0,1,IF('Growth (no penalty)'!BC324&gt;0,4,0))</f>
        <v>0</v>
      </c>
      <c r="BE293" s="22">
        <f>IF('Growth (no penalty)'!BD221&gt;0,1,IF('Growth (no penalty)'!BD324&gt;0,4,0))</f>
        <v>0</v>
      </c>
      <c r="BF293" s="22">
        <f>IF('Growth (no penalty)'!BE221&gt;0,1,IF('Growth (no penalty)'!BE324&gt;0,4,0))</f>
        <v>0</v>
      </c>
      <c r="BG293" s="22">
        <f>IF('Growth (no penalty)'!BF221&gt;0,1,IF('Growth (no penalty)'!BF324&gt;0,4,0))</f>
        <v>0</v>
      </c>
      <c r="BH293" s="22">
        <f>IF('Growth (no penalty)'!BG221&gt;0,1,IF('Growth (no penalty)'!BG324&gt;0,4,0))</f>
        <v>0</v>
      </c>
      <c r="BI293" s="22">
        <f>IF('Growth (no penalty)'!BH221&gt;0,1,IF('Growth (no penalty)'!BH324&gt;0,4,0))</f>
        <v>0</v>
      </c>
      <c r="BJ293" s="22">
        <f>IF('Growth (no penalty)'!BI221&gt;0,1,IF('Growth (no penalty)'!BI324&gt;0,4,0))</f>
        <v>0</v>
      </c>
      <c r="BK293" s="23">
        <f>IF('Growth (no penalty)'!BJ221&gt;0,1,IF('Growth (no penalty)'!BJ324&gt;0,4,0))</f>
        <v>0</v>
      </c>
    </row>
    <row r="294" spans="1:63" x14ac:dyDescent="0.3">
      <c r="A294" s="4" t="str">
        <f>'Growth profile'!A73</f>
        <v>project 104</v>
      </c>
      <c r="B294" s="13" t="s">
        <v>3</v>
      </c>
      <c r="C294" s="19">
        <f>'Raw profile'!I73</f>
        <v>2042</v>
      </c>
      <c r="D294" s="20">
        <f>IF('Raw profile'!C181&gt;0,1,IF('Raw profile'!C284&gt;0,2,0))</f>
        <v>0</v>
      </c>
      <c r="E294" s="20">
        <f>IF('Raw profile'!D181&gt;0,1,IF('Raw profile'!D284&gt;0,2,0))</f>
        <v>0</v>
      </c>
      <c r="F294" s="20">
        <f>IF('Raw profile'!E181&gt;0,1,IF('Raw profile'!E284&gt;0,2,0))</f>
        <v>0</v>
      </c>
      <c r="G294" s="20">
        <f>IF('Raw profile'!F181&gt;0,1,IF('Raw profile'!F284&gt;0,2,0))</f>
        <v>0</v>
      </c>
      <c r="H294" s="20">
        <f>IF('Raw profile'!G181&gt;0,1,IF('Raw profile'!G284&gt;0,2,0))</f>
        <v>0</v>
      </c>
      <c r="I294" s="20">
        <f>IF('Raw profile'!H181&gt;0,1,IF('Raw profile'!H284&gt;0,2,0))</f>
        <v>0</v>
      </c>
      <c r="J294" s="20">
        <f>IF('Raw profile'!I181&gt;0,1,IF('Raw profile'!I284&gt;0,2,0))</f>
        <v>0</v>
      </c>
      <c r="K294" s="20">
        <f>IF('Raw profile'!J181&gt;0,1,IF('Raw profile'!J284&gt;0,2,0))</f>
        <v>0</v>
      </c>
      <c r="L294" s="20">
        <f>IF('Raw profile'!K181&gt;0,1,IF('Raw profile'!K284&gt;0,2,0))</f>
        <v>0</v>
      </c>
      <c r="M294" s="20">
        <f>IF('Raw profile'!L181&gt;0,1,IF('Raw profile'!L284&gt;0,2,0))</f>
        <v>0</v>
      </c>
      <c r="N294" s="20">
        <f>IF('Raw profile'!M181&gt;0,1,IF('Raw profile'!M284&gt;0,2,0))</f>
        <v>0</v>
      </c>
      <c r="O294" s="20">
        <f>IF('Raw profile'!N181&gt;0,1,IF('Raw profile'!N284&gt;0,2,0))</f>
        <v>0</v>
      </c>
      <c r="P294" s="20">
        <f>IF('Raw profile'!O181&gt;0,1,IF('Raw profile'!O284&gt;0,2,0))</f>
        <v>0</v>
      </c>
      <c r="Q294" s="20">
        <f>IF('Raw profile'!P181&gt;0,1,IF('Raw profile'!P284&gt;0,2,0))</f>
        <v>0</v>
      </c>
      <c r="R294" s="20">
        <f>IF('Raw profile'!Q181&gt;0,1,IF('Raw profile'!Q284&gt;0,2,0))</f>
        <v>0</v>
      </c>
      <c r="S294" s="20">
        <f>IF('Raw profile'!R181&gt;0,1,IF('Raw profile'!R284&gt;0,2,0))</f>
        <v>0</v>
      </c>
      <c r="T294" s="20">
        <f>IF('Raw profile'!S181&gt;0,1,IF('Raw profile'!S284&gt;0,2,0))</f>
        <v>1</v>
      </c>
      <c r="U294" s="20">
        <f>IF('Raw profile'!T181&gt;0,1,IF('Raw profile'!T284&gt;0,2,0))</f>
        <v>1</v>
      </c>
      <c r="V294" s="20">
        <f>IF('Raw profile'!U181&gt;0,1,IF('Raw profile'!U284&gt;0,2,0))</f>
        <v>1</v>
      </c>
      <c r="W294" s="20">
        <f>IF('Raw profile'!V181&gt;0,1,IF('Raw profile'!V284&gt;0,2,0))</f>
        <v>2</v>
      </c>
      <c r="X294" s="20">
        <f>IF('Raw profile'!W181&gt;0,1,IF('Raw profile'!W284&gt;0,2,0))</f>
        <v>2</v>
      </c>
      <c r="Y294" s="20">
        <f>IF('Raw profile'!X181&gt;0,1,IF('Raw profile'!X284&gt;0,2,0))</f>
        <v>2</v>
      </c>
      <c r="Z294" s="20">
        <f>IF('Raw profile'!Y181&gt;0,1,IF('Raw profile'!Y284&gt;0,2,0))</f>
        <v>2</v>
      </c>
      <c r="AA294" s="20">
        <f>IF('Raw profile'!Z181&gt;0,1,IF('Raw profile'!Z284&gt;0,2,0))</f>
        <v>2</v>
      </c>
      <c r="AB294" s="20">
        <f>IF('Raw profile'!AA181&gt;0,1,IF('Raw profile'!AA284&gt;0,2,0))</f>
        <v>2</v>
      </c>
      <c r="AC294" s="20">
        <f>IF('Raw profile'!AB181&gt;0,1,IF('Raw profile'!AB284&gt;0,2,0))</f>
        <v>2</v>
      </c>
      <c r="AD294" s="20">
        <f>IF('Raw profile'!AC181&gt;0,1,IF('Raw profile'!AC284&gt;0,2,0))</f>
        <v>2</v>
      </c>
      <c r="AE294" s="20">
        <f>IF('Raw profile'!AD181&gt;0,1,IF('Raw profile'!AD284&gt;0,2,0))</f>
        <v>2</v>
      </c>
      <c r="AF294" s="20">
        <f>IF('Raw profile'!AE181&gt;0,1,IF('Raw profile'!AE284&gt;0,2,0))</f>
        <v>2</v>
      </c>
      <c r="AG294" s="20">
        <f>IF('Raw profile'!AF181&gt;0,1,IF('Raw profile'!AF284&gt;0,2,0))</f>
        <v>2</v>
      </c>
      <c r="AH294" s="20">
        <f>IF('Raw profile'!AG181&gt;0,1,IF('Raw profile'!AG284&gt;0,2,0))</f>
        <v>2</v>
      </c>
      <c r="AI294" s="20">
        <f>IF('Raw profile'!AH181&gt;0,1,IF('Raw profile'!AH284&gt;0,2,0))</f>
        <v>2</v>
      </c>
      <c r="AJ294" s="20">
        <f>IF('Raw profile'!AI181&gt;0,1,IF('Raw profile'!AI284&gt;0,2,0))</f>
        <v>2</v>
      </c>
      <c r="AK294" s="20">
        <f>IF('Raw profile'!AJ181&gt;0,1,IF('Raw profile'!AJ284&gt;0,2,0))</f>
        <v>2</v>
      </c>
      <c r="AL294" s="20">
        <f>IF('Raw profile'!AK181&gt;0,1,IF('Raw profile'!AK284&gt;0,2,0))</f>
        <v>2</v>
      </c>
      <c r="AM294" s="20">
        <f>IF('Raw profile'!AL181&gt;0,1,IF('Raw profile'!AL284&gt;0,2,0))</f>
        <v>2</v>
      </c>
      <c r="AN294" s="20">
        <f>IF('Raw profile'!AM181&gt;0,1,IF('Raw profile'!AM284&gt;0,2,0))</f>
        <v>2</v>
      </c>
      <c r="AO294" s="20">
        <f>IF('Raw profile'!AN181&gt;0,1,IF('Raw profile'!AN284&gt;0,2,0))</f>
        <v>2</v>
      </c>
      <c r="AP294" s="20">
        <f>IF('Raw profile'!AO181&gt;0,1,IF('Raw profile'!AO284&gt;0,2,0))</f>
        <v>2</v>
      </c>
      <c r="AQ294" s="20">
        <f>IF('Raw profile'!AP181&gt;0,1,IF('Raw profile'!AP284&gt;0,2,0))</f>
        <v>2</v>
      </c>
      <c r="AR294" s="20">
        <f>IF('Raw profile'!AQ181&gt;0,1,IF('Raw profile'!AQ284&gt;0,2,0))</f>
        <v>2</v>
      </c>
      <c r="AS294" s="20">
        <f>IF('Raw profile'!AR181&gt;0,1,IF('Raw profile'!AR284&gt;0,2,0))</f>
        <v>2</v>
      </c>
      <c r="AT294" s="20">
        <f>IF('Raw profile'!AS181&gt;0,1,IF('Raw profile'!AS284&gt;0,2,0))</f>
        <v>2</v>
      </c>
      <c r="AU294" s="20">
        <f>IF('Raw profile'!AT181&gt;0,1,IF('Raw profile'!AT284&gt;0,2,0))</f>
        <v>2</v>
      </c>
      <c r="AV294" s="20">
        <f>IF('Raw profile'!AU181&gt;0,1,IF('Raw profile'!AU284&gt;0,2,0))</f>
        <v>2</v>
      </c>
      <c r="AW294" s="20">
        <f>IF('Raw profile'!AV181&gt;0,1,IF('Raw profile'!AV284&gt;0,2,0))</f>
        <v>2</v>
      </c>
      <c r="AX294" s="20">
        <f>IF('Raw profile'!AW181&gt;0,1,IF('Raw profile'!AW284&gt;0,2,0))</f>
        <v>2</v>
      </c>
      <c r="AY294" s="20">
        <f>IF('Raw profile'!AX181&gt;0,1,IF('Raw profile'!AX284&gt;0,2,0))</f>
        <v>2</v>
      </c>
      <c r="AZ294" s="20">
        <f>IF('Raw profile'!AY181&gt;0,1,IF('Raw profile'!AY284&gt;0,2,0))</f>
        <v>2</v>
      </c>
      <c r="BA294" s="20">
        <f>IF('Raw profile'!AZ181&gt;0,1,IF('Raw profile'!AZ284&gt;0,2,0))</f>
        <v>2</v>
      </c>
      <c r="BB294" s="20">
        <f>IF('Raw profile'!BA181&gt;0,1,IF('Raw profile'!BA284&gt;0,2,0))</f>
        <v>2</v>
      </c>
      <c r="BC294" s="20">
        <f>IF('Raw profile'!BB181&gt;0,1,IF('Raw profile'!BB284&gt;0,2,0))</f>
        <v>2</v>
      </c>
      <c r="BD294" s="20">
        <f>IF('Raw profile'!BC181&gt;0,1,IF('Raw profile'!BC284&gt;0,2,0))</f>
        <v>2</v>
      </c>
      <c r="BE294" s="20">
        <f>IF('Raw profile'!BD181&gt;0,1,IF('Raw profile'!BD284&gt;0,2,0))</f>
        <v>2</v>
      </c>
      <c r="BF294" s="20">
        <f>IF('Raw profile'!BE181&gt;0,1,IF('Raw profile'!BE284&gt;0,2,0))</f>
        <v>2</v>
      </c>
      <c r="BG294" s="20">
        <f>IF('Raw profile'!BF181&gt;0,1,IF('Raw profile'!BF284&gt;0,2,0))</f>
        <v>2</v>
      </c>
      <c r="BH294" s="20">
        <f>IF('Raw profile'!BG181&gt;0,1,IF('Raw profile'!BG284&gt;0,2,0))</f>
        <v>2</v>
      </c>
      <c r="BI294" s="20">
        <f>IF('Raw profile'!BH181&gt;0,1,IF('Raw profile'!BH284&gt;0,2,0))</f>
        <v>2</v>
      </c>
      <c r="BJ294" s="20">
        <f>IF('Raw profile'!BI181&gt;0,1,IF('Raw profile'!BI284&gt;0,2,0))</f>
        <v>2</v>
      </c>
      <c r="BK294" s="21">
        <f>IF('Raw profile'!BJ181&gt;0,1,IF('Raw profile'!BJ284&gt;0,2,0))</f>
        <v>0</v>
      </c>
    </row>
    <row r="295" spans="1:63" x14ac:dyDescent="0.3">
      <c r="B295" s="13" t="s">
        <v>4</v>
      </c>
      <c r="C295" s="19">
        <f>'Growth profile'!I73</f>
        <v>2034</v>
      </c>
      <c r="D295" s="20">
        <f>IF('Growth profile'!C181&gt;0,1,IF('Growth profile'!C284&gt;0,3,0))</f>
        <v>0</v>
      </c>
      <c r="E295" s="20">
        <f>IF('Growth profile'!D181&gt;0,1,IF('Growth profile'!D284&gt;0,3,0))</f>
        <v>0</v>
      </c>
      <c r="F295" s="20">
        <f>IF('Growth profile'!E181&gt;0,1,IF('Growth profile'!E284&gt;0,3,0))</f>
        <v>0</v>
      </c>
      <c r="G295" s="20">
        <f>IF('Growth profile'!F181&gt;0,1,IF('Growth profile'!F284&gt;0,3,0))</f>
        <v>0</v>
      </c>
      <c r="H295" s="20">
        <f>IF('Growth profile'!G181&gt;0,1,IF('Growth profile'!G284&gt;0,3,0))</f>
        <v>0</v>
      </c>
      <c r="I295" s="20">
        <f>IF('Growth profile'!H181&gt;0,1,IF('Growth profile'!H284&gt;0,3,0))</f>
        <v>0</v>
      </c>
      <c r="J295" s="20">
        <f>IF('Growth profile'!I181&gt;0,1,IF('Growth profile'!I284&gt;0,3,0))</f>
        <v>0</v>
      </c>
      <c r="K295" s="20">
        <f>IF('Growth profile'!J181&gt;0,1,IF('Growth profile'!J284&gt;0,3,0))</f>
        <v>0</v>
      </c>
      <c r="L295" s="20">
        <f>IF('Growth profile'!K181&gt;0,1,IF('Growth profile'!K284&gt;0,3,0))</f>
        <v>1</v>
      </c>
      <c r="M295" s="20">
        <f>IF('Growth profile'!L181&gt;0,1,IF('Growth profile'!L284&gt;0,3,0))</f>
        <v>1</v>
      </c>
      <c r="N295" s="20">
        <f>IF('Growth profile'!M181&gt;0,1,IF('Growth profile'!M284&gt;0,3,0))</f>
        <v>1</v>
      </c>
      <c r="O295" s="20">
        <f>IF('Growth profile'!N181&gt;0,1,IF('Growth profile'!N284&gt;0,3,0))</f>
        <v>3</v>
      </c>
      <c r="P295" s="20">
        <f>IF('Growth profile'!O181&gt;0,1,IF('Growth profile'!O284&gt;0,3,0))</f>
        <v>3</v>
      </c>
      <c r="Q295" s="20">
        <f>IF('Growth profile'!P181&gt;0,1,IF('Growth profile'!P284&gt;0,3,0))</f>
        <v>3</v>
      </c>
      <c r="R295" s="20">
        <f>IF('Growth profile'!Q181&gt;0,1,IF('Growth profile'!Q284&gt;0,3,0))</f>
        <v>3</v>
      </c>
      <c r="S295" s="20">
        <f>IF('Growth profile'!R181&gt;0,1,IF('Growth profile'!R284&gt;0,3,0))</f>
        <v>3</v>
      </c>
      <c r="T295" s="20">
        <f>IF('Growth profile'!S181&gt;0,1,IF('Growth profile'!S284&gt;0,3,0))</f>
        <v>3</v>
      </c>
      <c r="U295" s="20">
        <f>IF('Growth profile'!T181&gt;0,1,IF('Growth profile'!T284&gt;0,3,0))</f>
        <v>3</v>
      </c>
      <c r="V295" s="20">
        <f>IF('Growth profile'!U181&gt;0,1,IF('Growth profile'!U284&gt;0,3,0))</f>
        <v>3</v>
      </c>
      <c r="W295" s="20">
        <f>IF('Growth profile'!V181&gt;0,1,IF('Growth profile'!V284&gt;0,3,0))</f>
        <v>3</v>
      </c>
      <c r="X295" s="20">
        <f>IF('Growth profile'!W181&gt;0,1,IF('Growth profile'!W284&gt;0,3,0))</f>
        <v>3</v>
      </c>
      <c r="Y295" s="20">
        <f>IF('Growth profile'!X181&gt;0,1,IF('Growth profile'!X284&gt;0,3,0))</f>
        <v>3</v>
      </c>
      <c r="Z295" s="20">
        <f>IF('Growth profile'!Y181&gt;0,1,IF('Growth profile'!Y284&gt;0,3,0))</f>
        <v>3</v>
      </c>
      <c r="AA295" s="20">
        <f>IF('Growth profile'!Z181&gt;0,1,IF('Growth profile'!Z284&gt;0,3,0))</f>
        <v>3</v>
      </c>
      <c r="AB295" s="20">
        <f>IF('Growth profile'!AA181&gt;0,1,IF('Growth profile'!AA284&gt;0,3,0))</f>
        <v>3</v>
      </c>
      <c r="AC295" s="20">
        <f>IF('Growth profile'!AB181&gt;0,1,IF('Growth profile'!AB284&gt;0,3,0))</f>
        <v>3</v>
      </c>
      <c r="AD295" s="20">
        <f>IF('Growth profile'!AC181&gt;0,1,IF('Growth profile'!AC284&gt;0,3,0))</f>
        <v>3</v>
      </c>
      <c r="AE295" s="20">
        <f>IF('Growth profile'!AD181&gt;0,1,IF('Growth profile'!AD284&gt;0,3,0))</f>
        <v>3</v>
      </c>
      <c r="AF295" s="20">
        <f>IF('Growth profile'!AE181&gt;0,1,IF('Growth profile'!AE284&gt;0,3,0))</f>
        <v>3</v>
      </c>
      <c r="AG295" s="20">
        <f>IF('Growth profile'!AF181&gt;0,1,IF('Growth profile'!AF284&gt;0,3,0))</f>
        <v>3</v>
      </c>
      <c r="AH295" s="20">
        <f>IF('Growth profile'!AG181&gt;0,1,IF('Growth profile'!AG284&gt;0,3,0))</f>
        <v>3</v>
      </c>
      <c r="AI295" s="20">
        <f>IF('Growth profile'!AH181&gt;0,1,IF('Growth profile'!AH284&gt;0,3,0))</f>
        <v>3</v>
      </c>
      <c r="AJ295" s="20">
        <f>IF('Growth profile'!AI181&gt;0,1,IF('Growth profile'!AI284&gt;0,3,0))</f>
        <v>3</v>
      </c>
      <c r="AK295" s="20">
        <f>IF('Growth profile'!AJ181&gt;0,1,IF('Growth profile'!AJ284&gt;0,3,0))</f>
        <v>3</v>
      </c>
      <c r="AL295" s="20">
        <f>IF('Growth profile'!AK181&gt;0,1,IF('Growth profile'!AK284&gt;0,3,0))</f>
        <v>3</v>
      </c>
      <c r="AM295" s="20">
        <f>IF('Growth profile'!AL181&gt;0,1,IF('Growth profile'!AL284&gt;0,3,0))</f>
        <v>3</v>
      </c>
      <c r="AN295" s="20">
        <f>IF('Growth profile'!AM181&gt;0,1,IF('Growth profile'!AM284&gt;0,3,0))</f>
        <v>3</v>
      </c>
      <c r="AO295" s="20">
        <f>IF('Growth profile'!AN181&gt;0,1,IF('Growth profile'!AN284&gt;0,3,0))</f>
        <v>3</v>
      </c>
      <c r="AP295" s="20">
        <f>IF('Growth profile'!AO181&gt;0,1,IF('Growth profile'!AO284&gt;0,3,0))</f>
        <v>3</v>
      </c>
      <c r="AQ295" s="20">
        <f>IF('Growth profile'!AP181&gt;0,1,IF('Growth profile'!AP284&gt;0,3,0))</f>
        <v>3</v>
      </c>
      <c r="AR295" s="20">
        <f>IF('Growth profile'!AQ181&gt;0,1,IF('Growth profile'!AQ284&gt;0,3,0))</f>
        <v>3</v>
      </c>
      <c r="AS295" s="20">
        <f>IF('Growth profile'!AR181&gt;0,1,IF('Growth profile'!AR284&gt;0,3,0))</f>
        <v>3</v>
      </c>
      <c r="AT295" s="20">
        <f>IF('Growth profile'!AS181&gt;0,1,IF('Growth profile'!AS284&gt;0,3,0))</f>
        <v>3</v>
      </c>
      <c r="AU295" s="20">
        <f>IF('Growth profile'!AT181&gt;0,1,IF('Growth profile'!AT284&gt;0,3,0))</f>
        <v>3</v>
      </c>
      <c r="AV295" s="20">
        <f>IF('Growth profile'!AU181&gt;0,1,IF('Growth profile'!AU284&gt;0,3,0))</f>
        <v>3</v>
      </c>
      <c r="AW295" s="20">
        <f>IF('Growth profile'!AV181&gt;0,1,IF('Growth profile'!AV284&gt;0,3,0))</f>
        <v>3</v>
      </c>
      <c r="AX295" s="20">
        <f>IF('Growth profile'!AW181&gt;0,1,IF('Growth profile'!AW284&gt;0,3,0))</f>
        <v>3</v>
      </c>
      <c r="AY295" s="20">
        <f>IF('Growth profile'!AX181&gt;0,1,IF('Growth profile'!AX284&gt;0,3,0))</f>
        <v>3</v>
      </c>
      <c r="AZ295" s="20">
        <f>IF('Growth profile'!AY181&gt;0,1,IF('Growth profile'!AY284&gt;0,3,0))</f>
        <v>3</v>
      </c>
      <c r="BA295" s="20">
        <f>IF('Growth profile'!AZ181&gt;0,1,IF('Growth profile'!AZ284&gt;0,3,0))</f>
        <v>3</v>
      </c>
      <c r="BB295" s="20">
        <f>IF('Growth profile'!BA181&gt;0,1,IF('Growth profile'!BA284&gt;0,3,0))</f>
        <v>3</v>
      </c>
      <c r="BC295" s="20">
        <f>IF('Growth profile'!BB181&gt;0,1,IF('Growth profile'!BB284&gt;0,3,0))</f>
        <v>0</v>
      </c>
      <c r="BD295" s="20">
        <f>IF('Growth profile'!BC181&gt;0,1,IF('Growth profile'!BC284&gt;0,3,0))</f>
        <v>0</v>
      </c>
      <c r="BE295" s="20">
        <f>IF('Growth profile'!BD181&gt;0,1,IF('Growth profile'!BD284&gt;0,3,0))</f>
        <v>0</v>
      </c>
      <c r="BF295" s="20">
        <f>IF('Growth profile'!BE181&gt;0,1,IF('Growth profile'!BE284&gt;0,3,0))</f>
        <v>0</v>
      </c>
      <c r="BG295" s="20">
        <f>IF('Growth profile'!BF181&gt;0,1,IF('Growth profile'!BF284&gt;0,3,0))</f>
        <v>0</v>
      </c>
      <c r="BH295" s="20">
        <f>IF('Growth profile'!BG181&gt;0,1,IF('Growth profile'!BG284&gt;0,3,0))</f>
        <v>0</v>
      </c>
      <c r="BI295" s="20">
        <f>IF('Growth profile'!BH181&gt;0,1,IF('Growth profile'!BH284&gt;0,3,0))</f>
        <v>0</v>
      </c>
      <c r="BJ295" s="20">
        <f>IF('Growth profile'!BI181&gt;0,1,IF('Growth profile'!BI284&gt;0,3,0))</f>
        <v>0</v>
      </c>
      <c r="BK295" s="21">
        <f>IF('Growth profile'!BJ181&gt;0,1,IF('Growth profile'!BJ284&gt;0,3,0))</f>
        <v>0</v>
      </c>
    </row>
    <row r="296" spans="1:63" x14ac:dyDescent="0.3">
      <c r="B296" s="13" t="s">
        <v>59</v>
      </c>
      <c r="C296" s="19">
        <f>'Growth (no penalty)'!I73</f>
        <v>2043</v>
      </c>
      <c r="D296" s="22">
        <f>IF('Growth (no penalty)'!C181&gt;0,1,IF('Growth (no penalty)'!C284&gt;0,4,0))</f>
        <v>0</v>
      </c>
      <c r="E296" s="22">
        <f>IF('Growth (no penalty)'!D181&gt;0,1,IF('Growth (no penalty)'!D284&gt;0,4,0))</f>
        <v>0</v>
      </c>
      <c r="F296" s="22">
        <f>IF('Growth (no penalty)'!E181&gt;0,1,IF('Growth (no penalty)'!E284&gt;0,4,0))</f>
        <v>0</v>
      </c>
      <c r="G296" s="22">
        <f>IF('Growth (no penalty)'!F181&gt;0,1,IF('Growth (no penalty)'!F284&gt;0,4,0))</f>
        <v>0</v>
      </c>
      <c r="H296" s="22">
        <f>IF('Growth (no penalty)'!G181&gt;0,1,IF('Growth (no penalty)'!G284&gt;0,4,0))</f>
        <v>0</v>
      </c>
      <c r="I296" s="22">
        <f>IF('Growth (no penalty)'!H181&gt;0,1,IF('Growth (no penalty)'!H284&gt;0,4,0))</f>
        <v>0</v>
      </c>
      <c r="J296" s="22">
        <f>IF('Growth (no penalty)'!I181&gt;0,1,IF('Growth (no penalty)'!I284&gt;0,4,0))</f>
        <v>0</v>
      </c>
      <c r="K296" s="22">
        <f>IF('Growth (no penalty)'!J181&gt;0,1,IF('Growth (no penalty)'!J284&gt;0,4,0))</f>
        <v>0</v>
      </c>
      <c r="L296" s="22">
        <f>IF('Growth (no penalty)'!K181&gt;0,1,IF('Growth (no penalty)'!K284&gt;0,4,0))</f>
        <v>0</v>
      </c>
      <c r="M296" s="22">
        <f>IF('Growth (no penalty)'!L181&gt;0,1,IF('Growth (no penalty)'!L284&gt;0,4,0))</f>
        <v>0</v>
      </c>
      <c r="N296" s="22">
        <f>IF('Growth (no penalty)'!M181&gt;0,1,IF('Growth (no penalty)'!M284&gt;0,4,0))</f>
        <v>0</v>
      </c>
      <c r="O296" s="22">
        <f>IF('Growth (no penalty)'!N181&gt;0,1,IF('Growth (no penalty)'!N284&gt;0,4,0))</f>
        <v>0</v>
      </c>
      <c r="P296" s="22">
        <f>IF('Growth (no penalty)'!O181&gt;0,1,IF('Growth (no penalty)'!O284&gt;0,4,0))</f>
        <v>0</v>
      </c>
      <c r="Q296" s="22">
        <f>IF('Growth (no penalty)'!P181&gt;0,1,IF('Growth (no penalty)'!P284&gt;0,4,0))</f>
        <v>0</v>
      </c>
      <c r="R296" s="22">
        <f>IF('Growth (no penalty)'!Q181&gt;0,1,IF('Growth (no penalty)'!Q284&gt;0,4,0))</f>
        <v>0</v>
      </c>
      <c r="S296" s="22">
        <f>IF('Growth (no penalty)'!R181&gt;0,1,IF('Growth (no penalty)'!R284&gt;0,4,0))</f>
        <v>0</v>
      </c>
      <c r="T296" s="22">
        <f>IF('Growth (no penalty)'!S181&gt;0,1,IF('Growth (no penalty)'!S284&gt;0,4,0))</f>
        <v>0</v>
      </c>
      <c r="U296" s="22">
        <f>IF('Growth (no penalty)'!T181&gt;0,1,IF('Growth (no penalty)'!T284&gt;0,4,0))</f>
        <v>1</v>
      </c>
      <c r="V296" s="22">
        <f>IF('Growth (no penalty)'!U181&gt;0,1,IF('Growth (no penalty)'!U284&gt;0,4,0))</f>
        <v>1</v>
      </c>
      <c r="W296" s="22">
        <f>IF('Growth (no penalty)'!V181&gt;0,1,IF('Growth (no penalty)'!V284&gt;0,4,0))</f>
        <v>1</v>
      </c>
      <c r="X296" s="22">
        <f>IF('Growth (no penalty)'!W181&gt;0,1,IF('Growth (no penalty)'!W284&gt;0,4,0))</f>
        <v>4</v>
      </c>
      <c r="Y296" s="22">
        <f>IF('Growth (no penalty)'!X181&gt;0,1,IF('Growth (no penalty)'!X284&gt;0,4,0))</f>
        <v>4</v>
      </c>
      <c r="Z296" s="22">
        <f>IF('Growth (no penalty)'!Y181&gt;0,1,IF('Growth (no penalty)'!Y284&gt;0,4,0))</f>
        <v>4</v>
      </c>
      <c r="AA296" s="22">
        <f>IF('Growth (no penalty)'!Z181&gt;0,1,IF('Growth (no penalty)'!Z284&gt;0,4,0))</f>
        <v>4</v>
      </c>
      <c r="AB296" s="22">
        <f>IF('Growth (no penalty)'!AA181&gt;0,1,IF('Growth (no penalty)'!AA284&gt;0,4,0))</f>
        <v>4</v>
      </c>
      <c r="AC296" s="22">
        <f>IF('Growth (no penalty)'!AB181&gt;0,1,IF('Growth (no penalty)'!AB284&gt;0,4,0))</f>
        <v>4</v>
      </c>
      <c r="AD296" s="22">
        <f>IF('Growth (no penalty)'!AC181&gt;0,1,IF('Growth (no penalty)'!AC284&gt;0,4,0))</f>
        <v>4</v>
      </c>
      <c r="AE296" s="22">
        <f>IF('Growth (no penalty)'!AD181&gt;0,1,IF('Growth (no penalty)'!AD284&gt;0,4,0))</f>
        <v>4</v>
      </c>
      <c r="AF296" s="22">
        <f>IF('Growth (no penalty)'!AE181&gt;0,1,IF('Growth (no penalty)'!AE284&gt;0,4,0))</f>
        <v>4</v>
      </c>
      <c r="AG296" s="22">
        <f>IF('Growth (no penalty)'!AF181&gt;0,1,IF('Growth (no penalty)'!AF284&gt;0,4,0))</f>
        <v>4</v>
      </c>
      <c r="AH296" s="22">
        <f>IF('Growth (no penalty)'!AG181&gt;0,1,IF('Growth (no penalty)'!AG284&gt;0,4,0))</f>
        <v>4</v>
      </c>
      <c r="AI296" s="22">
        <f>IF('Growth (no penalty)'!AH181&gt;0,1,IF('Growth (no penalty)'!AH284&gt;0,4,0))</f>
        <v>4</v>
      </c>
      <c r="AJ296" s="22">
        <f>IF('Growth (no penalty)'!AI181&gt;0,1,IF('Growth (no penalty)'!AI284&gt;0,4,0))</f>
        <v>4</v>
      </c>
      <c r="AK296" s="22">
        <f>IF('Growth (no penalty)'!AJ181&gt;0,1,IF('Growth (no penalty)'!AJ284&gt;0,4,0))</f>
        <v>4</v>
      </c>
      <c r="AL296" s="22">
        <f>IF('Growth (no penalty)'!AK181&gt;0,1,IF('Growth (no penalty)'!AK284&gt;0,4,0))</f>
        <v>4</v>
      </c>
      <c r="AM296" s="22">
        <f>IF('Growth (no penalty)'!AL181&gt;0,1,IF('Growth (no penalty)'!AL284&gt;0,4,0))</f>
        <v>4</v>
      </c>
      <c r="AN296" s="22">
        <f>IF('Growth (no penalty)'!AM181&gt;0,1,IF('Growth (no penalty)'!AM284&gt;0,4,0))</f>
        <v>4</v>
      </c>
      <c r="AO296" s="22">
        <f>IF('Growth (no penalty)'!AN181&gt;0,1,IF('Growth (no penalty)'!AN284&gt;0,4,0))</f>
        <v>4</v>
      </c>
      <c r="AP296" s="22">
        <f>IF('Growth (no penalty)'!AO181&gt;0,1,IF('Growth (no penalty)'!AO284&gt;0,4,0))</f>
        <v>4</v>
      </c>
      <c r="AQ296" s="22">
        <f>IF('Growth (no penalty)'!AP181&gt;0,1,IF('Growth (no penalty)'!AP284&gt;0,4,0))</f>
        <v>4</v>
      </c>
      <c r="AR296" s="22">
        <f>IF('Growth (no penalty)'!AQ181&gt;0,1,IF('Growth (no penalty)'!AQ284&gt;0,4,0))</f>
        <v>4</v>
      </c>
      <c r="AS296" s="22">
        <f>IF('Growth (no penalty)'!AR181&gt;0,1,IF('Growth (no penalty)'!AR284&gt;0,4,0))</f>
        <v>4</v>
      </c>
      <c r="AT296" s="22">
        <f>IF('Growth (no penalty)'!AS181&gt;0,1,IF('Growth (no penalty)'!AS284&gt;0,4,0))</f>
        <v>4</v>
      </c>
      <c r="AU296" s="22">
        <f>IF('Growth (no penalty)'!AT181&gt;0,1,IF('Growth (no penalty)'!AT284&gt;0,4,0))</f>
        <v>4</v>
      </c>
      <c r="AV296" s="22">
        <f>IF('Growth (no penalty)'!AU181&gt;0,1,IF('Growth (no penalty)'!AU284&gt;0,4,0))</f>
        <v>4</v>
      </c>
      <c r="AW296" s="22">
        <f>IF('Growth (no penalty)'!AV181&gt;0,1,IF('Growth (no penalty)'!AV284&gt;0,4,0))</f>
        <v>4</v>
      </c>
      <c r="AX296" s="22">
        <f>IF('Growth (no penalty)'!AW181&gt;0,1,IF('Growth (no penalty)'!AW284&gt;0,4,0))</f>
        <v>4</v>
      </c>
      <c r="AY296" s="22">
        <f>IF('Growth (no penalty)'!AX181&gt;0,1,IF('Growth (no penalty)'!AX284&gt;0,4,0))</f>
        <v>4</v>
      </c>
      <c r="AZ296" s="22">
        <f>IF('Growth (no penalty)'!AY181&gt;0,1,IF('Growth (no penalty)'!AY284&gt;0,4,0))</f>
        <v>4</v>
      </c>
      <c r="BA296" s="22">
        <f>IF('Growth (no penalty)'!AZ181&gt;0,1,IF('Growth (no penalty)'!AZ284&gt;0,4,0))</f>
        <v>4</v>
      </c>
      <c r="BB296" s="22">
        <f>IF('Growth (no penalty)'!BA181&gt;0,1,IF('Growth (no penalty)'!BA284&gt;0,4,0))</f>
        <v>4</v>
      </c>
      <c r="BC296" s="22">
        <f>IF('Growth (no penalty)'!BB181&gt;0,1,IF('Growth (no penalty)'!BB284&gt;0,4,0))</f>
        <v>4</v>
      </c>
      <c r="BD296" s="22">
        <f>IF('Growth (no penalty)'!BC181&gt;0,1,IF('Growth (no penalty)'!BC284&gt;0,4,0))</f>
        <v>4</v>
      </c>
      <c r="BE296" s="22">
        <f>IF('Growth (no penalty)'!BD181&gt;0,1,IF('Growth (no penalty)'!BD284&gt;0,4,0))</f>
        <v>4</v>
      </c>
      <c r="BF296" s="22">
        <f>IF('Growth (no penalty)'!BE181&gt;0,1,IF('Growth (no penalty)'!BE284&gt;0,4,0))</f>
        <v>4</v>
      </c>
      <c r="BG296" s="22">
        <f>IF('Growth (no penalty)'!BF181&gt;0,1,IF('Growth (no penalty)'!BF284&gt;0,4,0))</f>
        <v>4</v>
      </c>
      <c r="BH296" s="22">
        <f>IF('Growth (no penalty)'!BG181&gt;0,1,IF('Growth (no penalty)'!BG284&gt;0,4,0))</f>
        <v>4</v>
      </c>
      <c r="BI296" s="22">
        <f>IF('Growth (no penalty)'!BH181&gt;0,1,IF('Growth (no penalty)'!BH284&gt;0,4,0))</f>
        <v>4</v>
      </c>
      <c r="BJ296" s="22">
        <f>IF('Growth (no penalty)'!BI181&gt;0,1,IF('Growth (no penalty)'!BI284&gt;0,4,0))</f>
        <v>4</v>
      </c>
      <c r="BK296" s="23">
        <f>IF('Growth (no penalty)'!BJ181&gt;0,1,IF('Growth (no penalty)'!BJ284&gt;0,4,0))</f>
        <v>4</v>
      </c>
    </row>
    <row r="297" spans="1:63" x14ac:dyDescent="0.3">
      <c r="A297" s="4" t="str">
        <f>'Growth profile'!A116</f>
        <v>project 192</v>
      </c>
      <c r="B297" s="13" t="s">
        <v>3</v>
      </c>
      <c r="C297" s="19">
        <f>'Raw profile'!I116</f>
        <v>2042</v>
      </c>
      <c r="D297" s="20">
        <f>IF('Raw profile'!C224&gt;0,1,IF('Raw profile'!C327&gt;0,2,0))</f>
        <v>0</v>
      </c>
      <c r="E297" s="20">
        <f>IF('Raw profile'!D224&gt;0,1,IF('Raw profile'!D327&gt;0,2,0))</f>
        <v>0</v>
      </c>
      <c r="F297" s="20">
        <f>IF('Raw profile'!E224&gt;0,1,IF('Raw profile'!E327&gt;0,2,0))</f>
        <v>0</v>
      </c>
      <c r="G297" s="20">
        <f>IF('Raw profile'!F224&gt;0,1,IF('Raw profile'!F327&gt;0,2,0))</f>
        <v>0</v>
      </c>
      <c r="H297" s="20">
        <f>IF('Raw profile'!G224&gt;0,1,IF('Raw profile'!G327&gt;0,2,0))</f>
        <v>0</v>
      </c>
      <c r="I297" s="20">
        <f>IF('Raw profile'!H224&gt;0,1,IF('Raw profile'!H327&gt;0,2,0))</f>
        <v>0</v>
      </c>
      <c r="J297" s="20">
        <f>IF('Raw profile'!I224&gt;0,1,IF('Raw profile'!I327&gt;0,2,0))</f>
        <v>0</v>
      </c>
      <c r="K297" s="20">
        <f>IF('Raw profile'!J224&gt;0,1,IF('Raw profile'!J327&gt;0,2,0))</f>
        <v>0</v>
      </c>
      <c r="L297" s="20">
        <f>IF('Raw profile'!K224&gt;0,1,IF('Raw profile'!K327&gt;0,2,0))</f>
        <v>0</v>
      </c>
      <c r="M297" s="20">
        <f>IF('Raw profile'!L224&gt;0,1,IF('Raw profile'!L327&gt;0,2,0))</f>
        <v>0</v>
      </c>
      <c r="N297" s="20">
        <f>IF('Raw profile'!M224&gt;0,1,IF('Raw profile'!M327&gt;0,2,0))</f>
        <v>0</v>
      </c>
      <c r="O297" s="20">
        <f>IF('Raw profile'!N224&gt;0,1,IF('Raw profile'!N327&gt;0,2,0))</f>
        <v>0</v>
      </c>
      <c r="P297" s="20">
        <f>IF('Raw profile'!O224&gt;0,1,IF('Raw profile'!O327&gt;0,2,0))</f>
        <v>0</v>
      </c>
      <c r="Q297" s="20">
        <f>IF('Raw profile'!P224&gt;0,1,IF('Raw profile'!P327&gt;0,2,0))</f>
        <v>0</v>
      </c>
      <c r="R297" s="20">
        <f>IF('Raw profile'!Q224&gt;0,1,IF('Raw profile'!Q327&gt;0,2,0))</f>
        <v>0</v>
      </c>
      <c r="S297" s="20">
        <f>IF('Raw profile'!R224&gt;0,1,IF('Raw profile'!R327&gt;0,2,0))</f>
        <v>0</v>
      </c>
      <c r="T297" s="20">
        <f>IF('Raw profile'!S224&gt;0,1,IF('Raw profile'!S327&gt;0,2,0))</f>
        <v>1</v>
      </c>
      <c r="U297" s="20">
        <f>IF('Raw profile'!T224&gt;0,1,IF('Raw profile'!T327&gt;0,2,0))</f>
        <v>1</v>
      </c>
      <c r="V297" s="20">
        <f>IF('Raw profile'!U224&gt;0,1,IF('Raw profile'!U327&gt;0,2,0))</f>
        <v>2</v>
      </c>
      <c r="W297" s="20">
        <f>IF('Raw profile'!V224&gt;0,1,IF('Raw profile'!V327&gt;0,2,0))</f>
        <v>2</v>
      </c>
      <c r="X297" s="20">
        <f>IF('Raw profile'!W224&gt;0,1,IF('Raw profile'!W327&gt;0,2,0))</f>
        <v>2</v>
      </c>
      <c r="Y297" s="20">
        <f>IF('Raw profile'!X224&gt;0,1,IF('Raw profile'!X327&gt;0,2,0))</f>
        <v>2</v>
      </c>
      <c r="Z297" s="20">
        <f>IF('Raw profile'!Y224&gt;0,1,IF('Raw profile'!Y327&gt;0,2,0))</f>
        <v>2</v>
      </c>
      <c r="AA297" s="20">
        <f>IF('Raw profile'!Z224&gt;0,1,IF('Raw profile'!Z327&gt;0,2,0))</f>
        <v>2</v>
      </c>
      <c r="AB297" s="20">
        <f>IF('Raw profile'!AA224&gt;0,1,IF('Raw profile'!AA327&gt;0,2,0))</f>
        <v>2</v>
      </c>
      <c r="AC297" s="20">
        <f>IF('Raw profile'!AB224&gt;0,1,IF('Raw profile'!AB327&gt;0,2,0))</f>
        <v>2</v>
      </c>
      <c r="AD297" s="20">
        <f>IF('Raw profile'!AC224&gt;0,1,IF('Raw profile'!AC327&gt;0,2,0))</f>
        <v>2</v>
      </c>
      <c r="AE297" s="20">
        <f>IF('Raw profile'!AD224&gt;0,1,IF('Raw profile'!AD327&gt;0,2,0))</f>
        <v>2</v>
      </c>
      <c r="AF297" s="20">
        <f>IF('Raw profile'!AE224&gt;0,1,IF('Raw profile'!AE327&gt;0,2,0))</f>
        <v>2</v>
      </c>
      <c r="AG297" s="20">
        <f>IF('Raw profile'!AF224&gt;0,1,IF('Raw profile'!AF327&gt;0,2,0))</f>
        <v>2</v>
      </c>
      <c r="AH297" s="20">
        <f>IF('Raw profile'!AG224&gt;0,1,IF('Raw profile'!AG327&gt;0,2,0))</f>
        <v>2</v>
      </c>
      <c r="AI297" s="20">
        <f>IF('Raw profile'!AH224&gt;0,1,IF('Raw profile'!AH327&gt;0,2,0))</f>
        <v>2</v>
      </c>
      <c r="AJ297" s="20">
        <f>IF('Raw profile'!AI224&gt;0,1,IF('Raw profile'!AI327&gt;0,2,0))</f>
        <v>2</v>
      </c>
      <c r="AK297" s="20">
        <f>IF('Raw profile'!AJ224&gt;0,1,IF('Raw profile'!AJ327&gt;0,2,0))</f>
        <v>2</v>
      </c>
      <c r="AL297" s="20">
        <f>IF('Raw profile'!AK224&gt;0,1,IF('Raw profile'!AK327&gt;0,2,0))</f>
        <v>2</v>
      </c>
      <c r="AM297" s="20">
        <f>IF('Raw profile'!AL224&gt;0,1,IF('Raw profile'!AL327&gt;0,2,0))</f>
        <v>2</v>
      </c>
      <c r="AN297" s="20">
        <f>IF('Raw profile'!AM224&gt;0,1,IF('Raw profile'!AM327&gt;0,2,0))</f>
        <v>2</v>
      </c>
      <c r="AO297" s="20">
        <f>IF('Raw profile'!AN224&gt;0,1,IF('Raw profile'!AN327&gt;0,2,0))</f>
        <v>2</v>
      </c>
      <c r="AP297" s="20">
        <f>IF('Raw profile'!AO224&gt;0,1,IF('Raw profile'!AO327&gt;0,2,0))</f>
        <v>2</v>
      </c>
      <c r="AQ297" s="20">
        <f>IF('Raw profile'!AP224&gt;0,1,IF('Raw profile'!AP327&gt;0,2,0))</f>
        <v>2</v>
      </c>
      <c r="AR297" s="20">
        <f>IF('Raw profile'!AQ224&gt;0,1,IF('Raw profile'!AQ327&gt;0,2,0))</f>
        <v>2</v>
      </c>
      <c r="AS297" s="20">
        <f>IF('Raw profile'!AR224&gt;0,1,IF('Raw profile'!AR327&gt;0,2,0))</f>
        <v>2</v>
      </c>
      <c r="AT297" s="20">
        <f>IF('Raw profile'!AS224&gt;0,1,IF('Raw profile'!AS327&gt;0,2,0))</f>
        <v>2</v>
      </c>
      <c r="AU297" s="20">
        <f>IF('Raw profile'!AT224&gt;0,1,IF('Raw profile'!AT327&gt;0,2,0))</f>
        <v>2</v>
      </c>
      <c r="AV297" s="20">
        <f>IF('Raw profile'!AU224&gt;0,1,IF('Raw profile'!AU327&gt;0,2,0))</f>
        <v>2</v>
      </c>
      <c r="AW297" s="20">
        <f>IF('Raw profile'!AV224&gt;0,1,IF('Raw profile'!AV327&gt;0,2,0))</f>
        <v>2</v>
      </c>
      <c r="AX297" s="20">
        <f>IF('Raw profile'!AW224&gt;0,1,IF('Raw profile'!AW327&gt;0,2,0))</f>
        <v>2</v>
      </c>
      <c r="AY297" s="20">
        <f>IF('Raw profile'!AX224&gt;0,1,IF('Raw profile'!AX327&gt;0,2,0))</f>
        <v>2</v>
      </c>
      <c r="AZ297" s="20">
        <f>IF('Raw profile'!AY224&gt;0,1,IF('Raw profile'!AY327&gt;0,2,0))</f>
        <v>2</v>
      </c>
      <c r="BA297" s="20">
        <f>IF('Raw profile'!AZ224&gt;0,1,IF('Raw profile'!AZ327&gt;0,2,0))</f>
        <v>2</v>
      </c>
      <c r="BB297" s="20">
        <f>IF('Raw profile'!BA224&gt;0,1,IF('Raw profile'!BA327&gt;0,2,0))</f>
        <v>2</v>
      </c>
      <c r="BC297" s="20">
        <f>IF('Raw profile'!BB224&gt;0,1,IF('Raw profile'!BB327&gt;0,2,0))</f>
        <v>2</v>
      </c>
      <c r="BD297" s="20">
        <f>IF('Raw profile'!BC224&gt;0,1,IF('Raw profile'!BC327&gt;0,2,0))</f>
        <v>2</v>
      </c>
      <c r="BE297" s="20">
        <f>IF('Raw profile'!BD224&gt;0,1,IF('Raw profile'!BD327&gt;0,2,0))</f>
        <v>2</v>
      </c>
      <c r="BF297" s="20">
        <f>IF('Raw profile'!BE224&gt;0,1,IF('Raw profile'!BE327&gt;0,2,0))</f>
        <v>2</v>
      </c>
      <c r="BG297" s="20">
        <f>IF('Raw profile'!BF224&gt;0,1,IF('Raw profile'!BF327&gt;0,2,0))</f>
        <v>2</v>
      </c>
      <c r="BH297" s="20">
        <f>IF('Raw profile'!BG224&gt;0,1,IF('Raw profile'!BG327&gt;0,2,0))</f>
        <v>2</v>
      </c>
      <c r="BI297" s="20">
        <f>IF('Raw profile'!BH224&gt;0,1,IF('Raw profile'!BH327&gt;0,2,0))</f>
        <v>2</v>
      </c>
      <c r="BJ297" s="20">
        <f>IF('Raw profile'!BI224&gt;0,1,IF('Raw profile'!BI327&gt;0,2,0))</f>
        <v>0</v>
      </c>
      <c r="BK297" s="21">
        <f>IF('Raw profile'!BJ224&gt;0,1,IF('Raw profile'!BJ327&gt;0,2,0))</f>
        <v>0</v>
      </c>
    </row>
    <row r="298" spans="1:63" x14ac:dyDescent="0.3">
      <c r="B298" s="13" t="s">
        <v>4</v>
      </c>
      <c r="C298" s="19">
        <f>'Growth profile'!I116</f>
        <v>2035</v>
      </c>
      <c r="D298" s="20">
        <f>IF('Growth profile'!C224&gt;0,1,IF('Growth profile'!C327&gt;0,3,0))</f>
        <v>0</v>
      </c>
      <c r="E298" s="20">
        <f>IF('Growth profile'!D224&gt;0,1,IF('Growth profile'!D327&gt;0,3,0))</f>
        <v>0</v>
      </c>
      <c r="F298" s="20">
        <f>IF('Growth profile'!E224&gt;0,1,IF('Growth profile'!E327&gt;0,3,0))</f>
        <v>0</v>
      </c>
      <c r="G298" s="20">
        <f>IF('Growth profile'!F224&gt;0,1,IF('Growth profile'!F327&gt;0,3,0))</f>
        <v>0</v>
      </c>
      <c r="H298" s="20">
        <f>IF('Growth profile'!G224&gt;0,1,IF('Growth profile'!G327&gt;0,3,0))</f>
        <v>0</v>
      </c>
      <c r="I298" s="20">
        <f>IF('Growth profile'!H224&gt;0,1,IF('Growth profile'!H327&gt;0,3,0))</f>
        <v>0</v>
      </c>
      <c r="J298" s="20">
        <f>IF('Growth profile'!I224&gt;0,1,IF('Growth profile'!I327&gt;0,3,0))</f>
        <v>0</v>
      </c>
      <c r="K298" s="20">
        <f>IF('Growth profile'!J224&gt;0,1,IF('Growth profile'!J327&gt;0,3,0))</f>
        <v>0</v>
      </c>
      <c r="L298" s="20">
        <f>IF('Growth profile'!K224&gt;0,1,IF('Growth profile'!K327&gt;0,3,0))</f>
        <v>0</v>
      </c>
      <c r="M298" s="20">
        <f>IF('Growth profile'!L224&gt;0,1,IF('Growth profile'!L327&gt;0,3,0))</f>
        <v>1</v>
      </c>
      <c r="N298" s="20">
        <f>IF('Growth profile'!M224&gt;0,1,IF('Growth profile'!M327&gt;0,3,0))</f>
        <v>1</v>
      </c>
      <c r="O298" s="20">
        <f>IF('Growth profile'!N224&gt;0,1,IF('Growth profile'!N327&gt;0,3,0))</f>
        <v>3</v>
      </c>
      <c r="P298" s="20">
        <f>IF('Growth profile'!O224&gt;0,1,IF('Growth profile'!O327&gt;0,3,0))</f>
        <v>3</v>
      </c>
      <c r="Q298" s="20">
        <f>IF('Growth profile'!P224&gt;0,1,IF('Growth profile'!P327&gt;0,3,0))</f>
        <v>3</v>
      </c>
      <c r="R298" s="20">
        <f>IF('Growth profile'!Q224&gt;0,1,IF('Growth profile'!Q327&gt;0,3,0))</f>
        <v>3</v>
      </c>
      <c r="S298" s="20">
        <f>IF('Growth profile'!R224&gt;0,1,IF('Growth profile'!R327&gt;0,3,0))</f>
        <v>3</v>
      </c>
      <c r="T298" s="20">
        <f>IF('Growth profile'!S224&gt;0,1,IF('Growth profile'!S327&gt;0,3,0))</f>
        <v>3</v>
      </c>
      <c r="U298" s="20">
        <f>IF('Growth profile'!T224&gt;0,1,IF('Growth profile'!T327&gt;0,3,0))</f>
        <v>3</v>
      </c>
      <c r="V298" s="20">
        <f>IF('Growth profile'!U224&gt;0,1,IF('Growth profile'!U327&gt;0,3,0))</f>
        <v>3</v>
      </c>
      <c r="W298" s="20">
        <f>IF('Growth profile'!V224&gt;0,1,IF('Growth profile'!V327&gt;0,3,0))</f>
        <v>3</v>
      </c>
      <c r="X298" s="20">
        <f>IF('Growth profile'!W224&gt;0,1,IF('Growth profile'!W327&gt;0,3,0))</f>
        <v>3</v>
      </c>
      <c r="Y298" s="20">
        <f>IF('Growth profile'!X224&gt;0,1,IF('Growth profile'!X327&gt;0,3,0))</f>
        <v>3</v>
      </c>
      <c r="Z298" s="20">
        <f>IF('Growth profile'!Y224&gt;0,1,IF('Growth profile'!Y327&gt;0,3,0))</f>
        <v>3</v>
      </c>
      <c r="AA298" s="20">
        <f>IF('Growth profile'!Z224&gt;0,1,IF('Growth profile'!Z327&gt;0,3,0))</f>
        <v>3</v>
      </c>
      <c r="AB298" s="20">
        <f>IF('Growth profile'!AA224&gt;0,1,IF('Growth profile'!AA327&gt;0,3,0))</f>
        <v>3</v>
      </c>
      <c r="AC298" s="20">
        <f>IF('Growth profile'!AB224&gt;0,1,IF('Growth profile'!AB327&gt;0,3,0))</f>
        <v>3</v>
      </c>
      <c r="AD298" s="20">
        <f>IF('Growth profile'!AC224&gt;0,1,IF('Growth profile'!AC327&gt;0,3,0))</f>
        <v>3</v>
      </c>
      <c r="AE298" s="20">
        <f>IF('Growth profile'!AD224&gt;0,1,IF('Growth profile'!AD327&gt;0,3,0))</f>
        <v>3</v>
      </c>
      <c r="AF298" s="20">
        <f>IF('Growth profile'!AE224&gt;0,1,IF('Growth profile'!AE327&gt;0,3,0))</f>
        <v>3</v>
      </c>
      <c r="AG298" s="20">
        <f>IF('Growth profile'!AF224&gt;0,1,IF('Growth profile'!AF327&gt;0,3,0))</f>
        <v>3</v>
      </c>
      <c r="AH298" s="20">
        <f>IF('Growth profile'!AG224&gt;0,1,IF('Growth profile'!AG327&gt;0,3,0))</f>
        <v>3</v>
      </c>
      <c r="AI298" s="20">
        <f>IF('Growth profile'!AH224&gt;0,1,IF('Growth profile'!AH327&gt;0,3,0))</f>
        <v>3</v>
      </c>
      <c r="AJ298" s="20">
        <f>IF('Growth profile'!AI224&gt;0,1,IF('Growth profile'!AI327&gt;0,3,0))</f>
        <v>3</v>
      </c>
      <c r="AK298" s="20">
        <f>IF('Growth profile'!AJ224&gt;0,1,IF('Growth profile'!AJ327&gt;0,3,0))</f>
        <v>3</v>
      </c>
      <c r="AL298" s="20">
        <f>IF('Growth profile'!AK224&gt;0,1,IF('Growth profile'!AK327&gt;0,3,0))</f>
        <v>3</v>
      </c>
      <c r="AM298" s="20">
        <f>IF('Growth profile'!AL224&gt;0,1,IF('Growth profile'!AL327&gt;0,3,0))</f>
        <v>3</v>
      </c>
      <c r="AN298" s="20">
        <f>IF('Growth profile'!AM224&gt;0,1,IF('Growth profile'!AM327&gt;0,3,0))</f>
        <v>3</v>
      </c>
      <c r="AO298" s="20">
        <f>IF('Growth profile'!AN224&gt;0,1,IF('Growth profile'!AN327&gt;0,3,0))</f>
        <v>3</v>
      </c>
      <c r="AP298" s="20">
        <f>IF('Growth profile'!AO224&gt;0,1,IF('Growth profile'!AO327&gt;0,3,0))</f>
        <v>3</v>
      </c>
      <c r="AQ298" s="20">
        <f>IF('Growth profile'!AP224&gt;0,1,IF('Growth profile'!AP327&gt;0,3,0))</f>
        <v>3</v>
      </c>
      <c r="AR298" s="20">
        <f>IF('Growth profile'!AQ224&gt;0,1,IF('Growth profile'!AQ327&gt;0,3,0))</f>
        <v>3</v>
      </c>
      <c r="AS298" s="20">
        <f>IF('Growth profile'!AR224&gt;0,1,IF('Growth profile'!AR327&gt;0,3,0))</f>
        <v>3</v>
      </c>
      <c r="AT298" s="20">
        <f>IF('Growth profile'!AS224&gt;0,1,IF('Growth profile'!AS327&gt;0,3,0))</f>
        <v>3</v>
      </c>
      <c r="AU298" s="20">
        <f>IF('Growth profile'!AT224&gt;0,1,IF('Growth profile'!AT327&gt;0,3,0))</f>
        <v>3</v>
      </c>
      <c r="AV298" s="20">
        <f>IF('Growth profile'!AU224&gt;0,1,IF('Growth profile'!AU327&gt;0,3,0))</f>
        <v>3</v>
      </c>
      <c r="AW298" s="20">
        <f>IF('Growth profile'!AV224&gt;0,1,IF('Growth profile'!AV327&gt;0,3,0))</f>
        <v>3</v>
      </c>
      <c r="AX298" s="20">
        <f>IF('Growth profile'!AW224&gt;0,1,IF('Growth profile'!AW327&gt;0,3,0))</f>
        <v>3</v>
      </c>
      <c r="AY298" s="20">
        <f>IF('Growth profile'!AX224&gt;0,1,IF('Growth profile'!AX327&gt;0,3,0))</f>
        <v>3</v>
      </c>
      <c r="AZ298" s="20">
        <f>IF('Growth profile'!AY224&gt;0,1,IF('Growth profile'!AY327&gt;0,3,0))</f>
        <v>3</v>
      </c>
      <c r="BA298" s="20">
        <f>IF('Growth profile'!AZ224&gt;0,1,IF('Growth profile'!AZ327&gt;0,3,0))</f>
        <v>3</v>
      </c>
      <c r="BB298" s="20">
        <f>IF('Growth profile'!BA224&gt;0,1,IF('Growth profile'!BA327&gt;0,3,0))</f>
        <v>3</v>
      </c>
      <c r="BC298" s="20">
        <f>IF('Growth profile'!BB224&gt;0,1,IF('Growth profile'!BB327&gt;0,3,0))</f>
        <v>0</v>
      </c>
      <c r="BD298" s="20">
        <f>IF('Growth profile'!BC224&gt;0,1,IF('Growth profile'!BC327&gt;0,3,0))</f>
        <v>0</v>
      </c>
      <c r="BE298" s="20">
        <f>IF('Growth profile'!BD224&gt;0,1,IF('Growth profile'!BD327&gt;0,3,0))</f>
        <v>0</v>
      </c>
      <c r="BF298" s="20">
        <f>IF('Growth profile'!BE224&gt;0,1,IF('Growth profile'!BE327&gt;0,3,0))</f>
        <v>0</v>
      </c>
      <c r="BG298" s="20">
        <f>IF('Growth profile'!BF224&gt;0,1,IF('Growth profile'!BF327&gt;0,3,0))</f>
        <v>0</v>
      </c>
      <c r="BH298" s="20">
        <f>IF('Growth profile'!BG224&gt;0,1,IF('Growth profile'!BG327&gt;0,3,0))</f>
        <v>0</v>
      </c>
      <c r="BI298" s="20">
        <f>IF('Growth profile'!BH224&gt;0,1,IF('Growth profile'!BH327&gt;0,3,0))</f>
        <v>0</v>
      </c>
      <c r="BJ298" s="20">
        <f>IF('Growth profile'!BI224&gt;0,1,IF('Growth profile'!BI327&gt;0,3,0))</f>
        <v>0</v>
      </c>
      <c r="BK298" s="21">
        <f>IF('Growth profile'!BJ224&gt;0,1,IF('Growth profile'!BJ327&gt;0,3,0))</f>
        <v>0</v>
      </c>
    </row>
    <row r="299" spans="1:63" x14ac:dyDescent="0.3">
      <c r="B299" s="13" t="s">
        <v>59</v>
      </c>
      <c r="C299" s="19">
        <f>'Growth (no penalty)'!I116</f>
        <v>2044</v>
      </c>
      <c r="D299" s="22">
        <f>IF('Growth (no penalty)'!C224&gt;0,1,IF('Growth (no penalty)'!C327&gt;0,4,0))</f>
        <v>0</v>
      </c>
      <c r="E299" s="22">
        <f>IF('Growth (no penalty)'!D224&gt;0,1,IF('Growth (no penalty)'!D327&gt;0,4,0))</f>
        <v>0</v>
      </c>
      <c r="F299" s="22">
        <f>IF('Growth (no penalty)'!E224&gt;0,1,IF('Growth (no penalty)'!E327&gt;0,4,0))</f>
        <v>0</v>
      </c>
      <c r="G299" s="22">
        <f>IF('Growth (no penalty)'!F224&gt;0,1,IF('Growth (no penalty)'!F327&gt;0,4,0))</f>
        <v>0</v>
      </c>
      <c r="H299" s="22">
        <f>IF('Growth (no penalty)'!G224&gt;0,1,IF('Growth (no penalty)'!G327&gt;0,4,0))</f>
        <v>0</v>
      </c>
      <c r="I299" s="22">
        <f>IF('Growth (no penalty)'!H224&gt;0,1,IF('Growth (no penalty)'!H327&gt;0,4,0))</f>
        <v>0</v>
      </c>
      <c r="J299" s="22">
        <f>IF('Growth (no penalty)'!I224&gt;0,1,IF('Growth (no penalty)'!I327&gt;0,4,0))</f>
        <v>0</v>
      </c>
      <c r="K299" s="22">
        <f>IF('Growth (no penalty)'!J224&gt;0,1,IF('Growth (no penalty)'!J327&gt;0,4,0))</f>
        <v>0</v>
      </c>
      <c r="L299" s="22">
        <f>IF('Growth (no penalty)'!K224&gt;0,1,IF('Growth (no penalty)'!K327&gt;0,4,0))</f>
        <v>0</v>
      </c>
      <c r="M299" s="22">
        <f>IF('Growth (no penalty)'!L224&gt;0,1,IF('Growth (no penalty)'!L327&gt;0,4,0))</f>
        <v>0</v>
      </c>
      <c r="N299" s="22">
        <f>IF('Growth (no penalty)'!M224&gt;0,1,IF('Growth (no penalty)'!M327&gt;0,4,0))</f>
        <v>0</v>
      </c>
      <c r="O299" s="22">
        <f>IF('Growth (no penalty)'!N224&gt;0,1,IF('Growth (no penalty)'!N327&gt;0,4,0))</f>
        <v>0</v>
      </c>
      <c r="P299" s="22">
        <f>IF('Growth (no penalty)'!O224&gt;0,1,IF('Growth (no penalty)'!O327&gt;0,4,0))</f>
        <v>0</v>
      </c>
      <c r="Q299" s="22">
        <f>IF('Growth (no penalty)'!P224&gt;0,1,IF('Growth (no penalty)'!P327&gt;0,4,0))</f>
        <v>0</v>
      </c>
      <c r="R299" s="22">
        <f>IF('Growth (no penalty)'!Q224&gt;0,1,IF('Growth (no penalty)'!Q327&gt;0,4,0))</f>
        <v>0</v>
      </c>
      <c r="S299" s="22">
        <f>IF('Growth (no penalty)'!R224&gt;0,1,IF('Growth (no penalty)'!R327&gt;0,4,0))</f>
        <v>0</v>
      </c>
      <c r="T299" s="22">
        <f>IF('Growth (no penalty)'!S224&gt;0,1,IF('Growth (no penalty)'!S327&gt;0,4,0))</f>
        <v>0</v>
      </c>
      <c r="U299" s="22">
        <f>IF('Growth (no penalty)'!T224&gt;0,1,IF('Growth (no penalty)'!T327&gt;0,4,0))</f>
        <v>0</v>
      </c>
      <c r="V299" s="22">
        <f>IF('Growth (no penalty)'!U224&gt;0,1,IF('Growth (no penalty)'!U327&gt;0,4,0))</f>
        <v>1</v>
      </c>
      <c r="W299" s="22">
        <f>IF('Growth (no penalty)'!V224&gt;0,1,IF('Growth (no penalty)'!V327&gt;0,4,0))</f>
        <v>1</v>
      </c>
      <c r="X299" s="22">
        <f>IF('Growth (no penalty)'!W224&gt;0,1,IF('Growth (no penalty)'!W327&gt;0,4,0))</f>
        <v>4</v>
      </c>
      <c r="Y299" s="22">
        <f>IF('Growth (no penalty)'!X224&gt;0,1,IF('Growth (no penalty)'!X327&gt;0,4,0))</f>
        <v>4</v>
      </c>
      <c r="Z299" s="22">
        <f>IF('Growth (no penalty)'!Y224&gt;0,1,IF('Growth (no penalty)'!Y327&gt;0,4,0))</f>
        <v>4</v>
      </c>
      <c r="AA299" s="22">
        <f>IF('Growth (no penalty)'!Z224&gt;0,1,IF('Growth (no penalty)'!Z327&gt;0,4,0))</f>
        <v>4</v>
      </c>
      <c r="AB299" s="22">
        <f>IF('Growth (no penalty)'!AA224&gt;0,1,IF('Growth (no penalty)'!AA327&gt;0,4,0))</f>
        <v>4</v>
      </c>
      <c r="AC299" s="22">
        <f>IF('Growth (no penalty)'!AB224&gt;0,1,IF('Growth (no penalty)'!AB327&gt;0,4,0))</f>
        <v>4</v>
      </c>
      <c r="AD299" s="22">
        <f>IF('Growth (no penalty)'!AC224&gt;0,1,IF('Growth (no penalty)'!AC327&gt;0,4,0))</f>
        <v>4</v>
      </c>
      <c r="AE299" s="22">
        <f>IF('Growth (no penalty)'!AD224&gt;0,1,IF('Growth (no penalty)'!AD327&gt;0,4,0))</f>
        <v>4</v>
      </c>
      <c r="AF299" s="22">
        <f>IF('Growth (no penalty)'!AE224&gt;0,1,IF('Growth (no penalty)'!AE327&gt;0,4,0))</f>
        <v>4</v>
      </c>
      <c r="AG299" s="22">
        <f>IF('Growth (no penalty)'!AF224&gt;0,1,IF('Growth (no penalty)'!AF327&gt;0,4,0))</f>
        <v>4</v>
      </c>
      <c r="AH299" s="22">
        <f>IF('Growth (no penalty)'!AG224&gt;0,1,IF('Growth (no penalty)'!AG327&gt;0,4,0))</f>
        <v>4</v>
      </c>
      <c r="AI299" s="22">
        <f>IF('Growth (no penalty)'!AH224&gt;0,1,IF('Growth (no penalty)'!AH327&gt;0,4,0))</f>
        <v>4</v>
      </c>
      <c r="AJ299" s="22">
        <f>IF('Growth (no penalty)'!AI224&gt;0,1,IF('Growth (no penalty)'!AI327&gt;0,4,0))</f>
        <v>4</v>
      </c>
      <c r="AK299" s="22">
        <f>IF('Growth (no penalty)'!AJ224&gt;0,1,IF('Growth (no penalty)'!AJ327&gt;0,4,0))</f>
        <v>4</v>
      </c>
      <c r="AL299" s="22">
        <f>IF('Growth (no penalty)'!AK224&gt;0,1,IF('Growth (no penalty)'!AK327&gt;0,4,0))</f>
        <v>4</v>
      </c>
      <c r="AM299" s="22">
        <f>IF('Growth (no penalty)'!AL224&gt;0,1,IF('Growth (no penalty)'!AL327&gt;0,4,0))</f>
        <v>4</v>
      </c>
      <c r="AN299" s="22">
        <f>IF('Growth (no penalty)'!AM224&gt;0,1,IF('Growth (no penalty)'!AM327&gt;0,4,0))</f>
        <v>4</v>
      </c>
      <c r="AO299" s="22">
        <f>IF('Growth (no penalty)'!AN224&gt;0,1,IF('Growth (no penalty)'!AN327&gt;0,4,0))</f>
        <v>4</v>
      </c>
      <c r="AP299" s="22">
        <f>IF('Growth (no penalty)'!AO224&gt;0,1,IF('Growth (no penalty)'!AO327&gt;0,4,0))</f>
        <v>4</v>
      </c>
      <c r="AQ299" s="22">
        <f>IF('Growth (no penalty)'!AP224&gt;0,1,IF('Growth (no penalty)'!AP327&gt;0,4,0))</f>
        <v>4</v>
      </c>
      <c r="AR299" s="22">
        <f>IF('Growth (no penalty)'!AQ224&gt;0,1,IF('Growth (no penalty)'!AQ327&gt;0,4,0))</f>
        <v>4</v>
      </c>
      <c r="AS299" s="22">
        <f>IF('Growth (no penalty)'!AR224&gt;0,1,IF('Growth (no penalty)'!AR327&gt;0,4,0))</f>
        <v>4</v>
      </c>
      <c r="AT299" s="22">
        <f>IF('Growth (no penalty)'!AS224&gt;0,1,IF('Growth (no penalty)'!AS327&gt;0,4,0))</f>
        <v>4</v>
      </c>
      <c r="AU299" s="22">
        <f>IF('Growth (no penalty)'!AT224&gt;0,1,IF('Growth (no penalty)'!AT327&gt;0,4,0))</f>
        <v>4</v>
      </c>
      <c r="AV299" s="22">
        <f>IF('Growth (no penalty)'!AU224&gt;0,1,IF('Growth (no penalty)'!AU327&gt;0,4,0))</f>
        <v>4</v>
      </c>
      <c r="AW299" s="22">
        <f>IF('Growth (no penalty)'!AV224&gt;0,1,IF('Growth (no penalty)'!AV327&gt;0,4,0))</f>
        <v>4</v>
      </c>
      <c r="AX299" s="22">
        <f>IF('Growth (no penalty)'!AW224&gt;0,1,IF('Growth (no penalty)'!AW327&gt;0,4,0))</f>
        <v>4</v>
      </c>
      <c r="AY299" s="22">
        <f>IF('Growth (no penalty)'!AX224&gt;0,1,IF('Growth (no penalty)'!AX327&gt;0,4,0))</f>
        <v>4</v>
      </c>
      <c r="AZ299" s="22">
        <f>IF('Growth (no penalty)'!AY224&gt;0,1,IF('Growth (no penalty)'!AY327&gt;0,4,0))</f>
        <v>4</v>
      </c>
      <c r="BA299" s="22">
        <f>IF('Growth (no penalty)'!AZ224&gt;0,1,IF('Growth (no penalty)'!AZ327&gt;0,4,0))</f>
        <v>4</v>
      </c>
      <c r="BB299" s="22">
        <f>IF('Growth (no penalty)'!BA224&gt;0,1,IF('Growth (no penalty)'!BA327&gt;0,4,0))</f>
        <v>4</v>
      </c>
      <c r="BC299" s="22">
        <f>IF('Growth (no penalty)'!BB224&gt;0,1,IF('Growth (no penalty)'!BB327&gt;0,4,0))</f>
        <v>4</v>
      </c>
      <c r="BD299" s="22">
        <f>IF('Growth (no penalty)'!BC224&gt;0,1,IF('Growth (no penalty)'!BC327&gt;0,4,0))</f>
        <v>4</v>
      </c>
      <c r="BE299" s="22">
        <f>IF('Growth (no penalty)'!BD224&gt;0,1,IF('Growth (no penalty)'!BD327&gt;0,4,0))</f>
        <v>4</v>
      </c>
      <c r="BF299" s="22">
        <f>IF('Growth (no penalty)'!BE224&gt;0,1,IF('Growth (no penalty)'!BE327&gt;0,4,0))</f>
        <v>4</v>
      </c>
      <c r="BG299" s="22">
        <f>IF('Growth (no penalty)'!BF224&gt;0,1,IF('Growth (no penalty)'!BF327&gt;0,4,0))</f>
        <v>4</v>
      </c>
      <c r="BH299" s="22">
        <f>IF('Growth (no penalty)'!BG224&gt;0,1,IF('Growth (no penalty)'!BG327&gt;0,4,0))</f>
        <v>4</v>
      </c>
      <c r="BI299" s="22">
        <f>IF('Growth (no penalty)'!BH224&gt;0,1,IF('Growth (no penalty)'!BH327&gt;0,4,0))</f>
        <v>4</v>
      </c>
      <c r="BJ299" s="22">
        <f>IF('Growth (no penalty)'!BI224&gt;0,1,IF('Growth (no penalty)'!BI327&gt;0,4,0))</f>
        <v>4</v>
      </c>
      <c r="BK299" s="23">
        <f>IF('Growth (no penalty)'!BJ224&gt;0,1,IF('Growth (no penalty)'!BJ327&gt;0,4,0))</f>
        <v>4</v>
      </c>
    </row>
    <row r="300" spans="1:63" x14ac:dyDescent="0.3">
      <c r="A300" s="4" t="str">
        <f>'Growth profile'!A28</f>
        <v>project 9</v>
      </c>
      <c r="B300" s="13" t="s">
        <v>3</v>
      </c>
      <c r="C300" s="19">
        <f>'Raw profile'!I28</f>
        <v>2043</v>
      </c>
      <c r="D300" s="20">
        <f>IF('Raw profile'!C136&gt;0,1,IF('Raw profile'!C239&gt;0,2,0))</f>
        <v>0</v>
      </c>
      <c r="E300" s="20">
        <f>IF('Raw profile'!D136&gt;0,1,IF('Raw profile'!D239&gt;0,2,0))</f>
        <v>0</v>
      </c>
      <c r="F300" s="20">
        <f>IF('Raw profile'!E136&gt;0,1,IF('Raw profile'!E239&gt;0,2,0))</f>
        <v>0</v>
      </c>
      <c r="G300" s="20">
        <f>IF('Raw profile'!F136&gt;0,1,IF('Raw profile'!F239&gt;0,2,0))</f>
        <v>0</v>
      </c>
      <c r="H300" s="20">
        <f>IF('Raw profile'!G136&gt;0,1,IF('Raw profile'!G239&gt;0,2,0))</f>
        <v>0</v>
      </c>
      <c r="I300" s="20">
        <f>IF('Raw profile'!H136&gt;0,1,IF('Raw profile'!H239&gt;0,2,0))</f>
        <v>0</v>
      </c>
      <c r="J300" s="20">
        <f>IF('Raw profile'!I136&gt;0,1,IF('Raw profile'!I239&gt;0,2,0))</f>
        <v>0</v>
      </c>
      <c r="K300" s="20">
        <f>IF('Raw profile'!J136&gt;0,1,IF('Raw profile'!J239&gt;0,2,0))</f>
        <v>0</v>
      </c>
      <c r="L300" s="20">
        <f>IF('Raw profile'!K136&gt;0,1,IF('Raw profile'!K239&gt;0,2,0))</f>
        <v>0</v>
      </c>
      <c r="M300" s="20">
        <f>IF('Raw profile'!L136&gt;0,1,IF('Raw profile'!L239&gt;0,2,0))</f>
        <v>0</v>
      </c>
      <c r="N300" s="20">
        <f>IF('Raw profile'!M136&gt;0,1,IF('Raw profile'!M239&gt;0,2,0))</f>
        <v>0</v>
      </c>
      <c r="O300" s="20">
        <f>IF('Raw profile'!N136&gt;0,1,IF('Raw profile'!N239&gt;0,2,0))</f>
        <v>0</v>
      </c>
      <c r="P300" s="20">
        <f>IF('Raw profile'!O136&gt;0,1,IF('Raw profile'!O239&gt;0,2,0))</f>
        <v>0</v>
      </c>
      <c r="Q300" s="20">
        <f>IF('Raw profile'!P136&gt;0,1,IF('Raw profile'!P239&gt;0,2,0))</f>
        <v>0</v>
      </c>
      <c r="R300" s="20">
        <f>IF('Raw profile'!Q136&gt;0,1,IF('Raw profile'!Q239&gt;0,2,0))</f>
        <v>0</v>
      </c>
      <c r="S300" s="20">
        <f>IF('Raw profile'!R136&gt;0,1,IF('Raw profile'!R239&gt;0,2,0))</f>
        <v>0</v>
      </c>
      <c r="T300" s="20">
        <f>IF('Raw profile'!S136&gt;0,1,IF('Raw profile'!S239&gt;0,2,0))</f>
        <v>0</v>
      </c>
      <c r="U300" s="20">
        <f>IF('Raw profile'!T136&gt;0,1,IF('Raw profile'!T239&gt;0,2,0))</f>
        <v>1</v>
      </c>
      <c r="V300" s="20">
        <f>IF('Raw profile'!U136&gt;0,1,IF('Raw profile'!U239&gt;0,2,0))</f>
        <v>2</v>
      </c>
      <c r="W300" s="20">
        <f>IF('Raw profile'!V136&gt;0,1,IF('Raw profile'!V239&gt;0,2,0))</f>
        <v>2</v>
      </c>
      <c r="X300" s="20">
        <f>IF('Raw profile'!W136&gt;0,1,IF('Raw profile'!W239&gt;0,2,0))</f>
        <v>2</v>
      </c>
      <c r="Y300" s="20">
        <f>IF('Raw profile'!X136&gt;0,1,IF('Raw profile'!X239&gt;0,2,0))</f>
        <v>2</v>
      </c>
      <c r="Z300" s="20">
        <f>IF('Raw profile'!Y136&gt;0,1,IF('Raw profile'!Y239&gt;0,2,0))</f>
        <v>2</v>
      </c>
      <c r="AA300" s="20">
        <f>IF('Raw profile'!Z136&gt;0,1,IF('Raw profile'!Z239&gt;0,2,0))</f>
        <v>2</v>
      </c>
      <c r="AB300" s="20">
        <f>IF('Raw profile'!AA136&gt;0,1,IF('Raw profile'!AA239&gt;0,2,0))</f>
        <v>2</v>
      </c>
      <c r="AC300" s="20">
        <f>IF('Raw profile'!AB136&gt;0,1,IF('Raw profile'!AB239&gt;0,2,0))</f>
        <v>2</v>
      </c>
      <c r="AD300" s="20">
        <f>IF('Raw profile'!AC136&gt;0,1,IF('Raw profile'!AC239&gt;0,2,0))</f>
        <v>2</v>
      </c>
      <c r="AE300" s="20">
        <f>IF('Raw profile'!AD136&gt;0,1,IF('Raw profile'!AD239&gt;0,2,0))</f>
        <v>2</v>
      </c>
      <c r="AF300" s="20">
        <f>IF('Raw profile'!AE136&gt;0,1,IF('Raw profile'!AE239&gt;0,2,0))</f>
        <v>2</v>
      </c>
      <c r="AG300" s="20">
        <f>IF('Raw profile'!AF136&gt;0,1,IF('Raw profile'!AF239&gt;0,2,0))</f>
        <v>2</v>
      </c>
      <c r="AH300" s="20">
        <f>IF('Raw profile'!AG136&gt;0,1,IF('Raw profile'!AG239&gt;0,2,0))</f>
        <v>2</v>
      </c>
      <c r="AI300" s="20">
        <f>IF('Raw profile'!AH136&gt;0,1,IF('Raw profile'!AH239&gt;0,2,0))</f>
        <v>2</v>
      </c>
      <c r="AJ300" s="20">
        <f>IF('Raw profile'!AI136&gt;0,1,IF('Raw profile'!AI239&gt;0,2,0))</f>
        <v>2</v>
      </c>
      <c r="AK300" s="20">
        <f>IF('Raw profile'!AJ136&gt;0,1,IF('Raw profile'!AJ239&gt;0,2,0))</f>
        <v>2</v>
      </c>
      <c r="AL300" s="20">
        <f>IF('Raw profile'!AK136&gt;0,1,IF('Raw profile'!AK239&gt;0,2,0))</f>
        <v>2</v>
      </c>
      <c r="AM300" s="20">
        <f>IF('Raw profile'!AL136&gt;0,1,IF('Raw profile'!AL239&gt;0,2,0))</f>
        <v>2</v>
      </c>
      <c r="AN300" s="20">
        <f>IF('Raw profile'!AM136&gt;0,1,IF('Raw profile'!AM239&gt;0,2,0))</f>
        <v>2</v>
      </c>
      <c r="AO300" s="20">
        <f>IF('Raw profile'!AN136&gt;0,1,IF('Raw profile'!AN239&gt;0,2,0))</f>
        <v>2</v>
      </c>
      <c r="AP300" s="20">
        <f>IF('Raw profile'!AO136&gt;0,1,IF('Raw profile'!AO239&gt;0,2,0))</f>
        <v>2</v>
      </c>
      <c r="AQ300" s="20">
        <f>IF('Raw profile'!AP136&gt;0,1,IF('Raw profile'!AP239&gt;0,2,0))</f>
        <v>2</v>
      </c>
      <c r="AR300" s="20">
        <f>IF('Raw profile'!AQ136&gt;0,1,IF('Raw profile'!AQ239&gt;0,2,0))</f>
        <v>2</v>
      </c>
      <c r="AS300" s="20">
        <f>IF('Raw profile'!AR136&gt;0,1,IF('Raw profile'!AR239&gt;0,2,0))</f>
        <v>2</v>
      </c>
      <c r="AT300" s="20">
        <f>IF('Raw profile'!AS136&gt;0,1,IF('Raw profile'!AS239&gt;0,2,0))</f>
        <v>2</v>
      </c>
      <c r="AU300" s="20">
        <f>IF('Raw profile'!AT136&gt;0,1,IF('Raw profile'!AT239&gt;0,2,0))</f>
        <v>2</v>
      </c>
      <c r="AV300" s="20">
        <f>IF('Raw profile'!AU136&gt;0,1,IF('Raw profile'!AU239&gt;0,2,0))</f>
        <v>2</v>
      </c>
      <c r="AW300" s="20">
        <f>IF('Raw profile'!AV136&gt;0,1,IF('Raw profile'!AV239&gt;0,2,0))</f>
        <v>2</v>
      </c>
      <c r="AX300" s="20">
        <f>IF('Raw profile'!AW136&gt;0,1,IF('Raw profile'!AW239&gt;0,2,0))</f>
        <v>2</v>
      </c>
      <c r="AY300" s="20">
        <f>IF('Raw profile'!AX136&gt;0,1,IF('Raw profile'!AX239&gt;0,2,0))</f>
        <v>2</v>
      </c>
      <c r="AZ300" s="20">
        <f>IF('Raw profile'!AY136&gt;0,1,IF('Raw profile'!AY239&gt;0,2,0))</f>
        <v>2</v>
      </c>
      <c r="BA300" s="20">
        <f>IF('Raw profile'!AZ136&gt;0,1,IF('Raw profile'!AZ239&gt;0,2,0))</f>
        <v>2</v>
      </c>
      <c r="BB300" s="20">
        <f>IF('Raw profile'!BA136&gt;0,1,IF('Raw profile'!BA239&gt;0,2,0))</f>
        <v>2</v>
      </c>
      <c r="BC300" s="20">
        <f>IF('Raw profile'!BB136&gt;0,1,IF('Raw profile'!BB239&gt;0,2,0))</f>
        <v>2</v>
      </c>
      <c r="BD300" s="20">
        <f>IF('Raw profile'!BC136&gt;0,1,IF('Raw profile'!BC239&gt;0,2,0))</f>
        <v>2</v>
      </c>
      <c r="BE300" s="20">
        <f>IF('Raw profile'!BD136&gt;0,1,IF('Raw profile'!BD239&gt;0,2,0))</f>
        <v>2</v>
      </c>
      <c r="BF300" s="20">
        <f>IF('Raw profile'!BE136&gt;0,1,IF('Raw profile'!BE239&gt;0,2,0))</f>
        <v>2</v>
      </c>
      <c r="BG300" s="20">
        <f>IF('Raw profile'!BF136&gt;0,1,IF('Raw profile'!BF239&gt;0,2,0))</f>
        <v>2</v>
      </c>
      <c r="BH300" s="20">
        <f>IF('Raw profile'!BG136&gt;0,1,IF('Raw profile'!BG239&gt;0,2,0))</f>
        <v>2</v>
      </c>
      <c r="BI300" s="20">
        <f>IF('Raw profile'!BH136&gt;0,1,IF('Raw profile'!BH239&gt;0,2,0))</f>
        <v>2</v>
      </c>
      <c r="BJ300" s="20">
        <f>IF('Raw profile'!BI136&gt;0,1,IF('Raw profile'!BI239&gt;0,2,0))</f>
        <v>0</v>
      </c>
      <c r="BK300" s="21">
        <f>IF('Raw profile'!BJ136&gt;0,1,IF('Raw profile'!BJ239&gt;0,2,0))</f>
        <v>0</v>
      </c>
    </row>
    <row r="301" spans="1:63" x14ac:dyDescent="0.3">
      <c r="B301" s="13" t="s">
        <v>4</v>
      </c>
      <c r="C301" s="19">
        <f>'Growth profile'!I28</f>
        <v>2026</v>
      </c>
      <c r="D301" s="20">
        <f>IF('Growth profile'!C136&gt;0,1,IF('Growth profile'!C239&gt;0,3,0))</f>
        <v>1</v>
      </c>
      <c r="E301" s="20">
        <f>IF('Growth profile'!D136&gt;0,1,IF('Growth profile'!D239&gt;0,3,0))</f>
        <v>3</v>
      </c>
      <c r="F301" s="20">
        <f>IF('Growth profile'!E136&gt;0,1,IF('Growth profile'!E239&gt;0,3,0))</f>
        <v>3</v>
      </c>
      <c r="G301" s="20">
        <f>IF('Growth profile'!F136&gt;0,1,IF('Growth profile'!F239&gt;0,3,0))</f>
        <v>3</v>
      </c>
      <c r="H301" s="20">
        <f>IF('Growth profile'!G136&gt;0,1,IF('Growth profile'!G239&gt;0,3,0))</f>
        <v>3</v>
      </c>
      <c r="I301" s="20">
        <f>IF('Growth profile'!H136&gt;0,1,IF('Growth profile'!H239&gt;0,3,0))</f>
        <v>3</v>
      </c>
      <c r="J301" s="20">
        <f>IF('Growth profile'!I136&gt;0,1,IF('Growth profile'!I239&gt;0,3,0))</f>
        <v>3</v>
      </c>
      <c r="K301" s="20">
        <f>IF('Growth profile'!J136&gt;0,1,IF('Growth profile'!J239&gt;0,3,0))</f>
        <v>3</v>
      </c>
      <c r="L301" s="20">
        <f>IF('Growth profile'!K136&gt;0,1,IF('Growth profile'!K239&gt;0,3,0))</f>
        <v>3</v>
      </c>
      <c r="M301" s="20">
        <f>IF('Growth profile'!L136&gt;0,1,IF('Growth profile'!L239&gt;0,3,0))</f>
        <v>3</v>
      </c>
      <c r="N301" s="20">
        <f>IF('Growth profile'!M136&gt;0,1,IF('Growth profile'!M239&gt;0,3,0))</f>
        <v>3</v>
      </c>
      <c r="O301" s="20">
        <f>IF('Growth profile'!N136&gt;0,1,IF('Growth profile'!N239&gt;0,3,0))</f>
        <v>3</v>
      </c>
      <c r="P301" s="20">
        <f>IF('Growth profile'!O136&gt;0,1,IF('Growth profile'!O239&gt;0,3,0))</f>
        <v>3</v>
      </c>
      <c r="Q301" s="20">
        <f>IF('Growth profile'!P136&gt;0,1,IF('Growth profile'!P239&gt;0,3,0))</f>
        <v>3</v>
      </c>
      <c r="R301" s="20">
        <f>IF('Growth profile'!Q136&gt;0,1,IF('Growth profile'!Q239&gt;0,3,0))</f>
        <v>3</v>
      </c>
      <c r="S301" s="20">
        <f>IF('Growth profile'!R136&gt;0,1,IF('Growth profile'!R239&gt;0,3,0))</f>
        <v>3</v>
      </c>
      <c r="T301" s="20">
        <f>IF('Growth profile'!S136&gt;0,1,IF('Growth profile'!S239&gt;0,3,0))</f>
        <v>3</v>
      </c>
      <c r="U301" s="20">
        <f>IF('Growth profile'!T136&gt;0,1,IF('Growth profile'!T239&gt;0,3,0))</f>
        <v>3</v>
      </c>
      <c r="V301" s="20">
        <f>IF('Growth profile'!U136&gt;0,1,IF('Growth profile'!U239&gt;0,3,0))</f>
        <v>3</v>
      </c>
      <c r="W301" s="20">
        <f>IF('Growth profile'!V136&gt;0,1,IF('Growth profile'!V239&gt;0,3,0))</f>
        <v>3</v>
      </c>
      <c r="X301" s="20">
        <f>IF('Growth profile'!W136&gt;0,1,IF('Growth profile'!W239&gt;0,3,0))</f>
        <v>3</v>
      </c>
      <c r="Y301" s="20">
        <f>IF('Growth profile'!X136&gt;0,1,IF('Growth profile'!X239&gt;0,3,0))</f>
        <v>3</v>
      </c>
      <c r="Z301" s="20">
        <f>IF('Growth profile'!Y136&gt;0,1,IF('Growth profile'!Y239&gt;0,3,0))</f>
        <v>3</v>
      </c>
      <c r="AA301" s="20">
        <f>IF('Growth profile'!Z136&gt;0,1,IF('Growth profile'!Z239&gt;0,3,0))</f>
        <v>3</v>
      </c>
      <c r="AB301" s="20">
        <f>IF('Growth profile'!AA136&gt;0,1,IF('Growth profile'!AA239&gt;0,3,0))</f>
        <v>3</v>
      </c>
      <c r="AC301" s="20">
        <f>IF('Growth profile'!AB136&gt;0,1,IF('Growth profile'!AB239&gt;0,3,0))</f>
        <v>3</v>
      </c>
      <c r="AD301" s="20">
        <f>IF('Growth profile'!AC136&gt;0,1,IF('Growth profile'!AC239&gt;0,3,0))</f>
        <v>3</v>
      </c>
      <c r="AE301" s="20">
        <f>IF('Growth profile'!AD136&gt;0,1,IF('Growth profile'!AD239&gt;0,3,0))</f>
        <v>3</v>
      </c>
      <c r="AF301" s="20">
        <f>IF('Growth profile'!AE136&gt;0,1,IF('Growth profile'!AE239&gt;0,3,0))</f>
        <v>3</v>
      </c>
      <c r="AG301" s="20">
        <f>IF('Growth profile'!AF136&gt;0,1,IF('Growth profile'!AF239&gt;0,3,0))</f>
        <v>3</v>
      </c>
      <c r="AH301" s="20">
        <f>IF('Growth profile'!AG136&gt;0,1,IF('Growth profile'!AG239&gt;0,3,0))</f>
        <v>3</v>
      </c>
      <c r="AI301" s="20">
        <f>IF('Growth profile'!AH136&gt;0,1,IF('Growth profile'!AH239&gt;0,3,0))</f>
        <v>3</v>
      </c>
      <c r="AJ301" s="20">
        <f>IF('Growth profile'!AI136&gt;0,1,IF('Growth profile'!AI239&gt;0,3,0))</f>
        <v>3</v>
      </c>
      <c r="AK301" s="20">
        <f>IF('Growth profile'!AJ136&gt;0,1,IF('Growth profile'!AJ239&gt;0,3,0))</f>
        <v>3</v>
      </c>
      <c r="AL301" s="20">
        <f>IF('Growth profile'!AK136&gt;0,1,IF('Growth profile'!AK239&gt;0,3,0))</f>
        <v>3</v>
      </c>
      <c r="AM301" s="20">
        <f>IF('Growth profile'!AL136&gt;0,1,IF('Growth profile'!AL239&gt;0,3,0))</f>
        <v>3</v>
      </c>
      <c r="AN301" s="20">
        <f>IF('Growth profile'!AM136&gt;0,1,IF('Growth profile'!AM239&gt;0,3,0))</f>
        <v>3</v>
      </c>
      <c r="AO301" s="20">
        <f>IF('Growth profile'!AN136&gt;0,1,IF('Growth profile'!AN239&gt;0,3,0))</f>
        <v>3</v>
      </c>
      <c r="AP301" s="20">
        <f>IF('Growth profile'!AO136&gt;0,1,IF('Growth profile'!AO239&gt;0,3,0))</f>
        <v>3</v>
      </c>
      <c r="AQ301" s="20">
        <f>IF('Growth profile'!AP136&gt;0,1,IF('Growth profile'!AP239&gt;0,3,0))</f>
        <v>3</v>
      </c>
      <c r="AR301" s="20">
        <f>IF('Growth profile'!AQ136&gt;0,1,IF('Growth profile'!AQ239&gt;0,3,0))</f>
        <v>3</v>
      </c>
      <c r="AS301" s="20">
        <f>IF('Growth profile'!AR136&gt;0,1,IF('Growth profile'!AR239&gt;0,3,0))</f>
        <v>0</v>
      </c>
      <c r="AT301" s="20">
        <f>IF('Growth profile'!AS136&gt;0,1,IF('Growth profile'!AS239&gt;0,3,0))</f>
        <v>0</v>
      </c>
      <c r="AU301" s="20">
        <f>IF('Growth profile'!AT136&gt;0,1,IF('Growth profile'!AT239&gt;0,3,0))</f>
        <v>0</v>
      </c>
      <c r="AV301" s="20">
        <f>IF('Growth profile'!AU136&gt;0,1,IF('Growth profile'!AU239&gt;0,3,0))</f>
        <v>0</v>
      </c>
      <c r="AW301" s="20">
        <f>IF('Growth profile'!AV136&gt;0,1,IF('Growth profile'!AV239&gt;0,3,0))</f>
        <v>0</v>
      </c>
      <c r="AX301" s="20">
        <f>IF('Growth profile'!AW136&gt;0,1,IF('Growth profile'!AW239&gt;0,3,0))</f>
        <v>0</v>
      </c>
      <c r="AY301" s="20">
        <f>IF('Growth profile'!AX136&gt;0,1,IF('Growth profile'!AX239&gt;0,3,0))</f>
        <v>0</v>
      </c>
      <c r="AZ301" s="20">
        <f>IF('Growth profile'!AY136&gt;0,1,IF('Growth profile'!AY239&gt;0,3,0))</f>
        <v>0</v>
      </c>
      <c r="BA301" s="20">
        <f>IF('Growth profile'!AZ136&gt;0,1,IF('Growth profile'!AZ239&gt;0,3,0))</f>
        <v>0</v>
      </c>
      <c r="BB301" s="20">
        <f>IF('Growth profile'!BA136&gt;0,1,IF('Growth profile'!BA239&gt;0,3,0))</f>
        <v>0</v>
      </c>
      <c r="BC301" s="20">
        <f>IF('Growth profile'!BB136&gt;0,1,IF('Growth profile'!BB239&gt;0,3,0))</f>
        <v>0</v>
      </c>
      <c r="BD301" s="20">
        <f>IF('Growth profile'!BC136&gt;0,1,IF('Growth profile'!BC239&gt;0,3,0))</f>
        <v>0</v>
      </c>
      <c r="BE301" s="20">
        <f>IF('Growth profile'!BD136&gt;0,1,IF('Growth profile'!BD239&gt;0,3,0))</f>
        <v>0</v>
      </c>
      <c r="BF301" s="20">
        <f>IF('Growth profile'!BE136&gt;0,1,IF('Growth profile'!BE239&gt;0,3,0))</f>
        <v>0</v>
      </c>
      <c r="BG301" s="20">
        <f>IF('Growth profile'!BF136&gt;0,1,IF('Growth profile'!BF239&gt;0,3,0))</f>
        <v>0</v>
      </c>
      <c r="BH301" s="20">
        <f>IF('Growth profile'!BG136&gt;0,1,IF('Growth profile'!BG239&gt;0,3,0))</f>
        <v>0</v>
      </c>
      <c r="BI301" s="20">
        <f>IF('Growth profile'!BH136&gt;0,1,IF('Growth profile'!BH239&gt;0,3,0))</f>
        <v>0</v>
      </c>
      <c r="BJ301" s="20">
        <f>IF('Growth profile'!BI136&gt;0,1,IF('Growth profile'!BI239&gt;0,3,0))</f>
        <v>0</v>
      </c>
      <c r="BK301" s="21">
        <f>IF('Growth profile'!BJ136&gt;0,1,IF('Growth profile'!BJ239&gt;0,3,0))</f>
        <v>0</v>
      </c>
    </row>
    <row r="302" spans="1:63" x14ac:dyDescent="0.3">
      <c r="B302" s="13" t="s">
        <v>59</v>
      </c>
      <c r="C302" s="19">
        <f>'Growth (no penalty)'!I28</f>
        <v>2029</v>
      </c>
      <c r="D302" s="22">
        <f>IF('Growth (no penalty)'!C136&gt;0,1,IF('Growth (no penalty)'!C239&gt;0,4,0))</f>
        <v>0</v>
      </c>
      <c r="E302" s="22">
        <f>IF('Growth (no penalty)'!D136&gt;0,1,IF('Growth (no penalty)'!D239&gt;0,4,0))</f>
        <v>0</v>
      </c>
      <c r="F302" s="22">
        <f>IF('Growth (no penalty)'!E136&gt;0,1,IF('Growth (no penalty)'!E239&gt;0,4,0))</f>
        <v>0</v>
      </c>
      <c r="G302" s="22">
        <f>IF('Growth (no penalty)'!F136&gt;0,1,IF('Growth (no penalty)'!F239&gt;0,4,0))</f>
        <v>1</v>
      </c>
      <c r="H302" s="22">
        <f>IF('Growth (no penalty)'!G136&gt;0,1,IF('Growth (no penalty)'!G239&gt;0,4,0))</f>
        <v>4</v>
      </c>
      <c r="I302" s="22">
        <f>IF('Growth (no penalty)'!H136&gt;0,1,IF('Growth (no penalty)'!H239&gt;0,4,0))</f>
        <v>4</v>
      </c>
      <c r="J302" s="22">
        <f>IF('Growth (no penalty)'!I136&gt;0,1,IF('Growth (no penalty)'!I239&gt;0,4,0))</f>
        <v>4</v>
      </c>
      <c r="K302" s="22">
        <f>IF('Growth (no penalty)'!J136&gt;0,1,IF('Growth (no penalty)'!J239&gt;0,4,0))</f>
        <v>4</v>
      </c>
      <c r="L302" s="22">
        <f>IF('Growth (no penalty)'!K136&gt;0,1,IF('Growth (no penalty)'!K239&gt;0,4,0))</f>
        <v>4</v>
      </c>
      <c r="M302" s="22">
        <f>IF('Growth (no penalty)'!L136&gt;0,1,IF('Growth (no penalty)'!L239&gt;0,4,0))</f>
        <v>4</v>
      </c>
      <c r="N302" s="22">
        <f>IF('Growth (no penalty)'!M136&gt;0,1,IF('Growth (no penalty)'!M239&gt;0,4,0))</f>
        <v>4</v>
      </c>
      <c r="O302" s="22">
        <f>IF('Growth (no penalty)'!N136&gt;0,1,IF('Growth (no penalty)'!N239&gt;0,4,0))</f>
        <v>4</v>
      </c>
      <c r="P302" s="22">
        <f>IF('Growth (no penalty)'!O136&gt;0,1,IF('Growth (no penalty)'!O239&gt;0,4,0))</f>
        <v>4</v>
      </c>
      <c r="Q302" s="22">
        <f>IF('Growth (no penalty)'!P136&gt;0,1,IF('Growth (no penalty)'!P239&gt;0,4,0))</f>
        <v>4</v>
      </c>
      <c r="R302" s="22">
        <f>IF('Growth (no penalty)'!Q136&gt;0,1,IF('Growth (no penalty)'!Q239&gt;0,4,0))</f>
        <v>4</v>
      </c>
      <c r="S302" s="22">
        <f>IF('Growth (no penalty)'!R136&gt;0,1,IF('Growth (no penalty)'!R239&gt;0,4,0))</f>
        <v>4</v>
      </c>
      <c r="T302" s="22">
        <f>IF('Growth (no penalty)'!S136&gt;0,1,IF('Growth (no penalty)'!S239&gt;0,4,0))</f>
        <v>4</v>
      </c>
      <c r="U302" s="22">
        <f>IF('Growth (no penalty)'!T136&gt;0,1,IF('Growth (no penalty)'!T239&gt;0,4,0))</f>
        <v>4</v>
      </c>
      <c r="V302" s="22">
        <f>IF('Growth (no penalty)'!U136&gt;0,1,IF('Growth (no penalty)'!U239&gt;0,4,0))</f>
        <v>4</v>
      </c>
      <c r="W302" s="22">
        <f>IF('Growth (no penalty)'!V136&gt;0,1,IF('Growth (no penalty)'!V239&gt;0,4,0))</f>
        <v>4</v>
      </c>
      <c r="X302" s="22">
        <f>IF('Growth (no penalty)'!W136&gt;0,1,IF('Growth (no penalty)'!W239&gt;0,4,0))</f>
        <v>4</v>
      </c>
      <c r="Y302" s="22">
        <f>IF('Growth (no penalty)'!X136&gt;0,1,IF('Growth (no penalty)'!X239&gt;0,4,0))</f>
        <v>4</v>
      </c>
      <c r="Z302" s="22">
        <f>IF('Growth (no penalty)'!Y136&gt;0,1,IF('Growth (no penalty)'!Y239&gt;0,4,0))</f>
        <v>4</v>
      </c>
      <c r="AA302" s="22">
        <f>IF('Growth (no penalty)'!Z136&gt;0,1,IF('Growth (no penalty)'!Z239&gt;0,4,0))</f>
        <v>4</v>
      </c>
      <c r="AB302" s="22">
        <f>IF('Growth (no penalty)'!AA136&gt;0,1,IF('Growth (no penalty)'!AA239&gt;0,4,0))</f>
        <v>4</v>
      </c>
      <c r="AC302" s="22">
        <f>IF('Growth (no penalty)'!AB136&gt;0,1,IF('Growth (no penalty)'!AB239&gt;0,4,0))</f>
        <v>4</v>
      </c>
      <c r="AD302" s="22">
        <f>IF('Growth (no penalty)'!AC136&gt;0,1,IF('Growth (no penalty)'!AC239&gt;0,4,0))</f>
        <v>4</v>
      </c>
      <c r="AE302" s="22">
        <f>IF('Growth (no penalty)'!AD136&gt;0,1,IF('Growth (no penalty)'!AD239&gt;0,4,0))</f>
        <v>4</v>
      </c>
      <c r="AF302" s="22">
        <f>IF('Growth (no penalty)'!AE136&gt;0,1,IF('Growth (no penalty)'!AE239&gt;0,4,0))</f>
        <v>4</v>
      </c>
      <c r="AG302" s="22">
        <f>IF('Growth (no penalty)'!AF136&gt;0,1,IF('Growth (no penalty)'!AF239&gt;0,4,0))</f>
        <v>4</v>
      </c>
      <c r="AH302" s="22">
        <f>IF('Growth (no penalty)'!AG136&gt;0,1,IF('Growth (no penalty)'!AG239&gt;0,4,0))</f>
        <v>4</v>
      </c>
      <c r="AI302" s="22">
        <f>IF('Growth (no penalty)'!AH136&gt;0,1,IF('Growth (no penalty)'!AH239&gt;0,4,0))</f>
        <v>4</v>
      </c>
      <c r="AJ302" s="22">
        <f>IF('Growth (no penalty)'!AI136&gt;0,1,IF('Growth (no penalty)'!AI239&gt;0,4,0))</f>
        <v>4</v>
      </c>
      <c r="AK302" s="22">
        <f>IF('Growth (no penalty)'!AJ136&gt;0,1,IF('Growth (no penalty)'!AJ239&gt;0,4,0))</f>
        <v>4</v>
      </c>
      <c r="AL302" s="22">
        <f>IF('Growth (no penalty)'!AK136&gt;0,1,IF('Growth (no penalty)'!AK239&gt;0,4,0))</f>
        <v>4</v>
      </c>
      <c r="AM302" s="22">
        <f>IF('Growth (no penalty)'!AL136&gt;0,1,IF('Growth (no penalty)'!AL239&gt;0,4,0))</f>
        <v>4</v>
      </c>
      <c r="AN302" s="22">
        <f>IF('Growth (no penalty)'!AM136&gt;0,1,IF('Growth (no penalty)'!AM239&gt;0,4,0))</f>
        <v>4</v>
      </c>
      <c r="AO302" s="22">
        <f>IF('Growth (no penalty)'!AN136&gt;0,1,IF('Growth (no penalty)'!AN239&gt;0,4,0))</f>
        <v>4</v>
      </c>
      <c r="AP302" s="22">
        <f>IF('Growth (no penalty)'!AO136&gt;0,1,IF('Growth (no penalty)'!AO239&gt;0,4,0))</f>
        <v>4</v>
      </c>
      <c r="AQ302" s="22">
        <f>IF('Growth (no penalty)'!AP136&gt;0,1,IF('Growth (no penalty)'!AP239&gt;0,4,0))</f>
        <v>4</v>
      </c>
      <c r="AR302" s="22">
        <f>IF('Growth (no penalty)'!AQ136&gt;0,1,IF('Growth (no penalty)'!AQ239&gt;0,4,0))</f>
        <v>4</v>
      </c>
      <c r="AS302" s="22">
        <f>IF('Growth (no penalty)'!AR136&gt;0,1,IF('Growth (no penalty)'!AR239&gt;0,4,0))</f>
        <v>4</v>
      </c>
      <c r="AT302" s="22">
        <f>IF('Growth (no penalty)'!AS136&gt;0,1,IF('Growth (no penalty)'!AS239&gt;0,4,0))</f>
        <v>4</v>
      </c>
      <c r="AU302" s="22">
        <f>IF('Growth (no penalty)'!AT136&gt;0,1,IF('Growth (no penalty)'!AT239&gt;0,4,0))</f>
        <v>4</v>
      </c>
      <c r="AV302" s="22">
        <f>IF('Growth (no penalty)'!AU136&gt;0,1,IF('Growth (no penalty)'!AU239&gt;0,4,0))</f>
        <v>0</v>
      </c>
      <c r="AW302" s="22">
        <f>IF('Growth (no penalty)'!AV136&gt;0,1,IF('Growth (no penalty)'!AV239&gt;0,4,0))</f>
        <v>0</v>
      </c>
      <c r="AX302" s="22">
        <f>IF('Growth (no penalty)'!AW136&gt;0,1,IF('Growth (no penalty)'!AW239&gt;0,4,0))</f>
        <v>0</v>
      </c>
      <c r="AY302" s="22">
        <f>IF('Growth (no penalty)'!AX136&gt;0,1,IF('Growth (no penalty)'!AX239&gt;0,4,0))</f>
        <v>0</v>
      </c>
      <c r="AZ302" s="22">
        <f>IF('Growth (no penalty)'!AY136&gt;0,1,IF('Growth (no penalty)'!AY239&gt;0,4,0))</f>
        <v>0</v>
      </c>
      <c r="BA302" s="22">
        <f>IF('Growth (no penalty)'!AZ136&gt;0,1,IF('Growth (no penalty)'!AZ239&gt;0,4,0))</f>
        <v>0</v>
      </c>
      <c r="BB302" s="22">
        <f>IF('Growth (no penalty)'!BA136&gt;0,1,IF('Growth (no penalty)'!BA239&gt;0,4,0))</f>
        <v>0</v>
      </c>
      <c r="BC302" s="22">
        <f>IF('Growth (no penalty)'!BB136&gt;0,1,IF('Growth (no penalty)'!BB239&gt;0,4,0))</f>
        <v>0</v>
      </c>
      <c r="BD302" s="22">
        <f>IF('Growth (no penalty)'!BC136&gt;0,1,IF('Growth (no penalty)'!BC239&gt;0,4,0))</f>
        <v>0</v>
      </c>
      <c r="BE302" s="22">
        <f>IF('Growth (no penalty)'!BD136&gt;0,1,IF('Growth (no penalty)'!BD239&gt;0,4,0))</f>
        <v>0</v>
      </c>
      <c r="BF302" s="22">
        <f>IF('Growth (no penalty)'!BE136&gt;0,1,IF('Growth (no penalty)'!BE239&gt;0,4,0))</f>
        <v>0</v>
      </c>
      <c r="BG302" s="22">
        <f>IF('Growth (no penalty)'!BF136&gt;0,1,IF('Growth (no penalty)'!BF239&gt;0,4,0))</f>
        <v>0</v>
      </c>
      <c r="BH302" s="22">
        <f>IF('Growth (no penalty)'!BG136&gt;0,1,IF('Growth (no penalty)'!BG239&gt;0,4,0))</f>
        <v>0</v>
      </c>
      <c r="BI302" s="22">
        <f>IF('Growth (no penalty)'!BH136&gt;0,1,IF('Growth (no penalty)'!BH239&gt;0,4,0))</f>
        <v>0</v>
      </c>
      <c r="BJ302" s="22">
        <f>IF('Growth (no penalty)'!BI136&gt;0,1,IF('Growth (no penalty)'!BI239&gt;0,4,0))</f>
        <v>0</v>
      </c>
      <c r="BK302" s="23">
        <f>IF('Growth (no penalty)'!BJ136&gt;0,1,IF('Growth (no penalty)'!BJ239&gt;0,4,0))</f>
        <v>0</v>
      </c>
    </row>
    <row r="303" spans="1:63" x14ac:dyDescent="0.3">
      <c r="A303" s="4" t="str">
        <f>'Growth profile'!A108</f>
        <v>project 176</v>
      </c>
      <c r="B303" s="13" t="s">
        <v>3</v>
      </c>
      <c r="C303" s="19">
        <f>'Raw profile'!I108</f>
        <v>2043</v>
      </c>
      <c r="D303" s="20">
        <f>IF('Raw profile'!C216&gt;0,1,IF('Raw profile'!C319&gt;0,2,0))</f>
        <v>0</v>
      </c>
      <c r="E303" s="20">
        <f>IF('Raw profile'!D216&gt;0,1,IF('Raw profile'!D319&gt;0,2,0))</f>
        <v>0</v>
      </c>
      <c r="F303" s="20">
        <f>IF('Raw profile'!E216&gt;0,1,IF('Raw profile'!E319&gt;0,2,0))</f>
        <v>0</v>
      </c>
      <c r="G303" s="20">
        <f>IF('Raw profile'!F216&gt;0,1,IF('Raw profile'!F319&gt;0,2,0))</f>
        <v>0</v>
      </c>
      <c r="H303" s="20">
        <f>IF('Raw profile'!G216&gt;0,1,IF('Raw profile'!G319&gt;0,2,0))</f>
        <v>0</v>
      </c>
      <c r="I303" s="20">
        <f>IF('Raw profile'!H216&gt;0,1,IF('Raw profile'!H319&gt;0,2,0))</f>
        <v>0</v>
      </c>
      <c r="J303" s="20">
        <f>IF('Raw profile'!I216&gt;0,1,IF('Raw profile'!I319&gt;0,2,0))</f>
        <v>0</v>
      </c>
      <c r="K303" s="20">
        <f>IF('Raw profile'!J216&gt;0,1,IF('Raw profile'!J319&gt;0,2,0))</f>
        <v>0</v>
      </c>
      <c r="L303" s="20">
        <f>IF('Raw profile'!K216&gt;0,1,IF('Raw profile'!K319&gt;0,2,0))</f>
        <v>0</v>
      </c>
      <c r="M303" s="20">
        <f>IF('Raw profile'!L216&gt;0,1,IF('Raw profile'!L319&gt;0,2,0))</f>
        <v>0</v>
      </c>
      <c r="N303" s="20">
        <f>IF('Raw profile'!M216&gt;0,1,IF('Raw profile'!M319&gt;0,2,0))</f>
        <v>0</v>
      </c>
      <c r="O303" s="20">
        <f>IF('Raw profile'!N216&gt;0,1,IF('Raw profile'!N319&gt;0,2,0))</f>
        <v>0</v>
      </c>
      <c r="P303" s="20">
        <f>IF('Raw profile'!O216&gt;0,1,IF('Raw profile'!O319&gt;0,2,0))</f>
        <v>0</v>
      </c>
      <c r="Q303" s="20">
        <f>IF('Raw profile'!P216&gt;0,1,IF('Raw profile'!P319&gt;0,2,0))</f>
        <v>0</v>
      </c>
      <c r="R303" s="20">
        <f>IF('Raw profile'!Q216&gt;0,1,IF('Raw profile'!Q319&gt;0,2,0))</f>
        <v>0</v>
      </c>
      <c r="S303" s="20">
        <f>IF('Raw profile'!R216&gt;0,1,IF('Raw profile'!R319&gt;0,2,0))</f>
        <v>0</v>
      </c>
      <c r="T303" s="20">
        <f>IF('Raw profile'!S216&gt;0,1,IF('Raw profile'!S319&gt;0,2,0))</f>
        <v>0</v>
      </c>
      <c r="U303" s="20">
        <f>IF('Raw profile'!T216&gt;0,1,IF('Raw profile'!T319&gt;0,2,0))</f>
        <v>1</v>
      </c>
      <c r="V303" s="20">
        <f>IF('Raw profile'!U216&gt;0,1,IF('Raw profile'!U319&gt;0,2,0))</f>
        <v>1</v>
      </c>
      <c r="W303" s="20">
        <f>IF('Raw profile'!V216&gt;0,1,IF('Raw profile'!V319&gt;0,2,0))</f>
        <v>2</v>
      </c>
      <c r="X303" s="20">
        <f>IF('Raw profile'!W216&gt;0,1,IF('Raw profile'!W319&gt;0,2,0))</f>
        <v>2</v>
      </c>
      <c r="Y303" s="20">
        <f>IF('Raw profile'!X216&gt;0,1,IF('Raw profile'!X319&gt;0,2,0))</f>
        <v>2</v>
      </c>
      <c r="Z303" s="20">
        <f>IF('Raw profile'!Y216&gt;0,1,IF('Raw profile'!Y319&gt;0,2,0))</f>
        <v>2</v>
      </c>
      <c r="AA303" s="20">
        <f>IF('Raw profile'!Z216&gt;0,1,IF('Raw profile'!Z319&gt;0,2,0))</f>
        <v>2</v>
      </c>
      <c r="AB303" s="20">
        <f>IF('Raw profile'!AA216&gt;0,1,IF('Raw profile'!AA319&gt;0,2,0))</f>
        <v>2</v>
      </c>
      <c r="AC303" s="20">
        <f>IF('Raw profile'!AB216&gt;0,1,IF('Raw profile'!AB319&gt;0,2,0))</f>
        <v>2</v>
      </c>
      <c r="AD303" s="20">
        <f>IF('Raw profile'!AC216&gt;0,1,IF('Raw profile'!AC319&gt;0,2,0))</f>
        <v>2</v>
      </c>
      <c r="AE303" s="20">
        <f>IF('Raw profile'!AD216&gt;0,1,IF('Raw profile'!AD319&gt;0,2,0))</f>
        <v>2</v>
      </c>
      <c r="AF303" s="20">
        <f>IF('Raw profile'!AE216&gt;0,1,IF('Raw profile'!AE319&gt;0,2,0))</f>
        <v>2</v>
      </c>
      <c r="AG303" s="20">
        <f>IF('Raw profile'!AF216&gt;0,1,IF('Raw profile'!AF319&gt;0,2,0))</f>
        <v>2</v>
      </c>
      <c r="AH303" s="20">
        <f>IF('Raw profile'!AG216&gt;0,1,IF('Raw profile'!AG319&gt;0,2,0))</f>
        <v>2</v>
      </c>
      <c r="AI303" s="20">
        <f>IF('Raw profile'!AH216&gt;0,1,IF('Raw profile'!AH319&gt;0,2,0))</f>
        <v>2</v>
      </c>
      <c r="AJ303" s="20">
        <f>IF('Raw profile'!AI216&gt;0,1,IF('Raw profile'!AI319&gt;0,2,0))</f>
        <v>2</v>
      </c>
      <c r="AK303" s="20">
        <f>IF('Raw profile'!AJ216&gt;0,1,IF('Raw profile'!AJ319&gt;0,2,0))</f>
        <v>2</v>
      </c>
      <c r="AL303" s="20">
        <f>IF('Raw profile'!AK216&gt;0,1,IF('Raw profile'!AK319&gt;0,2,0))</f>
        <v>2</v>
      </c>
      <c r="AM303" s="20">
        <f>IF('Raw profile'!AL216&gt;0,1,IF('Raw profile'!AL319&gt;0,2,0))</f>
        <v>2</v>
      </c>
      <c r="AN303" s="20">
        <f>IF('Raw profile'!AM216&gt;0,1,IF('Raw profile'!AM319&gt;0,2,0))</f>
        <v>2</v>
      </c>
      <c r="AO303" s="20">
        <f>IF('Raw profile'!AN216&gt;0,1,IF('Raw profile'!AN319&gt;0,2,0))</f>
        <v>2</v>
      </c>
      <c r="AP303" s="20">
        <f>IF('Raw profile'!AO216&gt;0,1,IF('Raw profile'!AO319&gt;0,2,0))</f>
        <v>2</v>
      </c>
      <c r="AQ303" s="20">
        <f>IF('Raw profile'!AP216&gt;0,1,IF('Raw profile'!AP319&gt;0,2,0))</f>
        <v>2</v>
      </c>
      <c r="AR303" s="20">
        <f>IF('Raw profile'!AQ216&gt;0,1,IF('Raw profile'!AQ319&gt;0,2,0))</f>
        <v>2</v>
      </c>
      <c r="AS303" s="20">
        <f>IF('Raw profile'!AR216&gt;0,1,IF('Raw profile'!AR319&gt;0,2,0))</f>
        <v>2</v>
      </c>
      <c r="AT303" s="20">
        <f>IF('Raw profile'!AS216&gt;0,1,IF('Raw profile'!AS319&gt;0,2,0))</f>
        <v>2</v>
      </c>
      <c r="AU303" s="20">
        <f>IF('Raw profile'!AT216&gt;0,1,IF('Raw profile'!AT319&gt;0,2,0))</f>
        <v>2</v>
      </c>
      <c r="AV303" s="20">
        <f>IF('Raw profile'!AU216&gt;0,1,IF('Raw profile'!AU319&gt;0,2,0))</f>
        <v>2</v>
      </c>
      <c r="AW303" s="20">
        <f>IF('Raw profile'!AV216&gt;0,1,IF('Raw profile'!AV319&gt;0,2,0))</f>
        <v>2</v>
      </c>
      <c r="AX303" s="20">
        <f>IF('Raw profile'!AW216&gt;0,1,IF('Raw profile'!AW319&gt;0,2,0))</f>
        <v>2</v>
      </c>
      <c r="AY303" s="20">
        <f>IF('Raw profile'!AX216&gt;0,1,IF('Raw profile'!AX319&gt;0,2,0))</f>
        <v>2</v>
      </c>
      <c r="AZ303" s="20">
        <f>IF('Raw profile'!AY216&gt;0,1,IF('Raw profile'!AY319&gt;0,2,0))</f>
        <v>2</v>
      </c>
      <c r="BA303" s="20">
        <f>IF('Raw profile'!AZ216&gt;0,1,IF('Raw profile'!AZ319&gt;0,2,0))</f>
        <v>2</v>
      </c>
      <c r="BB303" s="20">
        <f>IF('Raw profile'!BA216&gt;0,1,IF('Raw profile'!BA319&gt;0,2,0))</f>
        <v>2</v>
      </c>
      <c r="BC303" s="20">
        <f>IF('Raw profile'!BB216&gt;0,1,IF('Raw profile'!BB319&gt;0,2,0))</f>
        <v>2</v>
      </c>
      <c r="BD303" s="20">
        <f>IF('Raw profile'!BC216&gt;0,1,IF('Raw profile'!BC319&gt;0,2,0))</f>
        <v>2</v>
      </c>
      <c r="BE303" s="20">
        <f>IF('Raw profile'!BD216&gt;0,1,IF('Raw profile'!BD319&gt;0,2,0))</f>
        <v>2</v>
      </c>
      <c r="BF303" s="20">
        <f>IF('Raw profile'!BE216&gt;0,1,IF('Raw profile'!BE319&gt;0,2,0))</f>
        <v>2</v>
      </c>
      <c r="BG303" s="20">
        <f>IF('Raw profile'!BF216&gt;0,1,IF('Raw profile'!BF319&gt;0,2,0))</f>
        <v>2</v>
      </c>
      <c r="BH303" s="20">
        <f>IF('Raw profile'!BG216&gt;0,1,IF('Raw profile'!BG319&gt;0,2,0))</f>
        <v>2</v>
      </c>
      <c r="BI303" s="20">
        <f>IF('Raw profile'!BH216&gt;0,1,IF('Raw profile'!BH319&gt;0,2,0))</f>
        <v>2</v>
      </c>
      <c r="BJ303" s="20">
        <f>IF('Raw profile'!BI216&gt;0,1,IF('Raw profile'!BI319&gt;0,2,0))</f>
        <v>2</v>
      </c>
      <c r="BK303" s="21">
        <f>IF('Raw profile'!BJ216&gt;0,1,IF('Raw profile'!BJ319&gt;0,2,0))</f>
        <v>0</v>
      </c>
    </row>
    <row r="304" spans="1:63" x14ac:dyDescent="0.3">
      <c r="B304" s="13" t="s">
        <v>4</v>
      </c>
      <c r="C304" s="19">
        <f>'Growth profile'!I108</f>
        <v>2034</v>
      </c>
      <c r="D304" s="20">
        <f>IF('Growth profile'!C216&gt;0,1,IF('Growth profile'!C319&gt;0,3,0))</f>
        <v>0</v>
      </c>
      <c r="E304" s="20">
        <f>IF('Growth profile'!D216&gt;0,1,IF('Growth profile'!D319&gt;0,3,0))</f>
        <v>0</v>
      </c>
      <c r="F304" s="20">
        <f>IF('Growth profile'!E216&gt;0,1,IF('Growth profile'!E319&gt;0,3,0))</f>
        <v>0</v>
      </c>
      <c r="G304" s="20">
        <f>IF('Growth profile'!F216&gt;0,1,IF('Growth profile'!F319&gt;0,3,0))</f>
        <v>0</v>
      </c>
      <c r="H304" s="20">
        <f>IF('Growth profile'!G216&gt;0,1,IF('Growth profile'!G319&gt;0,3,0))</f>
        <v>0</v>
      </c>
      <c r="I304" s="20">
        <f>IF('Growth profile'!H216&gt;0,1,IF('Growth profile'!H319&gt;0,3,0))</f>
        <v>0</v>
      </c>
      <c r="J304" s="20">
        <f>IF('Growth profile'!I216&gt;0,1,IF('Growth profile'!I319&gt;0,3,0))</f>
        <v>0</v>
      </c>
      <c r="K304" s="20">
        <f>IF('Growth profile'!J216&gt;0,1,IF('Growth profile'!J319&gt;0,3,0))</f>
        <v>0</v>
      </c>
      <c r="L304" s="20">
        <f>IF('Growth profile'!K216&gt;0,1,IF('Growth profile'!K319&gt;0,3,0))</f>
        <v>1</v>
      </c>
      <c r="M304" s="20">
        <f>IF('Growth profile'!L216&gt;0,1,IF('Growth profile'!L319&gt;0,3,0))</f>
        <v>1</v>
      </c>
      <c r="N304" s="20">
        <f>IF('Growth profile'!M216&gt;0,1,IF('Growth profile'!M319&gt;0,3,0))</f>
        <v>3</v>
      </c>
      <c r="O304" s="20">
        <f>IF('Growth profile'!N216&gt;0,1,IF('Growth profile'!N319&gt;0,3,0))</f>
        <v>3</v>
      </c>
      <c r="P304" s="20">
        <f>IF('Growth profile'!O216&gt;0,1,IF('Growth profile'!O319&gt;0,3,0))</f>
        <v>3</v>
      </c>
      <c r="Q304" s="20">
        <f>IF('Growth profile'!P216&gt;0,1,IF('Growth profile'!P319&gt;0,3,0))</f>
        <v>3</v>
      </c>
      <c r="R304" s="20">
        <f>IF('Growth profile'!Q216&gt;0,1,IF('Growth profile'!Q319&gt;0,3,0))</f>
        <v>3</v>
      </c>
      <c r="S304" s="20">
        <f>IF('Growth profile'!R216&gt;0,1,IF('Growth profile'!R319&gt;0,3,0))</f>
        <v>3</v>
      </c>
      <c r="T304" s="20">
        <f>IF('Growth profile'!S216&gt;0,1,IF('Growth profile'!S319&gt;0,3,0))</f>
        <v>3</v>
      </c>
      <c r="U304" s="20">
        <f>IF('Growth profile'!T216&gt;0,1,IF('Growth profile'!T319&gt;0,3,0))</f>
        <v>3</v>
      </c>
      <c r="V304" s="20">
        <f>IF('Growth profile'!U216&gt;0,1,IF('Growth profile'!U319&gt;0,3,0))</f>
        <v>3</v>
      </c>
      <c r="W304" s="20">
        <f>IF('Growth profile'!V216&gt;0,1,IF('Growth profile'!V319&gt;0,3,0))</f>
        <v>3</v>
      </c>
      <c r="X304" s="20">
        <f>IF('Growth profile'!W216&gt;0,1,IF('Growth profile'!W319&gt;0,3,0))</f>
        <v>3</v>
      </c>
      <c r="Y304" s="20">
        <f>IF('Growth profile'!X216&gt;0,1,IF('Growth profile'!X319&gt;0,3,0))</f>
        <v>3</v>
      </c>
      <c r="Z304" s="20">
        <f>IF('Growth profile'!Y216&gt;0,1,IF('Growth profile'!Y319&gt;0,3,0))</f>
        <v>3</v>
      </c>
      <c r="AA304" s="20">
        <f>IF('Growth profile'!Z216&gt;0,1,IF('Growth profile'!Z319&gt;0,3,0))</f>
        <v>3</v>
      </c>
      <c r="AB304" s="20">
        <f>IF('Growth profile'!AA216&gt;0,1,IF('Growth profile'!AA319&gt;0,3,0))</f>
        <v>3</v>
      </c>
      <c r="AC304" s="20">
        <f>IF('Growth profile'!AB216&gt;0,1,IF('Growth profile'!AB319&gt;0,3,0))</f>
        <v>3</v>
      </c>
      <c r="AD304" s="20">
        <f>IF('Growth profile'!AC216&gt;0,1,IF('Growth profile'!AC319&gt;0,3,0))</f>
        <v>3</v>
      </c>
      <c r="AE304" s="20">
        <f>IF('Growth profile'!AD216&gt;0,1,IF('Growth profile'!AD319&gt;0,3,0))</f>
        <v>3</v>
      </c>
      <c r="AF304" s="20">
        <f>IF('Growth profile'!AE216&gt;0,1,IF('Growth profile'!AE319&gt;0,3,0))</f>
        <v>3</v>
      </c>
      <c r="AG304" s="20">
        <f>IF('Growth profile'!AF216&gt;0,1,IF('Growth profile'!AF319&gt;0,3,0))</f>
        <v>3</v>
      </c>
      <c r="AH304" s="20">
        <f>IF('Growth profile'!AG216&gt;0,1,IF('Growth profile'!AG319&gt;0,3,0))</f>
        <v>3</v>
      </c>
      <c r="AI304" s="20">
        <f>IF('Growth profile'!AH216&gt;0,1,IF('Growth profile'!AH319&gt;0,3,0))</f>
        <v>3</v>
      </c>
      <c r="AJ304" s="20">
        <f>IF('Growth profile'!AI216&gt;0,1,IF('Growth profile'!AI319&gt;0,3,0))</f>
        <v>3</v>
      </c>
      <c r="AK304" s="20">
        <f>IF('Growth profile'!AJ216&gt;0,1,IF('Growth profile'!AJ319&gt;0,3,0))</f>
        <v>3</v>
      </c>
      <c r="AL304" s="20">
        <f>IF('Growth profile'!AK216&gt;0,1,IF('Growth profile'!AK319&gt;0,3,0))</f>
        <v>3</v>
      </c>
      <c r="AM304" s="20">
        <f>IF('Growth profile'!AL216&gt;0,1,IF('Growth profile'!AL319&gt;0,3,0))</f>
        <v>3</v>
      </c>
      <c r="AN304" s="20">
        <f>IF('Growth profile'!AM216&gt;0,1,IF('Growth profile'!AM319&gt;0,3,0))</f>
        <v>3</v>
      </c>
      <c r="AO304" s="20">
        <f>IF('Growth profile'!AN216&gt;0,1,IF('Growth profile'!AN319&gt;0,3,0))</f>
        <v>3</v>
      </c>
      <c r="AP304" s="20">
        <f>IF('Growth profile'!AO216&gt;0,1,IF('Growth profile'!AO319&gt;0,3,0))</f>
        <v>3</v>
      </c>
      <c r="AQ304" s="20">
        <f>IF('Growth profile'!AP216&gt;0,1,IF('Growth profile'!AP319&gt;0,3,0))</f>
        <v>3</v>
      </c>
      <c r="AR304" s="20">
        <f>IF('Growth profile'!AQ216&gt;0,1,IF('Growth profile'!AQ319&gt;0,3,0))</f>
        <v>3</v>
      </c>
      <c r="AS304" s="20">
        <f>IF('Growth profile'!AR216&gt;0,1,IF('Growth profile'!AR319&gt;0,3,0))</f>
        <v>3</v>
      </c>
      <c r="AT304" s="20">
        <f>IF('Growth profile'!AS216&gt;0,1,IF('Growth profile'!AS319&gt;0,3,0))</f>
        <v>3</v>
      </c>
      <c r="AU304" s="20">
        <f>IF('Growth profile'!AT216&gt;0,1,IF('Growth profile'!AT319&gt;0,3,0))</f>
        <v>3</v>
      </c>
      <c r="AV304" s="20">
        <f>IF('Growth profile'!AU216&gt;0,1,IF('Growth profile'!AU319&gt;0,3,0))</f>
        <v>3</v>
      </c>
      <c r="AW304" s="20">
        <f>IF('Growth profile'!AV216&gt;0,1,IF('Growth profile'!AV319&gt;0,3,0))</f>
        <v>3</v>
      </c>
      <c r="AX304" s="20">
        <f>IF('Growth profile'!AW216&gt;0,1,IF('Growth profile'!AW319&gt;0,3,0))</f>
        <v>3</v>
      </c>
      <c r="AY304" s="20">
        <f>IF('Growth profile'!AX216&gt;0,1,IF('Growth profile'!AX319&gt;0,3,0))</f>
        <v>3</v>
      </c>
      <c r="AZ304" s="20">
        <f>IF('Growth profile'!AY216&gt;0,1,IF('Growth profile'!AY319&gt;0,3,0))</f>
        <v>3</v>
      </c>
      <c r="BA304" s="20">
        <f>IF('Growth profile'!AZ216&gt;0,1,IF('Growth profile'!AZ319&gt;0,3,0))</f>
        <v>3</v>
      </c>
      <c r="BB304" s="20">
        <f>IF('Growth profile'!BA216&gt;0,1,IF('Growth profile'!BA319&gt;0,3,0))</f>
        <v>0</v>
      </c>
      <c r="BC304" s="20">
        <f>IF('Growth profile'!BB216&gt;0,1,IF('Growth profile'!BB319&gt;0,3,0))</f>
        <v>0</v>
      </c>
      <c r="BD304" s="20">
        <f>IF('Growth profile'!BC216&gt;0,1,IF('Growth profile'!BC319&gt;0,3,0))</f>
        <v>0</v>
      </c>
      <c r="BE304" s="20">
        <f>IF('Growth profile'!BD216&gt;0,1,IF('Growth profile'!BD319&gt;0,3,0))</f>
        <v>0</v>
      </c>
      <c r="BF304" s="20">
        <f>IF('Growth profile'!BE216&gt;0,1,IF('Growth profile'!BE319&gt;0,3,0))</f>
        <v>0</v>
      </c>
      <c r="BG304" s="20">
        <f>IF('Growth profile'!BF216&gt;0,1,IF('Growth profile'!BF319&gt;0,3,0))</f>
        <v>0</v>
      </c>
      <c r="BH304" s="20">
        <f>IF('Growth profile'!BG216&gt;0,1,IF('Growth profile'!BG319&gt;0,3,0))</f>
        <v>0</v>
      </c>
      <c r="BI304" s="20">
        <f>IF('Growth profile'!BH216&gt;0,1,IF('Growth profile'!BH319&gt;0,3,0))</f>
        <v>0</v>
      </c>
      <c r="BJ304" s="20">
        <f>IF('Growth profile'!BI216&gt;0,1,IF('Growth profile'!BI319&gt;0,3,0))</f>
        <v>0</v>
      </c>
      <c r="BK304" s="21">
        <f>IF('Growth profile'!BJ216&gt;0,1,IF('Growth profile'!BJ319&gt;0,3,0))</f>
        <v>0</v>
      </c>
    </row>
    <row r="305" spans="2:63" x14ac:dyDescent="0.3">
      <c r="B305" s="13" t="s">
        <v>59</v>
      </c>
      <c r="C305" s="19">
        <f>'Growth (no penalty)'!I108</f>
        <v>2044</v>
      </c>
      <c r="D305" s="22">
        <f>IF('Growth (no penalty)'!C216&gt;0,1,IF('Growth (no penalty)'!C319&gt;0,4,0))</f>
        <v>0</v>
      </c>
      <c r="E305" s="22">
        <f>IF('Growth (no penalty)'!D216&gt;0,1,IF('Growth (no penalty)'!D319&gt;0,4,0))</f>
        <v>0</v>
      </c>
      <c r="F305" s="22">
        <f>IF('Growth (no penalty)'!E216&gt;0,1,IF('Growth (no penalty)'!E319&gt;0,4,0))</f>
        <v>0</v>
      </c>
      <c r="G305" s="22">
        <f>IF('Growth (no penalty)'!F216&gt;0,1,IF('Growth (no penalty)'!F319&gt;0,4,0))</f>
        <v>0</v>
      </c>
      <c r="H305" s="22">
        <f>IF('Growth (no penalty)'!G216&gt;0,1,IF('Growth (no penalty)'!G319&gt;0,4,0))</f>
        <v>0</v>
      </c>
      <c r="I305" s="22">
        <f>IF('Growth (no penalty)'!H216&gt;0,1,IF('Growth (no penalty)'!H319&gt;0,4,0))</f>
        <v>0</v>
      </c>
      <c r="J305" s="22">
        <f>IF('Growth (no penalty)'!I216&gt;0,1,IF('Growth (no penalty)'!I319&gt;0,4,0))</f>
        <v>0</v>
      </c>
      <c r="K305" s="22">
        <f>IF('Growth (no penalty)'!J216&gt;0,1,IF('Growth (no penalty)'!J319&gt;0,4,0))</f>
        <v>0</v>
      </c>
      <c r="L305" s="22">
        <f>IF('Growth (no penalty)'!K216&gt;0,1,IF('Growth (no penalty)'!K319&gt;0,4,0))</f>
        <v>0</v>
      </c>
      <c r="M305" s="22">
        <f>IF('Growth (no penalty)'!L216&gt;0,1,IF('Growth (no penalty)'!L319&gt;0,4,0))</f>
        <v>0</v>
      </c>
      <c r="N305" s="22">
        <f>IF('Growth (no penalty)'!M216&gt;0,1,IF('Growth (no penalty)'!M319&gt;0,4,0))</f>
        <v>0</v>
      </c>
      <c r="O305" s="22">
        <f>IF('Growth (no penalty)'!N216&gt;0,1,IF('Growth (no penalty)'!N319&gt;0,4,0))</f>
        <v>0</v>
      </c>
      <c r="P305" s="22">
        <f>IF('Growth (no penalty)'!O216&gt;0,1,IF('Growth (no penalty)'!O319&gt;0,4,0))</f>
        <v>0</v>
      </c>
      <c r="Q305" s="22">
        <f>IF('Growth (no penalty)'!P216&gt;0,1,IF('Growth (no penalty)'!P319&gt;0,4,0))</f>
        <v>0</v>
      </c>
      <c r="R305" s="22">
        <f>IF('Growth (no penalty)'!Q216&gt;0,1,IF('Growth (no penalty)'!Q319&gt;0,4,0))</f>
        <v>0</v>
      </c>
      <c r="S305" s="22">
        <f>IF('Growth (no penalty)'!R216&gt;0,1,IF('Growth (no penalty)'!R319&gt;0,4,0))</f>
        <v>0</v>
      </c>
      <c r="T305" s="22">
        <f>IF('Growth (no penalty)'!S216&gt;0,1,IF('Growth (no penalty)'!S319&gt;0,4,0))</f>
        <v>0</v>
      </c>
      <c r="U305" s="22">
        <f>IF('Growth (no penalty)'!T216&gt;0,1,IF('Growth (no penalty)'!T319&gt;0,4,0))</f>
        <v>0</v>
      </c>
      <c r="V305" s="22">
        <f>IF('Growth (no penalty)'!U216&gt;0,1,IF('Growth (no penalty)'!U319&gt;0,4,0))</f>
        <v>1</v>
      </c>
      <c r="W305" s="22">
        <f>IF('Growth (no penalty)'!V216&gt;0,1,IF('Growth (no penalty)'!V319&gt;0,4,0))</f>
        <v>1</v>
      </c>
      <c r="X305" s="22">
        <f>IF('Growth (no penalty)'!W216&gt;0,1,IF('Growth (no penalty)'!W319&gt;0,4,0))</f>
        <v>4</v>
      </c>
      <c r="Y305" s="22">
        <f>IF('Growth (no penalty)'!X216&gt;0,1,IF('Growth (no penalty)'!X319&gt;0,4,0))</f>
        <v>4</v>
      </c>
      <c r="Z305" s="22">
        <f>IF('Growth (no penalty)'!Y216&gt;0,1,IF('Growth (no penalty)'!Y319&gt;0,4,0))</f>
        <v>4</v>
      </c>
      <c r="AA305" s="22">
        <f>IF('Growth (no penalty)'!Z216&gt;0,1,IF('Growth (no penalty)'!Z319&gt;0,4,0))</f>
        <v>4</v>
      </c>
      <c r="AB305" s="22">
        <f>IF('Growth (no penalty)'!AA216&gt;0,1,IF('Growth (no penalty)'!AA319&gt;0,4,0))</f>
        <v>4</v>
      </c>
      <c r="AC305" s="22">
        <f>IF('Growth (no penalty)'!AB216&gt;0,1,IF('Growth (no penalty)'!AB319&gt;0,4,0))</f>
        <v>4</v>
      </c>
      <c r="AD305" s="22">
        <f>IF('Growth (no penalty)'!AC216&gt;0,1,IF('Growth (no penalty)'!AC319&gt;0,4,0))</f>
        <v>4</v>
      </c>
      <c r="AE305" s="22">
        <f>IF('Growth (no penalty)'!AD216&gt;0,1,IF('Growth (no penalty)'!AD319&gt;0,4,0))</f>
        <v>4</v>
      </c>
      <c r="AF305" s="22">
        <f>IF('Growth (no penalty)'!AE216&gt;0,1,IF('Growth (no penalty)'!AE319&gt;0,4,0))</f>
        <v>4</v>
      </c>
      <c r="AG305" s="22">
        <f>IF('Growth (no penalty)'!AF216&gt;0,1,IF('Growth (no penalty)'!AF319&gt;0,4,0))</f>
        <v>4</v>
      </c>
      <c r="AH305" s="22">
        <f>IF('Growth (no penalty)'!AG216&gt;0,1,IF('Growth (no penalty)'!AG319&gt;0,4,0))</f>
        <v>4</v>
      </c>
      <c r="AI305" s="22">
        <f>IF('Growth (no penalty)'!AH216&gt;0,1,IF('Growth (no penalty)'!AH319&gt;0,4,0))</f>
        <v>4</v>
      </c>
      <c r="AJ305" s="22">
        <f>IF('Growth (no penalty)'!AI216&gt;0,1,IF('Growth (no penalty)'!AI319&gt;0,4,0))</f>
        <v>4</v>
      </c>
      <c r="AK305" s="22">
        <f>IF('Growth (no penalty)'!AJ216&gt;0,1,IF('Growth (no penalty)'!AJ319&gt;0,4,0))</f>
        <v>4</v>
      </c>
      <c r="AL305" s="22">
        <f>IF('Growth (no penalty)'!AK216&gt;0,1,IF('Growth (no penalty)'!AK319&gt;0,4,0))</f>
        <v>4</v>
      </c>
      <c r="AM305" s="22">
        <f>IF('Growth (no penalty)'!AL216&gt;0,1,IF('Growth (no penalty)'!AL319&gt;0,4,0))</f>
        <v>4</v>
      </c>
      <c r="AN305" s="22">
        <f>IF('Growth (no penalty)'!AM216&gt;0,1,IF('Growth (no penalty)'!AM319&gt;0,4,0))</f>
        <v>4</v>
      </c>
      <c r="AO305" s="22">
        <f>IF('Growth (no penalty)'!AN216&gt;0,1,IF('Growth (no penalty)'!AN319&gt;0,4,0))</f>
        <v>4</v>
      </c>
      <c r="AP305" s="22">
        <f>IF('Growth (no penalty)'!AO216&gt;0,1,IF('Growth (no penalty)'!AO319&gt;0,4,0))</f>
        <v>4</v>
      </c>
      <c r="AQ305" s="22">
        <f>IF('Growth (no penalty)'!AP216&gt;0,1,IF('Growth (no penalty)'!AP319&gt;0,4,0))</f>
        <v>4</v>
      </c>
      <c r="AR305" s="22">
        <f>IF('Growth (no penalty)'!AQ216&gt;0,1,IF('Growth (no penalty)'!AQ319&gt;0,4,0))</f>
        <v>4</v>
      </c>
      <c r="AS305" s="22">
        <f>IF('Growth (no penalty)'!AR216&gt;0,1,IF('Growth (no penalty)'!AR319&gt;0,4,0))</f>
        <v>4</v>
      </c>
      <c r="AT305" s="22">
        <f>IF('Growth (no penalty)'!AS216&gt;0,1,IF('Growth (no penalty)'!AS319&gt;0,4,0))</f>
        <v>4</v>
      </c>
      <c r="AU305" s="22">
        <f>IF('Growth (no penalty)'!AT216&gt;0,1,IF('Growth (no penalty)'!AT319&gt;0,4,0))</f>
        <v>4</v>
      </c>
      <c r="AV305" s="22">
        <f>IF('Growth (no penalty)'!AU216&gt;0,1,IF('Growth (no penalty)'!AU319&gt;0,4,0))</f>
        <v>4</v>
      </c>
      <c r="AW305" s="22">
        <f>IF('Growth (no penalty)'!AV216&gt;0,1,IF('Growth (no penalty)'!AV319&gt;0,4,0))</f>
        <v>4</v>
      </c>
      <c r="AX305" s="22">
        <f>IF('Growth (no penalty)'!AW216&gt;0,1,IF('Growth (no penalty)'!AW319&gt;0,4,0))</f>
        <v>4</v>
      </c>
      <c r="AY305" s="22">
        <f>IF('Growth (no penalty)'!AX216&gt;0,1,IF('Growth (no penalty)'!AX319&gt;0,4,0))</f>
        <v>4</v>
      </c>
      <c r="AZ305" s="22">
        <f>IF('Growth (no penalty)'!AY216&gt;0,1,IF('Growth (no penalty)'!AY319&gt;0,4,0))</f>
        <v>4</v>
      </c>
      <c r="BA305" s="22">
        <f>IF('Growth (no penalty)'!AZ216&gt;0,1,IF('Growth (no penalty)'!AZ319&gt;0,4,0))</f>
        <v>4</v>
      </c>
      <c r="BB305" s="22">
        <f>IF('Growth (no penalty)'!BA216&gt;0,1,IF('Growth (no penalty)'!BA319&gt;0,4,0))</f>
        <v>4</v>
      </c>
      <c r="BC305" s="22">
        <f>IF('Growth (no penalty)'!BB216&gt;0,1,IF('Growth (no penalty)'!BB319&gt;0,4,0))</f>
        <v>4</v>
      </c>
      <c r="BD305" s="22">
        <f>IF('Growth (no penalty)'!BC216&gt;0,1,IF('Growth (no penalty)'!BC319&gt;0,4,0))</f>
        <v>4</v>
      </c>
      <c r="BE305" s="22">
        <f>IF('Growth (no penalty)'!BD216&gt;0,1,IF('Growth (no penalty)'!BD319&gt;0,4,0))</f>
        <v>4</v>
      </c>
      <c r="BF305" s="22">
        <f>IF('Growth (no penalty)'!BE216&gt;0,1,IF('Growth (no penalty)'!BE319&gt;0,4,0))</f>
        <v>4</v>
      </c>
      <c r="BG305" s="22">
        <f>IF('Growth (no penalty)'!BF216&gt;0,1,IF('Growth (no penalty)'!BF319&gt;0,4,0))</f>
        <v>4</v>
      </c>
      <c r="BH305" s="22">
        <f>IF('Growth (no penalty)'!BG216&gt;0,1,IF('Growth (no penalty)'!BG319&gt;0,4,0))</f>
        <v>4</v>
      </c>
      <c r="BI305" s="22">
        <f>IF('Growth (no penalty)'!BH216&gt;0,1,IF('Growth (no penalty)'!BH319&gt;0,4,0))</f>
        <v>4</v>
      </c>
      <c r="BJ305" s="22">
        <f>IF('Growth (no penalty)'!BI216&gt;0,1,IF('Growth (no penalty)'!BI319&gt;0,4,0))</f>
        <v>4</v>
      </c>
      <c r="BK305" s="23">
        <f>IF('Growth (no penalty)'!BJ216&gt;0,1,IF('Growth (no penalty)'!BJ319&gt;0,4,0))</f>
        <v>4</v>
      </c>
    </row>
  </sheetData>
  <mergeCells count="4">
    <mergeCell ref="AC3:AI3"/>
    <mergeCell ref="E3:K3"/>
    <mergeCell ref="M3:S3"/>
    <mergeCell ref="U3:AA3"/>
  </mergeCells>
  <conditionalFormatting sqref="D6:BK305">
    <cfRule type="cellIs" dxfId="33" priority="1" operator="equal">
      <formula>1</formula>
    </cfRule>
    <cfRule type="cellIs" dxfId="32" priority="2" operator="equal">
      <formula>2</formula>
    </cfRule>
    <cfRule type="cellIs" dxfId="31" priority="3" operator="equal">
      <formula>3</formula>
    </cfRule>
    <cfRule type="cellIs" dxfId="30" priority="4" operator="equal">
      <formula>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4" customWidth="1"/>
    <col min="3" max="4" width="9" customWidth="1"/>
    <col min="5" max="5" width="11" customWidth="1"/>
    <col min="6" max="8" width="9" customWidth="1"/>
    <col min="9" max="9" width="8" customWidth="1"/>
    <col min="10" max="11" width="11" customWidth="1"/>
    <col min="12" max="12" width="10" customWidth="1"/>
    <col min="13" max="14" width="11" customWidth="1"/>
    <col min="15" max="15" width="30" customWidth="1"/>
    <col min="16" max="17" width="13" customWidth="1"/>
  </cols>
  <sheetData>
    <row r="1" spans="1:17" ht="17.399999999999999" x14ac:dyDescent="0.3">
      <c r="A1" s="1" t="s">
        <v>60</v>
      </c>
    </row>
    <row r="2" spans="1:17" x14ac:dyDescent="0.3">
      <c r="A2" s="2" t="s">
        <v>61</v>
      </c>
    </row>
    <row r="4" spans="1:17" ht="45" customHeight="1" x14ac:dyDescent="0.3">
      <c r="A4" s="3" t="s">
        <v>56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  <c r="M4" s="3" t="s">
        <v>73</v>
      </c>
      <c r="N4" s="3" t="s">
        <v>8</v>
      </c>
      <c r="O4" s="3" t="s">
        <v>74</v>
      </c>
      <c r="P4" s="3" t="s">
        <v>75</v>
      </c>
      <c r="Q4" s="3" t="s">
        <v>76</v>
      </c>
    </row>
    <row r="5" spans="1:17" x14ac:dyDescent="0.3">
      <c r="A5" s="24" t="str">
        <f>'Growth profile'!A41</f>
        <v>project 33</v>
      </c>
      <c r="B5" s="24" t="str">
        <f>'Growth profile'!B41</f>
        <v>random growth</v>
      </c>
      <c r="C5" s="6">
        <f>'Growth profile'!C41</f>
        <v>3</v>
      </c>
      <c r="D5" s="25">
        <f>'Growth profile'!D41</f>
        <v>3.38</v>
      </c>
      <c r="E5" s="5">
        <f>'Growth profile'!E41</f>
        <v>8.9736750000000001</v>
      </c>
      <c r="F5" s="26">
        <f>'Growth profile'!H41</f>
        <v>0.03</v>
      </c>
      <c r="G5" s="6">
        <f>'Raw profile'!I41</f>
        <v>2026</v>
      </c>
      <c r="H5" s="6">
        <f>'Growth profile'!I41</f>
        <v>2043</v>
      </c>
      <c r="I5" s="27">
        <f t="shared" ref="I5:I36" si="0">H5-G5</f>
        <v>17</v>
      </c>
      <c r="J5" s="5">
        <f>'Raw profile'!O41</f>
        <v>30.236451088235285</v>
      </c>
      <c r="K5" s="5">
        <f>'Growth profile'!O41</f>
        <v>69.481946161614147</v>
      </c>
      <c r="L5" s="8">
        <f>MIN('Growth profile'!L41,2085)</f>
        <v>2084</v>
      </c>
      <c r="M5" s="6">
        <f>'Growth profile'!N41</f>
        <v>0</v>
      </c>
      <c r="N5" s="15" t="str">
        <f t="shared" ref="N5:N36" si="1">IF(F5&lt;0,"shrinking",IF(F5&lt;0.015,"under 1.5%",IF(F5&lt;0.018,"1.5% to 1.8%","1.8% and over")))</f>
        <v>1.8% and over</v>
      </c>
      <c r="O5" s="15" t="str">
        <f t="shared" ref="O5:O36" si="2">IF(I5&gt;0,IF(L5=2085,"Deferred - pinned to horizon end","Deferred"),IF(I5&lt;0,"Accelerated","Unchanged"))</f>
        <v>Deferred</v>
      </c>
      <c r="P5" s="6">
        <f>'Growth (no penalty)'!I41</f>
        <v>2044</v>
      </c>
      <c r="Q5" s="27">
        <f t="shared" ref="Q5:Q36" si="3">P5-G5</f>
        <v>18</v>
      </c>
    </row>
    <row r="6" spans="1:17" x14ac:dyDescent="0.3">
      <c r="A6" s="24" t="str">
        <f>'Growth profile'!A51</f>
        <v>project 48</v>
      </c>
      <c r="B6" s="24" t="str">
        <f>'Growth profile'!B51</f>
        <v>random growth</v>
      </c>
      <c r="C6" s="6">
        <f>'Growth profile'!C51</f>
        <v>1</v>
      </c>
      <c r="D6" s="25">
        <f>'Growth profile'!D51</f>
        <v>7</v>
      </c>
      <c r="E6" s="5">
        <f>'Growth profile'!E51</f>
        <v>1.006</v>
      </c>
      <c r="F6" s="26">
        <f>'Growth profile'!H51</f>
        <v>2.9899999999999999E-2</v>
      </c>
      <c r="G6" s="6">
        <f>'Raw profile'!I51</f>
        <v>2026</v>
      </c>
      <c r="H6" s="6">
        <f>'Growth profile'!I51</f>
        <v>2043</v>
      </c>
      <c r="I6" s="27">
        <f t="shared" si="0"/>
        <v>17</v>
      </c>
      <c r="J6" s="5">
        <f>'Raw profile'!O51</f>
        <v>6.945921568627452</v>
      </c>
      <c r="K6" s="5">
        <f>'Growth profile'!O51</f>
        <v>15.899035839511072</v>
      </c>
      <c r="L6" s="8">
        <f>MIN('Growth profile'!L51,2085)</f>
        <v>2084</v>
      </c>
      <c r="M6" s="6">
        <f>'Growth profile'!N51</f>
        <v>0</v>
      </c>
      <c r="N6" s="15" t="str">
        <f t="shared" si="1"/>
        <v>1.8% and over</v>
      </c>
      <c r="O6" s="15" t="str">
        <f t="shared" si="2"/>
        <v>Deferred</v>
      </c>
      <c r="P6" s="6">
        <f>'Growth (no penalty)'!I51</f>
        <v>2044</v>
      </c>
      <c r="Q6" s="27">
        <f t="shared" si="3"/>
        <v>18</v>
      </c>
    </row>
    <row r="7" spans="1:17" x14ac:dyDescent="0.3">
      <c r="A7" s="24" t="str">
        <f>'Growth profile'!A83</f>
        <v>project 125</v>
      </c>
      <c r="B7" s="24" t="str">
        <f>'Growth profile'!B83</f>
        <v>random growth</v>
      </c>
      <c r="C7" s="6">
        <f>'Growth profile'!C83</f>
        <v>5</v>
      </c>
      <c r="D7" s="25">
        <f>'Growth profile'!D83</f>
        <v>3.05</v>
      </c>
      <c r="E7" s="5">
        <f>'Growth profile'!E83</f>
        <v>94.762110726643598</v>
      </c>
      <c r="F7" s="26">
        <f>'Growth profile'!H83</f>
        <v>2.76E-2</v>
      </c>
      <c r="G7" s="6">
        <f>'Raw profile'!I83</f>
        <v>2026</v>
      </c>
      <c r="H7" s="6">
        <f>'Growth profile'!I83</f>
        <v>2042</v>
      </c>
      <c r="I7" s="27">
        <f t="shared" si="0"/>
        <v>16</v>
      </c>
      <c r="J7" s="5">
        <f>'Raw profile'!O83</f>
        <v>284.79522440464063</v>
      </c>
      <c r="K7" s="5">
        <f>'Growth profile'!O83</f>
        <v>589.33159859902514</v>
      </c>
      <c r="L7" s="8">
        <f>MIN('Growth profile'!L83,2085)</f>
        <v>2083</v>
      </c>
      <c r="M7" s="6">
        <f>'Growth profile'!N83</f>
        <v>0</v>
      </c>
      <c r="N7" s="15" t="str">
        <f t="shared" si="1"/>
        <v>1.8% and over</v>
      </c>
      <c r="O7" s="15" t="str">
        <f t="shared" si="2"/>
        <v>Deferred</v>
      </c>
      <c r="P7" s="6">
        <f>'Growth (no penalty)'!I83</f>
        <v>2044</v>
      </c>
      <c r="Q7" s="27">
        <f t="shared" si="3"/>
        <v>18</v>
      </c>
    </row>
    <row r="8" spans="1:17" x14ac:dyDescent="0.3">
      <c r="A8" s="24" t="str">
        <f>'Growth profile'!A56</f>
        <v>project 56</v>
      </c>
      <c r="B8" s="24" t="str">
        <f>'Growth profile'!B56</f>
        <v>random growth</v>
      </c>
      <c r="C8" s="6">
        <f>'Growth profile'!C56</f>
        <v>1</v>
      </c>
      <c r="D8" s="25">
        <f>'Growth profile'!D56</f>
        <v>5.43</v>
      </c>
      <c r="E8" s="5">
        <f>'Growth profile'!E56</f>
        <v>5.3249999999999999E-2</v>
      </c>
      <c r="F8" s="26">
        <f>'Growth profile'!H56</f>
        <v>2.4400000000000002E-2</v>
      </c>
      <c r="G8" s="6">
        <f>'Raw profile'!I56</f>
        <v>2026</v>
      </c>
      <c r="H8" s="6">
        <f>'Growth profile'!I56</f>
        <v>2042</v>
      </c>
      <c r="I8" s="27">
        <f t="shared" si="0"/>
        <v>16</v>
      </c>
      <c r="J8" s="5">
        <f>'Raw profile'!O56</f>
        <v>0.28914750000000017</v>
      </c>
      <c r="K8" s="5">
        <f>'Growth profile'!O56</f>
        <v>0.51625002518298635</v>
      </c>
      <c r="L8" s="8">
        <f>MIN('Growth profile'!L56,2085)</f>
        <v>2082</v>
      </c>
      <c r="M8" s="6">
        <f>'Growth profile'!N56</f>
        <v>0</v>
      </c>
      <c r="N8" s="15" t="str">
        <f t="shared" si="1"/>
        <v>1.8% and over</v>
      </c>
      <c r="O8" s="15" t="str">
        <f t="shared" si="2"/>
        <v>Deferred</v>
      </c>
      <c r="P8" s="6">
        <f>'Growth (no penalty)'!I56</f>
        <v>2045</v>
      </c>
      <c r="Q8" s="27">
        <f t="shared" si="3"/>
        <v>19</v>
      </c>
    </row>
    <row r="9" spans="1:17" x14ac:dyDescent="0.3">
      <c r="A9" s="24" t="str">
        <f>'Growth profile'!A64</f>
        <v>project 84</v>
      </c>
      <c r="B9" s="24" t="str">
        <f>'Growth profile'!B64</f>
        <v>random growth</v>
      </c>
      <c r="C9" s="6">
        <f>'Growth profile'!C64</f>
        <v>1</v>
      </c>
      <c r="D9" s="25">
        <f>'Growth profile'!D64</f>
        <v>1.87</v>
      </c>
      <c r="E9" s="5">
        <f>'Growth profile'!E64</f>
        <v>1.149563725490196</v>
      </c>
      <c r="F9" s="26">
        <f>'Growth profile'!H64</f>
        <v>2.9100000000000001E-2</v>
      </c>
      <c r="G9" s="6">
        <f>'Raw profile'!I64</f>
        <v>2026</v>
      </c>
      <c r="H9" s="6">
        <f>'Growth profile'!I64</f>
        <v>2042</v>
      </c>
      <c r="I9" s="27">
        <f t="shared" si="0"/>
        <v>16</v>
      </c>
      <c r="J9" s="5">
        <f>'Raw profile'!O64</f>
        <v>2.1496841666666664</v>
      </c>
      <c r="K9" s="5">
        <f>'Growth profile'!O64</f>
        <v>4.5645554627246483</v>
      </c>
      <c r="L9" s="8">
        <f>MIN('Growth profile'!L64,2085)</f>
        <v>2082</v>
      </c>
      <c r="M9" s="6">
        <f>'Growth profile'!N64</f>
        <v>0</v>
      </c>
      <c r="N9" s="15" t="str">
        <f t="shared" si="1"/>
        <v>1.8% and over</v>
      </c>
      <c r="O9" s="15" t="str">
        <f t="shared" si="2"/>
        <v>Deferred</v>
      </c>
      <c r="P9" s="6">
        <f>'Growth (no penalty)'!I64</f>
        <v>2045</v>
      </c>
      <c r="Q9" s="27">
        <f t="shared" si="3"/>
        <v>19</v>
      </c>
    </row>
    <row r="10" spans="1:17" x14ac:dyDescent="0.3">
      <c r="A10" s="24" t="str">
        <f>'Growth profile'!A84</f>
        <v>project 126</v>
      </c>
      <c r="B10" s="24" t="str">
        <f>'Growth profile'!B84</f>
        <v>random growth</v>
      </c>
      <c r="C10" s="6">
        <f>'Growth profile'!C84</f>
        <v>5</v>
      </c>
      <c r="D10" s="25">
        <f>'Growth profile'!D84</f>
        <v>2.92</v>
      </c>
      <c r="E10" s="5">
        <f>'Growth profile'!E84</f>
        <v>104.79906144695479</v>
      </c>
      <c r="F10" s="26">
        <f>'Growth profile'!H84</f>
        <v>2.6599999999999999E-2</v>
      </c>
      <c r="G10" s="6">
        <f>'Raw profile'!I84</f>
        <v>2026</v>
      </c>
      <c r="H10" s="6">
        <f>'Growth profile'!I84</f>
        <v>2041</v>
      </c>
      <c r="I10" s="27">
        <f t="shared" si="0"/>
        <v>15</v>
      </c>
      <c r="J10" s="5">
        <f>'Raw profile'!O84</f>
        <v>295.12680408154904</v>
      </c>
      <c r="K10" s="5">
        <f>'Growth profile'!O84</f>
        <v>616.50865772134159</v>
      </c>
      <c r="L10" s="8">
        <f>MIN('Growth profile'!L84,2085)</f>
        <v>2084</v>
      </c>
      <c r="M10" s="6">
        <f>'Growth profile'!N84</f>
        <v>0</v>
      </c>
      <c r="N10" s="15" t="str">
        <f t="shared" si="1"/>
        <v>1.8% and over</v>
      </c>
      <c r="O10" s="15" t="str">
        <f t="shared" si="2"/>
        <v>Deferred</v>
      </c>
      <c r="P10" s="6">
        <f>'Growth (no penalty)'!I84</f>
        <v>2042</v>
      </c>
      <c r="Q10" s="27">
        <f t="shared" si="3"/>
        <v>16</v>
      </c>
    </row>
    <row r="11" spans="1:17" x14ac:dyDescent="0.3">
      <c r="A11" s="24" t="str">
        <f>'Growth profile'!A98</f>
        <v>project 156</v>
      </c>
      <c r="B11" s="24" t="str">
        <f>'Growth profile'!B98</f>
        <v>random growth</v>
      </c>
      <c r="C11" s="6">
        <f>'Growth profile'!C98</f>
        <v>4</v>
      </c>
      <c r="D11" s="25">
        <f>'Growth profile'!D98</f>
        <v>3.2</v>
      </c>
      <c r="E11" s="5">
        <f>'Growth profile'!E98</f>
        <v>16.21399452876566</v>
      </c>
      <c r="F11" s="26">
        <f>'Growth profile'!H98</f>
        <v>2.7400000000000001E-2</v>
      </c>
      <c r="G11" s="6">
        <f>'Raw profile'!I98</f>
        <v>2026</v>
      </c>
      <c r="H11" s="6">
        <f>'Growth profile'!I98</f>
        <v>2040</v>
      </c>
      <c r="I11" s="27">
        <f t="shared" si="0"/>
        <v>14</v>
      </c>
      <c r="J11" s="5">
        <f>'Raw profile'!O98</f>
        <v>49.69644173578596</v>
      </c>
      <c r="K11" s="5">
        <f>'Growth profile'!O98</f>
        <v>105.93552478035025</v>
      </c>
      <c r="L11" s="8">
        <f>MIN('Growth profile'!L98,2085)</f>
        <v>2083</v>
      </c>
      <c r="M11" s="6">
        <f>'Growth profile'!N98</f>
        <v>0</v>
      </c>
      <c r="N11" s="15" t="str">
        <f t="shared" si="1"/>
        <v>1.8% and over</v>
      </c>
      <c r="O11" s="15" t="str">
        <f t="shared" si="2"/>
        <v>Deferred</v>
      </c>
      <c r="P11" s="6">
        <f>'Growth (no penalty)'!I98</f>
        <v>2042</v>
      </c>
      <c r="Q11" s="27">
        <f t="shared" si="3"/>
        <v>16</v>
      </c>
    </row>
    <row r="12" spans="1:17" x14ac:dyDescent="0.3">
      <c r="A12" s="24" t="str">
        <f>'Growth profile'!A102</f>
        <v>project 162</v>
      </c>
      <c r="B12" s="24" t="str">
        <f>'Growth profile'!B102</f>
        <v>random growth</v>
      </c>
      <c r="C12" s="6">
        <f>'Growth profile'!C102</f>
        <v>3</v>
      </c>
      <c r="D12" s="25">
        <f>'Growth profile'!D102</f>
        <v>2.94</v>
      </c>
      <c r="E12" s="5">
        <f>'Growth profile'!E102</f>
        <v>11.06142560553633</v>
      </c>
      <c r="F12" s="26">
        <f>'Growth profile'!H102</f>
        <v>2.46E-2</v>
      </c>
      <c r="G12" s="6">
        <f>'Raw profile'!I102</f>
        <v>2027</v>
      </c>
      <c r="H12" s="6">
        <f>'Growth profile'!I102</f>
        <v>2041</v>
      </c>
      <c r="I12" s="27">
        <f t="shared" si="0"/>
        <v>14</v>
      </c>
      <c r="J12" s="5">
        <f>'Raw profile'!O102</f>
        <v>31.299625603749323</v>
      </c>
      <c r="K12" s="5">
        <f>'Growth profile'!O102</f>
        <v>60.017609479251881</v>
      </c>
      <c r="L12" s="8">
        <f>MIN('Growth profile'!L102,2085)</f>
        <v>2083</v>
      </c>
      <c r="M12" s="6">
        <f>'Growth profile'!N102</f>
        <v>0</v>
      </c>
      <c r="N12" s="15" t="str">
        <f t="shared" si="1"/>
        <v>1.8% and over</v>
      </c>
      <c r="O12" s="15" t="str">
        <f t="shared" si="2"/>
        <v>Deferred</v>
      </c>
      <c r="P12" s="6">
        <f>'Growth (no penalty)'!I102</f>
        <v>2043</v>
      </c>
      <c r="Q12" s="27">
        <f t="shared" si="3"/>
        <v>16</v>
      </c>
    </row>
    <row r="13" spans="1:17" x14ac:dyDescent="0.3">
      <c r="A13" s="24" t="str">
        <f>'Growth profile'!A24</f>
        <v>project 1</v>
      </c>
      <c r="B13" s="24" t="str">
        <f>'Growth profile'!B24</f>
        <v>anchor: top BCR 7, +3%</v>
      </c>
      <c r="C13" s="6">
        <f>'Growth profile'!C24</f>
        <v>4</v>
      </c>
      <c r="D13" s="25">
        <f>'Growth profile'!D24</f>
        <v>7</v>
      </c>
      <c r="E13" s="5">
        <f>'Growth profile'!E24</f>
        <v>36.329552279424362</v>
      </c>
      <c r="F13" s="26">
        <f>'Growth profile'!H24</f>
        <v>0.03</v>
      </c>
      <c r="G13" s="6">
        <f>'Raw profile'!I24</f>
        <v>2026</v>
      </c>
      <c r="H13" s="6">
        <f>'Growth profile'!I24</f>
        <v>2039</v>
      </c>
      <c r="I13" s="27">
        <f t="shared" si="0"/>
        <v>13</v>
      </c>
      <c r="J13" s="5">
        <f>'Raw profile'!O24</f>
        <v>240.2860448528541</v>
      </c>
      <c r="K13" s="5">
        <f>'Growth profile'!O24</f>
        <v>594.63486839421773</v>
      </c>
      <c r="L13" s="8">
        <f>MIN('Growth profile'!L24,2085)</f>
        <v>2084</v>
      </c>
      <c r="M13" s="6">
        <f>'Growth profile'!N24</f>
        <v>0</v>
      </c>
      <c r="N13" s="15" t="str">
        <f t="shared" si="1"/>
        <v>1.8% and over</v>
      </c>
      <c r="O13" s="15" t="str">
        <f t="shared" si="2"/>
        <v>Deferred</v>
      </c>
      <c r="P13" s="6">
        <f>'Growth (no penalty)'!I24</f>
        <v>2040</v>
      </c>
      <c r="Q13" s="27">
        <f t="shared" si="3"/>
        <v>14</v>
      </c>
    </row>
    <row r="14" spans="1:17" x14ac:dyDescent="0.3">
      <c r="A14" s="24" t="str">
        <f>'Growth profile'!A119</f>
        <v>project 200</v>
      </c>
      <c r="B14" s="24" t="str">
        <f>'Growth profile'!B119</f>
        <v>random growth</v>
      </c>
      <c r="C14" s="6">
        <f>'Growth profile'!C119</f>
        <v>1</v>
      </c>
      <c r="D14" s="25">
        <f>'Growth profile'!D119</f>
        <v>1.97</v>
      </c>
      <c r="E14" s="5">
        <f>'Growth profile'!E119</f>
        <v>0.79345245098039219</v>
      </c>
      <c r="F14" s="26">
        <f>'Growth profile'!H119</f>
        <v>2.7199999999999998E-2</v>
      </c>
      <c r="G14" s="6">
        <f>'Raw profile'!I119</f>
        <v>2026</v>
      </c>
      <c r="H14" s="6">
        <f>'Growth profile'!I119</f>
        <v>2039</v>
      </c>
      <c r="I14" s="27">
        <f t="shared" si="0"/>
        <v>13</v>
      </c>
      <c r="J14" s="5">
        <f>'Raw profile'!O119</f>
        <v>1.5612809151287967</v>
      </c>
      <c r="K14" s="5">
        <f>'Growth profile'!O119</f>
        <v>3.083895819654713</v>
      </c>
      <c r="L14" s="8">
        <f>MIN('Growth profile'!L119,2085)</f>
        <v>2080</v>
      </c>
      <c r="M14" s="6">
        <f>'Growth profile'!N119</f>
        <v>0</v>
      </c>
      <c r="N14" s="15" t="str">
        <f t="shared" si="1"/>
        <v>1.8% and over</v>
      </c>
      <c r="O14" s="15" t="str">
        <f t="shared" si="2"/>
        <v>Deferred</v>
      </c>
      <c r="P14" s="6">
        <f>'Growth (no penalty)'!I119</f>
        <v>2044</v>
      </c>
      <c r="Q14" s="27">
        <f t="shared" si="3"/>
        <v>18</v>
      </c>
    </row>
    <row r="15" spans="1:17" x14ac:dyDescent="0.3">
      <c r="A15" s="24" t="str">
        <f>'Growth profile'!A70</f>
        <v>project 100</v>
      </c>
      <c r="B15" s="24" t="str">
        <f>'Growth profile'!B70</f>
        <v>random growth</v>
      </c>
      <c r="C15" s="6">
        <f>'Growth profile'!C70</f>
        <v>4</v>
      </c>
      <c r="D15" s="25">
        <f>'Growth profile'!D70</f>
        <v>2.21</v>
      </c>
      <c r="E15" s="5">
        <f>'Growth profile'!E70</f>
        <v>17.9843137254902</v>
      </c>
      <c r="F15" s="26">
        <f>'Growth profile'!H70</f>
        <v>2.7400000000000001E-2</v>
      </c>
      <c r="G15" s="6">
        <f>'Raw profile'!I70</f>
        <v>2026</v>
      </c>
      <c r="H15" s="6">
        <f>'Growth profile'!I70</f>
        <v>2038</v>
      </c>
      <c r="I15" s="27">
        <f t="shared" si="0"/>
        <v>12</v>
      </c>
      <c r="J15" s="5">
        <f>'Raw profile'!O70</f>
        <v>39.386346405228757</v>
      </c>
      <c r="K15" s="5">
        <f>'Growth profile'!O70</f>
        <v>77.531166278752764</v>
      </c>
      <c r="L15" s="8">
        <f>MIN('Growth profile'!L70,2085)</f>
        <v>2079</v>
      </c>
      <c r="M15" s="6">
        <f>'Growth profile'!N70</f>
        <v>0</v>
      </c>
      <c r="N15" s="15" t="str">
        <f t="shared" si="1"/>
        <v>1.8% and over</v>
      </c>
      <c r="O15" s="15" t="str">
        <f t="shared" si="2"/>
        <v>Deferred</v>
      </c>
      <c r="P15" s="6">
        <f>'Growth (no penalty)'!I70</f>
        <v>2044</v>
      </c>
      <c r="Q15" s="27">
        <f t="shared" si="3"/>
        <v>18</v>
      </c>
    </row>
    <row r="16" spans="1:17" x14ac:dyDescent="0.3">
      <c r="A16" s="24" t="str">
        <f>'Growth profile'!A29</f>
        <v>project 12</v>
      </c>
      <c r="B16" s="24" t="str">
        <f>'Growth profile'!B29</f>
        <v>random growth</v>
      </c>
      <c r="C16" s="6">
        <f>'Growth profile'!C29</f>
        <v>2</v>
      </c>
      <c r="D16" s="25">
        <f>'Growth profile'!D29</f>
        <v>2.0699999999999998</v>
      </c>
      <c r="E16" s="5">
        <f>'Growth profile'!E29</f>
        <v>2.9836078431372548</v>
      </c>
      <c r="F16" s="26">
        <f>'Growth profile'!H29</f>
        <v>2.3099999999999999E-2</v>
      </c>
      <c r="G16" s="6">
        <f>'Raw profile'!I29</f>
        <v>2026</v>
      </c>
      <c r="H16" s="6">
        <f>'Growth profile'!I29</f>
        <v>2037</v>
      </c>
      <c r="I16" s="27">
        <f t="shared" si="0"/>
        <v>11</v>
      </c>
      <c r="J16" s="5">
        <f>'Raw profile'!O29</f>
        <v>6.1478753287197243</v>
      </c>
      <c r="K16" s="5">
        <f>'Growth profile'!O29</f>
        <v>10.40434455898342</v>
      </c>
      <c r="L16" s="8">
        <f>MIN('Growth profile'!L29,2085)</f>
        <v>2078</v>
      </c>
      <c r="M16" s="6">
        <f>'Growth profile'!N29</f>
        <v>0</v>
      </c>
      <c r="N16" s="15" t="str">
        <f t="shared" si="1"/>
        <v>1.8% and over</v>
      </c>
      <c r="O16" s="15" t="str">
        <f t="shared" si="2"/>
        <v>Deferred</v>
      </c>
      <c r="P16" s="6">
        <f>'Growth (no penalty)'!I29</f>
        <v>2044</v>
      </c>
      <c r="Q16" s="27">
        <f t="shared" si="3"/>
        <v>18</v>
      </c>
    </row>
    <row r="17" spans="1:17" x14ac:dyDescent="0.3">
      <c r="A17" s="24" t="str">
        <f>'Growth profile'!A112</f>
        <v>project 184</v>
      </c>
      <c r="B17" s="24" t="str">
        <f>'Growth profile'!B112</f>
        <v>random growth</v>
      </c>
      <c r="C17" s="6">
        <f>'Growth profile'!C112</f>
        <v>2</v>
      </c>
      <c r="D17" s="25">
        <f>'Growth profile'!D112</f>
        <v>2.65</v>
      </c>
      <c r="E17" s="5">
        <f>'Growth profile'!E112</f>
        <v>2.8233730000000001</v>
      </c>
      <c r="F17" s="26">
        <f>'Growth profile'!H112</f>
        <v>2.18E-2</v>
      </c>
      <c r="G17" s="6">
        <f>'Raw profile'!I112</f>
        <v>2026</v>
      </c>
      <c r="H17" s="6">
        <f>'Growth profile'!I112</f>
        <v>2037</v>
      </c>
      <c r="I17" s="27">
        <f t="shared" si="0"/>
        <v>11</v>
      </c>
      <c r="J17" s="5">
        <f>'Raw profile'!O112</f>
        <v>7.4819384499999977</v>
      </c>
      <c r="K17" s="5">
        <f>'Growth profile'!O112</f>
        <v>11.858082373886914</v>
      </c>
      <c r="L17" s="8">
        <f>MIN('Growth profile'!L112,2085)</f>
        <v>2077</v>
      </c>
      <c r="M17" s="6">
        <f>'Growth profile'!N112</f>
        <v>0</v>
      </c>
      <c r="N17" s="15" t="str">
        <f t="shared" si="1"/>
        <v>1.8% and over</v>
      </c>
      <c r="O17" s="15" t="str">
        <f t="shared" si="2"/>
        <v>Deferred</v>
      </c>
      <c r="P17" s="6">
        <f>'Growth (no penalty)'!I112</f>
        <v>2045</v>
      </c>
      <c r="Q17" s="27">
        <f t="shared" si="3"/>
        <v>19</v>
      </c>
    </row>
    <row r="18" spans="1:17" x14ac:dyDescent="0.3">
      <c r="A18" s="24" t="str">
        <f>'Growth profile'!A118</f>
        <v>project 195</v>
      </c>
      <c r="B18" s="24" t="str">
        <f>'Growth profile'!B118</f>
        <v>random growth</v>
      </c>
      <c r="C18" s="6">
        <f>'Growth profile'!C118</f>
        <v>1</v>
      </c>
      <c r="D18" s="25">
        <f>'Growth profile'!D118</f>
        <v>1.96</v>
      </c>
      <c r="E18" s="5">
        <f>'Growth profile'!E118</f>
        <v>0.84528292156862739</v>
      </c>
      <c r="F18" s="26">
        <f>'Growth profile'!H118</f>
        <v>2.81E-2</v>
      </c>
      <c r="G18" s="6">
        <f>'Raw profile'!I118</f>
        <v>2032</v>
      </c>
      <c r="H18" s="6">
        <f>'Growth profile'!I118</f>
        <v>2042</v>
      </c>
      <c r="I18" s="27">
        <f t="shared" si="0"/>
        <v>10</v>
      </c>
      <c r="J18" s="5">
        <f>'Raw profile'!O118</f>
        <v>1.4739021226131792</v>
      </c>
      <c r="K18" s="5">
        <f>'Growth profile'!O118</f>
        <v>3.4715308263474625</v>
      </c>
      <c r="L18" s="8">
        <f>MIN('Growth profile'!L118,2085)</f>
        <v>2083</v>
      </c>
      <c r="M18" s="6">
        <f>'Growth profile'!N118</f>
        <v>0</v>
      </c>
      <c r="N18" s="15" t="str">
        <f t="shared" si="1"/>
        <v>1.8% and over</v>
      </c>
      <c r="O18" s="15" t="str">
        <f t="shared" si="2"/>
        <v>Deferred</v>
      </c>
      <c r="P18" s="6">
        <f>'Growth (no penalty)'!I118</f>
        <v>2044</v>
      </c>
      <c r="Q18" s="27">
        <f t="shared" si="3"/>
        <v>12</v>
      </c>
    </row>
    <row r="19" spans="1:17" x14ac:dyDescent="0.3">
      <c r="A19" s="24" t="str">
        <f>'Growth profile'!A32</f>
        <v>project 20</v>
      </c>
      <c r="B19" s="24" t="str">
        <f>'Growth profile'!B32</f>
        <v>random growth</v>
      </c>
      <c r="C19" s="6">
        <f>'Growth profile'!C32</f>
        <v>2</v>
      </c>
      <c r="D19" s="25">
        <f>'Growth profile'!D32</f>
        <v>1.69</v>
      </c>
      <c r="E19" s="5">
        <f>'Growth profile'!E32</f>
        <v>1.817094117647059</v>
      </c>
      <c r="F19" s="26">
        <f>'Growth profile'!H32</f>
        <v>1.9199999999999998E-2</v>
      </c>
      <c r="G19" s="6">
        <f>'Raw profile'!I32</f>
        <v>2026</v>
      </c>
      <c r="H19" s="6">
        <f>'Growth profile'!I32</f>
        <v>2035</v>
      </c>
      <c r="I19" s="27">
        <f t="shared" si="0"/>
        <v>9</v>
      </c>
      <c r="J19" s="5">
        <f>'Raw profile'!O32</f>
        <v>3.0655773517877747</v>
      </c>
      <c r="K19" s="5">
        <f>'Growth profile'!O32</f>
        <v>4.5555423617770785</v>
      </c>
      <c r="L19" s="8">
        <f>MIN('Growth profile'!L32,2085)</f>
        <v>2076</v>
      </c>
      <c r="M19" s="6">
        <f>'Growth profile'!N32</f>
        <v>0</v>
      </c>
      <c r="N19" s="15" t="str">
        <f t="shared" si="1"/>
        <v>1.8% and over</v>
      </c>
      <c r="O19" s="15" t="str">
        <f t="shared" si="2"/>
        <v>Deferred</v>
      </c>
      <c r="P19" s="6">
        <f>'Growth (no penalty)'!I32</f>
        <v>2044</v>
      </c>
      <c r="Q19" s="27">
        <f t="shared" si="3"/>
        <v>18</v>
      </c>
    </row>
    <row r="20" spans="1:17" x14ac:dyDescent="0.3">
      <c r="A20" s="24" t="str">
        <f>'Growth profile'!A48</f>
        <v>project 43</v>
      </c>
      <c r="B20" s="24" t="str">
        <f>'Growth profile'!B48</f>
        <v>random growth</v>
      </c>
      <c r="C20" s="6">
        <f>'Growth profile'!C48</f>
        <v>1</v>
      </c>
      <c r="D20" s="25">
        <f>'Growth profile'!D48</f>
        <v>1.52</v>
      </c>
      <c r="E20" s="5">
        <f>'Growth profile'!E48</f>
        <v>3.8150000000000003E-2</v>
      </c>
      <c r="F20" s="26">
        <f>'Growth profile'!H48</f>
        <v>1.84E-2</v>
      </c>
      <c r="G20" s="6">
        <f>'Raw profile'!I48</f>
        <v>2026</v>
      </c>
      <c r="H20" s="6">
        <f>'Growth profile'!I48</f>
        <v>2035</v>
      </c>
      <c r="I20" s="27">
        <f t="shared" si="0"/>
        <v>9</v>
      </c>
      <c r="J20" s="5">
        <f>'Raw profile'!O48</f>
        <v>5.7988000000000026E-2</v>
      </c>
      <c r="K20" s="5">
        <f>'Growth profile'!O48</f>
        <v>8.2479423006778865E-2</v>
      </c>
      <c r="L20" s="8">
        <f>MIN('Growth profile'!L48,2085)</f>
        <v>2075</v>
      </c>
      <c r="M20" s="6">
        <f>'Growth profile'!N48</f>
        <v>0</v>
      </c>
      <c r="N20" s="15" t="str">
        <f t="shared" si="1"/>
        <v>1.8% and over</v>
      </c>
      <c r="O20" s="15" t="str">
        <f t="shared" si="2"/>
        <v>Deferred</v>
      </c>
      <c r="P20" s="6">
        <f>'Growth (no penalty)'!I48</f>
        <v>2045</v>
      </c>
      <c r="Q20" s="27">
        <f t="shared" si="3"/>
        <v>19</v>
      </c>
    </row>
    <row r="21" spans="1:17" x14ac:dyDescent="0.3">
      <c r="A21" s="24" t="str">
        <f>'Growth profile'!A96</f>
        <v>project 150</v>
      </c>
      <c r="B21" s="24" t="str">
        <f>'Growth profile'!B96</f>
        <v>random growth</v>
      </c>
      <c r="C21" s="6">
        <f>'Growth profile'!C96</f>
        <v>4</v>
      </c>
      <c r="D21" s="25">
        <f>'Growth profile'!D96</f>
        <v>2.56</v>
      </c>
      <c r="E21" s="5">
        <f>'Growth profile'!E96</f>
        <v>18.792150992863871</v>
      </c>
      <c r="F21" s="26">
        <f>'Growth profile'!H96</f>
        <v>2.1000000000000001E-2</v>
      </c>
      <c r="G21" s="6">
        <f>'Raw profile'!I96</f>
        <v>2026</v>
      </c>
      <c r="H21" s="6">
        <f>'Growth profile'!I96</f>
        <v>2034</v>
      </c>
      <c r="I21" s="27">
        <f t="shared" si="0"/>
        <v>8</v>
      </c>
      <c r="J21" s="5">
        <f>'Raw profile'!O96</f>
        <v>47.640930162953325</v>
      </c>
      <c r="K21" s="5">
        <f>'Growth profile'!O96</f>
        <v>74.4946225787495</v>
      </c>
      <c r="L21" s="8">
        <f>MIN('Growth profile'!L96,2085)</f>
        <v>2075</v>
      </c>
      <c r="M21" s="6">
        <f>'Growth profile'!N96</f>
        <v>0</v>
      </c>
      <c r="N21" s="15" t="str">
        <f t="shared" si="1"/>
        <v>1.8% and over</v>
      </c>
      <c r="O21" s="15" t="str">
        <f t="shared" si="2"/>
        <v>Deferred</v>
      </c>
      <c r="P21" s="6">
        <f>'Growth (no penalty)'!I96</f>
        <v>2044</v>
      </c>
      <c r="Q21" s="27">
        <f t="shared" si="3"/>
        <v>18</v>
      </c>
    </row>
    <row r="22" spans="1:17" x14ac:dyDescent="0.3">
      <c r="A22" s="24" t="str">
        <f>'Growth profile'!A53</f>
        <v>project 51</v>
      </c>
      <c r="B22" s="24" t="str">
        <f>'Growth profile'!B53</f>
        <v>random growth</v>
      </c>
      <c r="C22" s="6">
        <f>'Growth profile'!C53</f>
        <v>5</v>
      </c>
      <c r="D22" s="25">
        <f>'Growth profile'!D53</f>
        <v>2.1800000000000002</v>
      </c>
      <c r="E22" s="5">
        <f>'Growth profile'!E53</f>
        <v>52.075214674444112</v>
      </c>
      <c r="F22" s="26">
        <f>'Growth profile'!H53</f>
        <v>2.9399999999999999E-2</v>
      </c>
      <c r="G22" s="6">
        <f>'Raw profile'!I53</f>
        <v>2032</v>
      </c>
      <c r="H22" s="6">
        <f>'Growth profile'!I53</f>
        <v>2040</v>
      </c>
      <c r="I22" s="27">
        <f t="shared" si="0"/>
        <v>8</v>
      </c>
      <c r="J22" s="5">
        <f>'Raw profile'!O53</f>
        <v>98.414597643340258</v>
      </c>
      <c r="K22" s="5">
        <f>'Growth profile'!O53</f>
        <v>260.31301773895837</v>
      </c>
      <c r="L22" s="8">
        <f>MIN('Growth profile'!L53,2085)</f>
        <v>2084</v>
      </c>
      <c r="M22" s="6">
        <f>'Growth profile'!N53</f>
        <v>0</v>
      </c>
      <c r="N22" s="15" t="str">
        <f t="shared" si="1"/>
        <v>1.8% and over</v>
      </c>
      <c r="O22" s="15" t="str">
        <f t="shared" si="2"/>
        <v>Deferred</v>
      </c>
      <c r="P22" s="6">
        <f>'Growth (no penalty)'!I53</f>
        <v>2041</v>
      </c>
      <c r="Q22" s="27">
        <f t="shared" si="3"/>
        <v>9</v>
      </c>
    </row>
    <row r="23" spans="1:17" x14ac:dyDescent="0.3">
      <c r="A23" s="24" t="str">
        <f>'Growth profile'!A37</f>
        <v>project 27</v>
      </c>
      <c r="B23" s="24" t="str">
        <f>'Growth profile'!B37</f>
        <v>random growth</v>
      </c>
      <c r="C23" s="6">
        <f>'Growth profile'!C37</f>
        <v>1</v>
      </c>
      <c r="D23" s="25">
        <f>'Growth profile'!D37</f>
        <v>4.41</v>
      </c>
      <c r="E23" s="5">
        <f>'Growth profile'!E37</f>
        <v>0.32379411764705879</v>
      </c>
      <c r="F23" s="26">
        <f>'Growth profile'!H37</f>
        <v>2.1700000000000001E-2</v>
      </c>
      <c r="G23" s="6">
        <f>'Raw profile'!I37</f>
        <v>2031</v>
      </c>
      <c r="H23" s="6">
        <f>'Growth profile'!I37</f>
        <v>2038</v>
      </c>
      <c r="I23" s="27">
        <f t="shared" si="0"/>
        <v>7</v>
      </c>
      <c r="J23" s="5">
        <f>'Raw profile'!O37</f>
        <v>1.2893364045696569</v>
      </c>
      <c r="K23" s="5">
        <f>'Growth profile'!O37</f>
        <v>2.2972544110511044</v>
      </c>
      <c r="L23" s="8">
        <f>MIN('Growth profile'!L37,2085)</f>
        <v>2079</v>
      </c>
      <c r="M23" s="6">
        <f>'Growth profile'!N37</f>
        <v>0</v>
      </c>
      <c r="N23" s="15" t="str">
        <f t="shared" si="1"/>
        <v>1.8% and over</v>
      </c>
      <c r="O23" s="15" t="str">
        <f t="shared" si="2"/>
        <v>Deferred</v>
      </c>
      <c r="P23" s="6">
        <f>'Growth (no penalty)'!I37</f>
        <v>2044</v>
      </c>
      <c r="Q23" s="27">
        <f t="shared" si="3"/>
        <v>13</v>
      </c>
    </row>
    <row r="24" spans="1:17" x14ac:dyDescent="0.3">
      <c r="A24" s="24" t="str">
        <f>'Growth profile'!A65</f>
        <v>project 87</v>
      </c>
      <c r="B24" s="24" t="str">
        <f>'Growth profile'!B65</f>
        <v>random growth</v>
      </c>
      <c r="C24" s="6">
        <f>'Growth profile'!C65</f>
        <v>4</v>
      </c>
      <c r="D24" s="25">
        <f>'Growth profile'!D65</f>
        <v>2.16</v>
      </c>
      <c r="E24" s="5">
        <f>'Growth profile'!E65</f>
        <v>35.82377963377585</v>
      </c>
      <c r="F24" s="26">
        <f>'Growth profile'!H65</f>
        <v>2.75E-2</v>
      </c>
      <c r="G24" s="6">
        <f>'Raw profile'!I65</f>
        <v>2030</v>
      </c>
      <c r="H24" s="6">
        <f>'Growth profile'!I65</f>
        <v>2037</v>
      </c>
      <c r="I24" s="27">
        <f t="shared" si="0"/>
        <v>7</v>
      </c>
      <c r="J24" s="5">
        <f>'Raw profile'!O65</f>
        <v>69.702891683486982</v>
      </c>
      <c r="K24" s="5">
        <f>'Growth profile'!O65</f>
        <v>150.99459918484266</v>
      </c>
      <c r="L24" s="8">
        <f>MIN('Growth profile'!L65,2085)</f>
        <v>2079</v>
      </c>
      <c r="M24" s="6">
        <f>'Growth profile'!N65</f>
        <v>0</v>
      </c>
      <c r="N24" s="15" t="str">
        <f t="shared" si="1"/>
        <v>1.8% and over</v>
      </c>
      <c r="O24" s="15" t="str">
        <f t="shared" si="2"/>
        <v>Deferred</v>
      </c>
      <c r="P24" s="6">
        <f>'Growth (no penalty)'!I65</f>
        <v>2043</v>
      </c>
      <c r="Q24" s="27">
        <f t="shared" si="3"/>
        <v>13</v>
      </c>
    </row>
    <row r="25" spans="1:17" x14ac:dyDescent="0.3">
      <c r="A25" s="24" t="str">
        <f>'Growth profile'!A47</f>
        <v>project 42</v>
      </c>
      <c r="B25" s="24" t="str">
        <f>'Growth profile'!B47</f>
        <v>random growth</v>
      </c>
      <c r="C25" s="6">
        <f>'Growth profile'!C47</f>
        <v>1</v>
      </c>
      <c r="D25" s="25">
        <f>'Growth profile'!D47</f>
        <v>1</v>
      </c>
      <c r="E25" s="5">
        <f>'Growth profile'!E47</f>
        <v>5.45E-2</v>
      </c>
      <c r="F25" s="26">
        <f>'Growth profile'!H47</f>
        <v>2.58E-2</v>
      </c>
      <c r="G25" s="6">
        <f>'Raw profile'!I47</f>
        <v>2031</v>
      </c>
      <c r="H25" s="6">
        <f>'Growth profile'!I47</f>
        <v>2037</v>
      </c>
      <c r="I25" s="27">
        <f t="shared" si="0"/>
        <v>6</v>
      </c>
      <c r="J25" s="5">
        <f>'Raw profile'!O47</f>
        <v>4.9665483714078938E-2</v>
      </c>
      <c r="K25" s="5">
        <f>'Growth profile'!O47</f>
        <v>9.8021152369454717E-2</v>
      </c>
      <c r="L25" s="8">
        <f>MIN('Growth profile'!L47,2085)</f>
        <v>2077</v>
      </c>
      <c r="M25" s="6">
        <f>'Growth profile'!N47</f>
        <v>0</v>
      </c>
      <c r="N25" s="15" t="str">
        <f t="shared" si="1"/>
        <v>1.8% and over</v>
      </c>
      <c r="O25" s="15" t="str">
        <f t="shared" si="2"/>
        <v>Deferred</v>
      </c>
      <c r="P25" s="6">
        <f>'Growth (no penalty)'!I47</f>
        <v>2045</v>
      </c>
      <c r="Q25" s="27">
        <f t="shared" si="3"/>
        <v>14</v>
      </c>
    </row>
    <row r="26" spans="1:17" x14ac:dyDescent="0.3">
      <c r="A26" s="24" t="str">
        <f>'Growth profile'!A62</f>
        <v>project 77</v>
      </c>
      <c r="B26" s="24" t="str">
        <f>'Growth profile'!B62</f>
        <v>random growth</v>
      </c>
      <c r="C26" s="6">
        <f>'Growth profile'!C62</f>
        <v>1</v>
      </c>
      <c r="D26" s="25">
        <f>'Growth profile'!D62</f>
        <v>1.89</v>
      </c>
      <c r="E26" s="5">
        <f>'Growth profile'!E62</f>
        <v>6.3222E-2</v>
      </c>
      <c r="F26" s="26">
        <f>'Growth profile'!H62</f>
        <v>1.8700000000000001E-2</v>
      </c>
      <c r="G26" s="6">
        <f>'Raw profile'!I62</f>
        <v>2031</v>
      </c>
      <c r="H26" s="6">
        <f>'Growth profile'!I62</f>
        <v>2037</v>
      </c>
      <c r="I26" s="27">
        <f t="shared" si="0"/>
        <v>6</v>
      </c>
      <c r="J26" s="5">
        <f>'Raw profile'!O62</f>
        <v>0.10889005118334187</v>
      </c>
      <c r="K26" s="5">
        <f>'Growth profile'!O62</f>
        <v>0.17188332417995847</v>
      </c>
      <c r="L26" s="8">
        <f>MIN('Growth profile'!L62,2085)</f>
        <v>2077</v>
      </c>
      <c r="M26" s="6">
        <f>'Growth profile'!N62</f>
        <v>0</v>
      </c>
      <c r="N26" s="15" t="str">
        <f t="shared" si="1"/>
        <v>1.8% and over</v>
      </c>
      <c r="O26" s="15" t="str">
        <f t="shared" si="2"/>
        <v>Deferred</v>
      </c>
      <c r="P26" s="6">
        <f>'Growth (no penalty)'!I62</f>
        <v>2045</v>
      </c>
      <c r="Q26" s="27">
        <f t="shared" si="3"/>
        <v>14</v>
      </c>
    </row>
    <row r="27" spans="1:17" x14ac:dyDescent="0.3">
      <c r="A27" s="24" t="str">
        <f>'Growth profile'!A75</f>
        <v>project 107</v>
      </c>
      <c r="B27" s="24" t="str">
        <f>'Growth profile'!B75</f>
        <v>random growth</v>
      </c>
      <c r="C27" s="6">
        <f>'Growth profile'!C75</f>
        <v>5</v>
      </c>
      <c r="D27" s="25">
        <f>'Growth profile'!D75</f>
        <v>2.08</v>
      </c>
      <c r="E27" s="5">
        <f>'Growth profile'!E75</f>
        <v>425.52253660723892</v>
      </c>
      <c r="F27" s="26">
        <f>'Growth profile'!H75</f>
        <v>2.53E-2</v>
      </c>
      <c r="G27" s="6">
        <f>'Raw profile'!I75</f>
        <v>2028</v>
      </c>
      <c r="H27" s="6">
        <f>'Growth profile'!I75</f>
        <v>2033</v>
      </c>
      <c r="I27" s="27">
        <f t="shared" si="0"/>
        <v>5</v>
      </c>
      <c r="J27" s="5">
        <f>'Raw profile'!O75</f>
        <v>738.58928301101378</v>
      </c>
      <c r="K27" s="5">
        <f>'Growth profile'!O75</f>
        <v>1622.654152082888</v>
      </c>
      <c r="L27" s="8">
        <f>MIN('Growth profile'!L75,2085)</f>
        <v>2081</v>
      </c>
      <c r="M27" s="6">
        <f>'Growth profile'!N75</f>
        <v>0</v>
      </c>
      <c r="N27" s="15" t="str">
        <f t="shared" si="1"/>
        <v>1.8% and over</v>
      </c>
      <c r="O27" s="15" t="str">
        <f t="shared" si="2"/>
        <v>Deferred</v>
      </c>
      <c r="P27" s="6">
        <f>'Growth (no penalty)'!I75</f>
        <v>2037</v>
      </c>
      <c r="Q27" s="27">
        <f t="shared" si="3"/>
        <v>9</v>
      </c>
    </row>
    <row r="28" spans="1:17" x14ac:dyDescent="0.3">
      <c r="A28" s="24" t="str">
        <f>'Growth profile'!A82</f>
        <v>project 121</v>
      </c>
      <c r="B28" s="24" t="str">
        <f>'Growth profile'!B82</f>
        <v>random growth</v>
      </c>
      <c r="C28" s="6">
        <f>'Growth profile'!C82</f>
        <v>5</v>
      </c>
      <c r="D28" s="25">
        <f>'Growth profile'!D82</f>
        <v>1.87</v>
      </c>
      <c r="E28" s="5">
        <f>'Growth profile'!E82</f>
        <v>128.03975833972339</v>
      </c>
      <c r="F28" s="26">
        <f>'Growth profile'!H82</f>
        <v>2.86E-2</v>
      </c>
      <c r="G28" s="6">
        <f>'Raw profile'!I82</f>
        <v>2037</v>
      </c>
      <c r="H28" s="6">
        <f>'Growth profile'!I82</f>
        <v>2042</v>
      </c>
      <c r="I28" s="27">
        <f t="shared" si="0"/>
        <v>5</v>
      </c>
      <c r="J28" s="5">
        <f>'Raw profile'!O82</f>
        <v>192.64175655605888</v>
      </c>
      <c r="K28" s="5">
        <f>'Growth profile'!O82</f>
        <v>520.52194181059986</v>
      </c>
      <c r="L28" s="8">
        <f>MIN('Growth profile'!L82,2085)</f>
        <v>2084</v>
      </c>
      <c r="M28" s="6">
        <f>'Growth profile'!N82</f>
        <v>0</v>
      </c>
      <c r="N28" s="15" t="str">
        <f t="shared" si="1"/>
        <v>1.8% and over</v>
      </c>
      <c r="O28" s="15" t="str">
        <f t="shared" si="2"/>
        <v>Deferred</v>
      </c>
      <c r="P28" s="6">
        <f>'Growth (no penalty)'!I82</f>
        <v>2043</v>
      </c>
      <c r="Q28" s="27">
        <f t="shared" si="3"/>
        <v>6</v>
      </c>
    </row>
    <row r="29" spans="1:17" x14ac:dyDescent="0.3">
      <c r="A29" s="24" t="str">
        <f>'Growth profile'!A31</f>
        <v>project 19</v>
      </c>
      <c r="B29" s="24" t="str">
        <f>'Growth profile'!B31</f>
        <v>random growth</v>
      </c>
      <c r="C29" s="6">
        <f>'Growth profile'!C31</f>
        <v>2</v>
      </c>
      <c r="D29" s="25">
        <f>'Growth profile'!D31</f>
        <v>1.39</v>
      </c>
      <c r="E29" s="5">
        <f>'Growth profile'!E31</f>
        <v>2.0710000000000002</v>
      </c>
      <c r="F29" s="26">
        <f>'Growth profile'!H31</f>
        <v>2.8299999999999999E-2</v>
      </c>
      <c r="G29" s="6">
        <f>'Raw profile'!I31</f>
        <v>2037</v>
      </c>
      <c r="H29" s="6">
        <f>'Growth profile'!I31</f>
        <v>2042</v>
      </c>
      <c r="I29" s="27">
        <f t="shared" si="0"/>
        <v>5</v>
      </c>
      <c r="J29" s="5">
        <f>'Raw profile'!O31</f>
        <v>2.3554772254176779</v>
      </c>
      <c r="K29" s="5">
        <f>'Growth profile'!O31</f>
        <v>5.9339431088825449</v>
      </c>
      <c r="L29" s="8">
        <f>MIN('Growth profile'!L31,2085)</f>
        <v>2082</v>
      </c>
      <c r="M29" s="6">
        <f>'Growth profile'!N31</f>
        <v>0</v>
      </c>
      <c r="N29" s="15" t="str">
        <f t="shared" si="1"/>
        <v>1.8% and over</v>
      </c>
      <c r="O29" s="15" t="str">
        <f t="shared" si="2"/>
        <v>Deferred</v>
      </c>
      <c r="P29" s="6">
        <f>'Growth (no penalty)'!I31</f>
        <v>2045</v>
      </c>
      <c r="Q29" s="27">
        <f t="shared" si="3"/>
        <v>8</v>
      </c>
    </row>
    <row r="30" spans="1:17" x14ac:dyDescent="0.3">
      <c r="A30" s="24" t="str">
        <f>'Growth profile'!A122</f>
        <v>project 213</v>
      </c>
      <c r="B30" s="24" t="str">
        <f>'Growth profile'!B122</f>
        <v>random growth</v>
      </c>
      <c r="C30" s="6">
        <f>'Growth profile'!C122</f>
        <v>1</v>
      </c>
      <c r="D30" s="25">
        <f>'Growth profile'!D122</f>
        <v>2.1</v>
      </c>
      <c r="E30" s="5">
        <f>'Growth profile'!E122</f>
        <v>4.2979235294117638E-2</v>
      </c>
      <c r="F30" s="26">
        <f>'Growth profile'!H122</f>
        <v>2.3400000000000001E-2</v>
      </c>
      <c r="G30" s="6">
        <f>'Raw profile'!I122</f>
        <v>2031</v>
      </c>
      <c r="H30" s="6">
        <f>'Growth profile'!I122</f>
        <v>2036</v>
      </c>
      <c r="I30" s="27">
        <f t="shared" si="0"/>
        <v>5</v>
      </c>
      <c r="J30" s="5">
        <f>'Raw profile'!O122</f>
        <v>8.176408684482861E-2</v>
      </c>
      <c r="K30" s="5">
        <f>'Growth profile'!O122</f>
        <v>0.15230604351377891</v>
      </c>
      <c r="L30" s="8">
        <f>MIN('Growth profile'!L122,2085)</f>
        <v>2077</v>
      </c>
      <c r="M30" s="6">
        <f>'Growth profile'!N122</f>
        <v>0</v>
      </c>
      <c r="N30" s="15" t="str">
        <f t="shared" si="1"/>
        <v>1.8% and over</v>
      </c>
      <c r="O30" s="15" t="str">
        <f t="shared" si="2"/>
        <v>Deferred</v>
      </c>
      <c r="P30" s="6">
        <f>'Growth (no penalty)'!I122</f>
        <v>2044</v>
      </c>
      <c r="Q30" s="27">
        <f t="shared" si="3"/>
        <v>13</v>
      </c>
    </row>
    <row r="31" spans="1:17" x14ac:dyDescent="0.3">
      <c r="A31" s="24" t="str">
        <f>'Growth profile'!A46</f>
        <v>project 41</v>
      </c>
      <c r="B31" s="24" t="str">
        <f>'Growth profile'!B46</f>
        <v>random growth</v>
      </c>
      <c r="C31" s="6">
        <f>'Growth profile'!C46</f>
        <v>2</v>
      </c>
      <c r="D31" s="25">
        <f>'Growth profile'!D46</f>
        <v>2.15</v>
      </c>
      <c r="E31" s="5">
        <f>'Growth profile'!E46</f>
        <v>1.4044049999999999</v>
      </c>
      <c r="F31" s="26">
        <f>'Growth profile'!H46</f>
        <v>2.2499999999999999E-2</v>
      </c>
      <c r="G31" s="6">
        <f>'Raw profile'!I46</f>
        <v>2031</v>
      </c>
      <c r="H31" s="6">
        <f>'Growth profile'!I46</f>
        <v>2036</v>
      </c>
      <c r="I31" s="27">
        <f t="shared" si="0"/>
        <v>5</v>
      </c>
      <c r="J31" s="5">
        <f>'Raw profile'!O46</f>
        <v>2.7263997166054068</v>
      </c>
      <c r="K31" s="5">
        <f>'Growth profile'!O46</f>
        <v>4.9364949608075355</v>
      </c>
      <c r="L31" s="8">
        <f>MIN('Growth profile'!L46,2085)</f>
        <v>2077</v>
      </c>
      <c r="M31" s="6">
        <f>'Growth profile'!N46</f>
        <v>0</v>
      </c>
      <c r="N31" s="15" t="str">
        <f t="shared" si="1"/>
        <v>1.8% and over</v>
      </c>
      <c r="O31" s="15" t="str">
        <f t="shared" si="2"/>
        <v>Deferred</v>
      </c>
      <c r="P31" s="6">
        <f>'Growth (no penalty)'!I46</f>
        <v>2044</v>
      </c>
      <c r="Q31" s="27">
        <f t="shared" si="3"/>
        <v>13</v>
      </c>
    </row>
    <row r="32" spans="1:17" x14ac:dyDescent="0.3">
      <c r="A32" s="24" t="str">
        <f>'Growth profile'!A49</f>
        <v>project 44</v>
      </c>
      <c r="B32" s="24" t="str">
        <f>'Growth profile'!B49</f>
        <v>random growth</v>
      </c>
      <c r="C32" s="6">
        <f>'Growth profile'!C49</f>
        <v>1</v>
      </c>
      <c r="D32" s="25">
        <f>'Growth profile'!D49</f>
        <v>1</v>
      </c>
      <c r="E32" s="5">
        <f>'Growth profile'!E49</f>
        <v>3.27E-2</v>
      </c>
      <c r="F32" s="26">
        <f>'Growth profile'!H49</f>
        <v>1.1299999999999999E-2</v>
      </c>
      <c r="G32" s="6">
        <f>'Raw profile'!I49</f>
        <v>2026</v>
      </c>
      <c r="H32" s="6">
        <f>'Growth profile'!I49</f>
        <v>2031</v>
      </c>
      <c r="I32" s="27">
        <f t="shared" si="0"/>
        <v>5</v>
      </c>
      <c r="J32" s="5">
        <f>'Raw profile'!O49</f>
        <v>3.2699999999999986E-2</v>
      </c>
      <c r="K32" s="5">
        <f>'Growth profile'!O49</f>
        <v>3.8944387340863251E-2</v>
      </c>
      <c r="L32" s="8">
        <f>MIN('Growth profile'!L49,2085)</f>
        <v>2071</v>
      </c>
      <c r="M32" s="6">
        <f>'Growth profile'!N49</f>
        <v>0</v>
      </c>
      <c r="N32" s="15" t="str">
        <f t="shared" si="1"/>
        <v>under 1.5%</v>
      </c>
      <c r="O32" s="15" t="str">
        <f t="shared" si="2"/>
        <v>Deferred</v>
      </c>
      <c r="P32" s="6">
        <f>'Growth (no penalty)'!I49</f>
        <v>2032</v>
      </c>
      <c r="Q32" s="27">
        <f t="shared" si="3"/>
        <v>6</v>
      </c>
    </row>
    <row r="33" spans="1:17" x14ac:dyDescent="0.3">
      <c r="A33" s="24" t="str">
        <f>'Growth profile'!A52</f>
        <v>project 50</v>
      </c>
      <c r="B33" s="24" t="str">
        <f>'Growth profile'!B52</f>
        <v>random growth</v>
      </c>
      <c r="C33" s="6">
        <f>'Growth profile'!C52</f>
        <v>4</v>
      </c>
      <c r="D33" s="25">
        <f>'Growth profile'!D52</f>
        <v>3.32</v>
      </c>
      <c r="E33" s="5">
        <f>'Growth profile'!E52</f>
        <v>21.83713936824558</v>
      </c>
      <c r="F33" s="26">
        <f>'Growth profile'!H52</f>
        <v>2.06E-2</v>
      </c>
      <c r="G33" s="6">
        <f>'Raw profile'!I52</f>
        <v>2027</v>
      </c>
      <c r="H33" s="6">
        <f>'Growth profile'!I52</f>
        <v>2032</v>
      </c>
      <c r="I33" s="27">
        <f t="shared" si="0"/>
        <v>5</v>
      </c>
      <c r="J33" s="5">
        <f>'Raw profile'!O52</f>
        <v>65.502527345920981</v>
      </c>
      <c r="K33" s="5">
        <f>'Growth profile'!O52</f>
        <v>116.64331914778319</v>
      </c>
      <c r="L33" s="8">
        <f>MIN('Growth profile'!L52,2085)</f>
        <v>2079</v>
      </c>
      <c r="M33" s="6">
        <f>'Growth profile'!N52</f>
        <v>0</v>
      </c>
      <c r="N33" s="15" t="str">
        <f t="shared" si="1"/>
        <v>1.8% and over</v>
      </c>
      <c r="O33" s="15" t="str">
        <f t="shared" si="2"/>
        <v>Deferred</v>
      </c>
      <c r="P33" s="6">
        <f>'Growth (no penalty)'!I52</f>
        <v>2038</v>
      </c>
      <c r="Q33" s="27">
        <f t="shared" si="3"/>
        <v>11</v>
      </c>
    </row>
    <row r="34" spans="1:17" x14ac:dyDescent="0.3">
      <c r="A34" s="24" t="str">
        <f>'Growth profile'!A78</f>
        <v>project 112</v>
      </c>
      <c r="B34" s="24" t="str">
        <f>'Growth profile'!B78</f>
        <v>random growth</v>
      </c>
      <c r="C34" s="6">
        <f>'Growth profile'!C78</f>
        <v>5</v>
      </c>
      <c r="D34" s="25">
        <f>'Growth profile'!D78</f>
        <v>2.4</v>
      </c>
      <c r="E34" s="5">
        <f>'Growth profile'!E78</f>
        <v>249.2695662745098</v>
      </c>
      <c r="F34" s="26">
        <f>'Growth profile'!H78</f>
        <v>2.06E-2</v>
      </c>
      <c r="G34" s="6">
        <f>'Raw profile'!I78</f>
        <v>2032</v>
      </c>
      <c r="H34" s="6">
        <f>'Growth profile'!I78</f>
        <v>2035</v>
      </c>
      <c r="I34" s="27">
        <f t="shared" si="0"/>
        <v>3</v>
      </c>
      <c r="J34" s="5">
        <f>'Raw profile'!O78</f>
        <v>524.75094512416672</v>
      </c>
      <c r="K34" s="5">
        <f>'Growth profile'!O78</f>
        <v>928.0527363678184</v>
      </c>
      <c r="L34" s="8">
        <f>MIN('Growth profile'!L78,2085)</f>
        <v>2077</v>
      </c>
      <c r="M34" s="6">
        <f>'Growth profile'!N78</f>
        <v>0</v>
      </c>
      <c r="N34" s="15" t="str">
        <f t="shared" si="1"/>
        <v>1.8% and over</v>
      </c>
      <c r="O34" s="15" t="str">
        <f t="shared" si="2"/>
        <v>Deferred</v>
      </c>
      <c r="P34" s="6">
        <f>'Growth (no penalty)'!I78</f>
        <v>2043</v>
      </c>
      <c r="Q34" s="27">
        <f t="shared" si="3"/>
        <v>11</v>
      </c>
    </row>
    <row r="35" spans="1:17" x14ac:dyDescent="0.3">
      <c r="A35" s="24" t="str">
        <f>'Growth profile'!A39</f>
        <v>project 29</v>
      </c>
      <c r="B35" s="24" t="str">
        <f>'Growth profile'!B39</f>
        <v>random growth</v>
      </c>
      <c r="C35" s="6">
        <f>'Growth profile'!C39</f>
        <v>1</v>
      </c>
      <c r="D35" s="25">
        <f>'Growth profile'!D39</f>
        <v>2.08</v>
      </c>
      <c r="E35" s="5">
        <f>'Growth profile'!E39</f>
        <v>0.32379411764705879</v>
      </c>
      <c r="F35" s="26">
        <f>'Growth profile'!H39</f>
        <v>1.7999999999999999E-2</v>
      </c>
      <c r="G35" s="6">
        <f>'Raw profile'!I39</f>
        <v>2032</v>
      </c>
      <c r="H35" s="6">
        <f>'Growth profile'!I39</f>
        <v>2034</v>
      </c>
      <c r="I35" s="27">
        <f t="shared" si="0"/>
        <v>2</v>
      </c>
      <c r="J35" s="5">
        <f>'Raw profile'!O39</f>
        <v>0.5971958690183764</v>
      </c>
      <c r="K35" s="5">
        <f>'Growth profile'!O39</f>
        <v>0.95547176928864741</v>
      </c>
      <c r="L35" s="8">
        <f>MIN('Growth profile'!L39,2085)</f>
        <v>2075</v>
      </c>
      <c r="M35" s="6">
        <f>'Growth profile'!N39</f>
        <v>0</v>
      </c>
      <c r="N35" s="15" t="str">
        <f t="shared" si="1"/>
        <v>1.8% and over</v>
      </c>
      <c r="O35" s="15" t="str">
        <f t="shared" si="2"/>
        <v>Deferred</v>
      </c>
      <c r="P35" s="6">
        <f>'Growth (no penalty)'!I39</f>
        <v>2044</v>
      </c>
      <c r="Q35" s="27">
        <f t="shared" si="3"/>
        <v>12</v>
      </c>
    </row>
    <row r="36" spans="1:17" x14ac:dyDescent="0.3">
      <c r="A36" s="24" t="str">
        <f>'Growth profile'!A26</f>
        <v>project 7</v>
      </c>
      <c r="B36" s="24" t="str">
        <f>'Growth profile'!B26</f>
        <v>random growth</v>
      </c>
      <c r="C36" s="6">
        <f>'Growth profile'!C26</f>
        <v>3</v>
      </c>
      <c r="D36" s="25">
        <f>'Growth profile'!D26</f>
        <v>1.46</v>
      </c>
      <c r="E36" s="5">
        <f>'Growth profile'!E26</f>
        <v>7.63</v>
      </c>
      <c r="F36" s="26">
        <f>'Growth profile'!H26</f>
        <v>2.8899999999999999E-2</v>
      </c>
      <c r="G36" s="6">
        <f>'Raw profile'!I26</f>
        <v>2037</v>
      </c>
      <c r="H36" s="6">
        <f>'Growth profile'!I26</f>
        <v>2038</v>
      </c>
      <c r="I36" s="27">
        <f t="shared" si="0"/>
        <v>1</v>
      </c>
      <c r="J36" s="5">
        <f>'Raw profile'!O26</f>
        <v>9.1150992971483014</v>
      </c>
      <c r="K36" s="5">
        <f>'Growth profile'!O26</f>
        <v>22.381747841062335</v>
      </c>
      <c r="L36" s="8">
        <f>MIN('Growth profile'!L26,2085)</f>
        <v>2078</v>
      </c>
      <c r="M36" s="6">
        <f>'Growth profile'!N26</f>
        <v>0</v>
      </c>
      <c r="N36" s="15" t="str">
        <f t="shared" si="1"/>
        <v>1.8% and over</v>
      </c>
      <c r="O36" s="15" t="str">
        <f t="shared" si="2"/>
        <v>Deferred</v>
      </c>
      <c r="P36" s="6">
        <f>'Growth (no penalty)'!I26</f>
        <v>2045</v>
      </c>
      <c r="Q36" s="27">
        <f t="shared" si="3"/>
        <v>8</v>
      </c>
    </row>
    <row r="37" spans="1:17" x14ac:dyDescent="0.3">
      <c r="A37" s="24" t="str">
        <f>'Growth profile'!A74</f>
        <v>project 106</v>
      </c>
      <c r="B37" s="24" t="str">
        <f>'Growth profile'!B74</f>
        <v>random growth</v>
      </c>
      <c r="C37" s="6">
        <f>'Growth profile'!C74</f>
        <v>5</v>
      </c>
      <c r="D37" s="25">
        <f>'Growth profile'!D74</f>
        <v>2.79</v>
      </c>
      <c r="E37" s="5">
        <f>'Growth profile'!E74</f>
        <v>440.52706646883632</v>
      </c>
      <c r="F37" s="26">
        <f>'Growth profile'!H74</f>
        <v>1.3100000000000001E-2</v>
      </c>
      <c r="G37" s="6">
        <f>'Raw profile'!I74</f>
        <v>2026</v>
      </c>
      <c r="H37" s="6">
        <f>'Growth profile'!I74</f>
        <v>2026</v>
      </c>
      <c r="I37" s="27">
        <f t="shared" ref="I37:I68" si="4">H37-G37</f>
        <v>0</v>
      </c>
      <c r="J37" s="5">
        <f>'Raw profile'!O74</f>
        <v>1145.5241060911324</v>
      </c>
      <c r="K37" s="5">
        <f>'Growth profile'!O74</f>
        <v>1628.0284149477768</v>
      </c>
      <c r="L37" s="8">
        <f>MIN('Growth profile'!L74,2085)</f>
        <v>2074</v>
      </c>
      <c r="M37" s="6">
        <f>'Growth profile'!N74</f>
        <v>0</v>
      </c>
      <c r="N37" s="15" t="str">
        <f t="shared" ref="N37:N68" si="5">IF(F37&lt;0,"shrinking",IF(F37&lt;0.015,"under 1.5%",IF(F37&lt;0.018,"1.5% to 1.8%","1.8% and over")))</f>
        <v>under 1.5%</v>
      </c>
      <c r="O37" s="15" t="str">
        <f t="shared" ref="O37:O68" si="6">IF(I37&gt;0,IF(L37=2085,"Deferred - pinned to horizon end","Deferred"),IF(I37&lt;0,"Accelerated","Unchanged"))</f>
        <v>Unchanged</v>
      </c>
      <c r="P37" s="6">
        <f>'Growth (no penalty)'!I74</f>
        <v>2026</v>
      </c>
      <c r="Q37" s="27">
        <f t="shared" ref="Q37:Q68" si="7">P37-G37</f>
        <v>0</v>
      </c>
    </row>
    <row r="38" spans="1:17" x14ac:dyDescent="0.3">
      <c r="A38" s="24" t="str">
        <f>'Growth profile'!A76</f>
        <v>project 108</v>
      </c>
      <c r="B38" s="24" t="str">
        <f>'Growth profile'!B76</f>
        <v>random growth</v>
      </c>
      <c r="C38" s="6">
        <f>'Growth profile'!C76</f>
        <v>5</v>
      </c>
      <c r="D38" s="25">
        <f>'Growth profile'!D76</f>
        <v>2.19</v>
      </c>
      <c r="E38" s="5">
        <f>'Growth profile'!E76</f>
        <v>300.06952749801542</v>
      </c>
      <c r="F38" s="26">
        <f>'Growth profile'!H76</f>
        <v>2.0799999999999999E-2</v>
      </c>
      <c r="G38" s="6">
        <f>'Raw profile'!I76</f>
        <v>2029</v>
      </c>
      <c r="H38" s="6">
        <f>'Growth profile'!I76</f>
        <v>2029</v>
      </c>
      <c r="I38" s="27">
        <f t="shared" si="4"/>
        <v>0</v>
      </c>
      <c r="J38" s="5">
        <f>'Raw profile'!O76</f>
        <v>561.17208133703753</v>
      </c>
      <c r="K38" s="5">
        <f>'Growth profile'!O76</f>
        <v>1220.7561815789595</v>
      </c>
      <c r="L38" s="8">
        <f>MIN('Growth profile'!L76,2085)</f>
        <v>2084</v>
      </c>
      <c r="M38" s="6">
        <f>'Growth profile'!N76</f>
        <v>0</v>
      </c>
      <c r="N38" s="15" t="str">
        <f t="shared" si="5"/>
        <v>1.8% and over</v>
      </c>
      <c r="O38" s="15" t="str">
        <f t="shared" si="6"/>
        <v>Unchanged</v>
      </c>
      <c r="P38" s="6">
        <f>'Growth (no penalty)'!I76</f>
        <v>2030</v>
      </c>
      <c r="Q38" s="27">
        <f t="shared" si="7"/>
        <v>1</v>
      </c>
    </row>
    <row r="39" spans="1:17" x14ac:dyDescent="0.3">
      <c r="A39" s="24" t="str">
        <f>'Growth profile'!A79</f>
        <v>project 116</v>
      </c>
      <c r="B39" s="24" t="str">
        <f>'Growth profile'!B79</f>
        <v>random growth</v>
      </c>
      <c r="C39" s="6">
        <f>'Growth profile'!C79</f>
        <v>5</v>
      </c>
      <c r="D39" s="25">
        <f>'Growth profile'!D79</f>
        <v>2.66</v>
      </c>
      <c r="E39" s="5">
        <f>'Growth profile'!E79</f>
        <v>178.82622585498581</v>
      </c>
      <c r="F39" s="26">
        <f>'Growth profile'!H79</f>
        <v>0.01</v>
      </c>
      <c r="G39" s="6">
        <f>'Raw profile'!I79</f>
        <v>2026</v>
      </c>
      <c r="H39" s="6">
        <f>'Growth profile'!I79</f>
        <v>2026</v>
      </c>
      <c r="I39" s="27">
        <f t="shared" si="4"/>
        <v>0</v>
      </c>
      <c r="J39" s="5">
        <f>'Raw profile'!O79</f>
        <v>457.73639993931351</v>
      </c>
      <c r="K39" s="5">
        <f>'Growth profile'!O79</f>
        <v>573.80191621733184</v>
      </c>
      <c r="L39" s="8">
        <f>MIN('Growth profile'!L79,2085)</f>
        <v>2070</v>
      </c>
      <c r="M39" s="6">
        <f>'Growth profile'!N79</f>
        <v>0</v>
      </c>
      <c r="N39" s="15" t="str">
        <f t="shared" si="5"/>
        <v>under 1.5%</v>
      </c>
      <c r="O39" s="15" t="str">
        <f t="shared" si="6"/>
        <v>Unchanged</v>
      </c>
      <c r="P39" s="6">
        <f>'Growth (no penalty)'!I79</f>
        <v>2026</v>
      </c>
      <c r="Q39" s="27">
        <f t="shared" si="7"/>
        <v>0</v>
      </c>
    </row>
    <row r="40" spans="1:17" x14ac:dyDescent="0.3">
      <c r="A40" s="24" t="str">
        <f>'Growth profile'!A81</f>
        <v>project 120</v>
      </c>
      <c r="B40" s="24" t="str">
        <f>'Growth profile'!B81</f>
        <v>random growth</v>
      </c>
      <c r="C40" s="6">
        <f>'Growth profile'!C81</f>
        <v>5</v>
      </c>
      <c r="D40" s="25">
        <f>'Growth profile'!D81</f>
        <v>4.1900000000000004</v>
      </c>
      <c r="E40" s="5">
        <f>'Growth profile'!E81</f>
        <v>147.0530824718623</v>
      </c>
      <c r="F40" s="26">
        <f>'Growth profile'!H81</f>
        <v>1.04E-2</v>
      </c>
      <c r="G40" s="6">
        <f>'Raw profile'!I81</f>
        <v>2026</v>
      </c>
      <c r="H40" s="6">
        <f>'Growth profile'!I81</f>
        <v>2026</v>
      </c>
      <c r="I40" s="27">
        <f t="shared" si="4"/>
        <v>0</v>
      </c>
      <c r="J40" s="5">
        <f>'Raw profile'!O81</f>
        <v>578.16994593948391</v>
      </c>
      <c r="K40" s="5">
        <f>'Growth profile'!O81</f>
        <v>739.29467029423654</v>
      </c>
      <c r="L40" s="8">
        <f>MIN('Growth profile'!L81,2085)</f>
        <v>2071</v>
      </c>
      <c r="M40" s="6">
        <f>'Growth profile'!N81</f>
        <v>0</v>
      </c>
      <c r="N40" s="15" t="str">
        <f t="shared" si="5"/>
        <v>under 1.5%</v>
      </c>
      <c r="O40" s="15" t="str">
        <f t="shared" si="6"/>
        <v>Unchanged</v>
      </c>
      <c r="P40" s="6">
        <f>'Growth (no penalty)'!I81</f>
        <v>2026</v>
      </c>
      <c r="Q40" s="27">
        <f t="shared" si="7"/>
        <v>0</v>
      </c>
    </row>
    <row r="41" spans="1:17" x14ac:dyDescent="0.3">
      <c r="A41" s="24" t="str">
        <f>'Growth profile'!A97</f>
        <v>project 153</v>
      </c>
      <c r="B41" s="24" t="str">
        <f>'Growth profile'!B97</f>
        <v>random growth</v>
      </c>
      <c r="C41" s="6">
        <f>'Growth profile'!C97</f>
        <v>3</v>
      </c>
      <c r="D41" s="25">
        <f>'Growth profile'!D97</f>
        <v>2.4</v>
      </c>
      <c r="E41" s="5">
        <f>'Growth profile'!E97</f>
        <v>13.06352362143585</v>
      </c>
      <c r="F41" s="26">
        <f>'Growth profile'!H97</f>
        <v>1.5299999999999999E-2</v>
      </c>
      <c r="G41" s="6">
        <f>'Raw profile'!I97</f>
        <v>2026</v>
      </c>
      <c r="H41" s="6">
        <f>'Growth profile'!I97</f>
        <v>2026</v>
      </c>
      <c r="I41" s="27">
        <f t="shared" si="4"/>
        <v>0</v>
      </c>
      <c r="J41" s="5">
        <f>'Raw profile'!O97</f>
        <v>31.15966827818896</v>
      </c>
      <c r="K41" s="5">
        <f>'Growth profile'!O97</f>
        <v>42.216315848701768</v>
      </c>
      <c r="L41" s="8">
        <f>MIN('Growth profile'!L97,2085)</f>
        <v>2067</v>
      </c>
      <c r="M41" s="6">
        <f>'Growth profile'!N97</f>
        <v>0</v>
      </c>
      <c r="N41" s="15" t="str">
        <f t="shared" si="5"/>
        <v>1.5% to 1.8%</v>
      </c>
      <c r="O41" s="15" t="str">
        <f t="shared" si="6"/>
        <v>Unchanged</v>
      </c>
      <c r="P41" s="6">
        <f>'Growth (no penalty)'!I97</f>
        <v>2026</v>
      </c>
      <c r="Q41" s="27">
        <f t="shared" si="7"/>
        <v>0</v>
      </c>
    </row>
    <row r="42" spans="1:17" x14ac:dyDescent="0.3">
      <c r="A42" s="24" t="str">
        <f>'Growth profile'!A121</f>
        <v>project 211</v>
      </c>
      <c r="B42" s="24" t="str">
        <f>'Growth profile'!B121</f>
        <v>random growth</v>
      </c>
      <c r="C42" s="6">
        <f>'Growth profile'!C121</f>
        <v>1</v>
      </c>
      <c r="D42" s="25">
        <f>'Growth profile'!D121</f>
        <v>4.76</v>
      </c>
      <c r="E42" s="5">
        <f>'Growth profile'!E121</f>
        <v>0.05</v>
      </c>
      <c r="F42" s="26">
        <f>'Growth profile'!H121</f>
        <v>1.4800000000000001E-2</v>
      </c>
      <c r="G42" s="6">
        <f>'Raw profile'!I121</f>
        <v>2026</v>
      </c>
      <c r="H42" s="6">
        <f>'Growth profile'!I121</f>
        <v>2026</v>
      </c>
      <c r="I42" s="27">
        <f t="shared" si="4"/>
        <v>0</v>
      </c>
      <c r="J42" s="5">
        <f>'Raw profile'!O121</f>
        <v>0.23800000000000002</v>
      </c>
      <c r="K42" s="5">
        <f>'Growth profile'!O121</f>
        <v>0.31439808462039015</v>
      </c>
      <c r="L42" s="8">
        <f>MIN('Growth profile'!L121,2085)</f>
        <v>2066</v>
      </c>
      <c r="M42" s="6">
        <f>'Growth profile'!N121</f>
        <v>0</v>
      </c>
      <c r="N42" s="15" t="str">
        <f t="shared" si="5"/>
        <v>under 1.5%</v>
      </c>
      <c r="O42" s="15" t="str">
        <f t="shared" si="6"/>
        <v>Unchanged</v>
      </c>
      <c r="P42" s="6">
        <f>'Growth (no penalty)'!I121</f>
        <v>2026</v>
      </c>
      <c r="Q42" s="27">
        <f t="shared" si="7"/>
        <v>0</v>
      </c>
    </row>
    <row r="43" spans="1:17" x14ac:dyDescent="0.3">
      <c r="A43" s="24" t="str">
        <f>'Growth profile'!A33</f>
        <v>project 22</v>
      </c>
      <c r="B43" s="24" t="str">
        <f>'Growth profile'!B33</f>
        <v>random growth</v>
      </c>
      <c r="C43" s="6">
        <f>'Growth profile'!C33</f>
        <v>2</v>
      </c>
      <c r="D43" s="25">
        <f>'Growth profile'!D33</f>
        <v>3.73</v>
      </c>
      <c r="E43" s="5">
        <f>'Growth profile'!E33</f>
        <v>1.385457098039216</v>
      </c>
      <c r="F43" s="26">
        <f>'Growth profile'!H33</f>
        <v>1.5299999999999999E-2</v>
      </c>
      <c r="G43" s="6">
        <f>'Raw profile'!I33</f>
        <v>2026</v>
      </c>
      <c r="H43" s="6">
        <f>'Growth profile'!I33</f>
        <v>2026</v>
      </c>
      <c r="I43" s="27">
        <f t="shared" si="4"/>
        <v>0</v>
      </c>
      <c r="J43" s="5">
        <f>'Raw profile'!O33</f>
        <v>5.1560314322414467</v>
      </c>
      <c r="K43" s="5">
        <f>'Growth profile'!O33</f>
        <v>6.9855894974883954</v>
      </c>
      <c r="L43" s="8">
        <f>MIN('Growth profile'!L33,2085)</f>
        <v>2067</v>
      </c>
      <c r="M43" s="6">
        <f>'Growth profile'!N33</f>
        <v>0</v>
      </c>
      <c r="N43" s="15" t="str">
        <f t="shared" si="5"/>
        <v>1.5% to 1.8%</v>
      </c>
      <c r="O43" s="15" t="str">
        <f t="shared" si="6"/>
        <v>Unchanged</v>
      </c>
      <c r="P43" s="6">
        <f>'Growth (no penalty)'!I33</f>
        <v>2026</v>
      </c>
      <c r="Q43" s="27">
        <f t="shared" si="7"/>
        <v>0</v>
      </c>
    </row>
    <row r="44" spans="1:17" x14ac:dyDescent="0.3">
      <c r="A44" s="24" t="str">
        <f>'Growth profile'!A36</f>
        <v>project 26</v>
      </c>
      <c r="B44" s="24" t="str">
        <f>'Growth profile'!B36</f>
        <v>random growth</v>
      </c>
      <c r="C44" s="6">
        <f>'Growth profile'!C36</f>
        <v>1</v>
      </c>
      <c r="D44" s="25">
        <f>'Growth profile'!D36</f>
        <v>2.94</v>
      </c>
      <c r="E44" s="5">
        <f>'Growth profile'!E36</f>
        <v>0.32058823529411767</v>
      </c>
      <c r="F44" s="26">
        <f>'Growth profile'!H36</f>
        <v>1.5299999999999999E-2</v>
      </c>
      <c r="G44" s="6">
        <f>'Raw profile'!I36</f>
        <v>2026</v>
      </c>
      <c r="H44" s="6">
        <f>'Growth profile'!I36</f>
        <v>2026</v>
      </c>
      <c r="I44" s="27">
        <f t="shared" si="4"/>
        <v>0</v>
      </c>
      <c r="J44" s="5">
        <f>'Raw profile'!O36</f>
        <v>0.9425294117647055</v>
      </c>
      <c r="K44" s="5">
        <f>'Growth profile'!O36</f>
        <v>1.2573837576532021</v>
      </c>
      <c r="L44" s="8">
        <f>MIN('Growth profile'!L36,2085)</f>
        <v>2066</v>
      </c>
      <c r="M44" s="6">
        <f>'Growth profile'!N36</f>
        <v>0</v>
      </c>
      <c r="N44" s="15" t="str">
        <f t="shared" si="5"/>
        <v>1.5% to 1.8%</v>
      </c>
      <c r="O44" s="15" t="str">
        <f t="shared" si="6"/>
        <v>Unchanged</v>
      </c>
      <c r="P44" s="6">
        <f>'Growth (no penalty)'!I36</f>
        <v>2026</v>
      </c>
      <c r="Q44" s="27">
        <f t="shared" si="7"/>
        <v>0</v>
      </c>
    </row>
    <row r="45" spans="1:17" x14ac:dyDescent="0.3">
      <c r="A45" s="24" t="str">
        <f>'Growth profile'!A38</f>
        <v>project 28</v>
      </c>
      <c r="B45" s="24" t="str">
        <f>'Growth profile'!B38</f>
        <v>shrinker: -2%</v>
      </c>
      <c r="C45" s="6">
        <f>'Growth profile'!C38</f>
        <v>1</v>
      </c>
      <c r="D45" s="25">
        <f>'Growth profile'!D38</f>
        <v>7</v>
      </c>
      <c r="E45" s="5">
        <f>'Growth profile'!E38</f>
        <v>0.32379411764705879</v>
      </c>
      <c r="F45" s="26">
        <f>'Growth profile'!H38</f>
        <v>-0.02</v>
      </c>
      <c r="G45" s="6">
        <f>'Raw profile'!I38</f>
        <v>2026</v>
      </c>
      <c r="H45" s="6">
        <f>'Growth profile'!I38</f>
        <v>2026</v>
      </c>
      <c r="I45" s="27">
        <f t="shared" si="4"/>
        <v>0</v>
      </c>
      <c r="J45" s="5">
        <f>'Raw profile'!O38</f>
        <v>2.2445576701268739</v>
      </c>
      <c r="K45" s="5">
        <f>'Growth profile'!O38</f>
        <v>1.5693717809777397</v>
      </c>
      <c r="L45" s="8">
        <f>MIN('Growth profile'!L38,2085)</f>
        <v>2067</v>
      </c>
      <c r="M45" s="6">
        <f>'Growth profile'!N38</f>
        <v>0</v>
      </c>
      <c r="N45" s="15" t="str">
        <f t="shared" si="5"/>
        <v>shrinking</v>
      </c>
      <c r="O45" s="15" t="str">
        <f t="shared" si="6"/>
        <v>Unchanged</v>
      </c>
      <c r="P45" s="6">
        <f>'Growth (no penalty)'!I38</f>
        <v>2026</v>
      </c>
      <c r="Q45" s="27">
        <f t="shared" si="7"/>
        <v>0</v>
      </c>
    </row>
    <row r="46" spans="1:17" x14ac:dyDescent="0.3">
      <c r="A46" s="24" t="str">
        <f>'Growth profile'!A40</f>
        <v>project 32</v>
      </c>
      <c r="B46" s="24" t="str">
        <f>'Growth profile'!B40</f>
        <v>random growth</v>
      </c>
      <c r="C46" s="6">
        <f>'Growth profile'!C40</f>
        <v>4</v>
      </c>
      <c r="D46" s="25">
        <f>'Growth profile'!D40</f>
        <v>3.3</v>
      </c>
      <c r="E46" s="5">
        <f>'Growth profile'!E40</f>
        <v>15.455841599384851</v>
      </c>
      <c r="F46" s="26">
        <f>'Growth profile'!H40</f>
        <v>1.44E-2</v>
      </c>
      <c r="G46" s="6">
        <f>'Raw profile'!I40</f>
        <v>2026</v>
      </c>
      <c r="H46" s="6">
        <f>'Growth profile'!I40</f>
        <v>2026</v>
      </c>
      <c r="I46" s="27">
        <f t="shared" si="4"/>
        <v>0</v>
      </c>
      <c r="J46" s="5">
        <f>'Raw profile'!O40</f>
        <v>49.346087765197225</v>
      </c>
      <c r="K46" s="5">
        <f>'Growth profile'!O40</f>
        <v>66.588523466885547</v>
      </c>
      <c r="L46" s="8">
        <f>MIN('Growth profile'!L40,2085)</f>
        <v>2068</v>
      </c>
      <c r="M46" s="6">
        <f>'Growth profile'!N40</f>
        <v>0</v>
      </c>
      <c r="N46" s="15" t="str">
        <f t="shared" si="5"/>
        <v>under 1.5%</v>
      </c>
      <c r="O46" s="15" t="str">
        <f t="shared" si="6"/>
        <v>Unchanged</v>
      </c>
      <c r="P46" s="6">
        <f>'Growth (no penalty)'!I40</f>
        <v>2026</v>
      </c>
      <c r="Q46" s="27">
        <f t="shared" si="7"/>
        <v>0</v>
      </c>
    </row>
    <row r="47" spans="1:17" x14ac:dyDescent="0.3">
      <c r="A47" s="24" t="str">
        <f>'Growth profile'!A25</f>
        <v>project 4</v>
      </c>
      <c r="B47" s="24" t="str">
        <f>'Growth profile'!B25</f>
        <v>random growth</v>
      </c>
      <c r="C47" s="6">
        <f>'Growth profile'!C25</f>
        <v>2</v>
      </c>
      <c r="D47" s="25">
        <f>'Growth profile'!D25</f>
        <v>4.49</v>
      </c>
      <c r="E47" s="5">
        <f>'Growth profile'!E25</f>
        <v>1.6835429215686279</v>
      </c>
      <c r="F47" s="26">
        <f>'Growth profile'!H25</f>
        <v>1.4200000000000001E-2</v>
      </c>
      <c r="G47" s="6">
        <f>'Raw profile'!I25</f>
        <v>2026</v>
      </c>
      <c r="H47" s="6">
        <f>'Growth profile'!I25</f>
        <v>2026</v>
      </c>
      <c r="I47" s="27">
        <f t="shared" si="4"/>
        <v>0</v>
      </c>
      <c r="J47" s="5">
        <f>'Raw profile'!O25</f>
        <v>7.5362347843560187</v>
      </c>
      <c r="K47" s="5">
        <f>'Growth profile'!O25</f>
        <v>9.9812276996995788</v>
      </c>
      <c r="L47" s="8">
        <f>MIN('Growth profile'!L25,2085)</f>
        <v>2067</v>
      </c>
      <c r="M47" s="6">
        <f>'Growth profile'!N25</f>
        <v>0</v>
      </c>
      <c r="N47" s="15" t="str">
        <f t="shared" si="5"/>
        <v>under 1.5%</v>
      </c>
      <c r="O47" s="15" t="str">
        <f t="shared" si="6"/>
        <v>Unchanged</v>
      </c>
      <c r="P47" s="6">
        <f>'Growth (no penalty)'!I25</f>
        <v>2026</v>
      </c>
      <c r="Q47" s="27">
        <f t="shared" si="7"/>
        <v>0</v>
      </c>
    </row>
    <row r="48" spans="1:17" x14ac:dyDescent="0.3">
      <c r="A48" s="24" t="str">
        <f>'Growth profile'!A59</f>
        <v>project 64</v>
      </c>
      <c r="B48" s="24" t="str">
        <f>'Growth profile'!B59</f>
        <v>random growth</v>
      </c>
      <c r="C48" s="6">
        <f>'Growth profile'!C59</f>
        <v>3</v>
      </c>
      <c r="D48" s="25">
        <f>'Growth profile'!D59</f>
        <v>6.35</v>
      </c>
      <c r="E48" s="5">
        <f>'Growth profile'!E59</f>
        <v>5.6851479773088753</v>
      </c>
      <c r="F48" s="26">
        <f>'Growth profile'!H59</f>
        <v>1.5299999999999999E-2</v>
      </c>
      <c r="G48" s="6">
        <f>'Raw profile'!I59</f>
        <v>2026</v>
      </c>
      <c r="H48" s="6">
        <f>'Growth profile'!I59</f>
        <v>2026</v>
      </c>
      <c r="I48" s="27">
        <f t="shared" si="4"/>
        <v>0</v>
      </c>
      <c r="J48" s="5">
        <f>'Raw profile'!O59</f>
        <v>35.631910410931326</v>
      </c>
      <c r="K48" s="5">
        <f>'Growth profile'!O59</f>
        <v>48.275481329609029</v>
      </c>
      <c r="L48" s="8">
        <f>MIN('Growth profile'!L59,2085)</f>
        <v>2067</v>
      </c>
      <c r="M48" s="6">
        <f>'Growth profile'!N59</f>
        <v>0</v>
      </c>
      <c r="N48" s="15" t="str">
        <f t="shared" si="5"/>
        <v>1.5% to 1.8%</v>
      </c>
      <c r="O48" s="15" t="str">
        <f t="shared" si="6"/>
        <v>Unchanged</v>
      </c>
      <c r="P48" s="6">
        <f>'Growth (no penalty)'!I59</f>
        <v>2026</v>
      </c>
      <c r="Q48" s="27">
        <f t="shared" si="7"/>
        <v>0</v>
      </c>
    </row>
    <row r="49" spans="1:17" x14ac:dyDescent="0.3">
      <c r="A49" s="24" t="str">
        <f>'Growth profile'!A63</f>
        <v>project 78</v>
      </c>
      <c r="B49" s="24" t="str">
        <f>'Growth profile'!B63</f>
        <v>random growth</v>
      </c>
      <c r="C49" s="6">
        <f>'Growth profile'!C63</f>
        <v>5</v>
      </c>
      <c r="D49" s="25">
        <f>'Growth profile'!D63</f>
        <v>1.91</v>
      </c>
      <c r="E49" s="5">
        <f>'Growth profile'!E63</f>
        <v>79.104191791618604</v>
      </c>
      <c r="F49" s="26">
        <f>'Growth profile'!H63</f>
        <v>1.9099999999999999E-2</v>
      </c>
      <c r="G49" s="6">
        <f>'Raw profile'!I63</f>
        <v>2032</v>
      </c>
      <c r="H49" s="6">
        <f>'Growth profile'!I63</f>
        <v>2032</v>
      </c>
      <c r="I49" s="27">
        <f t="shared" si="4"/>
        <v>0</v>
      </c>
      <c r="J49" s="5">
        <f>'Raw profile'!O63</f>
        <v>130.73435664357567</v>
      </c>
      <c r="K49" s="5">
        <f>'Growth profile'!O63</f>
        <v>219.56530861067858</v>
      </c>
      <c r="L49" s="8">
        <f>MIN('Growth profile'!L63,2085)</f>
        <v>2074</v>
      </c>
      <c r="M49" s="6">
        <f>'Growth profile'!N63</f>
        <v>0</v>
      </c>
      <c r="N49" s="15" t="str">
        <f t="shared" si="5"/>
        <v>1.8% and over</v>
      </c>
      <c r="O49" s="15" t="str">
        <f t="shared" si="6"/>
        <v>Unchanged</v>
      </c>
      <c r="P49" s="6">
        <f>'Growth (no penalty)'!I63</f>
        <v>2043</v>
      </c>
      <c r="Q49" s="27">
        <f t="shared" si="7"/>
        <v>11</v>
      </c>
    </row>
    <row r="50" spans="1:17" x14ac:dyDescent="0.3">
      <c r="A50" s="24" t="str">
        <f>'Growth profile'!A77</f>
        <v>project 110</v>
      </c>
      <c r="B50" s="24" t="str">
        <f>'Growth profile'!B77</f>
        <v>random growth</v>
      </c>
      <c r="C50" s="6">
        <f>'Growth profile'!C77</f>
        <v>5</v>
      </c>
      <c r="D50" s="25">
        <f>'Growth profile'!D77</f>
        <v>1.57</v>
      </c>
      <c r="E50" s="5">
        <f>'Growth profile'!E77</f>
        <v>330.73302623723112</v>
      </c>
      <c r="F50" s="26">
        <f>'Growth profile'!H77</f>
        <v>2.5600000000000001E-2</v>
      </c>
      <c r="G50" s="6">
        <f>'Raw profile'!I77</f>
        <v>2033</v>
      </c>
      <c r="H50" s="6">
        <f>'Growth profile'!I77</f>
        <v>2032</v>
      </c>
      <c r="I50" s="27">
        <f t="shared" si="4"/>
        <v>-1</v>
      </c>
      <c r="J50" s="5">
        <f>'Raw profile'!O77</f>
        <v>410.04769770865465</v>
      </c>
      <c r="K50" s="5">
        <f>'Growth profile'!O77</f>
        <v>959.61841149826932</v>
      </c>
      <c r="L50" s="8">
        <f>MIN('Growth profile'!L77,2085)</f>
        <v>2079</v>
      </c>
      <c r="M50" s="6">
        <f>'Growth profile'!N77</f>
        <v>0</v>
      </c>
      <c r="N50" s="15" t="str">
        <f t="shared" si="5"/>
        <v>1.8% and over</v>
      </c>
      <c r="O50" s="15" t="str">
        <f t="shared" si="6"/>
        <v>Accelerated</v>
      </c>
      <c r="P50" s="6">
        <f>'Growth (no penalty)'!I77</f>
        <v>2038</v>
      </c>
      <c r="Q50" s="27">
        <f t="shared" si="7"/>
        <v>5</v>
      </c>
    </row>
    <row r="51" spans="1:17" x14ac:dyDescent="0.3">
      <c r="A51" s="24" t="str">
        <f>'Growth profile'!A91</f>
        <v>project 144</v>
      </c>
      <c r="B51" s="24" t="str">
        <f>'Growth profile'!B91</f>
        <v>random growth</v>
      </c>
      <c r="C51" s="6">
        <f>'Growth profile'!C91</f>
        <v>4</v>
      </c>
      <c r="D51" s="25">
        <f>'Growth profile'!D91</f>
        <v>2.5299999999999998</v>
      </c>
      <c r="E51" s="5">
        <f>'Growth profile'!E91</f>
        <v>27.53500125861034</v>
      </c>
      <c r="F51" s="26">
        <f>'Growth profile'!H91</f>
        <v>1.14E-2</v>
      </c>
      <c r="G51" s="6">
        <f>'Raw profile'!I91</f>
        <v>2027</v>
      </c>
      <c r="H51" s="6">
        <f>'Growth profile'!I91</f>
        <v>2026</v>
      </c>
      <c r="I51" s="27">
        <f t="shared" si="4"/>
        <v>-1</v>
      </c>
      <c r="J51" s="5">
        <f>'Raw profile'!O91</f>
        <v>63.644686400871741</v>
      </c>
      <c r="K51" s="5">
        <f>'Growth profile'!O91</f>
        <v>83.945860100196768</v>
      </c>
      <c r="L51" s="8">
        <f>MIN('Growth profile'!L91,2085)</f>
        <v>2070</v>
      </c>
      <c r="M51" s="6">
        <f>'Growth profile'!N91</f>
        <v>0</v>
      </c>
      <c r="N51" s="15" t="str">
        <f t="shared" si="5"/>
        <v>under 1.5%</v>
      </c>
      <c r="O51" s="15" t="str">
        <f t="shared" si="6"/>
        <v>Accelerated</v>
      </c>
      <c r="P51" s="6">
        <f>'Growth (no penalty)'!I91</f>
        <v>2026</v>
      </c>
      <c r="Q51" s="27">
        <f t="shared" si="7"/>
        <v>-1</v>
      </c>
    </row>
    <row r="52" spans="1:17" x14ac:dyDescent="0.3">
      <c r="A52" s="24" t="str">
        <f>'Growth profile'!A101</f>
        <v>project 161</v>
      </c>
      <c r="B52" s="24" t="str">
        <f>'Growth profile'!B101</f>
        <v>random growth</v>
      </c>
      <c r="C52" s="6">
        <f>'Growth profile'!C101</f>
        <v>3</v>
      </c>
      <c r="D52" s="25">
        <f>'Growth profile'!D101</f>
        <v>1.67</v>
      </c>
      <c r="E52" s="5">
        <f>'Growth profile'!E101</f>
        <v>11.881</v>
      </c>
      <c r="F52" s="26">
        <f>'Growth profile'!H101</f>
        <v>2.0799999999999999E-2</v>
      </c>
      <c r="G52" s="6">
        <f>'Raw profile'!I101</f>
        <v>2037</v>
      </c>
      <c r="H52" s="6">
        <f>'Growth profile'!I101</f>
        <v>2035</v>
      </c>
      <c r="I52" s="27">
        <f t="shared" si="4"/>
        <v>-2</v>
      </c>
      <c r="J52" s="5">
        <f>'Raw profile'!O101</f>
        <v>16.235044276515712</v>
      </c>
      <c r="K52" s="5">
        <f>'Growth profile'!O101</f>
        <v>30.269542383792864</v>
      </c>
      <c r="L52" s="8">
        <f>MIN('Growth profile'!L101,2085)</f>
        <v>2075</v>
      </c>
      <c r="M52" s="6">
        <f>'Growth profile'!N101</f>
        <v>0</v>
      </c>
      <c r="N52" s="15" t="str">
        <f t="shared" si="5"/>
        <v>1.8% and over</v>
      </c>
      <c r="O52" s="15" t="str">
        <f t="shared" si="6"/>
        <v>Accelerated</v>
      </c>
      <c r="P52" s="6">
        <f>'Growth (no penalty)'!I101</f>
        <v>2045</v>
      </c>
      <c r="Q52" s="27">
        <f t="shared" si="7"/>
        <v>8</v>
      </c>
    </row>
    <row r="53" spans="1:17" x14ac:dyDescent="0.3">
      <c r="A53" s="24" t="str">
        <f>'Growth profile'!A35</f>
        <v>project 24</v>
      </c>
      <c r="B53" s="24" t="str">
        <f>'Growth profile'!B35</f>
        <v>random growth</v>
      </c>
      <c r="C53" s="6">
        <f>'Growth profile'!C35</f>
        <v>1</v>
      </c>
      <c r="D53" s="25">
        <f>'Growth profile'!D35</f>
        <v>1.4</v>
      </c>
      <c r="E53" s="5">
        <f>'Growth profile'!E35</f>
        <v>1.2198382352941179</v>
      </c>
      <c r="F53" s="26">
        <f>'Growth profile'!H35</f>
        <v>2.12E-2</v>
      </c>
      <c r="G53" s="6">
        <f>'Raw profile'!I35</f>
        <v>2037</v>
      </c>
      <c r="H53" s="6">
        <f>'Growth profile'!I35</f>
        <v>2035</v>
      </c>
      <c r="I53" s="27">
        <f t="shared" si="4"/>
        <v>-2</v>
      </c>
      <c r="J53" s="5">
        <f>'Raw profile'!O35</f>
        <v>1.3919475017972298</v>
      </c>
      <c r="K53" s="5">
        <f>'Growth profile'!O35</f>
        <v>2.6822350356400593</v>
      </c>
      <c r="L53" s="8">
        <f>MIN('Growth profile'!L35,2085)</f>
        <v>2076</v>
      </c>
      <c r="M53" s="6">
        <f>'Growth profile'!N35</f>
        <v>0</v>
      </c>
      <c r="N53" s="15" t="str">
        <f t="shared" si="5"/>
        <v>1.8% and over</v>
      </c>
      <c r="O53" s="15" t="str">
        <f t="shared" si="6"/>
        <v>Accelerated</v>
      </c>
      <c r="P53" s="6">
        <f>'Growth (no penalty)'!I35</f>
        <v>2044</v>
      </c>
      <c r="Q53" s="27">
        <f t="shared" si="7"/>
        <v>7</v>
      </c>
    </row>
    <row r="54" spans="1:17" x14ac:dyDescent="0.3">
      <c r="A54" s="24" t="str">
        <f>'Growth profile'!A89</f>
        <v>project 137</v>
      </c>
      <c r="B54" s="24" t="str">
        <f>'Growth profile'!B89</f>
        <v>random growth</v>
      </c>
      <c r="C54" s="6">
        <f>'Growth profile'!C89</f>
        <v>5</v>
      </c>
      <c r="D54" s="25">
        <f>'Growth profile'!D89</f>
        <v>2.92</v>
      </c>
      <c r="E54" s="5">
        <f>'Growth profile'!E89</f>
        <v>46.943104959630922</v>
      </c>
      <c r="F54" s="26">
        <f>'Growth profile'!H89</f>
        <v>1.17E-2</v>
      </c>
      <c r="G54" s="6">
        <f>'Raw profile'!I89</f>
        <v>2029</v>
      </c>
      <c r="H54" s="6">
        <f>'Growth profile'!I89</f>
        <v>2026</v>
      </c>
      <c r="I54" s="27">
        <f t="shared" si="4"/>
        <v>-3</v>
      </c>
      <c r="J54" s="5">
        <f>'Raw profile'!O89</f>
        <v>126.33206017834658</v>
      </c>
      <c r="K54" s="5">
        <f>'Growth profile'!O89</f>
        <v>170.04630233112465</v>
      </c>
      <c r="L54" s="8">
        <f>MIN('Growth profile'!L89,2085)</f>
        <v>2068</v>
      </c>
      <c r="M54" s="6">
        <f>'Growth profile'!N89</f>
        <v>0</v>
      </c>
      <c r="N54" s="15" t="str">
        <f t="shared" si="5"/>
        <v>under 1.5%</v>
      </c>
      <c r="O54" s="15" t="str">
        <f t="shared" si="6"/>
        <v>Accelerated</v>
      </c>
      <c r="P54" s="6">
        <f>'Growth (no penalty)'!I89</f>
        <v>2026</v>
      </c>
      <c r="Q54" s="27">
        <f t="shared" si="7"/>
        <v>-3</v>
      </c>
    </row>
    <row r="55" spans="1:17" x14ac:dyDescent="0.3">
      <c r="A55" s="24" t="str">
        <f>'Growth profile'!A95</f>
        <v>project 149</v>
      </c>
      <c r="B55" s="24" t="str">
        <f>'Growth profile'!B95</f>
        <v>random growth</v>
      </c>
      <c r="C55" s="6">
        <f>'Growth profile'!C95</f>
        <v>4</v>
      </c>
      <c r="D55" s="25">
        <f>'Growth profile'!D95</f>
        <v>1.7</v>
      </c>
      <c r="E55" s="5">
        <f>'Growth profile'!E95</f>
        <v>21.708014225297958</v>
      </c>
      <c r="F55" s="26">
        <f>'Growth profile'!H95</f>
        <v>1.95E-2</v>
      </c>
      <c r="G55" s="6">
        <f>'Raw profile'!I95</f>
        <v>2036</v>
      </c>
      <c r="H55" s="6">
        <f>'Growth profile'!I95</f>
        <v>2033</v>
      </c>
      <c r="I55" s="27">
        <f t="shared" si="4"/>
        <v>-3</v>
      </c>
      <c r="J55" s="5">
        <f>'Raw profile'!O95</f>
        <v>29.930340294053789</v>
      </c>
      <c r="K55" s="5">
        <f>'Growth profile'!O95</f>
        <v>54.671266767641306</v>
      </c>
      <c r="L55" s="8">
        <f>MIN('Growth profile'!L95,2085)</f>
        <v>2075</v>
      </c>
      <c r="M55" s="6">
        <f>'Growth profile'!N95</f>
        <v>0</v>
      </c>
      <c r="N55" s="15" t="str">
        <f t="shared" si="5"/>
        <v>1.8% and over</v>
      </c>
      <c r="O55" s="15" t="str">
        <f t="shared" si="6"/>
        <v>Accelerated</v>
      </c>
      <c r="P55" s="6">
        <f>'Growth (no penalty)'!I95</f>
        <v>2043</v>
      </c>
      <c r="Q55" s="27">
        <f t="shared" si="7"/>
        <v>7</v>
      </c>
    </row>
    <row r="56" spans="1:17" x14ac:dyDescent="0.3">
      <c r="A56" s="24" t="str">
        <f>'Growth profile'!A99</f>
        <v>project 157</v>
      </c>
      <c r="B56" s="24" t="str">
        <f>'Growth profile'!B99</f>
        <v>random growth</v>
      </c>
      <c r="C56" s="6">
        <f>'Growth profile'!C99</f>
        <v>3</v>
      </c>
      <c r="D56" s="25">
        <f>'Growth profile'!D99</f>
        <v>1.63</v>
      </c>
      <c r="E56" s="5">
        <f>'Growth profile'!E99</f>
        <v>13.67299115724721</v>
      </c>
      <c r="F56" s="26">
        <f>'Growth profile'!H99</f>
        <v>1.8499999999999999E-2</v>
      </c>
      <c r="G56" s="6">
        <f>'Raw profile'!I99</f>
        <v>2036</v>
      </c>
      <c r="H56" s="6">
        <f>'Growth profile'!I99</f>
        <v>2033</v>
      </c>
      <c r="I56" s="27">
        <f t="shared" si="4"/>
        <v>-3</v>
      </c>
      <c r="J56" s="5">
        <f>'Raw profile'!O99</f>
        <v>18.140393266558746</v>
      </c>
      <c r="K56" s="5">
        <f>'Growth profile'!O99</f>
        <v>32.184132312385039</v>
      </c>
      <c r="L56" s="8">
        <f>MIN('Growth profile'!L99,2085)</f>
        <v>2075</v>
      </c>
      <c r="M56" s="6">
        <f>'Growth profile'!N99</f>
        <v>0</v>
      </c>
      <c r="N56" s="15" t="str">
        <f t="shared" si="5"/>
        <v>1.8% and over</v>
      </c>
      <c r="O56" s="15" t="str">
        <f t="shared" si="6"/>
        <v>Accelerated</v>
      </c>
      <c r="P56" s="6">
        <f>'Growth (no penalty)'!I99</f>
        <v>2043</v>
      </c>
      <c r="Q56" s="27">
        <f t="shared" si="7"/>
        <v>7</v>
      </c>
    </row>
    <row r="57" spans="1:17" x14ac:dyDescent="0.3">
      <c r="A57" s="24" t="str">
        <f>'Growth profile'!A103</f>
        <v>project 166</v>
      </c>
      <c r="B57" s="24" t="str">
        <f>'Growth profile'!B103</f>
        <v>random growth</v>
      </c>
      <c r="C57" s="6">
        <f>'Growth profile'!C103</f>
        <v>3</v>
      </c>
      <c r="D57" s="25">
        <f>'Growth profile'!D103</f>
        <v>2.4900000000000002</v>
      </c>
      <c r="E57" s="5">
        <f>'Growth profile'!E103</f>
        <v>9.6976119186998293</v>
      </c>
      <c r="F57" s="26">
        <f>'Growth profile'!H103</f>
        <v>1.4E-2</v>
      </c>
      <c r="G57" s="6">
        <f>'Raw profile'!I103</f>
        <v>2029</v>
      </c>
      <c r="H57" s="6">
        <f>'Growth profile'!I103</f>
        <v>2026</v>
      </c>
      <c r="I57" s="27">
        <f t="shared" si="4"/>
        <v>-3</v>
      </c>
      <c r="J57" s="5">
        <f>'Raw profile'!O103</f>
        <v>21.583516454667738</v>
      </c>
      <c r="K57" s="5">
        <f>'Growth profile'!O103</f>
        <v>30.94571259033885</v>
      </c>
      <c r="L57" s="8">
        <f>MIN('Growth profile'!L103,2085)</f>
        <v>2069</v>
      </c>
      <c r="M57" s="6">
        <f>'Growth profile'!N103</f>
        <v>0</v>
      </c>
      <c r="N57" s="15" t="str">
        <f t="shared" si="5"/>
        <v>under 1.5%</v>
      </c>
      <c r="O57" s="15" t="str">
        <f t="shared" si="6"/>
        <v>Accelerated</v>
      </c>
      <c r="P57" s="6">
        <f>'Growth (no penalty)'!I103</f>
        <v>2026</v>
      </c>
      <c r="Q57" s="27">
        <f t="shared" si="7"/>
        <v>-3</v>
      </c>
    </row>
    <row r="58" spans="1:17" x14ac:dyDescent="0.3">
      <c r="A58" s="24" t="str">
        <f>'Growth profile'!A42</f>
        <v>project 37</v>
      </c>
      <c r="B58" s="24" t="str">
        <f>'Growth profile'!B42</f>
        <v>random growth</v>
      </c>
      <c r="C58" s="6">
        <f>'Growth profile'!C42</f>
        <v>3</v>
      </c>
      <c r="D58" s="25">
        <f>'Growth profile'!D42</f>
        <v>1.84</v>
      </c>
      <c r="E58" s="5">
        <f>'Growth profile'!E42</f>
        <v>8.6772549019607847</v>
      </c>
      <c r="F58" s="26">
        <f>'Growth profile'!H42</f>
        <v>2.0199999999999999E-2</v>
      </c>
      <c r="G58" s="6">
        <f>'Raw profile'!I42</f>
        <v>2037</v>
      </c>
      <c r="H58" s="6">
        <f>'Growth profile'!I42</f>
        <v>2034</v>
      </c>
      <c r="I58" s="27">
        <f t="shared" si="4"/>
        <v>-3</v>
      </c>
      <c r="J58" s="5">
        <f>'Raw profile'!O42</f>
        <v>13.017693010884397</v>
      </c>
      <c r="K58" s="5">
        <f>'Growth profile'!O42</f>
        <v>24.269694408220033</v>
      </c>
      <c r="L58" s="8">
        <f>MIN('Growth profile'!L42,2085)</f>
        <v>2075</v>
      </c>
      <c r="M58" s="6">
        <f>'Growth profile'!N42</f>
        <v>0</v>
      </c>
      <c r="N58" s="15" t="str">
        <f t="shared" si="5"/>
        <v>1.8% and over</v>
      </c>
      <c r="O58" s="15" t="str">
        <f t="shared" si="6"/>
        <v>Accelerated</v>
      </c>
      <c r="P58" s="6">
        <f>'Growth (no penalty)'!I42</f>
        <v>2044</v>
      </c>
      <c r="Q58" s="27">
        <f t="shared" si="7"/>
        <v>7</v>
      </c>
    </row>
    <row r="59" spans="1:17" x14ac:dyDescent="0.3">
      <c r="A59" s="24" t="str">
        <f>'Growth profile'!A54</f>
        <v>project 53</v>
      </c>
      <c r="B59" s="24" t="str">
        <f>'Growth profile'!B54</f>
        <v>random growth</v>
      </c>
      <c r="C59" s="6">
        <f>'Growth profile'!C54</f>
        <v>2</v>
      </c>
      <c r="D59" s="25">
        <f>'Growth profile'!D54</f>
        <v>1.1299999999999999</v>
      </c>
      <c r="E59" s="5">
        <f>'Growth profile'!E54</f>
        <v>3.056</v>
      </c>
      <c r="F59" s="26">
        <f>'Growth profile'!H54</f>
        <v>2.7199999999999998E-2</v>
      </c>
      <c r="G59" s="6">
        <f>'Raw profile'!I54</f>
        <v>2041</v>
      </c>
      <c r="H59" s="6">
        <f>'Growth profile'!I54</f>
        <v>2038</v>
      </c>
      <c r="I59" s="27">
        <f t="shared" si="4"/>
        <v>-3</v>
      </c>
      <c r="J59" s="5">
        <f>'Raw profile'!O54</f>
        <v>2.6032412876795434</v>
      </c>
      <c r="K59" s="5">
        <f>'Growth profile'!O54</f>
        <v>6.654672843833592</v>
      </c>
      <c r="L59" s="8">
        <f>MIN('Growth profile'!L54,2085)</f>
        <v>2079</v>
      </c>
      <c r="M59" s="6">
        <f>'Growth profile'!N54</f>
        <v>0</v>
      </c>
      <c r="N59" s="15" t="str">
        <f t="shared" si="5"/>
        <v>1.8% and over</v>
      </c>
      <c r="O59" s="15" t="str">
        <f t="shared" si="6"/>
        <v>Accelerated</v>
      </c>
      <c r="P59" s="6">
        <f>'Growth (no penalty)'!I54</f>
        <v>2044</v>
      </c>
      <c r="Q59" s="27">
        <f t="shared" si="7"/>
        <v>3</v>
      </c>
    </row>
    <row r="60" spans="1:17" x14ac:dyDescent="0.3">
      <c r="A60" s="24" t="str">
        <f>'Growth profile'!A61</f>
        <v>project 75</v>
      </c>
      <c r="B60" s="24" t="str">
        <f>'Growth profile'!B61</f>
        <v>random growth</v>
      </c>
      <c r="C60" s="6">
        <f>'Growth profile'!C61</f>
        <v>4</v>
      </c>
      <c r="D60" s="25">
        <f>'Growth profile'!D61</f>
        <v>1</v>
      </c>
      <c r="E60" s="5">
        <f>'Growth profile'!E61</f>
        <v>18.906960220146431</v>
      </c>
      <c r="F60" s="26">
        <f>'Growth profile'!H61</f>
        <v>1.2200000000000001E-2</v>
      </c>
      <c r="G60" s="6">
        <f>'Raw profile'!I61</f>
        <v>2029</v>
      </c>
      <c r="H60" s="6">
        <f>'Growth profile'!I61</f>
        <v>2026</v>
      </c>
      <c r="I60" s="27">
        <f t="shared" si="4"/>
        <v>-3</v>
      </c>
      <c r="J60" s="5">
        <f>'Raw profile'!O61</f>
        <v>15.688001419759807</v>
      </c>
      <c r="K60" s="5">
        <f>'Growth profile'!O61</f>
        <v>24.957788502114234</v>
      </c>
      <c r="L60" s="8">
        <f>MIN('Growth profile'!L61,2085)</f>
        <v>2081</v>
      </c>
      <c r="M60" s="6">
        <f>'Growth profile'!N61</f>
        <v>0</v>
      </c>
      <c r="N60" s="15" t="str">
        <f t="shared" si="5"/>
        <v>under 1.5%</v>
      </c>
      <c r="O60" s="15" t="str">
        <f t="shared" si="6"/>
        <v>Accelerated</v>
      </c>
      <c r="P60" s="6">
        <f>'Growth (no penalty)'!I61</f>
        <v>2026</v>
      </c>
      <c r="Q60" s="27">
        <f t="shared" si="7"/>
        <v>-3</v>
      </c>
    </row>
    <row r="61" spans="1:17" x14ac:dyDescent="0.3">
      <c r="A61" s="24" t="str">
        <f>'Growth profile'!A67</f>
        <v>project 91</v>
      </c>
      <c r="B61" s="24" t="str">
        <f>'Growth profile'!B67</f>
        <v>random growth</v>
      </c>
      <c r="C61" s="6">
        <f>'Growth profile'!C67</f>
        <v>3</v>
      </c>
      <c r="D61" s="25">
        <f>'Growth profile'!D67</f>
        <v>1.49</v>
      </c>
      <c r="E61" s="5">
        <f>'Growth profile'!E67</f>
        <v>10.20019315820123</v>
      </c>
      <c r="F61" s="26">
        <f>'Growth profile'!H67</f>
        <v>0.02</v>
      </c>
      <c r="G61" s="6">
        <f>'Raw profile'!I67</f>
        <v>2035</v>
      </c>
      <c r="H61" s="6">
        <f>'Growth profile'!I67</f>
        <v>2032</v>
      </c>
      <c r="I61" s="27">
        <f t="shared" si="4"/>
        <v>-3</v>
      </c>
      <c r="J61" s="5">
        <f>'Raw profile'!O67</f>
        <v>12.328012569461297</v>
      </c>
      <c r="K61" s="5">
        <f>'Growth profile'!O67</f>
        <v>22.849842743686253</v>
      </c>
      <c r="L61" s="8">
        <f>MIN('Growth profile'!L67,2085)</f>
        <v>2075</v>
      </c>
      <c r="M61" s="6">
        <f>'Growth profile'!N67</f>
        <v>0</v>
      </c>
      <c r="N61" s="15" t="str">
        <f t="shared" si="5"/>
        <v>1.8% and over</v>
      </c>
      <c r="O61" s="15" t="str">
        <f t="shared" si="6"/>
        <v>Accelerated</v>
      </c>
      <c r="P61" s="6">
        <f>'Growth (no penalty)'!I67</f>
        <v>2042</v>
      </c>
      <c r="Q61" s="27">
        <f t="shared" si="7"/>
        <v>7</v>
      </c>
    </row>
    <row r="62" spans="1:17" x14ac:dyDescent="0.3">
      <c r="A62" s="24" t="str">
        <f>'Growth profile'!A69</f>
        <v>project 98</v>
      </c>
      <c r="B62" s="24" t="str">
        <f>'Growth profile'!B69</f>
        <v>random growth</v>
      </c>
      <c r="C62" s="6">
        <f>'Growth profile'!C69</f>
        <v>4</v>
      </c>
      <c r="D62" s="25">
        <f>'Growth profile'!D69</f>
        <v>1.17</v>
      </c>
      <c r="E62" s="5">
        <f>'Growth profile'!E69</f>
        <v>32.593137254901961</v>
      </c>
      <c r="F62" s="26">
        <f>'Growth profile'!H69</f>
        <v>2.8299999999999999E-2</v>
      </c>
      <c r="G62" s="6">
        <f>'Raw profile'!I69</f>
        <v>2041</v>
      </c>
      <c r="H62" s="6">
        <f>'Growth profile'!I69</f>
        <v>2038</v>
      </c>
      <c r="I62" s="27">
        <f t="shared" si="4"/>
        <v>-3</v>
      </c>
      <c r="J62" s="5">
        <f>'Raw profile'!O69</f>
        <v>29.113878632276933</v>
      </c>
      <c r="K62" s="5">
        <f>'Growth profile'!O69</f>
        <v>75.112187944908726</v>
      </c>
      <c r="L62" s="8">
        <f>MIN('Growth profile'!L69,2085)</f>
        <v>2078</v>
      </c>
      <c r="M62" s="6">
        <f>'Growth profile'!N69</f>
        <v>0</v>
      </c>
      <c r="N62" s="15" t="str">
        <f t="shared" si="5"/>
        <v>1.8% and over</v>
      </c>
      <c r="O62" s="15" t="str">
        <f t="shared" si="6"/>
        <v>Accelerated</v>
      </c>
      <c r="P62" s="6">
        <f>'Growth (no penalty)'!I69</f>
        <v>2045</v>
      </c>
      <c r="Q62" s="27">
        <f t="shared" si="7"/>
        <v>4</v>
      </c>
    </row>
    <row r="63" spans="1:17" x14ac:dyDescent="0.3">
      <c r="A63" s="24" t="str">
        <f>'Growth profile'!A87</f>
        <v>project 133</v>
      </c>
      <c r="B63" s="24" t="str">
        <f>'Growth profile'!B87</f>
        <v>random growth</v>
      </c>
      <c r="C63" s="6">
        <f>'Growth profile'!C87</f>
        <v>5</v>
      </c>
      <c r="D63" s="25">
        <f>'Growth profile'!D87</f>
        <v>1.1599999999999999</v>
      </c>
      <c r="E63" s="5">
        <f>'Growth profile'!E87</f>
        <v>60.444938437638022</v>
      </c>
      <c r="F63" s="26">
        <f>'Growth profile'!H87</f>
        <v>2.76E-2</v>
      </c>
      <c r="G63" s="6">
        <f>'Raw profile'!I87</f>
        <v>2037</v>
      </c>
      <c r="H63" s="6">
        <f>'Growth profile'!I87</f>
        <v>2033</v>
      </c>
      <c r="I63" s="27">
        <f t="shared" si="4"/>
        <v>-4</v>
      </c>
      <c r="J63" s="5">
        <f>'Raw profile'!O87</f>
        <v>52.964489057070665</v>
      </c>
      <c r="K63" s="5">
        <f>'Growth profile'!O87</f>
        <v>139.57762909392704</v>
      </c>
      <c r="L63" s="8">
        <f>MIN('Growth profile'!L87,2085)</f>
        <v>2079</v>
      </c>
      <c r="M63" s="6">
        <f>'Growth profile'!N87</f>
        <v>0</v>
      </c>
      <c r="N63" s="15" t="str">
        <f t="shared" si="5"/>
        <v>1.8% and over</v>
      </c>
      <c r="O63" s="15" t="str">
        <f t="shared" si="6"/>
        <v>Accelerated</v>
      </c>
      <c r="P63" s="6">
        <f>'Growth (no penalty)'!I87</f>
        <v>2039</v>
      </c>
      <c r="Q63" s="27">
        <f t="shared" si="7"/>
        <v>2</v>
      </c>
    </row>
    <row r="64" spans="1:17" x14ac:dyDescent="0.3">
      <c r="A64" s="24" t="str">
        <f>'Growth profile'!A50</f>
        <v>project 47</v>
      </c>
      <c r="B64" s="24" t="str">
        <f>'Growth profile'!B50</f>
        <v>random growth</v>
      </c>
      <c r="C64" s="6">
        <f>'Growth profile'!C50</f>
        <v>2</v>
      </c>
      <c r="D64" s="25">
        <f>'Growth profile'!D50</f>
        <v>1.58</v>
      </c>
      <c r="E64" s="5">
        <f>'Growth profile'!E50</f>
        <v>2.8349570710115941</v>
      </c>
      <c r="F64" s="26">
        <f>'Growth profile'!H50</f>
        <v>1.7600000000000001E-2</v>
      </c>
      <c r="G64" s="6">
        <f>'Raw profile'!I50</f>
        <v>2037</v>
      </c>
      <c r="H64" s="6">
        <f>'Growth profile'!I50</f>
        <v>2033</v>
      </c>
      <c r="I64" s="27">
        <f t="shared" si="4"/>
        <v>-4</v>
      </c>
      <c r="J64" s="5">
        <f>'Raw profile'!O50</f>
        <v>3.6406940079179257</v>
      </c>
      <c r="K64" s="5">
        <f>'Growth profile'!O50</f>
        <v>6.2927345826298673</v>
      </c>
      <c r="L64" s="8">
        <f>MIN('Growth profile'!L50,2085)</f>
        <v>2074</v>
      </c>
      <c r="M64" s="6">
        <f>'Growth profile'!N50</f>
        <v>0</v>
      </c>
      <c r="N64" s="15" t="str">
        <f t="shared" si="5"/>
        <v>1.5% to 1.8%</v>
      </c>
      <c r="O64" s="15" t="str">
        <f t="shared" si="6"/>
        <v>Accelerated</v>
      </c>
      <c r="P64" s="6">
        <f>'Growth (no penalty)'!I50</f>
        <v>2044</v>
      </c>
      <c r="Q64" s="27">
        <f t="shared" si="7"/>
        <v>7</v>
      </c>
    </row>
    <row r="65" spans="1:17" x14ac:dyDescent="0.3">
      <c r="A65" s="24" t="str">
        <f>'Growth profile'!A27</f>
        <v>project 8</v>
      </c>
      <c r="B65" s="24" t="str">
        <f>'Growth profile'!B27</f>
        <v>random growth</v>
      </c>
      <c r="C65" s="6">
        <f>'Growth profile'!C27</f>
        <v>3</v>
      </c>
      <c r="D65" s="25">
        <f>'Growth profile'!D27</f>
        <v>1</v>
      </c>
      <c r="E65" s="5">
        <f>'Growth profile'!E27</f>
        <v>5.45</v>
      </c>
      <c r="F65" s="26">
        <f>'Growth profile'!H27</f>
        <v>2.75E-2</v>
      </c>
      <c r="G65" s="6">
        <f>'Raw profile'!I27</f>
        <v>2041</v>
      </c>
      <c r="H65" s="6">
        <f>'Growth profile'!I27</f>
        <v>2037</v>
      </c>
      <c r="I65" s="27">
        <f t="shared" si="4"/>
        <v>-4</v>
      </c>
      <c r="J65" s="5">
        <f>'Raw profile'!O27</f>
        <v>4.1608737851930044</v>
      </c>
      <c r="K65" s="5">
        <f>'Growth profile'!O27</f>
        <v>10.348220496005611</v>
      </c>
      <c r="L65" s="8">
        <f>MIN('Growth profile'!L27,2085)</f>
        <v>2077</v>
      </c>
      <c r="M65" s="6">
        <f>'Growth profile'!N27</f>
        <v>0</v>
      </c>
      <c r="N65" s="15" t="str">
        <f t="shared" si="5"/>
        <v>1.8% and over</v>
      </c>
      <c r="O65" s="15" t="str">
        <f t="shared" si="6"/>
        <v>Accelerated</v>
      </c>
      <c r="P65" s="6">
        <f>'Growth (no penalty)'!I27</f>
        <v>2045</v>
      </c>
      <c r="Q65" s="27">
        <f t="shared" si="7"/>
        <v>4</v>
      </c>
    </row>
    <row r="66" spans="1:17" x14ac:dyDescent="0.3">
      <c r="A66" s="24" t="str">
        <f>'Growth profile'!A66</f>
        <v>project 90</v>
      </c>
      <c r="B66" s="24" t="str">
        <f>'Growth profile'!B66</f>
        <v>random growth</v>
      </c>
      <c r="C66" s="6">
        <f>'Growth profile'!C66</f>
        <v>4</v>
      </c>
      <c r="D66" s="25">
        <f>'Growth profile'!D66</f>
        <v>1.97</v>
      </c>
      <c r="E66" s="5">
        <f>'Growth profile'!E66</f>
        <v>16.347101931949251</v>
      </c>
      <c r="F66" s="26">
        <f>'Growth profile'!H66</f>
        <v>1.5299999999999999E-2</v>
      </c>
      <c r="G66" s="6">
        <f>'Raw profile'!I66</f>
        <v>2030</v>
      </c>
      <c r="H66" s="6">
        <f>'Growth profile'!I66</f>
        <v>2026</v>
      </c>
      <c r="I66" s="27">
        <f t="shared" si="4"/>
        <v>-4</v>
      </c>
      <c r="J66" s="5">
        <f>'Raw profile'!O66</f>
        <v>29.209298928396386</v>
      </c>
      <c r="K66" s="5">
        <f>'Growth profile'!O66</f>
        <v>43.263339184120213</v>
      </c>
      <c r="L66" s="8">
        <f>MIN('Growth profile'!L66,2085)</f>
        <v>2068</v>
      </c>
      <c r="M66" s="6">
        <f>'Growth profile'!N66</f>
        <v>0</v>
      </c>
      <c r="N66" s="15" t="str">
        <f t="shared" si="5"/>
        <v>1.5% to 1.8%</v>
      </c>
      <c r="O66" s="15" t="str">
        <f t="shared" si="6"/>
        <v>Accelerated</v>
      </c>
      <c r="P66" s="6">
        <f>'Growth (no penalty)'!I66</f>
        <v>2026</v>
      </c>
      <c r="Q66" s="27">
        <f t="shared" si="7"/>
        <v>-4</v>
      </c>
    </row>
    <row r="67" spans="1:17" x14ac:dyDescent="0.3">
      <c r="A67" s="24" t="str">
        <f>'Growth profile'!A88</f>
        <v>project 135</v>
      </c>
      <c r="B67" s="24" t="str">
        <f>'Growth profile'!B88</f>
        <v>random growth</v>
      </c>
      <c r="C67" s="6">
        <f>'Growth profile'!C88</f>
        <v>4</v>
      </c>
      <c r="D67" s="25">
        <f>'Growth profile'!D88</f>
        <v>1.18</v>
      </c>
      <c r="E67" s="5">
        <f>'Growth profile'!E88</f>
        <v>41.607442045278972</v>
      </c>
      <c r="F67" s="26">
        <f>'Growth profile'!H88</f>
        <v>2.8899999999999999E-2</v>
      </c>
      <c r="G67" s="6">
        <f>'Raw profile'!I88</f>
        <v>2039</v>
      </c>
      <c r="H67" s="6">
        <f>'Growth profile'!I88</f>
        <v>2034</v>
      </c>
      <c r="I67" s="27">
        <f t="shared" si="4"/>
        <v>-5</v>
      </c>
      <c r="J67" s="5">
        <f>'Raw profile'!O88</f>
        <v>37.327929784698711</v>
      </c>
      <c r="K67" s="5">
        <f>'Growth profile'!O88</f>
        <v>104.55393033980459</v>
      </c>
      <c r="L67" s="8">
        <f>MIN('Growth profile'!L88,2085)</f>
        <v>2079</v>
      </c>
      <c r="M67" s="6">
        <f>'Growth profile'!N88</f>
        <v>0</v>
      </c>
      <c r="N67" s="15" t="str">
        <f t="shared" si="5"/>
        <v>1.8% and over</v>
      </c>
      <c r="O67" s="15" t="str">
        <f t="shared" si="6"/>
        <v>Accelerated</v>
      </c>
      <c r="P67" s="6">
        <f>'Growth (no penalty)'!I88</f>
        <v>2040</v>
      </c>
      <c r="Q67" s="27">
        <f t="shared" si="7"/>
        <v>1</v>
      </c>
    </row>
    <row r="68" spans="1:17" x14ac:dyDescent="0.3">
      <c r="A68" s="24" t="str">
        <f>'Growth profile'!A105</f>
        <v>project 168</v>
      </c>
      <c r="B68" s="24" t="str">
        <f>'Growth profile'!B105</f>
        <v>random growth</v>
      </c>
      <c r="C68" s="6">
        <f>'Growth profile'!C105</f>
        <v>3</v>
      </c>
      <c r="D68" s="25">
        <f>'Growth profile'!D105</f>
        <v>1.33</v>
      </c>
      <c r="E68" s="5">
        <f>'Growth profile'!E105</f>
        <v>8.2256236894674402</v>
      </c>
      <c r="F68" s="26">
        <f>'Growth profile'!H105</f>
        <v>2.9899999999999999E-2</v>
      </c>
      <c r="G68" s="6">
        <f>'Raw profile'!I105</f>
        <v>2040</v>
      </c>
      <c r="H68" s="6">
        <f>'Growth profile'!I105</f>
        <v>2035</v>
      </c>
      <c r="I68" s="27">
        <f t="shared" si="4"/>
        <v>-5</v>
      </c>
      <c r="J68" s="5">
        <f>'Raw profile'!O105</f>
        <v>8.164632083999896</v>
      </c>
      <c r="K68" s="5">
        <f>'Growth profile'!O105</f>
        <v>23.66306779030716</v>
      </c>
      <c r="L68" s="8">
        <f>MIN('Growth profile'!L105,2085)</f>
        <v>2079</v>
      </c>
      <c r="M68" s="6">
        <f>'Growth profile'!N105</f>
        <v>0</v>
      </c>
      <c r="N68" s="15" t="str">
        <f t="shared" si="5"/>
        <v>1.8% and over</v>
      </c>
      <c r="O68" s="15" t="str">
        <f t="shared" si="6"/>
        <v>Accelerated</v>
      </c>
      <c r="P68" s="6">
        <f>'Growth (no penalty)'!I105</f>
        <v>2041</v>
      </c>
      <c r="Q68" s="27">
        <f t="shared" si="7"/>
        <v>1</v>
      </c>
    </row>
    <row r="69" spans="1:17" x14ac:dyDescent="0.3">
      <c r="A69" s="24" t="str">
        <f>'Growth profile'!A106</f>
        <v>project 171</v>
      </c>
      <c r="B69" s="24" t="str">
        <f>'Growth profile'!B106</f>
        <v>random growth</v>
      </c>
      <c r="C69" s="6">
        <f>'Growth profile'!C106</f>
        <v>3</v>
      </c>
      <c r="D69" s="25">
        <f>'Growth profile'!D106</f>
        <v>1.43</v>
      </c>
      <c r="E69" s="5">
        <f>'Growth profile'!E106</f>
        <v>6.308087308727413</v>
      </c>
      <c r="F69" s="26">
        <f>'Growth profile'!H106</f>
        <v>2.3E-2</v>
      </c>
      <c r="G69" s="6">
        <f>'Raw profile'!I106</f>
        <v>2039</v>
      </c>
      <c r="H69" s="6">
        <f>'Growth profile'!I106</f>
        <v>2033</v>
      </c>
      <c r="I69" s="27">
        <f t="shared" ref="I69:I100" si="8">H69-G69</f>
        <v>-6</v>
      </c>
      <c r="J69" s="5">
        <f>'Raw profile'!O106</f>
        <v>6.8955718701943125</v>
      </c>
      <c r="K69" s="5">
        <f>'Growth profile'!O106</f>
        <v>14.700529010272914</v>
      </c>
      <c r="L69" s="8">
        <f>MIN('Growth profile'!L106,2085)</f>
        <v>2075</v>
      </c>
      <c r="M69" s="6">
        <f>'Growth profile'!N106</f>
        <v>0</v>
      </c>
      <c r="N69" s="15" t="str">
        <f t="shared" ref="N69:N104" si="9">IF(F69&lt;0,"shrinking",IF(F69&lt;0.015,"under 1.5%",IF(F69&lt;0.018,"1.5% to 1.8%","1.8% and over")))</f>
        <v>1.8% and over</v>
      </c>
      <c r="O69" s="15" t="str">
        <f t="shared" ref="O69:O104" si="10">IF(I69&gt;0,IF(L69=2085,"Deferred - pinned to horizon end","Deferred"),IF(I69&lt;0,"Accelerated","Unchanged"))</f>
        <v>Accelerated</v>
      </c>
      <c r="P69" s="6">
        <f>'Growth (no penalty)'!I106</f>
        <v>2043</v>
      </c>
      <c r="Q69" s="27">
        <f t="shared" ref="Q69:Q100" si="11">P69-G69</f>
        <v>4</v>
      </c>
    </row>
    <row r="70" spans="1:17" x14ac:dyDescent="0.3">
      <c r="A70" s="24" t="str">
        <f>'Growth profile'!A57</f>
        <v>project 58</v>
      </c>
      <c r="B70" s="24" t="str">
        <f>'Growth profile'!B57</f>
        <v>random growth</v>
      </c>
      <c r="C70" s="6">
        <f>'Growth profile'!C57</f>
        <v>2</v>
      </c>
      <c r="D70" s="25">
        <f>'Growth profile'!D57</f>
        <v>1.19</v>
      </c>
      <c r="E70" s="5">
        <f>'Growth profile'!E57</f>
        <v>4.2647690968858134</v>
      </c>
      <c r="F70" s="26">
        <f>'Growth profile'!H57</f>
        <v>2.3599999999999999E-2</v>
      </c>
      <c r="G70" s="6">
        <f>'Raw profile'!I57</f>
        <v>2039</v>
      </c>
      <c r="H70" s="6">
        <f>'Growth profile'!I57</f>
        <v>2033</v>
      </c>
      <c r="I70" s="27">
        <f t="shared" si="8"/>
        <v>-6</v>
      </c>
      <c r="J70" s="5">
        <f>'Raw profile'!O57</f>
        <v>3.8853768619044504</v>
      </c>
      <c r="K70" s="5">
        <f>'Growth profile'!O57</f>
        <v>8.6286083899327064</v>
      </c>
      <c r="L70" s="8">
        <f>MIN('Growth profile'!L57,2085)</f>
        <v>2076</v>
      </c>
      <c r="M70" s="6">
        <f>'Growth profile'!N57</f>
        <v>0</v>
      </c>
      <c r="N70" s="15" t="str">
        <f t="shared" si="9"/>
        <v>1.8% and over</v>
      </c>
      <c r="O70" s="15" t="str">
        <f t="shared" si="10"/>
        <v>Accelerated</v>
      </c>
      <c r="P70" s="6">
        <f>'Growth (no penalty)'!I57</f>
        <v>2042</v>
      </c>
      <c r="Q70" s="27">
        <f t="shared" si="11"/>
        <v>3</v>
      </c>
    </row>
    <row r="71" spans="1:17" x14ac:dyDescent="0.3">
      <c r="A71" s="24" t="str">
        <f>'Growth profile'!A58</f>
        <v>project 61</v>
      </c>
      <c r="B71" s="24" t="str">
        <f>'Growth profile'!B58</f>
        <v>random growth</v>
      </c>
      <c r="C71" s="6">
        <f>'Growth profile'!C58</f>
        <v>3</v>
      </c>
      <c r="D71" s="25">
        <f>'Growth profile'!D58</f>
        <v>1.03</v>
      </c>
      <c r="E71" s="5">
        <f>'Growth profile'!E58</f>
        <v>8.6989920000000005</v>
      </c>
      <c r="F71" s="26">
        <f>'Growth profile'!H58</f>
        <v>2.07E-2</v>
      </c>
      <c r="G71" s="6">
        <f>'Raw profile'!I58</f>
        <v>2041</v>
      </c>
      <c r="H71" s="6">
        <f>'Growth profile'!I58</f>
        <v>2035</v>
      </c>
      <c r="I71" s="27">
        <f t="shared" si="8"/>
        <v>-6</v>
      </c>
      <c r="J71" s="5">
        <f>'Raw profile'!O58</f>
        <v>6.8406000006450904</v>
      </c>
      <c r="K71" s="5">
        <f>'Growth profile'!O58</f>
        <v>13.629177014790072</v>
      </c>
      <c r="L71" s="8">
        <f>MIN('Growth profile'!L58,2085)</f>
        <v>2075</v>
      </c>
      <c r="M71" s="6">
        <f>'Growth profile'!N58</f>
        <v>0</v>
      </c>
      <c r="N71" s="15" t="str">
        <f t="shared" si="9"/>
        <v>1.8% and over</v>
      </c>
      <c r="O71" s="15" t="str">
        <f t="shared" si="10"/>
        <v>Accelerated</v>
      </c>
      <c r="P71" s="6">
        <f>'Growth (no penalty)'!I58</f>
        <v>2045</v>
      </c>
      <c r="Q71" s="27">
        <f t="shared" si="11"/>
        <v>4</v>
      </c>
    </row>
    <row r="72" spans="1:17" x14ac:dyDescent="0.3">
      <c r="A72" s="24" t="str">
        <f>'Growth profile'!A93</f>
        <v>project 146</v>
      </c>
      <c r="B72" s="24" t="str">
        <f>'Growth profile'!B93</f>
        <v>random growth</v>
      </c>
      <c r="C72" s="6">
        <f>'Growth profile'!C93</f>
        <v>4</v>
      </c>
      <c r="D72" s="25">
        <f>'Growth profile'!D93</f>
        <v>1</v>
      </c>
      <c r="E72" s="5">
        <f>'Growth profile'!E93</f>
        <v>30.37038674654859</v>
      </c>
      <c r="F72" s="26">
        <f>'Growth profile'!H93</f>
        <v>2.53E-2</v>
      </c>
      <c r="G72" s="6">
        <f>'Raw profile'!I93</f>
        <v>2039</v>
      </c>
      <c r="H72" s="6">
        <f>'Growth profile'!I93</f>
        <v>2032</v>
      </c>
      <c r="I72" s="27">
        <f t="shared" si="8"/>
        <v>-7</v>
      </c>
      <c r="J72" s="5">
        <f>'Raw profile'!O93</f>
        <v>22.562571582401262</v>
      </c>
      <c r="K72" s="5">
        <f>'Growth profile'!O93</f>
        <v>55.027558820745618</v>
      </c>
      <c r="L72" s="8">
        <f>MIN('Growth profile'!L93,2085)</f>
        <v>2077</v>
      </c>
      <c r="M72" s="6">
        <f>'Growth profile'!N93</f>
        <v>0</v>
      </c>
      <c r="N72" s="15" t="str">
        <f t="shared" si="9"/>
        <v>1.8% and over</v>
      </c>
      <c r="O72" s="15" t="str">
        <f t="shared" si="10"/>
        <v>Accelerated</v>
      </c>
      <c r="P72" s="6">
        <f>'Growth (no penalty)'!I93</f>
        <v>2040</v>
      </c>
      <c r="Q72" s="27">
        <f t="shared" si="11"/>
        <v>1</v>
      </c>
    </row>
    <row r="73" spans="1:17" x14ac:dyDescent="0.3">
      <c r="A73" s="24" t="str">
        <f>'Growth profile'!A107</f>
        <v>project 175</v>
      </c>
      <c r="B73" s="24" t="str">
        <f>'Growth profile'!B107</f>
        <v>random growth</v>
      </c>
      <c r="C73" s="6">
        <f>'Growth profile'!C107</f>
        <v>3</v>
      </c>
      <c r="D73" s="25">
        <f>'Growth profile'!D107</f>
        <v>1.48</v>
      </c>
      <c r="E73" s="5">
        <f>'Growth profile'!E107</f>
        <v>5.6237160820498904</v>
      </c>
      <c r="F73" s="26">
        <f>'Growth profile'!H107</f>
        <v>1.8800000000000001E-2</v>
      </c>
      <c r="G73" s="6">
        <f>'Raw profile'!I107</f>
        <v>2039</v>
      </c>
      <c r="H73" s="6">
        <f>'Growth profile'!I107</f>
        <v>2032</v>
      </c>
      <c r="I73" s="27">
        <f t="shared" si="8"/>
        <v>-7</v>
      </c>
      <c r="J73" s="5">
        <f>'Raw profile'!O107</f>
        <v>6.3305221420146003</v>
      </c>
      <c r="K73" s="5">
        <f>'Growth profile'!O107</f>
        <v>12.136470067895125</v>
      </c>
      <c r="L73" s="8">
        <f>MIN('Growth profile'!L107,2085)</f>
        <v>2075</v>
      </c>
      <c r="M73" s="6">
        <f>'Growth profile'!N107</f>
        <v>0</v>
      </c>
      <c r="N73" s="15" t="str">
        <f t="shared" si="9"/>
        <v>1.8% and over</v>
      </c>
      <c r="O73" s="15" t="str">
        <f t="shared" si="10"/>
        <v>Accelerated</v>
      </c>
      <c r="P73" s="6">
        <f>'Growth (no penalty)'!I107</f>
        <v>2042</v>
      </c>
      <c r="Q73" s="27">
        <f t="shared" si="11"/>
        <v>3</v>
      </c>
    </row>
    <row r="74" spans="1:17" x14ac:dyDescent="0.3">
      <c r="A74" s="24" t="str">
        <f>'Growth profile'!A116</f>
        <v>project 192</v>
      </c>
      <c r="B74" s="24" t="str">
        <f>'Growth profile'!B116</f>
        <v>random growth</v>
      </c>
      <c r="C74" s="6">
        <f>'Growth profile'!C116</f>
        <v>2</v>
      </c>
      <c r="D74" s="25">
        <f>'Growth profile'!D116</f>
        <v>1</v>
      </c>
      <c r="E74" s="5">
        <f>'Growth profile'!E116</f>
        <v>1.2762487058823531</v>
      </c>
      <c r="F74" s="26">
        <f>'Growth profile'!H116</f>
        <v>2.2599999999999999E-2</v>
      </c>
      <c r="G74" s="6">
        <f>'Raw profile'!I116</f>
        <v>2042</v>
      </c>
      <c r="H74" s="6">
        <f>'Growth profile'!I116</f>
        <v>2035</v>
      </c>
      <c r="I74" s="27">
        <f t="shared" si="8"/>
        <v>-7</v>
      </c>
      <c r="J74" s="5">
        <f>'Raw profile'!O116</f>
        <v>0.9589063370782398</v>
      </c>
      <c r="K74" s="5">
        <f>'Growth profile'!O116</f>
        <v>2.1005708569653265</v>
      </c>
      <c r="L74" s="8">
        <f>MIN('Growth profile'!L116,2085)</f>
        <v>2076</v>
      </c>
      <c r="M74" s="6">
        <f>'Growth profile'!N116</f>
        <v>0</v>
      </c>
      <c r="N74" s="15" t="str">
        <f t="shared" si="9"/>
        <v>1.8% and over</v>
      </c>
      <c r="O74" s="15" t="str">
        <f t="shared" si="10"/>
        <v>Accelerated</v>
      </c>
      <c r="P74" s="6">
        <f>'Growth (no penalty)'!I116</f>
        <v>2044</v>
      </c>
      <c r="Q74" s="27">
        <f t="shared" si="11"/>
        <v>2</v>
      </c>
    </row>
    <row r="75" spans="1:17" x14ac:dyDescent="0.3">
      <c r="A75" s="24" t="str">
        <f>'Growth profile'!A60</f>
        <v>project 74</v>
      </c>
      <c r="B75" s="24" t="str">
        <f>'Growth profile'!B60</f>
        <v>random growth</v>
      </c>
      <c r="C75" s="6">
        <f>'Growth profile'!C60</f>
        <v>5</v>
      </c>
      <c r="D75" s="25">
        <f>'Growth profile'!D60</f>
        <v>1.01</v>
      </c>
      <c r="E75" s="5">
        <f>'Growth profile'!E60</f>
        <v>52.287062926216237</v>
      </c>
      <c r="F75" s="26">
        <f>'Growth profile'!H60</f>
        <v>2.2800000000000001E-2</v>
      </c>
      <c r="G75" s="6">
        <f>'Raw profile'!I60</f>
        <v>2040</v>
      </c>
      <c r="H75" s="6">
        <f>'Growth profile'!I60</f>
        <v>2033</v>
      </c>
      <c r="I75" s="27">
        <f t="shared" si="8"/>
        <v>-7</v>
      </c>
      <c r="J75" s="5">
        <f>'Raw profile'!O60</f>
        <v>39.877043622071994</v>
      </c>
      <c r="K75" s="5">
        <f>'Growth profile'!O60</f>
        <v>89.858909287838301</v>
      </c>
      <c r="L75" s="8">
        <f>MIN('Growth profile'!L60,2085)</f>
        <v>2077</v>
      </c>
      <c r="M75" s="6">
        <f>'Growth profile'!N60</f>
        <v>0</v>
      </c>
      <c r="N75" s="15" t="str">
        <f t="shared" si="9"/>
        <v>1.8% and over</v>
      </c>
      <c r="O75" s="15" t="str">
        <f t="shared" si="10"/>
        <v>Accelerated</v>
      </c>
      <c r="P75" s="6">
        <f>'Growth (no penalty)'!I60</f>
        <v>2041</v>
      </c>
      <c r="Q75" s="27">
        <f t="shared" si="11"/>
        <v>1</v>
      </c>
    </row>
    <row r="76" spans="1:17" x14ac:dyDescent="0.3">
      <c r="A76" s="24" t="str">
        <f>'Growth profile'!A72</f>
        <v>project 103</v>
      </c>
      <c r="B76" s="24" t="str">
        <f>'Growth profile'!B72</f>
        <v>random growth</v>
      </c>
      <c r="C76" s="6">
        <f>'Growth profile'!C72</f>
        <v>2</v>
      </c>
      <c r="D76" s="25">
        <f>'Growth profile'!D72</f>
        <v>1</v>
      </c>
      <c r="E76" s="5">
        <f>'Growth profile'!E72</f>
        <v>4.0982568627450986</v>
      </c>
      <c r="F76" s="26">
        <f>'Growth profile'!H72</f>
        <v>2.2800000000000001E-2</v>
      </c>
      <c r="G76" s="6">
        <f>'Raw profile'!I72</f>
        <v>2041</v>
      </c>
      <c r="H76" s="6">
        <f>'Growth profile'!I72</f>
        <v>2033</v>
      </c>
      <c r="I76" s="27">
        <f t="shared" si="8"/>
        <v>-8</v>
      </c>
      <c r="J76" s="5">
        <f>'Raw profile'!O72</f>
        <v>3.0369222372632834</v>
      </c>
      <c r="K76" s="5">
        <f>'Growth profile'!O72</f>
        <v>6.6578065020647781</v>
      </c>
      <c r="L76" s="8">
        <f>MIN('Growth profile'!L72,2085)</f>
        <v>2075</v>
      </c>
      <c r="M76" s="6">
        <f>'Growth profile'!N72</f>
        <v>0</v>
      </c>
      <c r="N76" s="15" t="str">
        <f t="shared" si="9"/>
        <v>1.8% and over</v>
      </c>
      <c r="O76" s="15" t="str">
        <f t="shared" si="10"/>
        <v>Accelerated</v>
      </c>
      <c r="P76" s="6">
        <f>'Growth (no penalty)'!I72</f>
        <v>2043</v>
      </c>
      <c r="Q76" s="27">
        <f t="shared" si="11"/>
        <v>2</v>
      </c>
    </row>
    <row r="77" spans="1:17" x14ac:dyDescent="0.3">
      <c r="A77" s="24" t="str">
        <f>'Growth profile'!A73</f>
        <v>project 104</v>
      </c>
      <c r="B77" s="24" t="str">
        <f>'Growth profile'!B73</f>
        <v>random growth</v>
      </c>
      <c r="C77" s="6">
        <f>'Growth profile'!C73</f>
        <v>2</v>
      </c>
      <c r="D77" s="25">
        <f>'Growth profile'!D73</f>
        <v>1</v>
      </c>
      <c r="E77" s="5">
        <f>'Growth profile'!E73</f>
        <v>1.430745098039216</v>
      </c>
      <c r="F77" s="26">
        <f>'Growth profile'!H73</f>
        <v>2.2200000000000001E-2</v>
      </c>
      <c r="G77" s="6">
        <f>'Raw profile'!I73</f>
        <v>2042</v>
      </c>
      <c r="H77" s="6">
        <f>'Growth profile'!I73</f>
        <v>2034</v>
      </c>
      <c r="I77" s="27">
        <f t="shared" si="8"/>
        <v>-8</v>
      </c>
      <c r="J77" s="5">
        <f>'Raw profile'!O73</f>
        <v>1.0577576089260856</v>
      </c>
      <c r="K77" s="5">
        <f>'Growth profile'!O73</f>
        <v>2.3276200623147054</v>
      </c>
      <c r="L77" s="8">
        <f>MIN('Growth profile'!L73,2085)</f>
        <v>2076</v>
      </c>
      <c r="M77" s="6">
        <f>'Growth profile'!N73</f>
        <v>0</v>
      </c>
      <c r="N77" s="15" t="str">
        <f t="shared" si="9"/>
        <v>1.8% and over</v>
      </c>
      <c r="O77" s="15" t="str">
        <f t="shared" si="10"/>
        <v>Accelerated</v>
      </c>
      <c r="P77" s="6">
        <f>'Growth (no penalty)'!I73</f>
        <v>2043</v>
      </c>
      <c r="Q77" s="27">
        <f t="shared" si="11"/>
        <v>1</v>
      </c>
    </row>
    <row r="78" spans="1:17" x14ac:dyDescent="0.3">
      <c r="A78" s="24" t="str">
        <f>'Growth profile'!A80</f>
        <v>project 119</v>
      </c>
      <c r="B78" s="24" t="str">
        <f>'Growth profile'!B80</f>
        <v>random growth</v>
      </c>
      <c r="C78" s="6">
        <f>'Growth profile'!C80</f>
        <v>5</v>
      </c>
      <c r="D78" s="25">
        <f>'Growth profile'!D80</f>
        <v>1.72</v>
      </c>
      <c r="E78" s="5">
        <f>'Growth profile'!E80</f>
        <v>136.4086954109938</v>
      </c>
      <c r="F78" s="26">
        <f>'Growth profile'!H80</f>
        <v>1.6500000000000001E-2</v>
      </c>
      <c r="G78" s="6">
        <f>'Raw profile'!I80</f>
        <v>2037</v>
      </c>
      <c r="H78" s="6">
        <f>'Growth profile'!I80</f>
        <v>2029</v>
      </c>
      <c r="I78" s="27">
        <f t="shared" si="8"/>
        <v>-8</v>
      </c>
      <c r="J78" s="5">
        <f>'Raw profile'!O80</f>
        <v>181.83361545302802</v>
      </c>
      <c r="K78" s="5">
        <f>'Growth profile'!O80</f>
        <v>326.47839217255375</v>
      </c>
      <c r="L78" s="8">
        <f>MIN('Growth profile'!L80,2085)</f>
        <v>2074</v>
      </c>
      <c r="M78" s="6">
        <f>'Growth profile'!N80</f>
        <v>0</v>
      </c>
      <c r="N78" s="15" t="str">
        <f t="shared" si="9"/>
        <v>1.5% to 1.8%</v>
      </c>
      <c r="O78" s="15" t="str">
        <f t="shared" si="10"/>
        <v>Accelerated</v>
      </c>
      <c r="P78" s="6">
        <f>'Growth (no penalty)'!I80</f>
        <v>2028</v>
      </c>
      <c r="Q78" s="27">
        <f t="shared" si="11"/>
        <v>-9</v>
      </c>
    </row>
    <row r="79" spans="1:17" x14ac:dyDescent="0.3">
      <c r="A79" s="24" t="str">
        <f>'Growth profile'!A90</f>
        <v>project 142</v>
      </c>
      <c r="B79" s="24" t="str">
        <f>'Growth profile'!B90</f>
        <v>random growth</v>
      </c>
      <c r="C79" s="6">
        <f>'Growth profile'!C90</f>
        <v>4</v>
      </c>
      <c r="D79" s="25">
        <f>'Growth profile'!D90</f>
        <v>1</v>
      </c>
      <c r="E79" s="5">
        <f>'Growth profile'!E90</f>
        <v>37.825933487120338</v>
      </c>
      <c r="F79" s="26">
        <f>'Growth profile'!H90</f>
        <v>1.9699999999999999E-2</v>
      </c>
      <c r="G79" s="6">
        <f>'Raw profile'!I90</f>
        <v>2041</v>
      </c>
      <c r="H79" s="6">
        <f>'Growth profile'!I90</f>
        <v>2033</v>
      </c>
      <c r="I79" s="27">
        <f t="shared" si="8"/>
        <v>-8</v>
      </c>
      <c r="J79" s="5">
        <f>'Raw profile'!O90</f>
        <v>28.177893366960429</v>
      </c>
      <c r="K79" s="5">
        <f>'Growth profile'!O90</f>
        <v>56.399891496559476</v>
      </c>
      <c r="L79" s="8">
        <f>MIN('Growth profile'!L90,2085)</f>
        <v>2075</v>
      </c>
      <c r="M79" s="6">
        <f>'Growth profile'!N90</f>
        <v>0</v>
      </c>
      <c r="N79" s="15" t="str">
        <f t="shared" si="9"/>
        <v>1.8% and over</v>
      </c>
      <c r="O79" s="15" t="str">
        <f t="shared" si="10"/>
        <v>Accelerated</v>
      </c>
      <c r="P79" s="6">
        <f>'Growth (no penalty)'!I90</f>
        <v>2043</v>
      </c>
      <c r="Q79" s="27">
        <f t="shared" si="11"/>
        <v>2</v>
      </c>
    </row>
    <row r="80" spans="1:17" x14ac:dyDescent="0.3">
      <c r="A80" s="24" t="str">
        <f>'Growth profile'!A92</f>
        <v>project 145</v>
      </c>
      <c r="B80" s="24" t="str">
        <f>'Growth profile'!B92</f>
        <v>random growth</v>
      </c>
      <c r="C80" s="6">
        <f>'Growth profile'!C92</f>
        <v>4</v>
      </c>
      <c r="D80" s="25">
        <f>'Growth profile'!D92</f>
        <v>1</v>
      </c>
      <c r="E80" s="5">
        <f>'Growth profile'!E92</f>
        <v>27.53500125861034</v>
      </c>
      <c r="F80" s="26">
        <f>'Growth profile'!H92</f>
        <v>2.52E-2</v>
      </c>
      <c r="G80" s="6">
        <f>'Raw profile'!I92</f>
        <v>2039</v>
      </c>
      <c r="H80" s="6">
        <f>'Growth profile'!I92</f>
        <v>2031</v>
      </c>
      <c r="I80" s="27">
        <f t="shared" si="8"/>
        <v>-8</v>
      </c>
      <c r="J80" s="5">
        <f>'Raw profile'!O92</f>
        <v>20.373804770995484</v>
      </c>
      <c r="K80" s="5">
        <f>'Growth profile'!O92</f>
        <v>47.957673330781226</v>
      </c>
      <c r="L80" s="8">
        <f>MIN('Growth profile'!L92,2085)</f>
        <v>2075</v>
      </c>
      <c r="M80" s="6">
        <f>'Growth profile'!N92</f>
        <v>0</v>
      </c>
      <c r="N80" s="15" t="str">
        <f t="shared" si="9"/>
        <v>1.8% and over</v>
      </c>
      <c r="O80" s="15" t="str">
        <f t="shared" si="10"/>
        <v>Accelerated</v>
      </c>
      <c r="P80" s="6">
        <f>'Growth (no penalty)'!I92</f>
        <v>2041</v>
      </c>
      <c r="Q80" s="27">
        <f t="shared" si="11"/>
        <v>2</v>
      </c>
    </row>
    <row r="81" spans="1:17" x14ac:dyDescent="0.3">
      <c r="A81" s="24" t="str">
        <f>'Growth profile'!A120</f>
        <v>project 204</v>
      </c>
      <c r="B81" s="24" t="str">
        <f>'Growth profile'!B120</f>
        <v>random growth</v>
      </c>
      <c r="C81" s="6">
        <f>'Growth profile'!C120</f>
        <v>1</v>
      </c>
      <c r="D81" s="25">
        <f>'Growth profile'!D120</f>
        <v>1</v>
      </c>
      <c r="E81" s="5">
        <f>'Growth profile'!E120</f>
        <v>0.35637153960392309</v>
      </c>
      <c r="F81" s="26">
        <f>'Growth profile'!H120</f>
        <v>1.14E-2</v>
      </c>
      <c r="G81" s="6">
        <f>'Raw profile'!I120</f>
        <v>2040</v>
      </c>
      <c r="H81" s="6">
        <f>'Growth profile'!I120</f>
        <v>2032</v>
      </c>
      <c r="I81" s="27">
        <f t="shared" si="8"/>
        <v>-8</v>
      </c>
      <c r="J81" s="5">
        <f>'Raw profile'!O120</f>
        <v>0.27039977288790401</v>
      </c>
      <c r="K81" s="5">
        <f>'Growth profile'!O120</f>
        <v>0.42173567735902384</v>
      </c>
      <c r="L81" s="8">
        <f>MIN('Growth profile'!L120,2085)</f>
        <v>2074</v>
      </c>
      <c r="M81" s="6">
        <f>'Growth profile'!N120</f>
        <v>0</v>
      </c>
      <c r="N81" s="15" t="str">
        <f t="shared" si="9"/>
        <v>under 1.5%</v>
      </c>
      <c r="O81" s="15" t="str">
        <f t="shared" si="10"/>
        <v>Accelerated</v>
      </c>
      <c r="P81" s="6">
        <f>'Growth (no penalty)'!I120</f>
        <v>2027</v>
      </c>
      <c r="Q81" s="27">
        <f t="shared" si="11"/>
        <v>-13</v>
      </c>
    </row>
    <row r="82" spans="1:17" x14ac:dyDescent="0.3">
      <c r="A82" s="24" t="str">
        <f>'Growth profile'!A86</f>
        <v>project 130</v>
      </c>
      <c r="B82" s="24" t="str">
        <f>'Growth profile'!B86</f>
        <v>random growth</v>
      </c>
      <c r="C82" s="6">
        <f>'Growth profile'!C86</f>
        <v>5</v>
      </c>
      <c r="D82" s="25">
        <f>'Growth profile'!D86</f>
        <v>1.53</v>
      </c>
      <c r="E82" s="5">
        <f>'Growth profile'!E86</f>
        <v>70.521533933192913</v>
      </c>
      <c r="F82" s="26">
        <f>'Growth profile'!H86</f>
        <v>1.12E-2</v>
      </c>
      <c r="G82" s="6">
        <f>'Raw profile'!I86</f>
        <v>2035</v>
      </c>
      <c r="H82" s="6">
        <f>'Growth profile'!I86</f>
        <v>2026</v>
      </c>
      <c r="I82" s="27">
        <f t="shared" si="8"/>
        <v>-9</v>
      </c>
      <c r="J82" s="5">
        <f>'Raw profile'!O86</f>
        <v>83.027608851348774</v>
      </c>
      <c r="K82" s="5">
        <f>'Growth profile'!O86</f>
        <v>129.64437600047279</v>
      </c>
      <c r="L82" s="8">
        <f>MIN('Growth profile'!L86,2085)</f>
        <v>2073</v>
      </c>
      <c r="M82" s="6">
        <f>'Growth profile'!N86</f>
        <v>0</v>
      </c>
      <c r="N82" s="15" t="str">
        <f t="shared" si="9"/>
        <v>under 1.5%</v>
      </c>
      <c r="O82" s="15" t="str">
        <f t="shared" si="10"/>
        <v>Accelerated</v>
      </c>
      <c r="P82" s="6">
        <f>'Growth (no penalty)'!I86</f>
        <v>2026</v>
      </c>
      <c r="Q82" s="27">
        <f t="shared" si="11"/>
        <v>-9</v>
      </c>
    </row>
    <row r="83" spans="1:17" x14ac:dyDescent="0.3">
      <c r="A83" s="24" t="str">
        <f>'Growth profile'!A108</f>
        <v>project 176</v>
      </c>
      <c r="B83" s="24" t="str">
        <f>'Growth profile'!B108</f>
        <v>random growth</v>
      </c>
      <c r="C83" s="6">
        <f>'Growth profile'!C108</f>
        <v>3</v>
      </c>
      <c r="D83" s="25">
        <f>'Growth profile'!D108</f>
        <v>1</v>
      </c>
      <c r="E83" s="5">
        <f>'Growth profile'!E108</f>
        <v>5.2549019607843137</v>
      </c>
      <c r="F83" s="26">
        <f>'Growth profile'!H108</f>
        <v>2.0400000000000001E-2</v>
      </c>
      <c r="G83" s="6">
        <f>'Raw profile'!I108</f>
        <v>2043</v>
      </c>
      <c r="H83" s="6">
        <f>'Growth profile'!I108</f>
        <v>2034</v>
      </c>
      <c r="I83" s="27">
        <f t="shared" si="8"/>
        <v>-9</v>
      </c>
      <c r="J83" s="5">
        <f>'Raw profile'!O108</f>
        <v>3.8537685871248883</v>
      </c>
      <c r="K83" s="5">
        <f>'Growth profile'!O108</f>
        <v>8.0057793681484171</v>
      </c>
      <c r="L83" s="8">
        <f>MIN('Growth profile'!L108,2085)</f>
        <v>2075</v>
      </c>
      <c r="M83" s="6">
        <f>'Growth profile'!N108</f>
        <v>0</v>
      </c>
      <c r="N83" s="15" t="str">
        <f t="shared" si="9"/>
        <v>1.8% and over</v>
      </c>
      <c r="O83" s="15" t="str">
        <f t="shared" si="10"/>
        <v>Accelerated</v>
      </c>
      <c r="P83" s="6">
        <f>'Growth (no penalty)'!I108</f>
        <v>2044</v>
      </c>
      <c r="Q83" s="27">
        <f t="shared" si="11"/>
        <v>1</v>
      </c>
    </row>
    <row r="84" spans="1:17" x14ac:dyDescent="0.3">
      <c r="A84" s="24" t="str">
        <f>'Growth profile'!A111</f>
        <v>project 182</v>
      </c>
      <c r="B84" s="24" t="str">
        <f>'Growth profile'!B111</f>
        <v>random growth</v>
      </c>
      <c r="C84" s="6">
        <f>'Growth profile'!C111</f>
        <v>2</v>
      </c>
      <c r="D84" s="25">
        <f>'Growth profile'!D111</f>
        <v>1</v>
      </c>
      <c r="E84" s="5">
        <f>'Growth profile'!E111</f>
        <v>3.3626563078832858</v>
      </c>
      <c r="F84" s="26">
        <f>'Growth profile'!H111</f>
        <v>1.6799999999999999E-2</v>
      </c>
      <c r="G84" s="6">
        <f>'Raw profile'!I111</f>
        <v>2039</v>
      </c>
      <c r="H84" s="6">
        <f>'Growth profile'!I111</f>
        <v>2030</v>
      </c>
      <c r="I84" s="27">
        <f t="shared" si="8"/>
        <v>-9</v>
      </c>
      <c r="J84" s="5">
        <f>'Raw profile'!O111</f>
        <v>2.5311312916410387</v>
      </c>
      <c r="K84" s="5">
        <f>'Growth profile'!O111</f>
        <v>4.7353029412985537</v>
      </c>
      <c r="L84" s="8">
        <f>MIN('Growth profile'!L111,2085)</f>
        <v>2075</v>
      </c>
      <c r="M84" s="6">
        <f>'Growth profile'!N111</f>
        <v>0</v>
      </c>
      <c r="N84" s="15" t="str">
        <f t="shared" si="9"/>
        <v>1.5% to 1.8%</v>
      </c>
      <c r="O84" s="15" t="str">
        <f t="shared" si="10"/>
        <v>Accelerated</v>
      </c>
      <c r="P84" s="6">
        <f>'Growth (no penalty)'!I111</f>
        <v>2031</v>
      </c>
      <c r="Q84" s="27">
        <f t="shared" si="11"/>
        <v>-8</v>
      </c>
    </row>
    <row r="85" spans="1:17" x14ac:dyDescent="0.3">
      <c r="A85" s="24" t="str">
        <f>'Growth profile'!A85</f>
        <v>project 128</v>
      </c>
      <c r="B85" s="24" t="str">
        <f>'Growth profile'!B85</f>
        <v>random growth</v>
      </c>
      <c r="C85" s="6">
        <f>'Growth profile'!C85</f>
        <v>5</v>
      </c>
      <c r="D85" s="25">
        <f>'Growth profile'!D85</f>
        <v>1</v>
      </c>
      <c r="E85" s="5">
        <f>'Growth profile'!E85</f>
        <v>74.022864350519669</v>
      </c>
      <c r="F85" s="26">
        <f>'Growth profile'!H85</f>
        <v>1.6199999999999999E-2</v>
      </c>
      <c r="G85" s="6">
        <f>'Raw profile'!I85</f>
        <v>2039</v>
      </c>
      <c r="H85" s="6">
        <f>'Growth profile'!I85</f>
        <v>2029</v>
      </c>
      <c r="I85" s="27">
        <f t="shared" si="8"/>
        <v>-10</v>
      </c>
      <c r="J85" s="5">
        <f>'Raw profile'!O85</f>
        <v>54.993819990614071</v>
      </c>
      <c r="K85" s="5">
        <f>'Growth profile'!O85</f>
        <v>99.738214315228447</v>
      </c>
      <c r="L85" s="8">
        <f>MIN('Growth profile'!L85,2085)</f>
        <v>2073</v>
      </c>
      <c r="M85" s="6">
        <f>'Growth profile'!N85</f>
        <v>0</v>
      </c>
      <c r="N85" s="15" t="str">
        <f t="shared" si="9"/>
        <v>1.5% to 1.8%</v>
      </c>
      <c r="O85" s="15" t="str">
        <f t="shared" si="10"/>
        <v>Accelerated</v>
      </c>
      <c r="P85" s="6">
        <f>'Growth (no penalty)'!I85</f>
        <v>2028</v>
      </c>
      <c r="Q85" s="27">
        <f t="shared" si="11"/>
        <v>-11</v>
      </c>
    </row>
    <row r="86" spans="1:17" x14ac:dyDescent="0.3">
      <c r="A86" s="24" t="str">
        <f>'Growth profile'!A43</f>
        <v>project 38</v>
      </c>
      <c r="B86" s="24" t="str">
        <f>'Growth profile'!B43</f>
        <v>random growth</v>
      </c>
      <c r="C86" s="6">
        <f>'Growth profile'!C43</f>
        <v>5</v>
      </c>
      <c r="D86" s="25">
        <f>'Growth profile'!D43</f>
        <v>1.95</v>
      </c>
      <c r="E86" s="5">
        <f>'Growth profile'!E43</f>
        <v>81.978948519046213</v>
      </c>
      <c r="F86" s="26">
        <f>'Growth profile'!H43</f>
        <v>1.18E-2</v>
      </c>
      <c r="G86" s="6">
        <f>'Raw profile'!I43</f>
        <v>2036</v>
      </c>
      <c r="H86" s="6">
        <f>'Growth profile'!I43</f>
        <v>2026</v>
      </c>
      <c r="I86" s="27">
        <f t="shared" si="8"/>
        <v>-10</v>
      </c>
      <c r="J86" s="5">
        <f>'Raw profile'!O43</f>
        <v>129.14716916817588</v>
      </c>
      <c r="K86" s="5">
        <f>'Growth profile'!O43</f>
        <v>199.58505148845046</v>
      </c>
      <c r="L86" s="8">
        <f>MIN('Growth profile'!L43,2085)</f>
        <v>2069</v>
      </c>
      <c r="M86" s="6">
        <f>'Growth profile'!N43</f>
        <v>0</v>
      </c>
      <c r="N86" s="15" t="str">
        <f t="shared" si="9"/>
        <v>under 1.5%</v>
      </c>
      <c r="O86" s="15" t="str">
        <f t="shared" si="10"/>
        <v>Accelerated</v>
      </c>
      <c r="P86" s="6">
        <f>'Growth (no penalty)'!I43</f>
        <v>2026</v>
      </c>
      <c r="Q86" s="27">
        <f t="shared" si="11"/>
        <v>-10</v>
      </c>
    </row>
    <row r="87" spans="1:17" x14ac:dyDescent="0.3">
      <c r="A87" s="24" t="str">
        <f>'Growth profile'!A71</f>
        <v>project 101</v>
      </c>
      <c r="B87" s="24" t="str">
        <f>'Growth profile'!B71</f>
        <v>random growth</v>
      </c>
      <c r="C87" s="6">
        <f>'Growth profile'!C71</f>
        <v>4</v>
      </c>
      <c r="D87" s="25">
        <f>'Growth profile'!D71</f>
        <v>1</v>
      </c>
      <c r="E87" s="5">
        <f>'Growth profile'!E71</f>
        <v>14.980997693194929</v>
      </c>
      <c r="F87" s="26">
        <f>'Growth profile'!H71</f>
        <v>1.6E-2</v>
      </c>
      <c r="G87" s="6">
        <f>'Raw profile'!I71</f>
        <v>2041</v>
      </c>
      <c r="H87" s="6">
        <f>'Growth profile'!I71</f>
        <v>2030</v>
      </c>
      <c r="I87" s="27">
        <f t="shared" si="8"/>
        <v>-11</v>
      </c>
      <c r="J87" s="5">
        <f>'Raw profile'!O71</f>
        <v>11.186166731564757</v>
      </c>
      <c r="K87" s="5">
        <f>'Growth profile'!O71</f>
        <v>20.217064218149943</v>
      </c>
      <c r="L87" s="8">
        <f>MIN('Growth profile'!L71,2085)</f>
        <v>2072</v>
      </c>
      <c r="M87" s="6">
        <f>'Growth profile'!N71</f>
        <v>0</v>
      </c>
      <c r="N87" s="15" t="str">
        <f t="shared" si="9"/>
        <v>1.5% to 1.8%</v>
      </c>
      <c r="O87" s="15" t="str">
        <f t="shared" si="10"/>
        <v>Accelerated</v>
      </c>
      <c r="P87" s="6">
        <f>'Growth (no penalty)'!I71</f>
        <v>2028</v>
      </c>
      <c r="Q87" s="27">
        <f t="shared" si="11"/>
        <v>-13</v>
      </c>
    </row>
    <row r="88" spans="1:17" x14ac:dyDescent="0.3">
      <c r="A88" s="24" t="str">
        <f>'Growth profile'!A30</f>
        <v>project 16</v>
      </c>
      <c r="B88" s="24" t="str">
        <f>'Growth profile'!B30</f>
        <v>random growth</v>
      </c>
      <c r="C88" s="6">
        <f>'Growth profile'!C30</f>
        <v>2</v>
      </c>
      <c r="D88" s="25">
        <f>'Growth profile'!D30</f>
        <v>1.49</v>
      </c>
      <c r="E88" s="5">
        <f>'Growth profile'!E30</f>
        <v>2.4198</v>
      </c>
      <c r="F88" s="26">
        <f>'Growth profile'!H30</f>
        <v>1.7899999999999999E-2</v>
      </c>
      <c r="G88" s="6">
        <f>'Raw profile'!I30</f>
        <v>2037</v>
      </c>
      <c r="H88" s="6">
        <f>'Growth profile'!I30</f>
        <v>2026</v>
      </c>
      <c r="I88" s="27">
        <f t="shared" si="8"/>
        <v>-11</v>
      </c>
      <c r="J88" s="5">
        <f>'Raw profile'!O30</f>
        <v>2.9501884006954175</v>
      </c>
      <c r="K88" s="5">
        <f>'Growth profile'!O30</f>
        <v>5.0644933260524505</v>
      </c>
      <c r="L88" s="8">
        <f>MIN('Growth profile'!L30,2085)</f>
        <v>2066</v>
      </c>
      <c r="M88" s="6">
        <f>'Growth profile'!N30</f>
        <v>0</v>
      </c>
      <c r="N88" s="15" t="str">
        <f t="shared" si="9"/>
        <v>1.5% to 1.8%</v>
      </c>
      <c r="O88" s="15" t="str">
        <f t="shared" si="10"/>
        <v>Accelerated</v>
      </c>
      <c r="P88" s="6">
        <f>'Growth (no penalty)'!I30</f>
        <v>2045</v>
      </c>
      <c r="Q88" s="27">
        <f t="shared" si="11"/>
        <v>8</v>
      </c>
    </row>
    <row r="89" spans="1:17" x14ac:dyDescent="0.3">
      <c r="A89" s="24" t="str">
        <f>'Growth profile'!A104</f>
        <v>project 167</v>
      </c>
      <c r="B89" s="24" t="str">
        <f>'Growth profile'!B104</f>
        <v>random growth</v>
      </c>
      <c r="C89" s="6">
        <f>'Growth profile'!C104</f>
        <v>3</v>
      </c>
      <c r="D89" s="25">
        <f>'Growth profile'!D104</f>
        <v>1</v>
      </c>
      <c r="E89" s="5">
        <f>'Growth profile'!E104</f>
        <v>12.409649055512171</v>
      </c>
      <c r="F89" s="26">
        <f>'Growth profile'!H104</f>
        <v>1.6199999999999999E-2</v>
      </c>
      <c r="G89" s="6">
        <f>'Raw profile'!I104</f>
        <v>2041</v>
      </c>
      <c r="H89" s="6">
        <f>'Growth profile'!I104</f>
        <v>2030</v>
      </c>
      <c r="I89" s="27">
        <f t="shared" si="8"/>
        <v>-11</v>
      </c>
      <c r="J89" s="5">
        <f>'Raw profile'!O104</f>
        <v>9.1762162697621346</v>
      </c>
      <c r="K89" s="5">
        <f>'Growth profile'!O104</f>
        <v>16.922738409792007</v>
      </c>
      <c r="L89" s="8">
        <f>MIN('Growth profile'!L104,2085)</f>
        <v>2073</v>
      </c>
      <c r="M89" s="6">
        <f>'Growth profile'!N104</f>
        <v>0</v>
      </c>
      <c r="N89" s="15" t="str">
        <f t="shared" si="9"/>
        <v>1.5% to 1.8%</v>
      </c>
      <c r="O89" s="15" t="str">
        <f t="shared" si="10"/>
        <v>Accelerated</v>
      </c>
      <c r="P89" s="6">
        <f>'Growth (no penalty)'!I104</f>
        <v>2031</v>
      </c>
      <c r="Q89" s="27">
        <f t="shared" si="11"/>
        <v>-10</v>
      </c>
    </row>
    <row r="90" spans="1:17" x14ac:dyDescent="0.3">
      <c r="A90" s="24" t="str">
        <f>'Growth profile'!A113</f>
        <v>project 186</v>
      </c>
      <c r="B90" s="24" t="str">
        <f>'Growth profile'!B113</f>
        <v>random growth</v>
      </c>
      <c r="C90" s="6">
        <f>'Growth profile'!C113</f>
        <v>2</v>
      </c>
      <c r="D90" s="25">
        <f>'Growth profile'!D113</f>
        <v>1</v>
      </c>
      <c r="E90" s="5">
        <f>'Growth profile'!E113</f>
        <v>1.7251178588928839</v>
      </c>
      <c r="F90" s="26">
        <f>'Growth profile'!H113</f>
        <v>1.46E-2</v>
      </c>
      <c r="G90" s="6">
        <f>'Raw profile'!I113</f>
        <v>2042</v>
      </c>
      <c r="H90" s="6">
        <f>'Growth profile'!I113</f>
        <v>2031</v>
      </c>
      <c r="I90" s="27">
        <f t="shared" si="8"/>
        <v>-11</v>
      </c>
      <c r="J90" s="5">
        <f>'Raw profile'!O113</f>
        <v>1.2747096614968363</v>
      </c>
      <c r="K90" s="5">
        <f>'Growth profile'!O113</f>
        <v>2.2523279696856529</v>
      </c>
      <c r="L90" s="8">
        <f>MIN('Growth profile'!L113,2085)</f>
        <v>2073</v>
      </c>
      <c r="M90" s="6">
        <f>'Growth profile'!N113</f>
        <v>0</v>
      </c>
      <c r="N90" s="15" t="str">
        <f t="shared" si="9"/>
        <v>under 1.5%</v>
      </c>
      <c r="O90" s="15" t="str">
        <f t="shared" si="10"/>
        <v>Accelerated</v>
      </c>
      <c r="P90" s="6">
        <f>'Growth (no penalty)'!I113</f>
        <v>2031</v>
      </c>
      <c r="Q90" s="27">
        <f t="shared" si="11"/>
        <v>-11</v>
      </c>
    </row>
    <row r="91" spans="1:17" x14ac:dyDescent="0.3">
      <c r="A91" s="24" t="str">
        <f>'Growth profile'!A115</f>
        <v>project 190</v>
      </c>
      <c r="B91" s="24" t="str">
        <f>'Growth profile'!B115</f>
        <v>random growth</v>
      </c>
      <c r="C91" s="6">
        <f>'Growth profile'!C115</f>
        <v>1</v>
      </c>
      <c r="D91" s="25">
        <f>'Growth profile'!D115</f>
        <v>1.32</v>
      </c>
      <c r="E91" s="5">
        <f>'Growth profile'!E115</f>
        <v>1.2043759999999999</v>
      </c>
      <c r="F91" s="26">
        <f>'Growth profile'!H115</f>
        <v>1.14E-2</v>
      </c>
      <c r="G91" s="6">
        <f>'Raw profile'!I115</f>
        <v>2037</v>
      </c>
      <c r="H91" s="6">
        <f>'Growth profile'!I115</f>
        <v>2026</v>
      </c>
      <c r="I91" s="27">
        <f t="shared" si="8"/>
        <v>-11</v>
      </c>
      <c r="J91" s="5">
        <f>'Raw profile'!O115</f>
        <v>1.3008284724191659</v>
      </c>
      <c r="K91" s="5">
        <f>'Growth profile'!O115</f>
        <v>1.9657242309966367</v>
      </c>
      <c r="L91" s="8">
        <f>MIN('Growth profile'!L115,2085)</f>
        <v>2066</v>
      </c>
      <c r="M91" s="6">
        <f>'Growth profile'!N115</f>
        <v>0</v>
      </c>
      <c r="N91" s="15" t="str">
        <f t="shared" si="9"/>
        <v>under 1.5%</v>
      </c>
      <c r="O91" s="15" t="str">
        <f t="shared" si="10"/>
        <v>Accelerated</v>
      </c>
      <c r="P91" s="6">
        <f>'Growth (no penalty)'!I115</f>
        <v>2026</v>
      </c>
      <c r="Q91" s="27">
        <f t="shared" si="11"/>
        <v>-11</v>
      </c>
    </row>
    <row r="92" spans="1:17" x14ac:dyDescent="0.3">
      <c r="A92" s="24" t="str">
        <f>'Growth profile'!A117</f>
        <v>project 193</v>
      </c>
      <c r="B92" s="24" t="str">
        <f>'Growth profile'!B117</f>
        <v>random growth</v>
      </c>
      <c r="C92" s="6">
        <f>'Growth profile'!C117</f>
        <v>1</v>
      </c>
      <c r="D92" s="25">
        <f>'Growth profile'!D117</f>
        <v>1.47</v>
      </c>
      <c r="E92" s="5">
        <f>'Growth profile'!E117</f>
        <v>1.0588235294117641</v>
      </c>
      <c r="F92" s="26">
        <f>'Growth profile'!H117</f>
        <v>1.46E-2</v>
      </c>
      <c r="G92" s="6">
        <f>'Raw profile'!I117</f>
        <v>2037</v>
      </c>
      <c r="H92" s="6">
        <f>'Growth profile'!I117</f>
        <v>2026</v>
      </c>
      <c r="I92" s="27">
        <f t="shared" si="8"/>
        <v>-11</v>
      </c>
      <c r="J92" s="5">
        <f>'Raw profile'!O117</f>
        <v>1.2735761831321517</v>
      </c>
      <c r="K92" s="5">
        <f>'Growth profile'!O117</f>
        <v>2.0480437037375938</v>
      </c>
      <c r="L92" s="8">
        <f>MIN('Growth profile'!L117,2085)</f>
        <v>2066</v>
      </c>
      <c r="M92" s="6">
        <f>'Growth profile'!N117</f>
        <v>0</v>
      </c>
      <c r="N92" s="15" t="str">
        <f t="shared" si="9"/>
        <v>under 1.5%</v>
      </c>
      <c r="O92" s="15" t="str">
        <f t="shared" si="10"/>
        <v>Accelerated</v>
      </c>
      <c r="P92" s="6">
        <f>'Growth (no penalty)'!I117</f>
        <v>2026</v>
      </c>
      <c r="Q92" s="27">
        <f t="shared" si="11"/>
        <v>-11</v>
      </c>
    </row>
    <row r="93" spans="1:17" x14ac:dyDescent="0.3">
      <c r="A93" s="24" t="str">
        <f>'Growth profile'!A34</f>
        <v>project 23</v>
      </c>
      <c r="B93" s="24" t="str">
        <f>'Growth profile'!B34</f>
        <v>random growth</v>
      </c>
      <c r="C93" s="6">
        <f>'Growth profile'!C34</f>
        <v>1</v>
      </c>
      <c r="D93" s="25">
        <f>'Growth profile'!D34</f>
        <v>1.67</v>
      </c>
      <c r="E93" s="5">
        <f>'Growth profile'!E34</f>
        <v>0.65400000000000003</v>
      </c>
      <c r="F93" s="26">
        <f>'Growth profile'!H34</f>
        <v>1.49E-2</v>
      </c>
      <c r="G93" s="6">
        <f>'Raw profile'!I34</f>
        <v>2037</v>
      </c>
      <c r="H93" s="6">
        <f>'Growth profile'!I34</f>
        <v>2026</v>
      </c>
      <c r="I93" s="27">
        <f t="shared" si="8"/>
        <v>-11</v>
      </c>
      <c r="J93" s="5">
        <f>'Raw profile'!O34</f>
        <v>0.89367216201003941</v>
      </c>
      <c r="K93" s="5">
        <f>'Growth profile'!O34</f>
        <v>1.445606832593765</v>
      </c>
      <c r="L93" s="8">
        <f>MIN('Growth profile'!L34,2085)</f>
        <v>2066</v>
      </c>
      <c r="M93" s="6">
        <f>'Growth profile'!N34</f>
        <v>0</v>
      </c>
      <c r="N93" s="15" t="str">
        <f t="shared" si="9"/>
        <v>under 1.5%</v>
      </c>
      <c r="O93" s="15" t="str">
        <f t="shared" si="10"/>
        <v>Accelerated</v>
      </c>
      <c r="P93" s="6">
        <f>'Growth (no penalty)'!I34</f>
        <v>2026</v>
      </c>
      <c r="Q93" s="27">
        <f t="shared" si="11"/>
        <v>-11</v>
      </c>
    </row>
    <row r="94" spans="1:17" x14ac:dyDescent="0.3">
      <c r="A94" s="24" t="str">
        <f>'Growth profile'!A55</f>
        <v>project 55</v>
      </c>
      <c r="B94" s="24" t="str">
        <f>'Growth profile'!B55</f>
        <v>random growth</v>
      </c>
      <c r="C94" s="6">
        <f>'Growth profile'!C55</f>
        <v>4</v>
      </c>
      <c r="D94" s="25">
        <f>'Growth profile'!D55</f>
        <v>1.85</v>
      </c>
      <c r="E94" s="5">
        <f>'Growth profile'!E55</f>
        <v>25.84105745098039</v>
      </c>
      <c r="F94" s="26">
        <f>'Growth profile'!H55</f>
        <v>1.0200000000000001E-2</v>
      </c>
      <c r="G94" s="6">
        <f>'Raw profile'!I55</f>
        <v>2037</v>
      </c>
      <c r="H94" s="6">
        <f>'Growth profile'!I55</f>
        <v>2026</v>
      </c>
      <c r="I94" s="27">
        <f t="shared" si="8"/>
        <v>-11</v>
      </c>
      <c r="J94" s="5">
        <f>'Raw profile'!O55</f>
        <v>38.811126656917338</v>
      </c>
      <c r="K94" s="5">
        <f>'Growth profile'!O55</f>
        <v>57.835010243328867</v>
      </c>
      <c r="L94" s="8">
        <f>MIN('Growth profile'!L55,2085)</f>
        <v>2067</v>
      </c>
      <c r="M94" s="6">
        <f>'Growth profile'!N55</f>
        <v>0</v>
      </c>
      <c r="N94" s="15" t="str">
        <f t="shared" si="9"/>
        <v>under 1.5%</v>
      </c>
      <c r="O94" s="15" t="str">
        <f t="shared" si="10"/>
        <v>Accelerated</v>
      </c>
      <c r="P94" s="6">
        <f>'Growth (no penalty)'!I55</f>
        <v>2026</v>
      </c>
      <c r="Q94" s="27">
        <f t="shared" si="11"/>
        <v>-11</v>
      </c>
    </row>
    <row r="95" spans="1:17" x14ac:dyDescent="0.3">
      <c r="A95" s="24" t="str">
        <f>'Growth profile'!A123</f>
        <v>project 218</v>
      </c>
      <c r="B95" s="24" t="str">
        <f>'Growth profile'!B123</f>
        <v>random growth</v>
      </c>
      <c r="C95" s="6">
        <f>'Growth profile'!C123</f>
        <v>3</v>
      </c>
      <c r="D95" s="25">
        <f>'Growth profile'!D123</f>
        <v>1</v>
      </c>
      <c r="E95" s="5">
        <f>'Growth profile'!E123</f>
        <v>9.0115145876670919</v>
      </c>
      <c r="F95" s="26">
        <f>'Growth profile'!H123</f>
        <v>1.43E-2</v>
      </c>
      <c r="G95" s="6">
        <f>'Raw profile'!I123</f>
        <v>2041</v>
      </c>
      <c r="H95" s="6">
        <f>'Growth profile'!I123</f>
        <v>2029</v>
      </c>
      <c r="I95" s="27">
        <f t="shared" si="8"/>
        <v>-12</v>
      </c>
      <c r="J95" s="5">
        <f>'Raw profile'!O123</f>
        <v>6.7123903270307368</v>
      </c>
      <c r="K95" s="5">
        <f>'Growth profile'!O123</f>
        <v>11.655937214875584</v>
      </c>
      <c r="L95" s="8">
        <f>MIN('Growth profile'!L123,2085)</f>
        <v>2071</v>
      </c>
      <c r="M95" s="6">
        <f>'Growth profile'!N123</f>
        <v>0</v>
      </c>
      <c r="N95" s="15" t="str">
        <f t="shared" si="9"/>
        <v>under 1.5%</v>
      </c>
      <c r="O95" s="15" t="str">
        <f t="shared" si="10"/>
        <v>Accelerated</v>
      </c>
      <c r="P95" s="6">
        <f>'Growth (no penalty)'!I123</f>
        <v>2028</v>
      </c>
      <c r="Q95" s="27">
        <f t="shared" si="11"/>
        <v>-13</v>
      </c>
    </row>
    <row r="96" spans="1:17" x14ac:dyDescent="0.3">
      <c r="A96" s="24" t="str">
        <f>'Growth profile'!A68</f>
        <v>project 92</v>
      </c>
      <c r="B96" s="24" t="str">
        <f>'Growth profile'!B68</f>
        <v>random growth</v>
      </c>
      <c r="C96" s="6">
        <f>'Growth profile'!C68</f>
        <v>3</v>
      </c>
      <c r="D96" s="25">
        <f>'Growth profile'!D68</f>
        <v>1.31</v>
      </c>
      <c r="E96" s="5">
        <f>'Growth profile'!E68</f>
        <v>13.727192554145841</v>
      </c>
      <c r="F96" s="26">
        <f>'Growth profile'!H68</f>
        <v>1.3599999999999999E-2</v>
      </c>
      <c r="G96" s="6">
        <f>'Raw profile'!I68</f>
        <v>2038</v>
      </c>
      <c r="H96" s="6">
        <f>'Growth profile'!I68</f>
        <v>2026</v>
      </c>
      <c r="I96" s="27">
        <f t="shared" si="8"/>
        <v>-12</v>
      </c>
      <c r="J96" s="5">
        <f>'Raw profile'!O68</f>
        <v>13.745981719049249</v>
      </c>
      <c r="K96" s="5">
        <f>'Growth profile'!O68</f>
        <v>23.175653045281138</v>
      </c>
      <c r="L96" s="8">
        <f>MIN('Growth profile'!L68,2085)</f>
        <v>2070</v>
      </c>
      <c r="M96" s="6">
        <f>'Growth profile'!N68</f>
        <v>0</v>
      </c>
      <c r="N96" s="15" t="str">
        <f t="shared" si="9"/>
        <v>under 1.5%</v>
      </c>
      <c r="O96" s="15" t="str">
        <f t="shared" si="10"/>
        <v>Accelerated</v>
      </c>
      <c r="P96" s="6">
        <f>'Growth (no penalty)'!I68</f>
        <v>2026</v>
      </c>
      <c r="Q96" s="27">
        <f t="shared" si="11"/>
        <v>-12</v>
      </c>
    </row>
    <row r="97" spans="1:17" x14ac:dyDescent="0.3">
      <c r="A97" s="24" t="str">
        <f>'Growth profile'!A109</f>
        <v>project 180</v>
      </c>
      <c r="B97" s="24" t="str">
        <f>'Growth profile'!B109</f>
        <v>random growth</v>
      </c>
      <c r="C97" s="6">
        <f>'Growth profile'!C109</f>
        <v>2</v>
      </c>
      <c r="D97" s="25">
        <f>'Growth profile'!D109</f>
        <v>1.5</v>
      </c>
      <c r="E97" s="5">
        <f>'Growth profile'!E109</f>
        <v>3.5977124183006528</v>
      </c>
      <c r="F97" s="26">
        <f>'Growth profile'!H109</f>
        <v>1.24E-2</v>
      </c>
      <c r="G97" s="6">
        <f>'Raw profile'!I109</f>
        <v>2040</v>
      </c>
      <c r="H97" s="6">
        <f>'Growth profile'!I109</f>
        <v>2026</v>
      </c>
      <c r="I97" s="27">
        <f t="shared" si="8"/>
        <v>-14</v>
      </c>
      <c r="J97" s="5">
        <f>'Raw profile'!O109</f>
        <v>4.1574849532166755</v>
      </c>
      <c r="K97" s="5">
        <f>'Growth profile'!O109</f>
        <v>6.8218887481205925</v>
      </c>
      <c r="L97" s="8">
        <f>MIN('Growth profile'!L109,2085)</f>
        <v>2067</v>
      </c>
      <c r="M97" s="6">
        <f>'Growth profile'!N109</f>
        <v>0</v>
      </c>
      <c r="N97" s="15" t="str">
        <f t="shared" si="9"/>
        <v>under 1.5%</v>
      </c>
      <c r="O97" s="15" t="str">
        <f t="shared" si="10"/>
        <v>Accelerated</v>
      </c>
      <c r="P97" s="6">
        <f>'Growth (no penalty)'!I109</f>
        <v>2026</v>
      </c>
      <c r="Q97" s="27">
        <f t="shared" si="11"/>
        <v>-14</v>
      </c>
    </row>
    <row r="98" spans="1:17" x14ac:dyDescent="0.3">
      <c r="A98" s="24" t="str">
        <f>'Growth profile'!A94</f>
        <v>project 148</v>
      </c>
      <c r="B98" s="24" t="str">
        <f>'Growth profile'!B94</f>
        <v>random growth</v>
      </c>
      <c r="C98" s="6">
        <f>'Growth profile'!C94</f>
        <v>4</v>
      </c>
      <c r="D98" s="25">
        <f>'Growth profile'!D94</f>
        <v>1</v>
      </c>
      <c r="E98" s="5">
        <f>'Growth profile'!E94</f>
        <v>22.667925192798538</v>
      </c>
      <c r="F98" s="26">
        <f>'Growth profile'!H94</f>
        <v>1.26E-2</v>
      </c>
      <c r="G98" s="6">
        <f>'Raw profile'!I94</f>
        <v>2041</v>
      </c>
      <c r="H98" s="6">
        <f>'Growth profile'!I94</f>
        <v>2026</v>
      </c>
      <c r="I98" s="27">
        <f t="shared" si="8"/>
        <v>-15</v>
      </c>
      <c r="J98" s="5">
        <f>'Raw profile'!O94</f>
        <v>17.021256909078975</v>
      </c>
      <c r="K98" s="5">
        <f>'Growth profile'!O94</f>
        <v>29.154125449184836</v>
      </c>
      <c r="L98" s="8">
        <f>MIN('Growth profile'!L94,2085)</f>
        <v>2069</v>
      </c>
      <c r="M98" s="6">
        <f>'Growth profile'!N94</f>
        <v>0</v>
      </c>
      <c r="N98" s="15" t="str">
        <f t="shared" si="9"/>
        <v>under 1.5%</v>
      </c>
      <c r="O98" s="15" t="str">
        <f t="shared" si="10"/>
        <v>Accelerated</v>
      </c>
      <c r="P98" s="6">
        <f>'Growth (no penalty)'!I94</f>
        <v>2026</v>
      </c>
      <c r="Q98" s="27">
        <f t="shared" si="11"/>
        <v>-15</v>
      </c>
    </row>
    <row r="99" spans="1:17" x14ac:dyDescent="0.3">
      <c r="A99" s="24" t="str">
        <f>'Growth profile'!A114</f>
        <v>project 188</v>
      </c>
      <c r="B99" s="24" t="str">
        <f>'Growth profile'!B114</f>
        <v>random growth</v>
      </c>
      <c r="C99" s="6">
        <f>'Growth profile'!C114</f>
        <v>2</v>
      </c>
      <c r="D99" s="25">
        <f>'Growth profile'!D114</f>
        <v>1.36</v>
      </c>
      <c r="E99" s="5">
        <f>'Growth profile'!E114</f>
        <v>1.3199078431372551</v>
      </c>
      <c r="F99" s="26">
        <f>'Growth profile'!H114</f>
        <v>1.44E-2</v>
      </c>
      <c r="G99" s="6">
        <f>'Raw profile'!I114</f>
        <v>2041</v>
      </c>
      <c r="H99" s="6">
        <f>'Growth profile'!I114</f>
        <v>2026</v>
      </c>
      <c r="I99" s="27">
        <f t="shared" si="8"/>
        <v>-15</v>
      </c>
      <c r="J99" s="5">
        <f>'Raw profile'!O114</f>
        <v>1.3436046002669095</v>
      </c>
      <c r="K99" s="5">
        <f>'Growth profile'!O114</f>
        <v>2.3662061472433678</v>
      </c>
      <c r="L99" s="8">
        <f>MIN('Growth profile'!L114,2085)</f>
        <v>2068</v>
      </c>
      <c r="M99" s="6">
        <f>'Growth profile'!N114</f>
        <v>0</v>
      </c>
      <c r="N99" s="15" t="str">
        <f t="shared" si="9"/>
        <v>under 1.5%</v>
      </c>
      <c r="O99" s="15" t="str">
        <f t="shared" si="10"/>
        <v>Accelerated</v>
      </c>
      <c r="P99" s="6">
        <f>'Growth (no penalty)'!I114</f>
        <v>2028</v>
      </c>
      <c r="Q99" s="27">
        <f t="shared" si="11"/>
        <v>-13</v>
      </c>
    </row>
    <row r="100" spans="1:17" x14ac:dyDescent="0.3">
      <c r="A100" s="24" t="str">
        <f>'Growth profile'!A100</f>
        <v>project 158</v>
      </c>
      <c r="B100" s="24" t="str">
        <f>'Growth profile'!B100</f>
        <v>random growth</v>
      </c>
      <c r="C100" s="6">
        <f>'Growth profile'!C100</f>
        <v>3</v>
      </c>
      <c r="D100" s="25">
        <f>'Growth profile'!D100</f>
        <v>1</v>
      </c>
      <c r="E100" s="5">
        <f>'Growth profile'!E100</f>
        <v>13.67299115724721</v>
      </c>
      <c r="F100" s="26">
        <f>'Growth profile'!H100</f>
        <v>1.4200000000000001E-2</v>
      </c>
      <c r="G100" s="6">
        <f>'Raw profile'!I100</f>
        <v>2042</v>
      </c>
      <c r="H100" s="6">
        <f>'Growth profile'!I100</f>
        <v>2026</v>
      </c>
      <c r="I100" s="27">
        <f t="shared" si="8"/>
        <v>-16</v>
      </c>
      <c r="J100" s="5">
        <f>'Raw profile'!O100</f>
        <v>10.046465065589103</v>
      </c>
      <c r="K100" s="5">
        <f>'Growth profile'!O100</f>
        <v>17.913409092816799</v>
      </c>
      <c r="L100" s="8">
        <f>MIN('Growth profile'!L100,2085)</f>
        <v>2068</v>
      </c>
      <c r="M100" s="6">
        <f>'Growth profile'!N100</f>
        <v>0</v>
      </c>
      <c r="N100" s="15" t="str">
        <f t="shared" si="9"/>
        <v>under 1.5%</v>
      </c>
      <c r="O100" s="15" t="str">
        <f t="shared" si="10"/>
        <v>Accelerated</v>
      </c>
      <c r="P100" s="6">
        <f>'Growth (no penalty)'!I100</f>
        <v>2026</v>
      </c>
      <c r="Q100" s="27">
        <f t="shared" si="11"/>
        <v>-16</v>
      </c>
    </row>
    <row r="101" spans="1:17" x14ac:dyDescent="0.3">
      <c r="A101" s="24" t="str">
        <f>'Growth profile'!A110</f>
        <v>project 181</v>
      </c>
      <c r="B101" s="24" t="str">
        <f>'Growth profile'!B110</f>
        <v>random growth</v>
      </c>
      <c r="C101" s="6">
        <f>'Growth profile'!C110</f>
        <v>2</v>
      </c>
      <c r="D101" s="25">
        <f>'Growth profile'!D110</f>
        <v>1</v>
      </c>
      <c r="E101" s="5">
        <f>'Growth profile'!E110</f>
        <v>3.597</v>
      </c>
      <c r="F101" s="26">
        <f>'Growth profile'!H110</f>
        <v>1.4500000000000001E-2</v>
      </c>
      <c r="G101" s="6">
        <f>'Raw profile'!I110</f>
        <v>2042</v>
      </c>
      <c r="H101" s="6">
        <f>'Growth profile'!I110</f>
        <v>2026</v>
      </c>
      <c r="I101" s="27">
        <f t="shared" ref="I101:I132" si="12">H101-G101</f>
        <v>-16</v>
      </c>
      <c r="J101" s="5">
        <f>'Raw profile'!O110</f>
        <v>2.6999080482646391</v>
      </c>
      <c r="K101" s="5">
        <f>'Growth profile'!O110</f>
        <v>4.7237526078782164</v>
      </c>
      <c r="L101" s="8">
        <f>MIN('Growth profile'!L110,2085)</f>
        <v>2066</v>
      </c>
      <c r="M101" s="6">
        <f>'Growth profile'!N110</f>
        <v>0</v>
      </c>
      <c r="N101" s="15" t="str">
        <f t="shared" si="9"/>
        <v>under 1.5%</v>
      </c>
      <c r="O101" s="15" t="str">
        <f t="shared" si="10"/>
        <v>Accelerated</v>
      </c>
      <c r="P101" s="6">
        <f>'Growth (no penalty)'!I110</f>
        <v>2026</v>
      </c>
      <c r="Q101" s="27">
        <f t="shared" ref="Q101:Q132" si="13">P101-G101</f>
        <v>-16</v>
      </c>
    </row>
    <row r="102" spans="1:17" x14ac:dyDescent="0.3">
      <c r="A102" s="24" t="str">
        <f>'Growth profile'!A44</f>
        <v>project 39</v>
      </c>
      <c r="B102" s="24" t="str">
        <f>'Growth profile'!B44</f>
        <v>random growth</v>
      </c>
      <c r="C102" s="6">
        <f>'Growth profile'!C44</f>
        <v>4</v>
      </c>
      <c r="D102" s="25">
        <f>'Growth profile'!D44</f>
        <v>1</v>
      </c>
      <c r="E102" s="5">
        <f>'Growth profile'!E44</f>
        <v>19.834257117647059</v>
      </c>
      <c r="F102" s="26">
        <f>'Growth profile'!H44</f>
        <v>1.09E-2</v>
      </c>
      <c r="G102" s="6">
        <f>'Raw profile'!I44</f>
        <v>2042</v>
      </c>
      <c r="H102" s="6">
        <f>'Growth profile'!I44</f>
        <v>2026</v>
      </c>
      <c r="I102" s="27">
        <f t="shared" si="12"/>
        <v>-16</v>
      </c>
      <c r="J102" s="5">
        <f>'Raw profile'!O44</f>
        <v>14.897219850896576</v>
      </c>
      <c r="K102" s="5">
        <f>'Growth profile'!O44</f>
        <v>24.527799864894718</v>
      </c>
      <c r="L102" s="8">
        <f>MIN('Growth profile'!L44,2085)</f>
        <v>2067</v>
      </c>
      <c r="M102" s="6">
        <f>'Growth profile'!N44</f>
        <v>0</v>
      </c>
      <c r="N102" s="15" t="str">
        <f t="shared" si="9"/>
        <v>under 1.5%</v>
      </c>
      <c r="O102" s="15" t="str">
        <f t="shared" si="10"/>
        <v>Accelerated</v>
      </c>
      <c r="P102" s="6">
        <f>'Growth (no penalty)'!I44</f>
        <v>2026</v>
      </c>
      <c r="Q102" s="27">
        <f t="shared" si="13"/>
        <v>-16</v>
      </c>
    </row>
    <row r="103" spans="1:17" x14ac:dyDescent="0.3">
      <c r="A103" s="24" t="str">
        <f>'Growth profile'!A45</f>
        <v>project 40</v>
      </c>
      <c r="B103" s="24" t="str">
        <f>'Growth profile'!B45</f>
        <v>random growth</v>
      </c>
      <c r="C103" s="6">
        <f>'Growth profile'!C45</f>
        <v>4</v>
      </c>
      <c r="D103" s="25">
        <f>'Growth profile'!D45</f>
        <v>1</v>
      </c>
      <c r="E103" s="5">
        <f>'Growth profile'!E45</f>
        <v>25.716807568627448</v>
      </c>
      <c r="F103" s="26">
        <f>'Growth profile'!H45</f>
        <v>1.2200000000000001E-2</v>
      </c>
      <c r="G103" s="6">
        <f>'Raw profile'!I45</f>
        <v>2042</v>
      </c>
      <c r="H103" s="6">
        <f>'Growth profile'!I45</f>
        <v>2026</v>
      </c>
      <c r="I103" s="27">
        <f t="shared" si="12"/>
        <v>-16</v>
      </c>
      <c r="J103" s="5">
        <f>'Raw profile'!O45</f>
        <v>19.041059163610594</v>
      </c>
      <c r="K103" s="5">
        <f>'Growth profile'!O45</f>
        <v>32.188112371840631</v>
      </c>
      <c r="L103" s="8">
        <f>MIN('Growth profile'!L45,2085)</f>
        <v>2067</v>
      </c>
      <c r="M103" s="6">
        <f>'Growth profile'!N45</f>
        <v>0</v>
      </c>
      <c r="N103" s="15" t="str">
        <f t="shared" si="9"/>
        <v>under 1.5%</v>
      </c>
      <c r="O103" s="15" t="str">
        <f t="shared" si="10"/>
        <v>Accelerated</v>
      </c>
      <c r="P103" s="6">
        <f>'Growth (no penalty)'!I45</f>
        <v>2026</v>
      </c>
      <c r="Q103" s="27">
        <f t="shared" si="13"/>
        <v>-16</v>
      </c>
    </row>
    <row r="104" spans="1:17" x14ac:dyDescent="0.3">
      <c r="A104" s="24" t="str">
        <f>'Growth profile'!A28</f>
        <v>project 9</v>
      </c>
      <c r="B104" s="24" t="str">
        <f>'Growth profile'!B28</f>
        <v>random growth</v>
      </c>
      <c r="C104" s="6">
        <f>'Growth profile'!C28</f>
        <v>2</v>
      </c>
      <c r="D104" s="25">
        <f>'Growth profile'!D28</f>
        <v>1</v>
      </c>
      <c r="E104" s="5">
        <f>'Growth profile'!E28</f>
        <v>4.3600000000000003</v>
      </c>
      <c r="F104" s="26">
        <f>'Growth profile'!H28</f>
        <v>1.6299999999999999E-2</v>
      </c>
      <c r="G104" s="6">
        <f>'Raw profile'!I28</f>
        <v>2043</v>
      </c>
      <c r="H104" s="6">
        <f>'Growth profile'!I28</f>
        <v>2026</v>
      </c>
      <c r="I104" s="27">
        <f t="shared" si="12"/>
        <v>-17</v>
      </c>
      <c r="J104" s="5">
        <f>'Raw profile'!O28</f>
        <v>3.2179194380074616</v>
      </c>
      <c r="K104" s="5">
        <f>'Growth profile'!O28</f>
        <v>5.9324686444151142</v>
      </c>
      <c r="L104" s="8">
        <f>MIN('Growth profile'!L28,2085)</f>
        <v>2066</v>
      </c>
      <c r="M104" s="6">
        <f>'Growth profile'!N28</f>
        <v>0</v>
      </c>
      <c r="N104" s="15" t="str">
        <f t="shared" si="9"/>
        <v>1.5% to 1.8%</v>
      </c>
      <c r="O104" s="15" t="str">
        <f t="shared" si="10"/>
        <v>Accelerated</v>
      </c>
      <c r="P104" s="6">
        <f>'Growth (no penalty)'!I28</f>
        <v>2029</v>
      </c>
      <c r="Q104" s="27">
        <f t="shared" si="13"/>
        <v>-14</v>
      </c>
    </row>
  </sheetData>
  <autoFilter ref="A4:Q104" xr:uid="{00000000-0009-0000-0000-000002000000}"/>
  <conditionalFormatting sqref="A5:Q104">
    <cfRule type="expression" dxfId="29" priority="1">
      <formula>$I5&gt;0</formula>
    </cfRule>
    <cfRule type="expression" dxfId="28" priority="2">
      <formula>$I5&lt;0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357"/>
  <sheetViews>
    <sheetView zoomScale="85" workbookViewId="0">
      <pane xSplit="2" ySplit="23" topLeftCell="C2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2" customWidth="1"/>
    <col min="3" max="62" width="9" customWidth="1"/>
  </cols>
  <sheetData>
    <row r="1" spans="1:15" ht="17.399999999999999" x14ac:dyDescent="0.3">
      <c r="A1" s="1" t="s">
        <v>77</v>
      </c>
    </row>
    <row r="2" spans="1:15" x14ac:dyDescent="0.3">
      <c r="A2" s="2" t="s">
        <v>78</v>
      </c>
    </row>
    <row r="3" spans="1:15" x14ac:dyDescent="0.3">
      <c r="D3" s="4" t="s">
        <v>79</v>
      </c>
      <c r="L3" s="4" t="s">
        <v>80</v>
      </c>
    </row>
    <row r="4" spans="1:15" ht="41.4" x14ac:dyDescent="0.3">
      <c r="A4" s="28" t="s">
        <v>81</v>
      </c>
      <c r="B4" s="29">
        <v>210</v>
      </c>
      <c r="D4" s="77" t="s">
        <v>82</v>
      </c>
      <c r="E4" s="73"/>
      <c r="F4" s="73"/>
      <c r="G4" s="73"/>
      <c r="H4" s="73"/>
      <c r="I4" s="73"/>
      <c r="J4" s="30">
        <f>MIN(C344:BJ344)</f>
        <v>-2.5858743228496905E-2</v>
      </c>
      <c r="L4" s="3" t="s">
        <v>83</v>
      </c>
      <c r="M4" s="3" t="s">
        <v>84</v>
      </c>
      <c r="N4" s="3" t="s">
        <v>85</v>
      </c>
      <c r="O4" s="3" t="s">
        <v>86</v>
      </c>
    </row>
    <row r="5" spans="1:15" x14ac:dyDescent="0.3">
      <c r="A5" s="28" t="s">
        <v>87</v>
      </c>
      <c r="B5" s="16">
        <v>2026</v>
      </c>
      <c r="D5" s="77" t="s">
        <v>88</v>
      </c>
      <c r="E5" s="73"/>
      <c r="F5" s="73"/>
      <c r="G5" s="73"/>
      <c r="H5" s="73"/>
      <c r="I5" s="73"/>
      <c r="J5" s="30">
        <f>MAX(C346:BJ346)</f>
        <v>47.265500192209089</v>
      </c>
      <c r="L5" s="28" t="s">
        <v>89</v>
      </c>
      <c r="M5" s="29">
        <v>35.445</v>
      </c>
      <c r="N5" s="31">
        <f>M5/$B$4</f>
        <v>0.16878571428571429</v>
      </c>
      <c r="O5" s="32">
        <v>1000</v>
      </c>
    </row>
    <row r="6" spans="1:15" x14ac:dyDescent="0.3">
      <c r="A6" s="28" t="s">
        <v>90</v>
      </c>
      <c r="B6" s="33">
        <v>0.02</v>
      </c>
      <c r="D6" s="77" t="s">
        <v>25</v>
      </c>
      <c r="E6" s="73"/>
      <c r="F6" s="73"/>
      <c r="G6" s="73"/>
      <c r="H6" s="73"/>
      <c r="I6" s="73"/>
      <c r="J6" s="30">
        <f>IFERROR(SUM(C346:BJ346)/SUM(C345:BJ345),0)</f>
        <v>5.2065595578017287</v>
      </c>
      <c r="L6" s="28" t="s">
        <v>91</v>
      </c>
      <c r="M6" s="29">
        <v>47.26</v>
      </c>
      <c r="N6" s="31">
        <f>M6/$B$4</f>
        <v>0.22504761904761905</v>
      </c>
      <c r="O6" s="32">
        <v>10000</v>
      </c>
    </row>
    <row r="7" spans="1:15" x14ac:dyDescent="0.3">
      <c r="A7" s="28" t="s">
        <v>92</v>
      </c>
      <c r="B7" s="16">
        <v>30</v>
      </c>
      <c r="D7" s="77" t="s">
        <v>93</v>
      </c>
      <c r="E7" s="73"/>
      <c r="F7" s="73"/>
      <c r="G7" s="73"/>
      <c r="H7" s="73"/>
      <c r="I7" s="73"/>
      <c r="J7" s="34">
        <f>COUNTIF(C348:BJ348,"&gt;0.005")</f>
        <v>1</v>
      </c>
      <c r="L7" s="28" t="s">
        <v>94</v>
      </c>
      <c r="M7" s="29">
        <v>59.075099999999999</v>
      </c>
      <c r="N7" s="31">
        <f>M7/$B$4</f>
        <v>0.28131</v>
      </c>
      <c r="O7" s="32">
        <v>100000</v>
      </c>
    </row>
    <row r="8" spans="1:15" x14ac:dyDescent="0.3">
      <c r="A8" s="28" t="s">
        <v>95</v>
      </c>
      <c r="B8" s="33">
        <v>1.4999999999999999E-2</v>
      </c>
      <c r="D8" s="77" t="s">
        <v>20</v>
      </c>
      <c r="E8" s="73"/>
      <c r="F8" s="73"/>
      <c r="G8" s="73"/>
      <c r="H8" s="73"/>
      <c r="I8" s="73"/>
      <c r="J8" s="35">
        <f>MAX(C341:BJ341)/$B$4</f>
        <v>1.2079535665623906</v>
      </c>
      <c r="L8" s="28" t="s">
        <v>96</v>
      </c>
      <c r="M8" s="29">
        <v>70.890100000000004</v>
      </c>
      <c r="N8" s="31">
        <f>M8/$B$4</f>
        <v>0.3375719047619048</v>
      </c>
      <c r="O8" s="32">
        <v>1000000</v>
      </c>
    </row>
    <row r="9" spans="1:15" x14ac:dyDescent="0.3">
      <c r="A9" s="28" t="s">
        <v>97</v>
      </c>
      <c r="B9" s="16">
        <v>40</v>
      </c>
      <c r="D9" s="77" t="s">
        <v>98</v>
      </c>
      <c r="E9" s="73"/>
      <c r="F9" s="73"/>
      <c r="G9" s="73"/>
      <c r="H9" s="73"/>
      <c r="I9" s="73"/>
      <c r="J9" s="34">
        <f>SUMPRODUCT(--(C341:BJ341&gt;C338:BJ338+0.005))</f>
        <v>12</v>
      </c>
      <c r="L9" s="13" t="s">
        <v>99</v>
      </c>
    </row>
    <row r="10" spans="1:15" x14ac:dyDescent="0.3">
      <c r="A10" s="28" t="s">
        <v>100</v>
      </c>
      <c r="B10" s="36">
        <v>1</v>
      </c>
      <c r="D10" s="77" t="s">
        <v>101</v>
      </c>
      <c r="E10" s="73"/>
      <c r="F10" s="73"/>
      <c r="G10" s="73"/>
      <c r="H10" s="73"/>
      <c r="I10" s="73"/>
      <c r="J10" s="34">
        <f>COUNTIFS(C339:BJ339,1,C341:BJ341,0)</f>
        <v>0</v>
      </c>
    </row>
    <row r="11" spans="1:15" x14ac:dyDescent="0.3">
      <c r="A11" s="28" t="s">
        <v>102</v>
      </c>
      <c r="B11" s="37">
        <v>1E-4</v>
      </c>
      <c r="D11" s="77" t="s">
        <v>103</v>
      </c>
      <c r="E11" s="73"/>
      <c r="F11" s="73"/>
      <c r="G11" s="73"/>
      <c r="H11" s="73"/>
      <c r="I11" s="73"/>
      <c r="J11" s="38">
        <f>SUM(C346:BJ346)*$B$12*$B$10</f>
        <v>9371.8072040431107</v>
      </c>
    </row>
    <row r="12" spans="1:15" x14ac:dyDescent="0.3">
      <c r="A12" s="28" t="s">
        <v>104</v>
      </c>
      <c r="B12" s="16">
        <v>100</v>
      </c>
      <c r="D12" s="77" t="s">
        <v>105</v>
      </c>
      <c r="E12" s="73"/>
      <c r="F12" s="73"/>
      <c r="G12" s="73"/>
      <c r="H12" s="73"/>
      <c r="I12" s="73"/>
      <c r="J12" s="38">
        <f>SUM(C353:BJ353)</f>
        <v>1187000.1922090908</v>
      </c>
    </row>
    <row r="13" spans="1:15" x14ac:dyDescent="0.3">
      <c r="A13" s="28" t="s">
        <v>106</v>
      </c>
      <c r="B13" s="32">
        <v>10000</v>
      </c>
      <c r="D13" s="77" t="s">
        <v>107</v>
      </c>
      <c r="E13" s="73"/>
      <c r="F13" s="73"/>
      <c r="G13" s="73"/>
      <c r="H13" s="73"/>
      <c r="I13" s="73"/>
      <c r="J13" s="38">
        <f>O124*1000000*$B$11*$B$13</f>
        <v>7410120311.7174711</v>
      </c>
    </row>
    <row r="14" spans="1:15" x14ac:dyDescent="0.3">
      <c r="A14" s="4" t="s">
        <v>108</v>
      </c>
      <c r="B14" s="34">
        <f>MAX(J24:J123)</f>
        <v>2044</v>
      </c>
      <c r="D14" s="77" t="s">
        <v>109</v>
      </c>
      <c r="E14" s="73"/>
      <c r="F14" s="73"/>
      <c r="G14" s="73"/>
      <c r="H14" s="73"/>
      <c r="I14" s="73"/>
      <c r="J14" s="38">
        <f>J11+J12-J13</f>
        <v>-7408923939.7180576</v>
      </c>
    </row>
    <row r="15" spans="1:15" x14ac:dyDescent="0.3">
      <c r="D15" s="77" t="s">
        <v>110</v>
      </c>
      <c r="E15" s="73"/>
      <c r="F15" s="73"/>
      <c r="G15" s="73"/>
      <c r="H15" s="73"/>
      <c r="I15" s="73"/>
      <c r="J15" s="39">
        <v>-7408929413.9243364</v>
      </c>
    </row>
    <row r="16" spans="1:15" x14ac:dyDescent="0.3">
      <c r="D16" s="77" t="s">
        <v>111</v>
      </c>
      <c r="E16" s="73"/>
      <c r="F16" s="73"/>
      <c r="G16" s="73"/>
      <c r="H16" s="73"/>
      <c r="I16" s="73"/>
      <c r="J16" s="40">
        <f>IFERROR(J14/J15-1,0)</f>
        <v>-7.3886603213502156E-7</v>
      </c>
    </row>
    <row r="17" spans="1:35" x14ac:dyDescent="0.3">
      <c r="D17" s="77" t="s">
        <v>112</v>
      </c>
      <c r="E17" s="73"/>
      <c r="F17" s="73"/>
      <c r="G17" s="73"/>
      <c r="H17" s="73"/>
      <c r="I17" s="73"/>
      <c r="J17" s="41">
        <f>O124</f>
        <v>7410.1203117174709</v>
      </c>
    </row>
    <row r="23" spans="1:35" ht="45" customHeight="1" x14ac:dyDescent="0.3">
      <c r="A23" s="3" t="s">
        <v>56</v>
      </c>
      <c r="B23" s="3" t="s">
        <v>62</v>
      </c>
      <c r="C23" s="3" t="s">
        <v>113</v>
      </c>
      <c r="D23" s="3" t="s">
        <v>114</v>
      </c>
      <c r="E23" s="3" t="s">
        <v>65</v>
      </c>
      <c r="F23" s="3" t="s">
        <v>115</v>
      </c>
      <c r="G23" s="3" t="s">
        <v>116</v>
      </c>
      <c r="H23" s="3" t="s">
        <v>117</v>
      </c>
      <c r="I23" s="3" t="s">
        <v>118</v>
      </c>
      <c r="J23" s="3" t="s">
        <v>119</v>
      </c>
      <c r="K23" s="3" t="s">
        <v>120</v>
      </c>
      <c r="L23" s="3" t="s">
        <v>121</v>
      </c>
      <c r="M23" s="3" t="s">
        <v>122</v>
      </c>
      <c r="N23" s="3" t="s">
        <v>123</v>
      </c>
      <c r="O23" s="3" t="s">
        <v>124</v>
      </c>
      <c r="P23" s="3" t="s">
        <v>125</v>
      </c>
      <c r="Q23" s="3" t="s">
        <v>126</v>
      </c>
      <c r="R23" s="3" t="s">
        <v>127</v>
      </c>
      <c r="S23" s="3" t="s">
        <v>128</v>
      </c>
      <c r="T23" s="3" t="s">
        <v>129</v>
      </c>
      <c r="U23" s="3" t="s">
        <v>130</v>
      </c>
      <c r="V23" s="3" t="s">
        <v>131</v>
      </c>
      <c r="W23" s="3" t="s">
        <v>132</v>
      </c>
      <c r="X23" s="3" t="s">
        <v>133</v>
      </c>
      <c r="Y23" s="3" t="s">
        <v>134</v>
      </c>
      <c r="Z23" s="3" t="s">
        <v>135</v>
      </c>
      <c r="AA23" s="3" t="s">
        <v>136</v>
      </c>
      <c r="AB23" s="3" t="s">
        <v>137</v>
      </c>
      <c r="AC23" s="3" t="s">
        <v>138</v>
      </c>
      <c r="AD23" s="3" t="s">
        <v>139</v>
      </c>
      <c r="AE23" s="3" t="s">
        <v>140</v>
      </c>
      <c r="AF23" s="3" t="s">
        <v>141</v>
      </c>
      <c r="AG23" s="3" t="s">
        <v>142</v>
      </c>
      <c r="AH23" s="3" t="s">
        <v>143</v>
      </c>
      <c r="AI23" s="3" t="s">
        <v>144</v>
      </c>
    </row>
    <row r="24" spans="1:35" x14ac:dyDescent="0.3">
      <c r="A24" s="15" t="s">
        <v>145</v>
      </c>
      <c r="B24" s="15" t="s">
        <v>146</v>
      </c>
      <c r="C24" s="42">
        <v>4</v>
      </c>
      <c r="D24" s="43">
        <v>7</v>
      </c>
      <c r="E24" s="44">
        <v>36.329552279424362</v>
      </c>
      <c r="F24" s="42">
        <v>6</v>
      </c>
      <c r="G24" s="45">
        <v>9.5924845314507223</v>
      </c>
      <c r="H24" s="46">
        <v>0</v>
      </c>
      <c r="I24" s="47">
        <v>2026</v>
      </c>
      <c r="J24" s="8">
        <f t="shared" ref="J24:J55" si="0">I24+F24-1</f>
        <v>2031</v>
      </c>
      <c r="K24" s="8">
        <f t="shared" ref="K24:K55" si="1">I24+F24</f>
        <v>2032</v>
      </c>
      <c r="L24" s="8">
        <f t="shared" ref="L24:L55" si="2">K24+$B$9-1</f>
        <v>2071</v>
      </c>
      <c r="M24" s="8">
        <f t="shared" ref="M24:M55" si="3">MAX(0,MIN(L24,2085)-K24+1)</f>
        <v>40</v>
      </c>
      <c r="N24" s="8">
        <f t="shared" ref="N24:N55" si="4">$B$9-M24</f>
        <v>0</v>
      </c>
      <c r="O24" s="48">
        <f t="shared" ref="O24:O55" si="5">SUMPRODUCT(C235:BJ235,$C$129:$BJ$129)</f>
        <v>240.2860448528541</v>
      </c>
      <c r="P24" s="44">
        <v>240.28604485285399</v>
      </c>
      <c r="Q24" s="49">
        <f t="shared" ref="Q24:Q55" si="6">O24-P24</f>
        <v>0</v>
      </c>
      <c r="R24" s="48">
        <f t="shared" ref="R24:R55" si="7">SUMPRODUCT(C132:BJ132,$C$129:$BJ$129)</f>
        <v>34.326577836122006</v>
      </c>
      <c r="S24" s="50">
        <f t="shared" ref="S24:S55" si="8">IF(R24=0,0,O24/R24)</f>
        <v>7.0000000000000018</v>
      </c>
      <c r="T24" s="45">
        <v>0.65026099999999998</v>
      </c>
      <c r="U24" s="45">
        <v>2.338245098039216</v>
      </c>
      <c r="V24" s="45">
        <v>9.1310880430603625</v>
      </c>
      <c r="W24" s="45">
        <v>13.55277853163564</v>
      </c>
      <c r="X24" s="45">
        <v>10.14545890802062</v>
      </c>
      <c r="Y24" s="45">
        <v>0.51172069866851577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</row>
    <row r="25" spans="1:35" x14ac:dyDescent="0.3">
      <c r="A25" s="15" t="s">
        <v>147</v>
      </c>
      <c r="B25" s="15" t="s">
        <v>146</v>
      </c>
      <c r="C25" s="42">
        <v>2</v>
      </c>
      <c r="D25" s="43">
        <v>4.49</v>
      </c>
      <c r="E25" s="44">
        <v>1.6835429215686279</v>
      </c>
      <c r="F25" s="42">
        <v>2</v>
      </c>
      <c r="G25" s="45">
        <v>0.27936777839903332</v>
      </c>
      <c r="H25" s="46">
        <v>0</v>
      </c>
      <c r="I25" s="47">
        <v>2026</v>
      </c>
      <c r="J25" s="8">
        <f t="shared" si="0"/>
        <v>2027</v>
      </c>
      <c r="K25" s="8">
        <f t="shared" si="1"/>
        <v>2028</v>
      </c>
      <c r="L25" s="8">
        <f t="shared" si="2"/>
        <v>2067</v>
      </c>
      <c r="M25" s="8">
        <f t="shared" si="3"/>
        <v>40</v>
      </c>
      <c r="N25" s="8">
        <f t="shared" si="4"/>
        <v>0</v>
      </c>
      <c r="O25" s="48">
        <f t="shared" si="5"/>
        <v>7.5362347843560187</v>
      </c>
      <c r="P25" s="44">
        <v>7.5362347843560169</v>
      </c>
      <c r="Q25" s="49">
        <f t="shared" si="6"/>
        <v>0</v>
      </c>
      <c r="R25" s="48">
        <f t="shared" si="7"/>
        <v>1.6784487270280661</v>
      </c>
      <c r="S25" s="50">
        <f t="shared" si="8"/>
        <v>4.4900000000000011</v>
      </c>
      <c r="T25" s="45">
        <v>1.4237390000000001</v>
      </c>
      <c r="U25" s="45">
        <v>0.25980392156862742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</row>
    <row r="26" spans="1:35" x14ac:dyDescent="0.3">
      <c r="A26" s="15" t="s">
        <v>148</v>
      </c>
      <c r="B26" s="15" t="s">
        <v>146</v>
      </c>
      <c r="C26" s="42">
        <v>3</v>
      </c>
      <c r="D26" s="43">
        <v>1.46</v>
      </c>
      <c r="E26" s="44">
        <v>7.63</v>
      </c>
      <c r="F26" s="42">
        <v>1</v>
      </c>
      <c r="G26" s="45">
        <v>0.40526408683160919</v>
      </c>
      <c r="H26" s="46">
        <v>0</v>
      </c>
      <c r="I26" s="47">
        <v>2037</v>
      </c>
      <c r="J26" s="8">
        <f t="shared" si="0"/>
        <v>2037</v>
      </c>
      <c r="K26" s="8">
        <f t="shared" si="1"/>
        <v>2038</v>
      </c>
      <c r="L26" s="8">
        <f t="shared" si="2"/>
        <v>2077</v>
      </c>
      <c r="M26" s="8">
        <f t="shared" si="3"/>
        <v>40</v>
      </c>
      <c r="N26" s="8">
        <f t="shared" si="4"/>
        <v>0</v>
      </c>
      <c r="O26" s="48">
        <f t="shared" si="5"/>
        <v>9.1150992971483014</v>
      </c>
      <c r="P26" s="44">
        <v>9.1150992971483049</v>
      </c>
      <c r="Q26" s="49">
        <f t="shared" si="6"/>
        <v>0</v>
      </c>
      <c r="R26" s="48">
        <f t="shared" si="7"/>
        <v>6.1365269882817968</v>
      </c>
      <c r="S26" s="50">
        <f t="shared" si="8"/>
        <v>1.4853840477772418</v>
      </c>
      <c r="T26" s="45">
        <v>7.63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</row>
    <row r="27" spans="1:35" x14ac:dyDescent="0.3">
      <c r="A27" s="15" t="s">
        <v>149</v>
      </c>
      <c r="B27" s="15" t="s">
        <v>146</v>
      </c>
      <c r="C27" s="42">
        <v>3</v>
      </c>
      <c r="D27" s="43">
        <v>1</v>
      </c>
      <c r="E27" s="44">
        <v>5.45</v>
      </c>
      <c r="F27" s="42">
        <v>1</v>
      </c>
      <c r="G27" s="45">
        <v>0.1982701011896327</v>
      </c>
      <c r="H27" s="46">
        <v>0</v>
      </c>
      <c r="I27" s="47">
        <v>2041</v>
      </c>
      <c r="J27" s="8">
        <f t="shared" si="0"/>
        <v>2041</v>
      </c>
      <c r="K27" s="8">
        <f t="shared" si="1"/>
        <v>2042</v>
      </c>
      <c r="L27" s="8">
        <f t="shared" si="2"/>
        <v>2081</v>
      </c>
      <c r="M27" s="8">
        <f t="shared" si="3"/>
        <v>40</v>
      </c>
      <c r="N27" s="8">
        <f t="shared" si="4"/>
        <v>0</v>
      </c>
      <c r="O27" s="48">
        <f t="shared" si="5"/>
        <v>4.1608737851930044</v>
      </c>
      <c r="P27" s="44">
        <v>4.1608737851930044</v>
      </c>
      <c r="Q27" s="49">
        <f t="shared" si="6"/>
        <v>0</v>
      </c>
      <c r="R27" s="48">
        <f t="shared" si="7"/>
        <v>4.0494302784374279</v>
      </c>
      <c r="S27" s="50">
        <f t="shared" si="8"/>
        <v>1.0275207866521361</v>
      </c>
      <c r="T27" s="45">
        <v>5.45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</row>
    <row r="28" spans="1:35" x14ac:dyDescent="0.3">
      <c r="A28" s="15" t="s">
        <v>150</v>
      </c>
      <c r="B28" s="15" t="s">
        <v>146</v>
      </c>
      <c r="C28" s="42">
        <v>2</v>
      </c>
      <c r="D28" s="43">
        <v>1</v>
      </c>
      <c r="E28" s="44">
        <v>4.3600000000000003</v>
      </c>
      <c r="F28" s="42">
        <v>1</v>
      </c>
      <c r="G28" s="45">
        <v>0.1586160809517061</v>
      </c>
      <c r="H28" s="46">
        <v>0</v>
      </c>
      <c r="I28" s="47">
        <v>2043</v>
      </c>
      <c r="J28" s="8">
        <f t="shared" si="0"/>
        <v>2043</v>
      </c>
      <c r="K28" s="8">
        <f t="shared" si="1"/>
        <v>2044</v>
      </c>
      <c r="L28" s="8">
        <f t="shared" si="2"/>
        <v>2083</v>
      </c>
      <c r="M28" s="8">
        <f t="shared" si="3"/>
        <v>40</v>
      </c>
      <c r="N28" s="8">
        <f t="shared" si="4"/>
        <v>0</v>
      </c>
      <c r="O28" s="48">
        <f t="shared" si="5"/>
        <v>3.2179194380074616</v>
      </c>
      <c r="P28" s="44">
        <v>3.2179194380074629</v>
      </c>
      <c r="Q28" s="49">
        <f t="shared" si="6"/>
        <v>0</v>
      </c>
      <c r="R28" s="48">
        <f t="shared" si="7"/>
        <v>3.1137487723471189</v>
      </c>
      <c r="S28" s="50">
        <f t="shared" si="8"/>
        <v>1.0334550643858849</v>
      </c>
      <c r="T28" s="45">
        <v>4.3600000000000003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</row>
    <row r="29" spans="1:35" x14ac:dyDescent="0.3">
      <c r="A29" s="15" t="s">
        <v>151</v>
      </c>
      <c r="B29" s="15" t="s">
        <v>146</v>
      </c>
      <c r="C29" s="42">
        <v>2</v>
      </c>
      <c r="D29" s="43">
        <v>2.0699999999999998</v>
      </c>
      <c r="E29" s="44">
        <v>2.9836078431372548</v>
      </c>
      <c r="F29" s="42">
        <v>2</v>
      </c>
      <c r="G29" s="45">
        <v>0.22790137536902921</v>
      </c>
      <c r="H29" s="46">
        <v>0</v>
      </c>
      <c r="I29" s="47">
        <v>2026</v>
      </c>
      <c r="J29" s="8">
        <f t="shared" si="0"/>
        <v>2027</v>
      </c>
      <c r="K29" s="8">
        <f t="shared" si="1"/>
        <v>2028</v>
      </c>
      <c r="L29" s="8">
        <f t="shared" si="2"/>
        <v>2067</v>
      </c>
      <c r="M29" s="8">
        <f t="shared" si="3"/>
        <v>40</v>
      </c>
      <c r="N29" s="8">
        <f t="shared" si="4"/>
        <v>0</v>
      </c>
      <c r="O29" s="48">
        <f t="shared" si="5"/>
        <v>6.1478753287197243</v>
      </c>
      <c r="P29" s="44">
        <v>6.1478753287197252</v>
      </c>
      <c r="Q29" s="49">
        <f t="shared" si="6"/>
        <v>0</v>
      </c>
      <c r="R29" s="48">
        <f t="shared" si="7"/>
        <v>2.9699880815071129</v>
      </c>
      <c r="S29" s="50">
        <f t="shared" si="8"/>
        <v>2.0700000000000003</v>
      </c>
      <c r="T29" s="45">
        <v>2.2890000000000001</v>
      </c>
      <c r="U29" s="45">
        <v>0.69460784313725488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</row>
    <row r="30" spans="1:35" x14ac:dyDescent="0.3">
      <c r="A30" s="15" t="s">
        <v>152</v>
      </c>
      <c r="B30" s="15" t="s">
        <v>146</v>
      </c>
      <c r="C30" s="42">
        <v>2</v>
      </c>
      <c r="D30" s="43">
        <v>1.49</v>
      </c>
      <c r="E30" s="44">
        <v>2.4198</v>
      </c>
      <c r="F30" s="42">
        <v>1</v>
      </c>
      <c r="G30" s="45">
        <v>0.13116756814301339</v>
      </c>
      <c r="H30" s="46">
        <v>0</v>
      </c>
      <c r="I30" s="47">
        <v>2037</v>
      </c>
      <c r="J30" s="8">
        <f t="shared" si="0"/>
        <v>2037</v>
      </c>
      <c r="K30" s="8">
        <f t="shared" si="1"/>
        <v>2038</v>
      </c>
      <c r="L30" s="8">
        <f t="shared" si="2"/>
        <v>2077</v>
      </c>
      <c r="M30" s="8">
        <f t="shared" si="3"/>
        <v>40</v>
      </c>
      <c r="N30" s="8">
        <f t="shared" si="4"/>
        <v>0</v>
      </c>
      <c r="O30" s="48">
        <f t="shared" si="5"/>
        <v>2.9501884006954175</v>
      </c>
      <c r="P30" s="44">
        <v>2.9501884006954171</v>
      </c>
      <c r="Q30" s="49">
        <f t="shared" si="6"/>
        <v>0</v>
      </c>
      <c r="R30" s="48">
        <f t="shared" si="7"/>
        <v>1.9461557019979412</v>
      </c>
      <c r="S30" s="50">
        <f t="shared" si="8"/>
        <v>1.5159056378000626</v>
      </c>
      <c r="T30" s="45">
        <v>2.4198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</row>
    <row r="31" spans="1:35" x14ac:dyDescent="0.3">
      <c r="A31" s="15" t="s">
        <v>153</v>
      </c>
      <c r="B31" s="15" t="s">
        <v>146</v>
      </c>
      <c r="C31" s="42">
        <v>2</v>
      </c>
      <c r="D31" s="43">
        <v>1.39</v>
      </c>
      <c r="E31" s="44">
        <v>2.0710000000000002</v>
      </c>
      <c r="F31" s="42">
        <v>1</v>
      </c>
      <c r="G31" s="45">
        <v>0.104726267448364</v>
      </c>
      <c r="H31" s="46">
        <v>0</v>
      </c>
      <c r="I31" s="47">
        <v>2037</v>
      </c>
      <c r="J31" s="8">
        <f t="shared" si="0"/>
        <v>2037</v>
      </c>
      <c r="K31" s="8">
        <f t="shared" si="1"/>
        <v>2038</v>
      </c>
      <c r="L31" s="8">
        <f t="shared" si="2"/>
        <v>2077</v>
      </c>
      <c r="M31" s="8">
        <f t="shared" si="3"/>
        <v>40</v>
      </c>
      <c r="N31" s="8">
        <f t="shared" si="4"/>
        <v>0</v>
      </c>
      <c r="O31" s="48">
        <f t="shared" si="5"/>
        <v>2.3554772254176779</v>
      </c>
      <c r="P31" s="44">
        <v>2.3554772254176788</v>
      </c>
      <c r="Q31" s="49">
        <f t="shared" si="6"/>
        <v>0</v>
      </c>
      <c r="R31" s="48">
        <f t="shared" si="7"/>
        <v>1.6656287539622021</v>
      </c>
      <c r="S31" s="50">
        <f t="shared" si="8"/>
        <v>1.4141670043906618</v>
      </c>
      <c r="T31" s="45">
        <v>2.0710000000000002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</row>
    <row r="32" spans="1:35" x14ac:dyDescent="0.3">
      <c r="A32" s="15" t="s">
        <v>154</v>
      </c>
      <c r="B32" s="15" t="s">
        <v>146</v>
      </c>
      <c r="C32" s="42">
        <v>2</v>
      </c>
      <c r="D32" s="43">
        <v>1.69</v>
      </c>
      <c r="E32" s="44">
        <v>1.817094117647059</v>
      </c>
      <c r="F32" s="42">
        <v>2</v>
      </c>
      <c r="G32" s="45">
        <v>0.1136407713911908</v>
      </c>
      <c r="H32" s="46">
        <v>0</v>
      </c>
      <c r="I32" s="47">
        <v>2026</v>
      </c>
      <c r="J32" s="8">
        <f t="shared" si="0"/>
        <v>2027</v>
      </c>
      <c r="K32" s="8">
        <f t="shared" si="1"/>
        <v>2028</v>
      </c>
      <c r="L32" s="8">
        <f t="shared" si="2"/>
        <v>2067</v>
      </c>
      <c r="M32" s="8">
        <f t="shared" si="3"/>
        <v>40</v>
      </c>
      <c r="N32" s="8">
        <f t="shared" si="4"/>
        <v>0</v>
      </c>
      <c r="O32" s="48">
        <f t="shared" si="5"/>
        <v>3.0655773517877747</v>
      </c>
      <c r="P32" s="44">
        <v>3.0655773517877729</v>
      </c>
      <c r="Q32" s="49">
        <f t="shared" si="6"/>
        <v>0</v>
      </c>
      <c r="R32" s="48">
        <f t="shared" si="7"/>
        <v>1.8139510957324108</v>
      </c>
      <c r="S32" s="50">
        <f t="shared" si="8"/>
        <v>1.6900000000000002</v>
      </c>
      <c r="T32" s="45">
        <v>1.6568000000000001</v>
      </c>
      <c r="U32" s="45">
        <v>0.16029411764705881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</row>
    <row r="33" spans="1:35" x14ac:dyDescent="0.3">
      <c r="A33" s="15" t="s">
        <v>155</v>
      </c>
      <c r="B33" s="15" t="s">
        <v>146</v>
      </c>
      <c r="C33" s="42">
        <v>2</v>
      </c>
      <c r="D33" s="43">
        <v>3.73</v>
      </c>
      <c r="E33" s="44">
        <v>1.385457098039216</v>
      </c>
      <c r="F33" s="42">
        <v>2</v>
      </c>
      <c r="G33" s="45">
        <v>0.19113378070053921</v>
      </c>
      <c r="H33" s="46">
        <v>0</v>
      </c>
      <c r="I33" s="47">
        <v>2026</v>
      </c>
      <c r="J33" s="8">
        <f t="shared" si="0"/>
        <v>2027</v>
      </c>
      <c r="K33" s="8">
        <f t="shared" si="1"/>
        <v>2028</v>
      </c>
      <c r="L33" s="8">
        <f t="shared" si="2"/>
        <v>2067</v>
      </c>
      <c r="M33" s="8">
        <f t="shared" si="3"/>
        <v>40</v>
      </c>
      <c r="N33" s="8">
        <f t="shared" si="4"/>
        <v>0</v>
      </c>
      <c r="O33" s="48">
        <f t="shared" si="5"/>
        <v>5.1560314322414467</v>
      </c>
      <c r="P33" s="44">
        <v>5.1560314322414484</v>
      </c>
      <c r="Q33" s="49">
        <f t="shared" si="6"/>
        <v>0</v>
      </c>
      <c r="R33" s="48">
        <f t="shared" si="7"/>
        <v>1.382314056901192</v>
      </c>
      <c r="S33" s="50">
        <f t="shared" si="8"/>
        <v>3.7300000000000004</v>
      </c>
      <c r="T33" s="45">
        <v>1.2251620000000001</v>
      </c>
      <c r="U33" s="45">
        <v>0.16029509803921571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</row>
    <row r="34" spans="1:35" x14ac:dyDescent="0.3">
      <c r="A34" s="15" t="s">
        <v>156</v>
      </c>
      <c r="B34" s="15" t="s">
        <v>146</v>
      </c>
      <c r="C34" s="42">
        <v>1</v>
      </c>
      <c r="D34" s="43">
        <v>1.67</v>
      </c>
      <c r="E34" s="44">
        <v>0.65400000000000003</v>
      </c>
      <c r="F34" s="42">
        <v>1</v>
      </c>
      <c r="G34" s="45">
        <v>3.9733328278402397E-2</v>
      </c>
      <c r="H34" s="46">
        <v>0</v>
      </c>
      <c r="I34" s="47">
        <v>2037</v>
      </c>
      <c r="J34" s="8">
        <f t="shared" si="0"/>
        <v>2037</v>
      </c>
      <c r="K34" s="8">
        <f t="shared" si="1"/>
        <v>2038</v>
      </c>
      <c r="L34" s="8">
        <f t="shared" si="2"/>
        <v>2077</v>
      </c>
      <c r="M34" s="8">
        <f t="shared" si="3"/>
        <v>40</v>
      </c>
      <c r="N34" s="8">
        <f t="shared" si="4"/>
        <v>0</v>
      </c>
      <c r="O34" s="48">
        <f t="shared" si="5"/>
        <v>0.89367216201003941</v>
      </c>
      <c r="P34" s="44">
        <v>0.89367216201003918</v>
      </c>
      <c r="Q34" s="49">
        <f t="shared" si="6"/>
        <v>0</v>
      </c>
      <c r="R34" s="48">
        <f t="shared" si="7"/>
        <v>0.52598802756701113</v>
      </c>
      <c r="S34" s="50">
        <f t="shared" si="8"/>
        <v>1.6990351779369828</v>
      </c>
      <c r="T34" s="45">
        <v>0.65400000000000003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</row>
    <row r="35" spans="1:35" x14ac:dyDescent="0.3">
      <c r="A35" s="15" t="s">
        <v>157</v>
      </c>
      <c r="B35" s="15" t="s">
        <v>146</v>
      </c>
      <c r="C35" s="42">
        <v>1</v>
      </c>
      <c r="D35" s="43">
        <v>1.4</v>
      </c>
      <c r="E35" s="44">
        <v>1.2198382352941179</v>
      </c>
      <c r="F35" s="42">
        <v>2</v>
      </c>
      <c r="G35" s="45">
        <v>6.2980831298727391E-2</v>
      </c>
      <c r="H35" s="46">
        <v>0</v>
      </c>
      <c r="I35" s="47">
        <v>2037</v>
      </c>
      <c r="J35" s="8">
        <f t="shared" si="0"/>
        <v>2038</v>
      </c>
      <c r="K35" s="8">
        <f t="shared" si="1"/>
        <v>2039</v>
      </c>
      <c r="L35" s="8">
        <f t="shared" si="2"/>
        <v>2078</v>
      </c>
      <c r="M35" s="8">
        <f t="shared" si="3"/>
        <v>40</v>
      </c>
      <c r="N35" s="8">
        <f t="shared" si="4"/>
        <v>0</v>
      </c>
      <c r="O35" s="48">
        <f t="shared" si="5"/>
        <v>1.3919475017972298</v>
      </c>
      <c r="P35" s="44">
        <v>1.39194750179723</v>
      </c>
      <c r="Q35" s="49">
        <f t="shared" si="6"/>
        <v>0</v>
      </c>
      <c r="R35" s="48">
        <f t="shared" si="7"/>
        <v>0.97601517360581824</v>
      </c>
      <c r="S35" s="50">
        <f t="shared" si="8"/>
        <v>1.4261535470342939</v>
      </c>
      <c r="T35" s="45">
        <v>0.89924999999999999</v>
      </c>
      <c r="U35" s="45">
        <v>0.32058823529411767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</row>
    <row r="36" spans="1:35" x14ac:dyDescent="0.3">
      <c r="A36" s="15" t="s">
        <v>158</v>
      </c>
      <c r="B36" s="15" t="s">
        <v>146</v>
      </c>
      <c r="C36" s="42">
        <v>1</v>
      </c>
      <c r="D36" s="43">
        <v>2.94</v>
      </c>
      <c r="E36" s="44">
        <v>0.32058823529411767</v>
      </c>
      <c r="F36" s="42">
        <v>1</v>
      </c>
      <c r="G36" s="45">
        <v>3.4289064558677647E-2</v>
      </c>
      <c r="H36" s="46">
        <v>0</v>
      </c>
      <c r="I36" s="47">
        <v>2026</v>
      </c>
      <c r="J36" s="8">
        <f t="shared" si="0"/>
        <v>2026</v>
      </c>
      <c r="K36" s="8">
        <f t="shared" si="1"/>
        <v>2027</v>
      </c>
      <c r="L36" s="8">
        <f t="shared" si="2"/>
        <v>2066</v>
      </c>
      <c r="M36" s="8">
        <f t="shared" si="3"/>
        <v>40</v>
      </c>
      <c r="N36" s="8">
        <f t="shared" si="4"/>
        <v>0</v>
      </c>
      <c r="O36" s="48">
        <f t="shared" si="5"/>
        <v>0.9425294117647055</v>
      </c>
      <c r="P36" s="44">
        <v>0.94252941176470595</v>
      </c>
      <c r="Q36" s="49">
        <f t="shared" si="6"/>
        <v>0</v>
      </c>
      <c r="R36" s="48">
        <f t="shared" si="7"/>
        <v>0.32058823529411767</v>
      </c>
      <c r="S36" s="50">
        <f t="shared" si="8"/>
        <v>2.9399999999999986</v>
      </c>
      <c r="T36" s="45">
        <v>0.32058823529411767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</row>
    <row r="37" spans="1:35" x14ac:dyDescent="0.3">
      <c r="A37" s="15" t="s">
        <v>159</v>
      </c>
      <c r="B37" s="15" t="s">
        <v>146</v>
      </c>
      <c r="C37" s="42">
        <v>1</v>
      </c>
      <c r="D37" s="43">
        <v>4.41</v>
      </c>
      <c r="E37" s="44">
        <v>0.32379411764705879</v>
      </c>
      <c r="F37" s="42">
        <v>2</v>
      </c>
      <c r="G37" s="45">
        <v>5.2419540775045792E-2</v>
      </c>
      <c r="H37" s="46">
        <v>0</v>
      </c>
      <c r="I37" s="47">
        <v>2031</v>
      </c>
      <c r="J37" s="8">
        <f t="shared" si="0"/>
        <v>2032</v>
      </c>
      <c r="K37" s="8">
        <f t="shared" si="1"/>
        <v>2033</v>
      </c>
      <c r="L37" s="8">
        <f t="shared" si="2"/>
        <v>2072</v>
      </c>
      <c r="M37" s="8">
        <f t="shared" si="3"/>
        <v>40</v>
      </c>
      <c r="N37" s="8">
        <f t="shared" si="4"/>
        <v>0</v>
      </c>
      <c r="O37" s="48">
        <f t="shared" si="5"/>
        <v>1.2893364045696569</v>
      </c>
      <c r="P37" s="44">
        <v>1.2893364045696569</v>
      </c>
      <c r="Q37" s="49">
        <f t="shared" si="6"/>
        <v>0</v>
      </c>
      <c r="R37" s="48">
        <f t="shared" si="7"/>
        <v>0.29042357661056606</v>
      </c>
      <c r="S37" s="50">
        <f t="shared" si="8"/>
        <v>4.4395032235917613</v>
      </c>
      <c r="T37" s="45">
        <v>0.16350000000000001</v>
      </c>
      <c r="U37" s="45">
        <v>0.16029411764705881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</row>
    <row r="38" spans="1:35" x14ac:dyDescent="0.3">
      <c r="A38" s="15" t="s">
        <v>160</v>
      </c>
      <c r="B38" s="15" t="s">
        <v>146</v>
      </c>
      <c r="C38" s="42">
        <v>1</v>
      </c>
      <c r="D38" s="43">
        <v>7</v>
      </c>
      <c r="E38" s="44">
        <v>0.32379411764705879</v>
      </c>
      <c r="F38" s="42">
        <v>2</v>
      </c>
      <c r="G38" s="45">
        <v>8.3205620277850459E-2</v>
      </c>
      <c r="H38" s="46">
        <v>0</v>
      </c>
      <c r="I38" s="47">
        <v>2026</v>
      </c>
      <c r="J38" s="8">
        <f t="shared" si="0"/>
        <v>2027</v>
      </c>
      <c r="K38" s="8">
        <f t="shared" si="1"/>
        <v>2028</v>
      </c>
      <c r="L38" s="8">
        <f t="shared" si="2"/>
        <v>2067</v>
      </c>
      <c r="M38" s="8">
        <f t="shared" si="3"/>
        <v>40</v>
      </c>
      <c r="N38" s="8">
        <f t="shared" si="4"/>
        <v>0</v>
      </c>
      <c r="O38" s="48">
        <f t="shared" si="5"/>
        <v>2.2445576701268739</v>
      </c>
      <c r="P38" s="44">
        <v>2.2445576701268748</v>
      </c>
      <c r="Q38" s="49">
        <f t="shared" si="6"/>
        <v>0</v>
      </c>
      <c r="R38" s="48">
        <f t="shared" si="7"/>
        <v>0.32065109573241057</v>
      </c>
      <c r="S38" s="50">
        <f t="shared" si="8"/>
        <v>7</v>
      </c>
      <c r="T38" s="45">
        <v>0.16350000000000001</v>
      </c>
      <c r="U38" s="45">
        <v>0.16029411764705881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</row>
    <row r="39" spans="1:35" x14ac:dyDescent="0.3">
      <c r="A39" s="15" t="s">
        <v>161</v>
      </c>
      <c r="B39" s="15" t="s">
        <v>146</v>
      </c>
      <c r="C39" s="42">
        <v>1</v>
      </c>
      <c r="D39" s="43">
        <v>2.08</v>
      </c>
      <c r="E39" s="44">
        <v>0.32379411764705879</v>
      </c>
      <c r="F39" s="42">
        <v>2</v>
      </c>
      <c r="G39" s="45">
        <v>2.472395573970413E-2</v>
      </c>
      <c r="H39" s="46">
        <v>0</v>
      </c>
      <c r="I39" s="47">
        <v>2032</v>
      </c>
      <c r="J39" s="8">
        <f t="shared" si="0"/>
        <v>2033</v>
      </c>
      <c r="K39" s="8">
        <f t="shared" si="1"/>
        <v>2034</v>
      </c>
      <c r="L39" s="8">
        <f t="shared" si="2"/>
        <v>2073</v>
      </c>
      <c r="M39" s="8">
        <f t="shared" si="3"/>
        <v>40</v>
      </c>
      <c r="N39" s="8">
        <f t="shared" si="4"/>
        <v>0</v>
      </c>
      <c r="O39" s="48">
        <f t="shared" si="5"/>
        <v>0.5971958690183764</v>
      </c>
      <c r="P39" s="44">
        <v>0.5971958690183764</v>
      </c>
      <c r="Q39" s="49">
        <f t="shared" si="6"/>
        <v>0</v>
      </c>
      <c r="R39" s="48">
        <f t="shared" si="7"/>
        <v>0.28472899667702556</v>
      </c>
      <c r="S39" s="50">
        <f t="shared" si="8"/>
        <v>2.0974185137026593</v>
      </c>
      <c r="T39" s="45">
        <v>0.16350000000000001</v>
      </c>
      <c r="U39" s="45">
        <v>0.16029411764705881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</row>
    <row r="40" spans="1:35" x14ac:dyDescent="0.3">
      <c r="A40" s="15" t="s">
        <v>162</v>
      </c>
      <c r="B40" s="15" t="s">
        <v>146</v>
      </c>
      <c r="C40" s="42">
        <v>4</v>
      </c>
      <c r="D40" s="43">
        <v>3.3</v>
      </c>
      <c r="E40" s="44">
        <v>15.455841599384851</v>
      </c>
      <c r="F40" s="42">
        <v>3</v>
      </c>
      <c r="G40" s="45">
        <v>1.8637615028381149</v>
      </c>
      <c r="H40" s="46">
        <v>0</v>
      </c>
      <c r="I40" s="47">
        <v>2026</v>
      </c>
      <c r="J40" s="8">
        <f t="shared" si="0"/>
        <v>2028</v>
      </c>
      <c r="K40" s="8">
        <f t="shared" si="1"/>
        <v>2029</v>
      </c>
      <c r="L40" s="8">
        <f t="shared" si="2"/>
        <v>2068</v>
      </c>
      <c r="M40" s="8">
        <f t="shared" si="3"/>
        <v>40</v>
      </c>
      <c r="N40" s="8">
        <f t="shared" si="4"/>
        <v>0</v>
      </c>
      <c r="O40" s="48">
        <f t="shared" si="5"/>
        <v>49.346087765197225</v>
      </c>
      <c r="P40" s="44">
        <v>49.346087765197218</v>
      </c>
      <c r="Q40" s="49">
        <f t="shared" si="6"/>
        <v>0</v>
      </c>
      <c r="R40" s="48">
        <f t="shared" si="7"/>
        <v>14.953359928847643</v>
      </c>
      <c r="S40" s="50">
        <f t="shared" si="8"/>
        <v>3.3000000000000003</v>
      </c>
      <c r="T40" s="45">
        <v>1.744</v>
      </c>
      <c r="U40" s="45">
        <v>1.5588235294117641</v>
      </c>
      <c r="V40" s="45">
        <v>12.15301806997309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</row>
    <row r="41" spans="1:35" x14ac:dyDescent="0.3">
      <c r="A41" s="15" t="s">
        <v>163</v>
      </c>
      <c r="B41" s="15" t="s">
        <v>146</v>
      </c>
      <c r="C41" s="42">
        <v>3</v>
      </c>
      <c r="D41" s="43">
        <v>3.38</v>
      </c>
      <c r="E41" s="44">
        <v>8.9736750000000001</v>
      </c>
      <c r="F41" s="42">
        <v>2</v>
      </c>
      <c r="G41" s="45">
        <v>1.120863456208409</v>
      </c>
      <c r="H41" s="46">
        <v>0</v>
      </c>
      <c r="I41" s="47">
        <v>2026</v>
      </c>
      <c r="J41" s="8">
        <f t="shared" si="0"/>
        <v>2027</v>
      </c>
      <c r="K41" s="8">
        <f t="shared" si="1"/>
        <v>2028</v>
      </c>
      <c r="L41" s="8">
        <f t="shared" si="2"/>
        <v>2067</v>
      </c>
      <c r="M41" s="8">
        <f t="shared" si="3"/>
        <v>40</v>
      </c>
      <c r="N41" s="8">
        <f t="shared" si="4"/>
        <v>0</v>
      </c>
      <c r="O41" s="48">
        <f t="shared" si="5"/>
        <v>30.236451088235285</v>
      </c>
      <c r="P41" s="44">
        <v>30.236451088235281</v>
      </c>
      <c r="Q41" s="49">
        <f t="shared" si="6"/>
        <v>0</v>
      </c>
      <c r="R41" s="48">
        <f t="shared" si="7"/>
        <v>8.945695588235294</v>
      </c>
      <c r="S41" s="50">
        <f t="shared" si="8"/>
        <v>3.379999999999999</v>
      </c>
      <c r="T41" s="45">
        <v>7.5467250000000003</v>
      </c>
      <c r="U41" s="45">
        <v>1.4269499999999999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</row>
    <row r="42" spans="1:35" x14ac:dyDescent="0.3">
      <c r="A42" s="15" t="s">
        <v>164</v>
      </c>
      <c r="B42" s="15" t="s">
        <v>146</v>
      </c>
      <c r="C42" s="42">
        <v>3</v>
      </c>
      <c r="D42" s="43">
        <v>1.84</v>
      </c>
      <c r="E42" s="44">
        <v>8.6772549019607847</v>
      </c>
      <c r="F42" s="42">
        <v>2</v>
      </c>
      <c r="G42" s="45">
        <v>0.58900578244406065</v>
      </c>
      <c r="H42" s="46">
        <v>0</v>
      </c>
      <c r="I42" s="47">
        <v>2037</v>
      </c>
      <c r="J42" s="8">
        <f t="shared" si="0"/>
        <v>2038</v>
      </c>
      <c r="K42" s="8">
        <f t="shared" si="1"/>
        <v>2039</v>
      </c>
      <c r="L42" s="8">
        <f t="shared" si="2"/>
        <v>2078</v>
      </c>
      <c r="M42" s="8">
        <f t="shared" si="3"/>
        <v>40</v>
      </c>
      <c r="N42" s="8">
        <f t="shared" si="4"/>
        <v>0</v>
      </c>
      <c r="O42" s="48">
        <f t="shared" si="5"/>
        <v>13.017693010884397</v>
      </c>
      <c r="P42" s="44">
        <v>13.0176930108844</v>
      </c>
      <c r="Q42" s="49">
        <f t="shared" si="6"/>
        <v>0</v>
      </c>
      <c r="R42" s="48">
        <f t="shared" si="7"/>
        <v>6.9450911803446314</v>
      </c>
      <c r="S42" s="50">
        <f t="shared" si="8"/>
        <v>1.8743732332450715</v>
      </c>
      <c r="T42" s="45">
        <v>6.54</v>
      </c>
      <c r="U42" s="45">
        <v>2.1372549019607838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</row>
    <row r="43" spans="1:35" x14ac:dyDescent="0.3">
      <c r="A43" s="15" t="s">
        <v>165</v>
      </c>
      <c r="B43" s="15" t="s">
        <v>146</v>
      </c>
      <c r="C43" s="42">
        <v>5</v>
      </c>
      <c r="D43" s="43">
        <v>1.95</v>
      </c>
      <c r="E43" s="44">
        <v>81.978948519046213</v>
      </c>
      <c r="F43" s="42">
        <v>4</v>
      </c>
      <c r="G43" s="45">
        <v>5.9459782639006296</v>
      </c>
      <c r="H43" s="46">
        <v>0</v>
      </c>
      <c r="I43" s="47">
        <v>2036</v>
      </c>
      <c r="J43" s="8">
        <f t="shared" si="0"/>
        <v>2039</v>
      </c>
      <c r="K43" s="8">
        <f t="shared" si="1"/>
        <v>2040</v>
      </c>
      <c r="L43" s="8">
        <f t="shared" si="2"/>
        <v>2079</v>
      </c>
      <c r="M43" s="8">
        <f t="shared" si="3"/>
        <v>40</v>
      </c>
      <c r="N43" s="8">
        <f t="shared" si="4"/>
        <v>0</v>
      </c>
      <c r="O43" s="48">
        <f t="shared" si="5"/>
        <v>129.14716916817588</v>
      </c>
      <c r="P43" s="44">
        <v>129.14716916817591</v>
      </c>
      <c r="Q43" s="49">
        <f t="shared" si="6"/>
        <v>0</v>
      </c>
      <c r="R43" s="48">
        <f t="shared" si="7"/>
        <v>65.009984375265091</v>
      </c>
      <c r="S43" s="50">
        <f t="shared" si="8"/>
        <v>1.9865743763709258</v>
      </c>
      <c r="T43" s="45">
        <v>2</v>
      </c>
      <c r="U43" s="45">
        <v>39.2156862745098</v>
      </c>
      <c r="V43" s="45">
        <v>20.583429450211462</v>
      </c>
      <c r="W43" s="45">
        <v>20.179832794324959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</row>
    <row r="44" spans="1:35" x14ac:dyDescent="0.3">
      <c r="A44" s="15" t="s">
        <v>166</v>
      </c>
      <c r="B44" s="15" t="s">
        <v>146</v>
      </c>
      <c r="C44" s="42">
        <v>4</v>
      </c>
      <c r="D44" s="43">
        <v>1</v>
      </c>
      <c r="E44" s="44">
        <v>19.834257117647059</v>
      </c>
      <c r="F44" s="42">
        <v>2</v>
      </c>
      <c r="G44" s="45">
        <v>0.73430633530350509</v>
      </c>
      <c r="H44" s="46">
        <v>0</v>
      </c>
      <c r="I44" s="47">
        <v>2042</v>
      </c>
      <c r="J44" s="8">
        <f t="shared" si="0"/>
        <v>2043</v>
      </c>
      <c r="K44" s="8">
        <f t="shared" si="1"/>
        <v>2044</v>
      </c>
      <c r="L44" s="8">
        <f t="shared" si="2"/>
        <v>2083</v>
      </c>
      <c r="M44" s="8">
        <f t="shared" si="3"/>
        <v>40</v>
      </c>
      <c r="N44" s="8">
        <f t="shared" si="4"/>
        <v>0</v>
      </c>
      <c r="O44" s="48">
        <f t="shared" si="5"/>
        <v>14.897219850896576</v>
      </c>
      <c r="P44" s="44">
        <v>14.897219850896571</v>
      </c>
      <c r="Q44" s="49">
        <f t="shared" si="6"/>
        <v>0</v>
      </c>
      <c r="R44" s="48">
        <f t="shared" si="7"/>
        <v>14.429544863270793</v>
      </c>
      <c r="S44" s="50">
        <f t="shared" si="8"/>
        <v>1.0324109313257837</v>
      </c>
      <c r="T44" s="45">
        <v>18.529463</v>
      </c>
      <c r="U44" s="45">
        <v>1.304794117647059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45">
        <v>0</v>
      </c>
      <c r="AI44" s="45">
        <v>0</v>
      </c>
    </row>
    <row r="45" spans="1:35" x14ac:dyDescent="0.3">
      <c r="A45" s="15" t="s">
        <v>167</v>
      </c>
      <c r="B45" s="15" t="s">
        <v>146</v>
      </c>
      <c r="C45" s="42">
        <v>4</v>
      </c>
      <c r="D45" s="43">
        <v>1</v>
      </c>
      <c r="E45" s="44">
        <v>25.716807568627448</v>
      </c>
      <c r="F45" s="42">
        <v>2</v>
      </c>
      <c r="G45" s="45">
        <v>0.93856239719028034</v>
      </c>
      <c r="H45" s="46">
        <v>0</v>
      </c>
      <c r="I45" s="47">
        <v>2042</v>
      </c>
      <c r="J45" s="8">
        <f t="shared" si="0"/>
        <v>2043</v>
      </c>
      <c r="K45" s="8">
        <f t="shared" si="1"/>
        <v>2044</v>
      </c>
      <c r="L45" s="8">
        <f t="shared" si="2"/>
        <v>2083</v>
      </c>
      <c r="M45" s="8">
        <f t="shared" si="3"/>
        <v>40</v>
      </c>
      <c r="N45" s="8">
        <f t="shared" si="4"/>
        <v>0</v>
      </c>
      <c r="O45" s="48">
        <f t="shared" si="5"/>
        <v>19.041059163610594</v>
      </c>
      <c r="P45" s="44">
        <v>19.041059163610601</v>
      </c>
      <c r="Q45" s="49">
        <f t="shared" si="6"/>
        <v>0</v>
      </c>
      <c r="R45" s="48">
        <f t="shared" si="7"/>
        <v>18.44329480235044</v>
      </c>
      <c r="S45" s="50">
        <f t="shared" si="8"/>
        <v>1.0324109313257832</v>
      </c>
      <c r="T45" s="45">
        <v>5.4128860000000003</v>
      </c>
      <c r="U45" s="45">
        <v>20.303921568627452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0</v>
      </c>
      <c r="AI45" s="45">
        <v>0</v>
      </c>
    </row>
    <row r="46" spans="1:35" x14ac:dyDescent="0.3">
      <c r="A46" s="15" t="s">
        <v>168</v>
      </c>
      <c r="B46" s="15" t="s">
        <v>146</v>
      </c>
      <c r="C46" s="42">
        <v>2</v>
      </c>
      <c r="D46" s="43">
        <v>2.15</v>
      </c>
      <c r="E46" s="44">
        <v>1.4044049999999999</v>
      </c>
      <c r="F46" s="42">
        <v>2</v>
      </c>
      <c r="G46" s="45">
        <v>0.11084509877107809</v>
      </c>
      <c r="H46" s="46">
        <v>0</v>
      </c>
      <c r="I46" s="47">
        <v>2031</v>
      </c>
      <c r="J46" s="8">
        <f t="shared" si="0"/>
        <v>2032</v>
      </c>
      <c r="K46" s="8">
        <f t="shared" si="1"/>
        <v>2033</v>
      </c>
      <c r="L46" s="8">
        <f t="shared" si="2"/>
        <v>2072</v>
      </c>
      <c r="M46" s="8">
        <f t="shared" si="3"/>
        <v>40</v>
      </c>
      <c r="N46" s="8">
        <f t="shared" si="4"/>
        <v>0</v>
      </c>
      <c r="O46" s="48">
        <f t="shared" si="5"/>
        <v>2.7263997166054068</v>
      </c>
      <c r="P46" s="44">
        <v>2.7263997166054059</v>
      </c>
      <c r="Q46" s="49">
        <f t="shared" si="6"/>
        <v>0</v>
      </c>
      <c r="R46" s="48">
        <f t="shared" si="7"/>
        <v>1.2596656359098839</v>
      </c>
      <c r="S46" s="50">
        <f t="shared" si="8"/>
        <v>2.1643836577601556</v>
      </c>
      <c r="T46" s="45">
        <v>0.70915499999999998</v>
      </c>
      <c r="U46" s="45">
        <v>0.69525000000000003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</row>
    <row r="47" spans="1:35" x14ac:dyDescent="0.3">
      <c r="A47" s="15" t="s">
        <v>169</v>
      </c>
      <c r="B47" s="15" t="s">
        <v>146</v>
      </c>
      <c r="C47" s="42">
        <v>1</v>
      </c>
      <c r="D47" s="43">
        <v>1</v>
      </c>
      <c r="E47" s="44">
        <v>5.45E-2</v>
      </c>
      <c r="F47" s="42">
        <v>1</v>
      </c>
      <c r="G47" s="45">
        <v>1.9827010118963271E-3</v>
      </c>
      <c r="H47" s="46">
        <v>0</v>
      </c>
      <c r="I47" s="47">
        <v>2031</v>
      </c>
      <c r="J47" s="8">
        <f t="shared" si="0"/>
        <v>2031</v>
      </c>
      <c r="K47" s="8">
        <f t="shared" si="1"/>
        <v>2032</v>
      </c>
      <c r="L47" s="8">
        <f t="shared" si="2"/>
        <v>2071</v>
      </c>
      <c r="M47" s="8">
        <f t="shared" si="3"/>
        <v>40</v>
      </c>
      <c r="N47" s="8">
        <f t="shared" si="4"/>
        <v>0</v>
      </c>
      <c r="O47" s="48">
        <f t="shared" si="5"/>
        <v>4.9665483714078938E-2</v>
      </c>
      <c r="P47" s="44">
        <v>4.9665483714078952E-2</v>
      </c>
      <c r="Q47" s="49">
        <f t="shared" si="6"/>
        <v>0</v>
      </c>
      <c r="R47" s="48">
        <f t="shared" si="7"/>
        <v>4.9362329135730409E-2</v>
      </c>
      <c r="S47" s="50">
        <f t="shared" si="8"/>
        <v>1.0061414156028772</v>
      </c>
      <c r="T47" s="45">
        <v>5.45E-2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45">
        <v>0</v>
      </c>
      <c r="AI47" s="45">
        <v>0</v>
      </c>
    </row>
    <row r="48" spans="1:35" x14ac:dyDescent="0.3">
      <c r="A48" s="15" t="s">
        <v>170</v>
      </c>
      <c r="B48" s="15" t="s">
        <v>146</v>
      </c>
      <c r="C48" s="42">
        <v>1</v>
      </c>
      <c r="D48" s="43">
        <v>1.52</v>
      </c>
      <c r="E48" s="44">
        <v>3.8150000000000003E-2</v>
      </c>
      <c r="F48" s="42">
        <v>1</v>
      </c>
      <c r="G48" s="45">
        <v>2.1095938766576929E-3</v>
      </c>
      <c r="H48" s="46">
        <v>0</v>
      </c>
      <c r="I48" s="47">
        <v>2026</v>
      </c>
      <c r="J48" s="8">
        <f t="shared" si="0"/>
        <v>2026</v>
      </c>
      <c r="K48" s="8">
        <f t="shared" si="1"/>
        <v>2027</v>
      </c>
      <c r="L48" s="8">
        <f t="shared" si="2"/>
        <v>2066</v>
      </c>
      <c r="M48" s="8">
        <f t="shared" si="3"/>
        <v>40</v>
      </c>
      <c r="N48" s="8">
        <f t="shared" si="4"/>
        <v>0</v>
      </c>
      <c r="O48" s="48">
        <f t="shared" si="5"/>
        <v>5.7988000000000026E-2</v>
      </c>
      <c r="P48" s="44">
        <v>5.7987999999999998E-2</v>
      </c>
      <c r="Q48" s="49">
        <f t="shared" si="6"/>
        <v>0</v>
      </c>
      <c r="R48" s="48">
        <f t="shared" si="7"/>
        <v>3.8150000000000003E-2</v>
      </c>
      <c r="S48" s="50">
        <f t="shared" si="8"/>
        <v>1.5200000000000005</v>
      </c>
      <c r="T48" s="45">
        <v>3.8150000000000003E-2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</row>
    <row r="49" spans="1:35" x14ac:dyDescent="0.3">
      <c r="A49" s="15" t="s">
        <v>171</v>
      </c>
      <c r="B49" s="15" t="s">
        <v>146</v>
      </c>
      <c r="C49" s="42">
        <v>1</v>
      </c>
      <c r="D49" s="43">
        <v>1</v>
      </c>
      <c r="E49" s="44">
        <v>3.27E-2</v>
      </c>
      <c r="F49" s="42">
        <v>1</v>
      </c>
      <c r="G49" s="45">
        <v>1.1896206071377959E-3</v>
      </c>
      <c r="H49" s="46">
        <v>0</v>
      </c>
      <c r="I49" s="47">
        <v>2026</v>
      </c>
      <c r="J49" s="8">
        <f t="shared" si="0"/>
        <v>2026</v>
      </c>
      <c r="K49" s="8">
        <f t="shared" si="1"/>
        <v>2027</v>
      </c>
      <c r="L49" s="8">
        <f t="shared" si="2"/>
        <v>2066</v>
      </c>
      <c r="M49" s="8">
        <f t="shared" si="3"/>
        <v>40</v>
      </c>
      <c r="N49" s="8">
        <f t="shared" si="4"/>
        <v>0</v>
      </c>
      <c r="O49" s="48">
        <f t="shared" si="5"/>
        <v>3.2699999999999986E-2</v>
      </c>
      <c r="P49" s="44">
        <v>3.2699999999999993E-2</v>
      </c>
      <c r="Q49" s="49">
        <f t="shared" si="6"/>
        <v>0</v>
      </c>
      <c r="R49" s="48">
        <f t="shared" si="7"/>
        <v>3.27E-2</v>
      </c>
      <c r="S49" s="50">
        <f t="shared" si="8"/>
        <v>0.99999999999999956</v>
      </c>
      <c r="T49" s="45">
        <v>3.27E-2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5">
        <v>0</v>
      </c>
      <c r="AH49" s="45">
        <v>0</v>
      </c>
      <c r="AI49" s="45">
        <v>0</v>
      </c>
    </row>
    <row r="50" spans="1:35" x14ac:dyDescent="0.3">
      <c r="A50" s="15" t="s">
        <v>172</v>
      </c>
      <c r="B50" s="15" t="s">
        <v>146</v>
      </c>
      <c r="C50" s="42">
        <v>2</v>
      </c>
      <c r="D50" s="43">
        <v>1.58</v>
      </c>
      <c r="E50" s="44">
        <v>2.8349570710115941</v>
      </c>
      <c r="F50" s="42">
        <v>2</v>
      </c>
      <c r="G50" s="45">
        <v>0.16472886716410709</v>
      </c>
      <c r="H50" s="46">
        <v>0</v>
      </c>
      <c r="I50" s="47">
        <v>2037</v>
      </c>
      <c r="J50" s="8">
        <f t="shared" si="0"/>
        <v>2038</v>
      </c>
      <c r="K50" s="8">
        <f t="shared" si="1"/>
        <v>2039</v>
      </c>
      <c r="L50" s="8">
        <f t="shared" si="2"/>
        <v>2078</v>
      </c>
      <c r="M50" s="8">
        <f t="shared" si="3"/>
        <v>40</v>
      </c>
      <c r="N50" s="8">
        <f t="shared" si="4"/>
        <v>0</v>
      </c>
      <c r="O50" s="48">
        <f t="shared" si="5"/>
        <v>3.6406940079179257</v>
      </c>
      <c r="P50" s="44">
        <v>3.6406940079179262</v>
      </c>
      <c r="Q50" s="49">
        <f t="shared" si="6"/>
        <v>0</v>
      </c>
      <c r="R50" s="48">
        <f t="shared" si="7"/>
        <v>2.2619804200812159</v>
      </c>
      <c r="S50" s="50">
        <f t="shared" si="8"/>
        <v>1.6095161459387024</v>
      </c>
      <c r="T50" s="45">
        <v>1.689051810877459</v>
      </c>
      <c r="U50" s="45">
        <v>1.145905260134134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5">
        <v>0</v>
      </c>
      <c r="AH50" s="45">
        <v>0</v>
      </c>
      <c r="AI50" s="45">
        <v>0</v>
      </c>
    </row>
    <row r="51" spans="1:35" x14ac:dyDescent="0.3">
      <c r="A51" s="15" t="s">
        <v>173</v>
      </c>
      <c r="B51" s="15" t="s">
        <v>146</v>
      </c>
      <c r="C51" s="42">
        <v>1</v>
      </c>
      <c r="D51" s="43">
        <v>7</v>
      </c>
      <c r="E51" s="44">
        <v>1.006</v>
      </c>
      <c r="F51" s="42">
        <v>2</v>
      </c>
      <c r="G51" s="45">
        <v>0.25748490235329041</v>
      </c>
      <c r="H51" s="46">
        <v>0</v>
      </c>
      <c r="I51" s="47">
        <v>2026</v>
      </c>
      <c r="J51" s="8">
        <f t="shared" si="0"/>
        <v>2027</v>
      </c>
      <c r="K51" s="8">
        <f t="shared" si="1"/>
        <v>2028</v>
      </c>
      <c r="L51" s="8">
        <f t="shared" si="2"/>
        <v>2067</v>
      </c>
      <c r="M51" s="8">
        <f t="shared" si="3"/>
        <v>40</v>
      </c>
      <c r="N51" s="8">
        <f t="shared" si="4"/>
        <v>0</v>
      </c>
      <c r="O51" s="48">
        <f t="shared" si="5"/>
        <v>6.945921568627452</v>
      </c>
      <c r="P51" s="44">
        <v>6.9459215686274538</v>
      </c>
      <c r="Q51" s="49">
        <f t="shared" si="6"/>
        <v>0</v>
      </c>
      <c r="R51" s="48">
        <f t="shared" si="7"/>
        <v>0.9922745098039214</v>
      </c>
      <c r="S51" s="50">
        <f t="shared" si="8"/>
        <v>7.0000000000000027</v>
      </c>
      <c r="T51" s="45">
        <v>0.30599999999999999</v>
      </c>
      <c r="U51" s="45">
        <v>0.7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</row>
    <row r="52" spans="1:35" x14ac:dyDescent="0.3">
      <c r="A52" s="15" t="s">
        <v>174</v>
      </c>
      <c r="B52" s="15" t="s">
        <v>146</v>
      </c>
      <c r="C52" s="42">
        <v>4</v>
      </c>
      <c r="D52" s="43">
        <v>3.32</v>
      </c>
      <c r="E52" s="44">
        <v>21.83713936824558</v>
      </c>
      <c r="F52" s="42">
        <v>8</v>
      </c>
      <c r="G52" s="45">
        <v>2.7611007066820372</v>
      </c>
      <c r="H52" s="46">
        <v>0</v>
      </c>
      <c r="I52" s="47">
        <v>2027</v>
      </c>
      <c r="J52" s="8">
        <f t="shared" si="0"/>
        <v>2034</v>
      </c>
      <c r="K52" s="8">
        <f t="shared" si="1"/>
        <v>2035</v>
      </c>
      <c r="L52" s="8">
        <f t="shared" si="2"/>
        <v>2074</v>
      </c>
      <c r="M52" s="8">
        <f t="shared" si="3"/>
        <v>40</v>
      </c>
      <c r="N52" s="8">
        <f t="shared" si="4"/>
        <v>0</v>
      </c>
      <c r="O52" s="48">
        <f t="shared" si="5"/>
        <v>65.502527345920981</v>
      </c>
      <c r="P52" s="44">
        <v>65.502527345920981</v>
      </c>
      <c r="Q52" s="49">
        <f t="shared" si="6"/>
        <v>0</v>
      </c>
      <c r="R52" s="48">
        <f t="shared" si="7"/>
        <v>19.694403390752523</v>
      </c>
      <c r="S52" s="50">
        <f t="shared" si="8"/>
        <v>3.3259462623111289</v>
      </c>
      <c r="T52" s="45">
        <v>0.27500000000000002</v>
      </c>
      <c r="U52" s="45">
        <v>2.450980392156862</v>
      </c>
      <c r="V52" s="45">
        <v>2.402921953094963</v>
      </c>
      <c r="W52" s="45">
        <v>2.3558058363676109</v>
      </c>
      <c r="X52" s="45">
        <v>3.6953817041060568</v>
      </c>
      <c r="Y52" s="45">
        <v>3.6229232393196629</v>
      </c>
      <c r="Z52" s="45">
        <v>3.5518855287447679</v>
      </c>
      <c r="AA52" s="45">
        <v>3.4822407144556542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5">
        <v>0</v>
      </c>
      <c r="AH52" s="45">
        <v>0</v>
      </c>
      <c r="AI52" s="45">
        <v>0</v>
      </c>
    </row>
    <row r="53" spans="1:35" x14ac:dyDescent="0.3">
      <c r="A53" s="15" t="s">
        <v>175</v>
      </c>
      <c r="B53" s="15" t="s">
        <v>146</v>
      </c>
      <c r="C53" s="42">
        <v>5</v>
      </c>
      <c r="D53" s="43">
        <v>2.1800000000000002</v>
      </c>
      <c r="E53" s="44">
        <v>52.075214674444112</v>
      </c>
      <c r="F53" s="42">
        <v>5</v>
      </c>
      <c r="G53" s="45">
        <v>4.2990494521558889</v>
      </c>
      <c r="H53" s="46">
        <v>0</v>
      </c>
      <c r="I53" s="47">
        <v>2032</v>
      </c>
      <c r="J53" s="8">
        <f t="shared" si="0"/>
        <v>2036</v>
      </c>
      <c r="K53" s="8">
        <f t="shared" si="1"/>
        <v>2037</v>
      </c>
      <c r="L53" s="8">
        <f t="shared" si="2"/>
        <v>2076</v>
      </c>
      <c r="M53" s="8">
        <f t="shared" si="3"/>
        <v>40</v>
      </c>
      <c r="N53" s="8">
        <f t="shared" si="4"/>
        <v>0</v>
      </c>
      <c r="O53" s="48">
        <f t="shared" si="5"/>
        <v>98.414597643340258</v>
      </c>
      <c r="P53" s="44">
        <v>98.414597643340286</v>
      </c>
      <c r="Q53" s="49">
        <f t="shared" si="6"/>
        <v>0</v>
      </c>
      <c r="R53" s="48">
        <f t="shared" si="7"/>
        <v>44.677207783885933</v>
      </c>
      <c r="S53" s="50">
        <f t="shared" si="8"/>
        <v>2.2027920392741329</v>
      </c>
      <c r="T53" s="45">
        <v>12.352051914285839</v>
      </c>
      <c r="U53" s="45">
        <v>7.6884717060807448</v>
      </c>
      <c r="V53" s="45">
        <v>14.482631265921571</v>
      </c>
      <c r="W53" s="45">
        <v>15.60758580017275</v>
      </c>
      <c r="X53" s="45">
        <v>1.9444739879831969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45">
        <v>0</v>
      </c>
      <c r="AI53" s="45">
        <v>0</v>
      </c>
    </row>
    <row r="54" spans="1:35" x14ac:dyDescent="0.3">
      <c r="A54" s="15" t="s">
        <v>176</v>
      </c>
      <c r="B54" s="15" t="s">
        <v>146</v>
      </c>
      <c r="C54" s="42">
        <v>2</v>
      </c>
      <c r="D54" s="43">
        <v>1.1299999999999999</v>
      </c>
      <c r="E54" s="44">
        <v>3.056</v>
      </c>
      <c r="F54" s="42">
        <v>2</v>
      </c>
      <c r="G54" s="45">
        <v>0.1261730536150158</v>
      </c>
      <c r="H54" s="46">
        <v>0</v>
      </c>
      <c r="I54" s="47">
        <v>2041</v>
      </c>
      <c r="J54" s="8">
        <f t="shared" si="0"/>
        <v>2042</v>
      </c>
      <c r="K54" s="8">
        <f t="shared" si="1"/>
        <v>2043</v>
      </c>
      <c r="L54" s="8">
        <f t="shared" si="2"/>
        <v>2082</v>
      </c>
      <c r="M54" s="8">
        <f t="shared" si="3"/>
        <v>40</v>
      </c>
      <c r="N54" s="8">
        <f t="shared" si="4"/>
        <v>0</v>
      </c>
      <c r="O54" s="48">
        <f t="shared" si="5"/>
        <v>2.6032412876795434</v>
      </c>
      <c r="P54" s="44">
        <v>2.6032412876795452</v>
      </c>
      <c r="Q54" s="49">
        <f t="shared" si="6"/>
        <v>0</v>
      </c>
      <c r="R54" s="48">
        <f t="shared" si="7"/>
        <v>2.2380186423905162</v>
      </c>
      <c r="S54" s="50">
        <f t="shared" si="8"/>
        <v>1.1631901711501913</v>
      </c>
      <c r="T54" s="45">
        <v>0.81599999999999995</v>
      </c>
      <c r="U54" s="45">
        <v>2.2400000000000002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45">
        <v>0</v>
      </c>
      <c r="AH54" s="45">
        <v>0</v>
      </c>
      <c r="AI54" s="45">
        <v>0</v>
      </c>
    </row>
    <row r="55" spans="1:35" x14ac:dyDescent="0.3">
      <c r="A55" s="15" t="s">
        <v>177</v>
      </c>
      <c r="B55" s="15" t="s">
        <v>146</v>
      </c>
      <c r="C55" s="42">
        <v>4</v>
      </c>
      <c r="D55" s="43">
        <v>1.85</v>
      </c>
      <c r="E55" s="44">
        <v>25.84105745098039</v>
      </c>
      <c r="F55" s="42">
        <v>2</v>
      </c>
      <c r="G55" s="45">
        <v>1.756069835490772</v>
      </c>
      <c r="H55" s="46">
        <v>0</v>
      </c>
      <c r="I55" s="47">
        <v>2037</v>
      </c>
      <c r="J55" s="8">
        <f t="shared" si="0"/>
        <v>2038</v>
      </c>
      <c r="K55" s="8">
        <f t="shared" si="1"/>
        <v>2039</v>
      </c>
      <c r="L55" s="8">
        <f t="shared" si="2"/>
        <v>2078</v>
      </c>
      <c r="M55" s="8">
        <f t="shared" si="3"/>
        <v>40</v>
      </c>
      <c r="N55" s="8">
        <f t="shared" si="4"/>
        <v>0</v>
      </c>
      <c r="O55" s="48">
        <f t="shared" si="5"/>
        <v>38.811126656917338</v>
      </c>
      <c r="P55" s="44">
        <v>38.811126656917338</v>
      </c>
      <c r="Q55" s="49">
        <f t="shared" si="6"/>
        <v>0</v>
      </c>
      <c r="R55" s="48">
        <f t="shared" si="7"/>
        <v>20.594263777586228</v>
      </c>
      <c r="S55" s="50">
        <f t="shared" si="8"/>
        <v>1.8845600442953168</v>
      </c>
      <c r="T55" s="45">
        <v>13.87243</v>
      </c>
      <c r="U55" s="45">
        <v>11.96862745098039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45">
        <v>0</v>
      </c>
      <c r="AI55" s="45">
        <v>0</v>
      </c>
    </row>
    <row r="56" spans="1:35" x14ac:dyDescent="0.3">
      <c r="A56" s="15" t="s">
        <v>178</v>
      </c>
      <c r="B56" s="15" t="s">
        <v>146</v>
      </c>
      <c r="C56" s="42">
        <v>1</v>
      </c>
      <c r="D56" s="43">
        <v>5.43</v>
      </c>
      <c r="E56" s="44">
        <v>5.3249999999999999E-2</v>
      </c>
      <c r="F56" s="42">
        <v>1</v>
      </c>
      <c r="G56" s="45">
        <v>1.0519138363987039E-2</v>
      </c>
      <c r="H56" s="46">
        <v>0</v>
      </c>
      <c r="I56" s="47">
        <v>2026</v>
      </c>
      <c r="J56" s="8">
        <f t="shared" ref="J56:J87" si="9">I56+F56-1</f>
        <v>2026</v>
      </c>
      <c r="K56" s="8">
        <f t="shared" ref="K56:K87" si="10">I56+F56</f>
        <v>2027</v>
      </c>
      <c r="L56" s="8">
        <f t="shared" ref="L56:L87" si="11">K56+$B$9-1</f>
        <v>2066</v>
      </c>
      <c r="M56" s="8">
        <f t="shared" ref="M56:M87" si="12">MAX(0,MIN(L56,2085)-K56+1)</f>
        <v>40</v>
      </c>
      <c r="N56" s="8">
        <f t="shared" ref="N56:N87" si="13">$B$9-M56</f>
        <v>0</v>
      </c>
      <c r="O56" s="48">
        <f t="shared" ref="O56:O87" si="14">SUMPRODUCT(C267:BJ267,$C$129:$BJ$129)</f>
        <v>0.28914750000000017</v>
      </c>
      <c r="P56" s="44">
        <v>0.28914750000000011</v>
      </c>
      <c r="Q56" s="49">
        <f t="shared" ref="Q56:Q87" si="15">O56-P56</f>
        <v>0</v>
      </c>
      <c r="R56" s="48">
        <f t="shared" ref="R56:R87" si="16">SUMPRODUCT(C164:BJ164,$C$129:$BJ$129)</f>
        <v>5.3249999999999999E-2</v>
      </c>
      <c r="S56" s="50">
        <f t="shared" ref="S56:S87" si="17">IF(R56=0,0,O56/R56)</f>
        <v>5.4300000000000033</v>
      </c>
      <c r="T56" s="45">
        <v>5.3249999999999999E-2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</row>
    <row r="57" spans="1:35" x14ac:dyDescent="0.3">
      <c r="A57" s="15" t="s">
        <v>179</v>
      </c>
      <c r="B57" s="15" t="s">
        <v>146</v>
      </c>
      <c r="C57" s="42">
        <v>2</v>
      </c>
      <c r="D57" s="43">
        <v>1.19</v>
      </c>
      <c r="E57" s="44">
        <v>4.2647690968858134</v>
      </c>
      <c r="F57" s="42">
        <v>4</v>
      </c>
      <c r="G57" s="45">
        <v>0.18831518439406331</v>
      </c>
      <c r="H57" s="46">
        <v>0</v>
      </c>
      <c r="I57" s="47">
        <v>2039</v>
      </c>
      <c r="J57" s="8">
        <f t="shared" si="9"/>
        <v>2042</v>
      </c>
      <c r="K57" s="8">
        <f t="shared" si="10"/>
        <v>2043</v>
      </c>
      <c r="L57" s="8">
        <f t="shared" si="11"/>
        <v>2082</v>
      </c>
      <c r="M57" s="8">
        <f t="shared" si="12"/>
        <v>40</v>
      </c>
      <c r="N57" s="8">
        <f t="shared" si="13"/>
        <v>0</v>
      </c>
      <c r="O57" s="48">
        <f t="shared" si="14"/>
        <v>3.8853768619044504</v>
      </c>
      <c r="P57" s="44">
        <v>3.8853768619044509</v>
      </c>
      <c r="Q57" s="49">
        <f t="shared" si="15"/>
        <v>0</v>
      </c>
      <c r="R57" s="48">
        <f t="shared" si="16"/>
        <v>3.1792832275819252</v>
      </c>
      <c r="S57" s="50">
        <f t="shared" si="17"/>
        <v>1.2220920829565602</v>
      </c>
      <c r="T57" s="45">
        <v>0.33477099999999999</v>
      </c>
      <c r="U57" s="45">
        <v>0.52254999999999996</v>
      </c>
      <c r="V57" s="45">
        <v>2.9051893502499042</v>
      </c>
      <c r="W57" s="45">
        <v>0.50225874663590919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</row>
    <row r="58" spans="1:35" x14ac:dyDescent="0.3">
      <c r="A58" s="15" t="s">
        <v>180</v>
      </c>
      <c r="B58" s="15" t="s">
        <v>146</v>
      </c>
      <c r="C58" s="42">
        <v>3</v>
      </c>
      <c r="D58" s="43">
        <v>1.03</v>
      </c>
      <c r="E58" s="44">
        <v>8.6989920000000005</v>
      </c>
      <c r="F58" s="42">
        <v>1</v>
      </c>
      <c r="G58" s="45">
        <v>0.32596193115787869</v>
      </c>
      <c r="H58" s="46">
        <v>0</v>
      </c>
      <c r="I58" s="47">
        <v>2041</v>
      </c>
      <c r="J58" s="8">
        <f t="shared" si="9"/>
        <v>2041</v>
      </c>
      <c r="K58" s="8">
        <f t="shared" si="10"/>
        <v>2042</v>
      </c>
      <c r="L58" s="8">
        <f t="shared" si="11"/>
        <v>2081</v>
      </c>
      <c r="M58" s="8">
        <f t="shared" si="12"/>
        <v>40</v>
      </c>
      <c r="N58" s="8">
        <f t="shared" si="13"/>
        <v>0</v>
      </c>
      <c r="O58" s="48">
        <f t="shared" si="14"/>
        <v>6.8406000006450904</v>
      </c>
      <c r="P58" s="44">
        <v>6.8406000006450949</v>
      </c>
      <c r="Q58" s="49">
        <f t="shared" si="15"/>
        <v>0</v>
      </c>
      <c r="R58" s="48">
        <f t="shared" si="16"/>
        <v>6.4634791920522865</v>
      </c>
      <c r="S58" s="50">
        <f t="shared" si="17"/>
        <v>1.0583464102516993</v>
      </c>
      <c r="T58" s="45">
        <v>8.6989920000000005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</row>
    <row r="59" spans="1:35" x14ac:dyDescent="0.3">
      <c r="A59" s="15" t="s">
        <v>181</v>
      </c>
      <c r="B59" s="15" t="s">
        <v>146</v>
      </c>
      <c r="C59" s="42">
        <v>3</v>
      </c>
      <c r="D59" s="43">
        <v>6.35</v>
      </c>
      <c r="E59" s="44">
        <v>5.6851479773088753</v>
      </c>
      <c r="F59" s="42">
        <v>2</v>
      </c>
      <c r="G59" s="45">
        <v>1.3208728146685369</v>
      </c>
      <c r="H59" s="46">
        <v>0</v>
      </c>
      <c r="I59" s="47">
        <v>2026</v>
      </c>
      <c r="J59" s="8">
        <f t="shared" si="9"/>
        <v>2027</v>
      </c>
      <c r="K59" s="8">
        <f t="shared" si="10"/>
        <v>2028</v>
      </c>
      <c r="L59" s="8">
        <f t="shared" si="11"/>
        <v>2067</v>
      </c>
      <c r="M59" s="8">
        <f t="shared" si="12"/>
        <v>40</v>
      </c>
      <c r="N59" s="8">
        <f t="shared" si="13"/>
        <v>0</v>
      </c>
      <c r="O59" s="48">
        <f t="shared" si="14"/>
        <v>35.631910410931326</v>
      </c>
      <c r="P59" s="44">
        <v>35.631910410931333</v>
      </c>
      <c r="Q59" s="49">
        <f t="shared" si="15"/>
        <v>0</v>
      </c>
      <c r="R59" s="48">
        <f t="shared" si="16"/>
        <v>5.6113244741624158</v>
      </c>
      <c r="S59" s="50">
        <f t="shared" si="17"/>
        <v>6.3499999999999979</v>
      </c>
      <c r="T59" s="45">
        <v>1.9201493168394219</v>
      </c>
      <c r="U59" s="45">
        <v>3.7649986604694541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</row>
    <row r="60" spans="1:35" x14ac:dyDescent="0.3">
      <c r="A60" s="15" t="s">
        <v>182</v>
      </c>
      <c r="B60" s="15" t="s">
        <v>146</v>
      </c>
      <c r="C60" s="42">
        <v>5</v>
      </c>
      <c r="D60" s="43">
        <v>1.01</v>
      </c>
      <c r="E60" s="44">
        <v>52.287062926216237</v>
      </c>
      <c r="F60" s="42">
        <v>5</v>
      </c>
      <c r="G60" s="45">
        <v>1.9987307834406951</v>
      </c>
      <c r="H60" s="46">
        <v>0</v>
      </c>
      <c r="I60" s="47">
        <v>2040</v>
      </c>
      <c r="J60" s="8">
        <f t="shared" si="9"/>
        <v>2044</v>
      </c>
      <c r="K60" s="8">
        <f t="shared" si="10"/>
        <v>2045</v>
      </c>
      <c r="L60" s="8">
        <f t="shared" si="11"/>
        <v>2084</v>
      </c>
      <c r="M60" s="8">
        <f t="shared" si="12"/>
        <v>40</v>
      </c>
      <c r="N60" s="8">
        <f t="shared" si="13"/>
        <v>0</v>
      </c>
      <c r="O60" s="48">
        <f t="shared" si="14"/>
        <v>39.877043622071994</v>
      </c>
      <c r="P60" s="44">
        <v>39.877043622071973</v>
      </c>
      <c r="Q60" s="49">
        <f t="shared" si="15"/>
        <v>0</v>
      </c>
      <c r="R60" s="48">
        <f t="shared" si="16"/>
        <v>38.264992198730546</v>
      </c>
      <c r="S60" s="50">
        <f t="shared" si="17"/>
        <v>1.0421286228145352</v>
      </c>
      <c r="T60" s="45">
        <v>10.022251000000001</v>
      </c>
      <c r="U60" s="45">
        <v>10.341873529411769</v>
      </c>
      <c r="V60" s="45">
        <v>14.70262014609766</v>
      </c>
      <c r="W60" s="45">
        <v>15.581077413664429</v>
      </c>
      <c r="X60" s="45">
        <v>1.6392408370423881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</row>
    <row r="61" spans="1:35" x14ac:dyDescent="0.3">
      <c r="A61" s="15" t="s">
        <v>183</v>
      </c>
      <c r="B61" s="15" t="s">
        <v>146</v>
      </c>
      <c r="C61" s="42">
        <v>4</v>
      </c>
      <c r="D61" s="43">
        <v>1</v>
      </c>
      <c r="E61" s="44">
        <v>18.906960220146431</v>
      </c>
      <c r="F61" s="42">
        <v>16</v>
      </c>
      <c r="G61" s="45">
        <v>0.7863193587144367</v>
      </c>
      <c r="H61" s="46">
        <v>0</v>
      </c>
      <c r="I61" s="47">
        <v>2029</v>
      </c>
      <c r="J61" s="8">
        <f t="shared" si="9"/>
        <v>2044</v>
      </c>
      <c r="K61" s="8">
        <f t="shared" si="10"/>
        <v>2045</v>
      </c>
      <c r="L61" s="8">
        <f t="shared" si="11"/>
        <v>2084</v>
      </c>
      <c r="M61" s="8">
        <f t="shared" si="12"/>
        <v>40</v>
      </c>
      <c r="N61" s="8">
        <f t="shared" si="13"/>
        <v>0</v>
      </c>
      <c r="O61" s="48">
        <f t="shared" si="14"/>
        <v>15.688001419759807</v>
      </c>
      <c r="P61" s="44">
        <v>15.6880014197598</v>
      </c>
      <c r="Q61" s="49">
        <f t="shared" si="15"/>
        <v>0</v>
      </c>
      <c r="R61" s="48">
        <f t="shared" si="16"/>
        <v>15.549834337599421</v>
      </c>
      <c r="S61" s="50">
        <f t="shared" si="17"/>
        <v>1.0088854375654857</v>
      </c>
      <c r="T61" s="45">
        <v>1.365196078431373</v>
      </c>
      <c r="U61" s="45">
        <v>1.338427527873894</v>
      </c>
      <c r="V61" s="45">
        <v>1.3121838508567589</v>
      </c>
      <c r="W61" s="45">
        <v>1.286454755741921</v>
      </c>
      <c r="X61" s="45">
        <v>1.261230152688158</v>
      </c>
      <c r="Y61" s="45">
        <v>1.236500149694272</v>
      </c>
      <c r="Z61" s="45">
        <v>1.2122550487198751</v>
      </c>
      <c r="AA61" s="45">
        <v>1.1884853418822301</v>
      </c>
      <c r="AB61" s="45">
        <v>1.165181707727676</v>
      </c>
      <c r="AC61" s="45">
        <v>1.142335007576154</v>
      </c>
      <c r="AD61" s="45">
        <v>1.119936281937405</v>
      </c>
      <c r="AE61" s="45">
        <v>1.097976746997456</v>
      </c>
      <c r="AF61" s="45">
        <v>1.0764477911739769</v>
      </c>
      <c r="AG61" s="45">
        <v>1.0553409717391931</v>
      </c>
      <c r="AH61" s="45">
        <v>1.0346480115090131</v>
      </c>
      <c r="AI61" s="45">
        <v>1.014360795597071</v>
      </c>
    </row>
    <row r="62" spans="1:35" x14ac:dyDescent="0.3">
      <c r="A62" s="15" t="s">
        <v>184</v>
      </c>
      <c r="B62" s="15" t="s">
        <v>146</v>
      </c>
      <c r="C62" s="42">
        <v>1</v>
      </c>
      <c r="D62" s="43">
        <v>1.89</v>
      </c>
      <c r="E62" s="44">
        <v>6.3222E-2</v>
      </c>
      <c r="F62" s="42">
        <v>1</v>
      </c>
      <c r="G62" s="45">
        <v>4.3470112142581117E-3</v>
      </c>
      <c r="H62" s="46">
        <v>0</v>
      </c>
      <c r="I62" s="47">
        <v>2031</v>
      </c>
      <c r="J62" s="8">
        <f t="shared" si="9"/>
        <v>2031</v>
      </c>
      <c r="K62" s="8">
        <f t="shared" si="10"/>
        <v>2032</v>
      </c>
      <c r="L62" s="8">
        <f t="shared" si="11"/>
        <v>2071</v>
      </c>
      <c r="M62" s="8">
        <f t="shared" si="12"/>
        <v>40</v>
      </c>
      <c r="N62" s="8">
        <f t="shared" si="13"/>
        <v>0</v>
      </c>
      <c r="O62" s="48">
        <f t="shared" si="14"/>
        <v>0.10889005118334187</v>
      </c>
      <c r="P62" s="44">
        <v>0.1088900511833419</v>
      </c>
      <c r="Q62" s="49">
        <f t="shared" si="15"/>
        <v>0</v>
      </c>
      <c r="R62" s="48">
        <f t="shared" si="16"/>
        <v>5.7262113259066931E-2</v>
      </c>
      <c r="S62" s="50">
        <f t="shared" si="17"/>
        <v>1.9016072754894378</v>
      </c>
      <c r="T62" s="45">
        <v>6.3222E-2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</row>
    <row r="63" spans="1:35" x14ac:dyDescent="0.3">
      <c r="A63" s="15" t="s">
        <v>185</v>
      </c>
      <c r="B63" s="15" t="s">
        <v>146</v>
      </c>
      <c r="C63" s="42">
        <v>5</v>
      </c>
      <c r="D63" s="43">
        <v>1.91</v>
      </c>
      <c r="E63" s="44">
        <v>79.104191791618604</v>
      </c>
      <c r="F63" s="42">
        <v>3</v>
      </c>
      <c r="G63" s="45">
        <v>5.5107907914743519</v>
      </c>
      <c r="H63" s="46">
        <v>0</v>
      </c>
      <c r="I63" s="47">
        <v>2032</v>
      </c>
      <c r="J63" s="8">
        <f t="shared" si="9"/>
        <v>2034</v>
      </c>
      <c r="K63" s="8">
        <f t="shared" si="10"/>
        <v>2035</v>
      </c>
      <c r="L63" s="8">
        <f t="shared" si="11"/>
        <v>2074</v>
      </c>
      <c r="M63" s="8">
        <f t="shared" si="12"/>
        <v>40</v>
      </c>
      <c r="N63" s="8">
        <f t="shared" si="13"/>
        <v>0</v>
      </c>
      <c r="O63" s="48">
        <f t="shared" si="14"/>
        <v>130.73435664357567</v>
      </c>
      <c r="P63" s="44">
        <v>130.73435664357569</v>
      </c>
      <c r="Q63" s="49">
        <f t="shared" si="15"/>
        <v>0</v>
      </c>
      <c r="R63" s="48">
        <f t="shared" si="16"/>
        <v>67.833139238497594</v>
      </c>
      <c r="S63" s="50">
        <f t="shared" si="17"/>
        <v>1.9272933275861057</v>
      </c>
      <c r="T63" s="45">
        <v>2.6953499999999999</v>
      </c>
      <c r="U63" s="45">
        <v>13.2125</v>
      </c>
      <c r="V63" s="45">
        <v>63.196341791618607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</row>
    <row r="64" spans="1:35" x14ac:dyDescent="0.3">
      <c r="A64" s="15" t="s">
        <v>186</v>
      </c>
      <c r="B64" s="15" t="s">
        <v>146</v>
      </c>
      <c r="C64" s="42">
        <v>1</v>
      </c>
      <c r="D64" s="43">
        <v>1.87</v>
      </c>
      <c r="E64" s="44">
        <v>1.149563725490196</v>
      </c>
      <c r="F64" s="42">
        <v>1</v>
      </c>
      <c r="G64" s="45">
        <v>7.8205155458853426E-2</v>
      </c>
      <c r="H64" s="46">
        <v>0</v>
      </c>
      <c r="I64" s="47">
        <v>2026</v>
      </c>
      <c r="J64" s="8">
        <f t="shared" si="9"/>
        <v>2026</v>
      </c>
      <c r="K64" s="8">
        <f t="shared" si="10"/>
        <v>2027</v>
      </c>
      <c r="L64" s="8">
        <f t="shared" si="11"/>
        <v>2066</v>
      </c>
      <c r="M64" s="8">
        <f t="shared" si="12"/>
        <v>40</v>
      </c>
      <c r="N64" s="8">
        <f t="shared" si="13"/>
        <v>0</v>
      </c>
      <c r="O64" s="48">
        <f t="shared" si="14"/>
        <v>2.1496841666666664</v>
      </c>
      <c r="P64" s="44">
        <v>2.1496841666666651</v>
      </c>
      <c r="Q64" s="49">
        <f t="shared" si="15"/>
        <v>0</v>
      </c>
      <c r="R64" s="48">
        <f t="shared" si="16"/>
        <v>1.149563725490196</v>
      </c>
      <c r="S64" s="50">
        <f t="shared" si="17"/>
        <v>1.8699999999999999</v>
      </c>
      <c r="T64" s="45">
        <v>1.149563725490196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</row>
    <row r="65" spans="1:35" x14ac:dyDescent="0.3">
      <c r="A65" s="15" t="s">
        <v>187</v>
      </c>
      <c r="B65" s="15" t="s">
        <v>146</v>
      </c>
      <c r="C65" s="42">
        <v>4</v>
      </c>
      <c r="D65" s="43">
        <v>2.16</v>
      </c>
      <c r="E65" s="44">
        <v>35.82377963377585</v>
      </c>
      <c r="F65" s="42">
        <v>3</v>
      </c>
      <c r="G65" s="45">
        <v>2.833855896561515</v>
      </c>
      <c r="H65" s="46">
        <v>0</v>
      </c>
      <c r="I65" s="47">
        <v>2030</v>
      </c>
      <c r="J65" s="8">
        <f t="shared" si="9"/>
        <v>2032</v>
      </c>
      <c r="K65" s="8">
        <f t="shared" si="10"/>
        <v>2033</v>
      </c>
      <c r="L65" s="8">
        <f t="shared" si="11"/>
        <v>2072</v>
      </c>
      <c r="M65" s="8">
        <f t="shared" si="12"/>
        <v>40</v>
      </c>
      <c r="N65" s="8">
        <f t="shared" si="13"/>
        <v>0</v>
      </c>
      <c r="O65" s="48">
        <f t="shared" si="14"/>
        <v>69.702891683486982</v>
      </c>
      <c r="P65" s="44">
        <v>69.70289168348701</v>
      </c>
      <c r="Q65" s="49">
        <f t="shared" si="15"/>
        <v>0</v>
      </c>
      <c r="R65" s="48">
        <f t="shared" si="16"/>
        <v>32.091182037879051</v>
      </c>
      <c r="S65" s="50">
        <f t="shared" si="17"/>
        <v>2.1720263093211303</v>
      </c>
      <c r="T65" s="45">
        <v>1.6885235294117651</v>
      </c>
      <c r="U65" s="45">
        <v>12.394360822760479</v>
      </c>
      <c r="V65" s="45">
        <v>21.74089528160361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5">
        <v>0</v>
      </c>
      <c r="AI65" s="45">
        <v>0</v>
      </c>
    </row>
    <row r="66" spans="1:35" x14ac:dyDescent="0.3">
      <c r="A66" s="15" t="s">
        <v>188</v>
      </c>
      <c r="B66" s="15" t="s">
        <v>146</v>
      </c>
      <c r="C66" s="42">
        <v>4</v>
      </c>
      <c r="D66" s="43">
        <v>1.97</v>
      </c>
      <c r="E66" s="44">
        <v>16.347101931949251</v>
      </c>
      <c r="F66" s="42">
        <v>3</v>
      </c>
      <c r="G66" s="45">
        <v>1.1875395984794399</v>
      </c>
      <c r="H66" s="46">
        <v>0</v>
      </c>
      <c r="I66" s="47">
        <v>2030</v>
      </c>
      <c r="J66" s="8">
        <f t="shared" si="9"/>
        <v>2032</v>
      </c>
      <c r="K66" s="8">
        <f t="shared" si="10"/>
        <v>2033</v>
      </c>
      <c r="L66" s="8">
        <f t="shared" si="11"/>
        <v>2072</v>
      </c>
      <c r="M66" s="8">
        <f t="shared" si="12"/>
        <v>40</v>
      </c>
      <c r="N66" s="8">
        <f t="shared" si="13"/>
        <v>0</v>
      </c>
      <c r="O66" s="48">
        <f t="shared" si="14"/>
        <v>29.209298928396386</v>
      </c>
      <c r="P66" s="44">
        <v>29.2092989283964</v>
      </c>
      <c r="Q66" s="49">
        <f t="shared" si="15"/>
        <v>0</v>
      </c>
      <c r="R66" s="48">
        <f t="shared" si="16"/>
        <v>14.744959256129228</v>
      </c>
      <c r="S66" s="50">
        <f t="shared" si="17"/>
        <v>1.9809684395197349</v>
      </c>
      <c r="T66" s="45">
        <v>2.4808750000000002</v>
      </c>
      <c r="U66" s="45">
        <v>7.8944852941176462</v>
      </c>
      <c r="V66" s="45">
        <v>5.9717416378316033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</row>
    <row r="67" spans="1:35" x14ac:dyDescent="0.3">
      <c r="A67" s="15" t="s">
        <v>189</v>
      </c>
      <c r="B67" s="15" t="s">
        <v>146</v>
      </c>
      <c r="C67" s="42">
        <v>3</v>
      </c>
      <c r="D67" s="43">
        <v>1.49</v>
      </c>
      <c r="E67" s="44">
        <v>10.20019315820123</v>
      </c>
      <c r="F67" s="42">
        <v>4</v>
      </c>
      <c r="G67" s="45">
        <v>0.55780011737751434</v>
      </c>
      <c r="H67" s="46">
        <v>0</v>
      </c>
      <c r="I67" s="47">
        <v>2035</v>
      </c>
      <c r="J67" s="8">
        <f t="shared" si="9"/>
        <v>2038</v>
      </c>
      <c r="K67" s="8">
        <f t="shared" si="10"/>
        <v>2039</v>
      </c>
      <c r="L67" s="8">
        <f t="shared" si="11"/>
        <v>2078</v>
      </c>
      <c r="M67" s="8">
        <f t="shared" si="12"/>
        <v>40</v>
      </c>
      <c r="N67" s="8">
        <f t="shared" si="13"/>
        <v>0</v>
      </c>
      <c r="O67" s="48">
        <f t="shared" si="14"/>
        <v>12.328012569461297</v>
      </c>
      <c r="P67" s="44">
        <v>12.32801256946129</v>
      </c>
      <c r="Q67" s="49">
        <f t="shared" si="15"/>
        <v>0</v>
      </c>
      <c r="R67" s="48">
        <f t="shared" si="16"/>
        <v>8.1411144539047573</v>
      </c>
      <c r="S67" s="50">
        <f t="shared" si="17"/>
        <v>1.5142905359288199</v>
      </c>
      <c r="T67" s="45">
        <v>0.4245162117134435</v>
      </c>
      <c r="U67" s="45">
        <v>0</v>
      </c>
      <c r="V67" s="45">
        <v>4.9362329135730416</v>
      </c>
      <c r="W67" s="45">
        <v>4.8394440329147468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</row>
    <row r="68" spans="1:35" x14ac:dyDescent="0.3">
      <c r="A68" s="15" t="s">
        <v>190</v>
      </c>
      <c r="B68" s="15" t="s">
        <v>146</v>
      </c>
      <c r="C68" s="42">
        <v>3</v>
      </c>
      <c r="D68" s="43">
        <v>1.31</v>
      </c>
      <c r="E68" s="44">
        <v>13.727192554145841</v>
      </c>
      <c r="F68" s="42">
        <v>5</v>
      </c>
      <c r="G68" s="45">
        <v>0.66623577946345458</v>
      </c>
      <c r="H68" s="46">
        <v>0</v>
      </c>
      <c r="I68" s="47">
        <v>2038</v>
      </c>
      <c r="J68" s="8">
        <f t="shared" si="9"/>
        <v>2042</v>
      </c>
      <c r="K68" s="8">
        <f t="shared" si="10"/>
        <v>2043</v>
      </c>
      <c r="L68" s="8">
        <f t="shared" si="11"/>
        <v>2082</v>
      </c>
      <c r="M68" s="8">
        <f t="shared" si="12"/>
        <v>40</v>
      </c>
      <c r="N68" s="8">
        <f t="shared" si="13"/>
        <v>0</v>
      </c>
      <c r="O68" s="48">
        <f t="shared" si="14"/>
        <v>13.745981719049249</v>
      </c>
      <c r="P68" s="44">
        <v>13.745981719049251</v>
      </c>
      <c r="Q68" s="49">
        <f t="shared" si="15"/>
        <v>0</v>
      </c>
      <c r="R68" s="48">
        <f t="shared" si="16"/>
        <v>10.23117944325363</v>
      </c>
      <c r="S68" s="50">
        <f t="shared" si="17"/>
        <v>1.3435383276473813</v>
      </c>
      <c r="T68" s="45">
        <v>0.29325000000000001</v>
      </c>
      <c r="U68" s="45">
        <v>1.3512500000000001</v>
      </c>
      <c r="V68" s="45">
        <v>2.9411764705882359</v>
      </c>
      <c r="W68" s="45">
        <v>4.6160130718954244</v>
      </c>
      <c r="X68" s="45">
        <v>4.5255030116621811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</row>
    <row r="69" spans="1:35" x14ac:dyDescent="0.3">
      <c r="A69" s="15" t="s">
        <v>191</v>
      </c>
      <c r="B69" s="15" t="s">
        <v>146</v>
      </c>
      <c r="C69" s="42">
        <v>4</v>
      </c>
      <c r="D69" s="43">
        <v>1.17</v>
      </c>
      <c r="E69" s="44">
        <v>32.593137254901961</v>
      </c>
      <c r="F69" s="42">
        <v>1</v>
      </c>
      <c r="G69" s="45">
        <v>1.3873075609709891</v>
      </c>
      <c r="H69" s="46">
        <v>0</v>
      </c>
      <c r="I69" s="47">
        <v>2041</v>
      </c>
      <c r="J69" s="8">
        <f t="shared" si="9"/>
        <v>2041</v>
      </c>
      <c r="K69" s="8">
        <f t="shared" si="10"/>
        <v>2042</v>
      </c>
      <c r="L69" s="8">
        <f t="shared" si="11"/>
        <v>2081</v>
      </c>
      <c r="M69" s="8">
        <f t="shared" si="12"/>
        <v>40</v>
      </c>
      <c r="N69" s="8">
        <f t="shared" si="13"/>
        <v>0</v>
      </c>
      <c r="O69" s="48">
        <f t="shared" si="14"/>
        <v>29.113878632276933</v>
      </c>
      <c r="P69" s="44">
        <v>29.113878632276929</v>
      </c>
      <c r="Q69" s="49">
        <f t="shared" si="15"/>
        <v>0</v>
      </c>
      <c r="R69" s="48">
        <f t="shared" si="16"/>
        <v>24.217181076929716</v>
      </c>
      <c r="S69" s="50">
        <f t="shared" si="17"/>
        <v>1.2021993203829993</v>
      </c>
      <c r="T69" s="45">
        <v>32.593137254901961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</row>
    <row r="70" spans="1:35" x14ac:dyDescent="0.3">
      <c r="A70" s="15" t="s">
        <v>192</v>
      </c>
      <c r="B70" s="15" t="s">
        <v>146</v>
      </c>
      <c r="C70" s="42">
        <v>4</v>
      </c>
      <c r="D70" s="43">
        <v>2.21</v>
      </c>
      <c r="E70" s="44">
        <v>17.9843137254902</v>
      </c>
      <c r="F70" s="42">
        <v>2</v>
      </c>
      <c r="G70" s="45">
        <v>1.4600495352565841</v>
      </c>
      <c r="H70" s="46">
        <v>0</v>
      </c>
      <c r="I70" s="47">
        <v>2026</v>
      </c>
      <c r="J70" s="8">
        <f t="shared" si="9"/>
        <v>2027</v>
      </c>
      <c r="K70" s="8">
        <f t="shared" si="10"/>
        <v>2028</v>
      </c>
      <c r="L70" s="8">
        <f t="shared" si="11"/>
        <v>2067</v>
      </c>
      <c r="M70" s="8">
        <f t="shared" si="12"/>
        <v>40</v>
      </c>
      <c r="N70" s="8">
        <f t="shared" si="13"/>
        <v>0</v>
      </c>
      <c r="O70" s="48">
        <f t="shared" si="14"/>
        <v>39.386346405228757</v>
      </c>
      <c r="P70" s="44">
        <v>39.386346405228757</v>
      </c>
      <c r="Q70" s="49">
        <f t="shared" si="15"/>
        <v>0</v>
      </c>
      <c r="R70" s="48">
        <f t="shared" si="16"/>
        <v>17.821876201460974</v>
      </c>
      <c r="S70" s="50">
        <f t="shared" si="17"/>
        <v>2.2100000000000004</v>
      </c>
      <c r="T70" s="45">
        <v>9.6999999999999993</v>
      </c>
      <c r="U70" s="45">
        <v>8.2843137254901968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</row>
    <row r="71" spans="1:35" x14ac:dyDescent="0.3">
      <c r="A71" s="15" t="s">
        <v>193</v>
      </c>
      <c r="B71" s="15" t="s">
        <v>146</v>
      </c>
      <c r="C71" s="42">
        <v>4</v>
      </c>
      <c r="D71" s="43">
        <v>1</v>
      </c>
      <c r="E71" s="44">
        <v>14.980997693194929</v>
      </c>
      <c r="F71" s="42">
        <v>3</v>
      </c>
      <c r="G71" s="45">
        <v>0.55138295473668175</v>
      </c>
      <c r="H71" s="46">
        <v>0</v>
      </c>
      <c r="I71" s="47">
        <v>2041</v>
      </c>
      <c r="J71" s="8">
        <f t="shared" si="9"/>
        <v>2043</v>
      </c>
      <c r="K71" s="8">
        <f t="shared" si="10"/>
        <v>2044</v>
      </c>
      <c r="L71" s="8">
        <f t="shared" si="11"/>
        <v>2083</v>
      </c>
      <c r="M71" s="8">
        <f t="shared" si="12"/>
        <v>40</v>
      </c>
      <c r="N71" s="8">
        <f t="shared" si="13"/>
        <v>0</v>
      </c>
      <c r="O71" s="48">
        <f t="shared" si="14"/>
        <v>11.186166731564757</v>
      </c>
      <c r="P71" s="44">
        <v>11.186166731564761</v>
      </c>
      <c r="Q71" s="49">
        <f t="shared" si="15"/>
        <v>0</v>
      </c>
      <c r="R71" s="48">
        <f t="shared" si="16"/>
        <v>10.847087659672972</v>
      </c>
      <c r="S71" s="50">
        <f t="shared" si="17"/>
        <v>1.0312599181024786</v>
      </c>
      <c r="T71" s="45">
        <v>0.57499999999999996</v>
      </c>
      <c r="U71" s="45">
        <v>9.2156862745098049</v>
      </c>
      <c r="V71" s="45">
        <v>5.1903114186851207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</row>
    <row r="72" spans="1:35" x14ac:dyDescent="0.3">
      <c r="A72" s="15" t="s">
        <v>194</v>
      </c>
      <c r="B72" s="15" t="s">
        <v>146</v>
      </c>
      <c r="C72" s="42">
        <v>2</v>
      </c>
      <c r="D72" s="43">
        <v>1</v>
      </c>
      <c r="E72" s="44">
        <v>4.0982568627450986</v>
      </c>
      <c r="F72" s="42">
        <v>3</v>
      </c>
      <c r="G72" s="45">
        <v>0.1496944571515007</v>
      </c>
      <c r="H72" s="46">
        <v>0</v>
      </c>
      <c r="I72" s="47">
        <v>2041</v>
      </c>
      <c r="J72" s="8">
        <f t="shared" si="9"/>
        <v>2043</v>
      </c>
      <c r="K72" s="8">
        <f t="shared" si="10"/>
        <v>2044</v>
      </c>
      <c r="L72" s="8">
        <f t="shared" si="11"/>
        <v>2083</v>
      </c>
      <c r="M72" s="8">
        <f t="shared" si="12"/>
        <v>40</v>
      </c>
      <c r="N72" s="8">
        <f t="shared" si="13"/>
        <v>0</v>
      </c>
      <c r="O72" s="48">
        <f t="shared" si="14"/>
        <v>3.0369222372632834</v>
      </c>
      <c r="P72" s="44">
        <v>3.036922237263282</v>
      </c>
      <c r="Q72" s="49">
        <f t="shared" si="15"/>
        <v>0</v>
      </c>
      <c r="R72" s="48">
        <f t="shared" si="16"/>
        <v>2.9448659682723131</v>
      </c>
      <c r="S72" s="50">
        <f t="shared" si="17"/>
        <v>1.0312599181024791</v>
      </c>
      <c r="T72" s="45">
        <v>5.6099999999999997E-2</v>
      </c>
      <c r="U72" s="45">
        <v>1.1499999999999999</v>
      </c>
      <c r="V72" s="45">
        <v>2.892156862745098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</row>
    <row r="73" spans="1:35" x14ac:dyDescent="0.3">
      <c r="A73" s="15" t="s">
        <v>195</v>
      </c>
      <c r="B73" s="15" t="s">
        <v>146</v>
      </c>
      <c r="C73" s="42">
        <v>2</v>
      </c>
      <c r="D73" s="43">
        <v>1</v>
      </c>
      <c r="E73" s="44">
        <v>1.430745098039216</v>
      </c>
      <c r="F73" s="42">
        <v>3</v>
      </c>
      <c r="G73" s="45">
        <v>5.3017287701062031E-2</v>
      </c>
      <c r="H73" s="46">
        <v>0</v>
      </c>
      <c r="I73" s="47">
        <v>2042</v>
      </c>
      <c r="J73" s="8">
        <f t="shared" si="9"/>
        <v>2044</v>
      </c>
      <c r="K73" s="8">
        <f t="shared" si="10"/>
        <v>2045</v>
      </c>
      <c r="L73" s="8">
        <f t="shared" si="11"/>
        <v>2084</v>
      </c>
      <c r="M73" s="8">
        <f t="shared" si="12"/>
        <v>40</v>
      </c>
      <c r="N73" s="8">
        <f t="shared" si="13"/>
        <v>0</v>
      </c>
      <c r="O73" s="48">
        <f t="shared" si="14"/>
        <v>1.0577576089260856</v>
      </c>
      <c r="P73" s="44">
        <v>1.0577576089260849</v>
      </c>
      <c r="Q73" s="49">
        <f t="shared" si="15"/>
        <v>0</v>
      </c>
      <c r="R73" s="48">
        <f t="shared" si="16"/>
        <v>1.0225325643372458</v>
      </c>
      <c r="S73" s="50">
        <f t="shared" si="17"/>
        <v>1.0344488242403027</v>
      </c>
      <c r="T73" s="45">
        <v>0.40799999999999997</v>
      </c>
      <c r="U73" s="45">
        <v>0.66</v>
      </c>
      <c r="V73" s="45">
        <v>0.36274509803921567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</row>
    <row r="74" spans="1:35" x14ac:dyDescent="0.3">
      <c r="A74" s="15" t="s">
        <v>196</v>
      </c>
      <c r="B74" s="15" t="s">
        <v>146</v>
      </c>
      <c r="C74" s="42">
        <v>5</v>
      </c>
      <c r="D74" s="43">
        <v>2.79</v>
      </c>
      <c r="E74" s="44">
        <v>440.52706646883632</v>
      </c>
      <c r="F74" s="42">
        <v>9</v>
      </c>
      <c r="G74" s="45">
        <v>48.286799716079912</v>
      </c>
      <c r="H74" s="46">
        <v>0</v>
      </c>
      <c r="I74" s="47">
        <v>2026</v>
      </c>
      <c r="J74" s="8">
        <f t="shared" si="9"/>
        <v>2034</v>
      </c>
      <c r="K74" s="8">
        <f t="shared" si="10"/>
        <v>2035</v>
      </c>
      <c r="L74" s="8">
        <f t="shared" si="11"/>
        <v>2074</v>
      </c>
      <c r="M74" s="8">
        <f t="shared" si="12"/>
        <v>40</v>
      </c>
      <c r="N74" s="8">
        <f t="shared" si="13"/>
        <v>0</v>
      </c>
      <c r="O74" s="48">
        <f t="shared" si="14"/>
        <v>1145.5241060911324</v>
      </c>
      <c r="P74" s="44">
        <v>1145.5241060911319</v>
      </c>
      <c r="Q74" s="49">
        <f t="shared" si="15"/>
        <v>0</v>
      </c>
      <c r="R74" s="48">
        <f t="shared" si="16"/>
        <v>410.58211687854197</v>
      </c>
      <c r="S74" s="50">
        <f t="shared" si="17"/>
        <v>2.7900000000000005</v>
      </c>
      <c r="T74" s="45">
        <v>38.285617000000002</v>
      </c>
      <c r="U74" s="45">
        <v>60.71757058823529</v>
      </c>
      <c r="V74" s="45">
        <v>69.299691464821223</v>
      </c>
      <c r="W74" s="45">
        <v>66.232339937128245</v>
      </c>
      <c r="X74" s="45">
        <v>56.797080936693533</v>
      </c>
      <c r="Y74" s="45">
        <v>39.163724135657539</v>
      </c>
      <c r="Z74" s="45">
        <v>37.085806883251493</v>
      </c>
      <c r="AA74" s="45">
        <v>36.078342550238368</v>
      </c>
      <c r="AB74" s="45">
        <v>36.866892972810561</v>
      </c>
      <c r="AC74" s="45">
        <v>0</v>
      </c>
      <c r="AD74" s="45">
        <v>0</v>
      </c>
      <c r="AE74" s="45">
        <v>0</v>
      </c>
      <c r="AF74" s="45">
        <v>0</v>
      </c>
      <c r="AG74" s="45">
        <v>0</v>
      </c>
      <c r="AH74" s="45">
        <v>0</v>
      </c>
      <c r="AI74" s="45">
        <v>0</v>
      </c>
    </row>
    <row r="75" spans="1:35" x14ac:dyDescent="0.3">
      <c r="A75" s="15" t="s">
        <v>197</v>
      </c>
      <c r="B75" s="15" t="s">
        <v>146</v>
      </c>
      <c r="C75" s="42">
        <v>5</v>
      </c>
      <c r="D75" s="43">
        <v>2.08</v>
      </c>
      <c r="E75" s="44">
        <v>425.52253660723892</v>
      </c>
      <c r="F75" s="42">
        <v>9</v>
      </c>
      <c r="G75" s="45">
        <v>32.263830046878986</v>
      </c>
      <c r="H75" s="46">
        <v>0</v>
      </c>
      <c r="I75" s="47">
        <v>2028</v>
      </c>
      <c r="J75" s="8">
        <f t="shared" si="9"/>
        <v>2036</v>
      </c>
      <c r="K75" s="8">
        <f t="shared" si="10"/>
        <v>2037</v>
      </c>
      <c r="L75" s="8">
        <f t="shared" si="11"/>
        <v>2076</v>
      </c>
      <c r="M75" s="8">
        <f t="shared" si="12"/>
        <v>40</v>
      </c>
      <c r="N75" s="8">
        <f t="shared" si="13"/>
        <v>0</v>
      </c>
      <c r="O75" s="48">
        <f t="shared" si="14"/>
        <v>738.58928301101378</v>
      </c>
      <c r="P75" s="44">
        <v>738.58928301101366</v>
      </c>
      <c r="Q75" s="49">
        <f t="shared" si="15"/>
        <v>0</v>
      </c>
      <c r="R75" s="48">
        <f t="shared" si="16"/>
        <v>353.69429337869707</v>
      </c>
      <c r="S75" s="50">
        <f t="shared" si="17"/>
        <v>2.0882137394855094</v>
      </c>
      <c r="T75" s="45">
        <v>2.2890000000000001</v>
      </c>
      <c r="U75" s="45">
        <v>0</v>
      </c>
      <c r="V75" s="45">
        <v>2.4096501345636301</v>
      </c>
      <c r="W75" s="45">
        <v>2.36240209270944</v>
      </c>
      <c r="X75" s="45">
        <v>1.8125847258640211</v>
      </c>
      <c r="Y75" s="45">
        <v>3.6528123560440511</v>
      </c>
      <c r="Z75" s="45">
        <v>9.412496651173635</v>
      </c>
      <c r="AA75" s="45">
        <v>196.63778034441779</v>
      </c>
      <c r="AB75" s="45">
        <v>206.9458103024663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</row>
    <row r="76" spans="1:35" x14ac:dyDescent="0.3">
      <c r="A76" s="15" t="s">
        <v>198</v>
      </c>
      <c r="B76" s="15" t="s">
        <v>146</v>
      </c>
      <c r="C76" s="42">
        <v>5</v>
      </c>
      <c r="D76" s="43">
        <v>2.19</v>
      </c>
      <c r="E76" s="44">
        <v>300.06952749801542</v>
      </c>
      <c r="F76" s="42">
        <v>16</v>
      </c>
      <c r="G76" s="45">
        <v>28.127258490020012</v>
      </c>
      <c r="H76" s="46">
        <v>0</v>
      </c>
      <c r="I76" s="47">
        <v>2029</v>
      </c>
      <c r="J76" s="8">
        <f t="shared" si="9"/>
        <v>2044</v>
      </c>
      <c r="K76" s="8">
        <f t="shared" si="10"/>
        <v>2045</v>
      </c>
      <c r="L76" s="8">
        <f t="shared" si="11"/>
        <v>2084</v>
      </c>
      <c r="M76" s="8">
        <f t="shared" si="12"/>
        <v>40</v>
      </c>
      <c r="N76" s="8">
        <f t="shared" si="13"/>
        <v>0</v>
      </c>
      <c r="O76" s="48">
        <f t="shared" si="14"/>
        <v>561.17208133703753</v>
      </c>
      <c r="P76" s="44">
        <v>561.17208133703741</v>
      </c>
      <c r="Q76" s="49">
        <f t="shared" si="15"/>
        <v>0</v>
      </c>
      <c r="R76" s="48">
        <f t="shared" si="16"/>
        <v>253.98618115944055</v>
      </c>
      <c r="S76" s="50">
        <f t="shared" si="17"/>
        <v>2.2094591082684145</v>
      </c>
      <c r="T76" s="45">
        <v>17.781622452902731</v>
      </c>
      <c r="U76" s="45">
        <v>44.760310890984613</v>
      </c>
      <c r="V76" s="45">
        <v>60.881413575147278</v>
      </c>
      <c r="W76" s="45">
        <v>60.865110420570353</v>
      </c>
      <c r="X76" s="45">
        <v>1.687145626153765</v>
      </c>
      <c r="Y76" s="45">
        <v>1.654064339366436</v>
      </c>
      <c r="Z76" s="45">
        <v>1.706980742380223</v>
      </c>
      <c r="AA76" s="45">
        <v>1.6735105317453161</v>
      </c>
      <c r="AB76" s="45">
        <v>0.82034829987515512</v>
      </c>
      <c r="AC76" s="45">
        <v>18.498049899145659</v>
      </c>
      <c r="AD76" s="45">
        <v>17.819945768145431</v>
      </c>
      <c r="AE76" s="45">
        <v>2.164491070224154</v>
      </c>
      <c r="AF76" s="45">
        <v>17.8100630778248</v>
      </c>
      <c r="AG76" s="45">
        <v>17.83235351972445</v>
      </c>
      <c r="AH76" s="45">
        <v>17.04563204091308</v>
      </c>
      <c r="AI76" s="45">
        <v>17.068485242911962</v>
      </c>
    </row>
    <row r="77" spans="1:35" x14ac:dyDescent="0.3">
      <c r="A77" s="15" t="s">
        <v>199</v>
      </c>
      <c r="B77" s="15" t="s">
        <v>146</v>
      </c>
      <c r="C77" s="42">
        <v>5</v>
      </c>
      <c r="D77" s="43">
        <v>1.57</v>
      </c>
      <c r="E77" s="44">
        <v>330.73302623723112</v>
      </c>
      <c r="F77" s="42">
        <v>8</v>
      </c>
      <c r="G77" s="45">
        <v>19.20741116243936</v>
      </c>
      <c r="H77" s="46">
        <v>0</v>
      </c>
      <c r="I77" s="47">
        <v>2033</v>
      </c>
      <c r="J77" s="8">
        <f t="shared" si="9"/>
        <v>2040</v>
      </c>
      <c r="K77" s="8">
        <f t="shared" si="10"/>
        <v>2041</v>
      </c>
      <c r="L77" s="8">
        <f t="shared" si="11"/>
        <v>2080</v>
      </c>
      <c r="M77" s="8">
        <f t="shared" si="12"/>
        <v>40</v>
      </c>
      <c r="N77" s="8">
        <f t="shared" si="13"/>
        <v>0</v>
      </c>
      <c r="O77" s="48">
        <f t="shared" si="14"/>
        <v>410.04769770865465</v>
      </c>
      <c r="P77" s="44">
        <v>410.04769770865482</v>
      </c>
      <c r="Q77" s="49">
        <f t="shared" si="15"/>
        <v>0</v>
      </c>
      <c r="R77" s="48">
        <f t="shared" si="16"/>
        <v>257.25677199548062</v>
      </c>
      <c r="S77" s="50">
        <f t="shared" si="17"/>
        <v>1.5939238237656896</v>
      </c>
      <c r="T77" s="45">
        <v>9.0525000000000002</v>
      </c>
      <c r="U77" s="45">
        <v>0</v>
      </c>
      <c r="V77" s="45">
        <v>1.257208765859285</v>
      </c>
      <c r="W77" s="45">
        <v>0</v>
      </c>
      <c r="X77" s="45">
        <v>30.71324118825147</v>
      </c>
      <c r="Y77" s="45">
        <v>85.076200698133832</v>
      </c>
      <c r="Z77" s="45">
        <v>95.90090927610872</v>
      </c>
      <c r="AA77" s="45">
        <v>108.73296630887781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</row>
    <row r="78" spans="1:35" x14ac:dyDescent="0.3">
      <c r="A78" s="15" t="s">
        <v>200</v>
      </c>
      <c r="B78" s="15" t="s">
        <v>146</v>
      </c>
      <c r="C78" s="42">
        <v>5</v>
      </c>
      <c r="D78" s="43">
        <v>2.4</v>
      </c>
      <c r="E78" s="44">
        <v>249.2695662745098</v>
      </c>
      <c r="F78" s="42">
        <v>3</v>
      </c>
      <c r="G78" s="45">
        <v>22.119607656705629</v>
      </c>
      <c r="H78" s="46">
        <v>0</v>
      </c>
      <c r="I78" s="47">
        <v>2032</v>
      </c>
      <c r="J78" s="8">
        <f t="shared" si="9"/>
        <v>2034</v>
      </c>
      <c r="K78" s="8">
        <f t="shared" si="10"/>
        <v>2035</v>
      </c>
      <c r="L78" s="8">
        <f t="shared" si="11"/>
        <v>2074</v>
      </c>
      <c r="M78" s="8">
        <f t="shared" si="12"/>
        <v>40</v>
      </c>
      <c r="N78" s="8">
        <f t="shared" si="13"/>
        <v>0</v>
      </c>
      <c r="O78" s="48">
        <f t="shared" si="14"/>
        <v>524.75094512416672</v>
      </c>
      <c r="P78" s="44">
        <v>524.75094512416672</v>
      </c>
      <c r="Q78" s="49">
        <f t="shared" si="15"/>
        <v>0</v>
      </c>
      <c r="R78" s="48">
        <f t="shared" si="16"/>
        <v>216.684345787175</v>
      </c>
      <c r="S78" s="50">
        <f t="shared" si="17"/>
        <v>2.4217298357102885</v>
      </c>
      <c r="T78" s="45">
        <v>46.741379999999999</v>
      </c>
      <c r="U78" s="45">
        <v>136.11642156862749</v>
      </c>
      <c r="V78" s="45">
        <v>66.411764705882362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</row>
    <row r="79" spans="1:35" x14ac:dyDescent="0.3">
      <c r="A79" s="15" t="s">
        <v>201</v>
      </c>
      <c r="B79" s="15" t="s">
        <v>146</v>
      </c>
      <c r="C79" s="42">
        <v>5</v>
      </c>
      <c r="D79" s="43">
        <v>2.66</v>
      </c>
      <c r="E79" s="44">
        <v>178.82622585498581</v>
      </c>
      <c r="F79" s="42">
        <v>5</v>
      </c>
      <c r="G79" s="45">
        <v>17.940904867152849</v>
      </c>
      <c r="H79" s="46">
        <v>0</v>
      </c>
      <c r="I79" s="47">
        <v>2026</v>
      </c>
      <c r="J79" s="8">
        <f t="shared" si="9"/>
        <v>2030</v>
      </c>
      <c r="K79" s="8">
        <f t="shared" si="10"/>
        <v>2031</v>
      </c>
      <c r="L79" s="8">
        <f t="shared" si="11"/>
        <v>2070</v>
      </c>
      <c r="M79" s="8">
        <f t="shared" si="12"/>
        <v>40</v>
      </c>
      <c r="N79" s="8">
        <f t="shared" si="13"/>
        <v>0</v>
      </c>
      <c r="O79" s="48">
        <f t="shared" si="14"/>
        <v>457.73639993931351</v>
      </c>
      <c r="P79" s="44">
        <v>457.73639993931351</v>
      </c>
      <c r="Q79" s="49">
        <f t="shared" si="15"/>
        <v>0</v>
      </c>
      <c r="R79" s="48">
        <f t="shared" si="16"/>
        <v>172.08135336064419</v>
      </c>
      <c r="S79" s="50">
        <f t="shared" si="17"/>
        <v>2.6599999999999997</v>
      </c>
      <c r="T79" s="45">
        <v>37.162975645512972</v>
      </c>
      <c r="U79" s="45">
        <v>36.434289848542129</v>
      </c>
      <c r="V79" s="45">
        <v>35.773170291305803</v>
      </c>
      <c r="W79" s="45">
        <v>35.071735579711579</v>
      </c>
      <c r="X79" s="45">
        <v>34.384054489913296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</row>
    <row r="80" spans="1:35" x14ac:dyDescent="0.3">
      <c r="A80" s="15" t="s">
        <v>202</v>
      </c>
      <c r="B80" s="15" t="s">
        <v>146</v>
      </c>
      <c r="C80" s="42">
        <v>5</v>
      </c>
      <c r="D80" s="43">
        <v>1.72</v>
      </c>
      <c r="E80" s="44">
        <v>136.4086954109938</v>
      </c>
      <c r="F80" s="42">
        <v>6</v>
      </c>
      <c r="G80" s="45">
        <v>8.8130526433135081</v>
      </c>
      <c r="H80" s="46">
        <v>0</v>
      </c>
      <c r="I80" s="47">
        <v>2037</v>
      </c>
      <c r="J80" s="8">
        <f t="shared" si="9"/>
        <v>2042</v>
      </c>
      <c r="K80" s="8">
        <f t="shared" si="10"/>
        <v>2043</v>
      </c>
      <c r="L80" s="8">
        <f t="shared" si="11"/>
        <v>2082</v>
      </c>
      <c r="M80" s="8">
        <f t="shared" si="12"/>
        <v>40</v>
      </c>
      <c r="N80" s="8">
        <f t="shared" si="13"/>
        <v>0</v>
      </c>
      <c r="O80" s="48">
        <f t="shared" si="14"/>
        <v>181.83361545302802</v>
      </c>
      <c r="P80" s="44">
        <v>181.83361545302799</v>
      </c>
      <c r="Q80" s="49">
        <f t="shared" si="15"/>
        <v>0</v>
      </c>
      <c r="R80" s="48">
        <f t="shared" si="16"/>
        <v>103.22703884249505</v>
      </c>
      <c r="S80" s="50">
        <f t="shared" si="17"/>
        <v>1.7614921196225706</v>
      </c>
      <c r="T80" s="45">
        <v>7.2783009999999999</v>
      </c>
      <c r="U80" s="45">
        <v>7.1216107843137264</v>
      </c>
      <c r="V80" s="45">
        <v>10.686274509803919</v>
      </c>
      <c r="W80" s="45">
        <v>57.622068435217223</v>
      </c>
      <c r="X80" s="45">
        <v>48.665483109814467</v>
      </c>
      <c r="Y80" s="45">
        <v>5.0349575718445028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</row>
    <row r="81" spans="1:35" x14ac:dyDescent="0.3">
      <c r="A81" s="15" t="s">
        <v>203</v>
      </c>
      <c r="B81" s="15" t="s">
        <v>146</v>
      </c>
      <c r="C81" s="42">
        <v>5</v>
      </c>
      <c r="D81" s="43">
        <v>4.1900000000000004</v>
      </c>
      <c r="E81" s="44">
        <v>147.0530824718623</v>
      </c>
      <c r="F81" s="42">
        <v>6</v>
      </c>
      <c r="G81" s="45">
        <v>23.08118337197028</v>
      </c>
      <c r="H81" s="46">
        <v>0</v>
      </c>
      <c r="I81" s="47">
        <v>2026</v>
      </c>
      <c r="J81" s="8">
        <f t="shared" si="9"/>
        <v>2031</v>
      </c>
      <c r="K81" s="8">
        <f t="shared" si="10"/>
        <v>2032</v>
      </c>
      <c r="L81" s="8">
        <f t="shared" si="11"/>
        <v>2071</v>
      </c>
      <c r="M81" s="8">
        <f t="shared" si="12"/>
        <v>40</v>
      </c>
      <c r="N81" s="8">
        <f t="shared" si="13"/>
        <v>0</v>
      </c>
      <c r="O81" s="48">
        <f t="shared" si="14"/>
        <v>578.16994593948391</v>
      </c>
      <c r="P81" s="44">
        <v>578.16994593948402</v>
      </c>
      <c r="Q81" s="49">
        <f t="shared" si="15"/>
        <v>0</v>
      </c>
      <c r="R81" s="48">
        <f t="shared" si="16"/>
        <v>137.98805392350451</v>
      </c>
      <c r="S81" s="50">
        <f t="shared" si="17"/>
        <v>4.1900000000000004</v>
      </c>
      <c r="T81" s="45">
        <v>4.5780000000000003</v>
      </c>
      <c r="U81" s="45">
        <v>11.73725490196078</v>
      </c>
      <c r="V81" s="45">
        <v>31.534986543637061</v>
      </c>
      <c r="W81" s="45">
        <v>31.738358549878999</v>
      </c>
      <c r="X81" s="45">
        <v>32.022330156931027</v>
      </c>
      <c r="Y81" s="45">
        <v>35.442152319454443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</row>
    <row r="82" spans="1:35" x14ac:dyDescent="0.3">
      <c r="A82" s="15" t="s">
        <v>204</v>
      </c>
      <c r="B82" s="15" t="s">
        <v>146</v>
      </c>
      <c r="C82" s="42">
        <v>5</v>
      </c>
      <c r="D82" s="43">
        <v>1.87</v>
      </c>
      <c r="E82" s="44">
        <v>128.03975833972339</v>
      </c>
      <c r="F82" s="42">
        <v>3</v>
      </c>
      <c r="G82" s="45">
        <v>8.8692900090621567</v>
      </c>
      <c r="H82" s="46">
        <v>0</v>
      </c>
      <c r="I82" s="47">
        <v>2037</v>
      </c>
      <c r="J82" s="8">
        <f t="shared" si="9"/>
        <v>2039</v>
      </c>
      <c r="K82" s="8">
        <f t="shared" si="10"/>
        <v>2040</v>
      </c>
      <c r="L82" s="8">
        <f t="shared" si="11"/>
        <v>2079</v>
      </c>
      <c r="M82" s="8">
        <f t="shared" si="12"/>
        <v>40</v>
      </c>
      <c r="N82" s="8">
        <f t="shared" si="13"/>
        <v>0</v>
      </c>
      <c r="O82" s="48">
        <f t="shared" si="14"/>
        <v>192.64175655605888</v>
      </c>
      <c r="P82" s="44">
        <v>192.64175655605879</v>
      </c>
      <c r="Q82" s="49">
        <f t="shared" si="15"/>
        <v>0</v>
      </c>
      <c r="R82" s="48">
        <f t="shared" si="16"/>
        <v>100.99683163770874</v>
      </c>
      <c r="S82" s="50">
        <f t="shared" si="17"/>
        <v>1.9074039594340411</v>
      </c>
      <c r="T82" s="45">
        <v>43.475078871835947</v>
      </c>
      <c r="U82" s="45">
        <v>42.70097676101247</v>
      </c>
      <c r="V82" s="45">
        <v>41.863702706874967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</row>
    <row r="83" spans="1:35" x14ac:dyDescent="0.3">
      <c r="A83" s="15" t="s">
        <v>205</v>
      </c>
      <c r="B83" s="15" t="s">
        <v>146</v>
      </c>
      <c r="C83" s="42">
        <v>5</v>
      </c>
      <c r="D83" s="43">
        <v>3.05</v>
      </c>
      <c r="E83" s="44">
        <v>94.762110726643598</v>
      </c>
      <c r="F83" s="42">
        <v>2</v>
      </c>
      <c r="G83" s="45">
        <v>10.557342149920469</v>
      </c>
      <c r="H83" s="46">
        <v>0</v>
      </c>
      <c r="I83" s="47">
        <v>2026</v>
      </c>
      <c r="J83" s="8">
        <f t="shared" si="9"/>
        <v>2027</v>
      </c>
      <c r="K83" s="8">
        <f t="shared" si="10"/>
        <v>2028</v>
      </c>
      <c r="L83" s="8">
        <f t="shared" si="11"/>
        <v>2067</v>
      </c>
      <c r="M83" s="8">
        <f t="shared" si="12"/>
        <v>40</v>
      </c>
      <c r="N83" s="8">
        <f t="shared" si="13"/>
        <v>0</v>
      </c>
      <c r="O83" s="48">
        <f t="shared" si="14"/>
        <v>284.79522440464063</v>
      </c>
      <c r="P83" s="44">
        <v>284.79522440464069</v>
      </c>
      <c r="Q83" s="49">
        <f t="shared" si="15"/>
        <v>0</v>
      </c>
      <c r="R83" s="48">
        <f t="shared" si="16"/>
        <v>93.375483411357607</v>
      </c>
      <c r="S83" s="50">
        <f t="shared" si="17"/>
        <v>3.0499999999999994</v>
      </c>
      <c r="T83" s="45">
        <v>24.044117647058819</v>
      </c>
      <c r="U83" s="45">
        <v>70.717993079584772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</row>
    <row r="84" spans="1:35" x14ac:dyDescent="0.3">
      <c r="A84" s="15" t="s">
        <v>206</v>
      </c>
      <c r="B84" s="15" t="s">
        <v>146</v>
      </c>
      <c r="C84" s="42">
        <v>5</v>
      </c>
      <c r="D84" s="43">
        <v>2.92</v>
      </c>
      <c r="E84" s="44">
        <v>104.79906144695479</v>
      </c>
      <c r="F84" s="42">
        <v>4</v>
      </c>
      <c r="G84" s="45">
        <v>11.35574368993499</v>
      </c>
      <c r="H84" s="46">
        <v>0</v>
      </c>
      <c r="I84" s="47">
        <v>2026</v>
      </c>
      <c r="J84" s="8">
        <f t="shared" si="9"/>
        <v>2029</v>
      </c>
      <c r="K84" s="8">
        <f t="shared" si="10"/>
        <v>2030</v>
      </c>
      <c r="L84" s="8">
        <f t="shared" si="11"/>
        <v>2069</v>
      </c>
      <c r="M84" s="8">
        <f t="shared" si="12"/>
        <v>40</v>
      </c>
      <c r="N84" s="8">
        <f t="shared" si="13"/>
        <v>0</v>
      </c>
      <c r="O84" s="48">
        <f t="shared" si="14"/>
        <v>295.12680408154904</v>
      </c>
      <c r="P84" s="44">
        <v>295.12680408154898</v>
      </c>
      <c r="Q84" s="49">
        <f t="shared" si="15"/>
        <v>0</v>
      </c>
      <c r="R84" s="48">
        <f t="shared" si="16"/>
        <v>101.07082331559893</v>
      </c>
      <c r="S84" s="50">
        <f t="shared" si="17"/>
        <v>2.9200000000000017</v>
      </c>
      <c r="T84" s="45">
        <v>5.3</v>
      </c>
      <c r="U84" s="45">
        <v>37.254901960784309</v>
      </c>
      <c r="V84" s="45">
        <v>31.43021914648212</v>
      </c>
      <c r="W84" s="45">
        <v>30.813940339688351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</row>
    <row r="85" spans="1:35" x14ac:dyDescent="0.3">
      <c r="A85" s="15" t="s">
        <v>207</v>
      </c>
      <c r="B85" s="15" t="s">
        <v>146</v>
      </c>
      <c r="C85" s="42">
        <v>5</v>
      </c>
      <c r="D85" s="43">
        <v>1</v>
      </c>
      <c r="E85" s="44">
        <v>74.022864350519669</v>
      </c>
      <c r="F85" s="42">
        <v>5</v>
      </c>
      <c r="G85" s="45">
        <v>2.7107279630580252</v>
      </c>
      <c r="H85" s="46">
        <v>0</v>
      </c>
      <c r="I85" s="47">
        <v>2039</v>
      </c>
      <c r="J85" s="8">
        <f t="shared" si="9"/>
        <v>2043</v>
      </c>
      <c r="K85" s="8">
        <f t="shared" si="10"/>
        <v>2044</v>
      </c>
      <c r="L85" s="8">
        <f t="shared" si="11"/>
        <v>2083</v>
      </c>
      <c r="M85" s="8">
        <f t="shared" si="12"/>
        <v>40</v>
      </c>
      <c r="N85" s="8">
        <f t="shared" si="13"/>
        <v>0</v>
      </c>
      <c r="O85" s="48">
        <f t="shared" si="14"/>
        <v>54.993819990614071</v>
      </c>
      <c r="P85" s="44">
        <v>54.993819990614071</v>
      </c>
      <c r="Q85" s="49">
        <f t="shared" si="15"/>
        <v>0</v>
      </c>
      <c r="R85" s="48">
        <f t="shared" si="16"/>
        <v>53.463182721885275</v>
      </c>
      <c r="S85" s="50">
        <f t="shared" si="17"/>
        <v>1.0286297446355026</v>
      </c>
      <c r="T85" s="45">
        <v>0.32700000000000001</v>
      </c>
      <c r="U85" s="45">
        <v>0.64117647058823535</v>
      </c>
      <c r="V85" s="45">
        <v>2.17128027681661</v>
      </c>
      <c r="W85" s="45">
        <v>34.228916480086838</v>
      </c>
      <c r="X85" s="45">
        <v>36.654491123027981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</row>
    <row r="86" spans="1:35" x14ac:dyDescent="0.3">
      <c r="A86" s="15" t="s">
        <v>208</v>
      </c>
      <c r="B86" s="15" t="s">
        <v>146</v>
      </c>
      <c r="C86" s="42">
        <v>5</v>
      </c>
      <c r="D86" s="43">
        <v>1.53</v>
      </c>
      <c r="E86" s="44">
        <v>70.521533933192913</v>
      </c>
      <c r="F86" s="42">
        <v>8</v>
      </c>
      <c r="G86" s="45">
        <v>4.0241551917247209</v>
      </c>
      <c r="H86" s="46">
        <v>0</v>
      </c>
      <c r="I86" s="47">
        <v>2035</v>
      </c>
      <c r="J86" s="8">
        <f t="shared" si="9"/>
        <v>2042</v>
      </c>
      <c r="K86" s="8">
        <f t="shared" si="10"/>
        <v>2043</v>
      </c>
      <c r="L86" s="8">
        <f t="shared" si="11"/>
        <v>2082</v>
      </c>
      <c r="M86" s="8">
        <f t="shared" si="12"/>
        <v>40</v>
      </c>
      <c r="N86" s="8">
        <f t="shared" si="13"/>
        <v>0</v>
      </c>
      <c r="O86" s="48">
        <f t="shared" si="14"/>
        <v>83.027608851348774</v>
      </c>
      <c r="P86" s="44">
        <v>83.027608851348745</v>
      </c>
      <c r="Q86" s="49">
        <f t="shared" si="15"/>
        <v>0</v>
      </c>
      <c r="R86" s="48">
        <f t="shared" si="16"/>
        <v>53.15946257860989</v>
      </c>
      <c r="S86" s="50">
        <f t="shared" si="17"/>
        <v>1.5618594474797629</v>
      </c>
      <c r="T86" s="45">
        <v>0.54500000000000004</v>
      </c>
      <c r="U86" s="45">
        <v>1.816666666666666</v>
      </c>
      <c r="V86" s="45">
        <v>4.7145328719723194</v>
      </c>
      <c r="W86" s="45">
        <v>4.7248041854188809</v>
      </c>
      <c r="X86" s="45">
        <v>5.9412499347765131</v>
      </c>
      <c r="Y86" s="45">
        <v>12.143132967389681</v>
      </c>
      <c r="Z86" s="45">
        <v>20.519242699558529</v>
      </c>
      <c r="AA86" s="45">
        <v>20.116904607410319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</row>
    <row r="87" spans="1:35" x14ac:dyDescent="0.3">
      <c r="A87" s="15" t="s">
        <v>209</v>
      </c>
      <c r="B87" s="15" t="s">
        <v>146</v>
      </c>
      <c r="C87" s="42">
        <v>5</v>
      </c>
      <c r="D87" s="43">
        <v>1.1599999999999999</v>
      </c>
      <c r="E87" s="44">
        <v>60.444938437638022</v>
      </c>
      <c r="F87" s="42">
        <v>7</v>
      </c>
      <c r="G87" s="45">
        <v>2.610699194211024</v>
      </c>
      <c r="H87" s="46">
        <v>0</v>
      </c>
      <c r="I87" s="47">
        <v>2037</v>
      </c>
      <c r="J87" s="8">
        <f t="shared" si="9"/>
        <v>2043</v>
      </c>
      <c r="K87" s="8">
        <f t="shared" si="10"/>
        <v>2044</v>
      </c>
      <c r="L87" s="8">
        <f t="shared" si="11"/>
        <v>2083</v>
      </c>
      <c r="M87" s="8">
        <f t="shared" si="12"/>
        <v>40</v>
      </c>
      <c r="N87" s="8">
        <f t="shared" si="13"/>
        <v>0</v>
      </c>
      <c r="O87" s="48">
        <f t="shared" si="14"/>
        <v>52.964489057070665</v>
      </c>
      <c r="P87" s="44">
        <v>52.964489057070672</v>
      </c>
      <c r="Q87" s="49">
        <f t="shared" si="15"/>
        <v>0</v>
      </c>
      <c r="R87" s="48">
        <f t="shared" si="16"/>
        <v>44.521520684395867</v>
      </c>
      <c r="S87" s="50">
        <f t="shared" si="17"/>
        <v>1.1896379153920933</v>
      </c>
      <c r="T87" s="45">
        <v>0.64117647058823535</v>
      </c>
      <c r="U87" s="45">
        <v>3.5620915032679741</v>
      </c>
      <c r="V87" s="45">
        <v>3.594959706296974</v>
      </c>
      <c r="W87" s="45">
        <v>1.8125847258640211</v>
      </c>
      <c r="X87" s="45">
        <v>17.281343851554791</v>
      </c>
      <c r="Y87" s="45">
        <v>16.94249397211254</v>
      </c>
      <c r="Z87" s="45">
        <v>16.61028820795347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</row>
    <row r="88" spans="1:35" x14ac:dyDescent="0.3">
      <c r="A88" s="15" t="s">
        <v>210</v>
      </c>
      <c r="B88" s="15" t="s">
        <v>146</v>
      </c>
      <c r="C88" s="42">
        <v>4</v>
      </c>
      <c r="D88" s="43">
        <v>1.18</v>
      </c>
      <c r="E88" s="44">
        <v>41.607442045278972</v>
      </c>
      <c r="F88" s="42">
        <v>6</v>
      </c>
      <c r="G88" s="45">
        <v>1.8709632301200541</v>
      </c>
      <c r="H88" s="46">
        <v>0</v>
      </c>
      <c r="I88" s="47">
        <v>2039</v>
      </c>
      <c r="J88" s="8">
        <f t="shared" ref="J88:J119" si="18">I88+F88-1</f>
        <v>2044</v>
      </c>
      <c r="K88" s="8">
        <f t="shared" ref="K88:K123" si="19">I88+F88</f>
        <v>2045</v>
      </c>
      <c r="L88" s="8">
        <f t="shared" ref="L88:L119" si="20">K88+$B$9-1</f>
        <v>2084</v>
      </c>
      <c r="M88" s="8">
        <f t="shared" ref="M88:M119" si="21">MAX(0,MIN(L88,2085)-K88+1)</f>
        <v>40</v>
      </c>
      <c r="N88" s="8">
        <f t="shared" ref="N88:N119" si="22">$B$9-M88</f>
        <v>0</v>
      </c>
      <c r="O88" s="48">
        <f t="shared" ref="O88:O119" si="23">SUMPRODUCT(C299:BJ299,$C$129:$BJ$129)</f>
        <v>37.327929784698711</v>
      </c>
      <c r="P88" s="44">
        <v>37.327929784698703</v>
      </c>
      <c r="Q88" s="49">
        <f t="shared" ref="Q88:Q119" si="24">O88-P88</f>
        <v>0</v>
      </c>
      <c r="R88" s="48">
        <f t="shared" ref="R88:R119" si="25">SUMPRODUCT(C196:BJ196,$C$129:$BJ$129)</f>
        <v>30.702833227456253</v>
      </c>
      <c r="S88" s="50">
        <f t="shared" ref="S88:S119" si="26">IF(R88=0,0,O88/R88)</f>
        <v>1.2157812768665894</v>
      </c>
      <c r="T88" s="45">
        <v>7.4971164936562857</v>
      </c>
      <c r="U88" s="45">
        <v>7.5385786763763551</v>
      </c>
      <c r="V88" s="45">
        <v>7.4831479508147654</v>
      </c>
      <c r="W88" s="45">
        <v>6.3401156688094114</v>
      </c>
      <c r="X88" s="45">
        <v>6.3933939517405829</v>
      </c>
      <c r="Y88" s="45">
        <v>6.355089303881571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</row>
    <row r="89" spans="1:35" x14ac:dyDescent="0.3">
      <c r="A89" s="15" t="s">
        <v>211</v>
      </c>
      <c r="B89" s="15" t="s">
        <v>146</v>
      </c>
      <c r="C89" s="42">
        <v>5</v>
      </c>
      <c r="D89" s="43">
        <v>2.92</v>
      </c>
      <c r="E89" s="44">
        <v>46.943104959630922</v>
      </c>
      <c r="F89" s="42">
        <v>3</v>
      </c>
      <c r="G89" s="45">
        <v>5.0433154943691987</v>
      </c>
      <c r="H89" s="46">
        <v>0</v>
      </c>
      <c r="I89" s="47">
        <v>2029</v>
      </c>
      <c r="J89" s="8">
        <f t="shared" si="18"/>
        <v>2031</v>
      </c>
      <c r="K89" s="8">
        <f t="shared" si="19"/>
        <v>2032</v>
      </c>
      <c r="L89" s="8">
        <f t="shared" si="20"/>
        <v>2071</v>
      </c>
      <c r="M89" s="8">
        <f t="shared" si="21"/>
        <v>40</v>
      </c>
      <c r="N89" s="8">
        <f t="shared" si="22"/>
        <v>0</v>
      </c>
      <c r="O89" s="48">
        <f t="shared" si="23"/>
        <v>126.33206017834658</v>
      </c>
      <c r="P89" s="44">
        <v>126.33206017834659</v>
      </c>
      <c r="Q89" s="49">
        <f t="shared" si="24"/>
        <v>0</v>
      </c>
      <c r="R89" s="48">
        <f t="shared" si="25"/>
        <v>43.091852078085793</v>
      </c>
      <c r="S89" s="50">
        <f t="shared" si="26"/>
        <v>2.9316925146179154</v>
      </c>
      <c r="T89" s="45">
        <v>4.766</v>
      </c>
      <c r="U89" s="45">
        <v>22.06176470588235</v>
      </c>
      <c r="V89" s="45">
        <v>20.11534025374856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</row>
    <row r="90" spans="1:35" x14ac:dyDescent="0.3">
      <c r="A90" s="15" t="s">
        <v>212</v>
      </c>
      <c r="B90" s="15" t="s">
        <v>146</v>
      </c>
      <c r="C90" s="42">
        <v>4</v>
      </c>
      <c r="D90" s="43">
        <v>1</v>
      </c>
      <c r="E90" s="44">
        <v>37.825933487120338</v>
      </c>
      <c r="F90" s="42">
        <v>3</v>
      </c>
      <c r="G90" s="45">
        <v>1.3889306744452981</v>
      </c>
      <c r="H90" s="46">
        <v>0</v>
      </c>
      <c r="I90" s="47">
        <v>2041</v>
      </c>
      <c r="J90" s="8">
        <f t="shared" si="18"/>
        <v>2043</v>
      </c>
      <c r="K90" s="8">
        <f t="shared" si="19"/>
        <v>2044</v>
      </c>
      <c r="L90" s="8">
        <f t="shared" si="20"/>
        <v>2083</v>
      </c>
      <c r="M90" s="8">
        <f t="shared" si="21"/>
        <v>40</v>
      </c>
      <c r="N90" s="8">
        <f t="shared" si="22"/>
        <v>0</v>
      </c>
      <c r="O90" s="48">
        <f t="shared" si="23"/>
        <v>28.177893366960429</v>
      </c>
      <c r="P90" s="44">
        <v>28.17789336696044</v>
      </c>
      <c r="Q90" s="49">
        <f t="shared" si="24"/>
        <v>0</v>
      </c>
      <c r="R90" s="48">
        <f t="shared" si="25"/>
        <v>27.323755022698684</v>
      </c>
      <c r="S90" s="50">
        <f t="shared" si="26"/>
        <v>1.0312599181024784</v>
      </c>
      <c r="T90" s="45">
        <v>1.853</v>
      </c>
      <c r="U90" s="45">
        <v>17.952941176470588</v>
      </c>
      <c r="V90" s="45">
        <v>18.019992310649751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</row>
    <row r="91" spans="1:35" x14ac:dyDescent="0.3">
      <c r="A91" s="15" t="s">
        <v>213</v>
      </c>
      <c r="B91" s="15" t="s">
        <v>146</v>
      </c>
      <c r="C91" s="42">
        <v>4</v>
      </c>
      <c r="D91" s="43">
        <v>2.5299999999999998</v>
      </c>
      <c r="E91" s="44">
        <v>27.53500125861034</v>
      </c>
      <c r="F91" s="42">
        <v>5</v>
      </c>
      <c r="G91" s="45">
        <v>2.540766236271681</v>
      </c>
      <c r="H91" s="46">
        <v>0</v>
      </c>
      <c r="I91" s="47">
        <v>2027</v>
      </c>
      <c r="J91" s="8">
        <f t="shared" si="18"/>
        <v>2031</v>
      </c>
      <c r="K91" s="8">
        <f t="shared" si="19"/>
        <v>2032</v>
      </c>
      <c r="L91" s="8">
        <f t="shared" si="20"/>
        <v>2071</v>
      </c>
      <c r="M91" s="8">
        <f t="shared" si="21"/>
        <v>40</v>
      </c>
      <c r="N91" s="8">
        <f t="shared" si="22"/>
        <v>0</v>
      </c>
      <c r="O91" s="48">
        <f t="shared" si="23"/>
        <v>63.644686400871741</v>
      </c>
      <c r="P91" s="44">
        <v>63.644686400871727</v>
      </c>
      <c r="Q91" s="49">
        <f t="shared" si="24"/>
        <v>0</v>
      </c>
      <c r="R91" s="48">
        <f t="shared" si="25"/>
        <v>25.119739011621082</v>
      </c>
      <c r="S91" s="50">
        <f t="shared" si="26"/>
        <v>2.5336523747889244</v>
      </c>
      <c r="T91" s="45">
        <v>2.4167796344853612</v>
      </c>
      <c r="U91" s="45">
        <v>0</v>
      </c>
      <c r="V91" s="45">
        <v>0</v>
      </c>
      <c r="W91" s="45">
        <v>0</v>
      </c>
      <c r="X91" s="45">
        <v>25.118221624124981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</row>
    <row r="92" spans="1:35" x14ac:dyDescent="0.3">
      <c r="A92" s="15" t="s">
        <v>214</v>
      </c>
      <c r="B92" s="15" t="s">
        <v>146</v>
      </c>
      <c r="C92" s="42">
        <v>4</v>
      </c>
      <c r="D92" s="43">
        <v>1</v>
      </c>
      <c r="E92" s="44">
        <v>27.53500125861034</v>
      </c>
      <c r="F92" s="42">
        <v>5</v>
      </c>
      <c r="G92" s="45">
        <v>1.0042554293563959</v>
      </c>
      <c r="H92" s="46">
        <v>0</v>
      </c>
      <c r="I92" s="47">
        <v>2039</v>
      </c>
      <c r="J92" s="8">
        <f t="shared" si="18"/>
        <v>2043</v>
      </c>
      <c r="K92" s="8">
        <f t="shared" si="19"/>
        <v>2044</v>
      </c>
      <c r="L92" s="8">
        <f t="shared" si="20"/>
        <v>2083</v>
      </c>
      <c r="M92" s="8">
        <f t="shared" si="21"/>
        <v>40</v>
      </c>
      <c r="N92" s="8">
        <f t="shared" si="22"/>
        <v>0</v>
      </c>
      <c r="O92" s="48">
        <f t="shared" si="23"/>
        <v>20.373804770995484</v>
      </c>
      <c r="P92" s="44">
        <v>20.373804770995481</v>
      </c>
      <c r="Q92" s="49">
        <f t="shared" si="24"/>
        <v>0</v>
      </c>
      <c r="R92" s="48">
        <f t="shared" si="25"/>
        <v>19.806742783055519</v>
      </c>
      <c r="S92" s="50">
        <f t="shared" si="26"/>
        <v>1.0286297446355026</v>
      </c>
      <c r="T92" s="45">
        <v>2.4167796344853612</v>
      </c>
      <c r="U92" s="45">
        <v>0</v>
      </c>
      <c r="V92" s="45">
        <v>0</v>
      </c>
      <c r="W92" s="45">
        <v>0</v>
      </c>
      <c r="X92" s="45">
        <v>25.118221624124981</v>
      </c>
      <c r="Y92" s="45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0</v>
      </c>
      <c r="AH92" s="45">
        <v>0</v>
      </c>
      <c r="AI92" s="45">
        <v>0</v>
      </c>
    </row>
    <row r="93" spans="1:35" x14ac:dyDescent="0.3">
      <c r="A93" s="15" t="s">
        <v>215</v>
      </c>
      <c r="B93" s="15" t="s">
        <v>146</v>
      </c>
      <c r="C93" s="42">
        <v>4</v>
      </c>
      <c r="D93" s="43">
        <v>1</v>
      </c>
      <c r="E93" s="44">
        <v>30.37038674654859</v>
      </c>
      <c r="F93" s="42">
        <v>6</v>
      </c>
      <c r="G93" s="45">
        <v>1.1308889094869781</v>
      </c>
      <c r="H93" s="46">
        <v>0</v>
      </c>
      <c r="I93" s="47">
        <v>2039</v>
      </c>
      <c r="J93" s="8">
        <f t="shared" si="18"/>
        <v>2044</v>
      </c>
      <c r="K93" s="8">
        <f t="shared" si="19"/>
        <v>2045</v>
      </c>
      <c r="L93" s="8">
        <f t="shared" si="20"/>
        <v>2084</v>
      </c>
      <c r="M93" s="8">
        <f t="shared" si="21"/>
        <v>40</v>
      </c>
      <c r="N93" s="8">
        <f t="shared" si="22"/>
        <v>0</v>
      </c>
      <c r="O93" s="48">
        <f t="shared" si="23"/>
        <v>22.562571582401262</v>
      </c>
      <c r="P93" s="44">
        <v>22.562571582401269</v>
      </c>
      <c r="Q93" s="49">
        <f t="shared" si="24"/>
        <v>0</v>
      </c>
      <c r="R93" s="48">
        <f t="shared" si="25"/>
        <v>21.898539625359771</v>
      </c>
      <c r="S93" s="50">
        <f t="shared" si="26"/>
        <v>1.0303231159886344</v>
      </c>
      <c r="T93" s="45">
        <v>0.54500000000000004</v>
      </c>
      <c r="U93" s="45">
        <v>0.21372549019607839</v>
      </c>
      <c r="V93" s="45">
        <v>2.9248366013071889</v>
      </c>
      <c r="W93" s="45">
        <v>10.67368508341437</v>
      </c>
      <c r="X93" s="45">
        <v>11.07690665805791</v>
      </c>
      <c r="Y93" s="45">
        <v>4.9362329135730416</v>
      </c>
      <c r="Z93" s="45">
        <v>0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0</v>
      </c>
      <c r="AH93" s="45">
        <v>0</v>
      </c>
      <c r="AI93" s="45">
        <v>0</v>
      </c>
    </row>
    <row r="94" spans="1:35" x14ac:dyDescent="0.3">
      <c r="A94" s="15" t="s">
        <v>216</v>
      </c>
      <c r="B94" s="15" t="s">
        <v>146</v>
      </c>
      <c r="C94" s="42">
        <v>4</v>
      </c>
      <c r="D94" s="43">
        <v>1</v>
      </c>
      <c r="E94" s="44">
        <v>22.667925192798538</v>
      </c>
      <c r="F94" s="42">
        <v>4</v>
      </c>
      <c r="G94" s="45">
        <v>0.85314524515548984</v>
      </c>
      <c r="H94" s="46">
        <v>0</v>
      </c>
      <c r="I94" s="47">
        <v>2041</v>
      </c>
      <c r="J94" s="8">
        <f t="shared" si="18"/>
        <v>2044</v>
      </c>
      <c r="K94" s="8">
        <f t="shared" si="19"/>
        <v>2045</v>
      </c>
      <c r="L94" s="8">
        <f t="shared" si="20"/>
        <v>2084</v>
      </c>
      <c r="M94" s="8">
        <f t="shared" si="21"/>
        <v>40</v>
      </c>
      <c r="N94" s="8">
        <f t="shared" si="22"/>
        <v>0</v>
      </c>
      <c r="O94" s="48">
        <f t="shared" si="23"/>
        <v>17.021256909078975</v>
      </c>
      <c r="P94" s="44">
        <v>17.021256909078978</v>
      </c>
      <c r="Q94" s="49">
        <f t="shared" si="24"/>
        <v>0</v>
      </c>
      <c r="R94" s="48">
        <f t="shared" si="25"/>
        <v>16.47454661898395</v>
      </c>
      <c r="S94" s="50">
        <f t="shared" si="26"/>
        <v>1.0331851493542796</v>
      </c>
      <c r="T94" s="45">
        <v>9.8724658271460832</v>
      </c>
      <c r="U94" s="45">
        <v>4.2622626344937213</v>
      </c>
      <c r="V94" s="45">
        <v>4.2657448752081777</v>
      </c>
      <c r="W94" s="45">
        <v>4.267451855950557</v>
      </c>
      <c r="X94" s="45">
        <v>0</v>
      </c>
      <c r="Y94" s="45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0</v>
      </c>
      <c r="AH94" s="45">
        <v>0</v>
      </c>
      <c r="AI94" s="45">
        <v>0</v>
      </c>
    </row>
    <row r="95" spans="1:35" x14ac:dyDescent="0.3">
      <c r="A95" s="15" t="s">
        <v>217</v>
      </c>
      <c r="B95" s="15" t="s">
        <v>146</v>
      </c>
      <c r="C95" s="42">
        <v>4</v>
      </c>
      <c r="D95" s="43">
        <v>1.7</v>
      </c>
      <c r="E95" s="44">
        <v>21.708014225297958</v>
      </c>
      <c r="F95" s="42">
        <v>3</v>
      </c>
      <c r="G95" s="45">
        <v>1.3542448334721069</v>
      </c>
      <c r="H95" s="46">
        <v>0</v>
      </c>
      <c r="I95" s="47">
        <v>2036</v>
      </c>
      <c r="J95" s="8">
        <f t="shared" si="18"/>
        <v>2038</v>
      </c>
      <c r="K95" s="8">
        <f t="shared" si="19"/>
        <v>2039</v>
      </c>
      <c r="L95" s="8">
        <f t="shared" si="20"/>
        <v>2078</v>
      </c>
      <c r="M95" s="8">
        <f t="shared" si="21"/>
        <v>40</v>
      </c>
      <c r="N95" s="8">
        <f t="shared" si="22"/>
        <v>0</v>
      </c>
      <c r="O95" s="48">
        <f t="shared" si="23"/>
        <v>29.930340294053789</v>
      </c>
      <c r="P95" s="44">
        <v>29.930340294053799</v>
      </c>
      <c r="Q95" s="49">
        <f t="shared" si="24"/>
        <v>0</v>
      </c>
      <c r="R95" s="48">
        <f t="shared" si="25"/>
        <v>17.30250320528436</v>
      </c>
      <c r="S95" s="50">
        <f t="shared" si="26"/>
        <v>1.7298271781225714</v>
      </c>
      <c r="T95" s="45">
        <v>0.54500000000000004</v>
      </c>
      <c r="U95" s="45">
        <v>10.686274509803919</v>
      </c>
      <c r="V95" s="45">
        <v>10.476739715494039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</row>
    <row r="96" spans="1:35" x14ac:dyDescent="0.3">
      <c r="A96" s="15" t="s">
        <v>218</v>
      </c>
      <c r="B96" s="15" t="s">
        <v>146</v>
      </c>
      <c r="C96" s="42">
        <v>4</v>
      </c>
      <c r="D96" s="43">
        <v>2.56</v>
      </c>
      <c r="E96" s="44">
        <v>18.792150992863871</v>
      </c>
      <c r="F96" s="42">
        <v>2</v>
      </c>
      <c r="G96" s="45">
        <v>1.7660464676758429</v>
      </c>
      <c r="H96" s="46">
        <v>0</v>
      </c>
      <c r="I96" s="47">
        <v>2026</v>
      </c>
      <c r="J96" s="8">
        <f t="shared" si="18"/>
        <v>2027</v>
      </c>
      <c r="K96" s="8">
        <f t="shared" si="19"/>
        <v>2028</v>
      </c>
      <c r="L96" s="8">
        <f t="shared" si="20"/>
        <v>2067</v>
      </c>
      <c r="M96" s="8">
        <f t="shared" si="21"/>
        <v>40</v>
      </c>
      <c r="N96" s="8">
        <f t="shared" si="22"/>
        <v>0</v>
      </c>
      <c r="O96" s="48">
        <f t="shared" si="23"/>
        <v>47.640930162953325</v>
      </c>
      <c r="P96" s="44">
        <v>47.640930162953318</v>
      </c>
      <c r="Q96" s="49">
        <f t="shared" si="24"/>
        <v>0</v>
      </c>
      <c r="R96" s="48">
        <f t="shared" si="25"/>
        <v>18.609738344903636</v>
      </c>
      <c r="S96" s="50">
        <f t="shared" si="26"/>
        <v>2.5600000000000009</v>
      </c>
      <c r="T96" s="45">
        <v>9.4891059468916605</v>
      </c>
      <c r="U96" s="45">
        <v>9.3030450459722154</v>
      </c>
      <c r="V96" s="45">
        <v>0</v>
      </c>
      <c r="W96" s="45">
        <v>0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</row>
    <row r="97" spans="1:35" x14ac:dyDescent="0.3">
      <c r="A97" s="15" t="s">
        <v>219</v>
      </c>
      <c r="B97" s="15" t="s">
        <v>146</v>
      </c>
      <c r="C97" s="42">
        <v>3</v>
      </c>
      <c r="D97" s="43">
        <v>2.4</v>
      </c>
      <c r="E97" s="44">
        <v>13.06352362143585</v>
      </c>
      <c r="F97" s="42">
        <v>2</v>
      </c>
      <c r="G97" s="45">
        <v>1.155087062918825</v>
      </c>
      <c r="H97" s="46">
        <v>0</v>
      </c>
      <c r="I97" s="47">
        <v>2026</v>
      </c>
      <c r="J97" s="8">
        <f t="shared" si="18"/>
        <v>2027</v>
      </c>
      <c r="K97" s="8">
        <f t="shared" si="19"/>
        <v>2028</v>
      </c>
      <c r="L97" s="8">
        <f t="shared" si="20"/>
        <v>2067</v>
      </c>
      <c r="M97" s="8">
        <f t="shared" si="21"/>
        <v>40</v>
      </c>
      <c r="N97" s="8">
        <f t="shared" si="22"/>
        <v>0</v>
      </c>
      <c r="O97" s="48">
        <f t="shared" si="23"/>
        <v>31.15966827818896</v>
      </c>
      <c r="P97" s="44">
        <v>31.15966827818896</v>
      </c>
      <c r="Q97" s="49">
        <f t="shared" si="24"/>
        <v>0</v>
      </c>
      <c r="R97" s="48">
        <f t="shared" si="25"/>
        <v>12.983195115912071</v>
      </c>
      <c r="S97" s="50">
        <f t="shared" si="26"/>
        <v>2.399999999999999</v>
      </c>
      <c r="T97" s="45">
        <v>8.9667698397233107</v>
      </c>
      <c r="U97" s="45">
        <v>4.0967537817125352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</row>
    <row r="98" spans="1:35" x14ac:dyDescent="0.3">
      <c r="A98" s="15" t="s">
        <v>220</v>
      </c>
      <c r="B98" s="15" t="s">
        <v>146</v>
      </c>
      <c r="C98" s="42">
        <v>4</v>
      </c>
      <c r="D98" s="43">
        <v>3.2</v>
      </c>
      <c r="E98" s="44">
        <v>16.21399452876566</v>
      </c>
      <c r="F98" s="42">
        <v>4</v>
      </c>
      <c r="G98" s="45">
        <v>1.9121951881315249</v>
      </c>
      <c r="H98" s="46">
        <v>0</v>
      </c>
      <c r="I98" s="47">
        <v>2026</v>
      </c>
      <c r="J98" s="8">
        <f t="shared" si="18"/>
        <v>2029</v>
      </c>
      <c r="K98" s="8">
        <f t="shared" si="19"/>
        <v>2030</v>
      </c>
      <c r="L98" s="8">
        <f t="shared" si="20"/>
        <v>2069</v>
      </c>
      <c r="M98" s="8">
        <f t="shared" si="21"/>
        <v>40</v>
      </c>
      <c r="N98" s="8">
        <f t="shared" si="22"/>
        <v>0</v>
      </c>
      <c r="O98" s="48">
        <f t="shared" si="23"/>
        <v>49.69644173578596</v>
      </c>
      <c r="P98" s="44">
        <v>49.696441735785967</v>
      </c>
      <c r="Q98" s="49">
        <f t="shared" si="24"/>
        <v>0</v>
      </c>
      <c r="R98" s="48">
        <f t="shared" si="25"/>
        <v>15.530138042433109</v>
      </c>
      <c r="S98" s="50">
        <f t="shared" si="26"/>
        <v>3.2000000000000006</v>
      </c>
      <c r="T98" s="45">
        <v>1.0686274509803919</v>
      </c>
      <c r="U98" s="45">
        <v>0.94290657439446368</v>
      </c>
      <c r="V98" s="45">
        <v>8.1605114171774051</v>
      </c>
      <c r="W98" s="45">
        <v>6.0419490862134024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</row>
    <row r="99" spans="1:35" x14ac:dyDescent="0.3">
      <c r="A99" s="15" t="s">
        <v>221</v>
      </c>
      <c r="B99" s="15" t="s">
        <v>146</v>
      </c>
      <c r="C99" s="42">
        <v>3</v>
      </c>
      <c r="D99" s="43">
        <v>1.63</v>
      </c>
      <c r="E99" s="44">
        <v>13.67299115724721</v>
      </c>
      <c r="F99" s="42">
        <v>3</v>
      </c>
      <c r="G99" s="45">
        <v>0.8207903290451386</v>
      </c>
      <c r="H99" s="46">
        <v>0</v>
      </c>
      <c r="I99" s="47">
        <v>2036</v>
      </c>
      <c r="J99" s="8">
        <f t="shared" si="18"/>
        <v>2038</v>
      </c>
      <c r="K99" s="8">
        <f t="shared" si="19"/>
        <v>2039</v>
      </c>
      <c r="L99" s="8">
        <f t="shared" si="20"/>
        <v>2078</v>
      </c>
      <c r="M99" s="8">
        <f t="shared" si="21"/>
        <v>40</v>
      </c>
      <c r="N99" s="8">
        <f t="shared" si="22"/>
        <v>0</v>
      </c>
      <c r="O99" s="48">
        <f t="shared" si="23"/>
        <v>18.140393266558746</v>
      </c>
      <c r="P99" s="44">
        <v>18.140393266558739</v>
      </c>
      <c r="Q99" s="49">
        <f t="shared" si="24"/>
        <v>0</v>
      </c>
      <c r="R99" s="48">
        <f t="shared" si="25"/>
        <v>10.937178464699816</v>
      </c>
      <c r="S99" s="50">
        <f t="shared" si="26"/>
        <v>1.6585990001998776</v>
      </c>
      <c r="T99" s="45">
        <v>1.95</v>
      </c>
      <c r="U99" s="45">
        <v>5.9607843137254903</v>
      </c>
      <c r="V99" s="45">
        <v>5.7622068435217226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</row>
    <row r="100" spans="1:35" x14ac:dyDescent="0.3">
      <c r="A100" s="15" t="s">
        <v>222</v>
      </c>
      <c r="B100" s="15" t="s">
        <v>146</v>
      </c>
      <c r="C100" s="42">
        <v>3</v>
      </c>
      <c r="D100" s="43">
        <v>1</v>
      </c>
      <c r="E100" s="44">
        <v>13.67299115724721</v>
      </c>
      <c r="F100" s="42">
        <v>3</v>
      </c>
      <c r="G100" s="45">
        <v>0.50355234910744695</v>
      </c>
      <c r="H100" s="46">
        <v>0</v>
      </c>
      <c r="I100" s="47">
        <v>2042</v>
      </c>
      <c r="J100" s="8">
        <f t="shared" si="18"/>
        <v>2044</v>
      </c>
      <c r="K100" s="8">
        <f t="shared" si="19"/>
        <v>2045</v>
      </c>
      <c r="L100" s="8">
        <f t="shared" si="20"/>
        <v>2084</v>
      </c>
      <c r="M100" s="8">
        <f t="shared" si="21"/>
        <v>40</v>
      </c>
      <c r="N100" s="8">
        <f t="shared" si="22"/>
        <v>0</v>
      </c>
      <c r="O100" s="48">
        <f t="shared" si="23"/>
        <v>10.046465065589103</v>
      </c>
      <c r="P100" s="44">
        <v>10.0464650655891</v>
      </c>
      <c r="Q100" s="49">
        <f t="shared" si="24"/>
        <v>0</v>
      </c>
      <c r="R100" s="48">
        <f t="shared" si="25"/>
        <v>9.7119014785165501</v>
      </c>
      <c r="S100" s="50">
        <f t="shared" si="26"/>
        <v>1.0344488242403027</v>
      </c>
      <c r="T100" s="45">
        <v>1.95</v>
      </c>
      <c r="U100" s="45">
        <v>5.9607843137254903</v>
      </c>
      <c r="V100" s="45">
        <v>5.7622068435217226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0</v>
      </c>
    </row>
    <row r="101" spans="1:35" x14ac:dyDescent="0.3">
      <c r="A101" s="15" t="s">
        <v>223</v>
      </c>
      <c r="B101" s="15" t="s">
        <v>146</v>
      </c>
      <c r="C101" s="42">
        <v>3</v>
      </c>
      <c r="D101" s="43">
        <v>1.67</v>
      </c>
      <c r="E101" s="44">
        <v>11.881</v>
      </c>
      <c r="F101" s="42">
        <v>1</v>
      </c>
      <c r="G101" s="45">
        <v>0.72182213039097687</v>
      </c>
      <c r="H101" s="46">
        <v>0</v>
      </c>
      <c r="I101" s="47">
        <v>2037</v>
      </c>
      <c r="J101" s="8">
        <f t="shared" si="18"/>
        <v>2037</v>
      </c>
      <c r="K101" s="8">
        <f t="shared" si="19"/>
        <v>2038</v>
      </c>
      <c r="L101" s="8">
        <f t="shared" si="20"/>
        <v>2077</v>
      </c>
      <c r="M101" s="8">
        <f t="shared" si="21"/>
        <v>40</v>
      </c>
      <c r="N101" s="8">
        <f t="shared" si="22"/>
        <v>0</v>
      </c>
      <c r="O101" s="48">
        <f t="shared" si="23"/>
        <v>16.235044276515712</v>
      </c>
      <c r="P101" s="44">
        <v>16.235044276515719</v>
      </c>
      <c r="Q101" s="49">
        <f t="shared" si="24"/>
        <v>0</v>
      </c>
      <c r="R101" s="48">
        <f t="shared" si="25"/>
        <v>9.5554491674673692</v>
      </c>
      <c r="S101" s="50">
        <f t="shared" si="26"/>
        <v>1.6990351779369823</v>
      </c>
      <c r="T101" s="45">
        <v>11.881</v>
      </c>
      <c r="U101" s="45">
        <v>0</v>
      </c>
      <c r="V101" s="45">
        <v>0</v>
      </c>
      <c r="W101" s="45">
        <v>0</v>
      </c>
      <c r="X101" s="45">
        <v>0</v>
      </c>
      <c r="Y101" s="45">
        <v>0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0</v>
      </c>
      <c r="AF101" s="45">
        <v>0</v>
      </c>
      <c r="AG101" s="45">
        <v>0</v>
      </c>
      <c r="AH101" s="45">
        <v>0</v>
      </c>
      <c r="AI101" s="45">
        <v>0</v>
      </c>
    </row>
    <row r="102" spans="1:35" x14ac:dyDescent="0.3">
      <c r="A102" s="15" t="s">
        <v>224</v>
      </c>
      <c r="B102" s="15" t="s">
        <v>146</v>
      </c>
      <c r="C102" s="42">
        <v>3</v>
      </c>
      <c r="D102" s="43">
        <v>2.94</v>
      </c>
      <c r="E102" s="44">
        <v>11.06142560553633</v>
      </c>
      <c r="F102" s="42">
        <v>3</v>
      </c>
      <c r="G102" s="45">
        <v>1.2043315653866939</v>
      </c>
      <c r="H102" s="46">
        <v>0</v>
      </c>
      <c r="I102" s="47">
        <v>2027</v>
      </c>
      <c r="J102" s="8">
        <f t="shared" si="18"/>
        <v>2029</v>
      </c>
      <c r="K102" s="8">
        <f t="shared" si="19"/>
        <v>2030</v>
      </c>
      <c r="L102" s="8">
        <f t="shared" si="20"/>
        <v>2069</v>
      </c>
      <c r="M102" s="8">
        <f t="shared" si="21"/>
        <v>40</v>
      </c>
      <c r="N102" s="8">
        <f t="shared" si="22"/>
        <v>0</v>
      </c>
      <c r="O102" s="48">
        <f t="shared" si="23"/>
        <v>31.299625603749323</v>
      </c>
      <c r="P102" s="44">
        <v>31.29962560374933</v>
      </c>
      <c r="Q102" s="49">
        <f t="shared" si="24"/>
        <v>0</v>
      </c>
      <c r="R102" s="48">
        <f t="shared" si="25"/>
        <v>10.633125924166052</v>
      </c>
      <c r="S102" s="50">
        <f t="shared" si="26"/>
        <v>2.9435958745315181</v>
      </c>
      <c r="T102" s="45">
        <v>0.218</v>
      </c>
      <c r="U102" s="45">
        <v>10.686274509803919</v>
      </c>
      <c r="V102" s="45">
        <v>0.1571510957324106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0</v>
      </c>
      <c r="AH102" s="45">
        <v>0</v>
      </c>
      <c r="AI102" s="45">
        <v>0</v>
      </c>
    </row>
    <row r="103" spans="1:35" x14ac:dyDescent="0.3">
      <c r="A103" s="15" t="s">
        <v>225</v>
      </c>
      <c r="B103" s="15" t="s">
        <v>146</v>
      </c>
      <c r="C103" s="42">
        <v>3</v>
      </c>
      <c r="D103" s="43">
        <v>2.4900000000000002</v>
      </c>
      <c r="E103" s="44">
        <v>9.6976119186998293</v>
      </c>
      <c r="F103" s="42">
        <v>4</v>
      </c>
      <c r="G103" s="45">
        <v>0.87750413069423461</v>
      </c>
      <c r="H103" s="46">
        <v>0</v>
      </c>
      <c r="I103" s="47">
        <v>2029</v>
      </c>
      <c r="J103" s="8">
        <f t="shared" si="18"/>
        <v>2032</v>
      </c>
      <c r="K103" s="8">
        <f t="shared" si="19"/>
        <v>2033</v>
      </c>
      <c r="L103" s="8">
        <f t="shared" si="20"/>
        <v>2072</v>
      </c>
      <c r="M103" s="8">
        <f t="shared" si="21"/>
        <v>40</v>
      </c>
      <c r="N103" s="8">
        <f t="shared" si="22"/>
        <v>0</v>
      </c>
      <c r="O103" s="48">
        <f t="shared" si="23"/>
        <v>21.583516454667738</v>
      </c>
      <c r="P103" s="44">
        <v>21.583516454667741</v>
      </c>
      <c r="Q103" s="49">
        <f t="shared" si="24"/>
        <v>0</v>
      </c>
      <c r="R103" s="48">
        <f t="shared" si="25"/>
        <v>8.6306276538530629</v>
      </c>
      <c r="S103" s="50">
        <f t="shared" si="26"/>
        <v>2.5008049611585292</v>
      </c>
      <c r="T103" s="45">
        <v>0.32058823529411767</v>
      </c>
      <c r="U103" s="45">
        <v>0</v>
      </c>
      <c r="V103" s="45">
        <v>0.1127017512118265</v>
      </c>
      <c r="W103" s="45">
        <v>9.2643219321938854</v>
      </c>
      <c r="X103" s="45">
        <v>0</v>
      </c>
      <c r="Y103" s="45">
        <v>0</v>
      </c>
      <c r="Z103" s="45">
        <v>0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0</v>
      </c>
      <c r="AH103" s="45">
        <v>0</v>
      </c>
      <c r="AI103" s="45">
        <v>0</v>
      </c>
    </row>
    <row r="104" spans="1:35" x14ac:dyDescent="0.3">
      <c r="A104" s="15" t="s">
        <v>226</v>
      </c>
      <c r="B104" s="15" t="s">
        <v>146</v>
      </c>
      <c r="C104" s="42">
        <v>3</v>
      </c>
      <c r="D104" s="43">
        <v>1</v>
      </c>
      <c r="E104" s="44">
        <v>12.409649055512171</v>
      </c>
      <c r="F104" s="42">
        <v>4</v>
      </c>
      <c r="G104" s="45">
        <v>0.45993344210028858</v>
      </c>
      <c r="H104" s="46">
        <v>0</v>
      </c>
      <c r="I104" s="47">
        <v>2041</v>
      </c>
      <c r="J104" s="8">
        <f t="shared" si="18"/>
        <v>2044</v>
      </c>
      <c r="K104" s="8">
        <f t="shared" si="19"/>
        <v>2045</v>
      </c>
      <c r="L104" s="8">
        <f t="shared" si="20"/>
        <v>2084</v>
      </c>
      <c r="M104" s="8">
        <f t="shared" si="21"/>
        <v>40</v>
      </c>
      <c r="N104" s="8">
        <f t="shared" si="22"/>
        <v>0</v>
      </c>
      <c r="O104" s="48">
        <f t="shared" si="23"/>
        <v>9.1762162697621346</v>
      </c>
      <c r="P104" s="44">
        <v>9.1762162697621346</v>
      </c>
      <c r="Q104" s="49">
        <f t="shared" si="24"/>
        <v>0</v>
      </c>
      <c r="R104" s="48">
        <f t="shared" si="25"/>
        <v>8.8814829321705684</v>
      </c>
      <c r="S104" s="50">
        <f t="shared" si="26"/>
        <v>1.0331851493542796</v>
      </c>
      <c r="T104" s="45">
        <v>0.64117647058823535</v>
      </c>
      <c r="U104" s="45">
        <v>2.2904652056901189</v>
      </c>
      <c r="V104" s="45">
        <v>7.175784577575743</v>
      </c>
      <c r="W104" s="45">
        <v>2.3022228016580728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</row>
    <row r="105" spans="1:35" x14ac:dyDescent="0.3">
      <c r="A105" s="15" t="s">
        <v>227</v>
      </c>
      <c r="B105" s="15" t="s">
        <v>146</v>
      </c>
      <c r="C105" s="42">
        <v>3</v>
      </c>
      <c r="D105" s="43">
        <v>1.33</v>
      </c>
      <c r="E105" s="44">
        <v>8.2256236894674402</v>
      </c>
      <c r="F105" s="42">
        <v>5</v>
      </c>
      <c r="G105" s="45">
        <v>0.40923047446590599</v>
      </c>
      <c r="H105" s="46">
        <v>0</v>
      </c>
      <c r="I105" s="47">
        <v>2040</v>
      </c>
      <c r="J105" s="8">
        <f t="shared" si="18"/>
        <v>2044</v>
      </c>
      <c r="K105" s="8">
        <f t="shared" si="19"/>
        <v>2045</v>
      </c>
      <c r="L105" s="8">
        <f t="shared" si="20"/>
        <v>2084</v>
      </c>
      <c r="M105" s="8">
        <f t="shared" si="21"/>
        <v>40</v>
      </c>
      <c r="N105" s="8">
        <f t="shared" si="22"/>
        <v>0</v>
      </c>
      <c r="O105" s="48">
        <f t="shared" si="23"/>
        <v>8.164632083999896</v>
      </c>
      <c r="P105" s="44">
        <v>8.164632083999896</v>
      </c>
      <c r="Q105" s="49">
        <f t="shared" si="24"/>
        <v>0</v>
      </c>
      <c r="R105" s="48">
        <f t="shared" si="25"/>
        <v>5.94956245439458</v>
      </c>
      <c r="S105" s="50">
        <f t="shared" si="26"/>
        <v>1.3723079884587444</v>
      </c>
      <c r="T105" s="45">
        <v>0.69063823529411761</v>
      </c>
      <c r="U105" s="45">
        <v>1.492351980007689</v>
      </c>
      <c r="V105" s="45">
        <v>2.5494992499114209</v>
      </c>
      <c r="W105" s="45">
        <v>1.02710547698435</v>
      </c>
      <c r="X105" s="45">
        <v>2.466028747269863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</row>
    <row r="106" spans="1:35" x14ac:dyDescent="0.3">
      <c r="A106" s="15" t="s">
        <v>228</v>
      </c>
      <c r="B106" s="15" t="s">
        <v>146</v>
      </c>
      <c r="C106" s="42">
        <v>3</v>
      </c>
      <c r="D106" s="43">
        <v>1.43</v>
      </c>
      <c r="E106" s="44">
        <v>6.308087308727413</v>
      </c>
      <c r="F106" s="42">
        <v>3</v>
      </c>
      <c r="G106" s="45">
        <v>0.32858139973606387</v>
      </c>
      <c r="H106" s="46">
        <v>0</v>
      </c>
      <c r="I106" s="47">
        <v>2039</v>
      </c>
      <c r="J106" s="8">
        <f t="shared" si="18"/>
        <v>2041</v>
      </c>
      <c r="K106" s="8">
        <f t="shared" si="19"/>
        <v>2042</v>
      </c>
      <c r="L106" s="8">
        <f t="shared" si="20"/>
        <v>2081</v>
      </c>
      <c r="M106" s="8">
        <f t="shared" si="21"/>
        <v>40</v>
      </c>
      <c r="N106" s="8">
        <f t="shared" si="22"/>
        <v>0</v>
      </c>
      <c r="O106" s="48">
        <f t="shared" si="23"/>
        <v>6.8955718701943125</v>
      </c>
      <c r="P106" s="44">
        <v>6.8955718701943134</v>
      </c>
      <c r="Q106" s="49">
        <f t="shared" si="24"/>
        <v>0</v>
      </c>
      <c r="R106" s="48">
        <f t="shared" si="25"/>
        <v>4.7029146265737216</v>
      </c>
      <c r="S106" s="50">
        <f t="shared" si="26"/>
        <v>1.4662336907480793</v>
      </c>
      <c r="T106" s="45">
        <v>1.09E-3</v>
      </c>
      <c r="U106" s="45">
        <v>1.0686274509803919</v>
      </c>
      <c r="V106" s="45">
        <v>5.2383698577470206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</row>
    <row r="107" spans="1:35" x14ac:dyDescent="0.3">
      <c r="A107" s="15" t="s">
        <v>229</v>
      </c>
      <c r="B107" s="15" t="s">
        <v>146</v>
      </c>
      <c r="C107" s="42">
        <v>3</v>
      </c>
      <c r="D107" s="43">
        <v>1.48</v>
      </c>
      <c r="E107" s="44">
        <v>5.6237160820498904</v>
      </c>
      <c r="F107" s="42">
        <v>4</v>
      </c>
      <c r="G107" s="45">
        <v>0.30682569203849269</v>
      </c>
      <c r="H107" s="46">
        <v>0</v>
      </c>
      <c r="I107" s="47">
        <v>2039</v>
      </c>
      <c r="J107" s="8">
        <f t="shared" si="18"/>
        <v>2042</v>
      </c>
      <c r="K107" s="8">
        <f t="shared" si="19"/>
        <v>2043</v>
      </c>
      <c r="L107" s="8">
        <f t="shared" si="20"/>
        <v>2082</v>
      </c>
      <c r="M107" s="8">
        <f t="shared" si="21"/>
        <v>40</v>
      </c>
      <c r="N107" s="8">
        <f t="shared" si="22"/>
        <v>0</v>
      </c>
      <c r="O107" s="48">
        <f t="shared" si="23"/>
        <v>6.3305221420146003</v>
      </c>
      <c r="P107" s="44">
        <v>6.3305221420146021</v>
      </c>
      <c r="Q107" s="49">
        <f t="shared" si="24"/>
        <v>0</v>
      </c>
      <c r="R107" s="48">
        <f t="shared" si="25"/>
        <v>4.1650560244622126</v>
      </c>
      <c r="S107" s="50">
        <f t="shared" si="26"/>
        <v>1.5199128426686626</v>
      </c>
      <c r="T107" s="45">
        <v>0.16200000000000001</v>
      </c>
      <c r="U107" s="45">
        <v>0.58039215686274503</v>
      </c>
      <c r="V107" s="45">
        <v>3.0324875048058439</v>
      </c>
      <c r="W107" s="45">
        <v>1.848836420381301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</row>
    <row r="108" spans="1:35" x14ac:dyDescent="0.3">
      <c r="A108" s="15" t="s">
        <v>230</v>
      </c>
      <c r="B108" s="15" t="s">
        <v>146</v>
      </c>
      <c r="C108" s="42">
        <v>3</v>
      </c>
      <c r="D108" s="43">
        <v>1</v>
      </c>
      <c r="E108" s="44">
        <v>5.2549019607843137</v>
      </c>
      <c r="F108" s="42">
        <v>2</v>
      </c>
      <c r="G108" s="45">
        <v>0.1931599037366914</v>
      </c>
      <c r="H108" s="46">
        <v>0</v>
      </c>
      <c r="I108" s="47">
        <v>2043</v>
      </c>
      <c r="J108" s="8">
        <f t="shared" si="18"/>
        <v>2044</v>
      </c>
      <c r="K108" s="8">
        <f t="shared" si="19"/>
        <v>2045</v>
      </c>
      <c r="L108" s="8">
        <f t="shared" si="20"/>
        <v>2084</v>
      </c>
      <c r="M108" s="8">
        <f t="shared" si="21"/>
        <v>40</v>
      </c>
      <c r="N108" s="8">
        <f t="shared" si="22"/>
        <v>0</v>
      </c>
      <c r="O108" s="48">
        <f t="shared" si="23"/>
        <v>3.8537685871248883</v>
      </c>
      <c r="P108" s="44">
        <v>3.853768587124887</v>
      </c>
      <c r="Q108" s="49">
        <f t="shared" si="24"/>
        <v>0</v>
      </c>
      <c r="R108" s="48">
        <f t="shared" si="25"/>
        <v>3.7212784348663095</v>
      </c>
      <c r="S108" s="50">
        <f t="shared" si="26"/>
        <v>1.0356033966760509</v>
      </c>
      <c r="T108" s="45">
        <v>3</v>
      </c>
      <c r="U108" s="45">
        <v>2.2549019607843142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</row>
    <row r="109" spans="1:35" x14ac:dyDescent="0.3">
      <c r="A109" s="15" t="s">
        <v>231</v>
      </c>
      <c r="B109" s="15" t="s">
        <v>146</v>
      </c>
      <c r="C109" s="42">
        <v>2</v>
      </c>
      <c r="D109" s="43">
        <v>1.5</v>
      </c>
      <c r="E109" s="44">
        <v>3.5977124183006528</v>
      </c>
      <c r="F109" s="42">
        <v>2</v>
      </c>
      <c r="G109" s="45">
        <v>0.19810861970916771</v>
      </c>
      <c r="H109" s="46">
        <v>0</v>
      </c>
      <c r="I109" s="47">
        <v>2040</v>
      </c>
      <c r="J109" s="8">
        <f t="shared" si="18"/>
        <v>2041</v>
      </c>
      <c r="K109" s="8">
        <f t="shared" si="19"/>
        <v>2042</v>
      </c>
      <c r="L109" s="8">
        <f t="shared" si="20"/>
        <v>2081</v>
      </c>
      <c r="M109" s="8">
        <f t="shared" si="21"/>
        <v>40</v>
      </c>
      <c r="N109" s="8">
        <f t="shared" si="22"/>
        <v>0</v>
      </c>
      <c r="O109" s="48">
        <f t="shared" si="23"/>
        <v>4.1574849532166755</v>
      </c>
      <c r="P109" s="44">
        <v>4.1574849532166747</v>
      </c>
      <c r="Q109" s="49">
        <f t="shared" si="24"/>
        <v>0</v>
      </c>
      <c r="R109" s="48">
        <f t="shared" si="25"/>
        <v>2.7001495229162504</v>
      </c>
      <c r="S109" s="50">
        <f t="shared" si="26"/>
        <v>1.5397239737769983</v>
      </c>
      <c r="T109" s="45">
        <v>1.816666666666666</v>
      </c>
      <c r="U109" s="45">
        <v>1.781045751633987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</row>
    <row r="110" spans="1:35" x14ac:dyDescent="0.3">
      <c r="A110" s="15" t="s">
        <v>232</v>
      </c>
      <c r="B110" s="15" t="s">
        <v>146</v>
      </c>
      <c r="C110" s="42">
        <v>2</v>
      </c>
      <c r="D110" s="43">
        <v>1</v>
      </c>
      <c r="E110" s="44">
        <v>3.597</v>
      </c>
      <c r="F110" s="42">
        <v>1</v>
      </c>
      <c r="G110" s="45">
        <v>0.13085826678515761</v>
      </c>
      <c r="H110" s="46">
        <v>0</v>
      </c>
      <c r="I110" s="47">
        <v>2042</v>
      </c>
      <c r="J110" s="8">
        <f t="shared" si="18"/>
        <v>2042</v>
      </c>
      <c r="K110" s="8">
        <f t="shared" si="19"/>
        <v>2043</v>
      </c>
      <c r="L110" s="8">
        <f t="shared" si="20"/>
        <v>2082</v>
      </c>
      <c r="M110" s="8">
        <f t="shared" si="21"/>
        <v>40</v>
      </c>
      <c r="N110" s="8">
        <f t="shared" si="22"/>
        <v>0</v>
      </c>
      <c r="O110" s="48">
        <f t="shared" si="23"/>
        <v>2.6999080482646391</v>
      </c>
      <c r="P110" s="44">
        <v>2.6999080482646369</v>
      </c>
      <c r="Q110" s="49">
        <f t="shared" si="24"/>
        <v>0</v>
      </c>
      <c r="R110" s="48">
        <f t="shared" si="25"/>
        <v>2.6202195919301006</v>
      </c>
      <c r="S110" s="50">
        <f t="shared" si="26"/>
        <v>1.0304128923316074</v>
      </c>
      <c r="T110" s="45">
        <v>3.597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</row>
    <row r="111" spans="1:35" x14ac:dyDescent="0.3">
      <c r="A111" s="15" t="s">
        <v>233</v>
      </c>
      <c r="B111" s="15" t="s">
        <v>146</v>
      </c>
      <c r="C111" s="42">
        <v>2</v>
      </c>
      <c r="D111" s="43">
        <v>1</v>
      </c>
      <c r="E111" s="44">
        <v>3.3626563078832858</v>
      </c>
      <c r="F111" s="42">
        <v>6</v>
      </c>
      <c r="G111" s="45">
        <v>0.12686622602917241</v>
      </c>
      <c r="H111" s="46">
        <v>0</v>
      </c>
      <c r="I111" s="47">
        <v>2039</v>
      </c>
      <c r="J111" s="8">
        <f t="shared" si="18"/>
        <v>2044</v>
      </c>
      <c r="K111" s="8">
        <f t="shared" si="19"/>
        <v>2045</v>
      </c>
      <c r="L111" s="8">
        <f t="shared" si="20"/>
        <v>2084</v>
      </c>
      <c r="M111" s="8">
        <f t="shared" si="21"/>
        <v>40</v>
      </c>
      <c r="N111" s="8">
        <f t="shared" si="22"/>
        <v>0</v>
      </c>
      <c r="O111" s="48">
        <f t="shared" si="23"/>
        <v>2.5311312916410387</v>
      </c>
      <c r="P111" s="44">
        <v>2.5311312916410409</v>
      </c>
      <c r="Q111" s="49">
        <f t="shared" si="24"/>
        <v>0</v>
      </c>
      <c r="R111" s="48">
        <f t="shared" si="25"/>
        <v>2.4566383616583454</v>
      </c>
      <c r="S111" s="50">
        <f t="shared" si="26"/>
        <v>1.0303231159886337</v>
      </c>
      <c r="T111" s="45">
        <v>0.11586399999999999</v>
      </c>
      <c r="U111" s="45">
        <v>0.63033921568627449</v>
      </c>
      <c r="V111" s="45">
        <v>0.8165090349865437</v>
      </c>
      <c r="W111" s="45">
        <v>0.50225874663590919</v>
      </c>
      <c r="X111" s="45">
        <v>0.58703170829661966</v>
      </c>
      <c r="Y111" s="45">
        <v>0.71065360227793883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</row>
    <row r="112" spans="1:35" x14ac:dyDescent="0.3">
      <c r="A112" s="15" t="s">
        <v>234</v>
      </c>
      <c r="B112" s="15" t="s">
        <v>146</v>
      </c>
      <c r="C112" s="42">
        <v>2</v>
      </c>
      <c r="D112" s="43">
        <v>2.65</v>
      </c>
      <c r="E112" s="44">
        <v>2.8233730000000001</v>
      </c>
      <c r="F112" s="42">
        <v>1</v>
      </c>
      <c r="G112" s="45">
        <v>0.27219168689469792</v>
      </c>
      <c r="H112" s="46">
        <v>0</v>
      </c>
      <c r="I112" s="47">
        <v>2026</v>
      </c>
      <c r="J112" s="8">
        <f t="shared" si="18"/>
        <v>2026</v>
      </c>
      <c r="K112" s="8">
        <f t="shared" si="19"/>
        <v>2027</v>
      </c>
      <c r="L112" s="8">
        <f t="shared" si="20"/>
        <v>2066</v>
      </c>
      <c r="M112" s="8">
        <f t="shared" si="21"/>
        <v>40</v>
      </c>
      <c r="N112" s="8">
        <f t="shared" si="22"/>
        <v>0</v>
      </c>
      <c r="O112" s="48">
        <f t="shared" si="23"/>
        <v>7.4819384499999977</v>
      </c>
      <c r="P112" s="44">
        <v>7.4819384500000012</v>
      </c>
      <c r="Q112" s="49">
        <f t="shared" si="24"/>
        <v>0</v>
      </c>
      <c r="R112" s="48">
        <f t="shared" si="25"/>
        <v>2.8233730000000001</v>
      </c>
      <c r="S112" s="50">
        <f t="shared" si="26"/>
        <v>2.649999999999999</v>
      </c>
      <c r="T112" s="45">
        <v>2.8233730000000001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0</v>
      </c>
      <c r="AI112" s="45">
        <v>0</v>
      </c>
    </row>
    <row r="113" spans="1:62" x14ac:dyDescent="0.3">
      <c r="A113" s="15" t="s">
        <v>235</v>
      </c>
      <c r="B113" s="15" t="s">
        <v>146</v>
      </c>
      <c r="C113" s="42">
        <v>2</v>
      </c>
      <c r="D113" s="43">
        <v>1</v>
      </c>
      <c r="E113" s="44">
        <v>1.7251178588928839</v>
      </c>
      <c r="F113" s="42">
        <v>3</v>
      </c>
      <c r="G113" s="45">
        <v>6.3891432487557437E-2</v>
      </c>
      <c r="H113" s="46">
        <v>0</v>
      </c>
      <c r="I113" s="47">
        <v>2042</v>
      </c>
      <c r="J113" s="8">
        <f t="shared" si="18"/>
        <v>2044</v>
      </c>
      <c r="K113" s="8">
        <f t="shared" si="19"/>
        <v>2045</v>
      </c>
      <c r="L113" s="8">
        <f t="shared" si="20"/>
        <v>2084</v>
      </c>
      <c r="M113" s="8">
        <f t="shared" si="21"/>
        <v>40</v>
      </c>
      <c r="N113" s="8">
        <f t="shared" si="22"/>
        <v>0</v>
      </c>
      <c r="O113" s="48">
        <f t="shared" si="23"/>
        <v>1.2747096614968363</v>
      </c>
      <c r="P113" s="44">
        <v>1.274709661496837</v>
      </c>
      <c r="Q113" s="49">
        <f t="shared" si="24"/>
        <v>0</v>
      </c>
      <c r="R113" s="48">
        <f t="shared" si="25"/>
        <v>1.2322597615527093</v>
      </c>
      <c r="S113" s="50">
        <f t="shared" si="26"/>
        <v>1.0344488242403029</v>
      </c>
      <c r="T113" s="45">
        <v>0.51287450980392157</v>
      </c>
      <c r="U113" s="45">
        <v>0.70661956939638604</v>
      </c>
      <c r="V113" s="45">
        <v>0.50562377969257677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</row>
    <row r="114" spans="1:62" x14ac:dyDescent="0.3">
      <c r="A114" s="15" t="s">
        <v>236</v>
      </c>
      <c r="B114" s="15" t="s">
        <v>146</v>
      </c>
      <c r="C114" s="42">
        <v>2</v>
      </c>
      <c r="D114" s="43">
        <v>1.36</v>
      </c>
      <c r="E114" s="44">
        <v>1.3199078431372551</v>
      </c>
      <c r="F114" s="42">
        <v>3</v>
      </c>
      <c r="G114" s="45">
        <v>6.6228288230541679E-2</v>
      </c>
      <c r="H114" s="46">
        <v>0</v>
      </c>
      <c r="I114" s="47">
        <v>2041</v>
      </c>
      <c r="J114" s="8">
        <f t="shared" si="18"/>
        <v>2043</v>
      </c>
      <c r="K114" s="8">
        <f t="shared" si="19"/>
        <v>2044</v>
      </c>
      <c r="L114" s="8">
        <f t="shared" si="20"/>
        <v>2083</v>
      </c>
      <c r="M114" s="8">
        <f t="shared" si="21"/>
        <v>40</v>
      </c>
      <c r="N114" s="8">
        <f t="shared" si="22"/>
        <v>0</v>
      </c>
      <c r="O114" s="48">
        <f t="shared" si="23"/>
        <v>1.3436046002669095</v>
      </c>
      <c r="P114" s="44">
        <v>1.34360460026691</v>
      </c>
      <c r="Q114" s="49">
        <f t="shared" si="24"/>
        <v>0</v>
      </c>
      <c r="R114" s="48">
        <f t="shared" si="25"/>
        <v>0.95799763151622108</v>
      </c>
      <c r="S114" s="50">
        <f t="shared" si="26"/>
        <v>1.4025134886193706</v>
      </c>
      <c r="T114" s="45">
        <v>0.27029999999999998</v>
      </c>
      <c r="U114" s="45">
        <v>0.53</v>
      </c>
      <c r="V114" s="45">
        <v>0.51960784313725494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0</v>
      </c>
      <c r="AH114" s="45">
        <v>0</v>
      </c>
      <c r="AI114" s="45">
        <v>0</v>
      </c>
    </row>
    <row r="115" spans="1:62" x14ac:dyDescent="0.3">
      <c r="A115" s="15" t="s">
        <v>237</v>
      </c>
      <c r="B115" s="15" t="s">
        <v>146</v>
      </c>
      <c r="C115" s="42">
        <v>1</v>
      </c>
      <c r="D115" s="43">
        <v>1.32</v>
      </c>
      <c r="E115" s="44">
        <v>1.2043759999999999</v>
      </c>
      <c r="F115" s="42">
        <v>1</v>
      </c>
      <c r="G115" s="45">
        <v>5.7835800336749003E-2</v>
      </c>
      <c r="H115" s="46">
        <v>0</v>
      </c>
      <c r="I115" s="47">
        <v>2037</v>
      </c>
      <c r="J115" s="8">
        <f t="shared" si="18"/>
        <v>2037</v>
      </c>
      <c r="K115" s="8">
        <f t="shared" si="19"/>
        <v>2038</v>
      </c>
      <c r="L115" s="8">
        <f t="shared" si="20"/>
        <v>2077</v>
      </c>
      <c r="M115" s="8">
        <f t="shared" si="21"/>
        <v>40</v>
      </c>
      <c r="N115" s="8">
        <f t="shared" si="22"/>
        <v>0</v>
      </c>
      <c r="O115" s="48">
        <f t="shared" si="23"/>
        <v>1.3008284724191659</v>
      </c>
      <c r="P115" s="44">
        <v>1.300828472419165</v>
      </c>
      <c r="Q115" s="49">
        <f t="shared" si="24"/>
        <v>0</v>
      </c>
      <c r="R115" s="48">
        <f t="shared" si="25"/>
        <v>0.96863510197101921</v>
      </c>
      <c r="S115" s="50">
        <f t="shared" si="26"/>
        <v>1.3429499610040827</v>
      </c>
      <c r="T115" s="45">
        <v>1.2043759999999999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</row>
    <row r="116" spans="1:62" x14ac:dyDescent="0.3">
      <c r="A116" s="15" t="s">
        <v>238</v>
      </c>
      <c r="B116" s="15" t="s">
        <v>146</v>
      </c>
      <c r="C116" s="42">
        <v>2</v>
      </c>
      <c r="D116" s="43">
        <v>1</v>
      </c>
      <c r="E116" s="44">
        <v>1.2762487058823531</v>
      </c>
      <c r="F116" s="42">
        <v>2</v>
      </c>
      <c r="G116" s="45">
        <v>4.7265933196042102E-2</v>
      </c>
      <c r="H116" s="46">
        <v>0</v>
      </c>
      <c r="I116" s="47">
        <v>2042</v>
      </c>
      <c r="J116" s="8">
        <f t="shared" si="18"/>
        <v>2043</v>
      </c>
      <c r="K116" s="8">
        <f t="shared" si="19"/>
        <v>2044</v>
      </c>
      <c r="L116" s="8">
        <f t="shared" si="20"/>
        <v>2083</v>
      </c>
      <c r="M116" s="8">
        <f t="shared" si="21"/>
        <v>40</v>
      </c>
      <c r="N116" s="8">
        <f t="shared" si="22"/>
        <v>0</v>
      </c>
      <c r="O116" s="48">
        <f t="shared" si="23"/>
        <v>0.9589063370782398</v>
      </c>
      <c r="P116" s="44">
        <v>0.95890633707823991</v>
      </c>
      <c r="Q116" s="49">
        <f t="shared" si="24"/>
        <v>0</v>
      </c>
      <c r="R116" s="48">
        <f t="shared" si="25"/>
        <v>0.92880296787137695</v>
      </c>
      <c r="S116" s="50">
        <f t="shared" si="26"/>
        <v>1.0324109313257832</v>
      </c>
      <c r="T116" s="45">
        <v>1.2149840000000001</v>
      </c>
      <c r="U116" s="45">
        <v>6.1264705882352943E-2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</row>
    <row r="117" spans="1:62" x14ac:dyDescent="0.3">
      <c r="A117" s="15" t="s">
        <v>239</v>
      </c>
      <c r="B117" s="15" t="s">
        <v>146</v>
      </c>
      <c r="C117" s="42">
        <v>1</v>
      </c>
      <c r="D117" s="43">
        <v>1.47</v>
      </c>
      <c r="E117" s="44">
        <v>1.0588235294117641</v>
      </c>
      <c r="F117" s="42">
        <v>1</v>
      </c>
      <c r="G117" s="45">
        <v>5.6624143307908069E-2</v>
      </c>
      <c r="H117" s="46">
        <v>0</v>
      </c>
      <c r="I117" s="47">
        <v>2037</v>
      </c>
      <c r="J117" s="8">
        <f t="shared" si="18"/>
        <v>2037</v>
      </c>
      <c r="K117" s="8">
        <f t="shared" si="19"/>
        <v>2038</v>
      </c>
      <c r="L117" s="8">
        <f t="shared" si="20"/>
        <v>2077</v>
      </c>
      <c r="M117" s="8">
        <f t="shared" si="21"/>
        <v>40</v>
      </c>
      <c r="N117" s="8">
        <f t="shared" si="22"/>
        <v>0</v>
      </c>
      <c r="O117" s="48">
        <f t="shared" si="23"/>
        <v>1.2735761831321517</v>
      </c>
      <c r="P117" s="44">
        <v>1.2735761831321519</v>
      </c>
      <c r="Q117" s="49">
        <f t="shared" si="24"/>
        <v>0</v>
      </c>
      <c r="R117" s="48">
        <f t="shared" si="25"/>
        <v>0.85157262962818803</v>
      </c>
      <c r="S117" s="50">
        <f t="shared" si="26"/>
        <v>1.4955579111181838</v>
      </c>
      <c r="T117" s="45">
        <v>1.0588235294117641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</row>
    <row r="118" spans="1:62" x14ac:dyDescent="0.3">
      <c r="A118" s="15" t="s">
        <v>240</v>
      </c>
      <c r="B118" s="15" t="s">
        <v>146</v>
      </c>
      <c r="C118" s="42">
        <v>1</v>
      </c>
      <c r="D118" s="43">
        <v>1.96</v>
      </c>
      <c r="E118" s="44">
        <v>0.84528292156862739</v>
      </c>
      <c r="F118" s="42">
        <v>2</v>
      </c>
      <c r="G118" s="45">
        <v>6.1019663287427868E-2</v>
      </c>
      <c r="H118" s="46">
        <v>0</v>
      </c>
      <c r="I118" s="47">
        <v>2032</v>
      </c>
      <c r="J118" s="8">
        <f t="shared" si="18"/>
        <v>2033</v>
      </c>
      <c r="K118" s="8">
        <f t="shared" si="19"/>
        <v>2034</v>
      </c>
      <c r="L118" s="8">
        <f t="shared" si="20"/>
        <v>2073</v>
      </c>
      <c r="M118" s="8">
        <f t="shared" si="21"/>
        <v>40</v>
      </c>
      <c r="N118" s="8">
        <f t="shared" si="22"/>
        <v>0</v>
      </c>
      <c r="O118" s="48">
        <f t="shared" si="23"/>
        <v>1.4739021226131792</v>
      </c>
      <c r="P118" s="44">
        <v>1.473902122613179</v>
      </c>
      <c r="Q118" s="49">
        <f t="shared" si="24"/>
        <v>0</v>
      </c>
      <c r="R118" s="48">
        <f t="shared" si="25"/>
        <v>0.74574579077117487</v>
      </c>
      <c r="S118" s="50">
        <f t="shared" si="26"/>
        <v>1.9764135994505831</v>
      </c>
      <c r="T118" s="45">
        <v>0.56722899999999998</v>
      </c>
      <c r="U118" s="45">
        <v>0.2780539215686274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</row>
    <row r="119" spans="1:62" x14ac:dyDescent="0.3">
      <c r="A119" s="15" t="s">
        <v>241</v>
      </c>
      <c r="B119" s="15" t="s">
        <v>146</v>
      </c>
      <c r="C119" s="42">
        <v>1</v>
      </c>
      <c r="D119" s="43">
        <v>1.97</v>
      </c>
      <c r="E119" s="44">
        <v>0.79345245098039219</v>
      </c>
      <c r="F119" s="42">
        <v>2</v>
      </c>
      <c r="G119" s="45">
        <v>5.7876591321406538E-2</v>
      </c>
      <c r="H119" s="46">
        <v>0</v>
      </c>
      <c r="I119" s="47">
        <v>2026</v>
      </c>
      <c r="J119" s="8">
        <f t="shared" si="18"/>
        <v>2027</v>
      </c>
      <c r="K119" s="8">
        <f t="shared" si="19"/>
        <v>2028</v>
      </c>
      <c r="L119" s="8">
        <f t="shared" si="20"/>
        <v>2067</v>
      </c>
      <c r="M119" s="8">
        <f t="shared" si="21"/>
        <v>40</v>
      </c>
      <c r="N119" s="8">
        <f t="shared" si="22"/>
        <v>0</v>
      </c>
      <c r="O119" s="48">
        <f t="shared" si="23"/>
        <v>1.5612809151287967</v>
      </c>
      <c r="P119" s="44">
        <v>1.561280915128797</v>
      </c>
      <c r="Q119" s="49">
        <f t="shared" si="24"/>
        <v>0</v>
      </c>
      <c r="R119" s="48">
        <f t="shared" si="25"/>
        <v>0.79252838331410991</v>
      </c>
      <c r="S119" s="50">
        <f t="shared" si="26"/>
        <v>1.9700000000000002</v>
      </c>
      <c r="T119" s="45">
        <v>0.74632500000000002</v>
      </c>
      <c r="U119" s="45">
        <v>4.7127450980392151E-2</v>
      </c>
      <c r="V119" s="45">
        <v>0</v>
      </c>
      <c r="W119" s="45">
        <v>0</v>
      </c>
      <c r="X119" s="45">
        <v>0</v>
      </c>
      <c r="Y119" s="45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0</v>
      </c>
      <c r="AH119" s="45">
        <v>0</v>
      </c>
      <c r="AI119" s="45">
        <v>0</v>
      </c>
    </row>
    <row r="120" spans="1:62" x14ac:dyDescent="0.3">
      <c r="A120" s="15" t="s">
        <v>242</v>
      </c>
      <c r="B120" s="15" t="s">
        <v>146</v>
      </c>
      <c r="C120" s="42">
        <v>1</v>
      </c>
      <c r="D120" s="43">
        <v>1</v>
      </c>
      <c r="E120" s="44">
        <v>0.35637153960392309</v>
      </c>
      <c r="F120" s="42">
        <v>3</v>
      </c>
      <c r="G120" s="45">
        <v>1.310564840975025E-2</v>
      </c>
      <c r="H120" s="46">
        <v>0</v>
      </c>
      <c r="I120" s="47">
        <v>2040</v>
      </c>
      <c r="J120" s="8">
        <f t="shared" ref="J120:J151" si="27">I120+F120-1</f>
        <v>2042</v>
      </c>
      <c r="K120" s="8">
        <f t="shared" si="19"/>
        <v>2043</v>
      </c>
      <c r="L120" s="8">
        <f t="shared" ref="L120:L151" si="28">K120+$B$9-1</f>
        <v>2082</v>
      </c>
      <c r="M120" s="8">
        <f t="shared" ref="M120:M151" si="29">MAX(0,MIN(L120,2085)-K120+1)</f>
        <v>40</v>
      </c>
      <c r="N120" s="8">
        <f t="shared" ref="N120:N151" si="30">$B$9-M120</f>
        <v>0</v>
      </c>
      <c r="O120" s="48">
        <f t="shared" ref="O120:O151" si="31">SUMPRODUCT(C331:BJ331,$C$129:$BJ$129)</f>
        <v>0.27039977288790401</v>
      </c>
      <c r="P120" s="44">
        <v>0.2703997728879039</v>
      </c>
      <c r="Q120" s="49">
        <f t="shared" ref="Q120:Q151" si="32">O120-P120</f>
        <v>0</v>
      </c>
      <c r="R120" s="48">
        <f t="shared" ref="R120:R151" si="33">SUMPRODUCT(C228:BJ228,$C$129:$BJ$129)</f>
        <v>0.26297744287254876</v>
      </c>
      <c r="S120" s="50">
        <f t="shared" ref="S120:S151" si="34">IF(R120=0,0,O120/R120)</f>
        <v>1.0282242078798844</v>
      </c>
      <c r="T120" s="45">
        <v>3.5511764705882347E-2</v>
      </c>
      <c r="U120" s="45">
        <v>0.16027297193387161</v>
      </c>
      <c r="V120" s="45">
        <v>0.16058680296416911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</row>
    <row r="121" spans="1:62" x14ac:dyDescent="0.3">
      <c r="A121" s="15" t="s">
        <v>243</v>
      </c>
      <c r="B121" s="15" t="s">
        <v>146</v>
      </c>
      <c r="C121" s="42">
        <v>1</v>
      </c>
      <c r="D121" s="43">
        <v>4.76</v>
      </c>
      <c r="E121" s="44">
        <v>0.05</v>
      </c>
      <c r="F121" s="42">
        <v>1</v>
      </c>
      <c r="G121" s="45">
        <v>8.658400749198639E-3</v>
      </c>
      <c r="H121" s="46">
        <v>0</v>
      </c>
      <c r="I121" s="47">
        <v>2026</v>
      </c>
      <c r="J121" s="8">
        <f t="shared" si="27"/>
        <v>2026</v>
      </c>
      <c r="K121" s="8">
        <f t="shared" si="19"/>
        <v>2027</v>
      </c>
      <c r="L121" s="8">
        <f t="shared" si="28"/>
        <v>2066</v>
      </c>
      <c r="M121" s="8">
        <f t="shared" si="29"/>
        <v>40</v>
      </c>
      <c r="N121" s="8">
        <f t="shared" si="30"/>
        <v>0</v>
      </c>
      <c r="O121" s="48">
        <f t="shared" si="31"/>
        <v>0.23800000000000002</v>
      </c>
      <c r="P121" s="44">
        <v>0.23799999999999999</v>
      </c>
      <c r="Q121" s="49">
        <f t="shared" si="32"/>
        <v>0</v>
      </c>
      <c r="R121" s="48">
        <f t="shared" si="33"/>
        <v>0.05</v>
      </c>
      <c r="S121" s="50">
        <f t="shared" si="34"/>
        <v>4.76</v>
      </c>
      <c r="T121" s="45">
        <v>0.05</v>
      </c>
      <c r="U121" s="45">
        <v>0</v>
      </c>
      <c r="V121" s="45">
        <v>0</v>
      </c>
      <c r="W121" s="45">
        <v>0</v>
      </c>
      <c r="X121" s="45">
        <v>0</v>
      </c>
      <c r="Y121" s="45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0</v>
      </c>
      <c r="AH121" s="45">
        <v>0</v>
      </c>
      <c r="AI121" s="45">
        <v>0</v>
      </c>
    </row>
    <row r="122" spans="1:62" x14ac:dyDescent="0.3">
      <c r="A122" s="15" t="s">
        <v>244</v>
      </c>
      <c r="B122" s="15" t="s">
        <v>146</v>
      </c>
      <c r="C122" s="42">
        <v>1</v>
      </c>
      <c r="D122" s="43">
        <v>2.1</v>
      </c>
      <c r="E122" s="44">
        <v>4.2979235294117638E-2</v>
      </c>
      <c r="F122" s="42">
        <v>2</v>
      </c>
      <c r="G122" s="45">
        <v>3.324218465488399E-3</v>
      </c>
      <c r="H122" s="46">
        <v>0</v>
      </c>
      <c r="I122" s="47">
        <v>2031</v>
      </c>
      <c r="J122" s="8">
        <f t="shared" si="27"/>
        <v>2032</v>
      </c>
      <c r="K122" s="8">
        <f t="shared" si="19"/>
        <v>2033</v>
      </c>
      <c r="L122" s="8">
        <f t="shared" si="28"/>
        <v>2072</v>
      </c>
      <c r="M122" s="8">
        <f t="shared" si="29"/>
        <v>40</v>
      </c>
      <c r="N122" s="8">
        <f t="shared" si="30"/>
        <v>0</v>
      </c>
      <c r="O122" s="48">
        <f t="shared" si="31"/>
        <v>8.176408684482861E-2</v>
      </c>
      <c r="P122" s="44">
        <v>8.1764086844828568E-2</v>
      </c>
      <c r="Q122" s="49">
        <f t="shared" si="32"/>
        <v>0</v>
      </c>
      <c r="R122" s="48">
        <f t="shared" si="33"/>
        <v>3.8676530622095848E-2</v>
      </c>
      <c r="S122" s="50">
        <f t="shared" si="34"/>
        <v>2.1140491540913162</v>
      </c>
      <c r="T122" s="45">
        <v>2.8840999999999999E-2</v>
      </c>
      <c r="U122" s="45">
        <v>1.4138235294117649E-2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</row>
    <row r="123" spans="1:62" x14ac:dyDescent="0.3">
      <c r="A123" s="15" t="s">
        <v>245</v>
      </c>
      <c r="B123" s="15" t="s">
        <v>146</v>
      </c>
      <c r="C123" s="42">
        <v>3</v>
      </c>
      <c r="D123" s="43">
        <v>1</v>
      </c>
      <c r="E123" s="44">
        <v>9.0115145876670919</v>
      </c>
      <c r="F123" s="42">
        <v>3</v>
      </c>
      <c r="G123" s="45">
        <v>0.33086379817855699</v>
      </c>
      <c r="H123" s="46">
        <v>0</v>
      </c>
      <c r="I123" s="47">
        <v>2041</v>
      </c>
      <c r="J123" s="8">
        <f t="shared" si="27"/>
        <v>2043</v>
      </c>
      <c r="K123" s="8">
        <f t="shared" si="19"/>
        <v>2044</v>
      </c>
      <c r="L123" s="8">
        <f t="shared" si="28"/>
        <v>2083</v>
      </c>
      <c r="M123" s="8">
        <f t="shared" si="29"/>
        <v>40</v>
      </c>
      <c r="N123" s="8">
        <f t="shared" si="30"/>
        <v>0</v>
      </c>
      <c r="O123" s="48">
        <f t="shared" si="31"/>
        <v>6.7123903270307368</v>
      </c>
      <c r="P123" s="44">
        <v>6.7123903270307377</v>
      </c>
      <c r="Q123" s="49">
        <f t="shared" si="32"/>
        <v>0</v>
      </c>
      <c r="R123" s="48">
        <f t="shared" si="33"/>
        <v>6.5089219596370604</v>
      </c>
      <c r="S123" s="50">
        <f t="shared" si="34"/>
        <v>1.0312599181024782</v>
      </c>
      <c r="T123" s="45">
        <v>0.56036139946174557</v>
      </c>
      <c r="U123" s="45">
        <v>3.9954466984794679</v>
      </c>
      <c r="V123" s="45">
        <v>4.4557064897258787</v>
      </c>
      <c r="W123" s="45">
        <v>0</v>
      </c>
      <c r="X123" s="45">
        <v>0</v>
      </c>
      <c r="Y123" s="45">
        <v>0</v>
      </c>
      <c r="Z123" s="45">
        <v>0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0</v>
      </c>
      <c r="AH123" s="45">
        <v>0</v>
      </c>
      <c r="AI123" s="45">
        <v>0</v>
      </c>
    </row>
    <row r="124" spans="1:62" x14ac:dyDescent="0.3">
      <c r="A124" s="4" t="s">
        <v>246</v>
      </c>
      <c r="E124" s="41">
        <f>SUM(E24:E123)</f>
        <v>3829.6469357140063</v>
      </c>
      <c r="O124" s="41">
        <f>SUM(O24:O123)</f>
        <v>7410.1203117174709</v>
      </c>
      <c r="P124" s="41">
        <f>SUM(P24:P123)</f>
        <v>7410.1203117174691</v>
      </c>
      <c r="Q124" s="41">
        <f>SUM(Q24:Q123)</f>
        <v>0</v>
      </c>
      <c r="R124" s="41">
        <f>SUM(R24:R123)</f>
        <v>3244.348388383637</v>
      </c>
      <c r="S124" s="51">
        <f t="shared" si="34"/>
        <v>2.2840088130637715</v>
      </c>
    </row>
    <row r="127" spans="1:62" x14ac:dyDescent="0.3">
      <c r="A127" s="4" t="s">
        <v>247</v>
      </c>
      <c r="C127" s="52">
        <v>2026</v>
      </c>
      <c r="D127" s="52">
        <v>2027</v>
      </c>
      <c r="E127" s="52">
        <v>2028</v>
      </c>
      <c r="F127" s="52">
        <v>2029</v>
      </c>
      <c r="G127" s="52">
        <v>2030</v>
      </c>
      <c r="H127" s="52">
        <v>2031</v>
      </c>
      <c r="I127" s="52">
        <v>2032</v>
      </c>
      <c r="J127" s="52">
        <v>2033</v>
      </c>
      <c r="K127" s="52">
        <v>2034</v>
      </c>
      <c r="L127" s="52">
        <v>2035</v>
      </c>
      <c r="M127" s="52">
        <v>2036</v>
      </c>
      <c r="N127" s="52">
        <v>2037</v>
      </c>
      <c r="O127" s="52">
        <v>2038</v>
      </c>
      <c r="P127" s="52">
        <v>2039</v>
      </c>
      <c r="Q127" s="52">
        <v>2040</v>
      </c>
      <c r="R127" s="52">
        <v>2041</v>
      </c>
      <c r="S127" s="52">
        <v>2042</v>
      </c>
      <c r="T127" s="52">
        <v>2043</v>
      </c>
      <c r="U127" s="52">
        <v>2044</v>
      </c>
      <c r="V127" s="52">
        <v>2045</v>
      </c>
      <c r="W127" s="52">
        <v>2046</v>
      </c>
      <c r="X127" s="52">
        <v>2047</v>
      </c>
      <c r="Y127" s="52">
        <v>2048</v>
      </c>
      <c r="Z127" s="52">
        <v>2049</v>
      </c>
      <c r="AA127" s="52">
        <v>2050</v>
      </c>
      <c r="AB127" s="52">
        <v>2051</v>
      </c>
      <c r="AC127" s="52">
        <v>2052</v>
      </c>
      <c r="AD127" s="52">
        <v>2053</v>
      </c>
      <c r="AE127" s="52">
        <v>2054</v>
      </c>
      <c r="AF127" s="52">
        <v>2055</v>
      </c>
      <c r="AG127" s="52">
        <v>2056</v>
      </c>
      <c r="AH127" s="52">
        <v>2057</v>
      </c>
      <c r="AI127" s="52">
        <v>2058</v>
      </c>
      <c r="AJ127" s="52">
        <v>2059</v>
      </c>
      <c r="AK127" s="52">
        <v>2060</v>
      </c>
      <c r="AL127" s="52">
        <v>2061</v>
      </c>
      <c r="AM127" s="52">
        <v>2062</v>
      </c>
      <c r="AN127" s="52">
        <v>2063</v>
      </c>
      <c r="AO127" s="52">
        <v>2064</v>
      </c>
      <c r="AP127" s="52">
        <v>2065</v>
      </c>
      <c r="AQ127" s="52">
        <v>2066</v>
      </c>
      <c r="AR127" s="52">
        <v>2067</v>
      </c>
      <c r="AS127" s="52">
        <v>2068</v>
      </c>
      <c r="AT127" s="52">
        <v>2069</v>
      </c>
      <c r="AU127" s="52">
        <v>2070</v>
      </c>
      <c r="AV127" s="52">
        <v>2071</v>
      </c>
      <c r="AW127" s="52">
        <v>2072</v>
      </c>
      <c r="AX127" s="52">
        <v>2073</v>
      </c>
      <c r="AY127" s="52">
        <v>2074</v>
      </c>
      <c r="AZ127" s="52">
        <v>2075</v>
      </c>
      <c r="BA127" s="52">
        <v>2076</v>
      </c>
      <c r="BB127" s="52">
        <v>2077</v>
      </c>
      <c r="BC127" s="52">
        <v>2078</v>
      </c>
      <c r="BD127" s="52">
        <v>2079</v>
      </c>
      <c r="BE127" s="52">
        <v>2080</v>
      </c>
      <c r="BF127" s="52">
        <v>2081</v>
      </c>
      <c r="BG127" s="52">
        <v>2082</v>
      </c>
      <c r="BH127" s="52">
        <v>2083</v>
      </c>
      <c r="BI127" s="52">
        <v>2084</v>
      </c>
      <c r="BJ127" s="52">
        <v>2085</v>
      </c>
    </row>
    <row r="128" spans="1:62" x14ac:dyDescent="0.3">
      <c r="A128" s="28" t="s">
        <v>248</v>
      </c>
      <c r="C128" s="53">
        <f t="shared" ref="C128:AH128" si="35">C127-$B$5</f>
        <v>0</v>
      </c>
      <c r="D128" s="53">
        <f t="shared" si="35"/>
        <v>1</v>
      </c>
      <c r="E128" s="53">
        <f t="shared" si="35"/>
        <v>2</v>
      </c>
      <c r="F128" s="53">
        <f t="shared" si="35"/>
        <v>3</v>
      </c>
      <c r="G128" s="53">
        <f t="shared" si="35"/>
        <v>4</v>
      </c>
      <c r="H128" s="53">
        <f t="shared" si="35"/>
        <v>5</v>
      </c>
      <c r="I128" s="53">
        <f t="shared" si="35"/>
        <v>6</v>
      </c>
      <c r="J128" s="53">
        <f t="shared" si="35"/>
        <v>7</v>
      </c>
      <c r="K128" s="53">
        <f t="shared" si="35"/>
        <v>8</v>
      </c>
      <c r="L128" s="53">
        <f t="shared" si="35"/>
        <v>9</v>
      </c>
      <c r="M128" s="53">
        <f t="shared" si="35"/>
        <v>10</v>
      </c>
      <c r="N128" s="53">
        <f t="shared" si="35"/>
        <v>11</v>
      </c>
      <c r="O128" s="53">
        <f t="shared" si="35"/>
        <v>12</v>
      </c>
      <c r="P128" s="53">
        <f t="shared" si="35"/>
        <v>13</v>
      </c>
      <c r="Q128" s="53">
        <f t="shared" si="35"/>
        <v>14</v>
      </c>
      <c r="R128" s="53">
        <f t="shared" si="35"/>
        <v>15</v>
      </c>
      <c r="S128" s="53">
        <f t="shared" si="35"/>
        <v>16</v>
      </c>
      <c r="T128" s="53">
        <f t="shared" si="35"/>
        <v>17</v>
      </c>
      <c r="U128" s="53">
        <f t="shared" si="35"/>
        <v>18</v>
      </c>
      <c r="V128" s="53">
        <f t="shared" si="35"/>
        <v>19</v>
      </c>
      <c r="W128" s="53">
        <f t="shared" si="35"/>
        <v>20</v>
      </c>
      <c r="X128" s="53">
        <f t="shared" si="35"/>
        <v>21</v>
      </c>
      <c r="Y128" s="53">
        <f t="shared" si="35"/>
        <v>22</v>
      </c>
      <c r="Z128" s="53">
        <f t="shared" si="35"/>
        <v>23</v>
      </c>
      <c r="AA128" s="53">
        <f t="shared" si="35"/>
        <v>24</v>
      </c>
      <c r="AB128" s="53">
        <f t="shared" si="35"/>
        <v>25</v>
      </c>
      <c r="AC128" s="53">
        <f t="shared" si="35"/>
        <v>26</v>
      </c>
      <c r="AD128" s="53">
        <f t="shared" si="35"/>
        <v>27</v>
      </c>
      <c r="AE128" s="53">
        <f t="shared" si="35"/>
        <v>28</v>
      </c>
      <c r="AF128" s="53">
        <f t="shared" si="35"/>
        <v>29</v>
      </c>
      <c r="AG128" s="53">
        <f t="shared" si="35"/>
        <v>30</v>
      </c>
      <c r="AH128" s="53">
        <f t="shared" si="35"/>
        <v>31</v>
      </c>
      <c r="AI128" s="53">
        <f t="shared" ref="AI128:BN128" si="36">AI127-$B$5</f>
        <v>32</v>
      </c>
      <c r="AJ128" s="53">
        <f t="shared" si="36"/>
        <v>33</v>
      </c>
      <c r="AK128" s="53">
        <f t="shared" si="36"/>
        <v>34</v>
      </c>
      <c r="AL128" s="53">
        <f t="shared" si="36"/>
        <v>35</v>
      </c>
      <c r="AM128" s="53">
        <f t="shared" si="36"/>
        <v>36</v>
      </c>
      <c r="AN128" s="53">
        <f t="shared" si="36"/>
        <v>37</v>
      </c>
      <c r="AO128" s="53">
        <f t="shared" si="36"/>
        <v>38</v>
      </c>
      <c r="AP128" s="53">
        <f t="shared" si="36"/>
        <v>39</v>
      </c>
      <c r="AQ128" s="53">
        <f t="shared" si="36"/>
        <v>40</v>
      </c>
      <c r="AR128" s="53">
        <f t="shared" si="36"/>
        <v>41</v>
      </c>
      <c r="AS128" s="53">
        <f t="shared" si="36"/>
        <v>42</v>
      </c>
      <c r="AT128" s="53">
        <f t="shared" si="36"/>
        <v>43</v>
      </c>
      <c r="AU128" s="53">
        <f t="shared" si="36"/>
        <v>44</v>
      </c>
      <c r="AV128" s="53">
        <f t="shared" si="36"/>
        <v>45</v>
      </c>
      <c r="AW128" s="53">
        <f t="shared" si="36"/>
        <v>46</v>
      </c>
      <c r="AX128" s="53">
        <f t="shared" si="36"/>
        <v>47</v>
      </c>
      <c r="AY128" s="53">
        <f t="shared" si="36"/>
        <v>48</v>
      </c>
      <c r="AZ128" s="53">
        <f t="shared" si="36"/>
        <v>49</v>
      </c>
      <c r="BA128" s="53">
        <f t="shared" si="36"/>
        <v>50</v>
      </c>
      <c r="BB128" s="53">
        <f t="shared" si="36"/>
        <v>51</v>
      </c>
      <c r="BC128" s="53">
        <f t="shared" si="36"/>
        <v>52</v>
      </c>
      <c r="BD128" s="53">
        <f t="shared" si="36"/>
        <v>53</v>
      </c>
      <c r="BE128" s="53">
        <f t="shared" si="36"/>
        <v>54</v>
      </c>
      <c r="BF128" s="53">
        <f t="shared" si="36"/>
        <v>55</v>
      </c>
      <c r="BG128" s="53">
        <f t="shared" si="36"/>
        <v>56</v>
      </c>
      <c r="BH128" s="53">
        <f t="shared" si="36"/>
        <v>57</v>
      </c>
      <c r="BI128" s="53">
        <f t="shared" si="36"/>
        <v>58</v>
      </c>
      <c r="BJ128" s="53">
        <f t="shared" si="36"/>
        <v>59</v>
      </c>
    </row>
    <row r="129" spans="1:62" x14ac:dyDescent="0.3">
      <c r="A129" s="28" t="s">
        <v>249</v>
      </c>
      <c r="C129" s="54">
        <v>1</v>
      </c>
      <c r="D129" s="54">
        <f t="shared" ref="D129:AI129" si="37">C129/(1+IF(D128&lt;=$B$7,$B$6,$B$8))</f>
        <v>0.98039215686274506</v>
      </c>
      <c r="E129" s="54">
        <f t="shared" si="37"/>
        <v>0.96116878123798533</v>
      </c>
      <c r="F129" s="54">
        <f t="shared" si="37"/>
        <v>0.94232233454704439</v>
      </c>
      <c r="G129" s="54">
        <f t="shared" si="37"/>
        <v>0.92384542602651409</v>
      </c>
      <c r="H129" s="54">
        <f t="shared" si="37"/>
        <v>0.90573080982991572</v>
      </c>
      <c r="I129" s="54">
        <f t="shared" si="37"/>
        <v>0.88797138218619187</v>
      </c>
      <c r="J129" s="54">
        <f t="shared" si="37"/>
        <v>0.87056017861391355</v>
      </c>
      <c r="K129" s="54">
        <f t="shared" si="37"/>
        <v>0.85349037119011129</v>
      </c>
      <c r="L129" s="54">
        <f t="shared" si="37"/>
        <v>0.83675526587265814</v>
      </c>
      <c r="M129" s="54">
        <f t="shared" si="37"/>
        <v>0.82034829987515501</v>
      </c>
      <c r="N129" s="54">
        <f t="shared" si="37"/>
        <v>0.80426303909328922</v>
      </c>
      <c r="O129" s="54">
        <f t="shared" si="37"/>
        <v>0.7884931755816561</v>
      </c>
      <c r="P129" s="54">
        <f t="shared" si="37"/>
        <v>0.77303252508005504</v>
      </c>
      <c r="Q129" s="54">
        <f t="shared" si="37"/>
        <v>0.75787502458828926</v>
      </c>
      <c r="R129" s="54">
        <f t="shared" si="37"/>
        <v>0.74301472998851892</v>
      </c>
      <c r="S129" s="54">
        <f t="shared" si="37"/>
        <v>0.72844581371423422</v>
      </c>
      <c r="T129" s="54">
        <f t="shared" si="37"/>
        <v>0.71416256246493548</v>
      </c>
      <c r="U129" s="54">
        <f t="shared" si="37"/>
        <v>0.70015937496562297</v>
      </c>
      <c r="V129" s="54">
        <f t="shared" si="37"/>
        <v>0.68643075977021861</v>
      </c>
      <c r="W129" s="54">
        <f t="shared" si="37"/>
        <v>0.67297133310805746</v>
      </c>
      <c r="X129" s="54">
        <f t="shared" si="37"/>
        <v>0.65977581677260533</v>
      </c>
      <c r="Y129" s="54">
        <f t="shared" si="37"/>
        <v>0.64683903605157389</v>
      </c>
      <c r="Z129" s="54">
        <f t="shared" si="37"/>
        <v>0.63415591769762147</v>
      </c>
      <c r="AA129" s="54">
        <f t="shared" si="37"/>
        <v>0.62172148793884452</v>
      </c>
      <c r="AB129" s="54">
        <f t="shared" si="37"/>
        <v>0.60953087052827892</v>
      </c>
      <c r="AC129" s="54">
        <f t="shared" si="37"/>
        <v>0.59757928483164602</v>
      </c>
      <c r="AD129" s="54">
        <f t="shared" si="37"/>
        <v>0.58586204395259411</v>
      </c>
      <c r="AE129" s="54">
        <f t="shared" si="37"/>
        <v>0.57437455289470007</v>
      </c>
      <c r="AF129" s="54">
        <f t="shared" si="37"/>
        <v>0.56311230675950985</v>
      </c>
      <c r="AG129" s="54">
        <f t="shared" si="37"/>
        <v>0.55207088897991163</v>
      </c>
      <c r="AH129" s="54">
        <f t="shared" si="37"/>
        <v>0.54391220589153866</v>
      </c>
      <c r="AI129" s="54">
        <f t="shared" si="37"/>
        <v>0.53587409447442236</v>
      </c>
      <c r="AJ129" s="54">
        <f t="shared" ref="AJ129:BO129" si="38">AI129/(1+IF(AJ128&lt;=$B$7,$B$6,$B$8))</f>
        <v>0.52795477288120429</v>
      </c>
      <c r="AK129" s="54">
        <f t="shared" si="38"/>
        <v>0.5201524855972457</v>
      </c>
      <c r="AL129" s="54">
        <f t="shared" si="38"/>
        <v>0.51246550305147365</v>
      </c>
      <c r="AM129" s="54">
        <f t="shared" si="38"/>
        <v>0.504892121232979</v>
      </c>
      <c r="AN129" s="54">
        <f t="shared" si="38"/>
        <v>0.49743066131327984</v>
      </c>
      <c r="AO129" s="54">
        <f t="shared" si="38"/>
        <v>0.4900794692741674</v>
      </c>
      <c r="AP129" s="54">
        <f t="shared" si="38"/>
        <v>0.48283691554105168</v>
      </c>
      <c r="AQ129" s="54">
        <f t="shared" si="38"/>
        <v>0.47570139462172584</v>
      </c>
      <c r="AR129" s="54">
        <f t="shared" si="38"/>
        <v>0.46867132475046885</v>
      </c>
      <c r="AS129" s="54">
        <f t="shared" si="38"/>
        <v>0.46174514753740781</v>
      </c>
      <c r="AT129" s="54">
        <f t="shared" si="38"/>
        <v>0.45492132762306192</v>
      </c>
      <c r="AU129" s="54">
        <f t="shared" si="38"/>
        <v>0.4481983523379921</v>
      </c>
      <c r="AV129" s="54">
        <f t="shared" si="38"/>
        <v>0.44157473136747993</v>
      </c>
      <c r="AW129" s="54">
        <f t="shared" si="38"/>
        <v>0.43504899642116251</v>
      </c>
      <c r="AX129" s="54">
        <f t="shared" si="38"/>
        <v>0.42861970090754931</v>
      </c>
      <c r="AY129" s="54">
        <f t="shared" si="38"/>
        <v>0.42228541961334909</v>
      </c>
      <c r="AZ129" s="54">
        <f t="shared" si="38"/>
        <v>0.41604474838753608</v>
      </c>
      <c r="BA129" s="54">
        <f t="shared" si="38"/>
        <v>0.40989630383008485</v>
      </c>
      <c r="BB129" s="54">
        <f t="shared" si="38"/>
        <v>0.40383872298530532</v>
      </c>
      <c r="BC129" s="54">
        <f t="shared" si="38"/>
        <v>0.39787066303970969</v>
      </c>
      <c r="BD129" s="54">
        <f t="shared" si="38"/>
        <v>0.39199080102434458</v>
      </c>
      <c r="BE129" s="54">
        <f t="shared" si="38"/>
        <v>0.38619783352152182</v>
      </c>
      <c r="BF129" s="54">
        <f t="shared" si="38"/>
        <v>0.38049047637588362</v>
      </c>
      <c r="BG129" s="54">
        <f t="shared" si="38"/>
        <v>0.37486746440973762</v>
      </c>
      <c r="BH129" s="54">
        <f t="shared" si="38"/>
        <v>0.36932755114259869</v>
      </c>
      <c r="BI129" s="54">
        <f t="shared" si="38"/>
        <v>0.36386950851487559</v>
      </c>
      <c r="BJ129" s="54">
        <f t="shared" si="38"/>
        <v>0.358492126615641</v>
      </c>
    </row>
    <row r="131" spans="1:62" x14ac:dyDescent="0.3">
      <c r="A131" s="4" t="s">
        <v>250</v>
      </c>
    </row>
    <row r="132" spans="1:62" x14ac:dyDescent="0.3">
      <c r="A132" s="53" t="str">
        <f t="shared" ref="A132:A163" si="39">A24</f>
        <v>project 1</v>
      </c>
      <c r="C132" s="55">
        <f t="shared" ref="C132:AH132" si="40">IF(AND(C$127&gt;=$I24,C$127&lt;$I24+$F24),INDEX($T24:$AI24,C$127-$I24+1),0)</f>
        <v>0.65026099999999998</v>
      </c>
      <c r="D132" s="55">
        <f t="shared" si="40"/>
        <v>2.338245098039216</v>
      </c>
      <c r="E132" s="55">
        <f t="shared" si="40"/>
        <v>9.1310880430603625</v>
      </c>
      <c r="F132" s="55">
        <f t="shared" si="40"/>
        <v>13.55277853163564</v>
      </c>
      <c r="G132" s="55">
        <f t="shared" si="40"/>
        <v>10.14545890802062</v>
      </c>
      <c r="H132" s="55">
        <f t="shared" si="40"/>
        <v>0.51172069866851577</v>
      </c>
      <c r="I132" s="55">
        <f t="shared" si="40"/>
        <v>0</v>
      </c>
      <c r="J132" s="55">
        <f t="shared" si="40"/>
        <v>0</v>
      </c>
      <c r="K132" s="55">
        <f t="shared" si="40"/>
        <v>0</v>
      </c>
      <c r="L132" s="55">
        <f t="shared" si="40"/>
        <v>0</v>
      </c>
      <c r="M132" s="55">
        <f t="shared" si="40"/>
        <v>0</v>
      </c>
      <c r="N132" s="55">
        <f t="shared" si="40"/>
        <v>0</v>
      </c>
      <c r="O132" s="55">
        <f t="shared" si="40"/>
        <v>0</v>
      </c>
      <c r="P132" s="55">
        <f t="shared" si="40"/>
        <v>0</v>
      </c>
      <c r="Q132" s="55">
        <f t="shared" si="40"/>
        <v>0</v>
      </c>
      <c r="R132" s="55">
        <f t="shared" si="40"/>
        <v>0</v>
      </c>
      <c r="S132" s="55">
        <f t="shared" si="40"/>
        <v>0</v>
      </c>
      <c r="T132" s="55">
        <f t="shared" si="40"/>
        <v>0</v>
      </c>
      <c r="U132" s="55">
        <f t="shared" si="40"/>
        <v>0</v>
      </c>
      <c r="V132" s="55">
        <f t="shared" si="40"/>
        <v>0</v>
      </c>
      <c r="W132" s="55">
        <f t="shared" si="40"/>
        <v>0</v>
      </c>
      <c r="X132" s="55">
        <f t="shared" si="40"/>
        <v>0</v>
      </c>
      <c r="Y132" s="55">
        <f t="shared" si="40"/>
        <v>0</v>
      </c>
      <c r="Z132" s="55">
        <f t="shared" si="40"/>
        <v>0</v>
      </c>
      <c r="AA132" s="55">
        <f t="shared" si="40"/>
        <v>0</v>
      </c>
      <c r="AB132" s="55">
        <f t="shared" si="40"/>
        <v>0</v>
      </c>
      <c r="AC132" s="55">
        <f t="shared" si="40"/>
        <v>0</v>
      </c>
      <c r="AD132" s="55">
        <f t="shared" si="40"/>
        <v>0</v>
      </c>
      <c r="AE132" s="55">
        <f t="shared" si="40"/>
        <v>0</v>
      </c>
      <c r="AF132" s="55">
        <f t="shared" si="40"/>
        <v>0</v>
      </c>
      <c r="AG132" s="55">
        <f t="shared" si="40"/>
        <v>0</v>
      </c>
      <c r="AH132" s="55">
        <f t="shared" si="40"/>
        <v>0</v>
      </c>
      <c r="AI132" s="55">
        <f t="shared" ref="AI132:BJ132" si="41">IF(AND(AI$127&gt;=$I24,AI$127&lt;$I24+$F24),INDEX($T24:$AI24,AI$127-$I24+1),0)</f>
        <v>0</v>
      </c>
      <c r="AJ132" s="55">
        <f t="shared" si="41"/>
        <v>0</v>
      </c>
      <c r="AK132" s="55">
        <f t="shared" si="41"/>
        <v>0</v>
      </c>
      <c r="AL132" s="55">
        <f t="shared" si="41"/>
        <v>0</v>
      </c>
      <c r="AM132" s="55">
        <f t="shared" si="41"/>
        <v>0</v>
      </c>
      <c r="AN132" s="55">
        <f t="shared" si="41"/>
        <v>0</v>
      </c>
      <c r="AO132" s="55">
        <f t="shared" si="41"/>
        <v>0</v>
      </c>
      <c r="AP132" s="55">
        <f t="shared" si="41"/>
        <v>0</v>
      </c>
      <c r="AQ132" s="55">
        <f t="shared" si="41"/>
        <v>0</v>
      </c>
      <c r="AR132" s="55">
        <f t="shared" si="41"/>
        <v>0</v>
      </c>
      <c r="AS132" s="55">
        <f t="shared" si="41"/>
        <v>0</v>
      </c>
      <c r="AT132" s="55">
        <f t="shared" si="41"/>
        <v>0</v>
      </c>
      <c r="AU132" s="55">
        <f t="shared" si="41"/>
        <v>0</v>
      </c>
      <c r="AV132" s="55">
        <f t="shared" si="41"/>
        <v>0</v>
      </c>
      <c r="AW132" s="55">
        <f t="shared" si="41"/>
        <v>0</v>
      </c>
      <c r="AX132" s="55">
        <f t="shared" si="41"/>
        <v>0</v>
      </c>
      <c r="AY132" s="55">
        <f t="shared" si="41"/>
        <v>0</v>
      </c>
      <c r="AZ132" s="55">
        <f t="shared" si="41"/>
        <v>0</v>
      </c>
      <c r="BA132" s="55">
        <f t="shared" si="41"/>
        <v>0</v>
      </c>
      <c r="BB132" s="55">
        <f t="shared" si="41"/>
        <v>0</v>
      </c>
      <c r="BC132" s="55">
        <f t="shared" si="41"/>
        <v>0</v>
      </c>
      <c r="BD132" s="55">
        <f t="shared" si="41"/>
        <v>0</v>
      </c>
      <c r="BE132" s="55">
        <f t="shared" si="41"/>
        <v>0</v>
      </c>
      <c r="BF132" s="55">
        <f t="shared" si="41"/>
        <v>0</v>
      </c>
      <c r="BG132" s="55">
        <f t="shared" si="41"/>
        <v>0</v>
      </c>
      <c r="BH132" s="55">
        <f t="shared" si="41"/>
        <v>0</v>
      </c>
      <c r="BI132" s="55">
        <f t="shared" si="41"/>
        <v>0</v>
      </c>
      <c r="BJ132" s="55">
        <f t="shared" si="41"/>
        <v>0</v>
      </c>
    </row>
    <row r="133" spans="1:62" x14ac:dyDescent="0.3">
      <c r="A133" s="53" t="str">
        <f t="shared" si="39"/>
        <v>project 4</v>
      </c>
      <c r="C133" s="55">
        <f t="shared" ref="C133:AH133" si="42">IF(AND(C$127&gt;=$I25,C$127&lt;$I25+$F25),INDEX($T25:$AI25,C$127-$I25+1),0)</f>
        <v>1.4237390000000001</v>
      </c>
      <c r="D133" s="55">
        <f t="shared" si="42"/>
        <v>0.25980392156862742</v>
      </c>
      <c r="E133" s="55">
        <f t="shared" si="42"/>
        <v>0</v>
      </c>
      <c r="F133" s="55">
        <f t="shared" si="42"/>
        <v>0</v>
      </c>
      <c r="G133" s="55">
        <f t="shared" si="42"/>
        <v>0</v>
      </c>
      <c r="H133" s="55">
        <f t="shared" si="42"/>
        <v>0</v>
      </c>
      <c r="I133" s="55">
        <f t="shared" si="42"/>
        <v>0</v>
      </c>
      <c r="J133" s="55">
        <f t="shared" si="42"/>
        <v>0</v>
      </c>
      <c r="K133" s="55">
        <f t="shared" si="42"/>
        <v>0</v>
      </c>
      <c r="L133" s="55">
        <f t="shared" si="42"/>
        <v>0</v>
      </c>
      <c r="M133" s="55">
        <f t="shared" si="42"/>
        <v>0</v>
      </c>
      <c r="N133" s="55">
        <f t="shared" si="42"/>
        <v>0</v>
      </c>
      <c r="O133" s="55">
        <f t="shared" si="42"/>
        <v>0</v>
      </c>
      <c r="P133" s="55">
        <f t="shared" si="42"/>
        <v>0</v>
      </c>
      <c r="Q133" s="55">
        <f t="shared" si="42"/>
        <v>0</v>
      </c>
      <c r="R133" s="55">
        <f t="shared" si="42"/>
        <v>0</v>
      </c>
      <c r="S133" s="55">
        <f t="shared" si="42"/>
        <v>0</v>
      </c>
      <c r="T133" s="55">
        <f t="shared" si="42"/>
        <v>0</v>
      </c>
      <c r="U133" s="55">
        <f t="shared" si="42"/>
        <v>0</v>
      </c>
      <c r="V133" s="55">
        <f t="shared" si="42"/>
        <v>0</v>
      </c>
      <c r="W133" s="55">
        <f t="shared" si="42"/>
        <v>0</v>
      </c>
      <c r="X133" s="55">
        <f t="shared" si="42"/>
        <v>0</v>
      </c>
      <c r="Y133" s="55">
        <f t="shared" si="42"/>
        <v>0</v>
      </c>
      <c r="Z133" s="55">
        <f t="shared" si="42"/>
        <v>0</v>
      </c>
      <c r="AA133" s="55">
        <f t="shared" si="42"/>
        <v>0</v>
      </c>
      <c r="AB133" s="55">
        <f t="shared" si="42"/>
        <v>0</v>
      </c>
      <c r="AC133" s="55">
        <f t="shared" si="42"/>
        <v>0</v>
      </c>
      <c r="AD133" s="55">
        <f t="shared" si="42"/>
        <v>0</v>
      </c>
      <c r="AE133" s="55">
        <f t="shared" si="42"/>
        <v>0</v>
      </c>
      <c r="AF133" s="55">
        <f t="shared" si="42"/>
        <v>0</v>
      </c>
      <c r="AG133" s="55">
        <f t="shared" si="42"/>
        <v>0</v>
      </c>
      <c r="AH133" s="55">
        <f t="shared" si="42"/>
        <v>0</v>
      </c>
      <c r="AI133" s="55">
        <f t="shared" ref="AI133:BJ133" si="43">IF(AND(AI$127&gt;=$I25,AI$127&lt;$I25+$F25),INDEX($T25:$AI25,AI$127-$I25+1),0)</f>
        <v>0</v>
      </c>
      <c r="AJ133" s="55">
        <f t="shared" si="43"/>
        <v>0</v>
      </c>
      <c r="AK133" s="55">
        <f t="shared" si="43"/>
        <v>0</v>
      </c>
      <c r="AL133" s="55">
        <f t="shared" si="43"/>
        <v>0</v>
      </c>
      <c r="AM133" s="55">
        <f t="shared" si="43"/>
        <v>0</v>
      </c>
      <c r="AN133" s="55">
        <f t="shared" si="43"/>
        <v>0</v>
      </c>
      <c r="AO133" s="55">
        <f t="shared" si="43"/>
        <v>0</v>
      </c>
      <c r="AP133" s="55">
        <f t="shared" si="43"/>
        <v>0</v>
      </c>
      <c r="AQ133" s="55">
        <f t="shared" si="43"/>
        <v>0</v>
      </c>
      <c r="AR133" s="55">
        <f t="shared" si="43"/>
        <v>0</v>
      </c>
      <c r="AS133" s="55">
        <f t="shared" si="43"/>
        <v>0</v>
      </c>
      <c r="AT133" s="55">
        <f t="shared" si="43"/>
        <v>0</v>
      </c>
      <c r="AU133" s="55">
        <f t="shared" si="43"/>
        <v>0</v>
      </c>
      <c r="AV133" s="55">
        <f t="shared" si="43"/>
        <v>0</v>
      </c>
      <c r="AW133" s="55">
        <f t="shared" si="43"/>
        <v>0</v>
      </c>
      <c r="AX133" s="55">
        <f t="shared" si="43"/>
        <v>0</v>
      </c>
      <c r="AY133" s="55">
        <f t="shared" si="43"/>
        <v>0</v>
      </c>
      <c r="AZ133" s="55">
        <f t="shared" si="43"/>
        <v>0</v>
      </c>
      <c r="BA133" s="55">
        <f t="shared" si="43"/>
        <v>0</v>
      </c>
      <c r="BB133" s="55">
        <f t="shared" si="43"/>
        <v>0</v>
      </c>
      <c r="BC133" s="55">
        <f t="shared" si="43"/>
        <v>0</v>
      </c>
      <c r="BD133" s="55">
        <f t="shared" si="43"/>
        <v>0</v>
      </c>
      <c r="BE133" s="55">
        <f t="shared" si="43"/>
        <v>0</v>
      </c>
      <c r="BF133" s="55">
        <f t="shared" si="43"/>
        <v>0</v>
      </c>
      <c r="BG133" s="55">
        <f t="shared" si="43"/>
        <v>0</v>
      </c>
      <c r="BH133" s="55">
        <f t="shared" si="43"/>
        <v>0</v>
      </c>
      <c r="BI133" s="55">
        <f t="shared" si="43"/>
        <v>0</v>
      </c>
      <c r="BJ133" s="55">
        <f t="shared" si="43"/>
        <v>0</v>
      </c>
    </row>
    <row r="134" spans="1:62" x14ac:dyDescent="0.3">
      <c r="A134" s="53" t="str">
        <f t="shared" si="39"/>
        <v>project 7</v>
      </c>
      <c r="C134" s="55">
        <f t="shared" ref="C134:AH134" si="44">IF(AND(C$127&gt;=$I26,C$127&lt;$I26+$F26),INDEX($T26:$AI26,C$127-$I26+1),0)</f>
        <v>0</v>
      </c>
      <c r="D134" s="55">
        <f t="shared" si="44"/>
        <v>0</v>
      </c>
      <c r="E134" s="55">
        <f t="shared" si="44"/>
        <v>0</v>
      </c>
      <c r="F134" s="55">
        <f t="shared" si="44"/>
        <v>0</v>
      </c>
      <c r="G134" s="55">
        <f t="shared" si="44"/>
        <v>0</v>
      </c>
      <c r="H134" s="55">
        <f t="shared" si="44"/>
        <v>0</v>
      </c>
      <c r="I134" s="55">
        <f t="shared" si="44"/>
        <v>0</v>
      </c>
      <c r="J134" s="55">
        <f t="shared" si="44"/>
        <v>0</v>
      </c>
      <c r="K134" s="55">
        <f t="shared" si="44"/>
        <v>0</v>
      </c>
      <c r="L134" s="55">
        <f t="shared" si="44"/>
        <v>0</v>
      </c>
      <c r="M134" s="55">
        <f t="shared" si="44"/>
        <v>0</v>
      </c>
      <c r="N134" s="55">
        <f t="shared" si="44"/>
        <v>7.63</v>
      </c>
      <c r="O134" s="55">
        <f t="shared" si="44"/>
        <v>0</v>
      </c>
      <c r="P134" s="55">
        <f t="shared" si="44"/>
        <v>0</v>
      </c>
      <c r="Q134" s="55">
        <f t="shared" si="44"/>
        <v>0</v>
      </c>
      <c r="R134" s="55">
        <f t="shared" si="44"/>
        <v>0</v>
      </c>
      <c r="S134" s="55">
        <f t="shared" si="44"/>
        <v>0</v>
      </c>
      <c r="T134" s="55">
        <f t="shared" si="44"/>
        <v>0</v>
      </c>
      <c r="U134" s="55">
        <f t="shared" si="44"/>
        <v>0</v>
      </c>
      <c r="V134" s="55">
        <f t="shared" si="44"/>
        <v>0</v>
      </c>
      <c r="W134" s="55">
        <f t="shared" si="44"/>
        <v>0</v>
      </c>
      <c r="X134" s="55">
        <f t="shared" si="44"/>
        <v>0</v>
      </c>
      <c r="Y134" s="55">
        <f t="shared" si="44"/>
        <v>0</v>
      </c>
      <c r="Z134" s="55">
        <f t="shared" si="44"/>
        <v>0</v>
      </c>
      <c r="AA134" s="55">
        <f t="shared" si="44"/>
        <v>0</v>
      </c>
      <c r="AB134" s="55">
        <f t="shared" si="44"/>
        <v>0</v>
      </c>
      <c r="AC134" s="55">
        <f t="shared" si="44"/>
        <v>0</v>
      </c>
      <c r="AD134" s="55">
        <f t="shared" si="44"/>
        <v>0</v>
      </c>
      <c r="AE134" s="55">
        <f t="shared" si="44"/>
        <v>0</v>
      </c>
      <c r="AF134" s="55">
        <f t="shared" si="44"/>
        <v>0</v>
      </c>
      <c r="AG134" s="55">
        <f t="shared" si="44"/>
        <v>0</v>
      </c>
      <c r="AH134" s="55">
        <f t="shared" si="44"/>
        <v>0</v>
      </c>
      <c r="AI134" s="55">
        <f t="shared" ref="AI134:BJ134" si="45">IF(AND(AI$127&gt;=$I26,AI$127&lt;$I26+$F26),INDEX($T26:$AI26,AI$127-$I26+1),0)</f>
        <v>0</v>
      </c>
      <c r="AJ134" s="55">
        <f t="shared" si="45"/>
        <v>0</v>
      </c>
      <c r="AK134" s="55">
        <f t="shared" si="45"/>
        <v>0</v>
      </c>
      <c r="AL134" s="55">
        <f t="shared" si="45"/>
        <v>0</v>
      </c>
      <c r="AM134" s="55">
        <f t="shared" si="45"/>
        <v>0</v>
      </c>
      <c r="AN134" s="55">
        <f t="shared" si="45"/>
        <v>0</v>
      </c>
      <c r="AO134" s="55">
        <f t="shared" si="45"/>
        <v>0</v>
      </c>
      <c r="AP134" s="55">
        <f t="shared" si="45"/>
        <v>0</v>
      </c>
      <c r="AQ134" s="55">
        <f t="shared" si="45"/>
        <v>0</v>
      </c>
      <c r="AR134" s="55">
        <f t="shared" si="45"/>
        <v>0</v>
      </c>
      <c r="AS134" s="55">
        <f t="shared" si="45"/>
        <v>0</v>
      </c>
      <c r="AT134" s="55">
        <f t="shared" si="45"/>
        <v>0</v>
      </c>
      <c r="AU134" s="55">
        <f t="shared" si="45"/>
        <v>0</v>
      </c>
      <c r="AV134" s="55">
        <f t="shared" si="45"/>
        <v>0</v>
      </c>
      <c r="AW134" s="55">
        <f t="shared" si="45"/>
        <v>0</v>
      </c>
      <c r="AX134" s="55">
        <f t="shared" si="45"/>
        <v>0</v>
      </c>
      <c r="AY134" s="55">
        <f t="shared" si="45"/>
        <v>0</v>
      </c>
      <c r="AZ134" s="55">
        <f t="shared" si="45"/>
        <v>0</v>
      </c>
      <c r="BA134" s="55">
        <f t="shared" si="45"/>
        <v>0</v>
      </c>
      <c r="BB134" s="55">
        <f t="shared" si="45"/>
        <v>0</v>
      </c>
      <c r="BC134" s="55">
        <f t="shared" si="45"/>
        <v>0</v>
      </c>
      <c r="BD134" s="55">
        <f t="shared" si="45"/>
        <v>0</v>
      </c>
      <c r="BE134" s="55">
        <f t="shared" si="45"/>
        <v>0</v>
      </c>
      <c r="BF134" s="55">
        <f t="shared" si="45"/>
        <v>0</v>
      </c>
      <c r="BG134" s="55">
        <f t="shared" si="45"/>
        <v>0</v>
      </c>
      <c r="BH134" s="55">
        <f t="shared" si="45"/>
        <v>0</v>
      </c>
      <c r="BI134" s="55">
        <f t="shared" si="45"/>
        <v>0</v>
      </c>
      <c r="BJ134" s="55">
        <f t="shared" si="45"/>
        <v>0</v>
      </c>
    </row>
    <row r="135" spans="1:62" x14ac:dyDescent="0.3">
      <c r="A135" s="53" t="str">
        <f t="shared" si="39"/>
        <v>project 8</v>
      </c>
      <c r="C135" s="55">
        <f t="shared" ref="C135:AH135" si="46">IF(AND(C$127&gt;=$I27,C$127&lt;$I27+$F27),INDEX($T27:$AI27,C$127-$I27+1),0)</f>
        <v>0</v>
      </c>
      <c r="D135" s="55">
        <f t="shared" si="46"/>
        <v>0</v>
      </c>
      <c r="E135" s="55">
        <f t="shared" si="46"/>
        <v>0</v>
      </c>
      <c r="F135" s="55">
        <f t="shared" si="46"/>
        <v>0</v>
      </c>
      <c r="G135" s="55">
        <f t="shared" si="46"/>
        <v>0</v>
      </c>
      <c r="H135" s="55">
        <f t="shared" si="46"/>
        <v>0</v>
      </c>
      <c r="I135" s="55">
        <f t="shared" si="46"/>
        <v>0</v>
      </c>
      <c r="J135" s="55">
        <f t="shared" si="46"/>
        <v>0</v>
      </c>
      <c r="K135" s="55">
        <f t="shared" si="46"/>
        <v>0</v>
      </c>
      <c r="L135" s="55">
        <f t="shared" si="46"/>
        <v>0</v>
      </c>
      <c r="M135" s="55">
        <f t="shared" si="46"/>
        <v>0</v>
      </c>
      <c r="N135" s="55">
        <f t="shared" si="46"/>
        <v>0</v>
      </c>
      <c r="O135" s="55">
        <f t="shared" si="46"/>
        <v>0</v>
      </c>
      <c r="P135" s="55">
        <f t="shared" si="46"/>
        <v>0</v>
      </c>
      <c r="Q135" s="55">
        <f t="shared" si="46"/>
        <v>0</v>
      </c>
      <c r="R135" s="55">
        <f t="shared" si="46"/>
        <v>5.45</v>
      </c>
      <c r="S135" s="55">
        <f t="shared" si="46"/>
        <v>0</v>
      </c>
      <c r="T135" s="55">
        <f t="shared" si="46"/>
        <v>0</v>
      </c>
      <c r="U135" s="55">
        <f t="shared" si="46"/>
        <v>0</v>
      </c>
      <c r="V135" s="55">
        <f t="shared" si="46"/>
        <v>0</v>
      </c>
      <c r="W135" s="55">
        <f t="shared" si="46"/>
        <v>0</v>
      </c>
      <c r="X135" s="55">
        <f t="shared" si="46"/>
        <v>0</v>
      </c>
      <c r="Y135" s="55">
        <f t="shared" si="46"/>
        <v>0</v>
      </c>
      <c r="Z135" s="55">
        <f t="shared" si="46"/>
        <v>0</v>
      </c>
      <c r="AA135" s="55">
        <f t="shared" si="46"/>
        <v>0</v>
      </c>
      <c r="AB135" s="55">
        <f t="shared" si="46"/>
        <v>0</v>
      </c>
      <c r="AC135" s="55">
        <f t="shared" si="46"/>
        <v>0</v>
      </c>
      <c r="AD135" s="55">
        <f t="shared" si="46"/>
        <v>0</v>
      </c>
      <c r="AE135" s="55">
        <f t="shared" si="46"/>
        <v>0</v>
      </c>
      <c r="AF135" s="55">
        <f t="shared" si="46"/>
        <v>0</v>
      </c>
      <c r="AG135" s="55">
        <f t="shared" si="46"/>
        <v>0</v>
      </c>
      <c r="AH135" s="55">
        <f t="shared" si="46"/>
        <v>0</v>
      </c>
      <c r="AI135" s="55">
        <f t="shared" ref="AI135:BJ135" si="47">IF(AND(AI$127&gt;=$I27,AI$127&lt;$I27+$F27),INDEX($T27:$AI27,AI$127-$I27+1),0)</f>
        <v>0</v>
      </c>
      <c r="AJ135" s="55">
        <f t="shared" si="47"/>
        <v>0</v>
      </c>
      <c r="AK135" s="55">
        <f t="shared" si="47"/>
        <v>0</v>
      </c>
      <c r="AL135" s="55">
        <f t="shared" si="47"/>
        <v>0</v>
      </c>
      <c r="AM135" s="55">
        <f t="shared" si="47"/>
        <v>0</v>
      </c>
      <c r="AN135" s="55">
        <f t="shared" si="47"/>
        <v>0</v>
      </c>
      <c r="AO135" s="55">
        <f t="shared" si="47"/>
        <v>0</v>
      </c>
      <c r="AP135" s="55">
        <f t="shared" si="47"/>
        <v>0</v>
      </c>
      <c r="AQ135" s="55">
        <f t="shared" si="47"/>
        <v>0</v>
      </c>
      <c r="AR135" s="55">
        <f t="shared" si="47"/>
        <v>0</v>
      </c>
      <c r="AS135" s="55">
        <f t="shared" si="47"/>
        <v>0</v>
      </c>
      <c r="AT135" s="55">
        <f t="shared" si="47"/>
        <v>0</v>
      </c>
      <c r="AU135" s="55">
        <f t="shared" si="47"/>
        <v>0</v>
      </c>
      <c r="AV135" s="55">
        <f t="shared" si="47"/>
        <v>0</v>
      </c>
      <c r="AW135" s="55">
        <f t="shared" si="47"/>
        <v>0</v>
      </c>
      <c r="AX135" s="55">
        <f t="shared" si="47"/>
        <v>0</v>
      </c>
      <c r="AY135" s="55">
        <f t="shared" si="47"/>
        <v>0</v>
      </c>
      <c r="AZ135" s="55">
        <f t="shared" si="47"/>
        <v>0</v>
      </c>
      <c r="BA135" s="55">
        <f t="shared" si="47"/>
        <v>0</v>
      </c>
      <c r="BB135" s="55">
        <f t="shared" si="47"/>
        <v>0</v>
      </c>
      <c r="BC135" s="55">
        <f t="shared" si="47"/>
        <v>0</v>
      </c>
      <c r="BD135" s="55">
        <f t="shared" si="47"/>
        <v>0</v>
      </c>
      <c r="BE135" s="55">
        <f t="shared" si="47"/>
        <v>0</v>
      </c>
      <c r="BF135" s="55">
        <f t="shared" si="47"/>
        <v>0</v>
      </c>
      <c r="BG135" s="55">
        <f t="shared" si="47"/>
        <v>0</v>
      </c>
      <c r="BH135" s="55">
        <f t="shared" si="47"/>
        <v>0</v>
      </c>
      <c r="BI135" s="55">
        <f t="shared" si="47"/>
        <v>0</v>
      </c>
      <c r="BJ135" s="55">
        <f t="shared" si="47"/>
        <v>0</v>
      </c>
    </row>
    <row r="136" spans="1:62" x14ac:dyDescent="0.3">
      <c r="A136" s="53" t="str">
        <f t="shared" si="39"/>
        <v>project 9</v>
      </c>
      <c r="C136" s="55">
        <f t="shared" ref="C136:AH136" si="48">IF(AND(C$127&gt;=$I28,C$127&lt;$I28+$F28),INDEX($T28:$AI28,C$127-$I28+1),0)</f>
        <v>0</v>
      </c>
      <c r="D136" s="55">
        <f t="shared" si="48"/>
        <v>0</v>
      </c>
      <c r="E136" s="55">
        <f t="shared" si="48"/>
        <v>0</v>
      </c>
      <c r="F136" s="55">
        <f t="shared" si="48"/>
        <v>0</v>
      </c>
      <c r="G136" s="55">
        <f t="shared" si="48"/>
        <v>0</v>
      </c>
      <c r="H136" s="55">
        <f t="shared" si="48"/>
        <v>0</v>
      </c>
      <c r="I136" s="55">
        <f t="shared" si="48"/>
        <v>0</v>
      </c>
      <c r="J136" s="55">
        <f t="shared" si="48"/>
        <v>0</v>
      </c>
      <c r="K136" s="55">
        <f t="shared" si="48"/>
        <v>0</v>
      </c>
      <c r="L136" s="55">
        <f t="shared" si="48"/>
        <v>0</v>
      </c>
      <c r="M136" s="55">
        <f t="shared" si="48"/>
        <v>0</v>
      </c>
      <c r="N136" s="55">
        <f t="shared" si="48"/>
        <v>0</v>
      </c>
      <c r="O136" s="55">
        <f t="shared" si="48"/>
        <v>0</v>
      </c>
      <c r="P136" s="55">
        <f t="shared" si="48"/>
        <v>0</v>
      </c>
      <c r="Q136" s="55">
        <f t="shared" si="48"/>
        <v>0</v>
      </c>
      <c r="R136" s="55">
        <f t="shared" si="48"/>
        <v>0</v>
      </c>
      <c r="S136" s="55">
        <f t="shared" si="48"/>
        <v>0</v>
      </c>
      <c r="T136" s="55">
        <f t="shared" si="48"/>
        <v>4.3600000000000003</v>
      </c>
      <c r="U136" s="55">
        <f t="shared" si="48"/>
        <v>0</v>
      </c>
      <c r="V136" s="55">
        <f t="shared" si="48"/>
        <v>0</v>
      </c>
      <c r="W136" s="55">
        <f t="shared" si="48"/>
        <v>0</v>
      </c>
      <c r="X136" s="55">
        <f t="shared" si="48"/>
        <v>0</v>
      </c>
      <c r="Y136" s="55">
        <f t="shared" si="48"/>
        <v>0</v>
      </c>
      <c r="Z136" s="55">
        <f t="shared" si="48"/>
        <v>0</v>
      </c>
      <c r="AA136" s="55">
        <f t="shared" si="48"/>
        <v>0</v>
      </c>
      <c r="AB136" s="55">
        <f t="shared" si="48"/>
        <v>0</v>
      </c>
      <c r="AC136" s="55">
        <f t="shared" si="48"/>
        <v>0</v>
      </c>
      <c r="AD136" s="55">
        <f t="shared" si="48"/>
        <v>0</v>
      </c>
      <c r="AE136" s="55">
        <f t="shared" si="48"/>
        <v>0</v>
      </c>
      <c r="AF136" s="55">
        <f t="shared" si="48"/>
        <v>0</v>
      </c>
      <c r="AG136" s="55">
        <f t="shared" si="48"/>
        <v>0</v>
      </c>
      <c r="AH136" s="55">
        <f t="shared" si="48"/>
        <v>0</v>
      </c>
      <c r="AI136" s="55">
        <f t="shared" ref="AI136:BJ136" si="49">IF(AND(AI$127&gt;=$I28,AI$127&lt;$I28+$F28),INDEX($T28:$AI28,AI$127-$I28+1),0)</f>
        <v>0</v>
      </c>
      <c r="AJ136" s="55">
        <f t="shared" si="49"/>
        <v>0</v>
      </c>
      <c r="AK136" s="55">
        <f t="shared" si="49"/>
        <v>0</v>
      </c>
      <c r="AL136" s="55">
        <f t="shared" si="49"/>
        <v>0</v>
      </c>
      <c r="AM136" s="55">
        <f t="shared" si="49"/>
        <v>0</v>
      </c>
      <c r="AN136" s="55">
        <f t="shared" si="49"/>
        <v>0</v>
      </c>
      <c r="AO136" s="55">
        <f t="shared" si="49"/>
        <v>0</v>
      </c>
      <c r="AP136" s="55">
        <f t="shared" si="49"/>
        <v>0</v>
      </c>
      <c r="AQ136" s="55">
        <f t="shared" si="49"/>
        <v>0</v>
      </c>
      <c r="AR136" s="55">
        <f t="shared" si="49"/>
        <v>0</v>
      </c>
      <c r="AS136" s="55">
        <f t="shared" si="49"/>
        <v>0</v>
      </c>
      <c r="AT136" s="55">
        <f t="shared" si="49"/>
        <v>0</v>
      </c>
      <c r="AU136" s="55">
        <f t="shared" si="49"/>
        <v>0</v>
      </c>
      <c r="AV136" s="55">
        <f t="shared" si="49"/>
        <v>0</v>
      </c>
      <c r="AW136" s="55">
        <f t="shared" si="49"/>
        <v>0</v>
      </c>
      <c r="AX136" s="55">
        <f t="shared" si="49"/>
        <v>0</v>
      </c>
      <c r="AY136" s="55">
        <f t="shared" si="49"/>
        <v>0</v>
      </c>
      <c r="AZ136" s="55">
        <f t="shared" si="49"/>
        <v>0</v>
      </c>
      <c r="BA136" s="55">
        <f t="shared" si="49"/>
        <v>0</v>
      </c>
      <c r="BB136" s="55">
        <f t="shared" si="49"/>
        <v>0</v>
      </c>
      <c r="BC136" s="55">
        <f t="shared" si="49"/>
        <v>0</v>
      </c>
      <c r="BD136" s="55">
        <f t="shared" si="49"/>
        <v>0</v>
      </c>
      <c r="BE136" s="55">
        <f t="shared" si="49"/>
        <v>0</v>
      </c>
      <c r="BF136" s="55">
        <f t="shared" si="49"/>
        <v>0</v>
      </c>
      <c r="BG136" s="55">
        <f t="shared" si="49"/>
        <v>0</v>
      </c>
      <c r="BH136" s="55">
        <f t="shared" si="49"/>
        <v>0</v>
      </c>
      <c r="BI136" s="55">
        <f t="shared" si="49"/>
        <v>0</v>
      </c>
      <c r="BJ136" s="55">
        <f t="shared" si="49"/>
        <v>0</v>
      </c>
    </row>
    <row r="137" spans="1:62" x14ac:dyDescent="0.3">
      <c r="A137" s="53" t="str">
        <f t="shared" si="39"/>
        <v>project 12</v>
      </c>
      <c r="C137" s="55">
        <f t="shared" ref="C137:AH137" si="50">IF(AND(C$127&gt;=$I29,C$127&lt;$I29+$F29),INDEX($T29:$AI29,C$127-$I29+1),0)</f>
        <v>2.2890000000000001</v>
      </c>
      <c r="D137" s="55">
        <f t="shared" si="50"/>
        <v>0.69460784313725488</v>
      </c>
      <c r="E137" s="55">
        <f t="shared" si="50"/>
        <v>0</v>
      </c>
      <c r="F137" s="55">
        <f t="shared" si="50"/>
        <v>0</v>
      </c>
      <c r="G137" s="55">
        <f t="shared" si="50"/>
        <v>0</v>
      </c>
      <c r="H137" s="55">
        <f t="shared" si="50"/>
        <v>0</v>
      </c>
      <c r="I137" s="55">
        <f t="shared" si="50"/>
        <v>0</v>
      </c>
      <c r="J137" s="55">
        <f t="shared" si="50"/>
        <v>0</v>
      </c>
      <c r="K137" s="55">
        <f t="shared" si="50"/>
        <v>0</v>
      </c>
      <c r="L137" s="55">
        <f t="shared" si="50"/>
        <v>0</v>
      </c>
      <c r="M137" s="55">
        <f t="shared" si="50"/>
        <v>0</v>
      </c>
      <c r="N137" s="55">
        <f t="shared" si="50"/>
        <v>0</v>
      </c>
      <c r="O137" s="55">
        <f t="shared" si="50"/>
        <v>0</v>
      </c>
      <c r="P137" s="55">
        <f t="shared" si="50"/>
        <v>0</v>
      </c>
      <c r="Q137" s="55">
        <f t="shared" si="50"/>
        <v>0</v>
      </c>
      <c r="R137" s="55">
        <f t="shared" si="50"/>
        <v>0</v>
      </c>
      <c r="S137" s="55">
        <f t="shared" si="50"/>
        <v>0</v>
      </c>
      <c r="T137" s="55">
        <f t="shared" si="50"/>
        <v>0</v>
      </c>
      <c r="U137" s="55">
        <f t="shared" si="50"/>
        <v>0</v>
      </c>
      <c r="V137" s="55">
        <f t="shared" si="50"/>
        <v>0</v>
      </c>
      <c r="W137" s="55">
        <f t="shared" si="50"/>
        <v>0</v>
      </c>
      <c r="X137" s="55">
        <f t="shared" si="50"/>
        <v>0</v>
      </c>
      <c r="Y137" s="55">
        <f t="shared" si="50"/>
        <v>0</v>
      </c>
      <c r="Z137" s="55">
        <f t="shared" si="50"/>
        <v>0</v>
      </c>
      <c r="AA137" s="55">
        <f t="shared" si="50"/>
        <v>0</v>
      </c>
      <c r="AB137" s="55">
        <f t="shared" si="50"/>
        <v>0</v>
      </c>
      <c r="AC137" s="55">
        <f t="shared" si="50"/>
        <v>0</v>
      </c>
      <c r="AD137" s="55">
        <f t="shared" si="50"/>
        <v>0</v>
      </c>
      <c r="AE137" s="55">
        <f t="shared" si="50"/>
        <v>0</v>
      </c>
      <c r="AF137" s="55">
        <f t="shared" si="50"/>
        <v>0</v>
      </c>
      <c r="AG137" s="55">
        <f t="shared" si="50"/>
        <v>0</v>
      </c>
      <c r="AH137" s="55">
        <f t="shared" si="50"/>
        <v>0</v>
      </c>
      <c r="AI137" s="55">
        <f t="shared" ref="AI137:BJ137" si="51">IF(AND(AI$127&gt;=$I29,AI$127&lt;$I29+$F29),INDEX($T29:$AI29,AI$127-$I29+1),0)</f>
        <v>0</v>
      </c>
      <c r="AJ137" s="55">
        <f t="shared" si="51"/>
        <v>0</v>
      </c>
      <c r="AK137" s="55">
        <f t="shared" si="51"/>
        <v>0</v>
      </c>
      <c r="AL137" s="55">
        <f t="shared" si="51"/>
        <v>0</v>
      </c>
      <c r="AM137" s="55">
        <f t="shared" si="51"/>
        <v>0</v>
      </c>
      <c r="AN137" s="55">
        <f t="shared" si="51"/>
        <v>0</v>
      </c>
      <c r="AO137" s="55">
        <f t="shared" si="51"/>
        <v>0</v>
      </c>
      <c r="AP137" s="55">
        <f t="shared" si="51"/>
        <v>0</v>
      </c>
      <c r="AQ137" s="55">
        <f t="shared" si="51"/>
        <v>0</v>
      </c>
      <c r="AR137" s="55">
        <f t="shared" si="51"/>
        <v>0</v>
      </c>
      <c r="AS137" s="55">
        <f t="shared" si="51"/>
        <v>0</v>
      </c>
      <c r="AT137" s="55">
        <f t="shared" si="51"/>
        <v>0</v>
      </c>
      <c r="AU137" s="55">
        <f t="shared" si="51"/>
        <v>0</v>
      </c>
      <c r="AV137" s="55">
        <f t="shared" si="51"/>
        <v>0</v>
      </c>
      <c r="AW137" s="55">
        <f t="shared" si="51"/>
        <v>0</v>
      </c>
      <c r="AX137" s="55">
        <f t="shared" si="51"/>
        <v>0</v>
      </c>
      <c r="AY137" s="55">
        <f t="shared" si="51"/>
        <v>0</v>
      </c>
      <c r="AZ137" s="55">
        <f t="shared" si="51"/>
        <v>0</v>
      </c>
      <c r="BA137" s="55">
        <f t="shared" si="51"/>
        <v>0</v>
      </c>
      <c r="BB137" s="55">
        <f t="shared" si="51"/>
        <v>0</v>
      </c>
      <c r="BC137" s="55">
        <f t="shared" si="51"/>
        <v>0</v>
      </c>
      <c r="BD137" s="55">
        <f t="shared" si="51"/>
        <v>0</v>
      </c>
      <c r="BE137" s="55">
        <f t="shared" si="51"/>
        <v>0</v>
      </c>
      <c r="BF137" s="55">
        <f t="shared" si="51"/>
        <v>0</v>
      </c>
      <c r="BG137" s="55">
        <f t="shared" si="51"/>
        <v>0</v>
      </c>
      <c r="BH137" s="55">
        <f t="shared" si="51"/>
        <v>0</v>
      </c>
      <c r="BI137" s="55">
        <f t="shared" si="51"/>
        <v>0</v>
      </c>
      <c r="BJ137" s="55">
        <f t="shared" si="51"/>
        <v>0</v>
      </c>
    </row>
    <row r="138" spans="1:62" x14ac:dyDescent="0.3">
      <c r="A138" s="53" t="str">
        <f t="shared" si="39"/>
        <v>project 16</v>
      </c>
      <c r="C138" s="55">
        <f t="shared" ref="C138:AH138" si="52">IF(AND(C$127&gt;=$I30,C$127&lt;$I30+$F30),INDEX($T30:$AI30,C$127-$I30+1),0)</f>
        <v>0</v>
      </c>
      <c r="D138" s="55">
        <f t="shared" si="52"/>
        <v>0</v>
      </c>
      <c r="E138" s="55">
        <f t="shared" si="52"/>
        <v>0</v>
      </c>
      <c r="F138" s="55">
        <f t="shared" si="52"/>
        <v>0</v>
      </c>
      <c r="G138" s="55">
        <f t="shared" si="52"/>
        <v>0</v>
      </c>
      <c r="H138" s="55">
        <f t="shared" si="52"/>
        <v>0</v>
      </c>
      <c r="I138" s="55">
        <f t="shared" si="52"/>
        <v>0</v>
      </c>
      <c r="J138" s="55">
        <f t="shared" si="52"/>
        <v>0</v>
      </c>
      <c r="K138" s="55">
        <f t="shared" si="52"/>
        <v>0</v>
      </c>
      <c r="L138" s="55">
        <f t="shared" si="52"/>
        <v>0</v>
      </c>
      <c r="M138" s="55">
        <f t="shared" si="52"/>
        <v>0</v>
      </c>
      <c r="N138" s="55">
        <f t="shared" si="52"/>
        <v>2.4198</v>
      </c>
      <c r="O138" s="55">
        <f t="shared" si="52"/>
        <v>0</v>
      </c>
      <c r="P138" s="55">
        <f t="shared" si="52"/>
        <v>0</v>
      </c>
      <c r="Q138" s="55">
        <f t="shared" si="52"/>
        <v>0</v>
      </c>
      <c r="R138" s="55">
        <f t="shared" si="52"/>
        <v>0</v>
      </c>
      <c r="S138" s="55">
        <f t="shared" si="52"/>
        <v>0</v>
      </c>
      <c r="T138" s="55">
        <f t="shared" si="52"/>
        <v>0</v>
      </c>
      <c r="U138" s="55">
        <f t="shared" si="52"/>
        <v>0</v>
      </c>
      <c r="V138" s="55">
        <f t="shared" si="52"/>
        <v>0</v>
      </c>
      <c r="W138" s="55">
        <f t="shared" si="52"/>
        <v>0</v>
      </c>
      <c r="X138" s="55">
        <f t="shared" si="52"/>
        <v>0</v>
      </c>
      <c r="Y138" s="55">
        <f t="shared" si="52"/>
        <v>0</v>
      </c>
      <c r="Z138" s="55">
        <f t="shared" si="52"/>
        <v>0</v>
      </c>
      <c r="AA138" s="55">
        <f t="shared" si="52"/>
        <v>0</v>
      </c>
      <c r="AB138" s="55">
        <f t="shared" si="52"/>
        <v>0</v>
      </c>
      <c r="AC138" s="55">
        <f t="shared" si="52"/>
        <v>0</v>
      </c>
      <c r="AD138" s="55">
        <f t="shared" si="52"/>
        <v>0</v>
      </c>
      <c r="AE138" s="55">
        <f t="shared" si="52"/>
        <v>0</v>
      </c>
      <c r="AF138" s="55">
        <f t="shared" si="52"/>
        <v>0</v>
      </c>
      <c r="AG138" s="55">
        <f t="shared" si="52"/>
        <v>0</v>
      </c>
      <c r="AH138" s="55">
        <f t="shared" si="52"/>
        <v>0</v>
      </c>
      <c r="AI138" s="55">
        <f t="shared" ref="AI138:BJ138" si="53">IF(AND(AI$127&gt;=$I30,AI$127&lt;$I30+$F30),INDEX($T30:$AI30,AI$127-$I30+1),0)</f>
        <v>0</v>
      </c>
      <c r="AJ138" s="55">
        <f t="shared" si="53"/>
        <v>0</v>
      </c>
      <c r="AK138" s="55">
        <f t="shared" si="53"/>
        <v>0</v>
      </c>
      <c r="AL138" s="55">
        <f t="shared" si="53"/>
        <v>0</v>
      </c>
      <c r="AM138" s="55">
        <f t="shared" si="53"/>
        <v>0</v>
      </c>
      <c r="AN138" s="55">
        <f t="shared" si="53"/>
        <v>0</v>
      </c>
      <c r="AO138" s="55">
        <f t="shared" si="53"/>
        <v>0</v>
      </c>
      <c r="AP138" s="55">
        <f t="shared" si="53"/>
        <v>0</v>
      </c>
      <c r="AQ138" s="55">
        <f t="shared" si="53"/>
        <v>0</v>
      </c>
      <c r="AR138" s="55">
        <f t="shared" si="53"/>
        <v>0</v>
      </c>
      <c r="AS138" s="55">
        <f t="shared" si="53"/>
        <v>0</v>
      </c>
      <c r="AT138" s="55">
        <f t="shared" si="53"/>
        <v>0</v>
      </c>
      <c r="AU138" s="55">
        <f t="shared" si="53"/>
        <v>0</v>
      </c>
      <c r="AV138" s="55">
        <f t="shared" si="53"/>
        <v>0</v>
      </c>
      <c r="AW138" s="55">
        <f t="shared" si="53"/>
        <v>0</v>
      </c>
      <c r="AX138" s="55">
        <f t="shared" si="53"/>
        <v>0</v>
      </c>
      <c r="AY138" s="55">
        <f t="shared" si="53"/>
        <v>0</v>
      </c>
      <c r="AZ138" s="55">
        <f t="shared" si="53"/>
        <v>0</v>
      </c>
      <c r="BA138" s="55">
        <f t="shared" si="53"/>
        <v>0</v>
      </c>
      <c r="BB138" s="55">
        <f t="shared" si="53"/>
        <v>0</v>
      </c>
      <c r="BC138" s="55">
        <f t="shared" si="53"/>
        <v>0</v>
      </c>
      <c r="BD138" s="55">
        <f t="shared" si="53"/>
        <v>0</v>
      </c>
      <c r="BE138" s="55">
        <f t="shared" si="53"/>
        <v>0</v>
      </c>
      <c r="BF138" s="55">
        <f t="shared" si="53"/>
        <v>0</v>
      </c>
      <c r="BG138" s="55">
        <f t="shared" si="53"/>
        <v>0</v>
      </c>
      <c r="BH138" s="55">
        <f t="shared" si="53"/>
        <v>0</v>
      </c>
      <c r="BI138" s="55">
        <f t="shared" si="53"/>
        <v>0</v>
      </c>
      <c r="BJ138" s="55">
        <f t="shared" si="53"/>
        <v>0</v>
      </c>
    </row>
    <row r="139" spans="1:62" x14ac:dyDescent="0.3">
      <c r="A139" s="53" t="str">
        <f t="shared" si="39"/>
        <v>project 19</v>
      </c>
      <c r="C139" s="55">
        <f t="shared" ref="C139:AH139" si="54">IF(AND(C$127&gt;=$I31,C$127&lt;$I31+$F31),INDEX($T31:$AI31,C$127-$I31+1),0)</f>
        <v>0</v>
      </c>
      <c r="D139" s="55">
        <f t="shared" si="54"/>
        <v>0</v>
      </c>
      <c r="E139" s="55">
        <f t="shared" si="54"/>
        <v>0</v>
      </c>
      <c r="F139" s="55">
        <f t="shared" si="54"/>
        <v>0</v>
      </c>
      <c r="G139" s="55">
        <f t="shared" si="54"/>
        <v>0</v>
      </c>
      <c r="H139" s="55">
        <f t="shared" si="54"/>
        <v>0</v>
      </c>
      <c r="I139" s="55">
        <f t="shared" si="54"/>
        <v>0</v>
      </c>
      <c r="J139" s="55">
        <f t="shared" si="54"/>
        <v>0</v>
      </c>
      <c r="K139" s="55">
        <f t="shared" si="54"/>
        <v>0</v>
      </c>
      <c r="L139" s="55">
        <f t="shared" si="54"/>
        <v>0</v>
      </c>
      <c r="M139" s="55">
        <f t="shared" si="54"/>
        <v>0</v>
      </c>
      <c r="N139" s="55">
        <f t="shared" si="54"/>
        <v>2.0710000000000002</v>
      </c>
      <c r="O139" s="55">
        <f t="shared" si="54"/>
        <v>0</v>
      </c>
      <c r="P139" s="55">
        <f t="shared" si="54"/>
        <v>0</v>
      </c>
      <c r="Q139" s="55">
        <f t="shared" si="54"/>
        <v>0</v>
      </c>
      <c r="R139" s="55">
        <f t="shared" si="54"/>
        <v>0</v>
      </c>
      <c r="S139" s="55">
        <f t="shared" si="54"/>
        <v>0</v>
      </c>
      <c r="T139" s="55">
        <f t="shared" si="54"/>
        <v>0</v>
      </c>
      <c r="U139" s="55">
        <f t="shared" si="54"/>
        <v>0</v>
      </c>
      <c r="V139" s="55">
        <f t="shared" si="54"/>
        <v>0</v>
      </c>
      <c r="W139" s="55">
        <f t="shared" si="54"/>
        <v>0</v>
      </c>
      <c r="X139" s="55">
        <f t="shared" si="54"/>
        <v>0</v>
      </c>
      <c r="Y139" s="55">
        <f t="shared" si="54"/>
        <v>0</v>
      </c>
      <c r="Z139" s="55">
        <f t="shared" si="54"/>
        <v>0</v>
      </c>
      <c r="AA139" s="55">
        <f t="shared" si="54"/>
        <v>0</v>
      </c>
      <c r="AB139" s="55">
        <f t="shared" si="54"/>
        <v>0</v>
      </c>
      <c r="AC139" s="55">
        <f t="shared" si="54"/>
        <v>0</v>
      </c>
      <c r="AD139" s="55">
        <f t="shared" si="54"/>
        <v>0</v>
      </c>
      <c r="AE139" s="55">
        <f t="shared" si="54"/>
        <v>0</v>
      </c>
      <c r="AF139" s="55">
        <f t="shared" si="54"/>
        <v>0</v>
      </c>
      <c r="AG139" s="55">
        <f t="shared" si="54"/>
        <v>0</v>
      </c>
      <c r="AH139" s="55">
        <f t="shared" si="54"/>
        <v>0</v>
      </c>
      <c r="AI139" s="55">
        <f t="shared" ref="AI139:BJ139" si="55">IF(AND(AI$127&gt;=$I31,AI$127&lt;$I31+$F31),INDEX($T31:$AI31,AI$127-$I31+1),0)</f>
        <v>0</v>
      </c>
      <c r="AJ139" s="55">
        <f t="shared" si="55"/>
        <v>0</v>
      </c>
      <c r="AK139" s="55">
        <f t="shared" si="55"/>
        <v>0</v>
      </c>
      <c r="AL139" s="55">
        <f t="shared" si="55"/>
        <v>0</v>
      </c>
      <c r="AM139" s="55">
        <f t="shared" si="55"/>
        <v>0</v>
      </c>
      <c r="AN139" s="55">
        <f t="shared" si="55"/>
        <v>0</v>
      </c>
      <c r="AO139" s="55">
        <f t="shared" si="55"/>
        <v>0</v>
      </c>
      <c r="AP139" s="55">
        <f t="shared" si="55"/>
        <v>0</v>
      </c>
      <c r="AQ139" s="55">
        <f t="shared" si="55"/>
        <v>0</v>
      </c>
      <c r="AR139" s="55">
        <f t="shared" si="55"/>
        <v>0</v>
      </c>
      <c r="AS139" s="55">
        <f t="shared" si="55"/>
        <v>0</v>
      </c>
      <c r="AT139" s="55">
        <f t="shared" si="55"/>
        <v>0</v>
      </c>
      <c r="AU139" s="55">
        <f t="shared" si="55"/>
        <v>0</v>
      </c>
      <c r="AV139" s="55">
        <f t="shared" si="55"/>
        <v>0</v>
      </c>
      <c r="AW139" s="55">
        <f t="shared" si="55"/>
        <v>0</v>
      </c>
      <c r="AX139" s="55">
        <f t="shared" si="55"/>
        <v>0</v>
      </c>
      <c r="AY139" s="55">
        <f t="shared" si="55"/>
        <v>0</v>
      </c>
      <c r="AZ139" s="55">
        <f t="shared" si="55"/>
        <v>0</v>
      </c>
      <c r="BA139" s="55">
        <f t="shared" si="55"/>
        <v>0</v>
      </c>
      <c r="BB139" s="55">
        <f t="shared" si="55"/>
        <v>0</v>
      </c>
      <c r="BC139" s="55">
        <f t="shared" si="55"/>
        <v>0</v>
      </c>
      <c r="BD139" s="55">
        <f t="shared" si="55"/>
        <v>0</v>
      </c>
      <c r="BE139" s="55">
        <f t="shared" si="55"/>
        <v>0</v>
      </c>
      <c r="BF139" s="55">
        <f t="shared" si="55"/>
        <v>0</v>
      </c>
      <c r="BG139" s="55">
        <f t="shared" si="55"/>
        <v>0</v>
      </c>
      <c r="BH139" s="55">
        <f t="shared" si="55"/>
        <v>0</v>
      </c>
      <c r="BI139" s="55">
        <f t="shared" si="55"/>
        <v>0</v>
      </c>
      <c r="BJ139" s="55">
        <f t="shared" si="55"/>
        <v>0</v>
      </c>
    </row>
    <row r="140" spans="1:62" x14ac:dyDescent="0.3">
      <c r="A140" s="53" t="str">
        <f t="shared" si="39"/>
        <v>project 20</v>
      </c>
      <c r="C140" s="55">
        <f t="shared" ref="C140:AH140" si="56">IF(AND(C$127&gt;=$I32,C$127&lt;$I32+$F32),INDEX($T32:$AI32,C$127-$I32+1),0)</f>
        <v>1.6568000000000001</v>
      </c>
      <c r="D140" s="55">
        <f t="shared" si="56"/>
        <v>0.16029411764705881</v>
      </c>
      <c r="E140" s="55">
        <f t="shared" si="56"/>
        <v>0</v>
      </c>
      <c r="F140" s="55">
        <f t="shared" si="56"/>
        <v>0</v>
      </c>
      <c r="G140" s="55">
        <f t="shared" si="56"/>
        <v>0</v>
      </c>
      <c r="H140" s="55">
        <f t="shared" si="56"/>
        <v>0</v>
      </c>
      <c r="I140" s="55">
        <f t="shared" si="56"/>
        <v>0</v>
      </c>
      <c r="J140" s="55">
        <f t="shared" si="56"/>
        <v>0</v>
      </c>
      <c r="K140" s="55">
        <f t="shared" si="56"/>
        <v>0</v>
      </c>
      <c r="L140" s="55">
        <f t="shared" si="56"/>
        <v>0</v>
      </c>
      <c r="M140" s="55">
        <f t="shared" si="56"/>
        <v>0</v>
      </c>
      <c r="N140" s="55">
        <f t="shared" si="56"/>
        <v>0</v>
      </c>
      <c r="O140" s="55">
        <f t="shared" si="56"/>
        <v>0</v>
      </c>
      <c r="P140" s="55">
        <f t="shared" si="56"/>
        <v>0</v>
      </c>
      <c r="Q140" s="55">
        <f t="shared" si="56"/>
        <v>0</v>
      </c>
      <c r="R140" s="55">
        <f t="shared" si="56"/>
        <v>0</v>
      </c>
      <c r="S140" s="55">
        <f t="shared" si="56"/>
        <v>0</v>
      </c>
      <c r="T140" s="55">
        <f t="shared" si="56"/>
        <v>0</v>
      </c>
      <c r="U140" s="55">
        <f t="shared" si="56"/>
        <v>0</v>
      </c>
      <c r="V140" s="55">
        <f t="shared" si="56"/>
        <v>0</v>
      </c>
      <c r="W140" s="55">
        <f t="shared" si="56"/>
        <v>0</v>
      </c>
      <c r="X140" s="55">
        <f t="shared" si="56"/>
        <v>0</v>
      </c>
      <c r="Y140" s="55">
        <f t="shared" si="56"/>
        <v>0</v>
      </c>
      <c r="Z140" s="55">
        <f t="shared" si="56"/>
        <v>0</v>
      </c>
      <c r="AA140" s="55">
        <f t="shared" si="56"/>
        <v>0</v>
      </c>
      <c r="AB140" s="55">
        <f t="shared" si="56"/>
        <v>0</v>
      </c>
      <c r="AC140" s="55">
        <f t="shared" si="56"/>
        <v>0</v>
      </c>
      <c r="AD140" s="55">
        <f t="shared" si="56"/>
        <v>0</v>
      </c>
      <c r="AE140" s="55">
        <f t="shared" si="56"/>
        <v>0</v>
      </c>
      <c r="AF140" s="55">
        <f t="shared" si="56"/>
        <v>0</v>
      </c>
      <c r="AG140" s="55">
        <f t="shared" si="56"/>
        <v>0</v>
      </c>
      <c r="AH140" s="55">
        <f t="shared" si="56"/>
        <v>0</v>
      </c>
      <c r="AI140" s="55">
        <f t="shared" ref="AI140:BJ140" si="57">IF(AND(AI$127&gt;=$I32,AI$127&lt;$I32+$F32),INDEX($T32:$AI32,AI$127-$I32+1),0)</f>
        <v>0</v>
      </c>
      <c r="AJ140" s="55">
        <f t="shared" si="57"/>
        <v>0</v>
      </c>
      <c r="AK140" s="55">
        <f t="shared" si="57"/>
        <v>0</v>
      </c>
      <c r="AL140" s="55">
        <f t="shared" si="57"/>
        <v>0</v>
      </c>
      <c r="AM140" s="55">
        <f t="shared" si="57"/>
        <v>0</v>
      </c>
      <c r="AN140" s="55">
        <f t="shared" si="57"/>
        <v>0</v>
      </c>
      <c r="AO140" s="55">
        <f t="shared" si="57"/>
        <v>0</v>
      </c>
      <c r="AP140" s="55">
        <f t="shared" si="57"/>
        <v>0</v>
      </c>
      <c r="AQ140" s="55">
        <f t="shared" si="57"/>
        <v>0</v>
      </c>
      <c r="AR140" s="55">
        <f t="shared" si="57"/>
        <v>0</v>
      </c>
      <c r="AS140" s="55">
        <f t="shared" si="57"/>
        <v>0</v>
      </c>
      <c r="AT140" s="55">
        <f t="shared" si="57"/>
        <v>0</v>
      </c>
      <c r="AU140" s="55">
        <f t="shared" si="57"/>
        <v>0</v>
      </c>
      <c r="AV140" s="55">
        <f t="shared" si="57"/>
        <v>0</v>
      </c>
      <c r="AW140" s="55">
        <f t="shared" si="57"/>
        <v>0</v>
      </c>
      <c r="AX140" s="55">
        <f t="shared" si="57"/>
        <v>0</v>
      </c>
      <c r="AY140" s="55">
        <f t="shared" si="57"/>
        <v>0</v>
      </c>
      <c r="AZ140" s="55">
        <f t="shared" si="57"/>
        <v>0</v>
      </c>
      <c r="BA140" s="55">
        <f t="shared" si="57"/>
        <v>0</v>
      </c>
      <c r="BB140" s="55">
        <f t="shared" si="57"/>
        <v>0</v>
      </c>
      <c r="BC140" s="55">
        <f t="shared" si="57"/>
        <v>0</v>
      </c>
      <c r="BD140" s="55">
        <f t="shared" si="57"/>
        <v>0</v>
      </c>
      <c r="BE140" s="55">
        <f t="shared" si="57"/>
        <v>0</v>
      </c>
      <c r="BF140" s="55">
        <f t="shared" si="57"/>
        <v>0</v>
      </c>
      <c r="BG140" s="55">
        <f t="shared" si="57"/>
        <v>0</v>
      </c>
      <c r="BH140" s="55">
        <f t="shared" si="57"/>
        <v>0</v>
      </c>
      <c r="BI140" s="55">
        <f t="shared" si="57"/>
        <v>0</v>
      </c>
      <c r="BJ140" s="55">
        <f t="shared" si="57"/>
        <v>0</v>
      </c>
    </row>
    <row r="141" spans="1:62" x14ac:dyDescent="0.3">
      <c r="A141" s="53" t="str">
        <f t="shared" si="39"/>
        <v>project 22</v>
      </c>
      <c r="C141" s="55">
        <f t="shared" ref="C141:AH141" si="58">IF(AND(C$127&gt;=$I33,C$127&lt;$I33+$F33),INDEX($T33:$AI33,C$127-$I33+1),0)</f>
        <v>1.2251620000000001</v>
      </c>
      <c r="D141" s="55">
        <f t="shared" si="58"/>
        <v>0.16029509803921571</v>
      </c>
      <c r="E141" s="55">
        <f t="shared" si="58"/>
        <v>0</v>
      </c>
      <c r="F141" s="55">
        <f t="shared" si="58"/>
        <v>0</v>
      </c>
      <c r="G141" s="55">
        <f t="shared" si="58"/>
        <v>0</v>
      </c>
      <c r="H141" s="55">
        <f t="shared" si="58"/>
        <v>0</v>
      </c>
      <c r="I141" s="55">
        <f t="shared" si="58"/>
        <v>0</v>
      </c>
      <c r="J141" s="55">
        <f t="shared" si="58"/>
        <v>0</v>
      </c>
      <c r="K141" s="55">
        <f t="shared" si="58"/>
        <v>0</v>
      </c>
      <c r="L141" s="55">
        <f t="shared" si="58"/>
        <v>0</v>
      </c>
      <c r="M141" s="55">
        <f t="shared" si="58"/>
        <v>0</v>
      </c>
      <c r="N141" s="55">
        <f t="shared" si="58"/>
        <v>0</v>
      </c>
      <c r="O141" s="55">
        <f t="shared" si="58"/>
        <v>0</v>
      </c>
      <c r="P141" s="55">
        <f t="shared" si="58"/>
        <v>0</v>
      </c>
      <c r="Q141" s="55">
        <f t="shared" si="58"/>
        <v>0</v>
      </c>
      <c r="R141" s="55">
        <f t="shared" si="58"/>
        <v>0</v>
      </c>
      <c r="S141" s="55">
        <f t="shared" si="58"/>
        <v>0</v>
      </c>
      <c r="T141" s="55">
        <f t="shared" si="58"/>
        <v>0</v>
      </c>
      <c r="U141" s="55">
        <f t="shared" si="58"/>
        <v>0</v>
      </c>
      <c r="V141" s="55">
        <f t="shared" si="58"/>
        <v>0</v>
      </c>
      <c r="W141" s="55">
        <f t="shared" si="58"/>
        <v>0</v>
      </c>
      <c r="X141" s="55">
        <f t="shared" si="58"/>
        <v>0</v>
      </c>
      <c r="Y141" s="55">
        <f t="shared" si="58"/>
        <v>0</v>
      </c>
      <c r="Z141" s="55">
        <f t="shared" si="58"/>
        <v>0</v>
      </c>
      <c r="AA141" s="55">
        <f t="shared" si="58"/>
        <v>0</v>
      </c>
      <c r="AB141" s="55">
        <f t="shared" si="58"/>
        <v>0</v>
      </c>
      <c r="AC141" s="55">
        <f t="shared" si="58"/>
        <v>0</v>
      </c>
      <c r="AD141" s="55">
        <f t="shared" si="58"/>
        <v>0</v>
      </c>
      <c r="AE141" s="55">
        <f t="shared" si="58"/>
        <v>0</v>
      </c>
      <c r="AF141" s="55">
        <f t="shared" si="58"/>
        <v>0</v>
      </c>
      <c r="AG141" s="55">
        <f t="shared" si="58"/>
        <v>0</v>
      </c>
      <c r="AH141" s="55">
        <f t="shared" si="58"/>
        <v>0</v>
      </c>
      <c r="AI141" s="55">
        <f t="shared" ref="AI141:BJ141" si="59">IF(AND(AI$127&gt;=$I33,AI$127&lt;$I33+$F33),INDEX($T33:$AI33,AI$127-$I33+1),0)</f>
        <v>0</v>
      </c>
      <c r="AJ141" s="55">
        <f t="shared" si="59"/>
        <v>0</v>
      </c>
      <c r="AK141" s="55">
        <f t="shared" si="59"/>
        <v>0</v>
      </c>
      <c r="AL141" s="55">
        <f t="shared" si="59"/>
        <v>0</v>
      </c>
      <c r="AM141" s="55">
        <f t="shared" si="59"/>
        <v>0</v>
      </c>
      <c r="AN141" s="55">
        <f t="shared" si="59"/>
        <v>0</v>
      </c>
      <c r="AO141" s="55">
        <f t="shared" si="59"/>
        <v>0</v>
      </c>
      <c r="AP141" s="55">
        <f t="shared" si="59"/>
        <v>0</v>
      </c>
      <c r="AQ141" s="55">
        <f t="shared" si="59"/>
        <v>0</v>
      </c>
      <c r="AR141" s="55">
        <f t="shared" si="59"/>
        <v>0</v>
      </c>
      <c r="AS141" s="55">
        <f t="shared" si="59"/>
        <v>0</v>
      </c>
      <c r="AT141" s="55">
        <f t="shared" si="59"/>
        <v>0</v>
      </c>
      <c r="AU141" s="55">
        <f t="shared" si="59"/>
        <v>0</v>
      </c>
      <c r="AV141" s="55">
        <f t="shared" si="59"/>
        <v>0</v>
      </c>
      <c r="AW141" s="55">
        <f t="shared" si="59"/>
        <v>0</v>
      </c>
      <c r="AX141" s="55">
        <f t="shared" si="59"/>
        <v>0</v>
      </c>
      <c r="AY141" s="55">
        <f t="shared" si="59"/>
        <v>0</v>
      </c>
      <c r="AZ141" s="55">
        <f t="shared" si="59"/>
        <v>0</v>
      </c>
      <c r="BA141" s="55">
        <f t="shared" si="59"/>
        <v>0</v>
      </c>
      <c r="BB141" s="55">
        <f t="shared" si="59"/>
        <v>0</v>
      </c>
      <c r="BC141" s="55">
        <f t="shared" si="59"/>
        <v>0</v>
      </c>
      <c r="BD141" s="55">
        <f t="shared" si="59"/>
        <v>0</v>
      </c>
      <c r="BE141" s="55">
        <f t="shared" si="59"/>
        <v>0</v>
      </c>
      <c r="BF141" s="55">
        <f t="shared" si="59"/>
        <v>0</v>
      </c>
      <c r="BG141" s="55">
        <f t="shared" si="59"/>
        <v>0</v>
      </c>
      <c r="BH141" s="55">
        <f t="shared" si="59"/>
        <v>0</v>
      </c>
      <c r="BI141" s="55">
        <f t="shared" si="59"/>
        <v>0</v>
      </c>
      <c r="BJ141" s="55">
        <f t="shared" si="59"/>
        <v>0</v>
      </c>
    </row>
    <row r="142" spans="1:62" x14ac:dyDescent="0.3">
      <c r="A142" s="53" t="str">
        <f t="shared" si="39"/>
        <v>project 23</v>
      </c>
      <c r="C142" s="55">
        <f t="shared" ref="C142:AH142" si="60">IF(AND(C$127&gt;=$I34,C$127&lt;$I34+$F34),INDEX($T34:$AI34,C$127-$I34+1),0)</f>
        <v>0</v>
      </c>
      <c r="D142" s="55">
        <f t="shared" si="60"/>
        <v>0</v>
      </c>
      <c r="E142" s="55">
        <f t="shared" si="60"/>
        <v>0</v>
      </c>
      <c r="F142" s="55">
        <f t="shared" si="60"/>
        <v>0</v>
      </c>
      <c r="G142" s="55">
        <f t="shared" si="60"/>
        <v>0</v>
      </c>
      <c r="H142" s="55">
        <f t="shared" si="60"/>
        <v>0</v>
      </c>
      <c r="I142" s="55">
        <f t="shared" si="60"/>
        <v>0</v>
      </c>
      <c r="J142" s="55">
        <f t="shared" si="60"/>
        <v>0</v>
      </c>
      <c r="K142" s="55">
        <f t="shared" si="60"/>
        <v>0</v>
      </c>
      <c r="L142" s="55">
        <f t="shared" si="60"/>
        <v>0</v>
      </c>
      <c r="M142" s="55">
        <f t="shared" si="60"/>
        <v>0</v>
      </c>
      <c r="N142" s="55">
        <f t="shared" si="60"/>
        <v>0.65400000000000003</v>
      </c>
      <c r="O142" s="55">
        <f t="shared" si="60"/>
        <v>0</v>
      </c>
      <c r="P142" s="55">
        <f t="shared" si="60"/>
        <v>0</v>
      </c>
      <c r="Q142" s="55">
        <f t="shared" si="60"/>
        <v>0</v>
      </c>
      <c r="R142" s="55">
        <f t="shared" si="60"/>
        <v>0</v>
      </c>
      <c r="S142" s="55">
        <f t="shared" si="60"/>
        <v>0</v>
      </c>
      <c r="T142" s="55">
        <f t="shared" si="60"/>
        <v>0</v>
      </c>
      <c r="U142" s="55">
        <f t="shared" si="60"/>
        <v>0</v>
      </c>
      <c r="V142" s="55">
        <f t="shared" si="60"/>
        <v>0</v>
      </c>
      <c r="W142" s="55">
        <f t="shared" si="60"/>
        <v>0</v>
      </c>
      <c r="X142" s="55">
        <f t="shared" si="60"/>
        <v>0</v>
      </c>
      <c r="Y142" s="55">
        <f t="shared" si="60"/>
        <v>0</v>
      </c>
      <c r="Z142" s="55">
        <f t="shared" si="60"/>
        <v>0</v>
      </c>
      <c r="AA142" s="55">
        <f t="shared" si="60"/>
        <v>0</v>
      </c>
      <c r="AB142" s="55">
        <f t="shared" si="60"/>
        <v>0</v>
      </c>
      <c r="AC142" s="55">
        <f t="shared" si="60"/>
        <v>0</v>
      </c>
      <c r="AD142" s="55">
        <f t="shared" si="60"/>
        <v>0</v>
      </c>
      <c r="AE142" s="55">
        <f t="shared" si="60"/>
        <v>0</v>
      </c>
      <c r="AF142" s="55">
        <f t="shared" si="60"/>
        <v>0</v>
      </c>
      <c r="AG142" s="55">
        <f t="shared" si="60"/>
        <v>0</v>
      </c>
      <c r="AH142" s="55">
        <f t="shared" si="60"/>
        <v>0</v>
      </c>
      <c r="AI142" s="55">
        <f t="shared" ref="AI142:BJ142" si="61">IF(AND(AI$127&gt;=$I34,AI$127&lt;$I34+$F34),INDEX($T34:$AI34,AI$127-$I34+1),0)</f>
        <v>0</v>
      </c>
      <c r="AJ142" s="55">
        <f t="shared" si="61"/>
        <v>0</v>
      </c>
      <c r="AK142" s="55">
        <f t="shared" si="61"/>
        <v>0</v>
      </c>
      <c r="AL142" s="55">
        <f t="shared" si="61"/>
        <v>0</v>
      </c>
      <c r="AM142" s="55">
        <f t="shared" si="61"/>
        <v>0</v>
      </c>
      <c r="AN142" s="55">
        <f t="shared" si="61"/>
        <v>0</v>
      </c>
      <c r="AO142" s="55">
        <f t="shared" si="61"/>
        <v>0</v>
      </c>
      <c r="AP142" s="55">
        <f t="shared" si="61"/>
        <v>0</v>
      </c>
      <c r="AQ142" s="55">
        <f t="shared" si="61"/>
        <v>0</v>
      </c>
      <c r="AR142" s="55">
        <f t="shared" si="61"/>
        <v>0</v>
      </c>
      <c r="AS142" s="55">
        <f t="shared" si="61"/>
        <v>0</v>
      </c>
      <c r="AT142" s="55">
        <f t="shared" si="61"/>
        <v>0</v>
      </c>
      <c r="AU142" s="55">
        <f t="shared" si="61"/>
        <v>0</v>
      </c>
      <c r="AV142" s="55">
        <f t="shared" si="61"/>
        <v>0</v>
      </c>
      <c r="AW142" s="55">
        <f t="shared" si="61"/>
        <v>0</v>
      </c>
      <c r="AX142" s="55">
        <f t="shared" si="61"/>
        <v>0</v>
      </c>
      <c r="AY142" s="55">
        <f t="shared" si="61"/>
        <v>0</v>
      </c>
      <c r="AZ142" s="55">
        <f t="shared" si="61"/>
        <v>0</v>
      </c>
      <c r="BA142" s="55">
        <f t="shared" si="61"/>
        <v>0</v>
      </c>
      <c r="BB142" s="55">
        <f t="shared" si="61"/>
        <v>0</v>
      </c>
      <c r="BC142" s="55">
        <f t="shared" si="61"/>
        <v>0</v>
      </c>
      <c r="BD142" s="55">
        <f t="shared" si="61"/>
        <v>0</v>
      </c>
      <c r="BE142" s="55">
        <f t="shared" si="61"/>
        <v>0</v>
      </c>
      <c r="BF142" s="55">
        <f t="shared" si="61"/>
        <v>0</v>
      </c>
      <c r="BG142" s="55">
        <f t="shared" si="61"/>
        <v>0</v>
      </c>
      <c r="BH142" s="55">
        <f t="shared" si="61"/>
        <v>0</v>
      </c>
      <c r="BI142" s="55">
        <f t="shared" si="61"/>
        <v>0</v>
      </c>
      <c r="BJ142" s="55">
        <f t="shared" si="61"/>
        <v>0</v>
      </c>
    </row>
    <row r="143" spans="1:62" x14ac:dyDescent="0.3">
      <c r="A143" s="53" t="str">
        <f t="shared" si="39"/>
        <v>project 24</v>
      </c>
      <c r="C143" s="55">
        <f t="shared" ref="C143:AH143" si="62">IF(AND(C$127&gt;=$I35,C$127&lt;$I35+$F35),INDEX($T35:$AI35,C$127-$I35+1),0)</f>
        <v>0</v>
      </c>
      <c r="D143" s="55">
        <f t="shared" si="62"/>
        <v>0</v>
      </c>
      <c r="E143" s="55">
        <f t="shared" si="62"/>
        <v>0</v>
      </c>
      <c r="F143" s="55">
        <f t="shared" si="62"/>
        <v>0</v>
      </c>
      <c r="G143" s="55">
        <f t="shared" si="62"/>
        <v>0</v>
      </c>
      <c r="H143" s="55">
        <f t="shared" si="62"/>
        <v>0</v>
      </c>
      <c r="I143" s="55">
        <f t="shared" si="62"/>
        <v>0</v>
      </c>
      <c r="J143" s="55">
        <f t="shared" si="62"/>
        <v>0</v>
      </c>
      <c r="K143" s="55">
        <f t="shared" si="62"/>
        <v>0</v>
      </c>
      <c r="L143" s="55">
        <f t="shared" si="62"/>
        <v>0</v>
      </c>
      <c r="M143" s="55">
        <f t="shared" si="62"/>
        <v>0</v>
      </c>
      <c r="N143" s="55">
        <f t="shared" si="62"/>
        <v>0.89924999999999999</v>
      </c>
      <c r="O143" s="55">
        <f t="shared" si="62"/>
        <v>0.32058823529411767</v>
      </c>
      <c r="P143" s="55">
        <f t="shared" si="62"/>
        <v>0</v>
      </c>
      <c r="Q143" s="55">
        <f t="shared" si="62"/>
        <v>0</v>
      </c>
      <c r="R143" s="55">
        <f t="shared" si="62"/>
        <v>0</v>
      </c>
      <c r="S143" s="55">
        <f t="shared" si="62"/>
        <v>0</v>
      </c>
      <c r="T143" s="55">
        <f t="shared" si="62"/>
        <v>0</v>
      </c>
      <c r="U143" s="55">
        <f t="shared" si="62"/>
        <v>0</v>
      </c>
      <c r="V143" s="55">
        <f t="shared" si="62"/>
        <v>0</v>
      </c>
      <c r="W143" s="55">
        <f t="shared" si="62"/>
        <v>0</v>
      </c>
      <c r="X143" s="55">
        <f t="shared" si="62"/>
        <v>0</v>
      </c>
      <c r="Y143" s="55">
        <f t="shared" si="62"/>
        <v>0</v>
      </c>
      <c r="Z143" s="55">
        <f t="shared" si="62"/>
        <v>0</v>
      </c>
      <c r="AA143" s="55">
        <f t="shared" si="62"/>
        <v>0</v>
      </c>
      <c r="AB143" s="55">
        <f t="shared" si="62"/>
        <v>0</v>
      </c>
      <c r="AC143" s="55">
        <f t="shared" si="62"/>
        <v>0</v>
      </c>
      <c r="AD143" s="55">
        <f t="shared" si="62"/>
        <v>0</v>
      </c>
      <c r="AE143" s="55">
        <f t="shared" si="62"/>
        <v>0</v>
      </c>
      <c r="AF143" s="55">
        <f t="shared" si="62"/>
        <v>0</v>
      </c>
      <c r="AG143" s="55">
        <f t="shared" si="62"/>
        <v>0</v>
      </c>
      <c r="AH143" s="55">
        <f t="shared" si="62"/>
        <v>0</v>
      </c>
      <c r="AI143" s="55">
        <f t="shared" ref="AI143:BJ143" si="63">IF(AND(AI$127&gt;=$I35,AI$127&lt;$I35+$F35),INDEX($T35:$AI35,AI$127-$I35+1),0)</f>
        <v>0</v>
      </c>
      <c r="AJ143" s="55">
        <f t="shared" si="63"/>
        <v>0</v>
      </c>
      <c r="AK143" s="55">
        <f t="shared" si="63"/>
        <v>0</v>
      </c>
      <c r="AL143" s="55">
        <f t="shared" si="63"/>
        <v>0</v>
      </c>
      <c r="AM143" s="55">
        <f t="shared" si="63"/>
        <v>0</v>
      </c>
      <c r="AN143" s="55">
        <f t="shared" si="63"/>
        <v>0</v>
      </c>
      <c r="AO143" s="55">
        <f t="shared" si="63"/>
        <v>0</v>
      </c>
      <c r="AP143" s="55">
        <f t="shared" si="63"/>
        <v>0</v>
      </c>
      <c r="AQ143" s="55">
        <f t="shared" si="63"/>
        <v>0</v>
      </c>
      <c r="AR143" s="55">
        <f t="shared" si="63"/>
        <v>0</v>
      </c>
      <c r="AS143" s="55">
        <f t="shared" si="63"/>
        <v>0</v>
      </c>
      <c r="AT143" s="55">
        <f t="shared" si="63"/>
        <v>0</v>
      </c>
      <c r="AU143" s="55">
        <f t="shared" si="63"/>
        <v>0</v>
      </c>
      <c r="AV143" s="55">
        <f t="shared" si="63"/>
        <v>0</v>
      </c>
      <c r="AW143" s="55">
        <f t="shared" si="63"/>
        <v>0</v>
      </c>
      <c r="AX143" s="55">
        <f t="shared" si="63"/>
        <v>0</v>
      </c>
      <c r="AY143" s="55">
        <f t="shared" si="63"/>
        <v>0</v>
      </c>
      <c r="AZ143" s="55">
        <f t="shared" si="63"/>
        <v>0</v>
      </c>
      <c r="BA143" s="55">
        <f t="shared" si="63"/>
        <v>0</v>
      </c>
      <c r="BB143" s="55">
        <f t="shared" si="63"/>
        <v>0</v>
      </c>
      <c r="BC143" s="55">
        <f t="shared" si="63"/>
        <v>0</v>
      </c>
      <c r="BD143" s="55">
        <f t="shared" si="63"/>
        <v>0</v>
      </c>
      <c r="BE143" s="55">
        <f t="shared" si="63"/>
        <v>0</v>
      </c>
      <c r="BF143" s="55">
        <f t="shared" si="63"/>
        <v>0</v>
      </c>
      <c r="BG143" s="55">
        <f t="shared" si="63"/>
        <v>0</v>
      </c>
      <c r="BH143" s="55">
        <f t="shared" si="63"/>
        <v>0</v>
      </c>
      <c r="BI143" s="55">
        <f t="shared" si="63"/>
        <v>0</v>
      </c>
      <c r="BJ143" s="55">
        <f t="shared" si="63"/>
        <v>0</v>
      </c>
    </row>
    <row r="144" spans="1:62" x14ac:dyDescent="0.3">
      <c r="A144" s="53" t="str">
        <f t="shared" si="39"/>
        <v>project 26</v>
      </c>
      <c r="C144" s="55">
        <f t="shared" ref="C144:AH144" si="64">IF(AND(C$127&gt;=$I36,C$127&lt;$I36+$F36),INDEX($T36:$AI36,C$127-$I36+1),0)</f>
        <v>0.32058823529411767</v>
      </c>
      <c r="D144" s="55">
        <f t="shared" si="64"/>
        <v>0</v>
      </c>
      <c r="E144" s="55">
        <f t="shared" si="64"/>
        <v>0</v>
      </c>
      <c r="F144" s="55">
        <f t="shared" si="64"/>
        <v>0</v>
      </c>
      <c r="G144" s="55">
        <f t="shared" si="64"/>
        <v>0</v>
      </c>
      <c r="H144" s="55">
        <f t="shared" si="64"/>
        <v>0</v>
      </c>
      <c r="I144" s="55">
        <f t="shared" si="64"/>
        <v>0</v>
      </c>
      <c r="J144" s="55">
        <f t="shared" si="64"/>
        <v>0</v>
      </c>
      <c r="K144" s="55">
        <f t="shared" si="64"/>
        <v>0</v>
      </c>
      <c r="L144" s="55">
        <f t="shared" si="64"/>
        <v>0</v>
      </c>
      <c r="M144" s="55">
        <f t="shared" si="64"/>
        <v>0</v>
      </c>
      <c r="N144" s="55">
        <f t="shared" si="64"/>
        <v>0</v>
      </c>
      <c r="O144" s="55">
        <f t="shared" si="64"/>
        <v>0</v>
      </c>
      <c r="P144" s="55">
        <f t="shared" si="64"/>
        <v>0</v>
      </c>
      <c r="Q144" s="55">
        <f t="shared" si="64"/>
        <v>0</v>
      </c>
      <c r="R144" s="55">
        <f t="shared" si="64"/>
        <v>0</v>
      </c>
      <c r="S144" s="55">
        <f t="shared" si="64"/>
        <v>0</v>
      </c>
      <c r="T144" s="55">
        <f t="shared" si="64"/>
        <v>0</v>
      </c>
      <c r="U144" s="55">
        <f t="shared" si="64"/>
        <v>0</v>
      </c>
      <c r="V144" s="55">
        <f t="shared" si="64"/>
        <v>0</v>
      </c>
      <c r="W144" s="55">
        <f t="shared" si="64"/>
        <v>0</v>
      </c>
      <c r="X144" s="55">
        <f t="shared" si="64"/>
        <v>0</v>
      </c>
      <c r="Y144" s="55">
        <f t="shared" si="64"/>
        <v>0</v>
      </c>
      <c r="Z144" s="55">
        <f t="shared" si="64"/>
        <v>0</v>
      </c>
      <c r="AA144" s="55">
        <f t="shared" si="64"/>
        <v>0</v>
      </c>
      <c r="AB144" s="55">
        <f t="shared" si="64"/>
        <v>0</v>
      </c>
      <c r="AC144" s="55">
        <f t="shared" si="64"/>
        <v>0</v>
      </c>
      <c r="AD144" s="55">
        <f t="shared" si="64"/>
        <v>0</v>
      </c>
      <c r="AE144" s="55">
        <f t="shared" si="64"/>
        <v>0</v>
      </c>
      <c r="AF144" s="55">
        <f t="shared" si="64"/>
        <v>0</v>
      </c>
      <c r="AG144" s="55">
        <f t="shared" si="64"/>
        <v>0</v>
      </c>
      <c r="AH144" s="55">
        <f t="shared" si="64"/>
        <v>0</v>
      </c>
      <c r="AI144" s="55">
        <f t="shared" ref="AI144:BJ144" si="65">IF(AND(AI$127&gt;=$I36,AI$127&lt;$I36+$F36),INDEX($T36:$AI36,AI$127-$I36+1),0)</f>
        <v>0</v>
      </c>
      <c r="AJ144" s="55">
        <f t="shared" si="65"/>
        <v>0</v>
      </c>
      <c r="AK144" s="55">
        <f t="shared" si="65"/>
        <v>0</v>
      </c>
      <c r="AL144" s="55">
        <f t="shared" si="65"/>
        <v>0</v>
      </c>
      <c r="AM144" s="55">
        <f t="shared" si="65"/>
        <v>0</v>
      </c>
      <c r="AN144" s="55">
        <f t="shared" si="65"/>
        <v>0</v>
      </c>
      <c r="AO144" s="55">
        <f t="shared" si="65"/>
        <v>0</v>
      </c>
      <c r="AP144" s="55">
        <f t="shared" si="65"/>
        <v>0</v>
      </c>
      <c r="AQ144" s="55">
        <f t="shared" si="65"/>
        <v>0</v>
      </c>
      <c r="AR144" s="55">
        <f t="shared" si="65"/>
        <v>0</v>
      </c>
      <c r="AS144" s="55">
        <f t="shared" si="65"/>
        <v>0</v>
      </c>
      <c r="AT144" s="55">
        <f t="shared" si="65"/>
        <v>0</v>
      </c>
      <c r="AU144" s="55">
        <f t="shared" si="65"/>
        <v>0</v>
      </c>
      <c r="AV144" s="55">
        <f t="shared" si="65"/>
        <v>0</v>
      </c>
      <c r="AW144" s="55">
        <f t="shared" si="65"/>
        <v>0</v>
      </c>
      <c r="AX144" s="55">
        <f t="shared" si="65"/>
        <v>0</v>
      </c>
      <c r="AY144" s="55">
        <f t="shared" si="65"/>
        <v>0</v>
      </c>
      <c r="AZ144" s="55">
        <f t="shared" si="65"/>
        <v>0</v>
      </c>
      <c r="BA144" s="55">
        <f t="shared" si="65"/>
        <v>0</v>
      </c>
      <c r="BB144" s="55">
        <f t="shared" si="65"/>
        <v>0</v>
      </c>
      <c r="BC144" s="55">
        <f t="shared" si="65"/>
        <v>0</v>
      </c>
      <c r="BD144" s="55">
        <f t="shared" si="65"/>
        <v>0</v>
      </c>
      <c r="BE144" s="55">
        <f t="shared" si="65"/>
        <v>0</v>
      </c>
      <c r="BF144" s="55">
        <f t="shared" si="65"/>
        <v>0</v>
      </c>
      <c r="BG144" s="55">
        <f t="shared" si="65"/>
        <v>0</v>
      </c>
      <c r="BH144" s="55">
        <f t="shared" si="65"/>
        <v>0</v>
      </c>
      <c r="BI144" s="55">
        <f t="shared" si="65"/>
        <v>0</v>
      </c>
      <c r="BJ144" s="55">
        <f t="shared" si="65"/>
        <v>0</v>
      </c>
    </row>
    <row r="145" spans="1:62" x14ac:dyDescent="0.3">
      <c r="A145" s="53" t="str">
        <f t="shared" si="39"/>
        <v>project 27</v>
      </c>
      <c r="C145" s="55">
        <f t="shared" ref="C145:AH145" si="66">IF(AND(C$127&gt;=$I37,C$127&lt;$I37+$F37),INDEX($T37:$AI37,C$127-$I37+1),0)</f>
        <v>0</v>
      </c>
      <c r="D145" s="55">
        <f t="shared" si="66"/>
        <v>0</v>
      </c>
      <c r="E145" s="55">
        <f t="shared" si="66"/>
        <v>0</v>
      </c>
      <c r="F145" s="55">
        <f t="shared" si="66"/>
        <v>0</v>
      </c>
      <c r="G145" s="55">
        <f t="shared" si="66"/>
        <v>0</v>
      </c>
      <c r="H145" s="55">
        <f t="shared" si="66"/>
        <v>0.16350000000000001</v>
      </c>
      <c r="I145" s="55">
        <f t="shared" si="66"/>
        <v>0.16029411764705881</v>
      </c>
      <c r="J145" s="55">
        <f t="shared" si="66"/>
        <v>0</v>
      </c>
      <c r="K145" s="55">
        <f t="shared" si="66"/>
        <v>0</v>
      </c>
      <c r="L145" s="55">
        <f t="shared" si="66"/>
        <v>0</v>
      </c>
      <c r="M145" s="55">
        <f t="shared" si="66"/>
        <v>0</v>
      </c>
      <c r="N145" s="55">
        <f t="shared" si="66"/>
        <v>0</v>
      </c>
      <c r="O145" s="55">
        <f t="shared" si="66"/>
        <v>0</v>
      </c>
      <c r="P145" s="55">
        <f t="shared" si="66"/>
        <v>0</v>
      </c>
      <c r="Q145" s="55">
        <f t="shared" si="66"/>
        <v>0</v>
      </c>
      <c r="R145" s="55">
        <f t="shared" si="66"/>
        <v>0</v>
      </c>
      <c r="S145" s="55">
        <f t="shared" si="66"/>
        <v>0</v>
      </c>
      <c r="T145" s="55">
        <f t="shared" si="66"/>
        <v>0</v>
      </c>
      <c r="U145" s="55">
        <f t="shared" si="66"/>
        <v>0</v>
      </c>
      <c r="V145" s="55">
        <f t="shared" si="66"/>
        <v>0</v>
      </c>
      <c r="W145" s="55">
        <f t="shared" si="66"/>
        <v>0</v>
      </c>
      <c r="X145" s="55">
        <f t="shared" si="66"/>
        <v>0</v>
      </c>
      <c r="Y145" s="55">
        <f t="shared" si="66"/>
        <v>0</v>
      </c>
      <c r="Z145" s="55">
        <f t="shared" si="66"/>
        <v>0</v>
      </c>
      <c r="AA145" s="55">
        <f t="shared" si="66"/>
        <v>0</v>
      </c>
      <c r="AB145" s="55">
        <f t="shared" si="66"/>
        <v>0</v>
      </c>
      <c r="AC145" s="55">
        <f t="shared" si="66"/>
        <v>0</v>
      </c>
      <c r="AD145" s="55">
        <f t="shared" si="66"/>
        <v>0</v>
      </c>
      <c r="AE145" s="55">
        <f t="shared" si="66"/>
        <v>0</v>
      </c>
      <c r="AF145" s="55">
        <f t="shared" si="66"/>
        <v>0</v>
      </c>
      <c r="AG145" s="55">
        <f t="shared" si="66"/>
        <v>0</v>
      </c>
      <c r="AH145" s="55">
        <f t="shared" si="66"/>
        <v>0</v>
      </c>
      <c r="AI145" s="55">
        <f t="shared" ref="AI145:BJ145" si="67">IF(AND(AI$127&gt;=$I37,AI$127&lt;$I37+$F37),INDEX($T37:$AI37,AI$127-$I37+1),0)</f>
        <v>0</v>
      </c>
      <c r="AJ145" s="55">
        <f t="shared" si="67"/>
        <v>0</v>
      </c>
      <c r="AK145" s="55">
        <f t="shared" si="67"/>
        <v>0</v>
      </c>
      <c r="AL145" s="55">
        <f t="shared" si="67"/>
        <v>0</v>
      </c>
      <c r="AM145" s="55">
        <f t="shared" si="67"/>
        <v>0</v>
      </c>
      <c r="AN145" s="55">
        <f t="shared" si="67"/>
        <v>0</v>
      </c>
      <c r="AO145" s="55">
        <f t="shared" si="67"/>
        <v>0</v>
      </c>
      <c r="AP145" s="55">
        <f t="shared" si="67"/>
        <v>0</v>
      </c>
      <c r="AQ145" s="55">
        <f t="shared" si="67"/>
        <v>0</v>
      </c>
      <c r="AR145" s="55">
        <f t="shared" si="67"/>
        <v>0</v>
      </c>
      <c r="AS145" s="55">
        <f t="shared" si="67"/>
        <v>0</v>
      </c>
      <c r="AT145" s="55">
        <f t="shared" si="67"/>
        <v>0</v>
      </c>
      <c r="AU145" s="55">
        <f t="shared" si="67"/>
        <v>0</v>
      </c>
      <c r="AV145" s="55">
        <f t="shared" si="67"/>
        <v>0</v>
      </c>
      <c r="AW145" s="55">
        <f t="shared" si="67"/>
        <v>0</v>
      </c>
      <c r="AX145" s="55">
        <f t="shared" si="67"/>
        <v>0</v>
      </c>
      <c r="AY145" s="55">
        <f t="shared" si="67"/>
        <v>0</v>
      </c>
      <c r="AZ145" s="55">
        <f t="shared" si="67"/>
        <v>0</v>
      </c>
      <c r="BA145" s="55">
        <f t="shared" si="67"/>
        <v>0</v>
      </c>
      <c r="BB145" s="55">
        <f t="shared" si="67"/>
        <v>0</v>
      </c>
      <c r="BC145" s="55">
        <f t="shared" si="67"/>
        <v>0</v>
      </c>
      <c r="BD145" s="55">
        <f t="shared" si="67"/>
        <v>0</v>
      </c>
      <c r="BE145" s="55">
        <f t="shared" si="67"/>
        <v>0</v>
      </c>
      <c r="BF145" s="55">
        <f t="shared" si="67"/>
        <v>0</v>
      </c>
      <c r="BG145" s="55">
        <f t="shared" si="67"/>
        <v>0</v>
      </c>
      <c r="BH145" s="55">
        <f t="shared" si="67"/>
        <v>0</v>
      </c>
      <c r="BI145" s="55">
        <f t="shared" si="67"/>
        <v>0</v>
      </c>
      <c r="BJ145" s="55">
        <f t="shared" si="67"/>
        <v>0</v>
      </c>
    </row>
    <row r="146" spans="1:62" x14ac:dyDescent="0.3">
      <c r="A146" s="53" t="str">
        <f t="shared" si="39"/>
        <v>project 28</v>
      </c>
      <c r="C146" s="55">
        <f t="shared" ref="C146:AH146" si="68">IF(AND(C$127&gt;=$I38,C$127&lt;$I38+$F38),INDEX($T38:$AI38,C$127-$I38+1),0)</f>
        <v>0.16350000000000001</v>
      </c>
      <c r="D146" s="55">
        <f t="shared" si="68"/>
        <v>0.16029411764705881</v>
      </c>
      <c r="E146" s="55">
        <f t="shared" si="68"/>
        <v>0</v>
      </c>
      <c r="F146" s="55">
        <f t="shared" si="68"/>
        <v>0</v>
      </c>
      <c r="G146" s="55">
        <f t="shared" si="68"/>
        <v>0</v>
      </c>
      <c r="H146" s="55">
        <f t="shared" si="68"/>
        <v>0</v>
      </c>
      <c r="I146" s="55">
        <f t="shared" si="68"/>
        <v>0</v>
      </c>
      <c r="J146" s="55">
        <f t="shared" si="68"/>
        <v>0</v>
      </c>
      <c r="K146" s="55">
        <f t="shared" si="68"/>
        <v>0</v>
      </c>
      <c r="L146" s="55">
        <f t="shared" si="68"/>
        <v>0</v>
      </c>
      <c r="M146" s="55">
        <f t="shared" si="68"/>
        <v>0</v>
      </c>
      <c r="N146" s="55">
        <f t="shared" si="68"/>
        <v>0</v>
      </c>
      <c r="O146" s="55">
        <f t="shared" si="68"/>
        <v>0</v>
      </c>
      <c r="P146" s="55">
        <f t="shared" si="68"/>
        <v>0</v>
      </c>
      <c r="Q146" s="55">
        <f t="shared" si="68"/>
        <v>0</v>
      </c>
      <c r="R146" s="55">
        <f t="shared" si="68"/>
        <v>0</v>
      </c>
      <c r="S146" s="55">
        <f t="shared" si="68"/>
        <v>0</v>
      </c>
      <c r="T146" s="55">
        <f t="shared" si="68"/>
        <v>0</v>
      </c>
      <c r="U146" s="55">
        <f t="shared" si="68"/>
        <v>0</v>
      </c>
      <c r="V146" s="55">
        <f t="shared" si="68"/>
        <v>0</v>
      </c>
      <c r="W146" s="55">
        <f t="shared" si="68"/>
        <v>0</v>
      </c>
      <c r="X146" s="55">
        <f t="shared" si="68"/>
        <v>0</v>
      </c>
      <c r="Y146" s="55">
        <f t="shared" si="68"/>
        <v>0</v>
      </c>
      <c r="Z146" s="55">
        <f t="shared" si="68"/>
        <v>0</v>
      </c>
      <c r="AA146" s="55">
        <f t="shared" si="68"/>
        <v>0</v>
      </c>
      <c r="AB146" s="55">
        <f t="shared" si="68"/>
        <v>0</v>
      </c>
      <c r="AC146" s="55">
        <f t="shared" si="68"/>
        <v>0</v>
      </c>
      <c r="AD146" s="55">
        <f t="shared" si="68"/>
        <v>0</v>
      </c>
      <c r="AE146" s="55">
        <f t="shared" si="68"/>
        <v>0</v>
      </c>
      <c r="AF146" s="55">
        <f t="shared" si="68"/>
        <v>0</v>
      </c>
      <c r="AG146" s="55">
        <f t="shared" si="68"/>
        <v>0</v>
      </c>
      <c r="AH146" s="55">
        <f t="shared" si="68"/>
        <v>0</v>
      </c>
      <c r="AI146" s="55">
        <f t="shared" ref="AI146:BJ146" si="69">IF(AND(AI$127&gt;=$I38,AI$127&lt;$I38+$F38),INDEX($T38:$AI38,AI$127-$I38+1),0)</f>
        <v>0</v>
      </c>
      <c r="AJ146" s="55">
        <f t="shared" si="69"/>
        <v>0</v>
      </c>
      <c r="AK146" s="55">
        <f t="shared" si="69"/>
        <v>0</v>
      </c>
      <c r="AL146" s="55">
        <f t="shared" si="69"/>
        <v>0</v>
      </c>
      <c r="AM146" s="55">
        <f t="shared" si="69"/>
        <v>0</v>
      </c>
      <c r="AN146" s="55">
        <f t="shared" si="69"/>
        <v>0</v>
      </c>
      <c r="AO146" s="55">
        <f t="shared" si="69"/>
        <v>0</v>
      </c>
      <c r="AP146" s="55">
        <f t="shared" si="69"/>
        <v>0</v>
      </c>
      <c r="AQ146" s="55">
        <f t="shared" si="69"/>
        <v>0</v>
      </c>
      <c r="AR146" s="55">
        <f t="shared" si="69"/>
        <v>0</v>
      </c>
      <c r="AS146" s="55">
        <f t="shared" si="69"/>
        <v>0</v>
      </c>
      <c r="AT146" s="55">
        <f t="shared" si="69"/>
        <v>0</v>
      </c>
      <c r="AU146" s="55">
        <f t="shared" si="69"/>
        <v>0</v>
      </c>
      <c r="AV146" s="55">
        <f t="shared" si="69"/>
        <v>0</v>
      </c>
      <c r="AW146" s="55">
        <f t="shared" si="69"/>
        <v>0</v>
      </c>
      <c r="AX146" s="55">
        <f t="shared" si="69"/>
        <v>0</v>
      </c>
      <c r="AY146" s="55">
        <f t="shared" si="69"/>
        <v>0</v>
      </c>
      <c r="AZ146" s="55">
        <f t="shared" si="69"/>
        <v>0</v>
      </c>
      <c r="BA146" s="55">
        <f t="shared" si="69"/>
        <v>0</v>
      </c>
      <c r="BB146" s="55">
        <f t="shared" si="69"/>
        <v>0</v>
      </c>
      <c r="BC146" s="55">
        <f t="shared" si="69"/>
        <v>0</v>
      </c>
      <c r="BD146" s="55">
        <f t="shared" si="69"/>
        <v>0</v>
      </c>
      <c r="BE146" s="55">
        <f t="shared" si="69"/>
        <v>0</v>
      </c>
      <c r="BF146" s="55">
        <f t="shared" si="69"/>
        <v>0</v>
      </c>
      <c r="BG146" s="55">
        <f t="shared" si="69"/>
        <v>0</v>
      </c>
      <c r="BH146" s="55">
        <f t="shared" si="69"/>
        <v>0</v>
      </c>
      <c r="BI146" s="55">
        <f t="shared" si="69"/>
        <v>0</v>
      </c>
      <c r="BJ146" s="55">
        <f t="shared" si="69"/>
        <v>0</v>
      </c>
    </row>
    <row r="147" spans="1:62" x14ac:dyDescent="0.3">
      <c r="A147" s="53" t="str">
        <f t="shared" si="39"/>
        <v>project 29</v>
      </c>
      <c r="C147" s="55">
        <f t="shared" ref="C147:AH147" si="70">IF(AND(C$127&gt;=$I39,C$127&lt;$I39+$F39),INDEX($T39:$AI39,C$127-$I39+1),0)</f>
        <v>0</v>
      </c>
      <c r="D147" s="55">
        <f t="shared" si="70"/>
        <v>0</v>
      </c>
      <c r="E147" s="55">
        <f t="shared" si="70"/>
        <v>0</v>
      </c>
      <c r="F147" s="55">
        <f t="shared" si="70"/>
        <v>0</v>
      </c>
      <c r="G147" s="55">
        <f t="shared" si="70"/>
        <v>0</v>
      </c>
      <c r="H147" s="55">
        <f t="shared" si="70"/>
        <v>0</v>
      </c>
      <c r="I147" s="55">
        <f t="shared" si="70"/>
        <v>0.16350000000000001</v>
      </c>
      <c r="J147" s="55">
        <f t="shared" si="70"/>
        <v>0.16029411764705881</v>
      </c>
      <c r="K147" s="55">
        <f t="shared" si="70"/>
        <v>0</v>
      </c>
      <c r="L147" s="55">
        <f t="shared" si="70"/>
        <v>0</v>
      </c>
      <c r="M147" s="55">
        <f t="shared" si="70"/>
        <v>0</v>
      </c>
      <c r="N147" s="55">
        <f t="shared" si="70"/>
        <v>0</v>
      </c>
      <c r="O147" s="55">
        <f t="shared" si="70"/>
        <v>0</v>
      </c>
      <c r="P147" s="55">
        <f t="shared" si="70"/>
        <v>0</v>
      </c>
      <c r="Q147" s="55">
        <f t="shared" si="70"/>
        <v>0</v>
      </c>
      <c r="R147" s="55">
        <f t="shared" si="70"/>
        <v>0</v>
      </c>
      <c r="S147" s="55">
        <f t="shared" si="70"/>
        <v>0</v>
      </c>
      <c r="T147" s="55">
        <f t="shared" si="70"/>
        <v>0</v>
      </c>
      <c r="U147" s="55">
        <f t="shared" si="70"/>
        <v>0</v>
      </c>
      <c r="V147" s="55">
        <f t="shared" si="70"/>
        <v>0</v>
      </c>
      <c r="W147" s="55">
        <f t="shared" si="70"/>
        <v>0</v>
      </c>
      <c r="X147" s="55">
        <f t="shared" si="70"/>
        <v>0</v>
      </c>
      <c r="Y147" s="55">
        <f t="shared" si="70"/>
        <v>0</v>
      </c>
      <c r="Z147" s="55">
        <f t="shared" si="70"/>
        <v>0</v>
      </c>
      <c r="AA147" s="55">
        <f t="shared" si="70"/>
        <v>0</v>
      </c>
      <c r="AB147" s="55">
        <f t="shared" si="70"/>
        <v>0</v>
      </c>
      <c r="AC147" s="55">
        <f t="shared" si="70"/>
        <v>0</v>
      </c>
      <c r="AD147" s="55">
        <f t="shared" si="70"/>
        <v>0</v>
      </c>
      <c r="AE147" s="55">
        <f t="shared" si="70"/>
        <v>0</v>
      </c>
      <c r="AF147" s="55">
        <f t="shared" si="70"/>
        <v>0</v>
      </c>
      <c r="AG147" s="55">
        <f t="shared" si="70"/>
        <v>0</v>
      </c>
      <c r="AH147" s="55">
        <f t="shared" si="70"/>
        <v>0</v>
      </c>
      <c r="AI147" s="55">
        <f t="shared" ref="AI147:BJ147" si="71">IF(AND(AI$127&gt;=$I39,AI$127&lt;$I39+$F39),INDEX($T39:$AI39,AI$127-$I39+1),0)</f>
        <v>0</v>
      </c>
      <c r="AJ147" s="55">
        <f t="shared" si="71"/>
        <v>0</v>
      </c>
      <c r="AK147" s="55">
        <f t="shared" si="71"/>
        <v>0</v>
      </c>
      <c r="AL147" s="55">
        <f t="shared" si="71"/>
        <v>0</v>
      </c>
      <c r="AM147" s="55">
        <f t="shared" si="71"/>
        <v>0</v>
      </c>
      <c r="AN147" s="55">
        <f t="shared" si="71"/>
        <v>0</v>
      </c>
      <c r="AO147" s="55">
        <f t="shared" si="71"/>
        <v>0</v>
      </c>
      <c r="AP147" s="55">
        <f t="shared" si="71"/>
        <v>0</v>
      </c>
      <c r="AQ147" s="55">
        <f t="shared" si="71"/>
        <v>0</v>
      </c>
      <c r="AR147" s="55">
        <f t="shared" si="71"/>
        <v>0</v>
      </c>
      <c r="AS147" s="55">
        <f t="shared" si="71"/>
        <v>0</v>
      </c>
      <c r="AT147" s="55">
        <f t="shared" si="71"/>
        <v>0</v>
      </c>
      <c r="AU147" s="55">
        <f t="shared" si="71"/>
        <v>0</v>
      </c>
      <c r="AV147" s="55">
        <f t="shared" si="71"/>
        <v>0</v>
      </c>
      <c r="AW147" s="55">
        <f t="shared" si="71"/>
        <v>0</v>
      </c>
      <c r="AX147" s="55">
        <f t="shared" si="71"/>
        <v>0</v>
      </c>
      <c r="AY147" s="55">
        <f t="shared" si="71"/>
        <v>0</v>
      </c>
      <c r="AZ147" s="55">
        <f t="shared" si="71"/>
        <v>0</v>
      </c>
      <c r="BA147" s="55">
        <f t="shared" si="71"/>
        <v>0</v>
      </c>
      <c r="BB147" s="55">
        <f t="shared" si="71"/>
        <v>0</v>
      </c>
      <c r="BC147" s="55">
        <f t="shared" si="71"/>
        <v>0</v>
      </c>
      <c r="BD147" s="55">
        <f t="shared" si="71"/>
        <v>0</v>
      </c>
      <c r="BE147" s="55">
        <f t="shared" si="71"/>
        <v>0</v>
      </c>
      <c r="BF147" s="55">
        <f t="shared" si="71"/>
        <v>0</v>
      </c>
      <c r="BG147" s="55">
        <f t="shared" si="71"/>
        <v>0</v>
      </c>
      <c r="BH147" s="55">
        <f t="shared" si="71"/>
        <v>0</v>
      </c>
      <c r="BI147" s="55">
        <f t="shared" si="71"/>
        <v>0</v>
      </c>
      <c r="BJ147" s="55">
        <f t="shared" si="71"/>
        <v>0</v>
      </c>
    </row>
    <row r="148" spans="1:62" x14ac:dyDescent="0.3">
      <c r="A148" s="53" t="str">
        <f t="shared" si="39"/>
        <v>project 32</v>
      </c>
      <c r="C148" s="55">
        <f t="shared" ref="C148:AH148" si="72">IF(AND(C$127&gt;=$I40,C$127&lt;$I40+$F40),INDEX($T40:$AI40,C$127-$I40+1),0)</f>
        <v>1.744</v>
      </c>
      <c r="D148" s="55">
        <f t="shared" si="72"/>
        <v>1.5588235294117641</v>
      </c>
      <c r="E148" s="55">
        <f t="shared" si="72"/>
        <v>12.15301806997309</v>
      </c>
      <c r="F148" s="55">
        <f t="shared" si="72"/>
        <v>0</v>
      </c>
      <c r="G148" s="55">
        <f t="shared" si="72"/>
        <v>0</v>
      </c>
      <c r="H148" s="55">
        <f t="shared" si="72"/>
        <v>0</v>
      </c>
      <c r="I148" s="55">
        <f t="shared" si="72"/>
        <v>0</v>
      </c>
      <c r="J148" s="55">
        <f t="shared" si="72"/>
        <v>0</v>
      </c>
      <c r="K148" s="55">
        <f t="shared" si="72"/>
        <v>0</v>
      </c>
      <c r="L148" s="55">
        <f t="shared" si="72"/>
        <v>0</v>
      </c>
      <c r="M148" s="55">
        <f t="shared" si="72"/>
        <v>0</v>
      </c>
      <c r="N148" s="55">
        <f t="shared" si="72"/>
        <v>0</v>
      </c>
      <c r="O148" s="55">
        <f t="shared" si="72"/>
        <v>0</v>
      </c>
      <c r="P148" s="55">
        <f t="shared" si="72"/>
        <v>0</v>
      </c>
      <c r="Q148" s="55">
        <f t="shared" si="72"/>
        <v>0</v>
      </c>
      <c r="R148" s="55">
        <f t="shared" si="72"/>
        <v>0</v>
      </c>
      <c r="S148" s="55">
        <f t="shared" si="72"/>
        <v>0</v>
      </c>
      <c r="T148" s="55">
        <f t="shared" si="72"/>
        <v>0</v>
      </c>
      <c r="U148" s="55">
        <f t="shared" si="72"/>
        <v>0</v>
      </c>
      <c r="V148" s="55">
        <f t="shared" si="72"/>
        <v>0</v>
      </c>
      <c r="W148" s="55">
        <f t="shared" si="72"/>
        <v>0</v>
      </c>
      <c r="X148" s="55">
        <f t="shared" si="72"/>
        <v>0</v>
      </c>
      <c r="Y148" s="55">
        <f t="shared" si="72"/>
        <v>0</v>
      </c>
      <c r="Z148" s="55">
        <f t="shared" si="72"/>
        <v>0</v>
      </c>
      <c r="AA148" s="55">
        <f t="shared" si="72"/>
        <v>0</v>
      </c>
      <c r="AB148" s="55">
        <f t="shared" si="72"/>
        <v>0</v>
      </c>
      <c r="AC148" s="55">
        <f t="shared" si="72"/>
        <v>0</v>
      </c>
      <c r="AD148" s="55">
        <f t="shared" si="72"/>
        <v>0</v>
      </c>
      <c r="AE148" s="55">
        <f t="shared" si="72"/>
        <v>0</v>
      </c>
      <c r="AF148" s="55">
        <f t="shared" si="72"/>
        <v>0</v>
      </c>
      <c r="AG148" s="55">
        <f t="shared" si="72"/>
        <v>0</v>
      </c>
      <c r="AH148" s="55">
        <f t="shared" si="72"/>
        <v>0</v>
      </c>
      <c r="AI148" s="55">
        <f t="shared" ref="AI148:BJ148" si="73">IF(AND(AI$127&gt;=$I40,AI$127&lt;$I40+$F40),INDEX($T40:$AI40,AI$127-$I40+1),0)</f>
        <v>0</v>
      </c>
      <c r="AJ148" s="55">
        <f t="shared" si="73"/>
        <v>0</v>
      </c>
      <c r="AK148" s="55">
        <f t="shared" si="73"/>
        <v>0</v>
      </c>
      <c r="AL148" s="55">
        <f t="shared" si="73"/>
        <v>0</v>
      </c>
      <c r="AM148" s="55">
        <f t="shared" si="73"/>
        <v>0</v>
      </c>
      <c r="AN148" s="55">
        <f t="shared" si="73"/>
        <v>0</v>
      </c>
      <c r="AO148" s="55">
        <f t="shared" si="73"/>
        <v>0</v>
      </c>
      <c r="AP148" s="55">
        <f t="shared" si="73"/>
        <v>0</v>
      </c>
      <c r="AQ148" s="55">
        <f t="shared" si="73"/>
        <v>0</v>
      </c>
      <c r="AR148" s="55">
        <f t="shared" si="73"/>
        <v>0</v>
      </c>
      <c r="AS148" s="55">
        <f t="shared" si="73"/>
        <v>0</v>
      </c>
      <c r="AT148" s="55">
        <f t="shared" si="73"/>
        <v>0</v>
      </c>
      <c r="AU148" s="55">
        <f t="shared" si="73"/>
        <v>0</v>
      </c>
      <c r="AV148" s="55">
        <f t="shared" si="73"/>
        <v>0</v>
      </c>
      <c r="AW148" s="55">
        <f t="shared" si="73"/>
        <v>0</v>
      </c>
      <c r="AX148" s="55">
        <f t="shared" si="73"/>
        <v>0</v>
      </c>
      <c r="AY148" s="55">
        <f t="shared" si="73"/>
        <v>0</v>
      </c>
      <c r="AZ148" s="55">
        <f t="shared" si="73"/>
        <v>0</v>
      </c>
      <c r="BA148" s="55">
        <f t="shared" si="73"/>
        <v>0</v>
      </c>
      <c r="BB148" s="55">
        <f t="shared" si="73"/>
        <v>0</v>
      </c>
      <c r="BC148" s="55">
        <f t="shared" si="73"/>
        <v>0</v>
      </c>
      <c r="BD148" s="55">
        <f t="shared" si="73"/>
        <v>0</v>
      </c>
      <c r="BE148" s="55">
        <f t="shared" si="73"/>
        <v>0</v>
      </c>
      <c r="BF148" s="55">
        <f t="shared" si="73"/>
        <v>0</v>
      </c>
      <c r="BG148" s="55">
        <f t="shared" si="73"/>
        <v>0</v>
      </c>
      <c r="BH148" s="55">
        <f t="shared" si="73"/>
        <v>0</v>
      </c>
      <c r="BI148" s="55">
        <f t="shared" si="73"/>
        <v>0</v>
      </c>
      <c r="BJ148" s="55">
        <f t="shared" si="73"/>
        <v>0</v>
      </c>
    </row>
    <row r="149" spans="1:62" x14ac:dyDescent="0.3">
      <c r="A149" s="53" t="str">
        <f t="shared" si="39"/>
        <v>project 33</v>
      </c>
      <c r="C149" s="55">
        <f t="shared" ref="C149:AH149" si="74">IF(AND(C$127&gt;=$I41,C$127&lt;$I41+$F41),INDEX($T41:$AI41,C$127-$I41+1),0)</f>
        <v>7.5467250000000003</v>
      </c>
      <c r="D149" s="55">
        <f t="shared" si="74"/>
        <v>1.4269499999999999</v>
      </c>
      <c r="E149" s="55">
        <f t="shared" si="74"/>
        <v>0</v>
      </c>
      <c r="F149" s="55">
        <f t="shared" si="74"/>
        <v>0</v>
      </c>
      <c r="G149" s="55">
        <f t="shared" si="74"/>
        <v>0</v>
      </c>
      <c r="H149" s="55">
        <f t="shared" si="74"/>
        <v>0</v>
      </c>
      <c r="I149" s="55">
        <f t="shared" si="74"/>
        <v>0</v>
      </c>
      <c r="J149" s="55">
        <f t="shared" si="74"/>
        <v>0</v>
      </c>
      <c r="K149" s="55">
        <f t="shared" si="74"/>
        <v>0</v>
      </c>
      <c r="L149" s="55">
        <f t="shared" si="74"/>
        <v>0</v>
      </c>
      <c r="M149" s="55">
        <f t="shared" si="74"/>
        <v>0</v>
      </c>
      <c r="N149" s="55">
        <f t="shared" si="74"/>
        <v>0</v>
      </c>
      <c r="O149" s="55">
        <f t="shared" si="74"/>
        <v>0</v>
      </c>
      <c r="P149" s="55">
        <f t="shared" si="74"/>
        <v>0</v>
      </c>
      <c r="Q149" s="55">
        <f t="shared" si="74"/>
        <v>0</v>
      </c>
      <c r="R149" s="55">
        <f t="shared" si="74"/>
        <v>0</v>
      </c>
      <c r="S149" s="55">
        <f t="shared" si="74"/>
        <v>0</v>
      </c>
      <c r="T149" s="55">
        <f t="shared" si="74"/>
        <v>0</v>
      </c>
      <c r="U149" s="55">
        <f t="shared" si="74"/>
        <v>0</v>
      </c>
      <c r="V149" s="55">
        <f t="shared" si="74"/>
        <v>0</v>
      </c>
      <c r="W149" s="55">
        <f t="shared" si="74"/>
        <v>0</v>
      </c>
      <c r="X149" s="55">
        <f t="shared" si="74"/>
        <v>0</v>
      </c>
      <c r="Y149" s="55">
        <f t="shared" si="74"/>
        <v>0</v>
      </c>
      <c r="Z149" s="55">
        <f t="shared" si="74"/>
        <v>0</v>
      </c>
      <c r="AA149" s="55">
        <f t="shared" si="74"/>
        <v>0</v>
      </c>
      <c r="AB149" s="55">
        <f t="shared" si="74"/>
        <v>0</v>
      </c>
      <c r="AC149" s="55">
        <f t="shared" si="74"/>
        <v>0</v>
      </c>
      <c r="AD149" s="55">
        <f t="shared" si="74"/>
        <v>0</v>
      </c>
      <c r="AE149" s="55">
        <f t="shared" si="74"/>
        <v>0</v>
      </c>
      <c r="AF149" s="55">
        <f t="shared" si="74"/>
        <v>0</v>
      </c>
      <c r="AG149" s="55">
        <f t="shared" si="74"/>
        <v>0</v>
      </c>
      <c r="AH149" s="55">
        <f t="shared" si="74"/>
        <v>0</v>
      </c>
      <c r="AI149" s="55">
        <f t="shared" ref="AI149:BJ149" si="75">IF(AND(AI$127&gt;=$I41,AI$127&lt;$I41+$F41),INDEX($T41:$AI41,AI$127-$I41+1),0)</f>
        <v>0</v>
      </c>
      <c r="AJ149" s="55">
        <f t="shared" si="75"/>
        <v>0</v>
      </c>
      <c r="AK149" s="55">
        <f t="shared" si="75"/>
        <v>0</v>
      </c>
      <c r="AL149" s="55">
        <f t="shared" si="75"/>
        <v>0</v>
      </c>
      <c r="AM149" s="55">
        <f t="shared" si="75"/>
        <v>0</v>
      </c>
      <c r="AN149" s="55">
        <f t="shared" si="75"/>
        <v>0</v>
      </c>
      <c r="AO149" s="55">
        <f t="shared" si="75"/>
        <v>0</v>
      </c>
      <c r="AP149" s="55">
        <f t="shared" si="75"/>
        <v>0</v>
      </c>
      <c r="AQ149" s="55">
        <f t="shared" si="75"/>
        <v>0</v>
      </c>
      <c r="AR149" s="55">
        <f t="shared" si="75"/>
        <v>0</v>
      </c>
      <c r="AS149" s="55">
        <f t="shared" si="75"/>
        <v>0</v>
      </c>
      <c r="AT149" s="55">
        <f t="shared" si="75"/>
        <v>0</v>
      </c>
      <c r="AU149" s="55">
        <f t="shared" si="75"/>
        <v>0</v>
      </c>
      <c r="AV149" s="55">
        <f t="shared" si="75"/>
        <v>0</v>
      </c>
      <c r="AW149" s="55">
        <f t="shared" si="75"/>
        <v>0</v>
      </c>
      <c r="AX149" s="55">
        <f t="shared" si="75"/>
        <v>0</v>
      </c>
      <c r="AY149" s="55">
        <f t="shared" si="75"/>
        <v>0</v>
      </c>
      <c r="AZ149" s="55">
        <f t="shared" si="75"/>
        <v>0</v>
      </c>
      <c r="BA149" s="55">
        <f t="shared" si="75"/>
        <v>0</v>
      </c>
      <c r="BB149" s="55">
        <f t="shared" si="75"/>
        <v>0</v>
      </c>
      <c r="BC149" s="55">
        <f t="shared" si="75"/>
        <v>0</v>
      </c>
      <c r="BD149" s="55">
        <f t="shared" si="75"/>
        <v>0</v>
      </c>
      <c r="BE149" s="55">
        <f t="shared" si="75"/>
        <v>0</v>
      </c>
      <c r="BF149" s="55">
        <f t="shared" si="75"/>
        <v>0</v>
      </c>
      <c r="BG149" s="55">
        <f t="shared" si="75"/>
        <v>0</v>
      </c>
      <c r="BH149" s="55">
        <f t="shared" si="75"/>
        <v>0</v>
      </c>
      <c r="BI149" s="55">
        <f t="shared" si="75"/>
        <v>0</v>
      </c>
      <c r="BJ149" s="55">
        <f t="shared" si="75"/>
        <v>0</v>
      </c>
    </row>
    <row r="150" spans="1:62" x14ac:dyDescent="0.3">
      <c r="A150" s="53" t="str">
        <f t="shared" si="39"/>
        <v>project 37</v>
      </c>
      <c r="C150" s="55">
        <f t="shared" ref="C150:AH150" si="76">IF(AND(C$127&gt;=$I42,C$127&lt;$I42+$F42),INDEX($T42:$AI42,C$127-$I42+1),0)</f>
        <v>0</v>
      </c>
      <c r="D150" s="55">
        <f t="shared" si="76"/>
        <v>0</v>
      </c>
      <c r="E150" s="55">
        <f t="shared" si="76"/>
        <v>0</v>
      </c>
      <c r="F150" s="55">
        <f t="shared" si="76"/>
        <v>0</v>
      </c>
      <c r="G150" s="55">
        <f t="shared" si="76"/>
        <v>0</v>
      </c>
      <c r="H150" s="55">
        <f t="shared" si="76"/>
        <v>0</v>
      </c>
      <c r="I150" s="55">
        <f t="shared" si="76"/>
        <v>0</v>
      </c>
      <c r="J150" s="55">
        <f t="shared" si="76"/>
        <v>0</v>
      </c>
      <c r="K150" s="55">
        <f t="shared" si="76"/>
        <v>0</v>
      </c>
      <c r="L150" s="55">
        <f t="shared" si="76"/>
        <v>0</v>
      </c>
      <c r="M150" s="55">
        <f t="shared" si="76"/>
        <v>0</v>
      </c>
      <c r="N150" s="55">
        <f t="shared" si="76"/>
        <v>6.54</v>
      </c>
      <c r="O150" s="55">
        <f t="shared" si="76"/>
        <v>2.1372549019607838</v>
      </c>
      <c r="P150" s="55">
        <f t="shared" si="76"/>
        <v>0</v>
      </c>
      <c r="Q150" s="55">
        <f t="shared" si="76"/>
        <v>0</v>
      </c>
      <c r="R150" s="55">
        <f t="shared" si="76"/>
        <v>0</v>
      </c>
      <c r="S150" s="55">
        <f t="shared" si="76"/>
        <v>0</v>
      </c>
      <c r="T150" s="55">
        <f t="shared" si="76"/>
        <v>0</v>
      </c>
      <c r="U150" s="55">
        <f t="shared" si="76"/>
        <v>0</v>
      </c>
      <c r="V150" s="55">
        <f t="shared" si="76"/>
        <v>0</v>
      </c>
      <c r="W150" s="55">
        <f t="shared" si="76"/>
        <v>0</v>
      </c>
      <c r="X150" s="55">
        <f t="shared" si="76"/>
        <v>0</v>
      </c>
      <c r="Y150" s="55">
        <f t="shared" si="76"/>
        <v>0</v>
      </c>
      <c r="Z150" s="55">
        <f t="shared" si="76"/>
        <v>0</v>
      </c>
      <c r="AA150" s="55">
        <f t="shared" si="76"/>
        <v>0</v>
      </c>
      <c r="AB150" s="55">
        <f t="shared" si="76"/>
        <v>0</v>
      </c>
      <c r="AC150" s="55">
        <f t="shared" si="76"/>
        <v>0</v>
      </c>
      <c r="AD150" s="55">
        <f t="shared" si="76"/>
        <v>0</v>
      </c>
      <c r="AE150" s="55">
        <f t="shared" si="76"/>
        <v>0</v>
      </c>
      <c r="AF150" s="55">
        <f t="shared" si="76"/>
        <v>0</v>
      </c>
      <c r="AG150" s="55">
        <f t="shared" si="76"/>
        <v>0</v>
      </c>
      <c r="AH150" s="55">
        <f t="shared" si="76"/>
        <v>0</v>
      </c>
      <c r="AI150" s="55">
        <f t="shared" ref="AI150:BJ150" si="77">IF(AND(AI$127&gt;=$I42,AI$127&lt;$I42+$F42),INDEX($T42:$AI42,AI$127-$I42+1),0)</f>
        <v>0</v>
      </c>
      <c r="AJ150" s="55">
        <f t="shared" si="77"/>
        <v>0</v>
      </c>
      <c r="AK150" s="55">
        <f t="shared" si="77"/>
        <v>0</v>
      </c>
      <c r="AL150" s="55">
        <f t="shared" si="77"/>
        <v>0</v>
      </c>
      <c r="AM150" s="55">
        <f t="shared" si="77"/>
        <v>0</v>
      </c>
      <c r="AN150" s="55">
        <f t="shared" si="77"/>
        <v>0</v>
      </c>
      <c r="AO150" s="55">
        <f t="shared" si="77"/>
        <v>0</v>
      </c>
      <c r="AP150" s="55">
        <f t="shared" si="77"/>
        <v>0</v>
      </c>
      <c r="AQ150" s="55">
        <f t="shared" si="77"/>
        <v>0</v>
      </c>
      <c r="AR150" s="55">
        <f t="shared" si="77"/>
        <v>0</v>
      </c>
      <c r="AS150" s="55">
        <f t="shared" si="77"/>
        <v>0</v>
      </c>
      <c r="AT150" s="55">
        <f t="shared" si="77"/>
        <v>0</v>
      </c>
      <c r="AU150" s="55">
        <f t="shared" si="77"/>
        <v>0</v>
      </c>
      <c r="AV150" s="55">
        <f t="shared" si="77"/>
        <v>0</v>
      </c>
      <c r="AW150" s="55">
        <f t="shared" si="77"/>
        <v>0</v>
      </c>
      <c r="AX150" s="55">
        <f t="shared" si="77"/>
        <v>0</v>
      </c>
      <c r="AY150" s="55">
        <f t="shared" si="77"/>
        <v>0</v>
      </c>
      <c r="AZ150" s="55">
        <f t="shared" si="77"/>
        <v>0</v>
      </c>
      <c r="BA150" s="55">
        <f t="shared" si="77"/>
        <v>0</v>
      </c>
      <c r="BB150" s="55">
        <f t="shared" si="77"/>
        <v>0</v>
      </c>
      <c r="BC150" s="55">
        <f t="shared" si="77"/>
        <v>0</v>
      </c>
      <c r="BD150" s="55">
        <f t="shared" si="77"/>
        <v>0</v>
      </c>
      <c r="BE150" s="55">
        <f t="shared" si="77"/>
        <v>0</v>
      </c>
      <c r="BF150" s="55">
        <f t="shared" si="77"/>
        <v>0</v>
      </c>
      <c r="BG150" s="55">
        <f t="shared" si="77"/>
        <v>0</v>
      </c>
      <c r="BH150" s="55">
        <f t="shared" si="77"/>
        <v>0</v>
      </c>
      <c r="BI150" s="55">
        <f t="shared" si="77"/>
        <v>0</v>
      </c>
      <c r="BJ150" s="55">
        <f t="shared" si="77"/>
        <v>0</v>
      </c>
    </row>
    <row r="151" spans="1:62" x14ac:dyDescent="0.3">
      <c r="A151" s="53" t="str">
        <f t="shared" si="39"/>
        <v>project 38</v>
      </c>
      <c r="C151" s="55">
        <f t="shared" ref="C151:AH151" si="78">IF(AND(C$127&gt;=$I43,C$127&lt;$I43+$F43),INDEX($T43:$AI43,C$127-$I43+1),0)</f>
        <v>0</v>
      </c>
      <c r="D151" s="55">
        <f t="shared" si="78"/>
        <v>0</v>
      </c>
      <c r="E151" s="55">
        <f t="shared" si="78"/>
        <v>0</v>
      </c>
      <c r="F151" s="55">
        <f t="shared" si="78"/>
        <v>0</v>
      </c>
      <c r="G151" s="55">
        <f t="shared" si="78"/>
        <v>0</v>
      </c>
      <c r="H151" s="55">
        <f t="shared" si="78"/>
        <v>0</v>
      </c>
      <c r="I151" s="55">
        <f t="shared" si="78"/>
        <v>0</v>
      </c>
      <c r="J151" s="55">
        <f t="shared" si="78"/>
        <v>0</v>
      </c>
      <c r="K151" s="55">
        <f t="shared" si="78"/>
        <v>0</v>
      </c>
      <c r="L151" s="55">
        <f t="shared" si="78"/>
        <v>0</v>
      </c>
      <c r="M151" s="55">
        <f t="shared" si="78"/>
        <v>2</v>
      </c>
      <c r="N151" s="55">
        <f t="shared" si="78"/>
        <v>39.2156862745098</v>
      </c>
      <c r="O151" s="55">
        <f t="shared" si="78"/>
        <v>20.583429450211462</v>
      </c>
      <c r="P151" s="55">
        <f t="shared" si="78"/>
        <v>20.179832794324959</v>
      </c>
      <c r="Q151" s="55">
        <f t="shared" si="78"/>
        <v>0</v>
      </c>
      <c r="R151" s="55">
        <f t="shared" si="78"/>
        <v>0</v>
      </c>
      <c r="S151" s="55">
        <f t="shared" si="78"/>
        <v>0</v>
      </c>
      <c r="T151" s="55">
        <f t="shared" si="78"/>
        <v>0</v>
      </c>
      <c r="U151" s="55">
        <f t="shared" si="78"/>
        <v>0</v>
      </c>
      <c r="V151" s="55">
        <f t="shared" si="78"/>
        <v>0</v>
      </c>
      <c r="W151" s="55">
        <f t="shared" si="78"/>
        <v>0</v>
      </c>
      <c r="X151" s="55">
        <f t="shared" si="78"/>
        <v>0</v>
      </c>
      <c r="Y151" s="55">
        <f t="shared" si="78"/>
        <v>0</v>
      </c>
      <c r="Z151" s="55">
        <f t="shared" si="78"/>
        <v>0</v>
      </c>
      <c r="AA151" s="55">
        <f t="shared" si="78"/>
        <v>0</v>
      </c>
      <c r="AB151" s="55">
        <f t="shared" si="78"/>
        <v>0</v>
      </c>
      <c r="AC151" s="55">
        <f t="shared" si="78"/>
        <v>0</v>
      </c>
      <c r="AD151" s="55">
        <f t="shared" si="78"/>
        <v>0</v>
      </c>
      <c r="AE151" s="55">
        <f t="shared" si="78"/>
        <v>0</v>
      </c>
      <c r="AF151" s="55">
        <f t="shared" si="78"/>
        <v>0</v>
      </c>
      <c r="AG151" s="55">
        <f t="shared" si="78"/>
        <v>0</v>
      </c>
      <c r="AH151" s="55">
        <f t="shared" si="78"/>
        <v>0</v>
      </c>
      <c r="AI151" s="55">
        <f t="shared" ref="AI151:BJ151" si="79">IF(AND(AI$127&gt;=$I43,AI$127&lt;$I43+$F43),INDEX($T43:$AI43,AI$127-$I43+1),0)</f>
        <v>0</v>
      </c>
      <c r="AJ151" s="55">
        <f t="shared" si="79"/>
        <v>0</v>
      </c>
      <c r="AK151" s="55">
        <f t="shared" si="79"/>
        <v>0</v>
      </c>
      <c r="AL151" s="55">
        <f t="shared" si="79"/>
        <v>0</v>
      </c>
      <c r="AM151" s="55">
        <f t="shared" si="79"/>
        <v>0</v>
      </c>
      <c r="AN151" s="55">
        <f t="shared" si="79"/>
        <v>0</v>
      </c>
      <c r="AO151" s="55">
        <f t="shared" si="79"/>
        <v>0</v>
      </c>
      <c r="AP151" s="55">
        <f t="shared" si="79"/>
        <v>0</v>
      </c>
      <c r="AQ151" s="55">
        <f t="shared" si="79"/>
        <v>0</v>
      </c>
      <c r="AR151" s="55">
        <f t="shared" si="79"/>
        <v>0</v>
      </c>
      <c r="AS151" s="55">
        <f t="shared" si="79"/>
        <v>0</v>
      </c>
      <c r="AT151" s="55">
        <f t="shared" si="79"/>
        <v>0</v>
      </c>
      <c r="AU151" s="55">
        <f t="shared" si="79"/>
        <v>0</v>
      </c>
      <c r="AV151" s="55">
        <f t="shared" si="79"/>
        <v>0</v>
      </c>
      <c r="AW151" s="55">
        <f t="shared" si="79"/>
        <v>0</v>
      </c>
      <c r="AX151" s="55">
        <f t="shared" si="79"/>
        <v>0</v>
      </c>
      <c r="AY151" s="55">
        <f t="shared" si="79"/>
        <v>0</v>
      </c>
      <c r="AZ151" s="55">
        <f t="shared" si="79"/>
        <v>0</v>
      </c>
      <c r="BA151" s="55">
        <f t="shared" si="79"/>
        <v>0</v>
      </c>
      <c r="BB151" s="55">
        <f t="shared" si="79"/>
        <v>0</v>
      </c>
      <c r="BC151" s="55">
        <f t="shared" si="79"/>
        <v>0</v>
      </c>
      <c r="BD151" s="55">
        <f t="shared" si="79"/>
        <v>0</v>
      </c>
      <c r="BE151" s="55">
        <f t="shared" si="79"/>
        <v>0</v>
      </c>
      <c r="BF151" s="55">
        <f t="shared" si="79"/>
        <v>0</v>
      </c>
      <c r="BG151" s="55">
        <f t="shared" si="79"/>
        <v>0</v>
      </c>
      <c r="BH151" s="55">
        <f t="shared" si="79"/>
        <v>0</v>
      </c>
      <c r="BI151" s="55">
        <f t="shared" si="79"/>
        <v>0</v>
      </c>
      <c r="BJ151" s="55">
        <f t="shared" si="79"/>
        <v>0</v>
      </c>
    </row>
    <row r="152" spans="1:62" x14ac:dyDescent="0.3">
      <c r="A152" s="53" t="str">
        <f t="shared" si="39"/>
        <v>project 39</v>
      </c>
      <c r="C152" s="55">
        <f t="shared" ref="C152:AH152" si="80">IF(AND(C$127&gt;=$I44,C$127&lt;$I44+$F44),INDEX($T44:$AI44,C$127-$I44+1),0)</f>
        <v>0</v>
      </c>
      <c r="D152" s="55">
        <f t="shared" si="80"/>
        <v>0</v>
      </c>
      <c r="E152" s="55">
        <f t="shared" si="80"/>
        <v>0</v>
      </c>
      <c r="F152" s="55">
        <f t="shared" si="80"/>
        <v>0</v>
      </c>
      <c r="G152" s="55">
        <f t="shared" si="80"/>
        <v>0</v>
      </c>
      <c r="H152" s="55">
        <f t="shared" si="80"/>
        <v>0</v>
      </c>
      <c r="I152" s="55">
        <f t="shared" si="80"/>
        <v>0</v>
      </c>
      <c r="J152" s="55">
        <f t="shared" si="80"/>
        <v>0</v>
      </c>
      <c r="K152" s="55">
        <f t="shared" si="80"/>
        <v>0</v>
      </c>
      <c r="L152" s="55">
        <f t="shared" si="80"/>
        <v>0</v>
      </c>
      <c r="M152" s="55">
        <f t="shared" si="80"/>
        <v>0</v>
      </c>
      <c r="N152" s="55">
        <f t="shared" si="80"/>
        <v>0</v>
      </c>
      <c r="O152" s="55">
        <f t="shared" si="80"/>
        <v>0</v>
      </c>
      <c r="P152" s="55">
        <f t="shared" si="80"/>
        <v>0</v>
      </c>
      <c r="Q152" s="55">
        <f t="shared" si="80"/>
        <v>0</v>
      </c>
      <c r="R152" s="55">
        <f t="shared" si="80"/>
        <v>0</v>
      </c>
      <c r="S152" s="55">
        <f t="shared" si="80"/>
        <v>18.529463</v>
      </c>
      <c r="T152" s="55">
        <f t="shared" si="80"/>
        <v>1.304794117647059</v>
      </c>
      <c r="U152" s="55">
        <f t="shared" si="80"/>
        <v>0</v>
      </c>
      <c r="V152" s="55">
        <f t="shared" si="80"/>
        <v>0</v>
      </c>
      <c r="W152" s="55">
        <f t="shared" si="80"/>
        <v>0</v>
      </c>
      <c r="X152" s="55">
        <f t="shared" si="80"/>
        <v>0</v>
      </c>
      <c r="Y152" s="55">
        <f t="shared" si="80"/>
        <v>0</v>
      </c>
      <c r="Z152" s="55">
        <f t="shared" si="80"/>
        <v>0</v>
      </c>
      <c r="AA152" s="55">
        <f t="shared" si="80"/>
        <v>0</v>
      </c>
      <c r="AB152" s="55">
        <f t="shared" si="80"/>
        <v>0</v>
      </c>
      <c r="AC152" s="55">
        <f t="shared" si="80"/>
        <v>0</v>
      </c>
      <c r="AD152" s="55">
        <f t="shared" si="80"/>
        <v>0</v>
      </c>
      <c r="AE152" s="55">
        <f t="shared" si="80"/>
        <v>0</v>
      </c>
      <c r="AF152" s="55">
        <f t="shared" si="80"/>
        <v>0</v>
      </c>
      <c r="AG152" s="55">
        <f t="shared" si="80"/>
        <v>0</v>
      </c>
      <c r="AH152" s="55">
        <f t="shared" si="80"/>
        <v>0</v>
      </c>
      <c r="AI152" s="55">
        <f t="shared" ref="AI152:BJ152" si="81">IF(AND(AI$127&gt;=$I44,AI$127&lt;$I44+$F44),INDEX($T44:$AI44,AI$127-$I44+1),0)</f>
        <v>0</v>
      </c>
      <c r="AJ152" s="55">
        <f t="shared" si="81"/>
        <v>0</v>
      </c>
      <c r="AK152" s="55">
        <f t="shared" si="81"/>
        <v>0</v>
      </c>
      <c r="AL152" s="55">
        <f t="shared" si="81"/>
        <v>0</v>
      </c>
      <c r="AM152" s="55">
        <f t="shared" si="81"/>
        <v>0</v>
      </c>
      <c r="AN152" s="55">
        <f t="shared" si="81"/>
        <v>0</v>
      </c>
      <c r="AO152" s="55">
        <f t="shared" si="81"/>
        <v>0</v>
      </c>
      <c r="AP152" s="55">
        <f t="shared" si="81"/>
        <v>0</v>
      </c>
      <c r="AQ152" s="55">
        <f t="shared" si="81"/>
        <v>0</v>
      </c>
      <c r="AR152" s="55">
        <f t="shared" si="81"/>
        <v>0</v>
      </c>
      <c r="AS152" s="55">
        <f t="shared" si="81"/>
        <v>0</v>
      </c>
      <c r="AT152" s="55">
        <f t="shared" si="81"/>
        <v>0</v>
      </c>
      <c r="AU152" s="55">
        <f t="shared" si="81"/>
        <v>0</v>
      </c>
      <c r="AV152" s="55">
        <f t="shared" si="81"/>
        <v>0</v>
      </c>
      <c r="AW152" s="55">
        <f t="shared" si="81"/>
        <v>0</v>
      </c>
      <c r="AX152" s="55">
        <f t="shared" si="81"/>
        <v>0</v>
      </c>
      <c r="AY152" s="55">
        <f t="shared" si="81"/>
        <v>0</v>
      </c>
      <c r="AZ152" s="55">
        <f t="shared" si="81"/>
        <v>0</v>
      </c>
      <c r="BA152" s="55">
        <f t="shared" si="81"/>
        <v>0</v>
      </c>
      <c r="BB152" s="55">
        <f t="shared" si="81"/>
        <v>0</v>
      </c>
      <c r="BC152" s="55">
        <f t="shared" si="81"/>
        <v>0</v>
      </c>
      <c r="BD152" s="55">
        <f t="shared" si="81"/>
        <v>0</v>
      </c>
      <c r="BE152" s="55">
        <f t="shared" si="81"/>
        <v>0</v>
      </c>
      <c r="BF152" s="55">
        <f t="shared" si="81"/>
        <v>0</v>
      </c>
      <c r="BG152" s="55">
        <f t="shared" si="81"/>
        <v>0</v>
      </c>
      <c r="BH152" s="55">
        <f t="shared" si="81"/>
        <v>0</v>
      </c>
      <c r="BI152" s="55">
        <f t="shared" si="81"/>
        <v>0</v>
      </c>
      <c r="BJ152" s="55">
        <f t="shared" si="81"/>
        <v>0</v>
      </c>
    </row>
    <row r="153" spans="1:62" x14ac:dyDescent="0.3">
      <c r="A153" s="53" t="str">
        <f t="shared" si="39"/>
        <v>project 40</v>
      </c>
      <c r="C153" s="55">
        <f t="shared" ref="C153:AH153" si="82">IF(AND(C$127&gt;=$I45,C$127&lt;$I45+$F45),INDEX($T45:$AI45,C$127-$I45+1),0)</f>
        <v>0</v>
      </c>
      <c r="D153" s="55">
        <f t="shared" si="82"/>
        <v>0</v>
      </c>
      <c r="E153" s="55">
        <f t="shared" si="82"/>
        <v>0</v>
      </c>
      <c r="F153" s="55">
        <f t="shared" si="82"/>
        <v>0</v>
      </c>
      <c r="G153" s="55">
        <f t="shared" si="82"/>
        <v>0</v>
      </c>
      <c r="H153" s="55">
        <f t="shared" si="82"/>
        <v>0</v>
      </c>
      <c r="I153" s="55">
        <f t="shared" si="82"/>
        <v>0</v>
      </c>
      <c r="J153" s="55">
        <f t="shared" si="82"/>
        <v>0</v>
      </c>
      <c r="K153" s="55">
        <f t="shared" si="82"/>
        <v>0</v>
      </c>
      <c r="L153" s="55">
        <f t="shared" si="82"/>
        <v>0</v>
      </c>
      <c r="M153" s="55">
        <f t="shared" si="82"/>
        <v>0</v>
      </c>
      <c r="N153" s="55">
        <f t="shared" si="82"/>
        <v>0</v>
      </c>
      <c r="O153" s="55">
        <f t="shared" si="82"/>
        <v>0</v>
      </c>
      <c r="P153" s="55">
        <f t="shared" si="82"/>
        <v>0</v>
      </c>
      <c r="Q153" s="55">
        <f t="shared" si="82"/>
        <v>0</v>
      </c>
      <c r="R153" s="55">
        <f t="shared" si="82"/>
        <v>0</v>
      </c>
      <c r="S153" s="55">
        <f t="shared" si="82"/>
        <v>5.4128860000000003</v>
      </c>
      <c r="T153" s="55">
        <f t="shared" si="82"/>
        <v>20.303921568627452</v>
      </c>
      <c r="U153" s="55">
        <f t="shared" si="82"/>
        <v>0</v>
      </c>
      <c r="V153" s="55">
        <f t="shared" si="82"/>
        <v>0</v>
      </c>
      <c r="W153" s="55">
        <f t="shared" si="82"/>
        <v>0</v>
      </c>
      <c r="X153" s="55">
        <f t="shared" si="82"/>
        <v>0</v>
      </c>
      <c r="Y153" s="55">
        <f t="shared" si="82"/>
        <v>0</v>
      </c>
      <c r="Z153" s="55">
        <f t="shared" si="82"/>
        <v>0</v>
      </c>
      <c r="AA153" s="55">
        <f t="shared" si="82"/>
        <v>0</v>
      </c>
      <c r="AB153" s="55">
        <f t="shared" si="82"/>
        <v>0</v>
      </c>
      <c r="AC153" s="55">
        <f t="shared" si="82"/>
        <v>0</v>
      </c>
      <c r="AD153" s="55">
        <f t="shared" si="82"/>
        <v>0</v>
      </c>
      <c r="AE153" s="55">
        <f t="shared" si="82"/>
        <v>0</v>
      </c>
      <c r="AF153" s="55">
        <f t="shared" si="82"/>
        <v>0</v>
      </c>
      <c r="AG153" s="55">
        <f t="shared" si="82"/>
        <v>0</v>
      </c>
      <c r="AH153" s="55">
        <f t="shared" si="82"/>
        <v>0</v>
      </c>
      <c r="AI153" s="55">
        <f t="shared" ref="AI153:BJ153" si="83">IF(AND(AI$127&gt;=$I45,AI$127&lt;$I45+$F45),INDEX($T45:$AI45,AI$127-$I45+1),0)</f>
        <v>0</v>
      </c>
      <c r="AJ153" s="55">
        <f t="shared" si="83"/>
        <v>0</v>
      </c>
      <c r="AK153" s="55">
        <f t="shared" si="83"/>
        <v>0</v>
      </c>
      <c r="AL153" s="55">
        <f t="shared" si="83"/>
        <v>0</v>
      </c>
      <c r="AM153" s="55">
        <f t="shared" si="83"/>
        <v>0</v>
      </c>
      <c r="AN153" s="55">
        <f t="shared" si="83"/>
        <v>0</v>
      </c>
      <c r="AO153" s="55">
        <f t="shared" si="83"/>
        <v>0</v>
      </c>
      <c r="AP153" s="55">
        <f t="shared" si="83"/>
        <v>0</v>
      </c>
      <c r="AQ153" s="55">
        <f t="shared" si="83"/>
        <v>0</v>
      </c>
      <c r="AR153" s="55">
        <f t="shared" si="83"/>
        <v>0</v>
      </c>
      <c r="AS153" s="55">
        <f t="shared" si="83"/>
        <v>0</v>
      </c>
      <c r="AT153" s="55">
        <f t="shared" si="83"/>
        <v>0</v>
      </c>
      <c r="AU153" s="55">
        <f t="shared" si="83"/>
        <v>0</v>
      </c>
      <c r="AV153" s="55">
        <f t="shared" si="83"/>
        <v>0</v>
      </c>
      <c r="AW153" s="55">
        <f t="shared" si="83"/>
        <v>0</v>
      </c>
      <c r="AX153" s="55">
        <f t="shared" si="83"/>
        <v>0</v>
      </c>
      <c r="AY153" s="55">
        <f t="shared" si="83"/>
        <v>0</v>
      </c>
      <c r="AZ153" s="55">
        <f t="shared" si="83"/>
        <v>0</v>
      </c>
      <c r="BA153" s="55">
        <f t="shared" si="83"/>
        <v>0</v>
      </c>
      <c r="BB153" s="55">
        <f t="shared" si="83"/>
        <v>0</v>
      </c>
      <c r="BC153" s="55">
        <f t="shared" si="83"/>
        <v>0</v>
      </c>
      <c r="BD153" s="55">
        <f t="shared" si="83"/>
        <v>0</v>
      </c>
      <c r="BE153" s="55">
        <f t="shared" si="83"/>
        <v>0</v>
      </c>
      <c r="BF153" s="55">
        <f t="shared" si="83"/>
        <v>0</v>
      </c>
      <c r="BG153" s="55">
        <f t="shared" si="83"/>
        <v>0</v>
      </c>
      <c r="BH153" s="55">
        <f t="shared" si="83"/>
        <v>0</v>
      </c>
      <c r="BI153" s="55">
        <f t="shared" si="83"/>
        <v>0</v>
      </c>
      <c r="BJ153" s="55">
        <f t="shared" si="83"/>
        <v>0</v>
      </c>
    </row>
    <row r="154" spans="1:62" x14ac:dyDescent="0.3">
      <c r="A154" s="53" t="str">
        <f t="shared" si="39"/>
        <v>project 41</v>
      </c>
      <c r="C154" s="55">
        <f t="shared" ref="C154:AH154" si="84">IF(AND(C$127&gt;=$I46,C$127&lt;$I46+$F46),INDEX($T46:$AI46,C$127-$I46+1),0)</f>
        <v>0</v>
      </c>
      <c r="D154" s="55">
        <f t="shared" si="84"/>
        <v>0</v>
      </c>
      <c r="E154" s="55">
        <f t="shared" si="84"/>
        <v>0</v>
      </c>
      <c r="F154" s="55">
        <f t="shared" si="84"/>
        <v>0</v>
      </c>
      <c r="G154" s="55">
        <f t="shared" si="84"/>
        <v>0</v>
      </c>
      <c r="H154" s="55">
        <f t="shared" si="84"/>
        <v>0.70915499999999998</v>
      </c>
      <c r="I154" s="55">
        <f t="shared" si="84"/>
        <v>0.69525000000000003</v>
      </c>
      <c r="J154" s="55">
        <f t="shared" si="84"/>
        <v>0</v>
      </c>
      <c r="K154" s="55">
        <f t="shared" si="84"/>
        <v>0</v>
      </c>
      <c r="L154" s="55">
        <f t="shared" si="84"/>
        <v>0</v>
      </c>
      <c r="M154" s="55">
        <f t="shared" si="84"/>
        <v>0</v>
      </c>
      <c r="N154" s="55">
        <f t="shared" si="84"/>
        <v>0</v>
      </c>
      <c r="O154" s="55">
        <f t="shared" si="84"/>
        <v>0</v>
      </c>
      <c r="P154" s="55">
        <f t="shared" si="84"/>
        <v>0</v>
      </c>
      <c r="Q154" s="55">
        <f t="shared" si="84"/>
        <v>0</v>
      </c>
      <c r="R154" s="55">
        <f t="shared" si="84"/>
        <v>0</v>
      </c>
      <c r="S154" s="55">
        <f t="shared" si="84"/>
        <v>0</v>
      </c>
      <c r="T154" s="55">
        <f t="shared" si="84"/>
        <v>0</v>
      </c>
      <c r="U154" s="55">
        <f t="shared" si="84"/>
        <v>0</v>
      </c>
      <c r="V154" s="55">
        <f t="shared" si="84"/>
        <v>0</v>
      </c>
      <c r="W154" s="55">
        <f t="shared" si="84"/>
        <v>0</v>
      </c>
      <c r="X154" s="55">
        <f t="shared" si="84"/>
        <v>0</v>
      </c>
      <c r="Y154" s="55">
        <f t="shared" si="84"/>
        <v>0</v>
      </c>
      <c r="Z154" s="55">
        <f t="shared" si="84"/>
        <v>0</v>
      </c>
      <c r="AA154" s="55">
        <f t="shared" si="84"/>
        <v>0</v>
      </c>
      <c r="AB154" s="55">
        <f t="shared" si="84"/>
        <v>0</v>
      </c>
      <c r="AC154" s="55">
        <f t="shared" si="84"/>
        <v>0</v>
      </c>
      <c r="AD154" s="55">
        <f t="shared" si="84"/>
        <v>0</v>
      </c>
      <c r="AE154" s="55">
        <f t="shared" si="84"/>
        <v>0</v>
      </c>
      <c r="AF154" s="55">
        <f t="shared" si="84"/>
        <v>0</v>
      </c>
      <c r="AG154" s="55">
        <f t="shared" si="84"/>
        <v>0</v>
      </c>
      <c r="AH154" s="55">
        <f t="shared" si="84"/>
        <v>0</v>
      </c>
      <c r="AI154" s="55">
        <f t="shared" ref="AI154:BJ154" si="85">IF(AND(AI$127&gt;=$I46,AI$127&lt;$I46+$F46),INDEX($T46:$AI46,AI$127-$I46+1),0)</f>
        <v>0</v>
      </c>
      <c r="AJ154" s="55">
        <f t="shared" si="85"/>
        <v>0</v>
      </c>
      <c r="AK154" s="55">
        <f t="shared" si="85"/>
        <v>0</v>
      </c>
      <c r="AL154" s="55">
        <f t="shared" si="85"/>
        <v>0</v>
      </c>
      <c r="AM154" s="55">
        <f t="shared" si="85"/>
        <v>0</v>
      </c>
      <c r="AN154" s="55">
        <f t="shared" si="85"/>
        <v>0</v>
      </c>
      <c r="AO154" s="55">
        <f t="shared" si="85"/>
        <v>0</v>
      </c>
      <c r="AP154" s="55">
        <f t="shared" si="85"/>
        <v>0</v>
      </c>
      <c r="AQ154" s="55">
        <f t="shared" si="85"/>
        <v>0</v>
      </c>
      <c r="AR154" s="55">
        <f t="shared" si="85"/>
        <v>0</v>
      </c>
      <c r="AS154" s="55">
        <f t="shared" si="85"/>
        <v>0</v>
      </c>
      <c r="AT154" s="55">
        <f t="shared" si="85"/>
        <v>0</v>
      </c>
      <c r="AU154" s="55">
        <f t="shared" si="85"/>
        <v>0</v>
      </c>
      <c r="AV154" s="55">
        <f t="shared" si="85"/>
        <v>0</v>
      </c>
      <c r="AW154" s="55">
        <f t="shared" si="85"/>
        <v>0</v>
      </c>
      <c r="AX154" s="55">
        <f t="shared" si="85"/>
        <v>0</v>
      </c>
      <c r="AY154" s="55">
        <f t="shared" si="85"/>
        <v>0</v>
      </c>
      <c r="AZ154" s="55">
        <f t="shared" si="85"/>
        <v>0</v>
      </c>
      <c r="BA154" s="55">
        <f t="shared" si="85"/>
        <v>0</v>
      </c>
      <c r="BB154" s="55">
        <f t="shared" si="85"/>
        <v>0</v>
      </c>
      <c r="BC154" s="55">
        <f t="shared" si="85"/>
        <v>0</v>
      </c>
      <c r="BD154" s="55">
        <f t="shared" si="85"/>
        <v>0</v>
      </c>
      <c r="BE154" s="55">
        <f t="shared" si="85"/>
        <v>0</v>
      </c>
      <c r="BF154" s="55">
        <f t="shared" si="85"/>
        <v>0</v>
      </c>
      <c r="BG154" s="55">
        <f t="shared" si="85"/>
        <v>0</v>
      </c>
      <c r="BH154" s="55">
        <f t="shared" si="85"/>
        <v>0</v>
      </c>
      <c r="BI154" s="55">
        <f t="shared" si="85"/>
        <v>0</v>
      </c>
      <c r="BJ154" s="55">
        <f t="shared" si="85"/>
        <v>0</v>
      </c>
    </row>
    <row r="155" spans="1:62" x14ac:dyDescent="0.3">
      <c r="A155" s="53" t="str">
        <f t="shared" si="39"/>
        <v>project 42</v>
      </c>
      <c r="C155" s="55">
        <f t="shared" ref="C155:AH155" si="86">IF(AND(C$127&gt;=$I47,C$127&lt;$I47+$F47),INDEX($T47:$AI47,C$127-$I47+1),0)</f>
        <v>0</v>
      </c>
      <c r="D155" s="55">
        <f t="shared" si="86"/>
        <v>0</v>
      </c>
      <c r="E155" s="55">
        <f t="shared" si="86"/>
        <v>0</v>
      </c>
      <c r="F155" s="55">
        <f t="shared" si="86"/>
        <v>0</v>
      </c>
      <c r="G155" s="55">
        <f t="shared" si="86"/>
        <v>0</v>
      </c>
      <c r="H155" s="55">
        <f t="shared" si="86"/>
        <v>5.45E-2</v>
      </c>
      <c r="I155" s="55">
        <f t="shared" si="86"/>
        <v>0</v>
      </c>
      <c r="J155" s="55">
        <f t="shared" si="86"/>
        <v>0</v>
      </c>
      <c r="K155" s="55">
        <f t="shared" si="86"/>
        <v>0</v>
      </c>
      <c r="L155" s="55">
        <f t="shared" si="86"/>
        <v>0</v>
      </c>
      <c r="M155" s="55">
        <f t="shared" si="86"/>
        <v>0</v>
      </c>
      <c r="N155" s="55">
        <f t="shared" si="86"/>
        <v>0</v>
      </c>
      <c r="O155" s="55">
        <f t="shared" si="86"/>
        <v>0</v>
      </c>
      <c r="P155" s="55">
        <f t="shared" si="86"/>
        <v>0</v>
      </c>
      <c r="Q155" s="55">
        <f t="shared" si="86"/>
        <v>0</v>
      </c>
      <c r="R155" s="55">
        <f t="shared" si="86"/>
        <v>0</v>
      </c>
      <c r="S155" s="55">
        <f t="shared" si="86"/>
        <v>0</v>
      </c>
      <c r="T155" s="55">
        <f t="shared" si="86"/>
        <v>0</v>
      </c>
      <c r="U155" s="55">
        <f t="shared" si="86"/>
        <v>0</v>
      </c>
      <c r="V155" s="55">
        <f t="shared" si="86"/>
        <v>0</v>
      </c>
      <c r="W155" s="55">
        <f t="shared" si="86"/>
        <v>0</v>
      </c>
      <c r="X155" s="55">
        <f t="shared" si="86"/>
        <v>0</v>
      </c>
      <c r="Y155" s="55">
        <f t="shared" si="86"/>
        <v>0</v>
      </c>
      <c r="Z155" s="55">
        <f t="shared" si="86"/>
        <v>0</v>
      </c>
      <c r="AA155" s="55">
        <f t="shared" si="86"/>
        <v>0</v>
      </c>
      <c r="AB155" s="55">
        <f t="shared" si="86"/>
        <v>0</v>
      </c>
      <c r="AC155" s="55">
        <f t="shared" si="86"/>
        <v>0</v>
      </c>
      <c r="AD155" s="55">
        <f t="shared" si="86"/>
        <v>0</v>
      </c>
      <c r="AE155" s="55">
        <f t="shared" si="86"/>
        <v>0</v>
      </c>
      <c r="AF155" s="55">
        <f t="shared" si="86"/>
        <v>0</v>
      </c>
      <c r="AG155" s="55">
        <f t="shared" si="86"/>
        <v>0</v>
      </c>
      <c r="AH155" s="55">
        <f t="shared" si="86"/>
        <v>0</v>
      </c>
      <c r="AI155" s="55">
        <f t="shared" ref="AI155:BJ155" si="87">IF(AND(AI$127&gt;=$I47,AI$127&lt;$I47+$F47),INDEX($T47:$AI47,AI$127-$I47+1),0)</f>
        <v>0</v>
      </c>
      <c r="AJ155" s="55">
        <f t="shared" si="87"/>
        <v>0</v>
      </c>
      <c r="AK155" s="55">
        <f t="shared" si="87"/>
        <v>0</v>
      </c>
      <c r="AL155" s="55">
        <f t="shared" si="87"/>
        <v>0</v>
      </c>
      <c r="AM155" s="55">
        <f t="shared" si="87"/>
        <v>0</v>
      </c>
      <c r="AN155" s="55">
        <f t="shared" si="87"/>
        <v>0</v>
      </c>
      <c r="AO155" s="55">
        <f t="shared" si="87"/>
        <v>0</v>
      </c>
      <c r="AP155" s="55">
        <f t="shared" si="87"/>
        <v>0</v>
      </c>
      <c r="AQ155" s="55">
        <f t="shared" si="87"/>
        <v>0</v>
      </c>
      <c r="AR155" s="55">
        <f t="shared" si="87"/>
        <v>0</v>
      </c>
      <c r="AS155" s="55">
        <f t="shared" si="87"/>
        <v>0</v>
      </c>
      <c r="AT155" s="55">
        <f t="shared" si="87"/>
        <v>0</v>
      </c>
      <c r="AU155" s="55">
        <f t="shared" si="87"/>
        <v>0</v>
      </c>
      <c r="AV155" s="55">
        <f t="shared" si="87"/>
        <v>0</v>
      </c>
      <c r="AW155" s="55">
        <f t="shared" si="87"/>
        <v>0</v>
      </c>
      <c r="AX155" s="55">
        <f t="shared" si="87"/>
        <v>0</v>
      </c>
      <c r="AY155" s="55">
        <f t="shared" si="87"/>
        <v>0</v>
      </c>
      <c r="AZ155" s="55">
        <f t="shared" si="87"/>
        <v>0</v>
      </c>
      <c r="BA155" s="55">
        <f t="shared" si="87"/>
        <v>0</v>
      </c>
      <c r="BB155" s="55">
        <f t="shared" si="87"/>
        <v>0</v>
      </c>
      <c r="BC155" s="55">
        <f t="shared" si="87"/>
        <v>0</v>
      </c>
      <c r="BD155" s="55">
        <f t="shared" si="87"/>
        <v>0</v>
      </c>
      <c r="BE155" s="55">
        <f t="shared" si="87"/>
        <v>0</v>
      </c>
      <c r="BF155" s="55">
        <f t="shared" si="87"/>
        <v>0</v>
      </c>
      <c r="BG155" s="55">
        <f t="shared" si="87"/>
        <v>0</v>
      </c>
      <c r="BH155" s="55">
        <f t="shared" si="87"/>
        <v>0</v>
      </c>
      <c r="BI155" s="55">
        <f t="shared" si="87"/>
        <v>0</v>
      </c>
      <c r="BJ155" s="55">
        <f t="shared" si="87"/>
        <v>0</v>
      </c>
    </row>
    <row r="156" spans="1:62" x14ac:dyDescent="0.3">
      <c r="A156" s="53" t="str">
        <f t="shared" si="39"/>
        <v>project 43</v>
      </c>
      <c r="C156" s="55">
        <f t="shared" ref="C156:AH156" si="88">IF(AND(C$127&gt;=$I48,C$127&lt;$I48+$F48),INDEX($T48:$AI48,C$127-$I48+1),0)</f>
        <v>3.8150000000000003E-2</v>
      </c>
      <c r="D156" s="55">
        <f t="shared" si="88"/>
        <v>0</v>
      </c>
      <c r="E156" s="55">
        <f t="shared" si="88"/>
        <v>0</v>
      </c>
      <c r="F156" s="55">
        <f t="shared" si="88"/>
        <v>0</v>
      </c>
      <c r="G156" s="55">
        <f t="shared" si="88"/>
        <v>0</v>
      </c>
      <c r="H156" s="55">
        <f t="shared" si="88"/>
        <v>0</v>
      </c>
      <c r="I156" s="55">
        <f t="shared" si="88"/>
        <v>0</v>
      </c>
      <c r="J156" s="55">
        <f t="shared" si="88"/>
        <v>0</v>
      </c>
      <c r="K156" s="55">
        <f t="shared" si="88"/>
        <v>0</v>
      </c>
      <c r="L156" s="55">
        <f t="shared" si="88"/>
        <v>0</v>
      </c>
      <c r="M156" s="55">
        <f t="shared" si="88"/>
        <v>0</v>
      </c>
      <c r="N156" s="55">
        <f t="shared" si="88"/>
        <v>0</v>
      </c>
      <c r="O156" s="55">
        <f t="shared" si="88"/>
        <v>0</v>
      </c>
      <c r="P156" s="55">
        <f t="shared" si="88"/>
        <v>0</v>
      </c>
      <c r="Q156" s="55">
        <f t="shared" si="88"/>
        <v>0</v>
      </c>
      <c r="R156" s="55">
        <f t="shared" si="88"/>
        <v>0</v>
      </c>
      <c r="S156" s="55">
        <f t="shared" si="88"/>
        <v>0</v>
      </c>
      <c r="T156" s="55">
        <f t="shared" si="88"/>
        <v>0</v>
      </c>
      <c r="U156" s="55">
        <f t="shared" si="88"/>
        <v>0</v>
      </c>
      <c r="V156" s="55">
        <f t="shared" si="88"/>
        <v>0</v>
      </c>
      <c r="W156" s="55">
        <f t="shared" si="88"/>
        <v>0</v>
      </c>
      <c r="X156" s="55">
        <f t="shared" si="88"/>
        <v>0</v>
      </c>
      <c r="Y156" s="55">
        <f t="shared" si="88"/>
        <v>0</v>
      </c>
      <c r="Z156" s="55">
        <f t="shared" si="88"/>
        <v>0</v>
      </c>
      <c r="AA156" s="55">
        <f t="shared" si="88"/>
        <v>0</v>
      </c>
      <c r="AB156" s="55">
        <f t="shared" si="88"/>
        <v>0</v>
      </c>
      <c r="AC156" s="55">
        <f t="shared" si="88"/>
        <v>0</v>
      </c>
      <c r="AD156" s="55">
        <f t="shared" si="88"/>
        <v>0</v>
      </c>
      <c r="AE156" s="55">
        <f t="shared" si="88"/>
        <v>0</v>
      </c>
      <c r="AF156" s="55">
        <f t="shared" si="88"/>
        <v>0</v>
      </c>
      <c r="AG156" s="55">
        <f t="shared" si="88"/>
        <v>0</v>
      </c>
      <c r="AH156" s="55">
        <f t="shared" si="88"/>
        <v>0</v>
      </c>
      <c r="AI156" s="55">
        <f t="shared" ref="AI156:BJ156" si="89">IF(AND(AI$127&gt;=$I48,AI$127&lt;$I48+$F48),INDEX($T48:$AI48,AI$127-$I48+1),0)</f>
        <v>0</v>
      </c>
      <c r="AJ156" s="55">
        <f t="shared" si="89"/>
        <v>0</v>
      </c>
      <c r="AK156" s="55">
        <f t="shared" si="89"/>
        <v>0</v>
      </c>
      <c r="AL156" s="55">
        <f t="shared" si="89"/>
        <v>0</v>
      </c>
      <c r="AM156" s="55">
        <f t="shared" si="89"/>
        <v>0</v>
      </c>
      <c r="AN156" s="55">
        <f t="shared" si="89"/>
        <v>0</v>
      </c>
      <c r="AO156" s="55">
        <f t="shared" si="89"/>
        <v>0</v>
      </c>
      <c r="AP156" s="55">
        <f t="shared" si="89"/>
        <v>0</v>
      </c>
      <c r="AQ156" s="55">
        <f t="shared" si="89"/>
        <v>0</v>
      </c>
      <c r="AR156" s="55">
        <f t="shared" si="89"/>
        <v>0</v>
      </c>
      <c r="AS156" s="55">
        <f t="shared" si="89"/>
        <v>0</v>
      </c>
      <c r="AT156" s="55">
        <f t="shared" si="89"/>
        <v>0</v>
      </c>
      <c r="AU156" s="55">
        <f t="shared" si="89"/>
        <v>0</v>
      </c>
      <c r="AV156" s="55">
        <f t="shared" si="89"/>
        <v>0</v>
      </c>
      <c r="AW156" s="55">
        <f t="shared" si="89"/>
        <v>0</v>
      </c>
      <c r="AX156" s="55">
        <f t="shared" si="89"/>
        <v>0</v>
      </c>
      <c r="AY156" s="55">
        <f t="shared" si="89"/>
        <v>0</v>
      </c>
      <c r="AZ156" s="55">
        <f t="shared" si="89"/>
        <v>0</v>
      </c>
      <c r="BA156" s="55">
        <f t="shared" si="89"/>
        <v>0</v>
      </c>
      <c r="BB156" s="55">
        <f t="shared" si="89"/>
        <v>0</v>
      </c>
      <c r="BC156" s="55">
        <f t="shared" si="89"/>
        <v>0</v>
      </c>
      <c r="BD156" s="55">
        <f t="shared" si="89"/>
        <v>0</v>
      </c>
      <c r="BE156" s="55">
        <f t="shared" si="89"/>
        <v>0</v>
      </c>
      <c r="BF156" s="55">
        <f t="shared" si="89"/>
        <v>0</v>
      </c>
      <c r="BG156" s="55">
        <f t="shared" si="89"/>
        <v>0</v>
      </c>
      <c r="BH156" s="55">
        <f t="shared" si="89"/>
        <v>0</v>
      </c>
      <c r="BI156" s="55">
        <f t="shared" si="89"/>
        <v>0</v>
      </c>
      <c r="BJ156" s="55">
        <f t="shared" si="89"/>
        <v>0</v>
      </c>
    </row>
    <row r="157" spans="1:62" x14ac:dyDescent="0.3">
      <c r="A157" s="53" t="str">
        <f t="shared" si="39"/>
        <v>project 44</v>
      </c>
      <c r="C157" s="55">
        <f t="shared" ref="C157:AH157" si="90">IF(AND(C$127&gt;=$I49,C$127&lt;$I49+$F49),INDEX($T49:$AI49,C$127-$I49+1),0)</f>
        <v>3.27E-2</v>
      </c>
      <c r="D157" s="55">
        <f t="shared" si="90"/>
        <v>0</v>
      </c>
      <c r="E157" s="55">
        <f t="shared" si="90"/>
        <v>0</v>
      </c>
      <c r="F157" s="55">
        <f t="shared" si="90"/>
        <v>0</v>
      </c>
      <c r="G157" s="55">
        <f t="shared" si="90"/>
        <v>0</v>
      </c>
      <c r="H157" s="55">
        <f t="shared" si="90"/>
        <v>0</v>
      </c>
      <c r="I157" s="55">
        <f t="shared" si="90"/>
        <v>0</v>
      </c>
      <c r="J157" s="55">
        <f t="shared" si="90"/>
        <v>0</v>
      </c>
      <c r="K157" s="55">
        <f t="shared" si="90"/>
        <v>0</v>
      </c>
      <c r="L157" s="55">
        <f t="shared" si="90"/>
        <v>0</v>
      </c>
      <c r="M157" s="55">
        <f t="shared" si="90"/>
        <v>0</v>
      </c>
      <c r="N157" s="55">
        <f t="shared" si="90"/>
        <v>0</v>
      </c>
      <c r="O157" s="55">
        <f t="shared" si="90"/>
        <v>0</v>
      </c>
      <c r="P157" s="55">
        <f t="shared" si="90"/>
        <v>0</v>
      </c>
      <c r="Q157" s="55">
        <f t="shared" si="90"/>
        <v>0</v>
      </c>
      <c r="R157" s="55">
        <f t="shared" si="90"/>
        <v>0</v>
      </c>
      <c r="S157" s="55">
        <f t="shared" si="90"/>
        <v>0</v>
      </c>
      <c r="T157" s="55">
        <f t="shared" si="90"/>
        <v>0</v>
      </c>
      <c r="U157" s="55">
        <f t="shared" si="90"/>
        <v>0</v>
      </c>
      <c r="V157" s="55">
        <f t="shared" si="90"/>
        <v>0</v>
      </c>
      <c r="W157" s="55">
        <f t="shared" si="90"/>
        <v>0</v>
      </c>
      <c r="X157" s="55">
        <f t="shared" si="90"/>
        <v>0</v>
      </c>
      <c r="Y157" s="55">
        <f t="shared" si="90"/>
        <v>0</v>
      </c>
      <c r="Z157" s="55">
        <f t="shared" si="90"/>
        <v>0</v>
      </c>
      <c r="AA157" s="55">
        <f t="shared" si="90"/>
        <v>0</v>
      </c>
      <c r="AB157" s="55">
        <f t="shared" si="90"/>
        <v>0</v>
      </c>
      <c r="AC157" s="55">
        <f t="shared" si="90"/>
        <v>0</v>
      </c>
      <c r="AD157" s="55">
        <f t="shared" si="90"/>
        <v>0</v>
      </c>
      <c r="AE157" s="55">
        <f t="shared" si="90"/>
        <v>0</v>
      </c>
      <c r="AF157" s="55">
        <f t="shared" si="90"/>
        <v>0</v>
      </c>
      <c r="AG157" s="55">
        <f t="shared" si="90"/>
        <v>0</v>
      </c>
      <c r="AH157" s="55">
        <f t="shared" si="90"/>
        <v>0</v>
      </c>
      <c r="AI157" s="55">
        <f t="shared" ref="AI157:BJ157" si="91">IF(AND(AI$127&gt;=$I49,AI$127&lt;$I49+$F49),INDEX($T49:$AI49,AI$127-$I49+1),0)</f>
        <v>0</v>
      </c>
      <c r="AJ157" s="55">
        <f t="shared" si="91"/>
        <v>0</v>
      </c>
      <c r="AK157" s="55">
        <f t="shared" si="91"/>
        <v>0</v>
      </c>
      <c r="AL157" s="55">
        <f t="shared" si="91"/>
        <v>0</v>
      </c>
      <c r="AM157" s="55">
        <f t="shared" si="91"/>
        <v>0</v>
      </c>
      <c r="AN157" s="55">
        <f t="shared" si="91"/>
        <v>0</v>
      </c>
      <c r="AO157" s="55">
        <f t="shared" si="91"/>
        <v>0</v>
      </c>
      <c r="AP157" s="55">
        <f t="shared" si="91"/>
        <v>0</v>
      </c>
      <c r="AQ157" s="55">
        <f t="shared" si="91"/>
        <v>0</v>
      </c>
      <c r="AR157" s="55">
        <f t="shared" si="91"/>
        <v>0</v>
      </c>
      <c r="AS157" s="55">
        <f t="shared" si="91"/>
        <v>0</v>
      </c>
      <c r="AT157" s="55">
        <f t="shared" si="91"/>
        <v>0</v>
      </c>
      <c r="AU157" s="55">
        <f t="shared" si="91"/>
        <v>0</v>
      </c>
      <c r="AV157" s="55">
        <f t="shared" si="91"/>
        <v>0</v>
      </c>
      <c r="AW157" s="55">
        <f t="shared" si="91"/>
        <v>0</v>
      </c>
      <c r="AX157" s="55">
        <f t="shared" si="91"/>
        <v>0</v>
      </c>
      <c r="AY157" s="55">
        <f t="shared" si="91"/>
        <v>0</v>
      </c>
      <c r="AZ157" s="55">
        <f t="shared" si="91"/>
        <v>0</v>
      </c>
      <c r="BA157" s="55">
        <f t="shared" si="91"/>
        <v>0</v>
      </c>
      <c r="BB157" s="55">
        <f t="shared" si="91"/>
        <v>0</v>
      </c>
      <c r="BC157" s="55">
        <f t="shared" si="91"/>
        <v>0</v>
      </c>
      <c r="BD157" s="55">
        <f t="shared" si="91"/>
        <v>0</v>
      </c>
      <c r="BE157" s="55">
        <f t="shared" si="91"/>
        <v>0</v>
      </c>
      <c r="BF157" s="55">
        <f t="shared" si="91"/>
        <v>0</v>
      </c>
      <c r="BG157" s="55">
        <f t="shared" si="91"/>
        <v>0</v>
      </c>
      <c r="BH157" s="55">
        <f t="shared" si="91"/>
        <v>0</v>
      </c>
      <c r="BI157" s="55">
        <f t="shared" si="91"/>
        <v>0</v>
      </c>
      <c r="BJ157" s="55">
        <f t="shared" si="91"/>
        <v>0</v>
      </c>
    </row>
    <row r="158" spans="1:62" x14ac:dyDescent="0.3">
      <c r="A158" s="53" t="str">
        <f t="shared" si="39"/>
        <v>project 47</v>
      </c>
      <c r="C158" s="55">
        <f t="shared" ref="C158:AH158" si="92">IF(AND(C$127&gt;=$I50,C$127&lt;$I50+$F50),INDEX($T50:$AI50,C$127-$I50+1),0)</f>
        <v>0</v>
      </c>
      <c r="D158" s="55">
        <f t="shared" si="92"/>
        <v>0</v>
      </c>
      <c r="E158" s="55">
        <f t="shared" si="92"/>
        <v>0</v>
      </c>
      <c r="F158" s="55">
        <f t="shared" si="92"/>
        <v>0</v>
      </c>
      <c r="G158" s="55">
        <f t="shared" si="92"/>
        <v>0</v>
      </c>
      <c r="H158" s="55">
        <f t="shared" si="92"/>
        <v>0</v>
      </c>
      <c r="I158" s="55">
        <f t="shared" si="92"/>
        <v>0</v>
      </c>
      <c r="J158" s="55">
        <f t="shared" si="92"/>
        <v>0</v>
      </c>
      <c r="K158" s="55">
        <f t="shared" si="92"/>
        <v>0</v>
      </c>
      <c r="L158" s="55">
        <f t="shared" si="92"/>
        <v>0</v>
      </c>
      <c r="M158" s="55">
        <f t="shared" si="92"/>
        <v>0</v>
      </c>
      <c r="N158" s="55">
        <f t="shared" si="92"/>
        <v>1.689051810877459</v>
      </c>
      <c r="O158" s="55">
        <f t="shared" si="92"/>
        <v>1.145905260134134</v>
      </c>
      <c r="P158" s="55">
        <f t="shared" si="92"/>
        <v>0</v>
      </c>
      <c r="Q158" s="55">
        <f t="shared" si="92"/>
        <v>0</v>
      </c>
      <c r="R158" s="55">
        <f t="shared" si="92"/>
        <v>0</v>
      </c>
      <c r="S158" s="55">
        <f t="shared" si="92"/>
        <v>0</v>
      </c>
      <c r="T158" s="55">
        <f t="shared" si="92"/>
        <v>0</v>
      </c>
      <c r="U158" s="55">
        <f t="shared" si="92"/>
        <v>0</v>
      </c>
      <c r="V158" s="55">
        <f t="shared" si="92"/>
        <v>0</v>
      </c>
      <c r="W158" s="55">
        <f t="shared" si="92"/>
        <v>0</v>
      </c>
      <c r="X158" s="55">
        <f t="shared" si="92"/>
        <v>0</v>
      </c>
      <c r="Y158" s="55">
        <f t="shared" si="92"/>
        <v>0</v>
      </c>
      <c r="Z158" s="55">
        <f t="shared" si="92"/>
        <v>0</v>
      </c>
      <c r="AA158" s="55">
        <f t="shared" si="92"/>
        <v>0</v>
      </c>
      <c r="AB158" s="55">
        <f t="shared" si="92"/>
        <v>0</v>
      </c>
      <c r="AC158" s="55">
        <f t="shared" si="92"/>
        <v>0</v>
      </c>
      <c r="AD158" s="55">
        <f t="shared" si="92"/>
        <v>0</v>
      </c>
      <c r="AE158" s="55">
        <f t="shared" si="92"/>
        <v>0</v>
      </c>
      <c r="AF158" s="55">
        <f t="shared" si="92"/>
        <v>0</v>
      </c>
      <c r="AG158" s="55">
        <f t="shared" si="92"/>
        <v>0</v>
      </c>
      <c r="AH158" s="55">
        <f t="shared" si="92"/>
        <v>0</v>
      </c>
      <c r="AI158" s="55">
        <f t="shared" ref="AI158:BJ158" si="93">IF(AND(AI$127&gt;=$I50,AI$127&lt;$I50+$F50),INDEX($T50:$AI50,AI$127-$I50+1),0)</f>
        <v>0</v>
      </c>
      <c r="AJ158" s="55">
        <f t="shared" si="93"/>
        <v>0</v>
      </c>
      <c r="AK158" s="55">
        <f t="shared" si="93"/>
        <v>0</v>
      </c>
      <c r="AL158" s="55">
        <f t="shared" si="93"/>
        <v>0</v>
      </c>
      <c r="AM158" s="55">
        <f t="shared" si="93"/>
        <v>0</v>
      </c>
      <c r="AN158" s="55">
        <f t="shared" si="93"/>
        <v>0</v>
      </c>
      <c r="AO158" s="55">
        <f t="shared" si="93"/>
        <v>0</v>
      </c>
      <c r="AP158" s="55">
        <f t="shared" si="93"/>
        <v>0</v>
      </c>
      <c r="AQ158" s="55">
        <f t="shared" si="93"/>
        <v>0</v>
      </c>
      <c r="AR158" s="55">
        <f t="shared" si="93"/>
        <v>0</v>
      </c>
      <c r="AS158" s="55">
        <f t="shared" si="93"/>
        <v>0</v>
      </c>
      <c r="AT158" s="55">
        <f t="shared" si="93"/>
        <v>0</v>
      </c>
      <c r="AU158" s="55">
        <f t="shared" si="93"/>
        <v>0</v>
      </c>
      <c r="AV158" s="55">
        <f t="shared" si="93"/>
        <v>0</v>
      </c>
      <c r="AW158" s="55">
        <f t="shared" si="93"/>
        <v>0</v>
      </c>
      <c r="AX158" s="55">
        <f t="shared" si="93"/>
        <v>0</v>
      </c>
      <c r="AY158" s="55">
        <f t="shared" si="93"/>
        <v>0</v>
      </c>
      <c r="AZ158" s="55">
        <f t="shared" si="93"/>
        <v>0</v>
      </c>
      <c r="BA158" s="55">
        <f t="shared" si="93"/>
        <v>0</v>
      </c>
      <c r="BB158" s="55">
        <f t="shared" si="93"/>
        <v>0</v>
      </c>
      <c r="BC158" s="55">
        <f t="shared" si="93"/>
        <v>0</v>
      </c>
      <c r="BD158" s="55">
        <f t="shared" si="93"/>
        <v>0</v>
      </c>
      <c r="BE158" s="55">
        <f t="shared" si="93"/>
        <v>0</v>
      </c>
      <c r="BF158" s="55">
        <f t="shared" si="93"/>
        <v>0</v>
      </c>
      <c r="BG158" s="55">
        <f t="shared" si="93"/>
        <v>0</v>
      </c>
      <c r="BH158" s="55">
        <f t="shared" si="93"/>
        <v>0</v>
      </c>
      <c r="BI158" s="55">
        <f t="shared" si="93"/>
        <v>0</v>
      </c>
      <c r="BJ158" s="55">
        <f t="shared" si="93"/>
        <v>0</v>
      </c>
    </row>
    <row r="159" spans="1:62" x14ac:dyDescent="0.3">
      <c r="A159" s="53" t="str">
        <f t="shared" si="39"/>
        <v>project 48</v>
      </c>
      <c r="C159" s="55">
        <f t="shared" ref="C159:AH159" si="94">IF(AND(C$127&gt;=$I51,C$127&lt;$I51+$F51),INDEX($T51:$AI51,C$127-$I51+1),0)</f>
        <v>0.30599999999999999</v>
      </c>
      <c r="D159" s="55">
        <f t="shared" si="94"/>
        <v>0.7</v>
      </c>
      <c r="E159" s="55">
        <f t="shared" si="94"/>
        <v>0</v>
      </c>
      <c r="F159" s="55">
        <f t="shared" si="94"/>
        <v>0</v>
      </c>
      <c r="G159" s="55">
        <f t="shared" si="94"/>
        <v>0</v>
      </c>
      <c r="H159" s="55">
        <f t="shared" si="94"/>
        <v>0</v>
      </c>
      <c r="I159" s="55">
        <f t="shared" si="94"/>
        <v>0</v>
      </c>
      <c r="J159" s="55">
        <f t="shared" si="94"/>
        <v>0</v>
      </c>
      <c r="K159" s="55">
        <f t="shared" si="94"/>
        <v>0</v>
      </c>
      <c r="L159" s="55">
        <f t="shared" si="94"/>
        <v>0</v>
      </c>
      <c r="M159" s="55">
        <f t="shared" si="94"/>
        <v>0</v>
      </c>
      <c r="N159" s="55">
        <f t="shared" si="94"/>
        <v>0</v>
      </c>
      <c r="O159" s="55">
        <f t="shared" si="94"/>
        <v>0</v>
      </c>
      <c r="P159" s="55">
        <f t="shared" si="94"/>
        <v>0</v>
      </c>
      <c r="Q159" s="55">
        <f t="shared" si="94"/>
        <v>0</v>
      </c>
      <c r="R159" s="55">
        <f t="shared" si="94"/>
        <v>0</v>
      </c>
      <c r="S159" s="55">
        <f t="shared" si="94"/>
        <v>0</v>
      </c>
      <c r="T159" s="55">
        <f t="shared" si="94"/>
        <v>0</v>
      </c>
      <c r="U159" s="55">
        <f t="shared" si="94"/>
        <v>0</v>
      </c>
      <c r="V159" s="55">
        <f t="shared" si="94"/>
        <v>0</v>
      </c>
      <c r="W159" s="55">
        <f t="shared" si="94"/>
        <v>0</v>
      </c>
      <c r="X159" s="55">
        <f t="shared" si="94"/>
        <v>0</v>
      </c>
      <c r="Y159" s="55">
        <f t="shared" si="94"/>
        <v>0</v>
      </c>
      <c r="Z159" s="55">
        <f t="shared" si="94"/>
        <v>0</v>
      </c>
      <c r="AA159" s="55">
        <f t="shared" si="94"/>
        <v>0</v>
      </c>
      <c r="AB159" s="55">
        <f t="shared" si="94"/>
        <v>0</v>
      </c>
      <c r="AC159" s="55">
        <f t="shared" si="94"/>
        <v>0</v>
      </c>
      <c r="AD159" s="55">
        <f t="shared" si="94"/>
        <v>0</v>
      </c>
      <c r="AE159" s="55">
        <f t="shared" si="94"/>
        <v>0</v>
      </c>
      <c r="AF159" s="55">
        <f t="shared" si="94"/>
        <v>0</v>
      </c>
      <c r="AG159" s="55">
        <f t="shared" si="94"/>
        <v>0</v>
      </c>
      <c r="AH159" s="55">
        <f t="shared" si="94"/>
        <v>0</v>
      </c>
      <c r="AI159" s="55">
        <f t="shared" ref="AI159:BJ159" si="95">IF(AND(AI$127&gt;=$I51,AI$127&lt;$I51+$F51),INDEX($T51:$AI51,AI$127-$I51+1),0)</f>
        <v>0</v>
      </c>
      <c r="AJ159" s="55">
        <f t="shared" si="95"/>
        <v>0</v>
      </c>
      <c r="AK159" s="55">
        <f t="shared" si="95"/>
        <v>0</v>
      </c>
      <c r="AL159" s="55">
        <f t="shared" si="95"/>
        <v>0</v>
      </c>
      <c r="AM159" s="55">
        <f t="shared" si="95"/>
        <v>0</v>
      </c>
      <c r="AN159" s="55">
        <f t="shared" si="95"/>
        <v>0</v>
      </c>
      <c r="AO159" s="55">
        <f t="shared" si="95"/>
        <v>0</v>
      </c>
      <c r="AP159" s="55">
        <f t="shared" si="95"/>
        <v>0</v>
      </c>
      <c r="AQ159" s="55">
        <f t="shared" si="95"/>
        <v>0</v>
      </c>
      <c r="AR159" s="55">
        <f t="shared" si="95"/>
        <v>0</v>
      </c>
      <c r="AS159" s="55">
        <f t="shared" si="95"/>
        <v>0</v>
      </c>
      <c r="AT159" s="55">
        <f t="shared" si="95"/>
        <v>0</v>
      </c>
      <c r="AU159" s="55">
        <f t="shared" si="95"/>
        <v>0</v>
      </c>
      <c r="AV159" s="55">
        <f t="shared" si="95"/>
        <v>0</v>
      </c>
      <c r="AW159" s="55">
        <f t="shared" si="95"/>
        <v>0</v>
      </c>
      <c r="AX159" s="55">
        <f t="shared" si="95"/>
        <v>0</v>
      </c>
      <c r="AY159" s="55">
        <f t="shared" si="95"/>
        <v>0</v>
      </c>
      <c r="AZ159" s="55">
        <f t="shared" si="95"/>
        <v>0</v>
      </c>
      <c r="BA159" s="55">
        <f t="shared" si="95"/>
        <v>0</v>
      </c>
      <c r="BB159" s="55">
        <f t="shared" si="95"/>
        <v>0</v>
      </c>
      <c r="BC159" s="55">
        <f t="shared" si="95"/>
        <v>0</v>
      </c>
      <c r="BD159" s="55">
        <f t="shared" si="95"/>
        <v>0</v>
      </c>
      <c r="BE159" s="55">
        <f t="shared" si="95"/>
        <v>0</v>
      </c>
      <c r="BF159" s="55">
        <f t="shared" si="95"/>
        <v>0</v>
      </c>
      <c r="BG159" s="55">
        <f t="shared" si="95"/>
        <v>0</v>
      </c>
      <c r="BH159" s="55">
        <f t="shared" si="95"/>
        <v>0</v>
      </c>
      <c r="BI159" s="55">
        <f t="shared" si="95"/>
        <v>0</v>
      </c>
      <c r="BJ159" s="55">
        <f t="shared" si="95"/>
        <v>0</v>
      </c>
    </row>
    <row r="160" spans="1:62" x14ac:dyDescent="0.3">
      <c r="A160" s="53" t="str">
        <f t="shared" si="39"/>
        <v>project 50</v>
      </c>
      <c r="C160" s="55">
        <f t="shared" ref="C160:AH160" si="96">IF(AND(C$127&gt;=$I52,C$127&lt;$I52+$F52),INDEX($T52:$AI52,C$127-$I52+1),0)</f>
        <v>0</v>
      </c>
      <c r="D160" s="55">
        <f t="shared" si="96"/>
        <v>0.27500000000000002</v>
      </c>
      <c r="E160" s="55">
        <f t="shared" si="96"/>
        <v>2.450980392156862</v>
      </c>
      <c r="F160" s="55">
        <f t="shared" si="96"/>
        <v>2.402921953094963</v>
      </c>
      <c r="G160" s="55">
        <f t="shared" si="96"/>
        <v>2.3558058363676109</v>
      </c>
      <c r="H160" s="55">
        <f t="shared" si="96"/>
        <v>3.6953817041060568</v>
      </c>
      <c r="I160" s="55">
        <f t="shared" si="96"/>
        <v>3.6229232393196629</v>
      </c>
      <c r="J160" s="55">
        <f t="shared" si="96"/>
        <v>3.5518855287447679</v>
      </c>
      <c r="K160" s="55">
        <f t="shared" si="96"/>
        <v>3.4822407144556542</v>
      </c>
      <c r="L160" s="55">
        <f t="shared" si="96"/>
        <v>0</v>
      </c>
      <c r="M160" s="55">
        <f t="shared" si="96"/>
        <v>0</v>
      </c>
      <c r="N160" s="55">
        <f t="shared" si="96"/>
        <v>0</v>
      </c>
      <c r="O160" s="55">
        <f t="shared" si="96"/>
        <v>0</v>
      </c>
      <c r="P160" s="55">
        <f t="shared" si="96"/>
        <v>0</v>
      </c>
      <c r="Q160" s="55">
        <f t="shared" si="96"/>
        <v>0</v>
      </c>
      <c r="R160" s="55">
        <f t="shared" si="96"/>
        <v>0</v>
      </c>
      <c r="S160" s="55">
        <f t="shared" si="96"/>
        <v>0</v>
      </c>
      <c r="T160" s="55">
        <f t="shared" si="96"/>
        <v>0</v>
      </c>
      <c r="U160" s="55">
        <f t="shared" si="96"/>
        <v>0</v>
      </c>
      <c r="V160" s="55">
        <f t="shared" si="96"/>
        <v>0</v>
      </c>
      <c r="W160" s="55">
        <f t="shared" si="96"/>
        <v>0</v>
      </c>
      <c r="X160" s="55">
        <f t="shared" si="96"/>
        <v>0</v>
      </c>
      <c r="Y160" s="55">
        <f t="shared" si="96"/>
        <v>0</v>
      </c>
      <c r="Z160" s="55">
        <f t="shared" si="96"/>
        <v>0</v>
      </c>
      <c r="AA160" s="55">
        <f t="shared" si="96"/>
        <v>0</v>
      </c>
      <c r="AB160" s="55">
        <f t="shared" si="96"/>
        <v>0</v>
      </c>
      <c r="AC160" s="55">
        <f t="shared" si="96"/>
        <v>0</v>
      </c>
      <c r="AD160" s="55">
        <f t="shared" si="96"/>
        <v>0</v>
      </c>
      <c r="AE160" s="55">
        <f t="shared" si="96"/>
        <v>0</v>
      </c>
      <c r="AF160" s="55">
        <f t="shared" si="96"/>
        <v>0</v>
      </c>
      <c r="AG160" s="55">
        <f t="shared" si="96"/>
        <v>0</v>
      </c>
      <c r="AH160" s="55">
        <f t="shared" si="96"/>
        <v>0</v>
      </c>
      <c r="AI160" s="55">
        <f t="shared" ref="AI160:BJ160" si="97">IF(AND(AI$127&gt;=$I52,AI$127&lt;$I52+$F52),INDEX($T52:$AI52,AI$127-$I52+1),0)</f>
        <v>0</v>
      </c>
      <c r="AJ160" s="55">
        <f t="shared" si="97"/>
        <v>0</v>
      </c>
      <c r="AK160" s="55">
        <f t="shared" si="97"/>
        <v>0</v>
      </c>
      <c r="AL160" s="55">
        <f t="shared" si="97"/>
        <v>0</v>
      </c>
      <c r="AM160" s="55">
        <f t="shared" si="97"/>
        <v>0</v>
      </c>
      <c r="AN160" s="55">
        <f t="shared" si="97"/>
        <v>0</v>
      </c>
      <c r="AO160" s="55">
        <f t="shared" si="97"/>
        <v>0</v>
      </c>
      <c r="AP160" s="55">
        <f t="shared" si="97"/>
        <v>0</v>
      </c>
      <c r="AQ160" s="55">
        <f t="shared" si="97"/>
        <v>0</v>
      </c>
      <c r="AR160" s="55">
        <f t="shared" si="97"/>
        <v>0</v>
      </c>
      <c r="AS160" s="55">
        <f t="shared" si="97"/>
        <v>0</v>
      </c>
      <c r="AT160" s="55">
        <f t="shared" si="97"/>
        <v>0</v>
      </c>
      <c r="AU160" s="55">
        <f t="shared" si="97"/>
        <v>0</v>
      </c>
      <c r="AV160" s="55">
        <f t="shared" si="97"/>
        <v>0</v>
      </c>
      <c r="AW160" s="55">
        <f t="shared" si="97"/>
        <v>0</v>
      </c>
      <c r="AX160" s="55">
        <f t="shared" si="97"/>
        <v>0</v>
      </c>
      <c r="AY160" s="55">
        <f t="shared" si="97"/>
        <v>0</v>
      </c>
      <c r="AZ160" s="55">
        <f t="shared" si="97"/>
        <v>0</v>
      </c>
      <c r="BA160" s="55">
        <f t="shared" si="97"/>
        <v>0</v>
      </c>
      <c r="BB160" s="55">
        <f t="shared" si="97"/>
        <v>0</v>
      </c>
      <c r="BC160" s="55">
        <f t="shared" si="97"/>
        <v>0</v>
      </c>
      <c r="BD160" s="55">
        <f t="shared" si="97"/>
        <v>0</v>
      </c>
      <c r="BE160" s="55">
        <f t="shared" si="97"/>
        <v>0</v>
      </c>
      <c r="BF160" s="55">
        <f t="shared" si="97"/>
        <v>0</v>
      </c>
      <c r="BG160" s="55">
        <f t="shared" si="97"/>
        <v>0</v>
      </c>
      <c r="BH160" s="55">
        <f t="shared" si="97"/>
        <v>0</v>
      </c>
      <c r="BI160" s="55">
        <f t="shared" si="97"/>
        <v>0</v>
      </c>
      <c r="BJ160" s="55">
        <f t="shared" si="97"/>
        <v>0</v>
      </c>
    </row>
    <row r="161" spans="1:62" x14ac:dyDescent="0.3">
      <c r="A161" s="53" t="str">
        <f t="shared" si="39"/>
        <v>project 51</v>
      </c>
      <c r="C161" s="55">
        <f t="shared" ref="C161:AH161" si="98">IF(AND(C$127&gt;=$I53,C$127&lt;$I53+$F53),INDEX($T53:$AI53,C$127-$I53+1),0)</f>
        <v>0</v>
      </c>
      <c r="D161" s="55">
        <f t="shared" si="98"/>
        <v>0</v>
      </c>
      <c r="E161" s="55">
        <f t="shared" si="98"/>
        <v>0</v>
      </c>
      <c r="F161" s="55">
        <f t="shared" si="98"/>
        <v>0</v>
      </c>
      <c r="G161" s="55">
        <f t="shared" si="98"/>
        <v>0</v>
      </c>
      <c r="H161" s="55">
        <f t="shared" si="98"/>
        <v>0</v>
      </c>
      <c r="I161" s="55">
        <f t="shared" si="98"/>
        <v>12.352051914285839</v>
      </c>
      <c r="J161" s="55">
        <f t="shared" si="98"/>
        <v>7.6884717060807448</v>
      </c>
      <c r="K161" s="55">
        <f t="shared" si="98"/>
        <v>14.482631265921571</v>
      </c>
      <c r="L161" s="55">
        <f t="shared" si="98"/>
        <v>15.60758580017275</v>
      </c>
      <c r="M161" s="55">
        <f t="shared" si="98"/>
        <v>1.9444739879831969</v>
      </c>
      <c r="N161" s="55">
        <f t="shared" si="98"/>
        <v>0</v>
      </c>
      <c r="O161" s="55">
        <f t="shared" si="98"/>
        <v>0</v>
      </c>
      <c r="P161" s="55">
        <f t="shared" si="98"/>
        <v>0</v>
      </c>
      <c r="Q161" s="55">
        <f t="shared" si="98"/>
        <v>0</v>
      </c>
      <c r="R161" s="55">
        <f t="shared" si="98"/>
        <v>0</v>
      </c>
      <c r="S161" s="55">
        <f t="shared" si="98"/>
        <v>0</v>
      </c>
      <c r="T161" s="55">
        <f t="shared" si="98"/>
        <v>0</v>
      </c>
      <c r="U161" s="55">
        <f t="shared" si="98"/>
        <v>0</v>
      </c>
      <c r="V161" s="55">
        <f t="shared" si="98"/>
        <v>0</v>
      </c>
      <c r="W161" s="55">
        <f t="shared" si="98"/>
        <v>0</v>
      </c>
      <c r="X161" s="55">
        <f t="shared" si="98"/>
        <v>0</v>
      </c>
      <c r="Y161" s="55">
        <f t="shared" si="98"/>
        <v>0</v>
      </c>
      <c r="Z161" s="55">
        <f t="shared" si="98"/>
        <v>0</v>
      </c>
      <c r="AA161" s="55">
        <f t="shared" si="98"/>
        <v>0</v>
      </c>
      <c r="AB161" s="55">
        <f t="shared" si="98"/>
        <v>0</v>
      </c>
      <c r="AC161" s="55">
        <f t="shared" si="98"/>
        <v>0</v>
      </c>
      <c r="AD161" s="55">
        <f t="shared" si="98"/>
        <v>0</v>
      </c>
      <c r="AE161" s="55">
        <f t="shared" si="98"/>
        <v>0</v>
      </c>
      <c r="AF161" s="55">
        <f t="shared" si="98"/>
        <v>0</v>
      </c>
      <c r="AG161" s="55">
        <f t="shared" si="98"/>
        <v>0</v>
      </c>
      <c r="AH161" s="55">
        <f t="shared" si="98"/>
        <v>0</v>
      </c>
      <c r="AI161" s="55">
        <f t="shared" ref="AI161:BJ161" si="99">IF(AND(AI$127&gt;=$I53,AI$127&lt;$I53+$F53),INDEX($T53:$AI53,AI$127-$I53+1),0)</f>
        <v>0</v>
      </c>
      <c r="AJ161" s="55">
        <f t="shared" si="99"/>
        <v>0</v>
      </c>
      <c r="AK161" s="55">
        <f t="shared" si="99"/>
        <v>0</v>
      </c>
      <c r="AL161" s="55">
        <f t="shared" si="99"/>
        <v>0</v>
      </c>
      <c r="AM161" s="55">
        <f t="shared" si="99"/>
        <v>0</v>
      </c>
      <c r="AN161" s="55">
        <f t="shared" si="99"/>
        <v>0</v>
      </c>
      <c r="AO161" s="55">
        <f t="shared" si="99"/>
        <v>0</v>
      </c>
      <c r="AP161" s="55">
        <f t="shared" si="99"/>
        <v>0</v>
      </c>
      <c r="AQ161" s="55">
        <f t="shared" si="99"/>
        <v>0</v>
      </c>
      <c r="AR161" s="55">
        <f t="shared" si="99"/>
        <v>0</v>
      </c>
      <c r="AS161" s="55">
        <f t="shared" si="99"/>
        <v>0</v>
      </c>
      <c r="AT161" s="55">
        <f t="shared" si="99"/>
        <v>0</v>
      </c>
      <c r="AU161" s="55">
        <f t="shared" si="99"/>
        <v>0</v>
      </c>
      <c r="AV161" s="55">
        <f t="shared" si="99"/>
        <v>0</v>
      </c>
      <c r="AW161" s="55">
        <f t="shared" si="99"/>
        <v>0</v>
      </c>
      <c r="AX161" s="55">
        <f t="shared" si="99"/>
        <v>0</v>
      </c>
      <c r="AY161" s="55">
        <f t="shared" si="99"/>
        <v>0</v>
      </c>
      <c r="AZ161" s="55">
        <f t="shared" si="99"/>
        <v>0</v>
      </c>
      <c r="BA161" s="55">
        <f t="shared" si="99"/>
        <v>0</v>
      </c>
      <c r="BB161" s="55">
        <f t="shared" si="99"/>
        <v>0</v>
      </c>
      <c r="BC161" s="55">
        <f t="shared" si="99"/>
        <v>0</v>
      </c>
      <c r="BD161" s="55">
        <f t="shared" si="99"/>
        <v>0</v>
      </c>
      <c r="BE161" s="55">
        <f t="shared" si="99"/>
        <v>0</v>
      </c>
      <c r="BF161" s="55">
        <f t="shared" si="99"/>
        <v>0</v>
      </c>
      <c r="BG161" s="55">
        <f t="shared" si="99"/>
        <v>0</v>
      </c>
      <c r="BH161" s="55">
        <f t="shared" si="99"/>
        <v>0</v>
      </c>
      <c r="BI161" s="55">
        <f t="shared" si="99"/>
        <v>0</v>
      </c>
      <c r="BJ161" s="55">
        <f t="shared" si="99"/>
        <v>0</v>
      </c>
    </row>
    <row r="162" spans="1:62" x14ac:dyDescent="0.3">
      <c r="A162" s="53" t="str">
        <f t="shared" si="39"/>
        <v>project 53</v>
      </c>
      <c r="C162" s="55">
        <f t="shared" ref="C162:AH162" si="100">IF(AND(C$127&gt;=$I54,C$127&lt;$I54+$F54),INDEX($T54:$AI54,C$127-$I54+1),0)</f>
        <v>0</v>
      </c>
      <c r="D162" s="55">
        <f t="shared" si="100"/>
        <v>0</v>
      </c>
      <c r="E162" s="55">
        <f t="shared" si="100"/>
        <v>0</v>
      </c>
      <c r="F162" s="55">
        <f t="shared" si="100"/>
        <v>0</v>
      </c>
      <c r="G162" s="55">
        <f t="shared" si="100"/>
        <v>0</v>
      </c>
      <c r="H162" s="55">
        <f t="shared" si="100"/>
        <v>0</v>
      </c>
      <c r="I162" s="55">
        <f t="shared" si="100"/>
        <v>0</v>
      </c>
      <c r="J162" s="55">
        <f t="shared" si="100"/>
        <v>0</v>
      </c>
      <c r="K162" s="55">
        <f t="shared" si="100"/>
        <v>0</v>
      </c>
      <c r="L162" s="55">
        <f t="shared" si="100"/>
        <v>0</v>
      </c>
      <c r="M162" s="55">
        <f t="shared" si="100"/>
        <v>0</v>
      </c>
      <c r="N162" s="55">
        <f t="shared" si="100"/>
        <v>0</v>
      </c>
      <c r="O162" s="55">
        <f t="shared" si="100"/>
        <v>0</v>
      </c>
      <c r="P162" s="55">
        <f t="shared" si="100"/>
        <v>0</v>
      </c>
      <c r="Q162" s="55">
        <f t="shared" si="100"/>
        <v>0</v>
      </c>
      <c r="R162" s="55">
        <f t="shared" si="100"/>
        <v>0.81599999999999995</v>
      </c>
      <c r="S162" s="55">
        <f t="shared" si="100"/>
        <v>2.2400000000000002</v>
      </c>
      <c r="T162" s="55">
        <f t="shared" si="100"/>
        <v>0</v>
      </c>
      <c r="U162" s="55">
        <f t="shared" si="100"/>
        <v>0</v>
      </c>
      <c r="V162" s="55">
        <f t="shared" si="100"/>
        <v>0</v>
      </c>
      <c r="W162" s="55">
        <f t="shared" si="100"/>
        <v>0</v>
      </c>
      <c r="X162" s="55">
        <f t="shared" si="100"/>
        <v>0</v>
      </c>
      <c r="Y162" s="55">
        <f t="shared" si="100"/>
        <v>0</v>
      </c>
      <c r="Z162" s="55">
        <f t="shared" si="100"/>
        <v>0</v>
      </c>
      <c r="AA162" s="55">
        <f t="shared" si="100"/>
        <v>0</v>
      </c>
      <c r="AB162" s="55">
        <f t="shared" si="100"/>
        <v>0</v>
      </c>
      <c r="AC162" s="55">
        <f t="shared" si="100"/>
        <v>0</v>
      </c>
      <c r="AD162" s="55">
        <f t="shared" si="100"/>
        <v>0</v>
      </c>
      <c r="AE162" s="55">
        <f t="shared" si="100"/>
        <v>0</v>
      </c>
      <c r="AF162" s="55">
        <f t="shared" si="100"/>
        <v>0</v>
      </c>
      <c r="AG162" s="55">
        <f t="shared" si="100"/>
        <v>0</v>
      </c>
      <c r="AH162" s="55">
        <f t="shared" si="100"/>
        <v>0</v>
      </c>
      <c r="AI162" s="55">
        <f t="shared" ref="AI162:BJ162" si="101">IF(AND(AI$127&gt;=$I54,AI$127&lt;$I54+$F54),INDEX($T54:$AI54,AI$127-$I54+1),0)</f>
        <v>0</v>
      </c>
      <c r="AJ162" s="55">
        <f t="shared" si="101"/>
        <v>0</v>
      </c>
      <c r="AK162" s="55">
        <f t="shared" si="101"/>
        <v>0</v>
      </c>
      <c r="AL162" s="55">
        <f t="shared" si="101"/>
        <v>0</v>
      </c>
      <c r="AM162" s="55">
        <f t="shared" si="101"/>
        <v>0</v>
      </c>
      <c r="AN162" s="55">
        <f t="shared" si="101"/>
        <v>0</v>
      </c>
      <c r="AO162" s="55">
        <f t="shared" si="101"/>
        <v>0</v>
      </c>
      <c r="AP162" s="55">
        <f t="shared" si="101"/>
        <v>0</v>
      </c>
      <c r="AQ162" s="55">
        <f t="shared" si="101"/>
        <v>0</v>
      </c>
      <c r="AR162" s="55">
        <f t="shared" si="101"/>
        <v>0</v>
      </c>
      <c r="AS162" s="55">
        <f t="shared" si="101"/>
        <v>0</v>
      </c>
      <c r="AT162" s="55">
        <f t="shared" si="101"/>
        <v>0</v>
      </c>
      <c r="AU162" s="55">
        <f t="shared" si="101"/>
        <v>0</v>
      </c>
      <c r="AV162" s="55">
        <f t="shared" si="101"/>
        <v>0</v>
      </c>
      <c r="AW162" s="55">
        <f t="shared" si="101"/>
        <v>0</v>
      </c>
      <c r="AX162" s="55">
        <f t="shared" si="101"/>
        <v>0</v>
      </c>
      <c r="AY162" s="55">
        <f t="shared" si="101"/>
        <v>0</v>
      </c>
      <c r="AZ162" s="55">
        <f t="shared" si="101"/>
        <v>0</v>
      </c>
      <c r="BA162" s="55">
        <f t="shared" si="101"/>
        <v>0</v>
      </c>
      <c r="BB162" s="55">
        <f t="shared" si="101"/>
        <v>0</v>
      </c>
      <c r="BC162" s="55">
        <f t="shared" si="101"/>
        <v>0</v>
      </c>
      <c r="BD162" s="55">
        <f t="shared" si="101"/>
        <v>0</v>
      </c>
      <c r="BE162" s="55">
        <f t="shared" si="101"/>
        <v>0</v>
      </c>
      <c r="BF162" s="55">
        <f t="shared" si="101"/>
        <v>0</v>
      </c>
      <c r="BG162" s="55">
        <f t="shared" si="101"/>
        <v>0</v>
      </c>
      <c r="BH162" s="55">
        <f t="shared" si="101"/>
        <v>0</v>
      </c>
      <c r="BI162" s="55">
        <f t="shared" si="101"/>
        <v>0</v>
      </c>
      <c r="BJ162" s="55">
        <f t="shared" si="101"/>
        <v>0</v>
      </c>
    </row>
    <row r="163" spans="1:62" x14ac:dyDescent="0.3">
      <c r="A163" s="53" t="str">
        <f t="shared" si="39"/>
        <v>project 55</v>
      </c>
      <c r="C163" s="55">
        <f t="shared" ref="C163:AH163" si="102">IF(AND(C$127&gt;=$I55,C$127&lt;$I55+$F55),INDEX($T55:$AI55,C$127-$I55+1),0)</f>
        <v>0</v>
      </c>
      <c r="D163" s="55">
        <f t="shared" si="102"/>
        <v>0</v>
      </c>
      <c r="E163" s="55">
        <f t="shared" si="102"/>
        <v>0</v>
      </c>
      <c r="F163" s="55">
        <f t="shared" si="102"/>
        <v>0</v>
      </c>
      <c r="G163" s="55">
        <f t="shared" si="102"/>
        <v>0</v>
      </c>
      <c r="H163" s="55">
        <f t="shared" si="102"/>
        <v>0</v>
      </c>
      <c r="I163" s="55">
        <f t="shared" si="102"/>
        <v>0</v>
      </c>
      <c r="J163" s="55">
        <f t="shared" si="102"/>
        <v>0</v>
      </c>
      <c r="K163" s="55">
        <f t="shared" si="102"/>
        <v>0</v>
      </c>
      <c r="L163" s="55">
        <f t="shared" si="102"/>
        <v>0</v>
      </c>
      <c r="M163" s="55">
        <f t="shared" si="102"/>
        <v>0</v>
      </c>
      <c r="N163" s="55">
        <f t="shared" si="102"/>
        <v>13.87243</v>
      </c>
      <c r="O163" s="55">
        <f t="shared" si="102"/>
        <v>11.96862745098039</v>
      </c>
      <c r="P163" s="55">
        <f t="shared" si="102"/>
        <v>0</v>
      </c>
      <c r="Q163" s="55">
        <f t="shared" si="102"/>
        <v>0</v>
      </c>
      <c r="R163" s="55">
        <f t="shared" si="102"/>
        <v>0</v>
      </c>
      <c r="S163" s="55">
        <f t="shared" si="102"/>
        <v>0</v>
      </c>
      <c r="T163" s="55">
        <f t="shared" si="102"/>
        <v>0</v>
      </c>
      <c r="U163" s="55">
        <f t="shared" si="102"/>
        <v>0</v>
      </c>
      <c r="V163" s="55">
        <f t="shared" si="102"/>
        <v>0</v>
      </c>
      <c r="W163" s="55">
        <f t="shared" si="102"/>
        <v>0</v>
      </c>
      <c r="X163" s="55">
        <f t="shared" si="102"/>
        <v>0</v>
      </c>
      <c r="Y163" s="55">
        <f t="shared" si="102"/>
        <v>0</v>
      </c>
      <c r="Z163" s="55">
        <f t="shared" si="102"/>
        <v>0</v>
      </c>
      <c r="AA163" s="55">
        <f t="shared" si="102"/>
        <v>0</v>
      </c>
      <c r="AB163" s="55">
        <f t="shared" si="102"/>
        <v>0</v>
      </c>
      <c r="AC163" s="55">
        <f t="shared" si="102"/>
        <v>0</v>
      </c>
      <c r="AD163" s="55">
        <f t="shared" si="102"/>
        <v>0</v>
      </c>
      <c r="AE163" s="55">
        <f t="shared" si="102"/>
        <v>0</v>
      </c>
      <c r="AF163" s="55">
        <f t="shared" si="102"/>
        <v>0</v>
      </c>
      <c r="AG163" s="55">
        <f t="shared" si="102"/>
        <v>0</v>
      </c>
      <c r="AH163" s="55">
        <f t="shared" si="102"/>
        <v>0</v>
      </c>
      <c r="AI163" s="55">
        <f t="shared" ref="AI163:BJ163" si="103">IF(AND(AI$127&gt;=$I55,AI$127&lt;$I55+$F55),INDEX($T55:$AI55,AI$127-$I55+1),0)</f>
        <v>0</v>
      </c>
      <c r="AJ163" s="55">
        <f t="shared" si="103"/>
        <v>0</v>
      </c>
      <c r="AK163" s="55">
        <f t="shared" si="103"/>
        <v>0</v>
      </c>
      <c r="AL163" s="55">
        <f t="shared" si="103"/>
        <v>0</v>
      </c>
      <c r="AM163" s="55">
        <f t="shared" si="103"/>
        <v>0</v>
      </c>
      <c r="AN163" s="55">
        <f t="shared" si="103"/>
        <v>0</v>
      </c>
      <c r="AO163" s="55">
        <f t="shared" si="103"/>
        <v>0</v>
      </c>
      <c r="AP163" s="55">
        <f t="shared" si="103"/>
        <v>0</v>
      </c>
      <c r="AQ163" s="55">
        <f t="shared" si="103"/>
        <v>0</v>
      </c>
      <c r="AR163" s="55">
        <f t="shared" si="103"/>
        <v>0</v>
      </c>
      <c r="AS163" s="55">
        <f t="shared" si="103"/>
        <v>0</v>
      </c>
      <c r="AT163" s="55">
        <f t="shared" si="103"/>
        <v>0</v>
      </c>
      <c r="AU163" s="55">
        <f t="shared" si="103"/>
        <v>0</v>
      </c>
      <c r="AV163" s="55">
        <f t="shared" si="103"/>
        <v>0</v>
      </c>
      <c r="AW163" s="55">
        <f t="shared" si="103"/>
        <v>0</v>
      </c>
      <c r="AX163" s="55">
        <f t="shared" si="103"/>
        <v>0</v>
      </c>
      <c r="AY163" s="55">
        <f t="shared" si="103"/>
        <v>0</v>
      </c>
      <c r="AZ163" s="55">
        <f t="shared" si="103"/>
        <v>0</v>
      </c>
      <c r="BA163" s="55">
        <f t="shared" si="103"/>
        <v>0</v>
      </c>
      <c r="BB163" s="55">
        <f t="shared" si="103"/>
        <v>0</v>
      </c>
      <c r="BC163" s="55">
        <f t="shared" si="103"/>
        <v>0</v>
      </c>
      <c r="BD163" s="55">
        <f t="shared" si="103"/>
        <v>0</v>
      </c>
      <c r="BE163" s="55">
        <f t="shared" si="103"/>
        <v>0</v>
      </c>
      <c r="BF163" s="55">
        <f t="shared" si="103"/>
        <v>0</v>
      </c>
      <c r="BG163" s="55">
        <f t="shared" si="103"/>
        <v>0</v>
      </c>
      <c r="BH163" s="55">
        <f t="shared" si="103"/>
        <v>0</v>
      </c>
      <c r="BI163" s="55">
        <f t="shared" si="103"/>
        <v>0</v>
      </c>
      <c r="BJ163" s="55">
        <f t="shared" si="103"/>
        <v>0</v>
      </c>
    </row>
    <row r="164" spans="1:62" x14ac:dyDescent="0.3">
      <c r="A164" s="53" t="str">
        <f t="shared" ref="A164:A195" si="104">A56</f>
        <v>project 56</v>
      </c>
      <c r="C164" s="55">
        <f t="shared" ref="C164:AH164" si="105">IF(AND(C$127&gt;=$I56,C$127&lt;$I56+$F56),INDEX($T56:$AI56,C$127-$I56+1),0)</f>
        <v>5.3249999999999999E-2</v>
      </c>
      <c r="D164" s="55">
        <f t="shared" si="105"/>
        <v>0</v>
      </c>
      <c r="E164" s="55">
        <f t="shared" si="105"/>
        <v>0</v>
      </c>
      <c r="F164" s="55">
        <f t="shared" si="105"/>
        <v>0</v>
      </c>
      <c r="G164" s="55">
        <f t="shared" si="105"/>
        <v>0</v>
      </c>
      <c r="H164" s="55">
        <f t="shared" si="105"/>
        <v>0</v>
      </c>
      <c r="I164" s="55">
        <f t="shared" si="105"/>
        <v>0</v>
      </c>
      <c r="J164" s="55">
        <f t="shared" si="105"/>
        <v>0</v>
      </c>
      <c r="K164" s="55">
        <f t="shared" si="105"/>
        <v>0</v>
      </c>
      <c r="L164" s="55">
        <f t="shared" si="105"/>
        <v>0</v>
      </c>
      <c r="M164" s="55">
        <f t="shared" si="105"/>
        <v>0</v>
      </c>
      <c r="N164" s="55">
        <f t="shared" si="105"/>
        <v>0</v>
      </c>
      <c r="O164" s="55">
        <f t="shared" si="105"/>
        <v>0</v>
      </c>
      <c r="P164" s="55">
        <f t="shared" si="105"/>
        <v>0</v>
      </c>
      <c r="Q164" s="55">
        <f t="shared" si="105"/>
        <v>0</v>
      </c>
      <c r="R164" s="55">
        <f t="shared" si="105"/>
        <v>0</v>
      </c>
      <c r="S164" s="55">
        <f t="shared" si="105"/>
        <v>0</v>
      </c>
      <c r="T164" s="55">
        <f t="shared" si="105"/>
        <v>0</v>
      </c>
      <c r="U164" s="55">
        <f t="shared" si="105"/>
        <v>0</v>
      </c>
      <c r="V164" s="55">
        <f t="shared" si="105"/>
        <v>0</v>
      </c>
      <c r="W164" s="55">
        <f t="shared" si="105"/>
        <v>0</v>
      </c>
      <c r="X164" s="55">
        <f t="shared" si="105"/>
        <v>0</v>
      </c>
      <c r="Y164" s="55">
        <f t="shared" si="105"/>
        <v>0</v>
      </c>
      <c r="Z164" s="55">
        <f t="shared" si="105"/>
        <v>0</v>
      </c>
      <c r="AA164" s="55">
        <f t="shared" si="105"/>
        <v>0</v>
      </c>
      <c r="AB164" s="55">
        <f t="shared" si="105"/>
        <v>0</v>
      </c>
      <c r="AC164" s="55">
        <f t="shared" si="105"/>
        <v>0</v>
      </c>
      <c r="AD164" s="55">
        <f t="shared" si="105"/>
        <v>0</v>
      </c>
      <c r="AE164" s="55">
        <f t="shared" si="105"/>
        <v>0</v>
      </c>
      <c r="AF164" s="55">
        <f t="shared" si="105"/>
        <v>0</v>
      </c>
      <c r="AG164" s="55">
        <f t="shared" si="105"/>
        <v>0</v>
      </c>
      <c r="AH164" s="55">
        <f t="shared" si="105"/>
        <v>0</v>
      </c>
      <c r="AI164" s="55">
        <f t="shared" ref="AI164:BJ164" si="106">IF(AND(AI$127&gt;=$I56,AI$127&lt;$I56+$F56),INDEX($T56:$AI56,AI$127-$I56+1),0)</f>
        <v>0</v>
      </c>
      <c r="AJ164" s="55">
        <f t="shared" si="106"/>
        <v>0</v>
      </c>
      <c r="AK164" s="55">
        <f t="shared" si="106"/>
        <v>0</v>
      </c>
      <c r="AL164" s="55">
        <f t="shared" si="106"/>
        <v>0</v>
      </c>
      <c r="AM164" s="55">
        <f t="shared" si="106"/>
        <v>0</v>
      </c>
      <c r="AN164" s="55">
        <f t="shared" si="106"/>
        <v>0</v>
      </c>
      <c r="AO164" s="55">
        <f t="shared" si="106"/>
        <v>0</v>
      </c>
      <c r="AP164" s="55">
        <f t="shared" si="106"/>
        <v>0</v>
      </c>
      <c r="AQ164" s="55">
        <f t="shared" si="106"/>
        <v>0</v>
      </c>
      <c r="AR164" s="55">
        <f t="shared" si="106"/>
        <v>0</v>
      </c>
      <c r="AS164" s="55">
        <f t="shared" si="106"/>
        <v>0</v>
      </c>
      <c r="AT164" s="55">
        <f t="shared" si="106"/>
        <v>0</v>
      </c>
      <c r="AU164" s="55">
        <f t="shared" si="106"/>
        <v>0</v>
      </c>
      <c r="AV164" s="55">
        <f t="shared" si="106"/>
        <v>0</v>
      </c>
      <c r="AW164" s="55">
        <f t="shared" si="106"/>
        <v>0</v>
      </c>
      <c r="AX164" s="55">
        <f t="shared" si="106"/>
        <v>0</v>
      </c>
      <c r="AY164" s="55">
        <f t="shared" si="106"/>
        <v>0</v>
      </c>
      <c r="AZ164" s="55">
        <f t="shared" si="106"/>
        <v>0</v>
      </c>
      <c r="BA164" s="55">
        <f t="shared" si="106"/>
        <v>0</v>
      </c>
      <c r="BB164" s="55">
        <f t="shared" si="106"/>
        <v>0</v>
      </c>
      <c r="BC164" s="55">
        <f t="shared" si="106"/>
        <v>0</v>
      </c>
      <c r="BD164" s="55">
        <f t="shared" si="106"/>
        <v>0</v>
      </c>
      <c r="BE164" s="55">
        <f t="shared" si="106"/>
        <v>0</v>
      </c>
      <c r="BF164" s="55">
        <f t="shared" si="106"/>
        <v>0</v>
      </c>
      <c r="BG164" s="55">
        <f t="shared" si="106"/>
        <v>0</v>
      </c>
      <c r="BH164" s="55">
        <f t="shared" si="106"/>
        <v>0</v>
      </c>
      <c r="BI164" s="55">
        <f t="shared" si="106"/>
        <v>0</v>
      </c>
      <c r="BJ164" s="55">
        <f t="shared" si="106"/>
        <v>0</v>
      </c>
    </row>
    <row r="165" spans="1:62" x14ac:dyDescent="0.3">
      <c r="A165" s="53" t="str">
        <f t="shared" si="104"/>
        <v>project 58</v>
      </c>
      <c r="C165" s="55">
        <f t="shared" ref="C165:AH165" si="107">IF(AND(C$127&gt;=$I57,C$127&lt;$I57+$F57),INDEX($T57:$AI57,C$127-$I57+1),0)</f>
        <v>0</v>
      </c>
      <c r="D165" s="55">
        <f t="shared" si="107"/>
        <v>0</v>
      </c>
      <c r="E165" s="55">
        <f t="shared" si="107"/>
        <v>0</v>
      </c>
      <c r="F165" s="55">
        <f t="shared" si="107"/>
        <v>0</v>
      </c>
      <c r="G165" s="55">
        <f t="shared" si="107"/>
        <v>0</v>
      </c>
      <c r="H165" s="55">
        <f t="shared" si="107"/>
        <v>0</v>
      </c>
      <c r="I165" s="55">
        <f t="shared" si="107"/>
        <v>0</v>
      </c>
      <c r="J165" s="55">
        <f t="shared" si="107"/>
        <v>0</v>
      </c>
      <c r="K165" s="55">
        <f t="shared" si="107"/>
        <v>0</v>
      </c>
      <c r="L165" s="55">
        <f t="shared" si="107"/>
        <v>0</v>
      </c>
      <c r="M165" s="55">
        <f t="shared" si="107"/>
        <v>0</v>
      </c>
      <c r="N165" s="55">
        <f t="shared" si="107"/>
        <v>0</v>
      </c>
      <c r="O165" s="55">
        <f t="shared" si="107"/>
        <v>0</v>
      </c>
      <c r="P165" s="55">
        <f t="shared" si="107"/>
        <v>0.33477099999999999</v>
      </c>
      <c r="Q165" s="55">
        <f t="shared" si="107"/>
        <v>0.52254999999999996</v>
      </c>
      <c r="R165" s="55">
        <f t="shared" si="107"/>
        <v>2.9051893502499042</v>
      </c>
      <c r="S165" s="55">
        <f t="shared" si="107"/>
        <v>0.50225874663590919</v>
      </c>
      <c r="T165" s="55">
        <f t="shared" si="107"/>
        <v>0</v>
      </c>
      <c r="U165" s="55">
        <f t="shared" si="107"/>
        <v>0</v>
      </c>
      <c r="V165" s="55">
        <f t="shared" si="107"/>
        <v>0</v>
      </c>
      <c r="W165" s="55">
        <f t="shared" si="107"/>
        <v>0</v>
      </c>
      <c r="X165" s="55">
        <f t="shared" si="107"/>
        <v>0</v>
      </c>
      <c r="Y165" s="55">
        <f t="shared" si="107"/>
        <v>0</v>
      </c>
      <c r="Z165" s="55">
        <f t="shared" si="107"/>
        <v>0</v>
      </c>
      <c r="AA165" s="55">
        <f t="shared" si="107"/>
        <v>0</v>
      </c>
      <c r="AB165" s="55">
        <f t="shared" si="107"/>
        <v>0</v>
      </c>
      <c r="AC165" s="55">
        <f t="shared" si="107"/>
        <v>0</v>
      </c>
      <c r="AD165" s="55">
        <f t="shared" si="107"/>
        <v>0</v>
      </c>
      <c r="AE165" s="55">
        <f t="shared" si="107"/>
        <v>0</v>
      </c>
      <c r="AF165" s="55">
        <f t="shared" si="107"/>
        <v>0</v>
      </c>
      <c r="AG165" s="55">
        <f t="shared" si="107"/>
        <v>0</v>
      </c>
      <c r="AH165" s="55">
        <f t="shared" si="107"/>
        <v>0</v>
      </c>
      <c r="AI165" s="55">
        <f t="shared" ref="AI165:BJ165" si="108">IF(AND(AI$127&gt;=$I57,AI$127&lt;$I57+$F57),INDEX($T57:$AI57,AI$127-$I57+1),0)</f>
        <v>0</v>
      </c>
      <c r="AJ165" s="55">
        <f t="shared" si="108"/>
        <v>0</v>
      </c>
      <c r="AK165" s="55">
        <f t="shared" si="108"/>
        <v>0</v>
      </c>
      <c r="AL165" s="55">
        <f t="shared" si="108"/>
        <v>0</v>
      </c>
      <c r="AM165" s="55">
        <f t="shared" si="108"/>
        <v>0</v>
      </c>
      <c r="AN165" s="55">
        <f t="shared" si="108"/>
        <v>0</v>
      </c>
      <c r="AO165" s="55">
        <f t="shared" si="108"/>
        <v>0</v>
      </c>
      <c r="AP165" s="55">
        <f t="shared" si="108"/>
        <v>0</v>
      </c>
      <c r="AQ165" s="55">
        <f t="shared" si="108"/>
        <v>0</v>
      </c>
      <c r="AR165" s="55">
        <f t="shared" si="108"/>
        <v>0</v>
      </c>
      <c r="AS165" s="55">
        <f t="shared" si="108"/>
        <v>0</v>
      </c>
      <c r="AT165" s="55">
        <f t="shared" si="108"/>
        <v>0</v>
      </c>
      <c r="AU165" s="55">
        <f t="shared" si="108"/>
        <v>0</v>
      </c>
      <c r="AV165" s="55">
        <f t="shared" si="108"/>
        <v>0</v>
      </c>
      <c r="AW165" s="55">
        <f t="shared" si="108"/>
        <v>0</v>
      </c>
      <c r="AX165" s="55">
        <f t="shared" si="108"/>
        <v>0</v>
      </c>
      <c r="AY165" s="55">
        <f t="shared" si="108"/>
        <v>0</v>
      </c>
      <c r="AZ165" s="55">
        <f t="shared" si="108"/>
        <v>0</v>
      </c>
      <c r="BA165" s="55">
        <f t="shared" si="108"/>
        <v>0</v>
      </c>
      <c r="BB165" s="55">
        <f t="shared" si="108"/>
        <v>0</v>
      </c>
      <c r="BC165" s="55">
        <f t="shared" si="108"/>
        <v>0</v>
      </c>
      <c r="BD165" s="55">
        <f t="shared" si="108"/>
        <v>0</v>
      </c>
      <c r="BE165" s="55">
        <f t="shared" si="108"/>
        <v>0</v>
      </c>
      <c r="BF165" s="55">
        <f t="shared" si="108"/>
        <v>0</v>
      </c>
      <c r="BG165" s="55">
        <f t="shared" si="108"/>
        <v>0</v>
      </c>
      <c r="BH165" s="55">
        <f t="shared" si="108"/>
        <v>0</v>
      </c>
      <c r="BI165" s="55">
        <f t="shared" si="108"/>
        <v>0</v>
      </c>
      <c r="BJ165" s="55">
        <f t="shared" si="108"/>
        <v>0</v>
      </c>
    </row>
    <row r="166" spans="1:62" x14ac:dyDescent="0.3">
      <c r="A166" s="53" t="str">
        <f t="shared" si="104"/>
        <v>project 61</v>
      </c>
      <c r="C166" s="55">
        <f t="shared" ref="C166:AH166" si="109">IF(AND(C$127&gt;=$I58,C$127&lt;$I58+$F58),INDEX($T58:$AI58,C$127-$I58+1),0)</f>
        <v>0</v>
      </c>
      <c r="D166" s="55">
        <f t="shared" si="109"/>
        <v>0</v>
      </c>
      <c r="E166" s="55">
        <f t="shared" si="109"/>
        <v>0</v>
      </c>
      <c r="F166" s="55">
        <f t="shared" si="109"/>
        <v>0</v>
      </c>
      <c r="G166" s="55">
        <f t="shared" si="109"/>
        <v>0</v>
      </c>
      <c r="H166" s="55">
        <f t="shared" si="109"/>
        <v>0</v>
      </c>
      <c r="I166" s="55">
        <f t="shared" si="109"/>
        <v>0</v>
      </c>
      <c r="J166" s="55">
        <f t="shared" si="109"/>
        <v>0</v>
      </c>
      <c r="K166" s="55">
        <f t="shared" si="109"/>
        <v>0</v>
      </c>
      <c r="L166" s="55">
        <f t="shared" si="109"/>
        <v>0</v>
      </c>
      <c r="M166" s="55">
        <f t="shared" si="109"/>
        <v>0</v>
      </c>
      <c r="N166" s="55">
        <f t="shared" si="109"/>
        <v>0</v>
      </c>
      <c r="O166" s="55">
        <f t="shared" si="109"/>
        <v>0</v>
      </c>
      <c r="P166" s="55">
        <f t="shared" si="109"/>
        <v>0</v>
      </c>
      <c r="Q166" s="55">
        <f t="shared" si="109"/>
        <v>0</v>
      </c>
      <c r="R166" s="55">
        <f t="shared" si="109"/>
        <v>8.6989920000000005</v>
      </c>
      <c r="S166" s="55">
        <f t="shared" si="109"/>
        <v>0</v>
      </c>
      <c r="T166" s="55">
        <f t="shared" si="109"/>
        <v>0</v>
      </c>
      <c r="U166" s="55">
        <f t="shared" si="109"/>
        <v>0</v>
      </c>
      <c r="V166" s="55">
        <f t="shared" si="109"/>
        <v>0</v>
      </c>
      <c r="W166" s="55">
        <f t="shared" si="109"/>
        <v>0</v>
      </c>
      <c r="X166" s="55">
        <f t="shared" si="109"/>
        <v>0</v>
      </c>
      <c r="Y166" s="55">
        <f t="shared" si="109"/>
        <v>0</v>
      </c>
      <c r="Z166" s="55">
        <f t="shared" si="109"/>
        <v>0</v>
      </c>
      <c r="AA166" s="55">
        <f t="shared" si="109"/>
        <v>0</v>
      </c>
      <c r="AB166" s="55">
        <f t="shared" si="109"/>
        <v>0</v>
      </c>
      <c r="AC166" s="55">
        <f t="shared" si="109"/>
        <v>0</v>
      </c>
      <c r="AD166" s="55">
        <f t="shared" si="109"/>
        <v>0</v>
      </c>
      <c r="AE166" s="55">
        <f t="shared" si="109"/>
        <v>0</v>
      </c>
      <c r="AF166" s="55">
        <f t="shared" si="109"/>
        <v>0</v>
      </c>
      <c r="AG166" s="55">
        <f t="shared" si="109"/>
        <v>0</v>
      </c>
      <c r="AH166" s="55">
        <f t="shared" si="109"/>
        <v>0</v>
      </c>
      <c r="AI166" s="55">
        <f t="shared" ref="AI166:BJ166" si="110">IF(AND(AI$127&gt;=$I58,AI$127&lt;$I58+$F58),INDEX($T58:$AI58,AI$127-$I58+1),0)</f>
        <v>0</v>
      </c>
      <c r="AJ166" s="55">
        <f t="shared" si="110"/>
        <v>0</v>
      </c>
      <c r="AK166" s="55">
        <f t="shared" si="110"/>
        <v>0</v>
      </c>
      <c r="AL166" s="55">
        <f t="shared" si="110"/>
        <v>0</v>
      </c>
      <c r="AM166" s="55">
        <f t="shared" si="110"/>
        <v>0</v>
      </c>
      <c r="AN166" s="55">
        <f t="shared" si="110"/>
        <v>0</v>
      </c>
      <c r="AO166" s="55">
        <f t="shared" si="110"/>
        <v>0</v>
      </c>
      <c r="AP166" s="55">
        <f t="shared" si="110"/>
        <v>0</v>
      </c>
      <c r="AQ166" s="55">
        <f t="shared" si="110"/>
        <v>0</v>
      </c>
      <c r="AR166" s="55">
        <f t="shared" si="110"/>
        <v>0</v>
      </c>
      <c r="AS166" s="55">
        <f t="shared" si="110"/>
        <v>0</v>
      </c>
      <c r="AT166" s="55">
        <f t="shared" si="110"/>
        <v>0</v>
      </c>
      <c r="AU166" s="55">
        <f t="shared" si="110"/>
        <v>0</v>
      </c>
      <c r="AV166" s="55">
        <f t="shared" si="110"/>
        <v>0</v>
      </c>
      <c r="AW166" s="55">
        <f t="shared" si="110"/>
        <v>0</v>
      </c>
      <c r="AX166" s="55">
        <f t="shared" si="110"/>
        <v>0</v>
      </c>
      <c r="AY166" s="55">
        <f t="shared" si="110"/>
        <v>0</v>
      </c>
      <c r="AZ166" s="55">
        <f t="shared" si="110"/>
        <v>0</v>
      </c>
      <c r="BA166" s="55">
        <f t="shared" si="110"/>
        <v>0</v>
      </c>
      <c r="BB166" s="55">
        <f t="shared" si="110"/>
        <v>0</v>
      </c>
      <c r="BC166" s="55">
        <f t="shared" si="110"/>
        <v>0</v>
      </c>
      <c r="BD166" s="55">
        <f t="shared" si="110"/>
        <v>0</v>
      </c>
      <c r="BE166" s="55">
        <f t="shared" si="110"/>
        <v>0</v>
      </c>
      <c r="BF166" s="55">
        <f t="shared" si="110"/>
        <v>0</v>
      </c>
      <c r="BG166" s="55">
        <f t="shared" si="110"/>
        <v>0</v>
      </c>
      <c r="BH166" s="55">
        <f t="shared" si="110"/>
        <v>0</v>
      </c>
      <c r="BI166" s="55">
        <f t="shared" si="110"/>
        <v>0</v>
      </c>
      <c r="BJ166" s="55">
        <f t="shared" si="110"/>
        <v>0</v>
      </c>
    </row>
    <row r="167" spans="1:62" x14ac:dyDescent="0.3">
      <c r="A167" s="53" t="str">
        <f t="shared" si="104"/>
        <v>project 64</v>
      </c>
      <c r="C167" s="55">
        <f t="shared" ref="C167:AH167" si="111">IF(AND(C$127&gt;=$I59,C$127&lt;$I59+$F59),INDEX($T59:$AI59,C$127-$I59+1),0)</f>
        <v>1.9201493168394219</v>
      </c>
      <c r="D167" s="55">
        <f t="shared" si="111"/>
        <v>3.7649986604694541</v>
      </c>
      <c r="E167" s="55">
        <f t="shared" si="111"/>
        <v>0</v>
      </c>
      <c r="F167" s="55">
        <f t="shared" si="111"/>
        <v>0</v>
      </c>
      <c r="G167" s="55">
        <f t="shared" si="111"/>
        <v>0</v>
      </c>
      <c r="H167" s="55">
        <f t="shared" si="111"/>
        <v>0</v>
      </c>
      <c r="I167" s="55">
        <f t="shared" si="111"/>
        <v>0</v>
      </c>
      <c r="J167" s="55">
        <f t="shared" si="111"/>
        <v>0</v>
      </c>
      <c r="K167" s="55">
        <f t="shared" si="111"/>
        <v>0</v>
      </c>
      <c r="L167" s="55">
        <f t="shared" si="111"/>
        <v>0</v>
      </c>
      <c r="M167" s="55">
        <f t="shared" si="111"/>
        <v>0</v>
      </c>
      <c r="N167" s="55">
        <f t="shared" si="111"/>
        <v>0</v>
      </c>
      <c r="O167" s="55">
        <f t="shared" si="111"/>
        <v>0</v>
      </c>
      <c r="P167" s="55">
        <f t="shared" si="111"/>
        <v>0</v>
      </c>
      <c r="Q167" s="55">
        <f t="shared" si="111"/>
        <v>0</v>
      </c>
      <c r="R167" s="55">
        <f t="shared" si="111"/>
        <v>0</v>
      </c>
      <c r="S167" s="55">
        <f t="shared" si="111"/>
        <v>0</v>
      </c>
      <c r="T167" s="55">
        <f t="shared" si="111"/>
        <v>0</v>
      </c>
      <c r="U167" s="55">
        <f t="shared" si="111"/>
        <v>0</v>
      </c>
      <c r="V167" s="55">
        <f t="shared" si="111"/>
        <v>0</v>
      </c>
      <c r="W167" s="55">
        <f t="shared" si="111"/>
        <v>0</v>
      </c>
      <c r="X167" s="55">
        <f t="shared" si="111"/>
        <v>0</v>
      </c>
      <c r="Y167" s="55">
        <f t="shared" si="111"/>
        <v>0</v>
      </c>
      <c r="Z167" s="55">
        <f t="shared" si="111"/>
        <v>0</v>
      </c>
      <c r="AA167" s="55">
        <f t="shared" si="111"/>
        <v>0</v>
      </c>
      <c r="AB167" s="55">
        <f t="shared" si="111"/>
        <v>0</v>
      </c>
      <c r="AC167" s="55">
        <f t="shared" si="111"/>
        <v>0</v>
      </c>
      <c r="AD167" s="55">
        <f t="shared" si="111"/>
        <v>0</v>
      </c>
      <c r="AE167" s="55">
        <f t="shared" si="111"/>
        <v>0</v>
      </c>
      <c r="AF167" s="55">
        <f t="shared" si="111"/>
        <v>0</v>
      </c>
      <c r="AG167" s="55">
        <f t="shared" si="111"/>
        <v>0</v>
      </c>
      <c r="AH167" s="55">
        <f t="shared" si="111"/>
        <v>0</v>
      </c>
      <c r="AI167" s="55">
        <f t="shared" ref="AI167:BJ167" si="112">IF(AND(AI$127&gt;=$I59,AI$127&lt;$I59+$F59),INDEX($T59:$AI59,AI$127-$I59+1),0)</f>
        <v>0</v>
      </c>
      <c r="AJ167" s="55">
        <f t="shared" si="112"/>
        <v>0</v>
      </c>
      <c r="AK167" s="55">
        <f t="shared" si="112"/>
        <v>0</v>
      </c>
      <c r="AL167" s="55">
        <f t="shared" si="112"/>
        <v>0</v>
      </c>
      <c r="AM167" s="55">
        <f t="shared" si="112"/>
        <v>0</v>
      </c>
      <c r="AN167" s="55">
        <f t="shared" si="112"/>
        <v>0</v>
      </c>
      <c r="AO167" s="55">
        <f t="shared" si="112"/>
        <v>0</v>
      </c>
      <c r="AP167" s="55">
        <f t="shared" si="112"/>
        <v>0</v>
      </c>
      <c r="AQ167" s="55">
        <f t="shared" si="112"/>
        <v>0</v>
      </c>
      <c r="AR167" s="55">
        <f t="shared" si="112"/>
        <v>0</v>
      </c>
      <c r="AS167" s="55">
        <f t="shared" si="112"/>
        <v>0</v>
      </c>
      <c r="AT167" s="55">
        <f t="shared" si="112"/>
        <v>0</v>
      </c>
      <c r="AU167" s="55">
        <f t="shared" si="112"/>
        <v>0</v>
      </c>
      <c r="AV167" s="55">
        <f t="shared" si="112"/>
        <v>0</v>
      </c>
      <c r="AW167" s="55">
        <f t="shared" si="112"/>
        <v>0</v>
      </c>
      <c r="AX167" s="55">
        <f t="shared" si="112"/>
        <v>0</v>
      </c>
      <c r="AY167" s="55">
        <f t="shared" si="112"/>
        <v>0</v>
      </c>
      <c r="AZ167" s="55">
        <f t="shared" si="112"/>
        <v>0</v>
      </c>
      <c r="BA167" s="55">
        <f t="shared" si="112"/>
        <v>0</v>
      </c>
      <c r="BB167" s="55">
        <f t="shared" si="112"/>
        <v>0</v>
      </c>
      <c r="BC167" s="55">
        <f t="shared" si="112"/>
        <v>0</v>
      </c>
      <c r="BD167" s="55">
        <f t="shared" si="112"/>
        <v>0</v>
      </c>
      <c r="BE167" s="55">
        <f t="shared" si="112"/>
        <v>0</v>
      </c>
      <c r="BF167" s="55">
        <f t="shared" si="112"/>
        <v>0</v>
      </c>
      <c r="BG167" s="55">
        <f t="shared" si="112"/>
        <v>0</v>
      </c>
      <c r="BH167" s="55">
        <f t="shared" si="112"/>
        <v>0</v>
      </c>
      <c r="BI167" s="55">
        <f t="shared" si="112"/>
        <v>0</v>
      </c>
      <c r="BJ167" s="55">
        <f t="shared" si="112"/>
        <v>0</v>
      </c>
    </row>
    <row r="168" spans="1:62" x14ac:dyDescent="0.3">
      <c r="A168" s="53" t="str">
        <f t="shared" si="104"/>
        <v>project 74</v>
      </c>
      <c r="C168" s="55">
        <f t="shared" ref="C168:AH168" si="113">IF(AND(C$127&gt;=$I60,C$127&lt;$I60+$F60),INDEX($T60:$AI60,C$127-$I60+1),0)</f>
        <v>0</v>
      </c>
      <c r="D168" s="55">
        <f t="shared" si="113"/>
        <v>0</v>
      </c>
      <c r="E168" s="55">
        <f t="shared" si="113"/>
        <v>0</v>
      </c>
      <c r="F168" s="55">
        <f t="shared" si="113"/>
        <v>0</v>
      </c>
      <c r="G168" s="55">
        <f t="shared" si="113"/>
        <v>0</v>
      </c>
      <c r="H168" s="55">
        <f t="shared" si="113"/>
        <v>0</v>
      </c>
      <c r="I168" s="55">
        <f t="shared" si="113"/>
        <v>0</v>
      </c>
      <c r="J168" s="55">
        <f t="shared" si="113"/>
        <v>0</v>
      </c>
      <c r="K168" s="55">
        <f t="shared" si="113"/>
        <v>0</v>
      </c>
      <c r="L168" s="55">
        <f t="shared" si="113"/>
        <v>0</v>
      </c>
      <c r="M168" s="55">
        <f t="shared" si="113"/>
        <v>0</v>
      </c>
      <c r="N168" s="55">
        <f t="shared" si="113"/>
        <v>0</v>
      </c>
      <c r="O168" s="55">
        <f t="shared" si="113"/>
        <v>0</v>
      </c>
      <c r="P168" s="55">
        <f t="shared" si="113"/>
        <v>0</v>
      </c>
      <c r="Q168" s="55">
        <f t="shared" si="113"/>
        <v>10.022251000000001</v>
      </c>
      <c r="R168" s="55">
        <f t="shared" si="113"/>
        <v>10.341873529411769</v>
      </c>
      <c r="S168" s="55">
        <f t="shared" si="113"/>
        <v>14.70262014609766</v>
      </c>
      <c r="T168" s="55">
        <f t="shared" si="113"/>
        <v>15.581077413664429</v>
      </c>
      <c r="U168" s="55">
        <f t="shared" si="113"/>
        <v>1.6392408370423881</v>
      </c>
      <c r="V168" s="55">
        <f t="shared" si="113"/>
        <v>0</v>
      </c>
      <c r="W168" s="55">
        <f t="shared" si="113"/>
        <v>0</v>
      </c>
      <c r="X168" s="55">
        <f t="shared" si="113"/>
        <v>0</v>
      </c>
      <c r="Y168" s="55">
        <f t="shared" si="113"/>
        <v>0</v>
      </c>
      <c r="Z168" s="55">
        <f t="shared" si="113"/>
        <v>0</v>
      </c>
      <c r="AA168" s="55">
        <f t="shared" si="113"/>
        <v>0</v>
      </c>
      <c r="AB168" s="55">
        <f t="shared" si="113"/>
        <v>0</v>
      </c>
      <c r="AC168" s="55">
        <f t="shared" si="113"/>
        <v>0</v>
      </c>
      <c r="AD168" s="55">
        <f t="shared" si="113"/>
        <v>0</v>
      </c>
      <c r="AE168" s="55">
        <f t="shared" si="113"/>
        <v>0</v>
      </c>
      <c r="AF168" s="55">
        <f t="shared" si="113"/>
        <v>0</v>
      </c>
      <c r="AG168" s="55">
        <f t="shared" si="113"/>
        <v>0</v>
      </c>
      <c r="AH168" s="55">
        <f t="shared" si="113"/>
        <v>0</v>
      </c>
      <c r="AI168" s="55">
        <f t="shared" ref="AI168:BJ168" si="114">IF(AND(AI$127&gt;=$I60,AI$127&lt;$I60+$F60),INDEX($T60:$AI60,AI$127-$I60+1),0)</f>
        <v>0</v>
      </c>
      <c r="AJ168" s="55">
        <f t="shared" si="114"/>
        <v>0</v>
      </c>
      <c r="AK168" s="55">
        <f t="shared" si="114"/>
        <v>0</v>
      </c>
      <c r="AL168" s="55">
        <f t="shared" si="114"/>
        <v>0</v>
      </c>
      <c r="AM168" s="55">
        <f t="shared" si="114"/>
        <v>0</v>
      </c>
      <c r="AN168" s="55">
        <f t="shared" si="114"/>
        <v>0</v>
      </c>
      <c r="AO168" s="55">
        <f t="shared" si="114"/>
        <v>0</v>
      </c>
      <c r="AP168" s="55">
        <f t="shared" si="114"/>
        <v>0</v>
      </c>
      <c r="AQ168" s="55">
        <f t="shared" si="114"/>
        <v>0</v>
      </c>
      <c r="AR168" s="55">
        <f t="shared" si="114"/>
        <v>0</v>
      </c>
      <c r="AS168" s="55">
        <f t="shared" si="114"/>
        <v>0</v>
      </c>
      <c r="AT168" s="55">
        <f t="shared" si="114"/>
        <v>0</v>
      </c>
      <c r="AU168" s="55">
        <f t="shared" si="114"/>
        <v>0</v>
      </c>
      <c r="AV168" s="55">
        <f t="shared" si="114"/>
        <v>0</v>
      </c>
      <c r="AW168" s="55">
        <f t="shared" si="114"/>
        <v>0</v>
      </c>
      <c r="AX168" s="55">
        <f t="shared" si="114"/>
        <v>0</v>
      </c>
      <c r="AY168" s="55">
        <f t="shared" si="114"/>
        <v>0</v>
      </c>
      <c r="AZ168" s="55">
        <f t="shared" si="114"/>
        <v>0</v>
      </c>
      <c r="BA168" s="55">
        <f t="shared" si="114"/>
        <v>0</v>
      </c>
      <c r="BB168" s="55">
        <f t="shared" si="114"/>
        <v>0</v>
      </c>
      <c r="BC168" s="55">
        <f t="shared" si="114"/>
        <v>0</v>
      </c>
      <c r="BD168" s="55">
        <f t="shared" si="114"/>
        <v>0</v>
      </c>
      <c r="BE168" s="55">
        <f t="shared" si="114"/>
        <v>0</v>
      </c>
      <c r="BF168" s="55">
        <f t="shared" si="114"/>
        <v>0</v>
      </c>
      <c r="BG168" s="55">
        <f t="shared" si="114"/>
        <v>0</v>
      </c>
      <c r="BH168" s="55">
        <f t="shared" si="114"/>
        <v>0</v>
      </c>
      <c r="BI168" s="55">
        <f t="shared" si="114"/>
        <v>0</v>
      </c>
      <c r="BJ168" s="55">
        <f t="shared" si="114"/>
        <v>0</v>
      </c>
    </row>
    <row r="169" spans="1:62" x14ac:dyDescent="0.3">
      <c r="A169" s="53" t="str">
        <f t="shared" si="104"/>
        <v>project 75</v>
      </c>
      <c r="C169" s="55">
        <f t="shared" ref="C169:AH169" si="115">IF(AND(C$127&gt;=$I61,C$127&lt;$I61+$F61),INDEX($T61:$AI61,C$127-$I61+1),0)</f>
        <v>0</v>
      </c>
      <c r="D169" s="55">
        <f t="shared" si="115"/>
        <v>0</v>
      </c>
      <c r="E169" s="55">
        <f t="shared" si="115"/>
        <v>0</v>
      </c>
      <c r="F169" s="55">
        <f t="shared" si="115"/>
        <v>1.365196078431373</v>
      </c>
      <c r="G169" s="55">
        <f t="shared" si="115"/>
        <v>1.338427527873894</v>
      </c>
      <c r="H169" s="55">
        <f t="shared" si="115"/>
        <v>1.3121838508567589</v>
      </c>
      <c r="I169" s="55">
        <f t="shared" si="115"/>
        <v>1.286454755741921</v>
      </c>
      <c r="J169" s="55">
        <f t="shared" si="115"/>
        <v>1.261230152688158</v>
      </c>
      <c r="K169" s="55">
        <f t="shared" si="115"/>
        <v>1.236500149694272</v>
      </c>
      <c r="L169" s="55">
        <f t="shared" si="115"/>
        <v>1.2122550487198751</v>
      </c>
      <c r="M169" s="55">
        <f t="shared" si="115"/>
        <v>1.1884853418822301</v>
      </c>
      <c r="N169" s="55">
        <f t="shared" si="115"/>
        <v>1.165181707727676</v>
      </c>
      <c r="O169" s="55">
        <f t="shared" si="115"/>
        <v>1.142335007576154</v>
      </c>
      <c r="P169" s="55">
        <f t="shared" si="115"/>
        <v>1.119936281937405</v>
      </c>
      <c r="Q169" s="55">
        <f t="shared" si="115"/>
        <v>1.097976746997456</v>
      </c>
      <c r="R169" s="55">
        <f t="shared" si="115"/>
        <v>1.0764477911739769</v>
      </c>
      <c r="S169" s="55">
        <f t="shared" si="115"/>
        <v>1.0553409717391931</v>
      </c>
      <c r="T169" s="55">
        <f t="shared" si="115"/>
        <v>1.0346480115090131</v>
      </c>
      <c r="U169" s="55">
        <f t="shared" si="115"/>
        <v>1.014360795597071</v>
      </c>
      <c r="V169" s="55">
        <f t="shared" si="115"/>
        <v>0</v>
      </c>
      <c r="W169" s="55">
        <f t="shared" si="115"/>
        <v>0</v>
      </c>
      <c r="X169" s="55">
        <f t="shared" si="115"/>
        <v>0</v>
      </c>
      <c r="Y169" s="55">
        <f t="shared" si="115"/>
        <v>0</v>
      </c>
      <c r="Z169" s="55">
        <f t="shared" si="115"/>
        <v>0</v>
      </c>
      <c r="AA169" s="55">
        <f t="shared" si="115"/>
        <v>0</v>
      </c>
      <c r="AB169" s="55">
        <f t="shared" si="115"/>
        <v>0</v>
      </c>
      <c r="AC169" s="55">
        <f t="shared" si="115"/>
        <v>0</v>
      </c>
      <c r="AD169" s="55">
        <f t="shared" si="115"/>
        <v>0</v>
      </c>
      <c r="AE169" s="55">
        <f t="shared" si="115"/>
        <v>0</v>
      </c>
      <c r="AF169" s="55">
        <f t="shared" si="115"/>
        <v>0</v>
      </c>
      <c r="AG169" s="55">
        <f t="shared" si="115"/>
        <v>0</v>
      </c>
      <c r="AH169" s="55">
        <f t="shared" si="115"/>
        <v>0</v>
      </c>
      <c r="AI169" s="55">
        <f t="shared" ref="AI169:BJ169" si="116">IF(AND(AI$127&gt;=$I61,AI$127&lt;$I61+$F61),INDEX($T61:$AI61,AI$127-$I61+1),0)</f>
        <v>0</v>
      </c>
      <c r="AJ169" s="55">
        <f t="shared" si="116"/>
        <v>0</v>
      </c>
      <c r="AK169" s="55">
        <f t="shared" si="116"/>
        <v>0</v>
      </c>
      <c r="AL169" s="55">
        <f t="shared" si="116"/>
        <v>0</v>
      </c>
      <c r="AM169" s="55">
        <f t="shared" si="116"/>
        <v>0</v>
      </c>
      <c r="AN169" s="55">
        <f t="shared" si="116"/>
        <v>0</v>
      </c>
      <c r="AO169" s="55">
        <f t="shared" si="116"/>
        <v>0</v>
      </c>
      <c r="AP169" s="55">
        <f t="shared" si="116"/>
        <v>0</v>
      </c>
      <c r="AQ169" s="55">
        <f t="shared" si="116"/>
        <v>0</v>
      </c>
      <c r="AR169" s="55">
        <f t="shared" si="116"/>
        <v>0</v>
      </c>
      <c r="AS169" s="55">
        <f t="shared" si="116"/>
        <v>0</v>
      </c>
      <c r="AT169" s="55">
        <f t="shared" si="116"/>
        <v>0</v>
      </c>
      <c r="AU169" s="55">
        <f t="shared" si="116"/>
        <v>0</v>
      </c>
      <c r="AV169" s="55">
        <f t="shared" si="116"/>
        <v>0</v>
      </c>
      <c r="AW169" s="55">
        <f t="shared" si="116"/>
        <v>0</v>
      </c>
      <c r="AX169" s="55">
        <f t="shared" si="116"/>
        <v>0</v>
      </c>
      <c r="AY169" s="55">
        <f t="shared" si="116"/>
        <v>0</v>
      </c>
      <c r="AZ169" s="55">
        <f t="shared" si="116"/>
        <v>0</v>
      </c>
      <c r="BA169" s="55">
        <f t="shared" si="116"/>
        <v>0</v>
      </c>
      <c r="BB169" s="55">
        <f t="shared" si="116"/>
        <v>0</v>
      </c>
      <c r="BC169" s="55">
        <f t="shared" si="116"/>
        <v>0</v>
      </c>
      <c r="BD169" s="55">
        <f t="shared" si="116"/>
        <v>0</v>
      </c>
      <c r="BE169" s="55">
        <f t="shared" si="116"/>
        <v>0</v>
      </c>
      <c r="BF169" s="55">
        <f t="shared" si="116"/>
        <v>0</v>
      </c>
      <c r="BG169" s="55">
        <f t="shared" si="116"/>
        <v>0</v>
      </c>
      <c r="BH169" s="55">
        <f t="shared" si="116"/>
        <v>0</v>
      </c>
      <c r="BI169" s="55">
        <f t="shared" si="116"/>
        <v>0</v>
      </c>
      <c r="BJ169" s="55">
        <f t="shared" si="116"/>
        <v>0</v>
      </c>
    </row>
    <row r="170" spans="1:62" x14ac:dyDescent="0.3">
      <c r="A170" s="53" t="str">
        <f t="shared" si="104"/>
        <v>project 77</v>
      </c>
      <c r="C170" s="55">
        <f t="shared" ref="C170:AH170" si="117">IF(AND(C$127&gt;=$I62,C$127&lt;$I62+$F62),INDEX($T62:$AI62,C$127-$I62+1),0)</f>
        <v>0</v>
      </c>
      <c r="D170" s="55">
        <f t="shared" si="117"/>
        <v>0</v>
      </c>
      <c r="E170" s="55">
        <f t="shared" si="117"/>
        <v>0</v>
      </c>
      <c r="F170" s="55">
        <f t="shared" si="117"/>
        <v>0</v>
      </c>
      <c r="G170" s="55">
        <f t="shared" si="117"/>
        <v>0</v>
      </c>
      <c r="H170" s="55">
        <f t="shared" si="117"/>
        <v>6.3222E-2</v>
      </c>
      <c r="I170" s="55">
        <f t="shared" si="117"/>
        <v>0</v>
      </c>
      <c r="J170" s="55">
        <f t="shared" si="117"/>
        <v>0</v>
      </c>
      <c r="K170" s="55">
        <f t="shared" si="117"/>
        <v>0</v>
      </c>
      <c r="L170" s="55">
        <f t="shared" si="117"/>
        <v>0</v>
      </c>
      <c r="M170" s="55">
        <f t="shared" si="117"/>
        <v>0</v>
      </c>
      <c r="N170" s="55">
        <f t="shared" si="117"/>
        <v>0</v>
      </c>
      <c r="O170" s="55">
        <f t="shared" si="117"/>
        <v>0</v>
      </c>
      <c r="P170" s="55">
        <f t="shared" si="117"/>
        <v>0</v>
      </c>
      <c r="Q170" s="55">
        <f t="shared" si="117"/>
        <v>0</v>
      </c>
      <c r="R170" s="55">
        <f t="shared" si="117"/>
        <v>0</v>
      </c>
      <c r="S170" s="55">
        <f t="shared" si="117"/>
        <v>0</v>
      </c>
      <c r="T170" s="55">
        <f t="shared" si="117"/>
        <v>0</v>
      </c>
      <c r="U170" s="55">
        <f t="shared" si="117"/>
        <v>0</v>
      </c>
      <c r="V170" s="55">
        <f t="shared" si="117"/>
        <v>0</v>
      </c>
      <c r="W170" s="55">
        <f t="shared" si="117"/>
        <v>0</v>
      </c>
      <c r="X170" s="55">
        <f t="shared" si="117"/>
        <v>0</v>
      </c>
      <c r="Y170" s="55">
        <f t="shared" si="117"/>
        <v>0</v>
      </c>
      <c r="Z170" s="55">
        <f t="shared" si="117"/>
        <v>0</v>
      </c>
      <c r="AA170" s="55">
        <f t="shared" si="117"/>
        <v>0</v>
      </c>
      <c r="AB170" s="55">
        <f t="shared" si="117"/>
        <v>0</v>
      </c>
      <c r="AC170" s="55">
        <f t="shared" si="117"/>
        <v>0</v>
      </c>
      <c r="AD170" s="55">
        <f t="shared" si="117"/>
        <v>0</v>
      </c>
      <c r="AE170" s="55">
        <f t="shared" si="117"/>
        <v>0</v>
      </c>
      <c r="AF170" s="55">
        <f t="shared" si="117"/>
        <v>0</v>
      </c>
      <c r="AG170" s="55">
        <f t="shared" si="117"/>
        <v>0</v>
      </c>
      <c r="AH170" s="55">
        <f t="shared" si="117"/>
        <v>0</v>
      </c>
      <c r="AI170" s="55">
        <f t="shared" ref="AI170:BJ170" si="118">IF(AND(AI$127&gt;=$I62,AI$127&lt;$I62+$F62),INDEX($T62:$AI62,AI$127-$I62+1),0)</f>
        <v>0</v>
      </c>
      <c r="AJ170" s="55">
        <f t="shared" si="118"/>
        <v>0</v>
      </c>
      <c r="AK170" s="55">
        <f t="shared" si="118"/>
        <v>0</v>
      </c>
      <c r="AL170" s="55">
        <f t="shared" si="118"/>
        <v>0</v>
      </c>
      <c r="AM170" s="55">
        <f t="shared" si="118"/>
        <v>0</v>
      </c>
      <c r="AN170" s="55">
        <f t="shared" si="118"/>
        <v>0</v>
      </c>
      <c r="AO170" s="55">
        <f t="shared" si="118"/>
        <v>0</v>
      </c>
      <c r="AP170" s="55">
        <f t="shared" si="118"/>
        <v>0</v>
      </c>
      <c r="AQ170" s="55">
        <f t="shared" si="118"/>
        <v>0</v>
      </c>
      <c r="AR170" s="55">
        <f t="shared" si="118"/>
        <v>0</v>
      </c>
      <c r="AS170" s="55">
        <f t="shared" si="118"/>
        <v>0</v>
      </c>
      <c r="AT170" s="55">
        <f t="shared" si="118"/>
        <v>0</v>
      </c>
      <c r="AU170" s="55">
        <f t="shared" si="118"/>
        <v>0</v>
      </c>
      <c r="AV170" s="55">
        <f t="shared" si="118"/>
        <v>0</v>
      </c>
      <c r="AW170" s="55">
        <f t="shared" si="118"/>
        <v>0</v>
      </c>
      <c r="AX170" s="55">
        <f t="shared" si="118"/>
        <v>0</v>
      </c>
      <c r="AY170" s="55">
        <f t="shared" si="118"/>
        <v>0</v>
      </c>
      <c r="AZ170" s="55">
        <f t="shared" si="118"/>
        <v>0</v>
      </c>
      <c r="BA170" s="55">
        <f t="shared" si="118"/>
        <v>0</v>
      </c>
      <c r="BB170" s="55">
        <f t="shared" si="118"/>
        <v>0</v>
      </c>
      <c r="BC170" s="55">
        <f t="shared" si="118"/>
        <v>0</v>
      </c>
      <c r="BD170" s="55">
        <f t="shared" si="118"/>
        <v>0</v>
      </c>
      <c r="BE170" s="55">
        <f t="shared" si="118"/>
        <v>0</v>
      </c>
      <c r="BF170" s="55">
        <f t="shared" si="118"/>
        <v>0</v>
      </c>
      <c r="BG170" s="55">
        <f t="shared" si="118"/>
        <v>0</v>
      </c>
      <c r="BH170" s="55">
        <f t="shared" si="118"/>
        <v>0</v>
      </c>
      <c r="BI170" s="55">
        <f t="shared" si="118"/>
        <v>0</v>
      </c>
      <c r="BJ170" s="55">
        <f t="shared" si="118"/>
        <v>0</v>
      </c>
    </row>
    <row r="171" spans="1:62" x14ac:dyDescent="0.3">
      <c r="A171" s="53" t="str">
        <f t="shared" si="104"/>
        <v>project 78</v>
      </c>
      <c r="C171" s="55">
        <f t="shared" ref="C171:AH171" si="119">IF(AND(C$127&gt;=$I63,C$127&lt;$I63+$F63),INDEX($T63:$AI63,C$127-$I63+1),0)</f>
        <v>0</v>
      </c>
      <c r="D171" s="55">
        <f t="shared" si="119"/>
        <v>0</v>
      </c>
      <c r="E171" s="55">
        <f t="shared" si="119"/>
        <v>0</v>
      </c>
      <c r="F171" s="55">
        <f t="shared" si="119"/>
        <v>0</v>
      </c>
      <c r="G171" s="55">
        <f t="shared" si="119"/>
        <v>0</v>
      </c>
      <c r="H171" s="55">
        <f t="shared" si="119"/>
        <v>0</v>
      </c>
      <c r="I171" s="55">
        <f t="shared" si="119"/>
        <v>2.6953499999999999</v>
      </c>
      <c r="J171" s="55">
        <f t="shared" si="119"/>
        <v>13.2125</v>
      </c>
      <c r="K171" s="55">
        <f t="shared" si="119"/>
        <v>63.196341791618607</v>
      </c>
      <c r="L171" s="55">
        <f t="shared" si="119"/>
        <v>0</v>
      </c>
      <c r="M171" s="55">
        <f t="shared" si="119"/>
        <v>0</v>
      </c>
      <c r="N171" s="55">
        <f t="shared" si="119"/>
        <v>0</v>
      </c>
      <c r="O171" s="55">
        <f t="shared" si="119"/>
        <v>0</v>
      </c>
      <c r="P171" s="55">
        <f t="shared" si="119"/>
        <v>0</v>
      </c>
      <c r="Q171" s="55">
        <f t="shared" si="119"/>
        <v>0</v>
      </c>
      <c r="R171" s="55">
        <f t="shared" si="119"/>
        <v>0</v>
      </c>
      <c r="S171" s="55">
        <f t="shared" si="119"/>
        <v>0</v>
      </c>
      <c r="T171" s="55">
        <f t="shared" si="119"/>
        <v>0</v>
      </c>
      <c r="U171" s="55">
        <f t="shared" si="119"/>
        <v>0</v>
      </c>
      <c r="V171" s="55">
        <f t="shared" si="119"/>
        <v>0</v>
      </c>
      <c r="W171" s="55">
        <f t="shared" si="119"/>
        <v>0</v>
      </c>
      <c r="X171" s="55">
        <f t="shared" si="119"/>
        <v>0</v>
      </c>
      <c r="Y171" s="55">
        <f t="shared" si="119"/>
        <v>0</v>
      </c>
      <c r="Z171" s="55">
        <f t="shared" si="119"/>
        <v>0</v>
      </c>
      <c r="AA171" s="55">
        <f t="shared" si="119"/>
        <v>0</v>
      </c>
      <c r="AB171" s="55">
        <f t="shared" si="119"/>
        <v>0</v>
      </c>
      <c r="AC171" s="55">
        <f t="shared" si="119"/>
        <v>0</v>
      </c>
      <c r="AD171" s="55">
        <f t="shared" si="119"/>
        <v>0</v>
      </c>
      <c r="AE171" s="55">
        <f t="shared" si="119"/>
        <v>0</v>
      </c>
      <c r="AF171" s="55">
        <f t="shared" si="119"/>
        <v>0</v>
      </c>
      <c r="AG171" s="55">
        <f t="shared" si="119"/>
        <v>0</v>
      </c>
      <c r="AH171" s="55">
        <f t="shared" si="119"/>
        <v>0</v>
      </c>
      <c r="AI171" s="55">
        <f t="shared" ref="AI171:BJ171" si="120">IF(AND(AI$127&gt;=$I63,AI$127&lt;$I63+$F63),INDEX($T63:$AI63,AI$127-$I63+1),0)</f>
        <v>0</v>
      </c>
      <c r="AJ171" s="55">
        <f t="shared" si="120"/>
        <v>0</v>
      </c>
      <c r="AK171" s="55">
        <f t="shared" si="120"/>
        <v>0</v>
      </c>
      <c r="AL171" s="55">
        <f t="shared" si="120"/>
        <v>0</v>
      </c>
      <c r="AM171" s="55">
        <f t="shared" si="120"/>
        <v>0</v>
      </c>
      <c r="AN171" s="55">
        <f t="shared" si="120"/>
        <v>0</v>
      </c>
      <c r="AO171" s="55">
        <f t="shared" si="120"/>
        <v>0</v>
      </c>
      <c r="AP171" s="55">
        <f t="shared" si="120"/>
        <v>0</v>
      </c>
      <c r="AQ171" s="55">
        <f t="shared" si="120"/>
        <v>0</v>
      </c>
      <c r="AR171" s="55">
        <f t="shared" si="120"/>
        <v>0</v>
      </c>
      <c r="AS171" s="55">
        <f t="shared" si="120"/>
        <v>0</v>
      </c>
      <c r="AT171" s="55">
        <f t="shared" si="120"/>
        <v>0</v>
      </c>
      <c r="AU171" s="55">
        <f t="shared" si="120"/>
        <v>0</v>
      </c>
      <c r="AV171" s="55">
        <f t="shared" si="120"/>
        <v>0</v>
      </c>
      <c r="AW171" s="55">
        <f t="shared" si="120"/>
        <v>0</v>
      </c>
      <c r="AX171" s="55">
        <f t="shared" si="120"/>
        <v>0</v>
      </c>
      <c r="AY171" s="55">
        <f t="shared" si="120"/>
        <v>0</v>
      </c>
      <c r="AZ171" s="55">
        <f t="shared" si="120"/>
        <v>0</v>
      </c>
      <c r="BA171" s="55">
        <f t="shared" si="120"/>
        <v>0</v>
      </c>
      <c r="BB171" s="55">
        <f t="shared" si="120"/>
        <v>0</v>
      </c>
      <c r="BC171" s="55">
        <f t="shared" si="120"/>
        <v>0</v>
      </c>
      <c r="BD171" s="55">
        <f t="shared" si="120"/>
        <v>0</v>
      </c>
      <c r="BE171" s="55">
        <f t="shared" si="120"/>
        <v>0</v>
      </c>
      <c r="BF171" s="55">
        <f t="shared" si="120"/>
        <v>0</v>
      </c>
      <c r="BG171" s="55">
        <f t="shared" si="120"/>
        <v>0</v>
      </c>
      <c r="BH171" s="55">
        <f t="shared" si="120"/>
        <v>0</v>
      </c>
      <c r="BI171" s="55">
        <f t="shared" si="120"/>
        <v>0</v>
      </c>
      <c r="BJ171" s="55">
        <f t="shared" si="120"/>
        <v>0</v>
      </c>
    </row>
    <row r="172" spans="1:62" x14ac:dyDescent="0.3">
      <c r="A172" s="53" t="str">
        <f t="shared" si="104"/>
        <v>project 84</v>
      </c>
      <c r="C172" s="55">
        <f t="shared" ref="C172:AH172" si="121">IF(AND(C$127&gt;=$I64,C$127&lt;$I64+$F64),INDEX($T64:$AI64,C$127-$I64+1),0)</f>
        <v>1.149563725490196</v>
      </c>
      <c r="D172" s="55">
        <f t="shared" si="121"/>
        <v>0</v>
      </c>
      <c r="E172" s="55">
        <f t="shared" si="121"/>
        <v>0</v>
      </c>
      <c r="F172" s="55">
        <f t="shared" si="121"/>
        <v>0</v>
      </c>
      <c r="G172" s="55">
        <f t="shared" si="121"/>
        <v>0</v>
      </c>
      <c r="H172" s="55">
        <f t="shared" si="121"/>
        <v>0</v>
      </c>
      <c r="I172" s="55">
        <f t="shared" si="121"/>
        <v>0</v>
      </c>
      <c r="J172" s="55">
        <f t="shared" si="121"/>
        <v>0</v>
      </c>
      <c r="K172" s="55">
        <f t="shared" si="121"/>
        <v>0</v>
      </c>
      <c r="L172" s="55">
        <f t="shared" si="121"/>
        <v>0</v>
      </c>
      <c r="M172" s="55">
        <f t="shared" si="121"/>
        <v>0</v>
      </c>
      <c r="N172" s="55">
        <f t="shared" si="121"/>
        <v>0</v>
      </c>
      <c r="O172" s="55">
        <f t="shared" si="121"/>
        <v>0</v>
      </c>
      <c r="P172" s="55">
        <f t="shared" si="121"/>
        <v>0</v>
      </c>
      <c r="Q172" s="55">
        <f t="shared" si="121"/>
        <v>0</v>
      </c>
      <c r="R172" s="55">
        <f t="shared" si="121"/>
        <v>0</v>
      </c>
      <c r="S172" s="55">
        <f t="shared" si="121"/>
        <v>0</v>
      </c>
      <c r="T172" s="55">
        <f t="shared" si="121"/>
        <v>0</v>
      </c>
      <c r="U172" s="55">
        <f t="shared" si="121"/>
        <v>0</v>
      </c>
      <c r="V172" s="55">
        <f t="shared" si="121"/>
        <v>0</v>
      </c>
      <c r="W172" s="55">
        <f t="shared" si="121"/>
        <v>0</v>
      </c>
      <c r="X172" s="55">
        <f t="shared" si="121"/>
        <v>0</v>
      </c>
      <c r="Y172" s="55">
        <f t="shared" si="121"/>
        <v>0</v>
      </c>
      <c r="Z172" s="55">
        <f t="shared" si="121"/>
        <v>0</v>
      </c>
      <c r="AA172" s="55">
        <f t="shared" si="121"/>
        <v>0</v>
      </c>
      <c r="AB172" s="55">
        <f t="shared" si="121"/>
        <v>0</v>
      </c>
      <c r="AC172" s="55">
        <f t="shared" si="121"/>
        <v>0</v>
      </c>
      <c r="AD172" s="55">
        <f t="shared" si="121"/>
        <v>0</v>
      </c>
      <c r="AE172" s="55">
        <f t="shared" si="121"/>
        <v>0</v>
      </c>
      <c r="AF172" s="55">
        <f t="shared" si="121"/>
        <v>0</v>
      </c>
      <c r="AG172" s="55">
        <f t="shared" si="121"/>
        <v>0</v>
      </c>
      <c r="AH172" s="55">
        <f t="shared" si="121"/>
        <v>0</v>
      </c>
      <c r="AI172" s="55">
        <f t="shared" ref="AI172:BJ172" si="122">IF(AND(AI$127&gt;=$I64,AI$127&lt;$I64+$F64),INDEX($T64:$AI64,AI$127-$I64+1),0)</f>
        <v>0</v>
      </c>
      <c r="AJ172" s="55">
        <f t="shared" si="122"/>
        <v>0</v>
      </c>
      <c r="AK172" s="55">
        <f t="shared" si="122"/>
        <v>0</v>
      </c>
      <c r="AL172" s="55">
        <f t="shared" si="122"/>
        <v>0</v>
      </c>
      <c r="AM172" s="55">
        <f t="shared" si="122"/>
        <v>0</v>
      </c>
      <c r="AN172" s="55">
        <f t="shared" si="122"/>
        <v>0</v>
      </c>
      <c r="AO172" s="55">
        <f t="shared" si="122"/>
        <v>0</v>
      </c>
      <c r="AP172" s="55">
        <f t="shared" si="122"/>
        <v>0</v>
      </c>
      <c r="AQ172" s="55">
        <f t="shared" si="122"/>
        <v>0</v>
      </c>
      <c r="AR172" s="55">
        <f t="shared" si="122"/>
        <v>0</v>
      </c>
      <c r="AS172" s="55">
        <f t="shared" si="122"/>
        <v>0</v>
      </c>
      <c r="AT172" s="55">
        <f t="shared" si="122"/>
        <v>0</v>
      </c>
      <c r="AU172" s="55">
        <f t="shared" si="122"/>
        <v>0</v>
      </c>
      <c r="AV172" s="55">
        <f t="shared" si="122"/>
        <v>0</v>
      </c>
      <c r="AW172" s="55">
        <f t="shared" si="122"/>
        <v>0</v>
      </c>
      <c r="AX172" s="55">
        <f t="shared" si="122"/>
        <v>0</v>
      </c>
      <c r="AY172" s="55">
        <f t="shared" si="122"/>
        <v>0</v>
      </c>
      <c r="AZ172" s="55">
        <f t="shared" si="122"/>
        <v>0</v>
      </c>
      <c r="BA172" s="55">
        <f t="shared" si="122"/>
        <v>0</v>
      </c>
      <c r="BB172" s="55">
        <f t="shared" si="122"/>
        <v>0</v>
      </c>
      <c r="BC172" s="55">
        <f t="shared" si="122"/>
        <v>0</v>
      </c>
      <c r="BD172" s="55">
        <f t="shared" si="122"/>
        <v>0</v>
      </c>
      <c r="BE172" s="55">
        <f t="shared" si="122"/>
        <v>0</v>
      </c>
      <c r="BF172" s="55">
        <f t="shared" si="122"/>
        <v>0</v>
      </c>
      <c r="BG172" s="55">
        <f t="shared" si="122"/>
        <v>0</v>
      </c>
      <c r="BH172" s="55">
        <f t="shared" si="122"/>
        <v>0</v>
      </c>
      <c r="BI172" s="55">
        <f t="shared" si="122"/>
        <v>0</v>
      </c>
      <c r="BJ172" s="55">
        <f t="shared" si="122"/>
        <v>0</v>
      </c>
    </row>
    <row r="173" spans="1:62" x14ac:dyDescent="0.3">
      <c r="A173" s="53" t="str">
        <f t="shared" si="104"/>
        <v>project 87</v>
      </c>
      <c r="C173" s="55">
        <f t="shared" ref="C173:AH173" si="123">IF(AND(C$127&gt;=$I65,C$127&lt;$I65+$F65),INDEX($T65:$AI65,C$127-$I65+1),0)</f>
        <v>0</v>
      </c>
      <c r="D173" s="55">
        <f t="shared" si="123"/>
        <v>0</v>
      </c>
      <c r="E173" s="55">
        <f t="shared" si="123"/>
        <v>0</v>
      </c>
      <c r="F173" s="55">
        <f t="shared" si="123"/>
        <v>0</v>
      </c>
      <c r="G173" s="55">
        <f t="shared" si="123"/>
        <v>1.6885235294117651</v>
      </c>
      <c r="H173" s="55">
        <f t="shared" si="123"/>
        <v>12.394360822760479</v>
      </c>
      <c r="I173" s="55">
        <f t="shared" si="123"/>
        <v>21.74089528160361</v>
      </c>
      <c r="J173" s="55">
        <f t="shared" si="123"/>
        <v>0</v>
      </c>
      <c r="K173" s="55">
        <f t="shared" si="123"/>
        <v>0</v>
      </c>
      <c r="L173" s="55">
        <f t="shared" si="123"/>
        <v>0</v>
      </c>
      <c r="M173" s="55">
        <f t="shared" si="123"/>
        <v>0</v>
      </c>
      <c r="N173" s="55">
        <f t="shared" si="123"/>
        <v>0</v>
      </c>
      <c r="O173" s="55">
        <f t="shared" si="123"/>
        <v>0</v>
      </c>
      <c r="P173" s="55">
        <f t="shared" si="123"/>
        <v>0</v>
      </c>
      <c r="Q173" s="55">
        <f t="shared" si="123"/>
        <v>0</v>
      </c>
      <c r="R173" s="55">
        <f t="shared" si="123"/>
        <v>0</v>
      </c>
      <c r="S173" s="55">
        <f t="shared" si="123"/>
        <v>0</v>
      </c>
      <c r="T173" s="55">
        <f t="shared" si="123"/>
        <v>0</v>
      </c>
      <c r="U173" s="55">
        <f t="shared" si="123"/>
        <v>0</v>
      </c>
      <c r="V173" s="55">
        <f t="shared" si="123"/>
        <v>0</v>
      </c>
      <c r="W173" s="55">
        <f t="shared" si="123"/>
        <v>0</v>
      </c>
      <c r="X173" s="55">
        <f t="shared" si="123"/>
        <v>0</v>
      </c>
      <c r="Y173" s="55">
        <f t="shared" si="123"/>
        <v>0</v>
      </c>
      <c r="Z173" s="55">
        <f t="shared" si="123"/>
        <v>0</v>
      </c>
      <c r="AA173" s="55">
        <f t="shared" si="123"/>
        <v>0</v>
      </c>
      <c r="AB173" s="55">
        <f t="shared" si="123"/>
        <v>0</v>
      </c>
      <c r="AC173" s="55">
        <f t="shared" si="123"/>
        <v>0</v>
      </c>
      <c r="AD173" s="55">
        <f t="shared" si="123"/>
        <v>0</v>
      </c>
      <c r="AE173" s="55">
        <f t="shared" si="123"/>
        <v>0</v>
      </c>
      <c r="AF173" s="55">
        <f t="shared" si="123"/>
        <v>0</v>
      </c>
      <c r="AG173" s="55">
        <f t="shared" si="123"/>
        <v>0</v>
      </c>
      <c r="AH173" s="55">
        <f t="shared" si="123"/>
        <v>0</v>
      </c>
      <c r="AI173" s="55">
        <f t="shared" ref="AI173:BJ173" si="124">IF(AND(AI$127&gt;=$I65,AI$127&lt;$I65+$F65),INDEX($T65:$AI65,AI$127-$I65+1),0)</f>
        <v>0</v>
      </c>
      <c r="AJ173" s="55">
        <f t="shared" si="124"/>
        <v>0</v>
      </c>
      <c r="AK173" s="55">
        <f t="shared" si="124"/>
        <v>0</v>
      </c>
      <c r="AL173" s="55">
        <f t="shared" si="124"/>
        <v>0</v>
      </c>
      <c r="AM173" s="55">
        <f t="shared" si="124"/>
        <v>0</v>
      </c>
      <c r="AN173" s="55">
        <f t="shared" si="124"/>
        <v>0</v>
      </c>
      <c r="AO173" s="55">
        <f t="shared" si="124"/>
        <v>0</v>
      </c>
      <c r="AP173" s="55">
        <f t="shared" si="124"/>
        <v>0</v>
      </c>
      <c r="AQ173" s="55">
        <f t="shared" si="124"/>
        <v>0</v>
      </c>
      <c r="AR173" s="55">
        <f t="shared" si="124"/>
        <v>0</v>
      </c>
      <c r="AS173" s="55">
        <f t="shared" si="124"/>
        <v>0</v>
      </c>
      <c r="AT173" s="55">
        <f t="shared" si="124"/>
        <v>0</v>
      </c>
      <c r="AU173" s="55">
        <f t="shared" si="124"/>
        <v>0</v>
      </c>
      <c r="AV173" s="55">
        <f t="shared" si="124"/>
        <v>0</v>
      </c>
      <c r="AW173" s="55">
        <f t="shared" si="124"/>
        <v>0</v>
      </c>
      <c r="AX173" s="55">
        <f t="shared" si="124"/>
        <v>0</v>
      </c>
      <c r="AY173" s="55">
        <f t="shared" si="124"/>
        <v>0</v>
      </c>
      <c r="AZ173" s="55">
        <f t="shared" si="124"/>
        <v>0</v>
      </c>
      <c r="BA173" s="55">
        <f t="shared" si="124"/>
        <v>0</v>
      </c>
      <c r="BB173" s="55">
        <f t="shared" si="124"/>
        <v>0</v>
      </c>
      <c r="BC173" s="55">
        <f t="shared" si="124"/>
        <v>0</v>
      </c>
      <c r="BD173" s="55">
        <f t="shared" si="124"/>
        <v>0</v>
      </c>
      <c r="BE173" s="55">
        <f t="shared" si="124"/>
        <v>0</v>
      </c>
      <c r="BF173" s="55">
        <f t="shared" si="124"/>
        <v>0</v>
      </c>
      <c r="BG173" s="55">
        <f t="shared" si="124"/>
        <v>0</v>
      </c>
      <c r="BH173" s="55">
        <f t="shared" si="124"/>
        <v>0</v>
      </c>
      <c r="BI173" s="55">
        <f t="shared" si="124"/>
        <v>0</v>
      </c>
      <c r="BJ173" s="55">
        <f t="shared" si="124"/>
        <v>0</v>
      </c>
    </row>
    <row r="174" spans="1:62" x14ac:dyDescent="0.3">
      <c r="A174" s="53" t="str">
        <f t="shared" si="104"/>
        <v>project 90</v>
      </c>
      <c r="C174" s="55">
        <f t="shared" ref="C174:AH174" si="125">IF(AND(C$127&gt;=$I66,C$127&lt;$I66+$F66),INDEX($T66:$AI66,C$127-$I66+1),0)</f>
        <v>0</v>
      </c>
      <c r="D174" s="55">
        <f t="shared" si="125"/>
        <v>0</v>
      </c>
      <c r="E174" s="55">
        <f t="shared" si="125"/>
        <v>0</v>
      </c>
      <c r="F174" s="55">
        <f t="shared" si="125"/>
        <v>0</v>
      </c>
      <c r="G174" s="55">
        <f t="shared" si="125"/>
        <v>2.4808750000000002</v>
      </c>
      <c r="H174" s="55">
        <f t="shared" si="125"/>
        <v>7.8944852941176462</v>
      </c>
      <c r="I174" s="55">
        <f t="shared" si="125"/>
        <v>5.9717416378316033</v>
      </c>
      <c r="J174" s="55">
        <f t="shared" si="125"/>
        <v>0</v>
      </c>
      <c r="K174" s="55">
        <f t="shared" si="125"/>
        <v>0</v>
      </c>
      <c r="L174" s="55">
        <f t="shared" si="125"/>
        <v>0</v>
      </c>
      <c r="M174" s="55">
        <f t="shared" si="125"/>
        <v>0</v>
      </c>
      <c r="N174" s="55">
        <f t="shared" si="125"/>
        <v>0</v>
      </c>
      <c r="O174" s="55">
        <f t="shared" si="125"/>
        <v>0</v>
      </c>
      <c r="P174" s="55">
        <f t="shared" si="125"/>
        <v>0</v>
      </c>
      <c r="Q174" s="55">
        <f t="shared" si="125"/>
        <v>0</v>
      </c>
      <c r="R174" s="55">
        <f t="shared" si="125"/>
        <v>0</v>
      </c>
      <c r="S174" s="55">
        <f t="shared" si="125"/>
        <v>0</v>
      </c>
      <c r="T174" s="55">
        <f t="shared" si="125"/>
        <v>0</v>
      </c>
      <c r="U174" s="55">
        <f t="shared" si="125"/>
        <v>0</v>
      </c>
      <c r="V174" s="55">
        <f t="shared" si="125"/>
        <v>0</v>
      </c>
      <c r="W174" s="55">
        <f t="shared" si="125"/>
        <v>0</v>
      </c>
      <c r="X174" s="55">
        <f t="shared" si="125"/>
        <v>0</v>
      </c>
      <c r="Y174" s="55">
        <f t="shared" si="125"/>
        <v>0</v>
      </c>
      <c r="Z174" s="55">
        <f t="shared" si="125"/>
        <v>0</v>
      </c>
      <c r="AA174" s="55">
        <f t="shared" si="125"/>
        <v>0</v>
      </c>
      <c r="AB174" s="55">
        <f t="shared" si="125"/>
        <v>0</v>
      </c>
      <c r="AC174" s="55">
        <f t="shared" si="125"/>
        <v>0</v>
      </c>
      <c r="AD174" s="55">
        <f t="shared" si="125"/>
        <v>0</v>
      </c>
      <c r="AE174" s="55">
        <f t="shared" si="125"/>
        <v>0</v>
      </c>
      <c r="AF174" s="55">
        <f t="shared" si="125"/>
        <v>0</v>
      </c>
      <c r="AG174" s="55">
        <f t="shared" si="125"/>
        <v>0</v>
      </c>
      <c r="AH174" s="55">
        <f t="shared" si="125"/>
        <v>0</v>
      </c>
      <c r="AI174" s="55">
        <f t="shared" ref="AI174:BJ174" si="126">IF(AND(AI$127&gt;=$I66,AI$127&lt;$I66+$F66),INDEX($T66:$AI66,AI$127-$I66+1),0)</f>
        <v>0</v>
      </c>
      <c r="AJ174" s="55">
        <f t="shared" si="126"/>
        <v>0</v>
      </c>
      <c r="AK174" s="55">
        <f t="shared" si="126"/>
        <v>0</v>
      </c>
      <c r="AL174" s="55">
        <f t="shared" si="126"/>
        <v>0</v>
      </c>
      <c r="AM174" s="55">
        <f t="shared" si="126"/>
        <v>0</v>
      </c>
      <c r="AN174" s="55">
        <f t="shared" si="126"/>
        <v>0</v>
      </c>
      <c r="AO174" s="55">
        <f t="shared" si="126"/>
        <v>0</v>
      </c>
      <c r="AP174" s="55">
        <f t="shared" si="126"/>
        <v>0</v>
      </c>
      <c r="AQ174" s="55">
        <f t="shared" si="126"/>
        <v>0</v>
      </c>
      <c r="AR174" s="55">
        <f t="shared" si="126"/>
        <v>0</v>
      </c>
      <c r="AS174" s="55">
        <f t="shared" si="126"/>
        <v>0</v>
      </c>
      <c r="AT174" s="55">
        <f t="shared" si="126"/>
        <v>0</v>
      </c>
      <c r="AU174" s="55">
        <f t="shared" si="126"/>
        <v>0</v>
      </c>
      <c r="AV174" s="55">
        <f t="shared" si="126"/>
        <v>0</v>
      </c>
      <c r="AW174" s="55">
        <f t="shared" si="126"/>
        <v>0</v>
      </c>
      <c r="AX174" s="55">
        <f t="shared" si="126"/>
        <v>0</v>
      </c>
      <c r="AY174" s="55">
        <f t="shared" si="126"/>
        <v>0</v>
      </c>
      <c r="AZ174" s="55">
        <f t="shared" si="126"/>
        <v>0</v>
      </c>
      <c r="BA174" s="55">
        <f t="shared" si="126"/>
        <v>0</v>
      </c>
      <c r="BB174" s="55">
        <f t="shared" si="126"/>
        <v>0</v>
      </c>
      <c r="BC174" s="55">
        <f t="shared" si="126"/>
        <v>0</v>
      </c>
      <c r="BD174" s="55">
        <f t="shared" si="126"/>
        <v>0</v>
      </c>
      <c r="BE174" s="55">
        <f t="shared" si="126"/>
        <v>0</v>
      </c>
      <c r="BF174" s="55">
        <f t="shared" si="126"/>
        <v>0</v>
      </c>
      <c r="BG174" s="55">
        <f t="shared" si="126"/>
        <v>0</v>
      </c>
      <c r="BH174" s="55">
        <f t="shared" si="126"/>
        <v>0</v>
      </c>
      <c r="BI174" s="55">
        <f t="shared" si="126"/>
        <v>0</v>
      </c>
      <c r="BJ174" s="55">
        <f t="shared" si="126"/>
        <v>0</v>
      </c>
    </row>
    <row r="175" spans="1:62" x14ac:dyDescent="0.3">
      <c r="A175" s="53" t="str">
        <f t="shared" si="104"/>
        <v>project 91</v>
      </c>
      <c r="C175" s="55">
        <f t="shared" ref="C175:AH175" si="127">IF(AND(C$127&gt;=$I67,C$127&lt;$I67+$F67),INDEX($T67:$AI67,C$127-$I67+1),0)</f>
        <v>0</v>
      </c>
      <c r="D175" s="55">
        <f t="shared" si="127"/>
        <v>0</v>
      </c>
      <c r="E175" s="55">
        <f t="shared" si="127"/>
        <v>0</v>
      </c>
      <c r="F175" s="55">
        <f t="shared" si="127"/>
        <v>0</v>
      </c>
      <c r="G175" s="55">
        <f t="shared" si="127"/>
        <v>0</v>
      </c>
      <c r="H175" s="55">
        <f t="shared" si="127"/>
        <v>0</v>
      </c>
      <c r="I175" s="55">
        <f t="shared" si="127"/>
        <v>0</v>
      </c>
      <c r="J175" s="55">
        <f t="shared" si="127"/>
        <v>0</v>
      </c>
      <c r="K175" s="55">
        <f t="shared" si="127"/>
        <v>0</v>
      </c>
      <c r="L175" s="55">
        <f t="shared" si="127"/>
        <v>0.4245162117134435</v>
      </c>
      <c r="M175" s="55">
        <f t="shared" si="127"/>
        <v>0</v>
      </c>
      <c r="N175" s="55">
        <f t="shared" si="127"/>
        <v>4.9362329135730416</v>
      </c>
      <c r="O175" s="55">
        <f t="shared" si="127"/>
        <v>4.8394440329147468</v>
      </c>
      <c r="P175" s="55">
        <f t="shared" si="127"/>
        <v>0</v>
      </c>
      <c r="Q175" s="55">
        <f t="shared" si="127"/>
        <v>0</v>
      </c>
      <c r="R175" s="55">
        <f t="shared" si="127"/>
        <v>0</v>
      </c>
      <c r="S175" s="55">
        <f t="shared" si="127"/>
        <v>0</v>
      </c>
      <c r="T175" s="55">
        <f t="shared" si="127"/>
        <v>0</v>
      </c>
      <c r="U175" s="55">
        <f t="shared" si="127"/>
        <v>0</v>
      </c>
      <c r="V175" s="55">
        <f t="shared" si="127"/>
        <v>0</v>
      </c>
      <c r="W175" s="55">
        <f t="shared" si="127"/>
        <v>0</v>
      </c>
      <c r="X175" s="55">
        <f t="shared" si="127"/>
        <v>0</v>
      </c>
      <c r="Y175" s="55">
        <f t="shared" si="127"/>
        <v>0</v>
      </c>
      <c r="Z175" s="55">
        <f t="shared" si="127"/>
        <v>0</v>
      </c>
      <c r="AA175" s="55">
        <f t="shared" si="127"/>
        <v>0</v>
      </c>
      <c r="AB175" s="55">
        <f t="shared" si="127"/>
        <v>0</v>
      </c>
      <c r="AC175" s="55">
        <f t="shared" si="127"/>
        <v>0</v>
      </c>
      <c r="AD175" s="55">
        <f t="shared" si="127"/>
        <v>0</v>
      </c>
      <c r="AE175" s="55">
        <f t="shared" si="127"/>
        <v>0</v>
      </c>
      <c r="AF175" s="55">
        <f t="shared" si="127"/>
        <v>0</v>
      </c>
      <c r="AG175" s="55">
        <f t="shared" si="127"/>
        <v>0</v>
      </c>
      <c r="AH175" s="55">
        <f t="shared" si="127"/>
        <v>0</v>
      </c>
      <c r="AI175" s="55">
        <f t="shared" ref="AI175:BJ175" si="128">IF(AND(AI$127&gt;=$I67,AI$127&lt;$I67+$F67),INDEX($T67:$AI67,AI$127-$I67+1),0)</f>
        <v>0</v>
      </c>
      <c r="AJ175" s="55">
        <f t="shared" si="128"/>
        <v>0</v>
      </c>
      <c r="AK175" s="55">
        <f t="shared" si="128"/>
        <v>0</v>
      </c>
      <c r="AL175" s="55">
        <f t="shared" si="128"/>
        <v>0</v>
      </c>
      <c r="AM175" s="55">
        <f t="shared" si="128"/>
        <v>0</v>
      </c>
      <c r="AN175" s="55">
        <f t="shared" si="128"/>
        <v>0</v>
      </c>
      <c r="AO175" s="55">
        <f t="shared" si="128"/>
        <v>0</v>
      </c>
      <c r="AP175" s="55">
        <f t="shared" si="128"/>
        <v>0</v>
      </c>
      <c r="AQ175" s="55">
        <f t="shared" si="128"/>
        <v>0</v>
      </c>
      <c r="AR175" s="55">
        <f t="shared" si="128"/>
        <v>0</v>
      </c>
      <c r="AS175" s="55">
        <f t="shared" si="128"/>
        <v>0</v>
      </c>
      <c r="AT175" s="55">
        <f t="shared" si="128"/>
        <v>0</v>
      </c>
      <c r="AU175" s="55">
        <f t="shared" si="128"/>
        <v>0</v>
      </c>
      <c r="AV175" s="55">
        <f t="shared" si="128"/>
        <v>0</v>
      </c>
      <c r="AW175" s="55">
        <f t="shared" si="128"/>
        <v>0</v>
      </c>
      <c r="AX175" s="55">
        <f t="shared" si="128"/>
        <v>0</v>
      </c>
      <c r="AY175" s="55">
        <f t="shared" si="128"/>
        <v>0</v>
      </c>
      <c r="AZ175" s="55">
        <f t="shared" si="128"/>
        <v>0</v>
      </c>
      <c r="BA175" s="55">
        <f t="shared" si="128"/>
        <v>0</v>
      </c>
      <c r="BB175" s="55">
        <f t="shared" si="128"/>
        <v>0</v>
      </c>
      <c r="BC175" s="55">
        <f t="shared" si="128"/>
        <v>0</v>
      </c>
      <c r="BD175" s="55">
        <f t="shared" si="128"/>
        <v>0</v>
      </c>
      <c r="BE175" s="55">
        <f t="shared" si="128"/>
        <v>0</v>
      </c>
      <c r="BF175" s="55">
        <f t="shared" si="128"/>
        <v>0</v>
      </c>
      <c r="BG175" s="55">
        <f t="shared" si="128"/>
        <v>0</v>
      </c>
      <c r="BH175" s="55">
        <f t="shared" si="128"/>
        <v>0</v>
      </c>
      <c r="BI175" s="55">
        <f t="shared" si="128"/>
        <v>0</v>
      </c>
      <c r="BJ175" s="55">
        <f t="shared" si="128"/>
        <v>0</v>
      </c>
    </row>
    <row r="176" spans="1:62" x14ac:dyDescent="0.3">
      <c r="A176" s="53" t="str">
        <f t="shared" si="104"/>
        <v>project 92</v>
      </c>
      <c r="C176" s="55">
        <f t="shared" ref="C176:AH176" si="129">IF(AND(C$127&gt;=$I68,C$127&lt;$I68+$F68),INDEX($T68:$AI68,C$127-$I68+1),0)</f>
        <v>0</v>
      </c>
      <c r="D176" s="55">
        <f t="shared" si="129"/>
        <v>0</v>
      </c>
      <c r="E176" s="55">
        <f t="shared" si="129"/>
        <v>0</v>
      </c>
      <c r="F176" s="55">
        <f t="shared" si="129"/>
        <v>0</v>
      </c>
      <c r="G176" s="55">
        <f t="shared" si="129"/>
        <v>0</v>
      </c>
      <c r="H176" s="55">
        <f t="shared" si="129"/>
        <v>0</v>
      </c>
      <c r="I176" s="55">
        <f t="shared" si="129"/>
        <v>0</v>
      </c>
      <c r="J176" s="55">
        <f t="shared" si="129"/>
        <v>0</v>
      </c>
      <c r="K176" s="55">
        <f t="shared" si="129"/>
        <v>0</v>
      </c>
      <c r="L176" s="55">
        <f t="shared" si="129"/>
        <v>0</v>
      </c>
      <c r="M176" s="55">
        <f t="shared" si="129"/>
        <v>0</v>
      </c>
      <c r="N176" s="55">
        <f t="shared" si="129"/>
        <v>0</v>
      </c>
      <c r="O176" s="55">
        <f t="shared" si="129"/>
        <v>0.29325000000000001</v>
      </c>
      <c r="P176" s="55">
        <f t="shared" si="129"/>
        <v>1.3512500000000001</v>
      </c>
      <c r="Q176" s="55">
        <f t="shared" si="129"/>
        <v>2.9411764705882359</v>
      </c>
      <c r="R176" s="55">
        <f t="shared" si="129"/>
        <v>4.6160130718954244</v>
      </c>
      <c r="S176" s="55">
        <f t="shared" si="129"/>
        <v>4.5255030116621811</v>
      </c>
      <c r="T176" s="55">
        <f t="shared" si="129"/>
        <v>0</v>
      </c>
      <c r="U176" s="55">
        <f t="shared" si="129"/>
        <v>0</v>
      </c>
      <c r="V176" s="55">
        <f t="shared" si="129"/>
        <v>0</v>
      </c>
      <c r="W176" s="55">
        <f t="shared" si="129"/>
        <v>0</v>
      </c>
      <c r="X176" s="55">
        <f t="shared" si="129"/>
        <v>0</v>
      </c>
      <c r="Y176" s="55">
        <f t="shared" si="129"/>
        <v>0</v>
      </c>
      <c r="Z176" s="55">
        <f t="shared" si="129"/>
        <v>0</v>
      </c>
      <c r="AA176" s="55">
        <f t="shared" si="129"/>
        <v>0</v>
      </c>
      <c r="AB176" s="55">
        <f t="shared" si="129"/>
        <v>0</v>
      </c>
      <c r="AC176" s="55">
        <f t="shared" si="129"/>
        <v>0</v>
      </c>
      <c r="AD176" s="55">
        <f t="shared" si="129"/>
        <v>0</v>
      </c>
      <c r="AE176" s="55">
        <f t="shared" si="129"/>
        <v>0</v>
      </c>
      <c r="AF176" s="55">
        <f t="shared" si="129"/>
        <v>0</v>
      </c>
      <c r="AG176" s="55">
        <f t="shared" si="129"/>
        <v>0</v>
      </c>
      <c r="AH176" s="55">
        <f t="shared" si="129"/>
        <v>0</v>
      </c>
      <c r="AI176" s="55">
        <f t="shared" ref="AI176:BJ176" si="130">IF(AND(AI$127&gt;=$I68,AI$127&lt;$I68+$F68),INDEX($T68:$AI68,AI$127-$I68+1),0)</f>
        <v>0</v>
      </c>
      <c r="AJ176" s="55">
        <f t="shared" si="130"/>
        <v>0</v>
      </c>
      <c r="AK176" s="55">
        <f t="shared" si="130"/>
        <v>0</v>
      </c>
      <c r="AL176" s="55">
        <f t="shared" si="130"/>
        <v>0</v>
      </c>
      <c r="AM176" s="55">
        <f t="shared" si="130"/>
        <v>0</v>
      </c>
      <c r="AN176" s="55">
        <f t="shared" si="130"/>
        <v>0</v>
      </c>
      <c r="AO176" s="55">
        <f t="shared" si="130"/>
        <v>0</v>
      </c>
      <c r="AP176" s="55">
        <f t="shared" si="130"/>
        <v>0</v>
      </c>
      <c r="AQ176" s="55">
        <f t="shared" si="130"/>
        <v>0</v>
      </c>
      <c r="AR176" s="55">
        <f t="shared" si="130"/>
        <v>0</v>
      </c>
      <c r="AS176" s="55">
        <f t="shared" si="130"/>
        <v>0</v>
      </c>
      <c r="AT176" s="55">
        <f t="shared" si="130"/>
        <v>0</v>
      </c>
      <c r="AU176" s="55">
        <f t="shared" si="130"/>
        <v>0</v>
      </c>
      <c r="AV176" s="55">
        <f t="shared" si="130"/>
        <v>0</v>
      </c>
      <c r="AW176" s="55">
        <f t="shared" si="130"/>
        <v>0</v>
      </c>
      <c r="AX176" s="55">
        <f t="shared" si="130"/>
        <v>0</v>
      </c>
      <c r="AY176" s="55">
        <f t="shared" si="130"/>
        <v>0</v>
      </c>
      <c r="AZ176" s="55">
        <f t="shared" si="130"/>
        <v>0</v>
      </c>
      <c r="BA176" s="55">
        <f t="shared" si="130"/>
        <v>0</v>
      </c>
      <c r="BB176" s="55">
        <f t="shared" si="130"/>
        <v>0</v>
      </c>
      <c r="BC176" s="55">
        <f t="shared" si="130"/>
        <v>0</v>
      </c>
      <c r="BD176" s="55">
        <f t="shared" si="130"/>
        <v>0</v>
      </c>
      <c r="BE176" s="55">
        <f t="shared" si="130"/>
        <v>0</v>
      </c>
      <c r="BF176" s="55">
        <f t="shared" si="130"/>
        <v>0</v>
      </c>
      <c r="BG176" s="55">
        <f t="shared" si="130"/>
        <v>0</v>
      </c>
      <c r="BH176" s="55">
        <f t="shared" si="130"/>
        <v>0</v>
      </c>
      <c r="BI176" s="55">
        <f t="shared" si="130"/>
        <v>0</v>
      </c>
      <c r="BJ176" s="55">
        <f t="shared" si="130"/>
        <v>0</v>
      </c>
    </row>
    <row r="177" spans="1:62" x14ac:dyDescent="0.3">
      <c r="A177" s="53" t="str">
        <f t="shared" si="104"/>
        <v>project 98</v>
      </c>
      <c r="C177" s="55">
        <f t="shared" ref="C177:AH177" si="131">IF(AND(C$127&gt;=$I69,C$127&lt;$I69+$F69),INDEX($T69:$AI69,C$127-$I69+1),0)</f>
        <v>0</v>
      </c>
      <c r="D177" s="55">
        <f t="shared" si="131"/>
        <v>0</v>
      </c>
      <c r="E177" s="55">
        <f t="shared" si="131"/>
        <v>0</v>
      </c>
      <c r="F177" s="55">
        <f t="shared" si="131"/>
        <v>0</v>
      </c>
      <c r="G177" s="55">
        <f t="shared" si="131"/>
        <v>0</v>
      </c>
      <c r="H177" s="55">
        <f t="shared" si="131"/>
        <v>0</v>
      </c>
      <c r="I177" s="55">
        <f t="shared" si="131"/>
        <v>0</v>
      </c>
      <c r="J177" s="55">
        <f t="shared" si="131"/>
        <v>0</v>
      </c>
      <c r="K177" s="55">
        <f t="shared" si="131"/>
        <v>0</v>
      </c>
      <c r="L177" s="55">
        <f t="shared" si="131"/>
        <v>0</v>
      </c>
      <c r="M177" s="55">
        <f t="shared" si="131"/>
        <v>0</v>
      </c>
      <c r="N177" s="55">
        <f t="shared" si="131"/>
        <v>0</v>
      </c>
      <c r="O177" s="55">
        <f t="shared" si="131"/>
        <v>0</v>
      </c>
      <c r="P177" s="55">
        <f t="shared" si="131"/>
        <v>0</v>
      </c>
      <c r="Q177" s="55">
        <f t="shared" si="131"/>
        <v>0</v>
      </c>
      <c r="R177" s="55">
        <f t="shared" si="131"/>
        <v>32.593137254901961</v>
      </c>
      <c r="S177" s="55">
        <f t="shared" si="131"/>
        <v>0</v>
      </c>
      <c r="T177" s="55">
        <f t="shared" si="131"/>
        <v>0</v>
      </c>
      <c r="U177" s="55">
        <f t="shared" si="131"/>
        <v>0</v>
      </c>
      <c r="V177" s="55">
        <f t="shared" si="131"/>
        <v>0</v>
      </c>
      <c r="W177" s="55">
        <f t="shared" si="131"/>
        <v>0</v>
      </c>
      <c r="X177" s="55">
        <f t="shared" si="131"/>
        <v>0</v>
      </c>
      <c r="Y177" s="55">
        <f t="shared" si="131"/>
        <v>0</v>
      </c>
      <c r="Z177" s="55">
        <f t="shared" si="131"/>
        <v>0</v>
      </c>
      <c r="AA177" s="55">
        <f t="shared" si="131"/>
        <v>0</v>
      </c>
      <c r="AB177" s="55">
        <f t="shared" si="131"/>
        <v>0</v>
      </c>
      <c r="AC177" s="55">
        <f t="shared" si="131"/>
        <v>0</v>
      </c>
      <c r="AD177" s="55">
        <f t="shared" si="131"/>
        <v>0</v>
      </c>
      <c r="AE177" s="55">
        <f t="shared" si="131"/>
        <v>0</v>
      </c>
      <c r="AF177" s="55">
        <f t="shared" si="131"/>
        <v>0</v>
      </c>
      <c r="AG177" s="55">
        <f t="shared" si="131"/>
        <v>0</v>
      </c>
      <c r="AH177" s="55">
        <f t="shared" si="131"/>
        <v>0</v>
      </c>
      <c r="AI177" s="55">
        <f t="shared" ref="AI177:BJ177" si="132">IF(AND(AI$127&gt;=$I69,AI$127&lt;$I69+$F69),INDEX($T69:$AI69,AI$127-$I69+1),0)</f>
        <v>0</v>
      </c>
      <c r="AJ177" s="55">
        <f t="shared" si="132"/>
        <v>0</v>
      </c>
      <c r="AK177" s="55">
        <f t="shared" si="132"/>
        <v>0</v>
      </c>
      <c r="AL177" s="55">
        <f t="shared" si="132"/>
        <v>0</v>
      </c>
      <c r="AM177" s="55">
        <f t="shared" si="132"/>
        <v>0</v>
      </c>
      <c r="AN177" s="55">
        <f t="shared" si="132"/>
        <v>0</v>
      </c>
      <c r="AO177" s="55">
        <f t="shared" si="132"/>
        <v>0</v>
      </c>
      <c r="AP177" s="55">
        <f t="shared" si="132"/>
        <v>0</v>
      </c>
      <c r="AQ177" s="55">
        <f t="shared" si="132"/>
        <v>0</v>
      </c>
      <c r="AR177" s="55">
        <f t="shared" si="132"/>
        <v>0</v>
      </c>
      <c r="AS177" s="55">
        <f t="shared" si="132"/>
        <v>0</v>
      </c>
      <c r="AT177" s="55">
        <f t="shared" si="132"/>
        <v>0</v>
      </c>
      <c r="AU177" s="55">
        <f t="shared" si="132"/>
        <v>0</v>
      </c>
      <c r="AV177" s="55">
        <f t="shared" si="132"/>
        <v>0</v>
      </c>
      <c r="AW177" s="55">
        <f t="shared" si="132"/>
        <v>0</v>
      </c>
      <c r="AX177" s="55">
        <f t="shared" si="132"/>
        <v>0</v>
      </c>
      <c r="AY177" s="55">
        <f t="shared" si="132"/>
        <v>0</v>
      </c>
      <c r="AZ177" s="55">
        <f t="shared" si="132"/>
        <v>0</v>
      </c>
      <c r="BA177" s="55">
        <f t="shared" si="132"/>
        <v>0</v>
      </c>
      <c r="BB177" s="55">
        <f t="shared" si="132"/>
        <v>0</v>
      </c>
      <c r="BC177" s="55">
        <f t="shared" si="132"/>
        <v>0</v>
      </c>
      <c r="BD177" s="55">
        <f t="shared" si="132"/>
        <v>0</v>
      </c>
      <c r="BE177" s="55">
        <f t="shared" si="132"/>
        <v>0</v>
      </c>
      <c r="BF177" s="55">
        <f t="shared" si="132"/>
        <v>0</v>
      </c>
      <c r="BG177" s="55">
        <f t="shared" si="132"/>
        <v>0</v>
      </c>
      <c r="BH177" s="55">
        <f t="shared" si="132"/>
        <v>0</v>
      </c>
      <c r="BI177" s="55">
        <f t="shared" si="132"/>
        <v>0</v>
      </c>
      <c r="BJ177" s="55">
        <f t="shared" si="132"/>
        <v>0</v>
      </c>
    </row>
    <row r="178" spans="1:62" x14ac:dyDescent="0.3">
      <c r="A178" s="53" t="str">
        <f t="shared" si="104"/>
        <v>project 100</v>
      </c>
      <c r="C178" s="55">
        <f t="shared" ref="C178:AH178" si="133">IF(AND(C$127&gt;=$I70,C$127&lt;$I70+$F70),INDEX($T70:$AI70,C$127-$I70+1),0)</f>
        <v>9.6999999999999993</v>
      </c>
      <c r="D178" s="55">
        <f t="shared" si="133"/>
        <v>8.2843137254901968</v>
      </c>
      <c r="E178" s="55">
        <f t="shared" si="133"/>
        <v>0</v>
      </c>
      <c r="F178" s="55">
        <f t="shared" si="133"/>
        <v>0</v>
      </c>
      <c r="G178" s="55">
        <f t="shared" si="133"/>
        <v>0</v>
      </c>
      <c r="H178" s="55">
        <f t="shared" si="133"/>
        <v>0</v>
      </c>
      <c r="I178" s="55">
        <f t="shared" si="133"/>
        <v>0</v>
      </c>
      <c r="J178" s="55">
        <f t="shared" si="133"/>
        <v>0</v>
      </c>
      <c r="K178" s="55">
        <f t="shared" si="133"/>
        <v>0</v>
      </c>
      <c r="L178" s="55">
        <f t="shared" si="133"/>
        <v>0</v>
      </c>
      <c r="M178" s="55">
        <f t="shared" si="133"/>
        <v>0</v>
      </c>
      <c r="N178" s="55">
        <f t="shared" si="133"/>
        <v>0</v>
      </c>
      <c r="O178" s="55">
        <f t="shared" si="133"/>
        <v>0</v>
      </c>
      <c r="P178" s="55">
        <f t="shared" si="133"/>
        <v>0</v>
      </c>
      <c r="Q178" s="55">
        <f t="shared" si="133"/>
        <v>0</v>
      </c>
      <c r="R178" s="55">
        <f t="shared" si="133"/>
        <v>0</v>
      </c>
      <c r="S178" s="55">
        <f t="shared" si="133"/>
        <v>0</v>
      </c>
      <c r="T178" s="55">
        <f t="shared" si="133"/>
        <v>0</v>
      </c>
      <c r="U178" s="55">
        <f t="shared" si="133"/>
        <v>0</v>
      </c>
      <c r="V178" s="55">
        <f t="shared" si="133"/>
        <v>0</v>
      </c>
      <c r="W178" s="55">
        <f t="shared" si="133"/>
        <v>0</v>
      </c>
      <c r="X178" s="55">
        <f t="shared" si="133"/>
        <v>0</v>
      </c>
      <c r="Y178" s="55">
        <f t="shared" si="133"/>
        <v>0</v>
      </c>
      <c r="Z178" s="55">
        <f t="shared" si="133"/>
        <v>0</v>
      </c>
      <c r="AA178" s="55">
        <f t="shared" si="133"/>
        <v>0</v>
      </c>
      <c r="AB178" s="55">
        <f t="shared" si="133"/>
        <v>0</v>
      </c>
      <c r="AC178" s="55">
        <f t="shared" si="133"/>
        <v>0</v>
      </c>
      <c r="AD178" s="55">
        <f t="shared" si="133"/>
        <v>0</v>
      </c>
      <c r="AE178" s="55">
        <f t="shared" si="133"/>
        <v>0</v>
      </c>
      <c r="AF178" s="55">
        <f t="shared" si="133"/>
        <v>0</v>
      </c>
      <c r="AG178" s="55">
        <f t="shared" si="133"/>
        <v>0</v>
      </c>
      <c r="AH178" s="55">
        <f t="shared" si="133"/>
        <v>0</v>
      </c>
      <c r="AI178" s="55">
        <f t="shared" ref="AI178:BJ178" si="134">IF(AND(AI$127&gt;=$I70,AI$127&lt;$I70+$F70),INDEX($T70:$AI70,AI$127-$I70+1),0)</f>
        <v>0</v>
      </c>
      <c r="AJ178" s="55">
        <f t="shared" si="134"/>
        <v>0</v>
      </c>
      <c r="AK178" s="55">
        <f t="shared" si="134"/>
        <v>0</v>
      </c>
      <c r="AL178" s="55">
        <f t="shared" si="134"/>
        <v>0</v>
      </c>
      <c r="AM178" s="55">
        <f t="shared" si="134"/>
        <v>0</v>
      </c>
      <c r="AN178" s="55">
        <f t="shared" si="134"/>
        <v>0</v>
      </c>
      <c r="AO178" s="55">
        <f t="shared" si="134"/>
        <v>0</v>
      </c>
      <c r="AP178" s="55">
        <f t="shared" si="134"/>
        <v>0</v>
      </c>
      <c r="AQ178" s="55">
        <f t="shared" si="134"/>
        <v>0</v>
      </c>
      <c r="AR178" s="55">
        <f t="shared" si="134"/>
        <v>0</v>
      </c>
      <c r="AS178" s="55">
        <f t="shared" si="134"/>
        <v>0</v>
      </c>
      <c r="AT178" s="55">
        <f t="shared" si="134"/>
        <v>0</v>
      </c>
      <c r="AU178" s="55">
        <f t="shared" si="134"/>
        <v>0</v>
      </c>
      <c r="AV178" s="55">
        <f t="shared" si="134"/>
        <v>0</v>
      </c>
      <c r="AW178" s="55">
        <f t="shared" si="134"/>
        <v>0</v>
      </c>
      <c r="AX178" s="55">
        <f t="shared" si="134"/>
        <v>0</v>
      </c>
      <c r="AY178" s="55">
        <f t="shared" si="134"/>
        <v>0</v>
      </c>
      <c r="AZ178" s="55">
        <f t="shared" si="134"/>
        <v>0</v>
      </c>
      <c r="BA178" s="55">
        <f t="shared" si="134"/>
        <v>0</v>
      </c>
      <c r="BB178" s="55">
        <f t="shared" si="134"/>
        <v>0</v>
      </c>
      <c r="BC178" s="55">
        <f t="shared" si="134"/>
        <v>0</v>
      </c>
      <c r="BD178" s="55">
        <f t="shared" si="134"/>
        <v>0</v>
      </c>
      <c r="BE178" s="55">
        <f t="shared" si="134"/>
        <v>0</v>
      </c>
      <c r="BF178" s="55">
        <f t="shared" si="134"/>
        <v>0</v>
      </c>
      <c r="BG178" s="55">
        <f t="shared" si="134"/>
        <v>0</v>
      </c>
      <c r="BH178" s="55">
        <f t="shared" si="134"/>
        <v>0</v>
      </c>
      <c r="BI178" s="55">
        <f t="shared" si="134"/>
        <v>0</v>
      </c>
      <c r="BJ178" s="55">
        <f t="shared" si="134"/>
        <v>0</v>
      </c>
    </row>
    <row r="179" spans="1:62" x14ac:dyDescent="0.3">
      <c r="A179" s="53" t="str">
        <f t="shared" si="104"/>
        <v>project 101</v>
      </c>
      <c r="C179" s="55">
        <f t="shared" ref="C179:AH179" si="135">IF(AND(C$127&gt;=$I71,C$127&lt;$I71+$F71),INDEX($T71:$AI71,C$127-$I71+1),0)</f>
        <v>0</v>
      </c>
      <c r="D179" s="55">
        <f t="shared" si="135"/>
        <v>0</v>
      </c>
      <c r="E179" s="55">
        <f t="shared" si="135"/>
        <v>0</v>
      </c>
      <c r="F179" s="55">
        <f t="shared" si="135"/>
        <v>0</v>
      </c>
      <c r="G179" s="55">
        <f t="shared" si="135"/>
        <v>0</v>
      </c>
      <c r="H179" s="55">
        <f t="shared" si="135"/>
        <v>0</v>
      </c>
      <c r="I179" s="55">
        <f t="shared" si="135"/>
        <v>0</v>
      </c>
      <c r="J179" s="55">
        <f t="shared" si="135"/>
        <v>0</v>
      </c>
      <c r="K179" s="55">
        <f t="shared" si="135"/>
        <v>0</v>
      </c>
      <c r="L179" s="55">
        <f t="shared" si="135"/>
        <v>0</v>
      </c>
      <c r="M179" s="55">
        <f t="shared" si="135"/>
        <v>0</v>
      </c>
      <c r="N179" s="55">
        <f t="shared" si="135"/>
        <v>0</v>
      </c>
      <c r="O179" s="55">
        <f t="shared" si="135"/>
        <v>0</v>
      </c>
      <c r="P179" s="55">
        <f t="shared" si="135"/>
        <v>0</v>
      </c>
      <c r="Q179" s="55">
        <f t="shared" si="135"/>
        <v>0</v>
      </c>
      <c r="R179" s="55">
        <f t="shared" si="135"/>
        <v>0.57499999999999996</v>
      </c>
      <c r="S179" s="55">
        <f t="shared" si="135"/>
        <v>9.2156862745098049</v>
      </c>
      <c r="T179" s="55">
        <f t="shared" si="135"/>
        <v>5.1903114186851207</v>
      </c>
      <c r="U179" s="55">
        <f t="shared" si="135"/>
        <v>0</v>
      </c>
      <c r="V179" s="55">
        <f t="shared" si="135"/>
        <v>0</v>
      </c>
      <c r="W179" s="55">
        <f t="shared" si="135"/>
        <v>0</v>
      </c>
      <c r="X179" s="55">
        <f t="shared" si="135"/>
        <v>0</v>
      </c>
      <c r="Y179" s="55">
        <f t="shared" si="135"/>
        <v>0</v>
      </c>
      <c r="Z179" s="55">
        <f t="shared" si="135"/>
        <v>0</v>
      </c>
      <c r="AA179" s="55">
        <f t="shared" si="135"/>
        <v>0</v>
      </c>
      <c r="AB179" s="55">
        <f t="shared" si="135"/>
        <v>0</v>
      </c>
      <c r="AC179" s="55">
        <f t="shared" si="135"/>
        <v>0</v>
      </c>
      <c r="AD179" s="55">
        <f t="shared" si="135"/>
        <v>0</v>
      </c>
      <c r="AE179" s="55">
        <f t="shared" si="135"/>
        <v>0</v>
      </c>
      <c r="AF179" s="55">
        <f t="shared" si="135"/>
        <v>0</v>
      </c>
      <c r="AG179" s="55">
        <f t="shared" si="135"/>
        <v>0</v>
      </c>
      <c r="AH179" s="55">
        <f t="shared" si="135"/>
        <v>0</v>
      </c>
      <c r="AI179" s="55">
        <f t="shared" ref="AI179:BJ179" si="136">IF(AND(AI$127&gt;=$I71,AI$127&lt;$I71+$F71),INDEX($T71:$AI71,AI$127-$I71+1),0)</f>
        <v>0</v>
      </c>
      <c r="AJ179" s="55">
        <f t="shared" si="136"/>
        <v>0</v>
      </c>
      <c r="AK179" s="55">
        <f t="shared" si="136"/>
        <v>0</v>
      </c>
      <c r="AL179" s="55">
        <f t="shared" si="136"/>
        <v>0</v>
      </c>
      <c r="AM179" s="55">
        <f t="shared" si="136"/>
        <v>0</v>
      </c>
      <c r="AN179" s="55">
        <f t="shared" si="136"/>
        <v>0</v>
      </c>
      <c r="AO179" s="55">
        <f t="shared" si="136"/>
        <v>0</v>
      </c>
      <c r="AP179" s="55">
        <f t="shared" si="136"/>
        <v>0</v>
      </c>
      <c r="AQ179" s="55">
        <f t="shared" si="136"/>
        <v>0</v>
      </c>
      <c r="AR179" s="55">
        <f t="shared" si="136"/>
        <v>0</v>
      </c>
      <c r="AS179" s="55">
        <f t="shared" si="136"/>
        <v>0</v>
      </c>
      <c r="AT179" s="55">
        <f t="shared" si="136"/>
        <v>0</v>
      </c>
      <c r="AU179" s="55">
        <f t="shared" si="136"/>
        <v>0</v>
      </c>
      <c r="AV179" s="55">
        <f t="shared" si="136"/>
        <v>0</v>
      </c>
      <c r="AW179" s="55">
        <f t="shared" si="136"/>
        <v>0</v>
      </c>
      <c r="AX179" s="55">
        <f t="shared" si="136"/>
        <v>0</v>
      </c>
      <c r="AY179" s="55">
        <f t="shared" si="136"/>
        <v>0</v>
      </c>
      <c r="AZ179" s="55">
        <f t="shared" si="136"/>
        <v>0</v>
      </c>
      <c r="BA179" s="55">
        <f t="shared" si="136"/>
        <v>0</v>
      </c>
      <c r="BB179" s="55">
        <f t="shared" si="136"/>
        <v>0</v>
      </c>
      <c r="BC179" s="55">
        <f t="shared" si="136"/>
        <v>0</v>
      </c>
      <c r="BD179" s="55">
        <f t="shared" si="136"/>
        <v>0</v>
      </c>
      <c r="BE179" s="55">
        <f t="shared" si="136"/>
        <v>0</v>
      </c>
      <c r="BF179" s="55">
        <f t="shared" si="136"/>
        <v>0</v>
      </c>
      <c r="BG179" s="55">
        <f t="shared" si="136"/>
        <v>0</v>
      </c>
      <c r="BH179" s="55">
        <f t="shared" si="136"/>
        <v>0</v>
      </c>
      <c r="BI179" s="55">
        <f t="shared" si="136"/>
        <v>0</v>
      </c>
      <c r="BJ179" s="55">
        <f t="shared" si="136"/>
        <v>0</v>
      </c>
    </row>
    <row r="180" spans="1:62" x14ac:dyDescent="0.3">
      <c r="A180" s="53" t="str">
        <f t="shared" si="104"/>
        <v>project 103</v>
      </c>
      <c r="C180" s="55">
        <f t="shared" ref="C180:AH180" si="137">IF(AND(C$127&gt;=$I72,C$127&lt;$I72+$F72),INDEX($T72:$AI72,C$127-$I72+1),0)</f>
        <v>0</v>
      </c>
      <c r="D180" s="55">
        <f t="shared" si="137"/>
        <v>0</v>
      </c>
      <c r="E180" s="55">
        <f t="shared" si="137"/>
        <v>0</v>
      </c>
      <c r="F180" s="55">
        <f t="shared" si="137"/>
        <v>0</v>
      </c>
      <c r="G180" s="55">
        <f t="shared" si="137"/>
        <v>0</v>
      </c>
      <c r="H180" s="55">
        <f t="shared" si="137"/>
        <v>0</v>
      </c>
      <c r="I180" s="55">
        <f t="shared" si="137"/>
        <v>0</v>
      </c>
      <c r="J180" s="55">
        <f t="shared" si="137"/>
        <v>0</v>
      </c>
      <c r="K180" s="55">
        <f t="shared" si="137"/>
        <v>0</v>
      </c>
      <c r="L180" s="55">
        <f t="shared" si="137"/>
        <v>0</v>
      </c>
      <c r="M180" s="55">
        <f t="shared" si="137"/>
        <v>0</v>
      </c>
      <c r="N180" s="55">
        <f t="shared" si="137"/>
        <v>0</v>
      </c>
      <c r="O180" s="55">
        <f t="shared" si="137"/>
        <v>0</v>
      </c>
      <c r="P180" s="55">
        <f t="shared" si="137"/>
        <v>0</v>
      </c>
      <c r="Q180" s="55">
        <f t="shared" si="137"/>
        <v>0</v>
      </c>
      <c r="R180" s="55">
        <f t="shared" si="137"/>
        <v>5.6099999999999997E-2</v>
      </c>
      <c r="S180" s="55">
        <f t="shared" si="137"/>
        <v>1.1499999999999999</v>
      </c>
      <c r="T180" s="55">
        <f t="shared" si="137"/>
        <v>2.892156862745098</v>
      </c>
      <c r="U180" s="55">
        <f t="shared" si="137"/>
        <v>0</v>
      </c>
      <c r="V180" s="55">
        <f t="shared" si="137"/>
        <v>0</v>
      </c>
      <c r="W180" s="55">
        <f t="shared" si="137"/>
        <v>0</v>
      </c>
      <c r="X180" s="55">
        <f t="shared" si="137"/>
        <v>0</v>
      </c>
      <c r="Y180" s="55">
        <f t="shared" si="137"/>
        <v>0</v>
      </c>
      <c r="Z180" s="55">
        <f t="shared" si="137"/>
        <v>0</v>
      </c>
      <c r="AA180" s="55">
        <f t="shared" si="137"/>
        <v>0</v>
      </c>
      <c r="AB180" s="55">
        <f t="shared" si="137"/>
        <v>0</v>
      </c>
      <c r="AC180" s="55">
        <f t="shared" si="137"/>
        <v>0</v>
      </c>
      <c r="AD180" s="55">
        <f t="shared" si="137"/>
        <v>0</v>
      </c>
      <c r="AE180" s="55">
        <f t="shared" si="137"/>
        <v>0</v>
      </c>
      <c r="AF180" s="55">
        <f t="shared" si="137"/>
        <v>0</v>
      </c>
      <c r="AG180" s="55">
        <f t="shared" si="137"/>
        <v>0</v>
      </c>
      <c r="AH180" s="55">
        <f t="shared" si="137"/>
        <v>0</v>
      </c>
      <c r="AI180" s="55">
        <f t="shared" ref="AI180:BJ180" si="138">IF(AND(AI$127&gt;=$I72,AI$127&lt;$I72+$F72),INDEX($T72:$AI72,AI$127-$I72+1),0)</f>
        <v>0</v>
      </c>
      <c r="AJ180" s="55">
        <f t="shared" si="138"/>
        <v>0</v>
      </c>
      <c r="AK180" s="55">
        <f t="shared" si="138"/>
        <v>0</v>
      </c>
      <c r="AL180" s="55">
        <f t="shared" si="138"/>
        <v>0</v>
      </c>
      <c r="AM180" s="55">
        <f t="shared" si="138"/>
        <v>0</v>
      </c>
      <c r="AN180" s="55">
        <f t="shared" si="138"/>
        <v>0</v>
      </c>
      <c r="AO180" s="55">
        <f t="shared" si="138"/>
        <v>0</v>
      </c>
      <c r="AP180" s="55">
        <f t="shared" si="138"/>
        <v>0</v>
      </c>
      <c r="AQ180" s="55">
        <f t="shared" si="138"/>
        <v>0</v>
      </c>
      <c r="AR180" s="55">
        <f t="shared" si="138"/>
        <v>0</v>
      </c>
      <c r="AS180" s="55">
        <f t="shared" si="138"/>
        <v>0</v>
      </c>
      <c r="AT180" s="55">
        <f t="shared" si="138"/>
        <v>0</v>
      </c>
      <c r="AU180" s="55">
        <f t="shared" si="138"/>
        <v>0</v>
      </c>
      <c r="AV180" s="55">
        <f t="shared" si="138"/>
        <v>0</v>
      </c>
      <c r="AW180" s="55">
        <f t="shared" si="138"/>
        <v>0</v>
      </c>
      <c r="AX180" s="55">
        <f t="shared" si="138"/>
        <v>0</v>
      </c>
      <c r="AY180" s="55">
        <f t="shared" si="138"/>
        <v>0</v>
      </c>
      <c r="AZ180" s="55">
        <f t="shared" si="138"/>
        <v>0</v>
      </c>
      <c r="BA180" s="55">
        <f t="shared" si="138"/>
        <v>0</v>
      </c>
      <c r="BB180" s="55">
        <f t="shared" si="138"/>
        <v>0</v>
      </c>
      <c r="BC180" s="55">
        <f t="shared" si="138"/>
        <v>0</v>
      </c>
      <c r="BD180" s="55">
        <f t="shared" si="138"/>
        <v>0</v>
      </c>
      <c r="BE180" s="55">
        <f t="shared" si="138"/>
        <v>0</v>
      </c>
      <c r="BF180" s="55">
        <f t="shared" si="138"/>
        <v>0</v>
      </c>
      <c r="BG180" s="55">
        <f t="shared" si="138"/>
        <v>0</v>
      </c>
      <c r="BH180" s="55">
        <f t="shared" si="138"/>
        <v>0</v>
      </c>
      <c r="BI180" s="55">
        <f t="shared" si="138"/>
        <v>0</v>
      </c>
      <c r="BJ180" s="55">
        <f t="shared" si="138"/>
        <v>0</v>
      </c>
    </row>
    <row r="181" spans="1:62" x14ac:dyDescent="0.3">
      <c r="A181" s="53" t="str">
        <f t="shared" si="104"/>
        <v>project 104</v>
      </c>
      <c r="C181" s="55">
        <f t="shared" ref="C181:AH181" si="139">IF(AND(C$127&gt;=$I73,C$127&lt;$I73+$F73),INDEX($T73:$AI73,C$127-$I73+1),0)</f>
        <v>0</v>
      </c>
      <c r="D181" s="55">
        <f t="shared" si="139"/>
        <v>0</v>
      </c>
      <c r="E181" s="55">
        <f t="shared" si="139"/>
        <v>0</v>
      </c>
      <c r="F181" s="55">
        <f t="shared" si="139"/>
        <v>0</v>
      </c>
      <c r="G181" s="55">
        <f t="shared" si="139"/>
        <v>0</v>
      </c>
      <c r="H181" s="55">
        <f t="shared" si="139"/>
        <v>0</v>
      </c>
      <c r="I181" s="55">
        <f t="shared" si="139"/>
        <v>0</v>
      </c>
      <c r="J181" s="55">
        <f t="shared" si="139"/>
        <v>0</v>
      </c>
      <c r="K181" s="55">
        <f t="shared" si="139"/>
        <v>0</v>
      </c>
      <c r="L181" s="55">
        <f t="shared" si="139"/>
        <v>0</v>
      </c>
      <c r="M181" s="55">
        <f t="shared" si="139"/>
        <v>0</v>
      </c>
      <c r="N181" s="55">
        <f t="shared" si="139"/>
        <v>0</v>
      </c>
      <c r="O181" s="55">
        <f t="shared" si="139"/>
        <v>0</v>
      </c>
      <c r="P181" s="55">
        <f t="shared" si="139"/>
        <v>0</v>
      </c>
      <c r="Q181" s="55">
        <f t="shared" si="139"/>
        <v>0</v>
      </c>
      <c r="R181" s="55">
        <f t="shared" si="139"/>
        <v>0</v>
      </c>
      <c r="S181" s="55">
        <f t="shared" si="139"/>
        <v>0.40799999999999997</v>
      </c>
      <c r="T181" s="55">
        <f t="shared" si="139"/>
        <v>0.66</v>
      </c>
      <c r="U181" s="55">
        <f t="shared" si="139"/>
        <v>0.36274509803921567</v>
      </c>
      <c r="V181" s="55">
        <f t="shared" si="139"/>
        <v>0</v>
      </c>
      <c r="W181" s="55">
        <f t="shared" si="139"/>
        <v>0</v>
      </c>
      <c r="X181" s="55">
        <f t="shared" si="139"/>
        <v>0</v>
      </c>
      <c r="Y181" s="55">
        <f t="shared" si="139"/>
        <v>0</v>
      </c>
      <c r="Z181" s="55">
        <f t="shared" si="139"/>
        <v>0</v>
      </c>
      <c r="AA181" s="55">
        <f t="shared" si="139"/>
        <v>0</v>
      </c>
      <c r="AB181" s="55">
        <f t="shared" si="139"/>
        <v>0</v>
      </c>
      <c r="AC181" s="55">
        <f t="shared" si="139"/>
        <v>0</v>
      </c>
      <c r="AD181" s="55">
        <f t="shared" si="139"/>
        <v>0</v>
      </c>
      <c r="AE181" s="55">
        <f t="shared" si="139"/>
        <v>0</v>
      </c>
      <c r="AF181" s="55">
        <f t="shared" si="139"/>
        <v>0</v>
      </c>
      <c r="AG181" s="55">
        <f t="shared" si="139"/>
        <v>0</v>
      </c>
      <c r="AH181" s="55">
        <f t="shared" si="139"/>
        <v>0</v>
      </c>
      <c r="AI181" s="55">
        <f t="shared" ref="AI181:BJ181" si="140">IF(AND(AI$127&gt;=$I73,AI$127&lt;$I73+$F73),INDEX($T73:$AI73,AI$127-$I73+1),0)</f>
        <v>0</v>
      </c>
      <c r="AJ181" s="55">
        <f t="shared" si="140"/>
        <v>0</v>
      </c>
      <c r="AK181" s="55">
        <f t="shared" si="140"/>
        <v>0</v>
      </c>
      <c r="AL181" s="55">
        <f t="shared" si="140"/>
        <v>0</v>
      </c>
      <c r="AM181" s="55">
        <f t="shared" si="140"/>
        <v>0</v>
      </c>
      <c r="AN181" s="55">
        <f t="shared" si="140"/>
        <v>0</v>
      </c>
      <c r="AO181" s="55">
        <f t="shared" si="140"/>
        <v>0</v>
      </c>
      <c r="AP181" s="55">
        <f t="shared" si="140"/>
        <v>0</v>
      </c>
      <c r="AQ181" s="55">
        <f t="shared" si="140"/>
        <v>0</v>
      </c>
      <c r="AR181" s="55">
        <f t="shared" si="140"/>
        <v>0</v>
      </c>
      <c r="AS181" s="55">
        <f t="shared" si="140"/>
        <v>0</v>
      </c>
      <c r="AT181" s="55">
        <f t="shared" si="140"/>
        <v>0</v>
      </c>
      <c r="AU181" s="55">
        <f t="shared" si="140"/>
        <v>0</v>
      </c>
      <c r="AV181" s="55">
        <f t="shared" si="140"/>
        <v>0</v>
      </c>
      <c r="AW181" s="55">
        <f t="shared" si="140"/>
        <v>0</v>
      </c>
      <c r="AX181" s="55">
        <f t="shared" si="140"/>
        <v>0</v>
      </c>
      <c r="AY181" s="55">
        <f t="shared" si="140"/>
        <v>0</v>
      </c>
      <c r="AZ181" s="55">
        <f t="shared" si="140"/>
        <v>0</v>
      </c>
      <c r="BA181" s="55">
        <f t="shared" si="140"/>
        <v>0</v>
      </c>
      <c r="BB181" s="55">
        <f t="shared" si="140"/>
        <v>0</v>
      </c>
      <c r="BC181" s="55">
        <f t="shared" si="140"/>
        <v>0</v>
      </c>
      <c r="BD181" s="55">
        <f t="shared" si="140"/>
        <v>0</v>
      </c>
      <c r="BE181" s="55">
        <f t="shared" si="140"/>
        <v>0</v>
      </c>
      <c r="BF181" s="55">
        <f t="shared" si="140"/>
        <v>0</v>
      </c>
      <c r="BG181" s="55">
        <f t="shared" si="140"/>
        <v>0</v>
      </c>
      <c r="BH181" s="55">
        <f t="shared" si="140"/>
        <v>0</v>
      </c>
      <c r="BI181" s="55">
        <f t="shared" si="140"/>
        <v>0</v>
      </c>
      <c r="BJ181" s="55">
        <f t="shared" si="140"/>
        <v>0</v>
      </c>
    </row>
    <row r="182" spans="1:62" x14ac:dyDescent="0.3">
      <c r="A182" s="53" t="str">
        <f t="shared" si="104"/>
        <v>project 106</v>
      </c>
      <c r="C182" s="55">
        <f t="shared" ref="C182:AH182" si="141">IF(AND(C$127&gt;=$I74,C$127&lt;$I74+$F74),INDEX($T74:$AI74,C$127-$I74+1),0)</f>
        <v>38.285617000000002</v>
      </c>
      <c r="D182" s="55">
        <f t="shared" si="141"/>
        <v>60.71757058823529</v>
      </c>
      <c r="E182" s="55">
        <f t="shared" si="141"/>
        <v>69.299691464821223</v>
      </c>
      <c r="F182" s="55">
        <f t="shared" si="141"/>
        <v>66.232339937128245</v>
      </c>
      <c r="G182" s="55">
        <f t="shared" si="141"/>
        <v>56.797080936693533</v>
      </c>
      <c r="H182" s="55">
        <f t="shared" si="141"/>
        <v>39.163724135657539</v>
      </c>
      <c r="I182" s="55">
        <f t="shared" si="141"/>
        <v>37.085806883251493</v>
      </c>
      <c r="J182" s="55">
        <f t="shared" si="141"/>
        <v>36.078342550238368</v>
      </c>
      <c r="K182" s="55">
        <f t="shared" si="141"/>
        <v>36.866892972810561</v>
      </c>
      <c r="L182" s="55">
        <f t="shared" si="141"/>
        <v>0</v>
      </c>
      <c r="M182" s="55">
        <f t="shared" si="141"/>
        <v>0</v>
      </c>
      <c r="N182" s="55">
        <f t="shared" si="141"/>
        <v>0</v>
      </c>
      <c r="O182" s="55">
        <f t="shared" si="141"/>
        <v>0</v>
      </c>
      <c r="P182" s="55">
        <f t="shared" si="141"/>
        <v>0</v>
      </c>
      <c r="Q182" s="55">
        <f t="shared" si="141"/>
        <v>0</v>
      </c>
      <c r="R182" s="55">
        <f t="shared" si="141"/>
        <v>0</v>
      </c>
      <c r="S182" s="55">
        <f t="shared" si="141"/>
        <v>0</v>
      </c>
      <c r="T182" s="55">
        <f t="shared" si="141"/>
        <v>0</v>
      </c>
      <c r="U182" s="55">
        <f t="shared" si="141"/>
        <v>0</v>
      </c>
      <c r="V182" s="55">
        <f t="shared" si="141"/>
        <v>0</v>
      </c>
      <c r="W182" s="55">
        <f t="shared" si="141"/>
        <v>0</v>
      </c>
      <c r="X182" s="55">
        <f t="shared" si="141"/>
        <v>0</v>
      </c>
      <c r="Y182" s="55">
        <f t="shared" si="141"/>
        <v>0</v>
      </c>
      <c r="Z182" s="55">
        <f t="shared" si="141"/>
        <v>0</v>
      </c>
      <c r="AA182" s="55">
        <f t="shared" si="141"/>
        <v>0</v>
      </c>
      <c r="AB182" s="55">
        <f t="shared" si="141"/>
        <v>0</v>
      </c>
      <c r="AC182" s="55">
        <f t="shared" si="141"/>
        <v>0</v>
      </c>
      <c r="AD182" s="55">
        <f t="shared" si="141"/>
        <v>0</v>
      </c>
      <c r="AE182" s="55">
        <f t="shared" si="141"/>
        <v>0</v>
      </c>
      <c r="AF182" s="55">
        <f t="shared" si="141"/>
        <v>0</v>
      </c>
      <c r="AG182" s="55">
        <f t="shared" si="141"/>
        <v>0</v>
      </c>
      <c r="AH182" s="55">
        <f t="shared" si="141"/>
        <v>0</v>
      </c>
      <c r="AI182" s="55">
        <f t="shared" ref="AI182:BJ182" si="142">IF(AND(AI$127&gt;=$I74,AI$127&lt;$I74+$F74),INDEX($T74:$AI74,AI$127-$I74+1),0)</f>
        <v>0</v>
      </c>
      <c r="AJ182" s="55">
        <f t="shared" si="142"/>
        <v>0</v>
      </c>
      <c r="AK182" s="55">
        <f t="shared" si="142"/>
        <v>0</v>
      </c>
      <c r="AL182" s="55">
        <f t="shared" si="142"/>
        <v>0</v>
      </c>
      <c r="AM182" s="55">
        <f t="shared" si="142"/>
        <v>0</v>
      </c>
      <c r="AN182" s="55">
        <f t="shared" si="142"/>
        <v>0</v>
      </c>
      <c r="AO182" s="55">
        <f t="shared" si="142"/>
        <v>0</v>
      </c>
      <c r="AP182" s="55">
        <f t="shared" si="142"/>
        <v>0</v>
      </c>
      <c r="AQ182" s="55">
        <f t="shared" si="142"/>
        <v>0</v>
      </c>
      <c r="AR182" s="55">
        <f t="shared" si="142"/>
        <v>0</v>
      </c>
      <c r="AS182" s="55">
        <f t="shared" si="142"/>
        <v>0</v>
      </c>
      <c r="AT182" s="55">
        <f t="shared" si="142"/>
        <v>0</v>
      </c>
      <c r="AU182" s="55">
        <f t="shared" si="142"/>
        <v>0</v>
      </c>
      <c r="AV182" s="55">
        <f t="shared" si="142"/>
        <v>0</v>
      </c>
      <c r="AW182" s="55">
        <f t="shared" si="142"/>
        <v>0</v>
      </c>
      <c r="AX182" s="55">
        <f t="shared" si="142"/>
        <v>0</v>
      </c>
      <c r="AY182" s="55">
        <f t="shared" si="142"/>
        <v>0</v>
      </c>
      <c r="AZ182" s="55">
        <f t="shared" si="142"/>
        <v>0</v>
      </c>
      <c r="BA182" s="55">
        <f t="shared" si="142"/>
        <v>0</v>
      </c>
      <c r="BB182" s="55">
        <f t="shared" si="142"/>
        <v>0</v>
      </c>
      <c r="BC182" s="55">
        <f t="shared" si="142"/>
        <v>0</v>
      </c>
      <c r="BD182" s="55">
        <f t="shared" si="142"/>
        <v>0</v>
      </c>
      <c r="BE182" s="55">
        <f t="shared" si="142"/>
        <v>0</v>
      </c>
      <c r="BF182" s="55">
        <f t="shared" si="142"/>
        <v>0</v>
      </c>
      <c r="BG182" s="55">
        <f t="shared" si="142"/>
        <v>0</v>
      </c>
      <c r="BH182" s="55">
        <f t="shared" si="142"/>
        <v>0</v>
      </c>
      <c r="BI182" s="55">
        <f t="shared" si="142"/>
        <v>0</v>
      </c>
      <c r="BJ182" s="55">
        <f t="shared" si="142"/>
        <v>0</v>
      </c>
    </row>
    <row r="183" spans="1:62" x14ac:dyDescent="0.3">
      <c r="A183" s="53" t="str">
        <f t="shared" si="104"/>
        <v>project 107</v>
      </c>
      <c r="C183" s="55">
        <f t="shared" ref="C183:AH183" si="143">IF(AND(C$127&gt;=$I75,C$127&lt;$I75+$F75),INDEX($T75:$AI75,C$127-$I75+1),0)</f>
        <v>0</v>
      </c>
      <c r="D183" s="55">
        <f t="shared" si="143"/>
        <v>0</v>
      </c>
      <c r="E183" s="55">
        <f t="shared" si="143"/>
        <v>2.2890000000000001</v>
      </c>
      <c r="F183" s="55">
        <f t="shared" si="143"/>
        <v>0</v>
      </c>
      <c r="G183" s="55">
        <f t="shared" si="143"/>
        <v>2.4096501345636301</v>
      </c>
      <c r="H183" s="55">
        <f t="shared" si="143"/>
        <v>2.36240209270944</v>
      </c>
      <c r="I183" s="55">
        <f t="shared" si="143"/>
        <v>1.8125847258640211</v>
      </c>
      <c r="J183" s="55">
        <f t="shared" si="143"/>
        <v>3.6528123560440511</v>
      </c>
      <c r="K183" s="55">
        <f t="shared" si="143"/>
        <v>9.412496651173635</v>
      </c>
      <c r="L183" s="55">
        <f t="shared" si="143"/>
        <v>196.63778034441779</v>
      </c>
      <c r="M183" s="55">
        <f t="shared" si="143"/>
        <v>206.9458103024663</v>
      </c>
      <c r="N183" s="55">
        <f t="shared" si="143"/>
        <v>0</v>
      </c>
      <c r="O183" s="55">
        <f t="shared" si="143"/>
        <v>0</v>
      </c>
      <c r="P183" s="55">
        <f t="shared" si="143"/>
        <v>0</v>
      </c>
      <c r="Q183" s="55">
        <f t="shared" si="143"/>
        <v>0</v>
      </c>
      <c r="R183" s="55">
        <f t="shared" si="143"/>
        <v>0</v>
      </c>
      <c r="S183" s="55">
        <f t="shared" si="143"/>
        <v>0</v>
      </c>
      <c r="T183" s="55">
        <f t="shared" si="143"/>
        <v>0</v>
      </c>
      <c r="U183" s="55">
        <f t="shared" si="143"/>
        <v>0</v>
      </c>
      <c r="V183" s="55">
        <f t="shared" si="143"/>
        <v>0</v>
      </c>
      <c r="W183" s="55">
        <f t="shared" si="143"/>
        <v>0</v>
      </c>
      <c r="X183" s="55">
        <f t="shared" si="143"/>
        <v>0</v>
      </c>
      <c r="Y183" s="55">
        <f t="shared" si="143"/>
        <v>0</v>
      </c>
      <c r="Z183" s="55">
        <f t="shared" si="143"/>
        <v>0</v>
      </c>
      <c r="AA183" s="55">
        <f t="shared" si="143"/>
        <v>0</v>
      </c>
      <c r="AB183" s="55">
        <f t="shared" si="143"/>
        <v>0</v>
      </c>
      <c r="AC183" s="55">
        <f t="shared" si="143"/>
        <v>0</v>
      </c>
      <c r="AD183" s="55">
        <f t="shared" si="143"/>
        <v>0</v>
      </c>
      <c r="AE183" s="55">
        <f t="shared" si="143"/>
        <v>0</v>
      </c>
      <c r="AF183" s="55">
        <f t="shared" si="143"/>
        <v>0</v>
      </c>
      <c r="AG183" s="55">
        <f t="shared" si="143"/>
        <v>0</v>
      </c>
      <c r="AH183" s="55">
        <f t="shared" si="143"/>
        <v>0</v>
      </c>
      <c r="AI183" s="55">
        <f t="shared" ref="AI183:BJ183" si="144">IF(AND(AI$127&gt;=$I75,AI$127&lt;$I75+$F75),INDEX($T75:$AI75,AI$127-$I75+1),0)</f>
        <v>0</v>
      </c>
      <c r="AJ183" s="55">
        <f t="shared" si="144"/>
        <v>0</v>
      </c>
      <c r="AK183" s="55">
        <f t="shared" si="144"/>
        <v>0</v>
      </c>
      <c r="AL183" s="55">
        <f t="shared" si="144"/>
        <v>0</v>
      </c>
      <c r="AM183" s="55">
        <f t="shared" si="144"/>
        <v>0</v>
      </c>
      <c r="AN183" s="55">
        <f t="shared" si="144"/>
        <v>0</v>
      </c>
      <c r="AO183" s="55">
        <f t="shared" si="144"/>
        <v>0</v>
      </c>
      <c r="AP183" s="55">
        <f t="shared" si="144"/>
        <v>0</v>
      </c>
      <c r="AQ183" s="55">
        <f t="shared" si="144"/>
        <v>0</v>
      </c>
      <c r="AR183" s="55">
        <f t="shared" si="144"/>
        <v>0</v>
      </c>
      <c r="AS183" s="55">
        <f t="shared" si="144"/>
        <v>0</v>
      </c>
      <c r="AT183" s="55">
        <f t="shared" si="144"/>
        <v>0</v>
      </c>
      <c r="AU183" s="55">
        <f t="shared" si="144"/>
        <v>0</v>
      </c>
      <c r="AV183" s="55">
        <f t="shared" si="144"/>
        <v>0</v>
      </c>
      <c r="AW183" s="55">
        <f t="shared" si="144"/>
        <v>0</v>
      </c>
      <c r="AX183" s="55">
        <f t="shared" si="144"/>
        <v>0</v>
      </c>
      <c r="AY183" s="55">
        <f t="shared" si="144"/>
        <v>0</v>
      </c>
      <c r="AZ183" s="55">
        <f t="shared" si="144"/>
        <v>0</v>
      </c>
      <c r="BA183" s="55">
        <f t="shared" si="144"/>
        <v>0</v>
      </c>
      <c r="BB183" s="55">
        <f t="shared" si="144"/>
        <v>0</v>
      </c>
      <c r="BC183" s="55">
        <f t="shared" si="144"/>
        <v>0</v>
      </c>
      <c r="BD183" s="55">
        <f t="shared" si="144"/>
        <v>0</v>
      </c>
      <c r="BE183" s="55">
        <f t="shared" si="144"/>
        <v>0</v>
      </c>
      <c r="BF183" s="55">
        <f t="shared" si="144"/>
        <v>0</v>
      </c>
      <c r="BG183" s="55">
        <f t="shared" si="144"/>
        <v>0</v>
      </c>
      <c r="BH183" s="55">
        <f t="shared" si="144"/>
        <v>0</v>
      </c>
      <c r="BI183" s="55">
        <f t="shared" si="144"/>
        <v>0</v>
      </c>
      <c r="BJ183" s="55">
        <f t="shared" si="144"/>
        <v>0</v>
      </c>
    </row>
    <row r="184" spans="1:62" x14ac:dyDescent="0.3">
      <c r="A184" s="53" t="str">
        <f t="shared" si="104"/>
        <v>project 108</v>
      </c>
      <c r="C184" s="55">
        <f t="shared" ref="C184:AH184" si="145">IF(AND(C$127&gt;=$I76,C$127&lt;$I76+$F76),INDEX($T76:$AI76,C$127-$I76+1),0)</f>
        <v>0</v>
      </c>
      <c r="D184" s="55">
        <f t="shared" si="145"/>
        <v>0</v>
      </c>
      <c r="E184" s="55">
        <f t="shared" si="145"/>
        <v>0</v>
      </c>
      <c r="F184" s="55">
        <f t="shared" si="145"/>
        <v>17.781622452902731</v>
      </c>
      <c r="G184" s="55">
        <f t="shared" si="145"/>
        <v>44.760310890984613</v>
      </c>
      <c r="H184" s="55">
        <f t="shared" si="145"/>
        <v>60.881413575147278</v>
      </c>
      <c r="I184" s="55">
        <f t="shared" si="145"/>
        <v>60.865110420570353</v>
      </c>
      <c r="J184" s="55">
        <f t="shared" si="145"/>
        <v>1.687145626153765</v>
      </c>
      <c r="K184" s="55">
        <f t="shared" si="145"/>
        <v>1.654064339366436</v>
      </c>
      <c r="L184" s="55">
        <f t="shared" si="145"/>
        <v>1.706980742380223</v>
      </c>
      <c r="M184" s="55">
        <f t="shared" si="145"/>
        <v>1.6735105317453161</v>
      </c>
      <c r="N184" s="55">
        <f t="shared" si="145"/>
        <v>0.82034829987515512</v>
      </c>
      <c r="O184" s="55">
        <f t="shared" si="145"/>
        <v>18.498049899145659</v>
      </c>
      <c r="P184" s="55">
        <f t="shared" si="145"/>
        <v>17.819945768145431</v>
      </c>
      <c r="Q184" s="55">
        <f t="shared" si="145"/>
        <v>2.164491070224154</v>
      </c>
      <c r="R184" s="55">
        <f t="shared" si="145"/>
        <v>17.8100630778248</v>
      </c>
      <c r="S184" s="55">
        <f t="shared" si="145"/>
        <v>17.83235351972445</v>
      </c>
      <c r="T184" s="55">
        <f t="shared" si="145"/>
        <v>17.04563204091308</v>
      </c>
      <c r="U184" s="55">
        <f t="shared" si="145"/>
        <v>17.068485242911962</v>
      </c>
      <c r="V184" s="55">
        <f t="shared" si="145"/>
        <v>0</v>
      </c>
      <c r="W184" s="55">
        <f t="shared" si="145"/>
        <v>0</v>
      </c>
      <c r="X184" s="55">
        <f t="shared" si="145"/>
        <v>0</v>
      </c>
      <c r="Y184" s="55">
        <f t="shared" si="145"/>
        <v>0</v>
      </c>
      <c r="Z184" s="55">
        <f t="shared" si="145"/>
        <v>0</v>
      </c>
      <c r="AA184" s="55">
        <f t="shared" si="145"/>
        <v>0</v>
      </c>
      <c r="AB184" s="55">
        <f t="shared" si="145"/>
        <v>0</v>
      </c>
      <c r="AC184" s="55">
        <f t="shared" si="145"/>
        <v>0</v>
      </c>
      <c r="AD184" s="55">
        <f t="shared" si="145"/>
        <v>0</v>
      </c>
      <c r="AE184" s="55">
        <f t="shared" si="145"/>
        <v>0</v>
      </c>
      <c r="AF184" s="55">
        <f t="shared" si="145"/>
        <v>0</v>
      </c>
      <c r="AG184" s="55">
        <f t="shared" si="145"/>
        <v>0</v>
      </c>
      <c r="AH184" s="55">
        <f t="shared" si="145"/>
        <v>0</v>
      </c>
      <c r="AI184" s="55">
        <f t="shared" ref="AI184:BJ184" si="146">IF(AND(AI$127&gt;=$I76,AI$127&lt;$I76+$F76),INDEX($T76:$AI76,AI$127-$I76+1),0)</f>
        <v>0</v>
      </c>
      <c r="AJ184" s="55">
        <f t="shared" si="146"/>
        <v>0</v>
      </c>
      <c r="AK184" s="55">
        <f t="shared" si="146"/>
        <v>0</v>
      </c>
      <c r="AL184" s="55">
        <f t="shared" si="146"/>
        <v>0</v>
      </c>
      <c r="AM184" s="55">
        <f t="shared" si="146"/>
        <v>0</v>
      </c>
      <c r="AN184" s="55">
        <f t="shared" si="146"/>
        <v>0</v>
      </c>
      <c r="AO184" s="55">
        <f t="shared" si="146"/>
        <v>0</v>
      </c>
      <c r="AP184" s="55">
        <f t="shared" si="146"/>
        <v>0</v>
      </c>
      <c r="AQ184" s="55">
        <f t="shared" si="146"/>
        <v>0</v>
      </c>
      <c r="AR184" s="55">
        <f t="shared" si="146"/>
        <v>0</v>
      </c>
      <c r="AS184" s="55">
        <f t="shared" si="146"/>
        <v>0</v>
      </c>
      <c r="AT184" s="55">
        <f t="shared" si="146"/>
        <v>0</v>
      </c>
      <c r="AU184" s="55">
        <f t="shared" si="146"/>
        <v>0</v>
      </c>
      <c r="AV184" s="55">
        <f t="shared" si="146"/>
        <v>0</v>
      </c>
      <c r="AW184" s="55">
        <f t="shared" si="146"/>
        <v>0</v>
      </c>
      <c r="AX184" s="55">
        <f t="shared" si="146"/>
        <v>0</v>
      </c>
      <c r="AY184" s="55">
        <f t="shared" si="146"/>
        <v>0</v>
      </c>
      <c r="AZ184" s="55">
        <f t="shared" si="146"/>
        <v>0</v>
      </c>
      <c r="BA184" s="55">
        <f t="shared" si="146"/>
        <v>0</v>
      </c>
      <c r="BB184" s="55">
        <f t="shared" si="146"/>
        <v>0</v>
      </c>
      <c r="BC184" s="55">
        <f t="shared" si="146"/>
        <v>0</v>
      </c>
      <c r="BD184" s="55">
        <f t="shared" si="146"/>
        <v>0</v>
      </c>
      <c r="BE184" s="55">
        <f t="shared" si="146"/>
        <v>0</v>
      </c>
      <c r="BF184" s="55">
        <f t="shared" si="146"/>
        <v>0</v>
      </c>
      <c r="BG184" s="55">
        <f t="shared" si="146"/>
        <v>0</v>
      </c>
      <c r="BH184" s="55">
        <f t="shared" si="146"/>
        <v>0</v>
      </c>
      <c r="BI184" s="55">
        <f t="shared" si="146"/>
        <v>0</v>
      </c>
      <c r="BJ184" s="55">
        <f t="shared" si="146"/>
        <v>0</v>
      </c>
    </row>
    <row r="185" spans="1:62" x14ac:dyDescent="0.3">
      <c r="A185" s="53" t="str">
        <f t="shared" si="104"/>
        <v>project 110</v>
      </c>
      <c r="C185" s="55">
        <f t="shared" ref="C185:AH185" si="147">IF(AND(C$127&gt;=$I77,C$127&lt;$I77+$F77),INDEX($T77:$AI77,C$127-$I77+1),0)</f>
        <v>0</v>
      </c>
      <c r="D185" s="55">
        <f t="shared" si="147"/>
        <v>0</v>
      </c>
      <c r="E185" s="55">
        <f t="shared" si="147"/>
        <v>0</v>
      </c>
      <c r="F185" s="55">
        <f t="shared" si="147"/>
        <v>0</v>
      </c>
      <c r="G185" s="55">
        <f t="shared" si="147"/>
        <v>0</v>
      </c>
      <c r="H185" s="55">
        <f t="shared" si="147"/>
        <v>0</v>
      </c>
      <c r="I185" s="55">
        <f t="shared" si="147"/>
        <v>0</v>
      </c>
      <c r="J185" s="55">
        <f t="shared" si="147"/>
        <v>9.0525000000000002</v>
      </c>
      <c r="K185" s="55">
        <f t="shared" si="147"/>
        <v>0</v>
      </c>
      <c r="L185" s="55">
        <f t="shared" si="147"/>
        <v>1.257208765859285</v>
      </c>
      <c r="M185" s="55">
        <f t="shared" si="147"/>
        <v>0</v>
      </c>
      <c r="N185" s="55">
        <f t="shared" si="147"/>
        <v>30.71324118825147</v>
      </c>
      <c r="O185" s="55">
        <f t="shared" si="147"/>
        <v>85.076200698133832</v>
      </c>
      <c r="P185" s="55">
        <f t="shared" si="147"/>
        <v>95.90090927610872</v>
      </c>
      <c r="Q185" s="55">
        <f t="shared" si="147"/>
        <v>108.73296630887781</v>
      </c>
      <c r="R185" s="55">
        <f t="shared" si="147"/>
        <v>0</v>
      </c>
      <c r="S185" s="55">
        <f t="shared" si="147"/>
        <v>0</v>
      </c>
      <c r="T185" s="55">
        <f t="shared" si="147"/>
        <v>0</v>
      </c>
      <c r="U185" s="55">
        <f t="shared" si="147"/>
        <v>0</v>
      </c>
      <c r="V185" s="55">
        <f t="shared" si="147"/>
        <v>0</v>
      </c>
      <c r="W185" s="55">
        <f t="shared" si="147"/>
        <v>0</v>
      </c>
      <c r="X185" s="55">
        <f t="shared" si="147"/>
        <v>0</v>
      </c>
      <c r="Y185" s="55">
        <f t="shared" si="147"/>
        <v>0</v>
      </c>
      <c r="Z185" s="55">
        <f t="shared" si="147"/>
        <v>0</v>
      </c>
      <c r="AA185" s="55">
        <f t="shared" si="147"/>
        <v>0</v>
      </c>
      <c r="AB185" s="55">
        <f t="shared" si="147"/>
        <v>0</v>
      </c>
      <c r="AC185" s="55">
        <f t="shared" si="147"/>
        <v>0</v>
      </c>
      <c r="AD185" s="55">
        <f t="shared" si="147"/>
        <v>0</v>
      </c>
      <c r="AE185" s="55">
        <f t="shared" si="147"/>
        <v>0</v>
      </c>
      <c r="AF185" s="55">
        <f t="shared" si="147"/>
        <v>0</v>
      </c>
      <c r="AG185" s="55">
        <f t="shared" si="147"/>
        <v>0</v>
      </c>
      <c r="AH185" s="55">
        <f t="shared" si="147"/>
        <v>0</v>
      </c>
      <c r="AI185" s="55">
        <f t="shared" ref="AI185:BJ185" si="148">IF(AND(AI$127&gt;=$I77,AI$127&lt;$I77+$F77),INDEX($T77:$AI77,AI$127-$I77+1),0)</f>
        <v>0</v>
      </c>
      <c r="AJ185" s="55">
        <f t="shared" si="148"/>
        <v>0</v>
      </c>
      <c r="AK185" s="55">
        <f t="shared" si="148"/>
        <v>0</v>
      </c>
      <c r="AL185" s="55">
        <f t="shared" si="148"/>
        <v>0</v>
      </c>
      <c r="AM185" s="55">
        <f t="shared" si="148"/>
        <v>0</v>
      </c>
      <c r="AN185" s="55">
        <f t="shared" si="148"/>
        <v>0</v>
      </c>
      <c r="AO185" s="55">
        <f t="shared" si="148"/>
        <v>0</v>
      </c>
      <c r="AP185" s="55">
        <f t="shared" si="148"/>
        <v>0</v>
      </c>
      <c r="AQ185" s="55">
        <f t="shared" si="148"/>
        <v>0</v>
      </c>
      <c r="AR185" s="55">
        <f t="shared" si="148"/>
        <v>0</v>
      </c>
      <c r="AS185" s="55">
        <f t="shared" si="148"/>
        <v>0</v>
      </c>
      <c r="AT185" s="55">
        <f t="shared" si="148"/>
        <v>0</v>
      </c>
      <c r="AU185" s="55">
        <f t="shared" si="148"/>
        <v>0</v>
      </c>
      <c r="AV185" s="55">
        <f t="shared" si="148"/>
        <v>0</v>
      </c>
      <c r="AW185" s="55">
        <f t="shared" si="148"/>
        <v>0</v>
      </c>
      <c r="AX185" s="55">
        <f t="shared" si="148"/>
        <v>0</v>
      </c>
      <c r="AY185" s="55">
        <f t="shared" si="148"/>
        <v>0</v>
      </c>
      <c r="AZ185" s="55">
        <f t="shared" si="148"/>
        <v>0</v>
      </c>
      <c r="BA185" s="55">
        <f t="shared" si="148"/>
        <v>0</v>
      </c>
      <c r="BB185" s="55">
        <f t="shared" si="148"/>
        <v>0</v>
      </c>
      <c r="BC185" s="55">
        <f t="shared" si="148"/>
        <v>0</v>
      </c>
      <c r="BD185" s="55">
        <f t="shared" si="148"/>
        <v>0</v>
      </c>
      <c r="BE185" s="55">
        <f t="shared" si="148"/>
        <v>0</v>
      </c>
      <c r="BF185" s="55">
        <f t="shared" si="148"/>
        <v>0</v>
      </c>
      <c r="BG185" s="55">
        <f t="shared" si="148"/>
        <v>0</v>
      </c>
      <c r="BH185" s="55">
        <f t="shared" si="148"/>
        <v>0</v>
      </c>
      <c r="BI185" s="55">
        <f t="shared" si="148"/>
        <v>0</v>
      </c>
      <c r="BJ185" s="55">
        <f t="shared" si="148"/>
        <v>0</v>
      </c>
    </row>
    <row r="186" spans="1:62" x14ac:dyDescent="0.3">
      <c r="A186" s="53" t="str">
        <f t="shared" si="104"/>
        <v>project 112</v>
      </c>
      <c r="C186" s="55">
        <f t="shared" ref="C186:AH186" si="149">IF(AND(C$127&gt;=$I78,C$127&lt;$I78+$F78),INDEX($T78:$AI78,C$127-$I78+1),0)</f>
        <v>0</v>
      </c>
      <c r="D186" s="55">
        <f t="shared" si="149"/>
        <v>0</v>
      </c>
      <c r="E186" s="55">
        <f t="shared" si="149"/>
        <v>0</v>
      </c>
      <c r="F186" s="55">
        <f t="shared" si="149"/>
        <v>0</v>
      </c>
      <c r="G186" s="55">
        <f t="shared" si="149"/>
        <v>0</v>
      </c>
      <c r="H186" s="55">
        <f t="shared" si="149"/>
        <v>0</v>
      </c>
      <c r="I186" s="55">
        <f t="shared" si="149"/>
        <v>46.741379999999999</v>
      </c>
      <c r="J186" s="55">
        <f t="shared" si="149"/>
        <v>136.11642156862749</v>
      </c>
      <c r="K186" s="55">
        <f t="shared" si="149"/>
        <v>66.411764705882362</v>
      </c>
      <c r="L186" s="55">
        <f t="shared" si="149"/>
        <v>0</v>
      </c>
      <c r="M186" s="55">
        <f t="shared" si="149"/>
        <v>0</v>
      </c>
      <c r="N186" s="55">
        <f t="shared" si="149"/>
        <v>0</v>
      </c>
      <c r="O186" s="55">
        <f t="shared" si="149"/>
        <v>0</v>
      </c>
      <c r="P186" s="55">
        <f t="shared" si="149"/>
        <v>0</v>
      </c>
      <c r="Q186" s="55">
        <f t="shared" si="149"/>
        <v>0</v>
      </c>
      <c r="R186" s="55">
        <f t="shared" si="149"/>
        <v>0</v>
      </c>
      <c r="S186" s="55">
        <f t="shared" si="149"/>
        <v>0</v>
      </c>
      <c r="T186" s="55">
        <f t="shared" si="149"/>
        <v>0</v>
      </c>
      <c r="U186" s="55">
        <f t="shared" si="149"/>
        <v>0</v>
      </c>
      <c r="V186" s="55">
        <f t="shared" si="149"/>
        <v>0</v>
      </c>
      <c r="W186" s="55">
        <f t="shared" si="149"/>
        <v>0</v>
      </c>
      <c r="X186" s="55">
        <f t="shared" si="149"/>
        <v>0</v>
      </c>
      <c r="Y186" s="55">
        <f t="shared" si="149"/>
        <v>0</v>
      </c>
      <c r="Z186" s="55">
        <f t="shared" si="149"/>
        <v>0</v>
      </c>
      <c r="AA186" s="55">
        <f t="shared" si="149"/>
        <v>0</v>
      </c>
      <c r="AB186" s="55">
        <f t="shared" si="149"/>
        <v>0</v>
      </c>
      <c r="AC186" s="55">
        <f t="shared" si="149"/>
        <v>0</v>
      </c>
      <c r="AD186" s="55">
        <f t="shared" si="149"/>
        <v>0</v>
      </c>
      <c r="AE186" s="55">
        <f t="shared" si="149"/>
        <v>0</v>
      </c>
      <c r="AF186" s="55">
        <f t="shared" si="149"/>
        <v>0</v>
      </c>
      <c r="AG186" s="55">
        <f t="shared" si="149"/>
        <v>0</v>
      </c>
      <c r="AH186" s="55">
        <f t="shared" si="149"/>
        <v>0</v>
      </c>
      <c r="AI186" s="55">
        <f t="shared" ref="AI186:BJ186" si="150">IF(AND(AI$127&gt;=$I78,AI$127&lt;$I78+$F78),INDEX($T78:$AI78,AI$127-$I78+1),0)</f>
        <v>0</v>
      </c>
      <c r="AJ186" s="55">
        <f t="shared" si="150"/>
        <v>0</v>
      </c>
      <c r="AK186" s="55">
        <f t="shared" si="150"/>
        <v>0</v>
      </c>
      <c r="AL186" s="55">
        <f t="shared" si="150"/>
        <v>0</v>
      </c>
      <c r="AM186" s="55">
        <f t="shared" si="150"/>
        <v>0</v>
      </c>
      <c r="AN186" s="55">
        <f t="shared" si="150"/>
        <v>0</v>
      </c>
      <c r="AO186" s="55">
        <f t="shared" si="150"/>
        <v>0</v>
      </c>
      <c r="AP186" s="55">
        <f t="shared" si="150"/>
        <v>0</v>
      </c>
      <c r="AQ186" s="55">
        <f t="shared" si="150"/>
        <v>0</v>
      </c>
      <c r="AR186" s="55">
        <f t="shared" si="150"/>
        <v>0</v>
      </c>
      <c r="AS186" s="55">
        <f t="shared" si="150"/>
        <v>0</v>
      </c>
      <c r="AT186" s="55">
        <f t="shared" si="150"/>
        <v>0</v>
      </c>
      <c r="AU186" s="55">
        <f t="shared" si="150"/>
        <v>0</v>
      </c>
      <c r="AV186" s="55">
        <f t="shared" si="150"/>
        <v>0</v>
      </c>
      <c r="AW186" s="55">
        <f t="shared" si="150"/>
        <v>0</v>
      </c>
      <c r="AX186" s="55">
        <f t="shared" si="150"/>
        <v>0</v>
      </c>
      <c r="AY186" s="55">
        <f t="shared" si="150"/>
        <v>0</v>
      </c>
      <c r="AZ186" s="55">
        <f t="shared" si="150"/>
        <v>0</v>
      </c>
      <c r="BA186" s="55">
        <f t="shared" si="150"/>
        <v>0</v>
      </c>
      <c r="BB186" s="55">
        <f t="shared" si="150"/>
        <v>0</v>
      </c>
      <c r="BC186" s="55">
        <f t="shared" si="150"/>
        <v>0</v>
      </c>
      <c r="BD186" s="55">
        <f t="shared" si="150"/>
        <v>0</v>
      </c>
      <c r="BE186" s="55">
        <f t="shared" si="150"/>
        <v>0</v>
      </c>
      <c r="BF186" s="55">
        <f t="shared" si="150"/>
        <v>0</v>
      </c>
      <c r="BG186" s="55">
        <f t="shared" si="150"/>
        <v>0</v>
      </c>
      <c r="BH186" s="55">
        <f t="shared" si="150"/>
        <v>0</v>
      </c>
      <c r="BI186" s="55">
        <f t="shared" si="150"/>
        <v>0</v>
      </c>
      <c r="BJ186" s="55">
        <f t="shared" si="150"/>
        <v>0</v>
      </c>
    </row>
    <row r="187" spans="1:62" x14ac:dyDescent="0.3">
      <c r="A187" s="53" t="str">
        <f t="shared" si="104"/>
        <v>project 116</v>
      </c>
      <c r="C187" s="55">
        <f t="shared" ref="C187:AH187" si="151">IF(AND(C$127&gt;=$I79,C$127&lt;$I79+$F79),INDEX($T79:$AI79,C$127-$I79+1),0)</f>
        <v>37.162975645512972</v>
      </c>
      <c r="D187" s="55">
        <f t="shared" si="151"/>
        <v>36.434289848542129</v>
      </c>
      <c r="E187" s="55">
        <f t="shared" si="151"/>
        <v>35.773170291305803</v>
      </c>
      <c r="F187" s="55">
        <f t="shared" si="151"/>
        <v>35.071735579711579</v>
      </c>
      <c r="G187" s="55">
        <f t="shared" si="151"/>
        <v>34.384054489913296</v>
      </c>
      <c r="H187" s="55">
        <f t="shared" si="151"/>
        <v>0</v>
      </c>
      <c r="I187" s="55">
        <f t="shared" si="151"/>
        <v>0</v>
      </c>
      <c r="J187" s="55">
        <f t="shared" si="151"/>
        <v>0</v>
      </c>
      <c r="K187" s="55">
        <f t="shared" si="151"/>
        <v>0</v>
      </c>
      <c r="L187" s="55">
        <f t="shared" si="151"/>
        <v>0</v>
      </c>
      <c r="M187" s="55">
        <f t="shared" si="151"/>
        <v>0</v>
      </c>
      <c r="N187" s="55">
        <f t="shared" si="151"/>
        <v>0</v>
      </c>
      <c r="O187" s="55">
        <f t="shared" si="151"/>
        <v>0</v>
      </c>
      <c r="P187" s="55">
        <f t="shared" si="151"/>
        <v>0</v>
      </c>
      <c r="Q187" s="55">
        <f t="shared" si="151"/>
        <v>0</v>
      </c>
      <c r="R187" s="55">
        <f t="shared" si="151"/>
        <v>0</v>
      </c>
      <c r="S187" s="55">
        <f t="shared" si="151"/>
        <v>0</v>
      </c>
      <c r="T187" s="55">
        <f t="shared" si="151"/>
        <v>0</v>
      </c>
      <c r="U187" s="55">
        <f t="shared" si="151"/>
        <v>0</v>
      </c>
      <c r="V187" s="55">
        <f t="shared" si="151"/>
        <v>0</v>
      </c>
      <c r="W187" s="55">
        <f t="shared" si="151"/>
        <v>0</v>
      </c>
      <c r="X187" s="55">
        <f t="shared" si="151"/>
        <v>0</v>
      </c>
      <c r="Y187" s="55">
        <f t="shared" si="151"/>
        <v>0</v>
      </c>
      <c r="Z187" s="55">
        <f t="shared" si="151"/>
        <v>0</v>
      </c>
      <c r="AA187" s="55">
        <f t="shared" si="151"/>
        <v>0</v>
      </c>
      <c r="AB187" s="55">
        <f t="shared" si="151"/>
        <v>0</v>
      </c>
      <c r="AC187" s="55">
        <f t="shared" si="151"/>
        <v>0</v>
      </c>
      <c r="AD187" s="55">
        <f t="shared" si="151"/>
        <v>0</v>
      </c>
      <c r="AE187" s="55">
        <f t="shared" si="151"/>
        <v>0</v>
      </c>
      <c r="AF187" s="55">
        <f t="shared" si="151"/>
        <v>0</v>
      </c>
      <c r="AG187" s="55">
        <f t="shared" si="151"/>
        <v>0</v>
      </c>
      <c r="AH187" s="55">
        <f t="shared" si="151"/>
        <v>0</v>
      </c>
      <c r="AI187" s="55">
        <f t="shared" ref="AI187:BJ187" si="152">IF(AND(AI$127&gt;=$I79,AI$127&lt;$I79+$F79),INDEX($T79:$AI79,AI$127-$I79+1),0)</f>
        <v>0</v>
      </c>
      <c r="AJ187" s="55">
        <f t="shared" si="152"/>
        <v>0</v>
      </c>
      <c r="AK187" s="55">
        <f t="shared" si="152"/>
        <v>0</v>
      </c>
      <c r="AL187" s="55">
        <f t="shared" si="152"/>
        <v>0</v>
      </c>
      <c r="AM187" s="55">
        <f t="shared" si="152"/>
        <v>0</v>
      </c>
      <c r="AN187" s="55">
        <f t="shared" si="152"/>
        <v>0</v>
      </c>
      <c r="AO187" s="55">
        <f t="shared" si="152"/>
        <v>0</v>
      </c>
      <c r="AP187" s="55">
        <f t="shared" si="152"/>
        <v>0</v>
      </c>
      <c r="AQ187" s="55">
        <f t="shared" si="152"/>
        <v>0</v>
      </c>
      <c r="AR187" s="55">
        <f t="shared" si="152"/>
        <v>0</v>
      </c>
      <c r="AS187" s="55">
        <f t="shared" si="152"/>
        <v>0</v>
      </c>
      <c r="AT187" s="55">
        <f t="shared" si="152"/>
        <v>0</v>
      </c>
      <c r="AU187" s="55">
        <f t="shared" si="152"/>
        <v>0</v>
      </c>
      <c r="AV187" s="55">
        <f t="shared" si="152"/>
        <v>0</v>
      </c>
      <c r="AW187" s="55">
        <f t="shared" si="152"/>
        <v>0</v>
      </c>
      <c r="AX187" s="55">
        <f t="shared" si="152"/>
        <v>0</v>
      </c>
      <c r="AY187" s="55">
        <f t="shared" si="152"/>
        <v>0</v>
      </c>
      <c r="AZ187" s="55">
        <f t="shared" si="152"/>
        <v>0</v>
      </c>
      <c r="BA187" s="55">
        <f t="shared" si="152"/>
        <v>0</v>
      </c>
      <c r="BB187" s="55">
        <f t="shared" si="152"/>
        <v>0</v>
      </c>
      <c r="BC187" s="55">
        <f t="shared" si="152"/>
        <v>0</v>
      </c>
      <c r="BD187" s="55">
        <f t="shared" si="152"/>
        <v>0</v>
      </c>
      <c r="BE187" s="55">
        <f t="shared" si="152"/>
        <v>0</v>
      </c>
      <c r="BF187" s="55">
        <f t="shared" si="152"/>
        <v>0</v>
      </c>
      <c r="BG187" s="55">
        <f t="shared" si="152"/>
        <v>0</v>
      </c>
      <c r="BH187" s="55">
        <f t="shared" si="152"/>
        <v>0</v>
      </c>
      <c r="BI187" s="55">
        <f t="shared" si="152"/>
        <v>0</v>
      </c>
      <c r="BJ187" s="55">
        <f t="shared" si="152"/>
        <v>0</v>
      </c>
    </row>
    <row r="188" spans="1:62" x14ac:dyDescent="0.3">
      <c r="A188" s="53" t="str">
        <f t="shared" si="104"/>
        <v>project 119</v>
      </c>
      <c r="C188" s="55">
        <f t="shared" ref="C188:AH188" si="153">IF(AND(C$127&gt;=$I80,C$127&lt;$I80+$F80),INDEX($T80:$AI80,C$127-$I80+1),0)</f>
        <v>0</v>
      </c>
      <c r="D188" s="55">
        <f t="shared" si="153"/>
        <v>0</v>
      </c>
      <c r="E188" s="55">
        <f t="shared" si="153"/>
        <v>0</v>
      </c>
      <c r="F188" s="55">
        <f t="shared" si="153"/>
        <v>0</v>
      </c>
      <c r="G188" s="55">
        <f t="shared" si="153"/>
        <v>0</v>
      </c>
      <c r="H188" s="55">
        <f t="shared" si="153"/>
        <v>0</v>
      </c>
      <c r="I188" s="55">
        <f t="shared" si="153"/>
        <v>0</v>
      </c>
      <c r="J188" s="55">
        <f t="shared" si="153"/>
        <v>0</v>
      </c>
      <c r="K188" s="55">
        <f t="shared" si="153"/>
        <v>0</v>
      </c>
      <c r="L188" s="55">
        <f t="shared" si="153"/>
        <v>0</v>
      </c>
      <c r="M188" s="55">
        <f t="shared" si="153"/>
        <v>0</v>
      </c>
      <c r="N188" s="55">
        <f t="shared" si="153"/>
        <v>7.2783009999999999</v>
      </c>
      <c r="O188" s="55">
        <f t="shared" si="153"/>
        <v>7.1216107843137264</v>
      </c>
      <c r="P188" s="55">
        <f t="shared" si="153"/>
        <v>10.686274509803919</v>
      </c>
      <c r="Q188" s="55">
        <f t="shared" si="153"/>
        <v>57.622068435217223</v>
      </c>
      <c r="R188" s="55">
        <f t="shared" si="153"/>
        <v>48.665483109814467</v>
      </c>
      <c r="S188" s="55">
        <f t="shared" si="153"/>
        <v>5.0349575718445028</v>
      </c>
      <c r="T188" s="55">
        <f t="shared" si="153"/>
        <v>0</v>
      </c>
      <c r="U188" s="55">
        <f t="shared" si="153"/>
        <v>0</v>
      </c>
      <c r="V188" s="55">
        <f t="shared" si="153"/>
        <v>0</v>
      </c>
      <c r="W188" s="55">
        <f t="shared" si="153"/>
        <v>0</v>
      </c>
      <c r="X188" s="55">
        <f t="shared" si="153"/>
        <v>0</v>
      </c>
      <c r="Y188" s="55">
        <f t="shared" si="153"/>
        <v>0</v>
      </c>
      <c r="Z188" s="55">
        <f t="shared" si="153"/>
        <v>0</v>
      </c>
      <c r="AA188" s="55">
        <f t="shared" si="153"/>
        <v>0</v>
      </c>
      <c r="AB188" s="55">
        <f t="shared" si="153"/>
        <v>0</v>
      </c>
      <c r="AC188" s="55">
        <f t="shared" si="153"/>
        <v>0</v>
      </c>
      <c r="AD188" s="55">
        <f t="shared" si="153"/>
        <v>0</v>
      </c>
      <c r="AE188" s="55">
        <f t="shared" si="153"/>
        <v>0</v>
      </c>
      <c r="AF188" s="55">
        <f t="shared" si="153"/>
        <v>0</v>
      </c>
      <c r="AG188" s="55">
        <f t="shared" si="153"/>
        <v>0</v>
      </c>
      <c r="AH188" s="55">
        <f t="shared" si="153"/>
        <v>0</v>
      </c>
      <c r="AI188" s="55">
        <f t="shared" ref="AI188:BJ188" si="154">IF(AND(AI$127&gt;=$I80,AI$127&lt;$I80+$F80),INDEX($T80:$AI80,AI$127-$I80+1),0)</f>
        <v>0</v>
      </c>
      <c r="AJ188" s="55">
        <f t="shared" si="154"/>
        <v>0</v>
      </c>
      <c r="AK188" s="55">
        <f t="shared" si="154"/>
        <v>0</v>
      </c>
      <c r="AL188" s="55">
        <f t="shared" si="154"/>
        <v>0</v>
      </c>
      <c r="AM188" s="55">
        <f t="shared" si="154"/>
        <v>0</v>
      </c>
      <c r="AN188" s="55">
        <f t="shared" si="154"/>
        <v>0</v>
      </c>
      <c r="AO188" s="55">
        <f t="shared" si="154"/>
        <v>0</v>
      </c>
      <c r="AP188" s="55">
        <f t="shared" si="154"/>
        <v>0</v>
      </c>
      <c r="AQ188" s="55">
        <f t="shared" si="154"/>
        <v>0</v>
      </c>
      <c r="AR188" s="55">
        <f t="shared" si="154"/>
        <v>0</v>
      </c>
      <c r="AS188" s="55">
        <f t="shared" si="154"/>
        <v>0</v>
      </c>
      <c r="AT188" s="55">
        <f t="shared" si="154"/>
        <v>0</v>
      </c>
      <c r="AU188" s="55">
        <f t="shared" si="154"/>
        <v>0</v>
      </c>
      <c r="AV188" s="55">
        <f t="shared" si="154"/>
        <v>0</v>
      </c>
      <c r="AW188" s="55">
        <f t="shared" si="154"/>
        <v>0</v>
      </c>
      <c r="AX188" s="55">
        <f t="shared" si="154"/>
        <v>0</v>
      </c>
      <c r="AY188" s="55">
        <f t="shared" si="154"/>
        <v>0</v>
      </c>
      <c r="AZ188" s="55">
        <f t="shared" si="154"/>
        <v>0</v>
      </c>
      <c r="BA188" s="55">
        <f t="shared" si="154"/>
        <v>0</v>
      </c>
      <c r="BB188" s="55">
        <f t="shared" si="154"/>
        <v>0</v>
      </c>
      <c r="BC188" s="55">
        <f t="shared" si="154"/>
        <v>0</v>
      </c>
      <c r="BD188" s="55">
        <f t="shared" si="154"/>
        <v>0</v>
      </c>
      <c r="BE188" s="55">
        <f t="shared" si="154"/>
        <v>0</v>
      </c>
      <c r="BF188" s="55">
        <f t="shared" si="154"/>
        <v>0</v>
      </c>
      <c r="BG188" s="55">
        <f t="shared" si="154"/>
        <v>0</v>
      </c>
      <c r="BH188" s="55">
        <f t="shared" si="154"/>
        <v>0</v>
      </c>
      <c r="BI188" s="55">
        <f t="shared" si="154"/>
        <v>0</v>
      </c>
      <c r="BJ188" s="55">
        <f t="shared" si="154"/>
        <v>0</v>
      </c>
    </row>
    <row r="189" spans="1:62" x14ac:dyDescent="0.3">
      <c r="A189" s="53" t="str">
        <f t="shared" si="104"/>
        <v>project 120</v>
      </c>
      <c r="C189" s="55">
        <f t="shared" ref="C189:AH189" si="155">IF(AND(C$127&gt;=$I81,C$127&lt;$I81+$F81),INDEX($T81:$AI81,C$127-$I81+1),0)</f>
        <v>4.5780000000000003</v>
      </c>
      <c r="D189" s="55">
        <f t="shared" si="155"/>
        <v>11.73725490196078</v>
      </c>
      <c r="E189" s="55">
        <f t="shared" si="155"/>
        <v>31.534986543637061</v>
      </c>
      <c r="F189" s="55">
        <f t="shared" si="155"/>
        <v>31.738358549878999</v>
      </c>
      <c r="G189" s="55">
        <f t="shared" si="155"/>
        <v>32.022330156931027</v>
      </c>
      <c r="H189" s="55">
        <f t="shared" si="155"/>
        <v>35.442152319454443</v>
      </c>
      <c r="I189" s="55">
        <f t="shared" si="155"/>
        <v>0</v>
      </c>
      <c r="J189" s="55">
        <f t="shared" si="155"/>
        <v>0</v>
      </c>
      <c r="K189" s="55">
        <f t="shared" si="155"/>
        <v>0</v>
      </c>
      <c r="L189" s="55">
        <f t="shared" si="155"/>
        <v>0</v>
      </c>
      <c r="M189" s="55">
        <f t="shared" si="155"/>
        <v>0</v>
      </c>
      <c r="N189" s="55">
        <f t="shared" si="155"/>
        <v>0</v>
      </c>
      <c r="O189" s="55">
        <f t="shared" si="155"/>
        <v>0</v>
      </c>
      <c r="P189" s="55">
        <f t="shared" si="155"/>
        <v>0</v>
      </c>
      <c r="Q189" s="55">
        <f t="shared" si="155"/>
        <v>0</v>
      </c>
      <c r="R189" s="55">
        <f t="shared" si="155"/>
        <v>0</v>
      </c>
      <c r="S189" s="55">
        <f t="shared" si="155"/>
        <v>0</v>
      </c>
      <c r="T189" s="55">
        <f t="shared" si="155"/>
        <v>0</v>
      </c>
      <c r="U189" s="55">
        <f t="shared" si="155"/>
        <v>0</v>
      </c>
      <c r="V189" s="55">
        <f t="shared" si="155"/>
        <v>0</v>
      </c>
      <c r="W189" s="55">
        <f t="shared" si="155"/>
        <v>0</v>
      </c>
      <c r="X189" s="55">
        <f t="shared" si="155"/>
        <v>0</v>
      </c>
      <c r="Y189" s="55">
        <f t="shared" si="155"/>
        <v>0</v>
      </c>
      <c r="Z189" s="55">
        <f t="shared" si="155"/>
        <v>0</v>
      </c>
      <c r="AA189" s="55">
        <f t="shared" si="155"/>
        <v>0</v>
      </c>
      <c r="AB189" s="55">
        <f t="shared" si="155"/>
        <v>0</v>
      </c>
      <c r="AC189" s="55">
        <f t="shared" si="155"/>
        <v>0</v>
      </c>
      <c r="AD189" s="55">
        <f t="shared" si="155"/>
        <v>0</v>
      </c>
      <c r="AE189" s="55">
        <f t="shared" si="155"/>
        <v>0</v>
      </c>
      <c r="AF189" s="55">
        <f t="shared" si="155"/>
        <v>0</v>
      </c>
      <c r="AG189" s="55">
        <f t="shared" si="155"/>
        <v>0</v>
      </c>
      <c r="AH189" s="55">
        <f t="shared" si="155"/>
        <v>0</v>
      </c>
      <c r="AI189" s="55">
        <f t="shared" ref="AI189:BJ189" si="156">IF(AND(AI$127&gt;=$I81,AI$127&lt;$I81+$F81),INDEX($T81:$AI81,AI$127-$I81+1),0)</f>
        <v>0</v>
      </c>
      <c r="AJ189" s="55">
        <f t="shared" si="156"/>
        <v>0</v>
      </c>
      <c r="AK189" s="55">
        <f t="shared" si="156"/>
        <v>0</v>
      </c>
      <c r="AL189" s="55">
        <f t="shared" si="156"/>
        <v>0</v>
      </c>
      <c r="AM189" s="55">
        <f t="shared" si="156"/>
        <v>0</v>
      </c>
      <c r="AN189" s="55">
        <f t="shared" si="156"/>
        <v>0</v>
      </c>
      <c r="AO189" s="55">
        <f t="shared" si="156"/>
        <v>0</v>
      </c>
      <c r="AP189" s="55">
        <f t="shared" si="156"/>
        <v>0</v>
      </c>
      <c r="AQ189" s="55">
        <f t="shared" si="156"/>
        <v>0</v>
      </c>
      <c r="AR189" s="55">
        <f t="shared" si="156"/>
        <v>0</v>
      </c>
      <c r="AS189" s="55">
        <f t="shared" si="156"/>
        <v>0</v>
      </c>
      <c r="AT189" s="55">
        <f t="shared" si="156"/>
        <v>0</v>
      </c>
      <c r="AU189" s="55">
        <f t="shared" si="156"/>
        <v>0</v>
      </c>
      <c r="AV189" s="55">
        <f t="shared" si="156"/>
        <v>0</v>
      </c>
      <c r="AW189" s="55">
        <f t="shared" si="156"/>
        <v>0</v>
      </c>
      <c r="AX189" s="55">
        <f t="shared" si="156"/>
        <v>0</v>
      </c>
      <c r="AY189" s="55">
        <f t="shared" si="156"/>
        <v>0</v>
      </c>
      <c r="AZ189" s="55">
        <f t="shared" si="156"/>
        <v>0</v>
      </c>
      <c r="BA189" s="55">
        <f t="shared" si="156"/>
        <v>0</v>
      </c>
      <c r="BB189" s="55">
        <f t="shared" si="156"/>
        <v>0</v>
      </c>
      <c r="BC189" s="55">
        <f t="shared" si="156"/>
        <v>0</v>
      </c>
      <c r="BD189" s="55">
        <f t="shared" si="156"/>
        <v>0</v>
      </c>
      <c r="BE189" s="55">
        <f t="shared" si="156"/>
        <v>0</v>
      </c>
      <c r="BF189" s="55">
        <f t="shared" si="156"/>
        <v>0</v>
      </c>
      <c r="BG189" s="55">
        <f t="shared" si="156"/>
        <v>0</v>
      </c>
      <c r="BH189" s="55">
        <f t="shared" si="156"/>
        <v>0</v>
      </c>
      <c r="BI189" s="55">
        <f t="shared" si="156"/>
        <v>0</v>
      </c>
      <c r="BJ189" s="55">
        <f t="shared" si="156"/>
        <v>0</v>
      </c>
    </row>
    <row r="190" spans="1:62" x14ac:dyDescent="0.3">
      <c r="A190" s="53" t="str">
        <f t="shared" si="104"/>
        <v>project 121</v>
      </c>
      <c r="C190" s="55">
        <f t="shared" ref="C190:AH190" si="157">IF(AND(C$127&gt;=$I82,C$127&lt;$I82+$F82),INDEX($T82:$AI82,C$127-$I82+1),0)</f>
        <v>0</v>
      </c>
      <c r="D190" s="55">
        <f t="shared" si="157"/>
        <v>0</v>
      </c>
      <c r="E190" s="55">
        <f t="shared" si="157"/>
        <v>0</v>
      </c>
      <c r="F190" s="55">
        <f t="shared" si="157"/>
        <v>0</v>
      </c>
      <c r="G190" s="55">
        <f t="shared" si="157"/>
        <v>0</v>
      </c>
      <c r="H190" s="55">
        <f t="shared" si="157"/>
        <v>0</v>
      </c>
      <c r="I190" s="55">
        <f t="shared" si="157"/>
        <v>0</v>
      </c>
      <c r="J190" s="55">
        <f t="shared" si="157"/>
        <v>0</v>
      </c>
      <c r="K190" s="55">
        <f t="shared" si="157"/>
        <v>0</v>
      </c>
      <c r="L190" s="55">
        <f t="shared" si="157"/>
        <v>0</v>
      </c>
      <c r="M190" s="55">
        <f t="shared" si="157"/>
        <v>0</v>
      </c>
      <c r="N190" s="55">
        <f t="shared" si="157"/>
        <v>43.475078871835947</v>
      </c>
      <c r="O190" s="55">
        <f t="shared" si="157"/>
        <v>42.70097676101247</v>
      </c>
      <c r="P190" s="55">
        <f t="shared" si="157"/>
        <v>41.863702706874967</v>
      </c>
      <c r="Q190" s="55">
        <f t="shared" si="157"/>
        <v>0</v>
      </c>
      <c r="R190" s="55">
        <f t="shared" si="157"/>
        <v>0</v>
      </c>
      <c r="S190" s="55">
        <f t="shared" si="157"/>
        <v>0</v>
      </c>
      <c r="T190" s="55">
        <f t="shared" si="157"/>
        <v>0</v>
      </c>
      <c r="U190" s="55">
        <f t="shared" si="157"/>
        <v>0</v>
      </c>
      <c r="V190" s="55">
        <f t="shared" si="157"/>
        <v>0</v>
      </c>
      <c r="W190" s="55">
        <f t="shared" si="157"/>
        <v>0</v>
      </c>
      <c r="X190" s="55">
        <f t="shared" si="157"/>
        <v>0</v>
      </c>
      <c r="Y190" s="55">
        <f t="shared" si="157"/>
        <v>0</v>
      </c>
      <c r="Z190" s="55">
        <f t="shared" si="157"/>
        <v>0</v>
      </c>
      <c r="AA190" s="55">
        <f t="shared" si="157"/>
        <v>0</v>
      </c>
      <c r="AB190" s="55">
        <f t="shared" si="157"/>
        <v>0</v>
      </c>
      <c r="AC190" s="55">
        <f t="shared" si="157"/>
        <v>0</v>
      </c>
      <c r="AD190" s="55">
        <f t="shared" si="157"/>
        <v>0</v>
      </c>
      <c r="AE190" s="55">
        <f t="shared" si="157"/>
        <v>0</v>
      </c>
      <c r="AF190" s="55">
        <f t="shared" si="157"/>
        <v>0</v>
      </c>
      <c r="AG190" s="55">
        <f t="shared" si="157"/>
        <v>0</v>
      </c>
      <c r="AH190" s="55">
        <f t="shared" si="157"/>
        <v>0</v>
      </c>
      <c r="AI190" s="55">
        <f t="shared" ref="AI190:BJ190" si="158">IF(AND(AI$127&gt;=$I82,AI$127&lt;$I82+$F82),INDEX($T82:$AI82,AI$127-$I82+1),0)</f>
        <v>0</v>
      </c>
      <c r="AJ190" s="55">
        <f t="shared" si="158"/>
        <v>0</v>
      </c>
      <c r="AK190" s="55">
        <f t="shared" si="158"/>
        <v>0</v>
      </c>
      <c r="AL190" s="55">
        <f t="shared" si="158"/>
        <v>0</v>
      </c>
      <c r="AM190" s="55">
        <f t="shared" si="158"/>
        <v>0</v>
      </c>
      <c r="AN190" s="55">
        <f t="shared" si="158"/>
        <v>0</v>
      </c>
      <c r="AO190" s="55">
        <f t="shared" si="158"/>
        <v>0</v>
      </c>
      <c r="AP190" s="55">
        <f t="shared" si="158"/>
        <v>0</v>
      </c>
      <c r="AQ190" s="55">
        <f t="shared" si="158"/>
        <v>0</v>
      </c>
      <c r="AR190" s="55">
        <f t="shared" si="158"/>
        <v>0</v>
      </c>
      <c r="AS190" s="55">
        <f t="shared" si="158"/>
        <v>0</v>
      </c>
      <c r="AT190" s="55">
        <f t="shared" si="158"/>
        <v>0</v>
      </c>
      <c r="AU190" s="55">
        <f t="shared" si="158"/>
        <v>0</v>
      </c>
      <c r="AV190" s="55">
        <f t="shared" si="158"/>
        <v>0</v>
      </c>
      <c r="AW190" s="55">
        <f t="shared" si="158"/>
        <v>0</v>
      </c>
      <c r="AX190" s="55">
        <f t="shared" si="158"/>
        <v>0</v>
      </c>
      <c r="AY190" s="55">
        <f t="shared" si="158"/>
        <v>0</v>
      </c>
      <c r="AZ190" s="55">
        <f t="shared" si="158"/>
        <v>0</v>
      </c>
      <c r="BA190" s="55">
        <f t="shared" si="158"/>
        <v>0</v>
      </c>
      <c r="BB190" s="55">
        <f t="shared" si="158"/>
        <v>0</v>
      </c>
      <c r="BC190" s="55">
        <f t="shared" si="158"/>
        <v>0</v>
      </c>
      <c r="BD190" s="55">
        <f t="shared" si="158"/>
        <v>0</v>
      </c>
      <c r="BE190" s="55">
        <f t="shared" si="158"/>
        <v>0</v>
      </c>
      <c r="BF190" s="55">
        <f t="shared" si="158"/>
        <v>0</v>
      </c>
      <c r="BG190" s="55">
        <f t="shared" si="158"/>
        <v>0</v>
      </c>
      <c r="BH190" s="55">
        <f t="shared" si="158"/>
        <v>0</v>
      </c>
      <c r="BI190" s="55">
        <f t="shared" si="158"/>
        <v>0</v>
      </c>
      <c r="BJ190" s="55">
        <f t="shared" si="158"/>
        <v>0</v>
      </c>
    </row>
    <row r="191" spans="1:62" x14ac:dyDescent="0.3">
      <c r="A191" s="53" t="str">
        <f t="shared" si="104"/>
        <v>project 125</v>
      </c>
      <c r="C191" s="55">
        <f t="shared" ref="C191:AH191" si="159">IF(AND(C$127&gt;=$I83,C$127&lt;$I83+$F83),INDEX($T83:$AI83,C$127-$I83+1),0)</f>
        <v>24.044117647058819</v>
      </c>
      <c r="D191" s="55">
        <f t="shared" si="159"/>
        <v>70.717993079584772</v>
      </c>
      <c r="E191" s="55">
        <f t="shared" si="159"/>
        <v>0</v>
      </c>
      <c r="F191" s="55">
        <f t="shared" si="159"/>
        <v>0</v>
      </c>
      <c r="G191" s="55">
        <f t="shared" si="159"/>
        <v>0</v>
      </c>
      <c r="H191" s="55">
        <f t="shared" si="159"/>
        <v>0</v>
      </c>
      <c r="I191" s="55">
        <f t="shared" si="159"/>
        <v>0</v>
      </c>
      <c r="J191" s="55">
        <f t="shared" si="159"/>
        <v>0</v>
      </c>
      <c r="K191" s="55">
        <f t="shared" si="159"/>
        <v>0</v>
      </c>
      <c r="L191" s="55">
        <f t="shared" si="159"/>
        <v>0</v>
      </c>
      <c r="M191" s="55">
        <f t="shared" si="159"/>
        <v>0</v>
      </c>
      <c r="N191" s="55">
        <f t="shared" si="159"/>
        <v>0</v>
      </c>
      <c r="O191" s="55">
        <f t="shared" si="159"/>
        <v>0</v>
      </c>
      <c r="P191" s="55">
        <f t="shared" si="159"/>
        <v>0</v>
      </c>
      <c r="Q191" s="55">
        <f t="shared" si="159"/>
        <v>0</v>
      </c>
      <c r="R191" s="55">
        <f t="shared" si="159"/>
        <v>0</v>
      </c>
      <c r="S191" s="55">
        <f t="shared" si="159"/>
        <v>0</v>
      </c>
      <c r="T191" s="55">
        <f t="shared" si="159"/>
        <v>0</v>
      </c>
      <c r="U191" s="55">
        <f t="shared" si="159"/>
        <v>0</v>
      </c>
      <c r="V191" s="55">
        <f t="shared" si="159"/>
        <v>0</v>
      </c>
      <c r="W191" s="55">
        <f t="shared" si="159"/>
        <v>0</v>
      </c>
      <c r="X191" s="55">
        <f t="shared" si="159"/>
        <v>0</v>
      </c>
      <c r="Y191" s="55">
        <f t="shared" si="159"/>
        <v>0</v>
      </c>
      <c r="Z191" s="55">
        <f t="shared" si="159"/>
        <v>0</v>
      </c>
      <c r="AA191" s="55">
        <f t="shared" si="159"/>
        <v>0</v>
      </c>
      <c r="AB191" s="55">
        <f t="shared" si="159"/>
        <v>0</v>
      </c>
      <c r="AC191" s="55">
        <f t="shared" si="159"/>
        <v>0</v>
      </c>
      <c r="AD191" s="55">
        <f t="shared" si="159"/>
        <v>0</v>
      </c>
      <c r="AE191" s="55">
        <f t="shared" si="159"/>
        <v>0</v>
      </c>
      <c r="AF191" s="55">
        <f t="shared" si="159"/>
        <v>0</v>
      </c>
      <c r="AG191" s="55">
        <f t="shared" si="159"/>
        <v>0</v>
      </c>
      <c r="AH191" s="55">
        <f t="shared" si="159"/>
        <v>0</v>
      </c>
      <c r="AI191" s="55">
        <f t="shared" ref="AI191:BJ191" si="160">IF(AND(AI$127&gt;=$I83,AI$127&lt;$I83+$F83),INDEX($T83:$AI83,AI$127-$I83+1),0)</f>
        <v>0</v>
      </c>
      <c r="AJ191" s="55">
        <f t="shared" si="160"/>
        <v>0</v>
      </c>
      <c r="AK191" s="55">
        <f t="shared" si="160"/>
        <v>0</v>
      </c>
      <c r="AL191" s="55">
        <f t="shared" si="160"/>
        <v>0</v>
      </c>
      <c r="AM191" s="55">
        <f t="shared" si="160"/>
        <v>0</v>
      </c>
      <c r="AN191" s="55">
        <f t="shared" si="160"/>
        <v>0</v>
      </c>
      <c r="AO191" s="55">
        <f t="shared" si="160"/>
        <v>0</v>
      </c>
      <c r="AP191" s="55">
        <f t="shared" si="160"/>
        <v>0</v>
      </c>
      <c r="AQ191" s="55">
        <f t="shared" si="160"/>
        <v>0</v>
      </c>
      <c r="AR191" s="55">
        <f t="shared" si="160"/>
        <v>0</v>
      </c>
      <c r="AS191" s="55">
        <f t="shared" si="160"/>
        <v>0</v>
      </c>
      <c r="AT191" s="55">
        <f t="shared" si="160"/>
        <v>0</v>
      </c>
      <c r="AU191" s="55">
        <f t="shared" si="160"/>
        <v>0</v>
      </c>
      <c r="AV191" s="55">
        <f t="shared" si="160"/>
        <v>0</v>
      </c>
      <c r="AW191" s="55">
        <f t="shared" si="160"/>
        <v>0</v>
      </c>
      <c r="AX191" s="55">
        <f t="shared" si="160"/>
        <v>0</v>
      </c>
      <c r="AY191" s="55">
        <f t="shared" si="160"/>
        <v>0</v>
      </c>
      <c r="AZ191" s="55">
        <f t="shared" si="160"/>
        <v>0</v>
      </c>
      <c r="BA191" s="55">
        <f t="shared" si="160"/>
        <v>0</v>
      </c>
      <c r="BB191" s="55">
        <f t="shared" si="160"/>
        <v>0</v>
      </c>
      <c r="BC191" s="55">
        <f t="shared" si="160"/>
        <v>0</v>
      </c>
      <c r="BD191" s="55">
        <f t="shared" si="160"/>
        <v>0</v>
      </c>
      <c r="BE191" s="55">
        <f t="shared" si="160"/>
        <v>0</v>
      </c>
      <c r="BF191" s="55">
        <f t="shared" si="160"/>
        <v>0</v>
      </c>
      <c r="BG191" s="55">
        <f t="shared" si="160"/>
        <v>0</v>
      </c>
      <c r="BH191" s="55">
        <f t="shared" si="160"/>
        <v>0</v>
      </c>
      <c r="BI191" s="55">
        <f t="shared" si="160"/>
        <v>0</v>
      </c>
      <c r="BJ191" s="55">
        <f t="shared" si="160"/>
        <v>0</v>
      </c>
    </row>
    <row r="192" spans="1:62" x14ac:dyDescent="0.3">
      <c r="A192" s="53" t="str">
        <f t="shared" si="104"/>
        <v>project 126</v>
      </c>
      <c r="C192" s="55">
        <f t="shared" ref="C192:AH192" si="161">IF(AND(C$127&gt;=$I84,C$127&lt;$I84+$F84),INDEX($T84:$AI84,C$127-$I84+1),0)</f>
        <v>5.3</v>
      </c>
      <c r="D192" s="55">
        <f t="shared" si="161"/>
        <v>37.254901960784309</v>
      </c>
      <c r="E192" s="55">
        <f t="shared" si="161"/>
        <v>31.43021914648212</v>
      </c>
      <c r="F192" s="55">
        <f t="shared" si="161"/>
        <v>30.813940339688351</v>
      </c>
      <c r="G192" s="55">
        <f t="shared" si="161"/>
        <v>0</v>
      </c>
      <c r="H192" s="55">
        <f t="shared" si="161"/>
        <v>0</v>
      </c>
      <c r="I192" s="55">
        <f t="shared" si="161"/>
        <v>0</v>
      </c>
      <c r="J192" s="55">
        <f t="shared" si="161"/>
        <v>0</v>
      </c>
      <c r="K192" s="55">
        <f t="shared" si="161"/>
        <v>0</v>
      </c>
      <c r="L192" s="55">
        <f t="shared" si="161"/>
        <v>0</v>
      </c>
      <c r="M192" s="55">
        <f t="shared" si="161"/>
        <v>0</v>
      </c>
      <c r="N192" s="55">
        <f t="shared" si="161"/>
        <v>0</v>
      </c>
      <c r="O192" s="55">
        <f t="shared" si="161"/>
        <v>0</v>
      </c>
      <c r="P192" s="55">
        <f t="shared" si="161"/>
        <v>0</v>
      </c>
      <c r="Q192" s="55">
        <f t="shared" si="161"/>
        <v>0</v>
      </c>
      <c r="R192" s="55">
        <f t="shared" si="161"/>
        <v>0</v>
      </c>
      <c r="S192" s="55">
        <f t="shared" si="161"/>
        <v>0</v>
      </c>
      <c r="T192" s="55">
        <f t="shared" si="161"/>
        <v>0</v>
      </c>
      <c r="U192" s="55">
        <f t="shared" si="161"/>
        <v>0</v>
      </c>
      <c r="V192" s="55">
        <f t="shared" si="161"/>
        <v>0</v>
      </c>
      <c r="W192" s="55">
        <f t="shared" si="161"/>
        <v>0</v>
      </c>
      <c r="X192" s="55">
        <f t="shared" si="161"/>
        <v>0</v>
      </c>
      <c r="Y192" s="55">
        <f t="shared" si="161"/>
        <v>0</v>
      </c>
      <c r="Z192" s="55">
        <f t="shared" si="161"/>
        <v>0</v>
      </c>
      <c r="AA192" s="55">
        <f t="shared" si="161"/>
        <v>0</v>
      </c>
      <c r="AB192" s="55">
        <f t="shared" si="161"/>
        <v>0</v>
      </c>
      <c r="AC192" s="55">
        <f t="shared" si="161"/>
        <v>0</v>
      </c>
      <c r="AD192" s="55">
        <f t="shared" si="161"/>
        <v>0</v>
      </c>
      <c r="AE192" s="55">
        <f t="shared" si="161"/>
        <v>0</v>
      </c>
      <c r="AF192" s="55">
        <f t="shared" si="161"/>
        <v>0</v>
      </c>
      <c r="AG192" s="55">
        <f t="shared" si="161"/>
        <v>0</v>
      </c>
      <c r="AH192" s="55">
        <f t="shared" si="161"/>
        <v>0</v>
      </c>
      <c r="AI192" s="55">
        <f t="shared" ref="AI192:BJ192" si="162">IF(AND(AI$127&gt;=$I84,AI$127&lt;$I84+$F84),INDEX($T84:$AI84,AI$127-$I84+1),0)</f>
        <v>0</v>
      </c>
      <c r="AJ192" s="55">
        <f t="shared" si="162"/>
        <v>0</v>
      </c>
      <c r="AK192" s="55">
        <f t="shared" si="162"/>
        <v>0</v>
      </c>
      <c r="AL192" s="55">
        <f t="shared" si="162"/>
        <v>0</v>
      </c>
      <c r="AM192" s="55">
        <f t="shared" si="162"/>
        <v>0</v>
      </c>
      <c r="AN192" s="55">
        <f t="shared" si="162"/>
        <v>0</v>
      </c>
      <c r="AO192" s="55">
        <f t="shared" si="162"/>
        <v>0</v>
      </c>
      <c r="AP192" s="55">
        <f t="shared" si="162"/>
        <v>0</v>
      </c>
      <c r="AQ192" s="55">
        <f t="shared" si="162"/>
        <v>0</v>
      </c>
      <c r="AR192" s="55">
        <f t="shared" si="162"/>
        <v>0</v>
      </c>
      <c r="AS192" s="55">
        <f t="shared" si="162"/>
        <v>0</v>
      </c>
      <c r="AT192" s="55">
        <f t="shared" si="162"/>
        <v>0</v>
      </c>
      <c r="AU192" s="55">
        <f t="shared" si="162"/>
        <v>0</v>
      </c>
      <c r="AV192" s="55">
        <f t="shared" si="162"/>
        <v>0</v>
      </c>
      <c r="AW192" s="55">
        <f t="shared" si="162"/>
        <v>0</v>
      </c>
      <c r="AX192" s="55">
        <f t="shared" si="162"/>
        <v>0</v>
      </c>
      <c r="AY192" s="55">
        <f t="shared" si="162"/>
        <v>0</v>
      </c>
      <c r="AZ192" s="55">
        <f t="shared" si="162"/>
        <v>0</v>
      </c>
      <c r="BA192" s="55">
        <f t="shared" si="162"/>
        <v>0</v>
      </c>
      <c r="BB192" s="55">
        <f t="shared" si="162"/>
        <v>0</v>
      </c>
      <c r="BC192" s="55">
        <f t="shared" si="162"/>
        <v>0</v>
      </c>
      <c r="BD192" s="55">
        <f t="shared" si="162"/>
        <v>0</v>
      </c>
      <c r="BE192" s="55">
        <f t="shared" si="162"/>
        <v>0</v>
      </c>
      <c r="BF192" s="55">
        <f t="shared" si="162"/>
        <v>0</v>
      </c>
      <c r="BG192" s="55">
        <f t="shared" si="162"/>
        <v>0</v>
      </c>
      <c r="BH192" s="55">
        <f t="shared" si="162"/>
        <v>0</v>
      </c>
      <c r="BI192" s="55">
        <f t="shared" si="162"/>
        <v>0</v>
      </c>
      <c r="BJ192" s="55">
        <f t="shared" si="162"/>
        <v>0</v>
      </c>
    </row>
    <row r="193" spans="1:62" x14ac:dyDescent="0.3">
      <c r="A193" s="53" t="str">
        <f t="shared" si="104"/>
        <v>project 128</v>
      </c>
      <c r="C193" s="55">
        <f t="shared" ref="C193:AH193" si="163">IF(AND(C$127&gt;=$I85,C$127&lt;$I85+$F85),INDEX($T85:$AI85,C$127-$I85+1),0)</f>
        <v>0</v>
      </c>
      <c r="D193" s="55">
        <f t="shared" si="163"/>
        <v>0</v>
      </c>
      <c r="E193" s="55">
        <f t="shared" si="163"/>
        <v>0</v>
      </c>
      <c r="F193" s="55">
        <f t="shared" si="163"/>
        <v>0</v>
      </c>
      <c r="G193" s="55">
        <f t="shared" si="163"/>
        <v>0</v>
      </c>
      <c r="H193" s="55">
        <f t="shared" si="163"/>
        <v>0</v>
      </c>
      <c r="I193" s="55">
        <f t="shared" si="163"/>
        <v>0</v>
      </c>
      <c r="J193" s="55">
        <f t="shared" si="163"/>
        <v>0</v>
      </c>
      <c r="K193" s="55">
        <f t="shared" si="163"/>
        <v>0</v>
      </c>
      <c r="L193" s="55">
        <f t="shared" si="163"/>
        <v>0</v>
      </c>
      <c r="M193" s="55">
        <f t="shared" si="163"/>
        <v>0</v>
      </c>
      <c r="N193" s="55">
        <f t="shared" si="163"/>
        <v>0</v>
      </c>
      <c r="O193" s="55">
        <f t="shared" si="163"/>
        <v>0</v>
      </c>
      <c r="P193" s="55">
        <f t="shared" si="163"/>
        <v>0.32700000000000001</v>
      </c>
      <c r="Q193" s="55">
        <f t="shared" si="163"/>
        <v>0.64117647058823535</v>
      </c>
      <c r="R193" s="55">
        <f t="shared" si="163"/>
        <v>2.17128027681661</v>
      </c>
      <c r="S193" s="55">
        <f t="shared" si="163"/>
        <v>34.228916480086838</v>
      </c>
      <c r="T193" s="55">
        <f t="shared" si="163"/>
        <v>36.654491123027981</v>
      </c>
      <c r="U193" s="55">
        <f t="shared" si="163"/>
        <v>0</v>
      </c>
      <c r="V193" s="55">
        <f t="shared" si="163"/>
        <v>0</v>
      </c>
      <c r="W193" s="55">
        <f t="shared" si="163"/>
        <v>0</v>
      </c>
      <c r="X193" s="55">
        <f t="shared" si="163"/>
        <v>0</v>
      </c>
      <c r="Y193" s="55">
        <f t="shared" si="163"/>
        <v>0</v>
      </c>
      <c r="Z193" s="55">
        <f t="shared" si="163"/>
        <v>0</v>
      </c>
      <c r="AA193" s="55">
        <f t="shared" si="163"/>
        <v>0</v>
      </c>
      <c r="AB193" s="55">
        <f t="shared" si="163"/>
        <v>0</v>
      </c>
      <c r="AC193" s="55">
        <f t="shared" si="163"/>
        <v>0</v>
      </c>
      <c r="AD193" s="55">
        <f t="shared" si="163"/>
        <v>0</v>
      </c>
      <c r="AE193" s="55">
        <f t="shared" si="163"/>
        <v>0</v>
      </c>
      <c r="AF193" s="55">
        <f t="shared" si="163"/>
        <v>0</v>
      </c>
      <c r="AG193" s="55">
        <f t="shared" si="163"/>
        <v>0</v>
      </c>
      <c r="AH193" s="55">
        <f t="shared" si="163"/>
        <v>0</v>
      </c>
      <c r="AI193" s="55">
        <f t="shared" ref="AI193:BJ193" si="164">IF(AND(AI$127&gt;=$I85,AI$127&lt;$I85+$F85),INDEX($T85:$AI85,AI$127-$I85+1),0)</f>
        <v>0</v>
      </c>
      <c r="AJ193" s="55">
        <f t="shared" si="164"/>
        <v>0</v>
      </c>
      <c r="AK193" s="55">
        <f t="shared" si="164"/>
        <v>0</v>
      </c>
      <c r="AL193" s="55">
        <f t="shared" si="164"/>
        <v>0</v>
      </c>
      <c r="AM193" s="55">
        <f t="shared" si="164"/>
        <v>0</v>
      </c>
      <c r="AN193" s="55">
        <f t="shared" si="164"/>
        <v>0</v>
      </c>
      <c r="AO193" s="55">
        <f t="shared" si="164"/>
        <v>0</v>
      </c>
      <c r="AP193" s="55">
        <f t="shared" si="164"/>
        <v>0</v>
      </c>
      <c r="AQ193" s="55">
        <f t="shared" si="164"/>
        <v>0</v>
      </c>
      <c r="AR193" s="55">
        <f t="shared" si="164"/>
        <v>0</v>
      </c>
      <c r="AS193" s="55">
        <f t="shared" si="164"/>
        <v>0</v>
      </c>
      <c r="AT193" s="55">
        <f t="shared" si="164"/>
        <v>0</v>
      </c>
      <c r="AU193" s="55">
        <f t="shared" si="164"/>
        <v>0</v>
      </c>
      <c r="AV193" s="55">
        <f t="shared" si="164"/>
        <v>0</v>
      </c>
      <c r="AW193" s="55">
        <f t="shared" si="164"/>
        <v>0</v>
      </c>
      <c r="AX193" s="55">
        <f t="shared" si="164"/>
        <v>0</v>
      </c>
      <c r="AY193" s="55">
        <f t="shared" si="164"/>
        <v>0</v>
      </c>
      <c r="AZ193" s="55">
        <f t="shared" si="164"/>
        <v>0</v>
      </c>
      <c r="BA193" s="55">
        <f t="shared" si="164"/>
        <v>0</v>
      </c>
      <c r="BB193" s="55">
        <f t="shared" si="164"/>
        <v>0</v>
      </c>
      <c r="BC193" s="55">
        <f t="shared" si="164"/>
        <v>0</v>
      </c>
      <c r="BD193" s="55">
        <f t="shared" si="164"/>
        <v>0</v>
      </c>
      <c r="BE193" s="55">
        <f t="shared" si="164"/>
        <v>0</v>
      </c>
      <c r="BF193" s="55">
        <f t="shared" si="164"/>
        <v>0</v>
      </c>
      <c r="BG193" s="55">
        <f t="shared" si="164"/>
        <v>0</v>
      </c>
      <c r="BH193" s="55">
        <f t="shared" si="164"/>
        <v>0</v>
      </c>
      <c r="BI193" s="55">
        <f t="shared" si="164"/>
        <v>0</v>
      </c>
      <c r="BJ193" s="55">
        <f t="shared" si="164"/>
        <v>0</v>
      </c>
    </row>
    <row r="194" spans="1:62" x14ac:dyDescent="0.3">
      <c r="A194" s="53" t="str">
        <f t="shared" si="104"/>
        <v>project 130</v>
      </c>
      <c r="C194" s="55">
        <f t="shared" ref="C194:AH194" si="165">IF(AND(C$127&gt;=$I86,C$127&lt;$I86+$F86),INDEX($T86:$AI86,C$127-$I86+1),0)</f>
        <v>0</v>
      </c>
      <c r="D194" s="55">
        <f t="shared" si="165"/>
        <v>0</v>
      </c>
      <c r="E194" s="55">
        <f t="shared" si="165"/>
        <v>0</v>
      </c>
      <c r="F194" s="55">
        <f t="shared" si="165"/>
        <v>0</v>
      </c>
      <c r="G194" s="55">
        <f t="shared" si="165"/>
        <v>0</v>
      </c>
      <c r="H194" s="55">
        <f t="shared" si="165"/>
        <v>0</v>
      </c>
      <c r="I194" s="55">
        <f t="shared" si="165"/>
        <v>0</v>
      </c>
      <c r="J194" s="55">
        <f t="shared" si="165"/>
        <v>0</v>
      </c>
      <c r="K194" s="55">
        <f t="shared" si="165"/>
        <v>0</v>
      </c>
      <c r="L194" s="55">
        <f t="shared" si="165"/>
        <v>0.54500000000000004</v>
      </c>
      <c r="M194" s="55">
        <f t="shared" si="165"/>
        <v>1.816666666666666</v>
      </c>
      <c r="N194" s="55">
        <f t="shared" si="165"/>
        <v>4.7145328719723194</v>
      </c>
      <c r="O194" s="55">
        <f t="shared" si="165"/>
        <v>4.7248041854188809</v>
      </c>
      <c r="P194" s="55">
        <f t="shared" si="165"/>
        <v>5.9412499347765131</v>
      </c>
      <c r="Q194" s="55">
        <f t="shared" si="165"/>
        <v>12.143132967389681</v>
      </c>
      <c r="R194" s="55">
        <f t="shared" si="165"/>
        <v>20.519242699558529</v>
      </c>
      <c r="S194" s="55">
        <f t="shared" si="165"/>
        <v>20.116904607410319</v>
      </c>
      <c r="T194" s="55">
        <f t="shared" si="165"/>
        <v>0</v>
      </c>
      <c r="U194" s="55">
        <f t="shared" si="165"/>
        <v>0</v>
      </c>
      <c r="V194" s="55">
        <f t="shared" si="165"/>
        <v>0</v>
      </c>
      <c r="W194" s="55">
        <f t="shared" si="165"/>
        <v>0</v>
      </c>
      <c r="X194" s="55">
        <f t="shared" si="165"/>
        <v>0</v>
      </c>
      <c r="Y194" s="55">
        <f t="shared" si="165"/>
        <v>0</v>
      </c>
      <c r="Z194" s="55">
        <f t="shared" si="165"/>
        <v>0</v>
      </c>
      <c r="AA194" s="55">
        <f t="shared" si="165"/>
        <v>0</v>
      </c>
      <c r="AB194" s="55">
        <f t="shared" si="165"/>
        <v>0</v>
      </c>
      <c r="AC194" s="55">
        <f t="shared" si="165"/>
        <v>0</v>
      </c>
      <c r="AD194" s="55">
        <f t="shared" si="165"/>
        <v>0</v>
      </c>
      <c r="AE194" s="55">
        <f t="shared" si="165"/>
        <v>0</v>
      </c>
      <c r="AF194" s="55">
        <f t="shared" si="165"/>
        <v>0</v>
      </c>
      <c r="AG194" s="55">
        <f t="shared" si="165"/>
        <v>0</v>
      </c>
      <c r="AH194" s="55">
        <f t="shared" si="165"/>
        <v>0</v>
      </c>
      <c r="AI194" s="55">
        <f t="shared" ref="AI194:BJ194" si="166">IF(AND(AI$127&gt;=$I86,AI$127&lt;$I86+$F86),INDEX($T86:$AI86,AI$127-$I86+1),0)</f>
        <v>0</v>
      </c>
      <c r="AJ194" s="55">
        <f t="shared" si="166"/>
        <v>0</v>
      </c>
      <c r="AK194" s="55">
        <f t="shared" si="166"/>
        <v>0</v>
      </c>
      <c r="AL194" s="55">
        <f t="shared" si="166"/>
        <v>0</v>
      </c>
      <c r="AM194" s="55">
        <f t="shared" si="166"/>
        <v>0</v>
      </c>
      <c r="AN194" s="55">
        <f t="shared" si="166"/>
        <v>0</v>
      </c>
      <c r="AO194" s="55">
        <f t="shared" si="166"/>
        <v>0</v>
      </c>
      <c r="AP194" s="55">
        <f t="shared" si="166"/>
        <v>0</v>
      </c>
      <c r="AQ194" s="55">
        <f t="shared" si="166"/>
        <v>0</v>
      </c>
      <c r="AR194" s="55">
        <f t="shared" si="166"/>
        <v>0</v>
      </c>
      <c r="AS194" s="55">
        <f t="shared" si="166"/>
        <v>0</v>
      </c>
      <c r="AT194" s="55">
        <f t="shared" si="166"/>
        <v>0</v>
      </c>
      <c r="AU194" s="55">
        <f t="shared" si="166"/>
        <v>0</v>
      </c>
      <c r="AV194" s="55">
        <f t="shared" si="166"/>
        <v>0</v>
      </c>
      <c r="AW194" s="55">
        <f t="shared" si="166"/>
        <v>0</v>
      </c>
      <c r="AX194" s="55">
        <f t="shared" si="166"/>
        <v>0</v>
      </c>
      <c r="AY194" s="55">
        <f t="shared" si="166"/>
        <v>0</v>
      </c>
      <c r="AZ194" s="55">
        <f t="shared" si="166"/>
        <v>0</v>
      </c>
      <c r="BA194" s="55">
        <f t="shared" si="166"/>
        <v>0</v>
      </c>
      <c r="BB194" s="55">
        <f t="shared" si="166"/>
        <v>0</v>
      </c>
      <c r="BC194" s="55">
        <f t="shared" si="166"/>
        <v>0</v>
      </c>
      <c r="BD194" s="55">
        <f t="shared" si="166"/>
        <v>0</v>
      </c>
      <c r="BE194" s="55">
        <f t="shared" si="166"/>
        <v>0</v>
      </c>
      <c r="BF194" s="55">
        <f t="shared" si="166"/>
        <v>0</v>
      </c>
      <c r="BG194" s="55">
        <f t="shared" si="166"/>
        <v>0</v>
      </c>
      <c r="BH194" s="55">
        <f t="shared" si="166"/>
        <v>0</v>
      </c>
      <c r="BI194" s="55">
        <f t="shared" si="166"/>
        <v>0</v>
      </c>
      <c r="BJ194" s="55">
        <f t="shared" si="166"/>
        <v>0</v>
      </c>
    </row>
    <row r="195" spans="1:62" x14ac:dyDescent="0.3">
      <c r="A195" s="53" t="str">
        <f t="shared" si="104"/>
        <v>project 133</v>
      </c>
      <c r="C195" s="55">
        <f t="shared" ref="C195:AH195" si="167">IF(AND(C$127&gt;=$I87,C$127&lt;$I87+$F87),INDEX($T87:$AI87,C$127-$I87+1),0)</f>
        <v>0</v>
      </c>
      <c r="D195" s="55">
        <f t="shared" si="167"/>
        <v>0</v>
      </c>
      <c r="E195" s="55">
        <f t="shared" si="167"/>
        <v>0</v>
      </c>
      <c r="F195" s="55">
        <f t="shared" si="167"/>
        <v>0</v>
      </c>
      <c r="G195" s="55">
        <f t="shared" si="167"/>
        <v>0</v>
      </c>
      <c r="H195" s="55">
        <f t="shared" si="167"/>
        <v>0</v>
      </c>
      <c r="I195" s="55">
        <f t="shared" si="167"/>
        <v>0</v>
      </c>
      <c r="J195" s="55">
        <f t="shared" si="167"/>
        <v>0</v>
      </c>
      <c r="K195" s="55">
        <f t="shared" si="167"/>
        <v>0</v>
      </c>
      <c r="L195" s="55">
        <f t="shared" si="167"/>
        <v>0</v>
      </c>
      <c r="M195" s="55">
        <f t="shared" si="167"/>
        <v>0</v>
      </c>
      <c r="N195" s="55">
        <f t="shared" si="167"/>
        <v>0.64117647058823535</v>
      </c>
      <c r="O195" s="55">
        <f t="shared" si="167"/>
        <v>3.5620915032679741</v>
      </c>
      <c r="P195" s="55">
        <f t="shared" si="167"/>
        <v>3.594959706296974</v>
      </c>
      <c r="Q195" s="55">
        <f t="shared" si="167"/>
        <v>1.8125847258640211</v>
      </c>
      <c r="R195" s="55">
        <f t="shared" si="167"/>
        <v>17.281343851554791</v>
      </c>
      <c r="S195" s="55">
        <f t="shared" si="167"/>
        <v>16.94249397211254</v>
      </c>
      <c r="T195" s="55">
        <f t="shared" si="167"/>
        <v>16.61028820795347</v>
      </c>
      <c r="U195" s="55">
        <f t="shared" si="167"/>
        <v>0</v>
      </c>
      <c r="V195" s="55">
        <f t="shared" si="167"/>
        <v>0</v>
      </c>
      <c r="W195" s="55">
        <f t="shared" si="167"/>
        <v>0</v>
      </c>
      <c r="X195" s="55">
        <f t="shared" si="167"/>
        <v>0</v>
      </c>
      <c r="Y195" s="55">
        <f t="shared" si="167"/>
        <v>0</v>
      </c>
      <c r="Z195" s="55">
        <f t="shared" si="167"/>
        <v>0</v>
      </c>
      <c r="AA195" s="55">
        <f t="shared" si="167"/>
        <v>0</v>
      </c>
      <c r="AB195" s="55">
        <f t="shared" si="167"/>
        <v>0</v>
      </c>
      <c r="AC195" s="55">
        <f t="shared" si="167"/>
        <v>0</v>
      </c>
      <c r="AD195" s="55">
        <f t="shared" si="167"/>
        <v>0</v>
      </c>
      <c r="AE195" s="55">
        <f t="shared" si="167"/>
        <v>0</v>
      </c>
      <c r="AF195" s="55">
        <f t="shared" si="167"/>
        <v>0</v>
      </c>
      <c r="AG195" s="55">
        <f t="shared" si="167"/>
        <v>0</v>
      </c>
      <c r="AH195" s="55">
        <f t="shared" si="167"/>
        <v>0</v>
      </c>
      <c r="AI195" s="55">
        <f t="shared" ref="AI195:BJ195" si="168">IF(AND(AI$127&gt;=$I87,AI$127&lt;$I87+$F87),INDEX($T87:$AI87,AI$127-$I87+1),0)</f>
        <v>0</v>
      </c>
      <c r="AJ195" s="55">
        <f t="shared" si="168"/>
        <v>0</v>
      </c>
      <c r="AK195" s="55">
        <f t="shared" si="168"/>
        <v>0</v>
      </c>
      <c r="AL195" s="55">
        <f t="shared" si="168"/>
        <v>0</v>
      </c>
      <c r="AM195" s="55">
        <f t="shared" si="168"/>
        <v>0</v>
      </c>
      <c r="AN195" s="55">
        <f t="shared" si="168"/>
        <v>0</v>
      </c>
      <c r="AO195" s="55">
        <f t="shared" si="168"/>
        <v>0</v>
      </c>
      <c r="AP195" s="55">
        <f t="shared" si="168"/>
        <v>0</v>
      </c>
      <c r="AQ195" s="55">
        <f t="shared" si="168"/>
        <v>0</v>
      </c>
      <c r="AR195" s="55">
        <f t="shared" si="168"/>
        <v>0</v>
      </c>
      <c r="AS195" s="55">
        <f t="shared" si="168"/>
        <v>0</v>
      </c>
      <c r="AT195" s="55">
        <f t="shared" si="168"/>
        <v>0</v>
      </c>
      <c r="AU195" s="55">
        <f t="shared" si="168"/>
        <v>0</v>
      </c>
      <c r="AV195" s="55">
        <f t="shared" si="168"/>
        <v>0</v>
      </c>
      <c r="AW195" s="55">
        <f t="shared" si="168"/>
        <v>0</v>
      </c>
      <c r="AX195" s="55">
        <f t="shared" si="168"/>
        <v>0</v>
      </c>
      <c r="AY195" s="55">
        <f t="shared" si="168"/>
        <v>0</v>
      </c>
      <c r="AZ195" s="55">
        <f t="shared" si="168"/>
        <v>0</v>
      </c>
      <c r="BA195" s="55">
        <f t="shared" si="168"/>
        <v>0</v>
      </c>
      <c r="BB195" s="55">
        <f t="shared" si="168"/>
        <v>0</v>
      </c>
      <c r="BC195" s="55">
        <f t="shared" si="168"/>
        <v>0</v>
      </c>
      <c r="BD195" s="55">
        <f t="shared" si="168"/>
        <v>0</v>
      </c>
      <c r="BE195" s="55">
        <f t="shared" si="168"/>
        <v>0</v>
      </c>
      <c r="BF195" s="55">
        <f t="shared" si="168"/>
        <v>0</v>
      </c>
      <c r="BG195" s="55">
        <f t="shared" si="168"/>
        <v>0</v>
      </c>
      <c r="BH195" s="55">
        <f t="shared" si="168"/>
        <v>0</v>
      </c>
      <c r="BI195" s="55">
        <f t="shared" si="168"/>
        <v>0</v>
      </c>
      <c r="BJ195" s="55">
        <f t="shared" si="168"/>
        <v>0</v>
      </c>
    </row>
    <row r="196" spans="1:62" x14ac:dyDescent="0.3">
      <c r="A196" s="53" t="str">
        <f t="shared" ref="A196:A227" si="169">A88</f>
        <v>project 135</v>
      </c>
      <c r="C196" s="55">
        <f t="shared" ref="C196:AH196" si="170">IF(AND(C$127&gt;=$I88,C$127&lt;$I88+$F88),INDEX($T88:$AI88,C$127-$I88+1),0)</f>
        <v>0</v>
      </c>
      <c r="D196" s="55">
        <f t="shared" si="170"/>
        <v>0</v>
      </c>
      <c r="E196" s="55">
        <f t="shared" si="170"/>
        <v>0</v>
      </c>
      <c r="F196" s="55">
        <f t="shared" si="170"/>
        <v>0</v>
      </c>
      <c r="G196" s="55">
        <f t="shared" si="170"/>
        <v>0</v>
      </c>
      <c r="H196" s="55">
        <f t="shared" si="170"/>
        <v>0</v>
      </c>
      <c r="I196" s="55">
        <f t="shared" si="170"/>
        <v>0</v>
      </c>
      <c r="J196" s="55">
        <f t="shared" si="170"/>
        <v>0</v>
      </c>
      <c r="K196" s="55">
        <f t="shared" si="170"/>
        <v>0</v>
      </c>
      <c r="L196" s="55">
        <f t="shared" si="170"/>
        <v>0</v>
      </c>
      <c r="M196" s="55">
        <f t="shared" si="170"/>
        <v>0</v>
      </c>
      <c r="N196" s="55">
        <f t="shared" si="170"/>
        <v>0</v>
      </c>
      <c r="O196" s="55">
        <f t="shared" si="170"/>
        <v>0</v>
      </c>
      <c r="P196" s="55">
        <f t="shared" si="170"/>
        <v>7.4971164936562857</v>
      </c>
      <c r="Q196" s="55">
        <f t="shared" si="170"/>
        <v>7.5385786763763551</v>
      </c>
      <c r="R196" s="55">
        <f t="shared" si="170"/>
        <v>7.4831479508147654</v>
      </c>
      <c r="S196" s="55">
        <f t="shared" si="170"/>
        <v>6.3401156688094114</v>
      </c>
      <c r="T196" s="55">
        <f t="shared" si="170"/>
        <v>6.3933939517405829</v>
      </c>
      <c r="U196" s="55">
        <f t="shared" si="170"/>
        <v>6.355089303881571</v>
      </c>
      <c r="V196" s="55">
        <f t="shared" si="170"/>
        <v>0</v>
      </c>
      <c r="W196" s="55">
        <f t="shared" si="170"/>
        <v>0</v>
      </c>
      <c r="X196" s="55">
        <f t="shared" si="170"/>
        <v>0</v>
      </c>
      <c r="Y196" s="55">
        <f t="shared" si="170"/>
        <v>0</v>
      </c>
      <c r="Z196" s="55">
        <f t="shared" si="170"/>
        <v>0</v>
      </c>
      <c r="AA196" s="55">
        <f t="shared" si="170"/>
        <v>0</v>
      </c>
      <c r="AB196" s="55">
        <f t="shared" si="170"/>
        <v>0</v>
      </c>
      <c r="AC196" s="55">
        <f t="shared" si="170"/>
        <v>0</v>
      </c>
      <c r="AD196" s="55">
        <f t="shared" si="170"/>
        <v>0</v>
      </c>
      <c r="AE196" s="55">
        <f t="shared" si="170"/>
        <v>0</v>
      </c>
      <c r="AF196" s="55">
        <f t="shared" si="170"/>
        <v>0</v>
      </c>
      <c r="AG196" s="55">
        <f t="shared" si="170"/>
        <v>0</v>
      </c>
      <c r="AH196" s="55">
        <f t="shared" si="170"/>
        <v>0</v>
      </c>
      <c r="AI196" s="55">
        <f t="shared" ref="AI196:BJ196" si="171">IF(AND(AI$127&gt;=$I88,AI$127&lt;$I88+$F88),INDEX($T88:$AI88,AI$127-$I88+1),0)</f>
        <v>0</v>
      </c>
      <c r="AJ196" s="55">
        <f t="shared" si="171"/>
        <v>0</v>
      </c>
      <c r="AK196" s="55">
        <f t="shared" si="171"/>
        <v>0</v>
      </c>
      <c r="AL196" s="55">
        <f t="shared" si="171"/>
        <v>0</v>
      </c>
      <c r="AM196" s="55">
        <f t="shared" si="171"/>
        <v>0</v>
      </c>
      <c r="AN196" s="55">
        <f t="shared" si="171"/>
        <v>0</v>
      </c>
      <c r="AO196" s="55">
        <f t="shared" si="171"/>
        <v>0</v>
      </c>
      <c r="AP196" s="55">
        <f t="shared" si="171"/>
        <v>0</v>
      </c>
      <c r="AQ196" s="55">
        <f t="shared" si="171"/>
        <v>0</v>
      </c>
      <c r="AR196" s="55">
        <f t="shared" si="171"/>
        <v>0</v>
      </c>
      <c r="AS196" s="55">
        <f t="shared" si="171"/>
        <v>0</v>
      </c>
      <c r="AT196" s="55">
        <f t="shared" si="171"/>
        <v>0</v>
      </c>
      <c r="AU196" s="55">
        <f t="shared" si="171"/>
        <v>0</v>
      </c>
      <c r="AV196" s="55">
        <f t="shared" si="171"/>
        <v>0</v>
      </c>
      <c r="AW196" s="55">
        <f t="shared" si="171"/>
        <v>0</v>
      </c>
      <c r="AX196" s="55">
        <f t="shared" si="171"/>
        <v>0</v>
      </c>
      <c r="AY196" s="55">
        <f t="shared" si="171"/>
        <v>0</v>
      </c>
      <c r="AZ196" s="55">
        <f t="shared" si="171"/>
        <v>0</v>
      </c>
      <c r="BA196" s="55">
        <f t="shared" si="171"/>
        <v>0</v>
      </c>
      <c r="BB196" s="55">
        <f t="shared" si="171"/>
        <v>0</v>
      </c>
      <c r="BC196" s="55">
        <f t="shared" si="171"/>
        <v>0</v>
      </c>
      <c r="BD196" s="55">
        <f t="shared" si="171"/>
        <v>0</v>
      </c>
      <c r="BE196" s="55">
        <f t="shared" si="171"/>
        <v>0</v>
      </c>
      <c r="BF196" s="55">
        <f t="shared" si="171"/>
        <v>0</v>
      </c>
      <c r="BG196" s="55">
        <f t="shared" si="171"/>
        <v>0</v>
      </c>
      <c r="BH196" s="55">
        <f t="shared" si="171"/>
        <v>0</v>
      </c>
      <c r="BI196" s="55">
        <f t="shared" si="171"/>
        <v>0</v>
      </c>
      <c r="BJ196" s="55">
        <f t="shared" si="171"/>
        <v>0</v>
      </c>
    </row>
    <row r="197" spans="1:62" x14ac:dyDescent="0.3">
      <c r="A197" s="53" t="str">
        <f t="shared" si="169"/>
        <v>project 137</v>
      </c>
      <c r="C197" s="55">
        <f t="shared" ref="C197:AH197" si="172">IF(AND(C$127&gt;=$I89,C$127&lt;$I89+$F89),INDEX($T89:$AI89,C$127-$I89+1),0)</f>
        <v>0</v>
      </c>
      <c r="D197" s="55">
        <f t="shared" si="172"/>
        <v>0</v>
      </c>
      <c r="E197" s="55">
        <f t="shared" si="172"/>
        <v>0</v>
      </c>
      <c r="F197" s="55">
        <f t="shared" si="172"/>
        <v>4.766</v>
      </c>
      <c r="G197" s="55">
        <f t="shared" si="172"/>
        <v>22.06176470588235</v>
      </c>
      <c r="H197" s="55">
        <f t="shared" si="172"/>
        <v>20.11534025374856</v>
      </c>
      <c r="I197" s="55">
        <f t="shared" si="172"/>
        <v>0</v>
      </c>
      <c r="J197" s="55">
        <f t="shared" si="172"/>
        <v>0</v>
      </c>
      <c r="K197" s="55">
        <f t="shared" si="172"/>
        <v>0</v>
      </c>
      <c r="L197" s="55">
        <f t="shared" si="172"/>
        <v>0</v>
      </c>
      <c r="M197" s="55">
        <f t="shared" si="172"/>
        <v>0</v>
      </c>
      <c r="N197" s="55">
        <f t="shared" si="172"/>
        <v>0</v>
      </c>
      <c r="O197" s="55">
        <f t="shared" si="172"/>
        <v>0</v>
      </c>
      <c r="P197" s="55">
        <f t="shared" si="172"/>
        <v>0</v>
      </c>
      <c r="Q197" s="55">
        <f t="shared" si="172"/>
        <v>0</v>
      </c>
      <c r="R197" s="55">
        <f t="shared" si="172"/>
        <v>0</v>
      </c>
      <c r="S197" s="55">
        <f t="shared" si="172"/>
        <v>0</v>
      </c>
      <c r="T197" s="55">
        <f t="shared" si="172"/>
        <v>0</v>
      </c>
      <c r="U197" s="55">
        <f t="shared" si="172"/>
        <v>0</v>
      </c>
      <c r="V197" s="55">
        <f t="shared" si="172"/>
        <v>0</v>
      </c>
      <c r="W197" s="55">
        <f t="shared" si="172"/>
        <v>0</v>
      </c>
      <c r="X197" s="55">
        <f t="shared" si="172"/>
        <v>0</v>
      </c>
      <c r="Y197" s="55">
        <f t="shared" si="172"/>
        <v>0</v>
      </c>
      <c r="Z197" s="55">
        <f t="shared" si="172"/>
        <v>0</v>
      </c>
      <c r="AA197" s="55">
        <f t="shared" si="172"/>
        <v>0</v>
      </c>
      <c r="AB197" s="55">
        <f t="shared" si="172"/>
        <v>0</v>
      </c>
      <c r="AC197" s="55">
        <f t="shared" si="172"/>
        <v>0</v>
      </c>
      <c r="AD197" s="55">
        <f t="shared" si="172"/>
        <v>0</v>
      </c>
      <c r="AE197" s="55">
        <f t="shared" si="172"/>
        <v>0</v>
      </c>
      <c r="AF197" s="55">
        <f t="shared" si="172"/>
        <v>0</v>
      </c>
      <c r="AG197" s="55">
        <f t="shared" si="172"/>
        <v>0</v>
      </c>
      <c r="AH197" s="55">
        <f t="shared" si="172"/>
        <v>0</v>
      </c>
      <c r="AI197" s="55">
        <f t="shared" ref="AI197:BJ197" si="173">IF(AND(AI$127&gt;=$I89,AI$127&lt;$I89+$F89),INDEX($T89:$AI89,AI$127-$I89+1),0)</f>
        <v>0</v>
      </c>
      <c r="AJ197" s="55">
        <f t="shared" si="173"/>
        <v>0</v>
      </c>
      <c r="AK197" s="55">
        <f t="shared" si="173"/>
        <v>0</v>
      </c>
      <c r="AL197" s="55">
        <f t="shared" si="173"/>
        <v>0</v>
      </c>
      <c r="AM197" s="55">
        <f t="shared" si="173"/>
        <v>0</v>
      </c>
      <c r="AN197" s="55">
        <f t="shared" si="173"/>
        <v>0</v>
      </c>
      <c r="AO197" s="55">
        <f t="shared" si="173"/>
        <v>0</v>
      </c>
      <c r="AP197" s="55">
        <f t="shared" si="173"/>
        <v>0</v>
      </c>
      <c r="AQ197" s="55">
        <f t="shared" si="173"/>
        <v>0</v>
      </c>
      <c r="AR197" s="55">
        <f t="shared" si="173"/>
        <v>0</v>
      </c>
      <c r="AS197" s="55">
        <f t="shared" si="173"/>
        <v>0</v>
      </c>
      <c r="AT197" s="55">
        <f t="shared" si="173"/>
        <v>0</v>
      </c>
      <c r="AU197" s="55">
        <f t="shared" si="173"/>
        <v>0</v>
      </c>
      <c r="AV197" s="55">
        <f t="shared" si="173"/>
        <v>0</v>
      </c>
      <c r="AW197" s="55">
        <f t="shared" si="173"/>
        <v>0</v>
      </c>
      <c r="AX197" s="55">
        <f t="shared" si="173"/>
        <v>0</v>
      </c>
      <c r="AY197" s="55">
        <f t="shared" si="173"/>
        <v>0</v>
      </c>
      <c r="AZ197" s="55">
        <f t="shared" si="173"/>
        <v>0</v>
      </c>
      <c r="BA197" s="55">
        <f t="shared" si="173"/>
        <v>0</v>
      </c>
      <c r="BB197" s="55">
        <f t="shared" si="173"/>
        <v>0</v>
      </c>
      <c r="BC197" s="55">
        <f t="shared" si="173"/>
        <v>0</v>
      </c>
      <c r="BD197" s="55">
        <f t="shared" si="173"/>
        <v>0</v>
      </c>
      <c r="BE197" s="55">
        <f t="shared" si="173"/>
        <v>0</v>
      </c>
      <c r="BF197" s="55">
        <f t="shared" si="173"/>
        <v>0</v>
      </c>
      <c r="BG197" s="55">
        <f t="shared" si="173"/>
        <v>0</v>
      </c>
      <c r="BH197" s="55">
        <f t="shared" si="173"/>
        <v>0</v>
      </c>
      <c r="BI197" s="55">
        <f t="shared" si="173"/>
        <v>0</v>
      </c>
      <c r="BJ197" s="55">
        <f t="shared" si="173"/>
        <v>0</v>
      </c>
    </row>
    <row r="198" spans="1:62" x14ac:dyDescent="0.3">
      <c r="A198" s="53" t="str">
        <f t="shared" si="169"/>
        <v>project 142</v>
      </c>
      <c r="C198" s="55">
        <f t="shared" ref="C198:AH198" si="174">IF(AND(C$127&gt;=$I90,C$127&lt;$I90+$F90),INDEX($T90:$AI90,C$127-$I90+1),0)</f>
        <v>0</v>
      </c>
      <c r="D198" s="55">
        <f t="shared" si="174"/>
        <v>0</v>
      </c>
      <c r="E198" s="55">
        <f t="shared" si="174"/>
        <v>0</v>
      </c>
      <c r="F198" s="55">
        <f t="shared" si="174"/>
        <v>0</v>
      </c>
      <c r="G198" s="55">
        <f t="shared" si="174"/>
        <v>0</v>
      </c>
      <c r="H198" s="55">
        <f t="shared" si="174"/>
        <v>0</v>
      </c>
      <c r="I198" s="55">
        <f t="shared" si="174"/>
        <v>0</v>
      </c>
      <c r="J198" s="55">
        <f t="shared" si="174"/>
        <v>0</v>
      </c>
      <c r="K198" s="55">
        <f t="shared" si="174"/>
        <v>0</v>
      </c>
      <c r="L198" s="55">
        <f t="shared" si="174"/>
        <v>0</v>
      </c>
      <c r="M198" s="55">
        <f t="shared" si="174"/>
        <v>0</v>
      </c>
      <c r="N198" s="55">
        <f t="shared" si="174"/>
        <v>0</v>
      </c>
      <c r="O198" s="55">
        <f t="shared" si="174"/>
        <v>0</v>
      </c>
      <c r="P198" s="55">
        <f t="shared" si="174"/>
        <v>0</v>
      </c>
      <c r="Q198" s="55">
        <f t="shared" si="174"/>
        <v>0</v>
      </c>
      <c r="R198" s="55">
        <f t="shared" si="174"/>
        <v>1.853</v>
      </c>
      <c r="S198" s="55">
        <f t="shared" si="174"/>
        <v>17.952941176470588</v>
      </c>
      <c r="T198" s="55">
        <f t="shared" si="174"/>
        <v>18.019992310649751</v>
      </c>
      <c r="U198" s="55">
        <f t="shared" si="174"/>
        <v>0</v>
      </c>
      <c r="V198" s="55">
        <f t="shared" si="174"/>
        <v>0</v>
      </c>
      <c r="W198" s="55">
        <f t="shared" si="174"/>
        <v>0</v>
      </c>
      <c r="X198" s="55">
        <f t="shared" si="174"/>
        <v>0</v>
      </c>
      <c r="Y198" s="55">
        <f t="shared" si="174"/>
        <v>0</v>
      </c>
      <c r="Z198" s="55">
        <f t="shared" si="174"/>
        <v>0</v>
      </c>
      <c r="AA198" s="55">
        <f t="shared" si="174"/>
        <v>0</v>
      </c>
      <c r="AB198" s="55">
        <f t="shared" si="174"/>
        <v>0</v>
      </c>
      <c r="AC198" s="55">
        <f t="shared" si="174"/>
        <v>0</v>
      </c>
      <c r="AD198" s="55">
        <f t="shared" si="174"/>
        <v>0</v>
      </c>
      <c r="AE198" s="55">
        <f t="shared" si="174"/>
        <v>0</v>
      </c>
      <c r="AF198" s="55">
        <f t="shared" si="174"/>
        <v>0</v>
      </c>
      <c r="AG198" s="55">
        <f t="shared" si="174"/>
        <v>0</v>
      </c>
      <c r="AH198" s="55">
        <f t="shared" si="174"/>
        <v>0</v>
      </c>
      <c r="AI198" s="55">
        <f t="shared" ref="AI198:BJ198" si="175">IF(AND(AI$127&gt;=$I90,AI$127&lt;$I90+$F90),INDEX($T90:$AI90,AI$127-$I90+1),0)</f>
        <v>0</v>
      </c>
      <c r="AJ198" s="55">
        <f t="shared" si="175"/>
        <v>0</v>
      </c>
      <c r="AK198" s="55">
        <f t="shared" si="175"/>
        <v>0</v>
      </c>
      <c r="AL198" s="55">
        <f t="shared" si="175"/>
        <v>0</v>
      </c>
      <c r="AM198" s="55">
        <f t="shared" si="175"/>
        <v>0</v>
      </c>
      <c r="AN198" s="55">
        <f t="shared" si="175"/>
        <v>0</v>
      </c>
      <c r="AO198" s="55">
        <f t="shared" si="175"/>
        <v>0</v>
      </c>
      <c r="AP198" s="55">
        <f t="shared" si="175"/>
        <v>0</v>
      </c>
      <c r="AQ198" s="55">
        <f t="shared" si="175"/>
        <v>0</v>
      </c>
      <c r="AR198" s="55">
        <f t="shared" si="175"/>
        <v>0</v>
      </c>
      <c r="AS198" s="55">
        <f t="shared" si="175"/>
        <v>0</v>
      </c>
      <c r="AT198" s="55">
        <f t="shared" si="175"/>
        <v>0</v>
      </c>
      <c r="AU198" s="55">
        <f t="shared" si="175"/>
        <v>0</v>
      </c>
      <c r="AV198" s="55">
        <f t="shared" si="175"/>
        <v>0</v>
      </c>
      <c r="AW198" s="55">
        <f t="shared" si="175"/>
        <v>0</v>
      </c>
      <c r="AX198" s="55">
        <f t="shared" si="175"/>
        <v>0</v>
      </c>
      <c r="AY198" s="55">
        <f t="shared" si="175"/>
        <v>0</v>
      </c>
      <c r="AZ198" s="55">
        <f t="shared" si="175"/>
        <v>0</v>
      </c>
      <c r="BA198" s="55">
        <f t="shared" si="175"/>
        <v>0</v>
      </c>
      <c r="BB198" s="55">
        <f t="shared" si="175"/>
        <v>0</v>
      </c>
      <c r="BC198" s="55">
        <f t="shared" si="175"/>
        <v>0</v>
      </c>
      <c r="BD198" s="55">
        <f t="shared" si="175"/>
        <v>0</v>
      </c>
      <c r="BE198" s="55">
        <f t="shared" si="175"/>
        <v>0</v>
      </c>
      <c r="BF198" s="55">
        <f t="shared" si="175"/>
        <v>0</v>
      </c>
      <c r="BG198" s="55">
        <f t="shared" si="175"/>
        <v>0</v>
      </c>
      <c r="BH198" s="55">
        <f t="shared" si="175"/>
        <v>0</v>
      </c>
      <c r="BI198" s="55">
        <f t="shared" si="175"/>
        <v>0</v>
      </c>
      <c r="BJ198" s="55">
        <f t="shared" si="175"/>
        <v>0</v>
      </c>
    </row>
    <row r="199" spans="1:62" x14ac:dyDescent="0.3">
      <c r="A199" s="53" t="str">
        <f t="shared" si="169"/>
        <v>project 144</v>
      </c>
      <c r="C199" s="55">
        <f t="shared" ref="C199:AH199" si="176">IF(AND(C$127&gt;=$I91,C$127&lt;$I91+$F91),INDEX($T91:$AI91,C$127-$I91+1),0)</f>
        <v>0</v>
      </c>
      <c r="D199" s="55">
        <f t="shared" si="176"/>
        <v>2.4167796344853612</v>
      </c>
      <c r="E199" s="55">
        <f t="shared" si="176"/>
        <v>0</v>
      </c>
      <c r="F199" s="55">
        <f t="shared" si="176"/>
        <v>0</v>
      </c>
      <c r="G199" s="55">
        <f t="shared" si="176"/>
        <v>0</v>
      </c>
      <c r="H199" s="55">
        <f t="shared" si="176"/>
        <v>25.118221624124981</v>
      </c>
      <c r="I199" s="55">
        <f t="shared" si="176"/>
        <v>0</v>
      </c>
      <c r="J199" s="55">
        <f t="shared" si="176"/>
        <v>0</v>
      </c>
      <c r="K199" s="55">
        <f t="shared" si="176"/>
        <v>0</v>
      </c>
      <c r="L199" s="55">
        <f t="shared" si="176"/>
        <v>0</v>
      </c>
      <c r="M199" s="55">
        <f t="shared" si="176"/>
        <v>0</v>
      </c>
      <c r="N199" s="55">
        <f t="shared" si="176"/>
        <v>0</v>
      </c>
      <c r="O199" s="55">
        <f t="shared" si="176"/>
        <v>0</v>
      </c>
      <c r="P199" s="55">
        <f t="shared" si="176"/>
        <v>0</v>
      </c>
      <c r="Q199" s="55">
        <f t="shared" si="176"/>
        <v>0</v>
      </c>
      <c r="R199" s="55">
        <f t="shared" si="176"/>
        <v>0</v>
      </c>
      <c r="S199" s="55">
        <f t="shared" si="176"/>
        <v>0</v>
      </c>
      <c r="T199" s="55">
        <f t="shared" si="176"/>
        <v>0</v>
      </c>
      <c r="U199" s="55">
        <f t="shared" si="176"/>
        <v>0</v>
      </c>
      <c r="V199" s="55">
        <f t="shared" si="176"/>
        <v>0</v>
      </c>
      <c r="W199" s="55">
        <f t="shared" si="176"/>
        <v>0</v>
      </c>
      <c r="X199" s="55">
        <f t="shared" si="176"/>
        <v>0</v>
      </c>
      <c r="Y199" s="55">
        <f t="shared" si="176"/>
        <v>0</v>
      </c>
      <c r="Z199" s="55">
        <f t="shared" si="176"/>
        <v>0</v>
      </c>
      <c r="AA199" s="55">
        <f t="shared" si="176"/>
        <v>0</v>
      </c>
      <c r="AB199" s="55">
        <f t="shared" si="176"/>
        <v>0</v>
      </c>
      <c r="AC199" s="55">
        <f t="shared" si="176"/>
        <v>0</v>
      </c>
      <c r="AD199" s="55">
        <f t="shared" si="176"/>
        <v>0</v>
      </c>
      <c r="AE199" s="55">
        <f t="shared" si="176"/>
        <v>0</v>
      </c>
      <c r="AF199" s="55">
        <f t="shared" si="176"/>
        <v>0</v>
      </c>
      <c r="AG199" s="55">
        <f t="shared" si="176"/>
        <v>0</v>
      </c>
      <c r="AH199" s="55">
        <f t="shared" si="176"/>
        <v>0</v>
      </c>
      <c r="AI199" s="55">
        <f t="shared" ref="AI199:BJ199" si="177">IF(AND(AI$127&gt;=$I91,AI$127&lt;$I91+$F91),INDEX($T91:$AI91,AI$127-$I91+1),0)</f>
        <v>0</v>
      </c>
      <c r="AJ199" s="55">
        <f t="shared" si="177"/>
        <v>0</v>
      </c>
      <c r="AK199" s="55">
        <f t="shared" si="177"/>
        <v>0</v>
      </c>
      <c r="AL199" s="55">
        <f t="shared" si="177"/>
        <v>0</v>
      </c>
      <c r="AM199" s="55">
        <f t="shared" si="177"/>
        <v>0</v>
      </c>
      <c r="AN199" s="55">
        <f t="shared" si="177"/>
        <v>0</v>
      </c>
      <c r="AO199" s="55">
        <f t="shared" si="177"/>
        <v>0</v>
      </c>
      <c r="AP199" s="55">
        <f t="shared" si="177"/>
        <v>0</v>
      </c>
      <c r="AQ199" s="55">
        <f t="shared" si="177"/>
        <v>0</v>
      </c>
      <c r="AR199" s="55">
        <f t="shared" si="177"/>
        <v>0</v>
      </c>
      <c r="AS199" s="55">
        <f t="shared" si="177"/>
        <v>0</v>
      </c>
      <c r="AT199" s="55">
        <f t="shared" si="177"/>
        <v>0</v>
      </c>
      <c r="AU199" s="55">
        <f t="shared" si="177"/>
        <v>0</v>
      </c>
      <c r="AV199" s="55">
        <f t="shared" si="177"/>
        <v>0</v>
      </c>
      <c r="AW199" s="55">
        <f t="shared" si="177"/>
        <v>0</v>
      </c>
      <c r="AX199" s="55">
        <f t="shared" si="177"/>
        <v>0</v>
      </c>
      <c r="AY199" s="55">
        <f t="shared" si="177"/>
        <v>0</v>
      </c>
      <c r="AZ199" s="55">
        <f t="shared" si="177"/>
        <v>0</v>
      </c>
      <c r="BA199" s="55">
        <f t="shared" si="177"/>
        <v>0</v>
      </c>
      <c r="BB199" s="55">
        <f t="shared" si="177"/>
        <v>0</v>
      </c>
      <c r="BC199" s="55">
        <f t="shared" si="177"/>
        <v>0</v>
      </c>
      <c r="BD199" s="55">
        <f t="shared" si="177"/>
        <v>0</v>
      </c>
      <c r="BE199" s="55">
        <f t="shared" si="177"/>
        <v>0</v>
      </c>
      <c r="BF199" s="55">
        <f t="shared" si="177"/>
        <v>0</v>
      </c>
      <c r="BG199" s="55">
        <f t="shared" si="177"/>
        <v>0</v>
      </c>
      <c r="BH199" s="55">
        <f t="shared" si="177"/>
        <v>0</v>
      </c>
      <c r="BI199" s="55">
        <f t="shared" si="177"/>
        <v>0</v>
      </c>
      <c r="BJ199" s="55">
        <f t="shared" si="177"/>
        <v>0</v>
      </c>
    </row>
    <row r="200" spans="1:62" x14ac:dyDescent="0.3">
      <c r="A200" s="53" t="str">
        <f t="shared" si="169"/>
        <v>project 145</v>
      </c>
      <c r="C200" s="55">
        <f t="shared" ref="C200:AH200" si="178">IF(AND(C$127&gt;=$I92,C$127&lt;$I92+$F92),INDEX($T92:$AI92,C$127-$I92+1),0)</f>
        <v>0</v>
      </c>
      <c r="D200" s="55">
        <f t="shared" si="178"/>
        <v>0</v>
      </c>
      <c r="E200" s="55">
        <f t="shared" si="178"/>
        <v>0</v>
      </c>
      <c r="F200" s="55">
        <f t="shared" si="178"/>
        <v>0</v>
      </c>
      <c r="G200" s="55">
        <f t="shared" si="178"/>
        <v>0</v>
      </c>
      <c r="H200" s="55">
        <f t="shared" si="178"/>
        <v>0</v>
      </c>
      <c r="I200" s="55">
        <f t="shared" si="178"/>
        <v>0</v>
      </c>
      <c r="J200" s="55">
        <f t="shared" si="178"/>
        <v>0</v>
      </c>
      <c r="K200" s="55">
        <f t="shared" si="178"/>
        <v>0</v>
      </c>
      <c r="L200" s="55">
        <f t="shared" si="178"/>
        <v>0</v>
      </c>
      <c r="M200" s="55">
        <f t="shared" si="178"/>
        <v>0</v>
      </c>
      <c r="N200" s="55">
        <f t="shared" si="178"/>
        <v>0</v>
      </c>
      <c r="O200" s="55">
        <f t="shared" si="178"/>
        <v>0</v>
      </c>
      <c r="P200" s="55">
        <f t="shared" si="178"/>
        <v>2.4167796344853612</v>
      </c>
      <c r="Q200" s="55">
        <f t="shared" si="178"/>
        <v>0</v>
      </c>
      <c r="R200" s="55">
        <f t="shared" si="178"/>
        <v>0</v>
      </c>
      <c r="S200" s="55">
        <f t="shared" si="178"/>
        <v>0</v>
      </c>
      <c r="T200" s="55">
        <f t="shared" si="178"/>
        <v>25.118221624124981</v>
      </c>
      <c r="U200" s="55">
        <f t="shared" si="178"/>
        <v>0</v>
      </c>
      <c r="V200" s="55">
        <f t="shared" si="178"/>
        <v>0</v>
      </c>
      <c r="W200" s="55">
        <f t="shared" si="178"/>
        <v>0</v>
      </c>
      <c r="X200" s="55">
        <f t="shared" si="178"/>
        <v>0</v>
      </c>
      <c r="Y200" s="55">
        <f t="shared" si="178"/>
        <v>0</v>
      </c>
      <c r="Z200" s="55">
        <f t="shared" si="178"/>
        <v>0</v>
      </c>
      <c r="AA200" s="55">
        <f t="shared" si="178"/>
        <v>0</v>
      </c>
      <c r="AB200" s="55">
        <f t="shared" si="178"/>
        <v>0</v>
      </c>
      <c r="AC200" s="55">
        <f t="shared" si="178"/>
        <v>0</v>
      </c>
      <c r="AD200" s="55">
        <f t="shared" si="178"/>
        <v>0</v>
      </c>
      <c r="AE200" s="55">
        <f t="shared" si="178"/>
        <v>0</v>
      </c>
      <c r="AF200" s="55">
        <f t="shared" si="178"/>
        <v>0</v>
      </c>
      <c r="AG200" s="55">
        <f t="shared" si="178"/>
        <v>0</v>
      </c>
      <c r="AH200" s="55">
        <f t="shared" si="178"/>
        <v>0</v>
      </c>
      <c r="AI200" s="55">
        <f t="shared" ref="AI200:BJ200" si="179">IF(AND(AI$127&gt;=$I92,AI$127&lt;$I92+$F92),INDEX($T92:$AI92,AI$127-$I92+1),0)</f>
        <v>0</v>
      </c>
      <c r="AJ200" s="55">
        <f t="shared" si="179"/>
        <v>0</v>
      </c>
      <c r="AK200" s="55">
        <f t="shared" si="179"/>
        <v>0</v>
      </c>
      <c r="AL200" s="55">
        <f t="shared" si="179"/>
        <v>0</v>
      </c>
      <c r="AM200" s="55">
        <f t="shared" si="179"/>
        <v>0</v>
      </c>
      <c r="AN200" s="55">
        <f t="shared" si="179"/>
        <v>0</v>
      </c>
      <c r="AO200" s="55">
        <f t="shared" si="179"/>
        <v>0</v>
      </c>
      <c r="AP200" s="55">
        <f t="shared" si="179"/>
        <v>0</v>
      </c>
      <c r="AQ200" s="55">
        <f t="shared" si="179"/>
        <v>0</v>
      </c>
      <c r="AR200" s="55">
        <f t="shared" si="179"/>
        <v>0</v>
      </c>
      <c r="AS200" s="55">
        <f t="shared" si="179"/>
        <v>0</v>
      </c>
      <c r="AT200" s="55">
        <f t="shared" si="179"/>
        <v>0</v>
      </c>
      <c r="AU200" s="55">
        <f t="shared" si="179"/>
        <v>0</v>
      </c>
      <c r="AV200" s="55">
        <f t="shared" si="179"/>
        <v>0</v>
      </c>
      <c r="AW200" s="55">
        <f t="shared" si="179"/>
        <v>0</v>
      </c>
      <c r="AX200" s="55">
        <f t="shared" si="179"/>
        <v>0</v>
      </c>
      <c r="AY200" s="55">
        <f t="shared" si="179"/>
        <v>0</v>
      </c>
      <c r="AZ200" s="55">
        <f t="shared" si="179"/>
        <v>0</v>
      </c>
      <c r="BA200" s="55">
        <f t="shared" si="179"/>
        <v>0</v>
      </c>
      <c r="BB200" s="55">
        <f t="shared" si="179"/>
        <v>0</v>
      </c>
      <c r="BC200" s="55">
        <f t="shared" si="179"/>
        <v>0</v>
      </c>
      <c r="BD200" s="55">
        <f t="shared" si="179"/>
        <v>0</v>
      </c>
      <c r="BE200" s="55">
        <f t="shared" si="179"/>
        <v>0</v>
      </c>
      <c r="BF200" s="55">
        <f t="shared" si="179"/>
        <v>0</v>
      </c>
      <c r="BG200" s="55">
        <f t="shared" si="179"/>
        <v>0</v>
      </c>
      <c r="BH200" s="55">
        <f t="shared" si="179"/>
        <v>0</v>
      </c>
      <c r="BI200" s="55">
        <f t="shared" si="179"/>
        <v>0</v>
      </c>
      <c r="BJ200" s="55">
        <f t="shared" si="179"/>
        <v>0</v>
      </c>
    </row>
    <row r="201" spans="1:62" x14ac:dyDescent="0.3">
      <c r="A201" s="53" t="str">
        <f t="shared" si="169"/>
        <v>project 146</v>
      </c>
      <c r="C201" s="55">
        <f t="shared" ref="C201:AH201" si="180">IF(AND(C$127&gt;=$I93,C$127&lt;$I93+$F93),INDEX($T93:$AI93,C$127-$I93+1),0)</f>
        <v>0</v>
      </c>
      <c r="D201" s="55">
        <f t="shared" si="180"/>
        <v>0</v>
      </c>
      <c r="E201" s="55">
        <f t="shared" si="180"/>
        <v>0</v>
      </c>
      <c r="F201" s="55">
        <f t="shared" si="180"/>
        <v>0</v>
      </c>
      <c r="G201" s="55">
        <f t="shared" si="180"/>
        <v>0</v>
      </c>
      <c r="H201" s="55">
        <f t="shared" si="180"/>
        <v>0</v>
      </c>
      <c r="I201" s="55">
        <f t="shared" si="180"/>
        <v>0</v>
      </c>
      <c r="J201" s="55">
        <f t="shared" si="180"/>
        <v>0</v>
      </c>
      <c r="K201" s="55">
        <f t="shared" si="180"/>
        <v>0</v>
      </c>
      <c r="L201" s="55">
        <f t="shared" si="180"/>
        <v>0</v>
      </c>
      <c r="M201" s="55">
        <f t="shared" si="180"/>
        <v>0</v>
      </c>
      <c r="N201" s="55">
        <f t="shared" si="180"/>
        <v>0</v>
      </c>
      <c r="O201" s="55">
        <f t="shared" si="180"/>
        <v>0</v>
      </c>
      <c r="P201" s="55">
        <f t="shared" si="180"/>
        <v>0.54500000000000004</v>
      </c>
      <c r="Q201" s="55">
        <f t="shared" si="180"/>
        <v>0.21372549019607839</v>
      </c>
      <c r="R201" s="55">
        <f t="shared" si="180"/>
        <v>2.9248366013071889</v>
      </c>
      <c r="S201" s="55">
        <f t="shared" si="180"/>
        <v>10.67368508341437</v>
      </c>
      <c r="T201" s="55">
        <f t="shared" si="180"/>
        <v>11.07690665805791</v>
      </c>
      <c r="U201" s="55">
        <f t="shared" si="180"/>
        <v>4.9362329135730416</v>
      </c>
      <c r="V201" s="55">
        <f t="shared" si="180"/>
        <v>0</v>
      </c>
      <c r="W201" s="55">
        <f t="shared" si="180"/>
        <v>0</v>
      </c>
      <c r="X201" s="55">
        <f t="shared" si="180"/>
        <v>0</v>
      </c>
      <c r="Y201" s="55">
        <f t="shared" si="180"/>
        <v>0</v>
      </c>
      <c r="Z201" s="55">
        <f t="shared" si="180"/>
        <v>0</v>
      </c>
      <c r="AA201" s="55">
        <f t="shared" si="180"/>
        <v>0</v>
      </c>
      <c r="AB201" s="55">
        <f t="shared" si="180"/>
        <v>0</v>
      </c>
      <c r="AC201" s="55">
        <f t="shared" si="180"/>
        <v>0</v>
      </c>
      <c r="AD201" s="55">
        <f t="shared" si="180"/>
        <v>0</v>
      </c>
      <c r="AE201" s="55">
        <f t="shared" si="180"/>
        <v>0</v>
      </c>
      <c r="AF201" s="55">
        <f t="shared" si="180"/>
        <v>0</v>
      </c>
      <c r="AG201" s="55">
        <f t="shared" si="180"/>
        <v>0</v>
      </c>
      <c r="AH201" s="55">
        <f t="shared" si="180"/>
        <v>0</v>
      </c>
      <c r="AI201" s="55">
        <f t="shared" ref="AI201:BJ201" si="181">IF(AND(AI$127&gt;=$I93,AI$127&lt;$I93+$F93),INDEX($T93:$AI93,AI$127-$I93+1),0)</f>
        <v>0</v>
      </c>
      <c r="AJ201" s="55">
        <f t="shared" si="181"/>
        <v>0</v>
      </c>
      <c r="AK201" s="55">
        <f t="shared" si="181"/>
        <v>0</v>
      </c>
      <c r="AL201" s="55">
        <f t="shared" si="181"/>
        <v>0</v>
      </c>
      <c r="AM201" s="55">
        <f t="shared" si="181"/>
        <v>0</v>
      </c>
      <c r="AN201" s="55">
        <f t="shared" si="181"/>
        <v>0</v>
      </c>
      <c r="AO201" s="55">
        <f t="shared" si="181"/>
        <v>0</v>
      </c>
      <c r="AP201" s="55">
        <f t="shared" si="181"/>
        <v>0</v>
      </c>
      <c r="AQ201" s="55">
        <f t="shared" si="181"/>
        <v>0</v>
      </c>
      <c r="AR201" s="55">
        <f t="shared" si="181"/>
        <v>0</v>
      </c>
      <c r="AS201" s="55">
        <f t="shared" si="181"/>
        <v>0</v>
      </c>
      <c r="AT201" s="55">
        <f t="shared" si="181"/>
        <v>0</v>
      </c>
      <c r="AU201" s="55">
        <f t="shared" si="181"/>
        <v>0</v>
      </c>
      <c r="AV201" s="55">
        <f t="shared" si="181"/>
        <v>0</v>
      </c>
      <c r="AW201" s="55">
        <f t="shared" si="181"/>
        <v>0</v>
      </c>
      <c r="AX201" s="55">
        <f t="shared" si="181"/>
        <v>0</v>
      </c>
      <c r="AY201" s="55">
        <f t="shared" si="181"/>
        <v>0</v>
      </c>
      <c r="AZ201" s="55">
        <f t="shared" si="181"/>
        <v>0</v>
      </c>
      <c r="BA201" s="55">
        <f t="shared" si="181"/>
        <v>0</v>
      </c>
      <c r="BB201" s="55">
        <f t="shared" si="181"/>
        <v>0</v>
      </c>
      <c r="BC201" s="55">
        <f t="shared" si="181"/>
        <v>0</v>
      </c>
      <c r="BD201" s="55">
        <f t="shared" si="181"/>
        <v>0</v>
      </c>
      <c r="BE201" s="55">
        <f t="shared" si="181"/>
        <v>0</v>
      </c>
      <c r="BF201" s="55">
        <f t="shared" si="181"/>
        <v>0</v>
      </c>
      <c r="BG201" s="55">
        <f t="shared" si="181"/>
        <v>0</v>
      </c>
      <c r="BH201" s="55">
        <f t="shared" si="181"/>
        <v>0</v>
      </c>
      <c r="BI201" s="55">
        <f t="shared" si="181"/>
        <v>0</v>
      </c>
      <c r="BJ201" s="55">
        <f t="shared" si="181"/>
        <v>0</v>
      </c>
    </row>
    <row r="202" spans="1:62" x14ac:dyDescent="0.3">
      <c r="A202" s="53" t="str">
        <f t="shared" si="169"/>
        <v>project 148</v>
      </c>
      <c r="C202" s="55">
        <f t="shared" ref="C202:AH202" si="182">IF(AND(C$127&gt;=$I94,C$127&lt;$I94+$F94),INDEX($T94:$AI94,C$127-$I94+1),0)</f>
        <v>0</v>
      </c>
      <c r="D202" s="55">
        <f t="shared" si="182"/>
        <v>0</v>
      </c>
      <c r="E202" s="55">
        <f t="shared" si="182"/>
        <v>0</v>
      </c>
      <c r="F202" s="55">
        <f t="shared" si="182"/>
        <v>0</v>
      </c>
      <c r="G202" s="55">
        <f t="shared" si="182"/>
        <v>0</v>
      </c>
      <c r="H202" s="55">
        <f t="shared" si="182"/>
        <v>0</v>
      </c>
      <c r="I202" s="55">
        <f t="shared" si="182"/>
        <v>0</v>
      </c>
      <c r="J202" s="55">
        <f t="shared" si="182"/>
        <v>0</v>
      </c>
      <c r="K202" s="55">
        <f t="shared" si="182"/>
        <v>0</v>
      </c>
      <c r="L202" s="55">
        <f t="shared" si="182"/>
        <v>0</v>
      </c>
      <c r="M202" s="55">
        <f t="shared" si="182"/>
        <v>0</v>
      </c>
      <c r="N202" s="55">
        <f t="shared" si="182"/>
        <v>0</v>
      </c>
      <c r="O202" s="55">
        <f t="shared" si="182"/>
        <v>0</v>
      </c>
      <c r="P202" s="55">
        <f t="shared" si="182"/>
        <v>0</v>
      </c>
      <c r="Q202" s="55">
        <f t="shared" si="182"/>
        <v>0</v>
      </c>
      <c r="R202" s="55">
        <f t="shared" si="182"/>
        <v>9.8724658271460832</v>
      </c>
      <c r="S202" s="55">
        <f t="shared" si="182"/>
        <v>4.2622626344937213</v>
      </c>
      <c r="T202" s="55">
        <f t="shared" si="182"/>
        <v>4.2657448752081777</v>
      </c>
      <c r="U202" s="55">
        <f t="shared" si="182"/>
        <v>4.267451855950557</v>
      </c>
      <c r="V202" s="55">
        <f t="shared" si="182"/>
        <v>0</v>
      </c>
      <c r="W202" s="55">
        <f t="shared" si="182"/>
        <v>0</v>
      </c>
      <c r="X202" s="55">
        <f t="shared" si="182"/>
        <v>0</v>
      </c>
      <c r="Y202" s="55">
        <f t="shared" si="182"/>
        <v>0</v>
      </c>
      <c r="Z202" s="55">
        <f t="shared" si="182"/>
        <v>0</v>
      </c>
      <c r="AA202" s="55">
        <f t="shared" si="182"/>
        <v>0</v>
      </c>
      <c r="AB202" s="55">
        <f t="shared" si="182"/>
        <v>0</v>
      </c>
      <c r="AC202" s="55">
        <f t="shared" si="182"/>
        <v>0</v>
      </c>
      <c r="AD202" s="55">
        <f t="shared" si="182"/>
        <v>0</v>
      </c>
      <c r="AE202" s="55">
        <f t="shared" si="182"/>
        <v>0</v>
      </c>
      <c r="AF202" s="55">
        <f t="shared" si="182"/>
        <v>0</v>
      </c>
      <c r="AG202" s="55">
        <f t="shared" si="182"/>
        <v>0</v>
      </c>
      <c r="AH202" s="55">
        <f t="shared" si="182"/>
        <v>0</v>
      </c>
      <c r="AI202" s="55">
        <f t="shared" ref="AI202:BJ202" si="183">IF(AND(AI$127&gt;=$I94,AI$127&lt;$I94+$F94),INDEX($T94:$AI94,AI$127-$I94+1),0)</f>
        <v>0</v>
      </c>
      <c r="AJ202" s="55">
        <f t="shared" si="183"/>
        <v>0</v>
      </c>
      <c r="AK202" s="55">
        <f t="shared" si="183"/>
        <v>0</v>
      </c>
      <c r="AL202" s="55">
        <f t="shared" si="183"/>
        <v>0</v>
      </c>
      <c r="AM202" s="55">
        <f t="shared" si="183"/>
        <v>0</v>
      </c>
      <c r="AN202" s="55">
        <f t="shared" si="183"/>
        <v>0</v>
      </c>
      <c r="AO202" s="55">
        <f t="shared" si="183"/>
        <v>0</v>
      </c>
      <c r="AP202" s="55">
        <f t="shared" si="183"/>
        <v>0</v>
      </c>
      <c r="AQ202" s="55">
        <f t="shared" si="183"/>
        <v>0</v>
      </c>
      <c r="AR202" s="55">
        <f t="shared" si="183"/>
        <v>0</v>
      </c>
      <c r="AS202" s="55">
        <f t="shared" si="183"/>
        <v>0</v>
      </c>
      <c r="AT202" s="55">
        <f t="shared" si="183"/>
        <v>0</v>
      </c>
      <c r="AU202" s="55">
        <f t="shared" si="183"/>
        <v>0</v>
      </c>
      <c r="AV202" s="55">
        <f t="shared" si="183"/>
        <v>0</v>
      </c>
      <c r="AW202" s="55">
        <f t="shared" si="183"/>
        <v>0</v>
      </c>
      <c r="AX202" s="55">
        <f t="shared" si="183"/>
        <v>0</v>
      </c>
      <c r="AY202" s="55">
        <f t="shared" si="183"/>
        <v>0</v>
      </c>
      <c r="AZ202" s="55">
        <f t="shared" si="183"/>
        <v>0</v>
      </c>
      <c r="BA202" s="55">
        <f t="shared" si="183"/>
        <v>0</v>
      </c>
      <c r="BB202" s="55">
        <f t="shared" si="183"/>
        <v>0</v>
      </c>
      <c r="BC202" s="55">
        <f t="shared" si="183"/>
        <v>0</v>
      </c>
      <c r="BD202" s="55">
        <f t="shared" si="183"/>
        <v>0</v>
      </c>
      <c r="BE202" s="55">
        <f t="shared" si="183"/>
        <v>0</v>
      </c>
      <c r="BF202" s="55">
        <f t="shared" si="183"/>
        <v>0</v>
      </c>
      <c r="BG202" s="55">
        <f t="shared" si="183"/>
        <v>0</v>
      </c>
      <c r="BH202" s="55">
        <f t="shared" si="183"/>
        <v>0</v>
      </c>
      <c r="BI202" s="55">
        <f t="shared" si="183"/>
        <v>0</v>
      </c>
      <c r="BJ202" s="55">
        <f t="shared" si="183"/>
        <v>0</v>
      </c>
    </row>
    <row r="203" spans="1:62" x14ac:dyDescent="0.3">
      <c r="A203" s="53" t="str">
        <f t="shared" si="169"/>
        <v>project 149</v>
      </c>
      <c r="C203" s="55">
        <f t="shared" ref="C203:AH203" si="184">IF(AND(C$127&gt;=$I95,C$127&lt;$I95+$F95),INDEX($T95:$AI95,C$127-$I95+1),0)</f>
        <v>0</v>
      </c>
      <c r="D203" s="55">
        <f t="shared" si="184"/>
        <v>0</v>
      </c>
      <c r="E203" s="55">
        <f t="shared" si="184"/>
        <v>0</v>
      </c>
      <c r="F203" s="55">
        <f t="shared" si="184"/>
        <v>0</v>
      </c>
      <c r="G203" s="55">
        <f t="shared" si="184"/>
        <v>0</v>
      </c>
      <c r="H203" s="55">
        <f t="shared" si="184"/>
        <v>0</v>
      </c>
      <c r="I203" s="55">
        <f t="shared" si="184"/>
        <v>0</v>
      </c>
      <c r="J203" s="55">
        <f t="shared" si="184"/>
        <v>0</v>
      </c>
      <c r="K203" s="55">
        <f t="shared" si="184"/>
        <v>0</v>
      </c>
      <c r="L203" s="55">
        <f t="shared" si="184"/>
        <v>0</v>
      </c>
      <c r="M203" s="55">
        <f t="shared" si="184"/>
        <v>0.54500000000000004</v>
      </c>
      <c r="N203" s="55">
        <f t="shared" si="184"/>
        <v>10.686274509803919</v>
      </c>
      <c r="O203" s="55">
        <f t="shared" si="184"/>
        <v>10.476739715494039</v>
      </c>
      <c r="P203" s="55">
        <f t="shared" si="184"/>
        <v>0</v>
      </c>
      <c r="Q203" s="55">
        <f t="shared" si="184"/>
        <v>0</v>
      </c>
      <c r="R203" s="55">
        <f t="shared" si="184"/>
        <v>0</v>
      </c>
      <c r="S203" s="55">
        <f t="shared" si="184"/>
        <v>0</v>
      </c>
      <c r="T203" s="55">
        <f t="shared" si="184"/>
        <v>0</v>
      </c>
      <c r="U203" s="55">
        <f t="shared" si="184"/>
        <v>0</v>
      </c>
      <c r="V203" s="55">
        <f t="shared" si="184"/>
        <v>0</v>
      </c>
      <c r="W203" s="55">
        <f t="shared" si="184"/>
        <v>0</v>
      </c>
      <c r="X203" s="55">
        <f t="shared" si="184"/>
        <v>0</v>
      </c>
      <c r="Y203" s="55">
        <f t="shared" si="184"/>
        <v>0</v>
      </c>
      <c r="Z203" s="55">
        <f t="shared" si="184"/>
        <v>0</v>
      </c>
      <c r="AA203" s="55">
        <f t="shared" si="184"/>
        <v>0</v>
      </c>
      <c r="AB203" s="55">
        <f t="shared" si="184"/>
        <v>0</v>
      </c>
      <c r="AC203" s="55">
        <f t="shared" si="184"/>
        <v>0</v>
      </c>
      <c r="AD203" s="55">
        <f t="shared" si="184"/>
        <v>0</v>
      </c>
      <c r="AE203" s="55">
        <f t="shared" si="184"/>
        <v>0</v>
      </c>
      <c r="AF203" s="55">
        <f t="shared" si="184"/>
        <v>0</v>
      </c>
      <c r="AG203" s="55">
        <f t="shared" si="184"/>
        <v>0</v>
      </c>
      <c r="AH203" s="55">
        <f t="shared" si="184"/>
        <v>0</v>
      </c>
      <c r="AI203" s="55">
        <f t="shared" ref="AI203:BJ203" si="185">IF(AND(AI$127&gt;=$I95,AI$127&lt;$I95+$F95),INDEX($T95:$AI95,AI$127-$I95+1),0)</f>
        <v>0</v>
      </c>
      <c r="AJ203" s="55">
        <f t="shared" si="185"/>
        <v>0</v>
      </c>
      <c r="AK203" s="55">
        <f t="shared" si="185"/>
        <v>0</v>
      </c>
      <c r="AL203" s="55">
        <f t="shared" si="185"/>
        <v>0</v>
      </c>
      <c r="AM203" s="55">
        <f t="shared" si="185"/>
        <v>0</v>
      </c>
      <c r="AN203" s="55">
        <f t="shared" si="185"/>
        <v>0</v>
      </c>
      <c r="AO203" s="55">
        <f t="shared" si="185"/>
        <v>0</v>
      </c>
      <c r="AP203" s="55">
        <f t="shared" si="185"/>
        <v>0</v>
      </c>
      <c r="AQ203" s="55">
        <f t="shared" si="185"/>
        <v>0</v>
      </c>
      <c r="AR203" s="55">
        <f t="shared" si="185"/>
        <v>0</v>
      </c>
      <c r="AS203" s="55">
        <f t="shared" si="185"/>
        <v>0</v>
      </c>
      <c r="AT203" s="55">
        <f t="shared" si="185"/>
        <v>0</v>
      </c>
      <c r="AU203" s="55">
        <f t="shared" si="185"/>
        <v>0</v>
      </c>
      <c r="AV203" s="55">
        <f t="shared" si="185"/>
        <v>0</v>
      </c>
      <c r="AW203" s="55">
        <f t="shared" si="185"/>
        <v>0</v>
      </c>
      <c r="AX203" s="55">
        <f t="shared" si="185"/>
        <v>0</v>
      </c>
      <c r="AY203" s="55">
        <f t="shared" si="185"/>
        <v>0</v>
      </c>
      <c r="AZ203" s="55">
        <f t="shared" si="185"/>
        <v>0</v>
      </c>
      <c r="BA203" s="55">
        <f t="shared" si="185"/>
        <v>0</v>
      </c>
      <c r="BB203" s="55">
        <f t="shared" si="185"/>
        <v>0</v>
      </c>
      <c r="BC203" s="55">
        <f t="shared" si="185"/>
        <v>0</v>
      </c>
      <c r="BD203" s="55">
        <f t="shared" si="185"/>
        <v>0</v>
      </c>
      <c r="BE203" s="55">
        <f t="shared" si="185"/>
        <v>0</v>
      </c>
      <c r="BF203" s="55">
        <f t="shared" si="185"/>
        <v>0</v>
      </c>
      <c r="BG203" s="55">
        <f t="shared" si="185"/>
        <v>0</v>
      </c>
      <c r="BH203" s="55">
        <f t="shared" si="185"/>
        <v>0</v>
      </c>
      <c r="BI203" s="55">
        <f t="shared" si="185"/>
        <v>0</v>
      </c>
      <c r="BJ203" s="55">
        <f t="shared" si="185"/>
        <v>0</v>
      </c>
    </row>
    <row r="204" spans="1:62" x14ac:dyDescent="0.3">
      <c r="A204" s="53" t="str">
        <f t="shared" si="169"/>
        <v>project 150</v>
      </c>
      <c r="C204" s="55">
        <f t="shared" ref="C204:AH204" si="186">IF(AND(C$127&gt;=$I96,C$127&lt;$I96+$F96),INDEX($T96:$AI96,C$127-$I96+1),0)</f>
        <v>9.4891059468916605</v>
      </c>
      <c r="D204" s="55">
        <f t="shared" si="186"/>
        <v>9.3030450459722154</v>
      </c>
      <c r="E204" s="55">
        <f t="shared" si="186"/>
        <v>0</v>
      </c>
      <c r="F204" s="55">
        <f t="shared" si="186"/>
        <v>0</v>
      </c>
      <c r="G204" s="55">
        <f t="shared" si="186"/>
        <v>0</v>
      </c>
      <c r="H204" s="55">
        <f t="shared" si="186"/>
        <v>0</v>
      </c>
      <c r="I204" s="55">
        <f t="shared" si="186"/>
        <v>0</v>
      </c>
      <c r="J204" s="55">
        <f t="shared" si="186"/>
        <v>0</v>
      </c>
      <c r="K204" s="55">
        <f t="shared" si="186"/>
        <v>0</v>
      </c>
      <c r="L204" s="55">
        <f t="shared" si="186"/>
        <v>0</v>
      </c>
      <c r="M204" s="55">
        <f t="shared" si="186"/>
        <v>0</v>
      </c>
      <c r="N204" s="55">
        <f t="shared" si="186"/>
        <v>0</v>
      </c>
      <c r="O204" s="55">
        <f t="shared" si="186"/>
        <v>0</v>
      </c>
      <c r="P204" s="55">
        <f t="shared" si="186"/>
        <v>0</v>
      </c>
      <c r="Q204" s="55">
        <f t="shared" si="186"/>
        <v>0</v>
      </c>
      <c r="R204" s="55">
        <f t="shared" si="186"/>
        <v>0</v>
      </c>
      <c r="S204" s="55">
        <f t="shared" si="186"/>
        <v>0</v>
      </c>
      <c r="T204" s="55">
        <f t="shared" si="186"/>
        <v>0</v>
      </c>
      <c r="U204" s="55">
        <f t="shared" si="186"/>
        <v>0</v>
      </c>
      <c r="V204" s="55">
        <f t="shared" si="186"/>
        <v>0</v>
      </c>
      <c r="W204" s="55">
        <f t="shared" si="186"/>
        <v>0</v>
      </c>
      <c r="X204" s="55">
        <f t="shared" si="186"/>
        <v>0</v>
      </c>
      <c r="Y204" s="55">
        <f t="shared" si="186"/>
        <v>0</v>
      </c>
      <c r="Z204" s="55">
        <f t="shared" si="186"/>
        <v>0</v>
      </c>
      <c r="AA204" s="55">
        <f t="shared" si="186"/>
        <v>0</v>
      </c>
      <c r="AB204" s="55">
        <f t="shared" si="186"/>
        <v>0</v>
      </c>
      <c r="AC204" s="55">
        <f t="shared" si="186"/>
        <v>0</v>
      </c>
      <c r="AD204" s="55">
        <f t="shared" si="186"/>
        <v>0</v>
      </c>
      <c r="AE204" s="55">
        <f t="shared" si="186"/>
        <v>0</v>
      </c>
      <c r="AF204" s="55">
        <f t="shared" si="186"/>
        <v>0</v>
      </c>
      <c r="AG204" s="55">
        <f t="shared" si="186"/>
        <v>0</v>
      </c>
      <c r="AH204" s="55">
        <f t="shared" si="186"/>
        <v>0</v>
      </c>
      <c r="AI204" s="55">
        <f t="shared" ref="AI204:BJ204" si="187">IF(AND(AI$127&gt;=$I96,AI$127&lt;$I96+$F96),INDEX($T96:$AI96,AI$127-$I96+1),0)</f>
        <v>0</v>
      </c>
      <c r="AJ204" s="55">
        <f t="shared" si="187"/>
        <v>0</v>
      </c>
      <c r="AK204" s="55">
        <f t="shared" si="187"/>
        <v>0</v>
      </c>
      <c r="AL204" s="55">
        <f t="shared" si="187"/>
        <v>0</v>
      </c>
      <c r="AM204" s="55">
        <f t="shared" si="187"/>
        <v>0</v>
      </c>
      <c r="AN204" s="55">
        <f t="shared" si="187"/>
        <v>0</v>
      </c>
      <c r="AO204" s="55">
        <f t="shared" si="187"/>
        <v>0</v>
      </c>
      <c r="AP204" s="55">
        <f t="shared" si="187"/>
        <v>0</v>
      </c>
      <c r="AQ204" s="55">
        <f t="shared" si="187"/>
        <v>0</v>
      </c>
      <c r="AR204" s="55">
        <f t="shared" si="187"/>
        <v>0</v>
      </c>
      <c r="AS204" s="55">
        <f t="shared" si="187"/>
        <v>0</v>
      </c>
      <c r="AT204" s="55">
        <f t="shared" si="187"/>
        <v>0</v>
      </c>
      <c r="AU204" s="55">
        <f t="shared" si="187"/>
        <v>0</v>
      </c>
      <c r="AV204" s="55">
        <f t="shared" si="187"/>
        <v>0</v>
      </c>
      <c r="AW204" s="55">
        <f t="shared" si="187"/>
        <v>0</v>
      </c>
      <c r="AX204" s="55">
        <f t="shared" si="187"/>
        <v>0</v>
      </c>
      <c r="AY204" s="55">
        <f t="shared" si="187"/>
        <v>0</v>
      </c>
      <c r="AZ204" s="55">
        <f t="shared" si="187"/>
        <v>0</v>
      </c>
      <c r="BA204" s="55">
        <f t="shared" si="187"/>
        <v>0</v>
      </c>
      <c r="BB204" s="55">
        <f t="shared" si="187"/>
        <v>0</v>
      </c>
      <c r="BC204" s="55">
        <f t="shared" si="187"/>
        <v>0</v>
      </c>
      <c r="BD204" s="55">
        <f t="shared" si="187"/>
        <v>0</v>
      </c>
      <c r="BE204" s="55">
        <f t="shared" si="187"/>
        <v>0</v>
      </c>
      <c r="BF204" s="55">
        <f t="shared" si="187"/>
        <v>0</v>
      </c>
      <c r="BG204" s="55">
        <f t="shared" si="187"/>
        <v>0</v>
      </c>
      <c r="BH204" s="55">
        <f t="shared" si="187"/>
        <v>0</v>
      </c>
      <c r="BI204" s="55">
        <f t="shared" si="187"/>
        <v>0</v>
      </c>
      <c r="BJ204" s="55">
        <f t="shared" si="187"/>
        <v>0</v>
      </c>
    </row>
    <row r="205" spans="1:62" x14ac:dyDescent="0.3">
      <c r="A205" s="53" t="str">
        <f t="shared" si="169"/>
        <v>project 153</v>
      </c>
      <c r="C205" s="55">
        <f t="shared" ref="C205:AH205" si="188">IF(AND(C$127&gt;=$I97,C$127&lt;$I97+$F97),INDEX($T97:$AI97,C$127-$I97+1),0)</f>
        <v>8.9667698397233107</v>
      </c>
      <c r="D205" s="55">
        <f t="shared" si="188"/>
        <v>4.0967537817125352</v>
      </c>
      <c r="E205" s="55">
        <f t="shared" si="188"/>
        <v>0</v>
      </c>
      <c r="F205" s="55">
        <f t="shared" si="188"/>
        <v>0</v>
      </c>
      <c r="G205" s="55">
        <f t="shared" si="188"/>
        <v>0</v>
      </c>
      <c r="H205" s="55">
        <f t="shared" si="188"/>
        <v>0</v>
      </c>
      <c r="I205" s="55">
        <f t="shared" si="188"/>
        <v>0</v>
      </c>
      <c r="J205" s="55">
        <f t="shared" si="188"/>
        <v>0</v>
      </c>
      <c r="K205" s="55">
        <f t="shared" si="188"/>
        <v>0</v>
      </c>
      <c r="L205" s="55">
        <f t="shared" si="188"/>
        <v>0</v>
      </c>
      <c r="M205" s="55">
        <f t="shared" si="188"/>
        <v>0</v>
      </c>
      <c r="N205" s="55">
        <f t="shared" si="188"/>
        <v>0</v>
      </c>
      <c r="O205" s="55">
        <f t="shared" si="188"/>
        <v>0</v>
      </c>
      <c r="P205" s="55">
        <f t="shared" si="188"/>
        <v>0</v>
      </c>
      <c r="Q205" s="55">
        <f t="shared" si="188"/>
        <v>0</v>
      </c>
      <c r="R205" s="55">
        <f t="shared" si="188"/>
        <v>0</v>
      </c>
      <c r="S205" s="55">
        <f t="shared" si="188"/>
        <v>0</v>
      </c>
      <c r="T205" s="55">
        <f t="shared" si="188"/>
        <v>0</v>
      </c>
      <c r="U205" s="55">
        <f t="shared" si="188"/>
        <v>0</v>
      </c>
      <c r="V205" s="55">
        <f t="shared" si="188"/>
        <v>0</v>
      </c>
      <c r="W205" s="55">
        <f t="shared" si="188"/>
        <v>0</v>
      </c>
      <c r="X205" s="55">
        <f t="shared" si="188"/>
        <v>0</v>
      </c>
      <c r="Y205" s="55">
        <f t="shared" si="188"/>
        <v>0</v>
      </c>
      <c r="Z205" s="55">
        <f t="shared" si="188"/>
        <v>0</v>
      </c>
      <c r="AA205" s="55">
        <f t="shared" si="188"/>
        <v>0</v>
      </c>
      <c r="AB205" s="55">
        <f t="shared" si="188"/>
        <v>0</v>
      </c>
      <c r="AC205" s="55">
        <f t="shared" si="188"/>
        <v>0</v>
      </c>
      <c r="AD205" s="55">
        <f t="shared" si="188"/>
        <v>0</v>
      </c>
      <c r="AE205" s="55">
        <f t="shared" si="188"/>
        <v>0</v>
      </c>
      <c r="AF205" s="55">
        <f t="shared" si="188"/>
        <v>0</v>
      </c>
      <c r="AG205" s="55">
        <f t="shared" si="188"/>
        <v>0</v>
      </c>
      <c r="AH205" s="55">
        <f t="shared" si="188"/>
        <v>0</v>
      </c>
      <c r="AI205" s="55">
        <f t="shared" ref="AI205:BJ205" si="189">IF(AND(AI$127&gt;=$I97,AI$127&lt;$I97+$F97),INDEX($T97:$AI97,AI$127-$I97+1),0)</f>
        <v>0</v>
      </c>
      <c r="AJ205" s="55">
        <f t="shared" si="189"/>
        <v>0</v>
      </c>
      <c r="AK205" s="55">
        <f t="shared" si="189"/>
        <v>0</v>
      </c>
      <c r="AL205" s="55">
        <f t="shared" si="189"/>
        <v>0</v>
      </c>
      <c r="AM205" s="55">
        <f t="shared" si="189"/>
        <v>0</v>
      </c>
      <c r="AN205" s="55">
        <f t="shared" si="189"/>
        <v>0</v>
      </c>
      <c r="AO205" s="55">
        <f t="shared" si="189"/>
        <v>0</v>
      </c>
      <c r="AP205" s="55">
        <f t="shared" si="189"/>
        <v>0</v>
      </c>
      <c r="AQ205" s="55">
        <f t="shared" si="189"/>
        <v>0</v>
      </c>
      <c r="AR205" s="55">
        <f t="shared" si="189"/>
        <v>0</v>
      </c>
      <c r="AS205" s="55">
        <f t="shared" si="189"/>
        <v>0</v>
      </c>
      <c r="AT205" s="55">
        <f t="shared" si="189"/>
        <v>0</v>
      </c>
      <c r="AU205" s="55">
        <f t="shared" si="189"/>
        <v>0</v>
      </c>
      <c r="AV205" s="55">
        <f t="shared" si="189"/>
        <v>0</v>
      </c>
      <c r="AW205" s="55">
        <f t="shared" si="189"/>
        <v>0</v>
      </c>
      <c r="AX205" s="55">
        <f t="shared" si="189"/>
        <v>0</v>
      </c>
      <c r="AY205" s="55">
        <f t="shared" si="189"/>
        <v>0</v>
      </c>
      <c r="AZ205" s="55">
        <f t="shared" si="189"/>
        <v>0</v>
      </c>
      <c r="BA205" s="55">
        <f t="shared" si="189"/>
        <v>0</v>
      </c>
      <c r="BB205" s="55">
        <f t="shared" si="189"/>
        <v>0</v>
      </c>
      <c r="BC205" s="55">
        <f t="shared" si="189"/>
        <v>0</v>
      </c>
      <c r="BD205" s="55">
        <f t="shared" si="189"/>
        <v>0</v>
      </c>
      <c r="BE205" s="55">
        <f t="shared" si="189"/>
        <v>0</v>
      </c>
      <c r="BF205" s="55">
        <f t="shared" si="189"/>
        <v>0</v>
      </c>
      <c r="BG205" s="55">
        <f t="shared" si="189"/>
        <v>0</v>
      </c>
      <c r="BH205" s="55">
        <f t="shared" si="189"/>
        <v>0</v>
      </c>
      <c r="BI205" s="55">
        <f t="shared" si="189"/>
        <v>0</v>
      </c>
      <c r="BJ205" s="55">
        <f t="shared" si="189"/>
        <v>0</v>
      </c>
    </row>
    <row r="206" spans="1:62" x14ac:dyDescent="0.3">
      <c r="A206" s="53" t="str">
        <f t="shared" si="169"/>
        <v>project 156</v>
      </c>
      <c r="C206" s="55">
        <f t="shared" ref="C206:AH206" si="190">IF(AND(C$127&gt;=$I98,C$127&lt;$I98+$F98),INDEX($T98:$AI98,C$127-$I98+1),0)</f>
        <v>1.0686274509803919</v>
      </c>
      <c r="D206" s="55">
        <f t="shared" si="190"/>
        <v>0.94290657439446368</v>
      </c>
      <c r="E206" s="55">
        <f t="shared" si="190"/>
        <v>8.1605114171774051</v>
      </c>
      <c r="F206" s="55">
        <f t="shared" si="190"/>
        <v>6.0419490862134024</v>
      </c>
      <c r="G206" s="55">
        <f t="shared" si="190"/>
        <v>0</v>
      </c>
      <c r="H206" s="55">
        <f t="shared" si="190"/>
        <v>0</v>
      </c>
      <c r="I206" s="55">
        <f t="shared" si="190"/>
        <v>0</v>
      </c>
      <c r="J206" s="55">
        <f t="shared" si="190"/>
        <v>0</v>
      </c>
      <c r="K206" s="55">
        <f t="shared" si="190"/>
        <v>0</v>
      </c>
      <c r="L206" s="55">
        <f t="shared" si="190"/>
        <v>0</v>
      </c>
      <c r="M206" s="55">
        <f t="shared" si="190"/>
        <v>0</v>
      </c>
      <c r="N206" s="55">
        <f t="shared" si="190"/>
        <v>0</v>
      </c>
      <c r="O206" s="55">
        <f t="shared" si="190"/>
        <v>0</v>
      </c>
      <c r="P206" s="55">
        <f t="shared" si="190"/>
        <v>0</v>
      </c>
      <c r="Q206" s="55">
        <f t="shared" si="190"/>
        <v>0</v>
      </c>
      <c r="R206" s="55">
        <f t="shared" si="190"/>
        <v>0</v>
      </c>
      <c r="S206" s="55">
        <f t="shared" si="190"/>
        <v>0</v>
      </c>
      <c r="T206" s="55">
        <f t="shared" si="190"/>
        <v>0</v>
      </c>
      <c r="U206" s="55">
        <f t="shared" si="190"/>
        <v>0</v>
      </c>
      <c r="V206" s="55">
        <f t="shared" si="190"/>
        <v>0</v>
      </c>
      <c r="W206" s="55">
        <f t="shared" si="190"/>
        <v>0</v>
      </c>
      <c r="X206" s="55">
        <f t="shared" si="190"/>
        <v>0</v>
      </c>
      <c r="Y206" s="55">
        <f t="shared" si="190"/>
        <v>0</v>
      </c>
      <c r="Z206" s="55">
        <f t="shared" si="190"/>
        <v>0</v>
      </c>
      <c r="AA206" s="55">
        <f t="shared" si="190"/>
        <v>0</v>
      </c>
      <c r="AB206" s="55">
        <f t="shared" si="190"/>
        <v>0</v>
      </c>
      <c r="AC206" s="55">
        <f t="shared" si="190"/>
        <v>0</v>
      </c>
      <c r="AD206" s="55">
        <f t="shared" si="190"/>
        <v>0</v>
      </c>
      <c r="AE206" s="55">
        <f t="shared" si="190"/>
        <v>0</v>
      </c>
      <c r="AF206" s="55">
        <f t="shared" si="190"/>
        <v>0</v>
      </c>
      <c r="AG206" s="55">
        <f t="shared" si="190"/>
        <v>0</v>
      </c>
      <c r="AH206" s="55">
        <f t="shared" si="190"/>
        <v>0</v>
      </c>
      <c r="AI206" s="55">
        <f t="shared" ref="AI206:BJ206" si="191">IF(AND(AI$127&gt;=$I98,AI$127&lt;$I98+$F98),INDEX($T98:$AI98,AI$127-$I98+1),0)</f>
        <v>0</v>
      </c>
      <c r="AJ206" s="55">
        <f t="shared" si="191"/>
        <v>0</v>
      </c>
      <c r="AK206" s="55">
        <f t="shared" si="191"/>
        <v>0</v>
      </c>
      <c r="AL206" s="55">
        <f t="shared" si="191"/>
        <v>0</v>
      </c>
      <c r="AM206" s="55">
        <f t="shared" si="191"/>
        <v>0</v>
      </c>
      <c r="AN206" s="55">
        <f t="shared" si="191"/>
        <v>0</v>
      </c>
      <c r="AO206" s="55">
        <f t="shared" si="191"/>
        <v>0</v>
      </c>
      <c r="AP206" s="55">
        <f t="shared" si="191"/>
        <v>0</v>
      </c>
      <c r="AQ206" s="55">
        <f t="shared" si="191"/>
        <v>0</v>
      </c>
      <c r="AR206" s="55">
        <f t="shared" si="191"/>
        <v>0</v>
      </c>
      <c r="AS206" s="55">
        <f t="shared" si="191"/>
        <v>0</v>
      </c>
      <c r="AT206" s="55">
        <f t="shared" si="191"/>
        <v>0</v>
      </c>
      <c r="AU206" s="55">
        <f t="shared" si="191"/>
        <v>0</v>
      </c>
      <c r="AV206" s="55">
        <f t="shared" si="191"/>
        <v>0</v>
      </c>
      <c r="AW206" s="55">
        <f t="shared" si="191"/>
        <v>0</v>
      </c>
      <c r="AX206" s="55">
        <f t="shared" si="191"/>
        <v>0</v>
      </c>
      <c r="AY206" s="55">
        <f t="shared" si="191"/>
        <v>0</v>
      </c>
      <c r="AZ206" s="55">
        <f t="shared" si="191"/>
        <v>0</v>
      </c>
      <c r="BA206" s="55">
        <f t="shared" si="191"/>
        <v>0</v>
      </c>
      <c r="BB206" s="55">
        <f t="shared" si="191"/>
        <v>0</v>
      </c>
      <c r="BC206" s="55">
        <f t="shared" si="191"/>
        <v>0</v>
      </c>
      <c r="BD206" s="55">
        <f t="shared" si="191"/>
        <v>0</v>
      </c>
      <c r="BE206" s="55">
        <f t="shared" si="191"/>
        <v>0</v>
      </c>
      <c r="BF206" s="55">
        <f t="shared" si="191"/>
        <v>0</v>
      </c>
      <c r="BG206" s="55">
        <f t="shared" si="191"/>
        <v>0</v>
      </c>
      <c r="BH206" s="55">
        <f t="shared" si="191"/>
        <v>0</v>
      </c>
      <c r="BI206" s="55">
        <f t="shared" si="191"/>
        <v>0</v>
      </c>
      <c r="BJ206" s="55">
        <f t="shared" si="191"/>
        <v>0</v>
      </c>
    </row>
    <row r="207" spans="1:62" x14ac:dyDescent="0.3">
      <c r="A207" s="53" t="str">
        <f t="shared" si="169"/>
        <v>project 157</v>
      </c>
      <c r="C207" s="55">
        <f t="shared" ref="C207:AH207" si="192">IF(AND(C$127&gt;=$I99,C$127&lt;$I99+$F99),INDEX($T99:$AI99,C$127-$I99+1),0)</f>
        <v>0</v>
      </c>
      <c r="D207" s="55">
        <f t="shared" si="192"/>
        <v>0</v>
      </c>
      <c r="E207" s="55">
        <f t="shared" si="192"/>
        <v>0</v>
      </c>
      <c r="F207" s="55">
        <f t="shared" si="192"/>
        <v>0</v>
      </c>
      <c r="G207" s="55">
        <f t="shared" si="192"/>
        <v>0</v>
      </c>
      <c r="H207" s="55">
        <f t="shared" si="192"/>
        <v>0</v>
      </c>
      <c r="I207" s="55">
        <f t="shared" si="192"/>
        <v>0</v>
      </c>
      <c r="J207" s="55">
        <f t="shared" si="192"/>
        <v>0</v>
      </c>
      <c r="K207" s="55">
        <f t="shared" si="192"/>
        <v>0</v>
      </c>
      <c r="L207" s="55">
        <f t="shared" si="192"/>
        <v>0</v>
      </c>
      <c r="M207" s="55">
        <f t="shared" si="192"/>
        <v>1.95</v>
      </c>
      <c r="N207" s="55">
        <f t="shared" si="192"/>
        <v>5.9607843137254903</v>
      </c>
      <c r="O207" s="55">
        <f t="shared" si="192"/>
        <v>5.7622068435217226</v>
      </c>
      <c r="P207" s="55">
        <f t="shared" si="192"/>
        <v>0</v>
      </c>
      <c r="Q207" s="55">
        <f t="shared" si="192"/>
        <v>0</v>
      </c>
      <c r="R207" s="55">
        <f t="shared" si="192"/>
        <v>0</v>
      </c>
      <c r="S207" s="55">
        <f t="shared" si="192"/>
        <v>0</v>
      </c>
      <c r="T207" s="55">
        <f t="shared" si="192"/>
        <v>0</v>
      </c>
      <c r="U207" s="55">
        <f t="shared" si="192"/>
        <v>0</v>
      </c>
      <c r="V207" s="55">
        <f t="shared" si="192"/>
        <v>0</v>
      </c>
      <c r="W207" s="55">
        <f t="shared" si="192"/>
        <v>0</v>
      </c>
      <c r="X207" s="55">
        <f t="shared" si="192"/>
        <v>0</v>
      </c>
      <c r="Y207" s="55">
        <f t="shared" si="192"/>
        <v>0</v>
      </c>
      <c r="Z207" s="55">
        <f t="shared" si="192"/>
        <v>0</v>
      </c>
      <c r="AA207" s="55">
        <f t="shared" si="192"/>
        <v>0</v>
      </c>
      <c r="AB207" s="55">
        <f t="shared" si="192"/>
        <v>0</v>
      </c>
      <c r="AC207" s="55">
        <f t="shared" si="192"/>
        <v>0</v>
      </c>
      <c r="AD207" s="55">
        <f t="shared" si="192"/>
        <v>0</v>
      </c>
      <c r="AE207" s="55">
        <f t="shared" si="192"/>
        <v>0</v>
      </c>
      <c r="AF207" s="55">
        <f t="shared" si="192"/>
        <v>0</v>
      </c>
      <c r="AG207" s="55">
        <f t="shared" si="192"/>
        <v>0</v>
      </c>
      <c r="AH207" s="55">
        <f t="shared" si="192"/>
        <v>0</v>
      </c>
      <c r="AI207" s="55">
        <f t="shared" ref="AI207:BJ207" si="193">IF(AND(AI$127&gt;=$I99,AI$127&lt;$I99+$F99),INDEX($T99:$AI99,AI$127-$I99+1),0)</f>
        <v>0</v>
      </c>
      <c r="AJ207" s="55">
        <f t="shared" si="193"/>
        <v>0</v>
      </c>
      <c r="AK207" s="55">
        <f t="shared" si="193"/>
        <v>0</v>
      </c>
      <c r="AL207" s="55">
        <f t="shared" si="193"/>
        <v>0</v>
      </c>
      <c r="AM207" s="55">
        <f t="shared" si="193"/>
        <v>0</v>
      </c>
      <c r="AN207" s="55">
        <f t="shared" si="193"/>
        <v>0</v>
      </c>
      <c r="AO207" s="55">
        <f t="shared" si="193"/>
        <v>0</v>
      </c>
      <c r="AP207" s="55">
        <f t="shared" si="193"/>
        <v>0</v>
      </c>
      <c r="AQ207" s="55">
        <f t="shared" si="193"/>
        <v>0</v>
      </c>
      <c r="AR207" s="55">
        <f t="shared" si="193"/>
        <v>0</v>
      </c>
      <c r="AS207" s="55">
        <f t="shared" si="193"/>
        <v>0</v>
      </c>
      <c r="AT207" s="55">
        <f t="shared" si="193"/>
        <v>0</v>
      </c>
      <c r="AU207" s="55">
        <f t="shared" si="193"/>
        <v>0</v>
      </c>
      <c r="AV207" s="55">
        <f t="shared" si="193"/>
        <v>0</v>
      </c>
      <c r="AW207" s="55">
        <f t="shared" si="193"/>
        <v>0</v>
      </c>
      <c r="AX207" s="55">
        <f t="shared" si="193"/>
        <v>0</v>
      </c>
      <c r="AY207" s="55">
        <f t="shared" si="193"/>
        <v>0</v>
      </c>
      <c r="AZ207" s="55">
        <f t="shared" si="193"/>
        <v>0</v>
      </c>
      <c r="BA207" s="55">
        <f t="shared" si="193"/>
        <v>0</v>
      </c>
      <c r="BB207" s="55">
        <f t="shared" si="193"/>
        <v>0</v>
      </c>
      <c r="BC207" s="55">
        <f t="shared" si="193"/>
        <v>0</v>
      </c>
      <c r="BD207" s="55">
        <f t="shared" si="193"/>
        <v>0</v>
      </c>
      <c r="BE207" s="55">
        <f t="shared" si="193"/>
        <v>0</v>
      </c>
      <c r="BF207" s="55">
        <f t="shared" si="193"/>
        <v>0</v>
      </c>
      <c r="BG207" s="55">
        <f t="shared" si="193"/>
        <v>0</v>
      </c>
      <c r="BH207" s="55">
        <f t="shared" si="193"/>
        <v>0</v>
      </c>
      <c r="BI207" s="55">
        <f t="shared" si="193"/>
        <v>0</v>
      </c>
      <c r="BJ207" s="55">
        <f t="shared" si="193"/>
        <v>0</v>
      </c>
    </row>
    <row r="208" spans="1:62" x14ac:dyDescent="0.3">
      <c r="A208" s="53" t="str">
        <f t="shared" si="169"/>
        <v>project 158</v>
      </c>
      <c r="C208" s="55">
        <f t="shared" ref="C208:AH208" si="194">IF(AND(C$127&gt;=$I100,C$127&lt;$I100+$F100),INDEX($T100:$AI100,C$127-$I100+1),0)</f>
        <v>0</v>
      </c>
      <c r="D208" s="55">
        <f t="shared" si="194"/>
        <v>0</v>
      </c>
      <c r="E208" s="55">
        <f t="shared" si="194"/>
        <v>0</v>
      </c>
      <c r="F208" s="55">
        <f t="shared" si="194"/>
        <v>0</v>
      </c>
      <c r="G208" s="55">
        <f t="shared" si="194"/>
        <v>0</v>
      </c>
      <c r="H208" s="55">
        <f t="shared" si="194"/>
        <v>0</v>
      </c>
      <c r="I208" s="55">
        <f t="shared" si="194"/>
        <v>0</v>
      </c>
      <c r="J208" s="55">
        <f t="shared" si="194"/>
        <v>0</v>
      </c>
      <c r="K208" s="55">
        <f t="shared" si="194"/>
        <v>0</v>
      </c>
      <c r="L208" s="55">
        <f t="shared" si="194"/>
        <v>0</v>
      </c>
      <c r="M208" s="55">
        <f t="shared" si="194"/>
        <v>0</v>
      </c>
      <c r="N208" s="55">
        <f t="shared" si="194"/>
        <v>0</v>
      </c>
      <c r="O208" s="55">
        <f t="shared" si="194"/>
        <v>0</v>
      </c>
      <c r="P208" s="55">
        <f t="shared" si="194"/>
        <v>0</v>
      </c>
      <c r="Q208" s="55">
        <f t="shared" si="194"/>
        <v>0</v>
      </c>
      <c r="R208" s="55">
        <f t="shared" si="194"/>
        <v>0</v>
      </c>
      <c r="S208" s="55">
        <f t="shared" si="194"/>
        <v>1.95</v>
      </c>
      <c r="T208" s="55">
        <f t="shared" si="194"/>
        <v>5.9607843137254903</v>
      </c>
      <c r="U208" s="55">
        <f t="shared" si="194"/>
        <v>5.7622068435217226</v>
      </c>
      <c r="V208" s="55">
        <f t="shared" si="194"/>
        <v>0</v>
      </c>
      <c r="W208" s="55">
        <f t="shared" si="194"/>
        <v>0</v>
      </c>
      <c r="X208" s="55">
        <f t="shared" si="194"/>
        <v>0</v>
      </c>
      <c r="Y208" s="55">
        <f t="shared" si="194"/>
        <v>0</v>
      </c>
      <c r="Z208" s="55">
        <f t="shared" si="194"/>
        <v>0</v>
      </c>
      <c r="AA208" s="55">
        <f t="shared" si="194"/>
        <v>0</v>
      </c>
      <c r="AB208" s="55">
        <f t="shared" si="194"/>
        <v>0</v>
      </c>
      <c r="AC208" s="55">
        <f t="shared" si="194"/>
        <v>0</v>
      </c>
      <c r="AD208" s="55">
        <f t="shared" si="194"/>
        <v>0</v>
      </c>
      <c r="AE208" s="55">
        <f t="shared" si="194"/>
        <v>0</v>
      </c>
      <c r="AF208" s="55">
        <f t="shared" si="194"/>
        <v>0</v>
      </c>
      <c r="AG208" s="55">
        <f t="shared" si="194"/>
        <v>0</v>
      </c>
      <c r="AH208" s="55">
        <f t="shared" si="194"/>
        <v>0</v>
      </c>
      <c r="AI208" s="55">
        <f t="shared" ref="AI208:BJ208" si="195">IF(AND(AI$127&gt;=$I100,AI$127&lt;$I100+$F100),INDEX($T100:$AI100,AI$127-$I100+1),0)</f>
        <v>0</v>
      </c>
      <c r="AJ208" s="55">
        <f t="shared" si="195"/>
        <v>0</v>
      </c>
      <c r="AK208" s="55">
        <f t="shared" si="195"/>
        <v>0</v>
      </c>
      <c r="AL208" s="55">
        <f t="shared" si="195"/>
        <v>0</v>
      </c>
      <c r="AM208" s="55">
        <f t="shared" si="195"/>
        <v>0</v>
      </c>
      <c r="AN208" s="55">
        <f t="shared" si="195"/>
        <v>0</v>
      </c>
      <c r="AO208" s="55">
        <f t="shared" si="195"/>
        <v>0</v>
      </c>
      <c r="AP208" s="55">
        <f t="shared" si="195"/>
        <v>0</v>
      </c>
      <c r="AQ208" s="55">
        <f t="shared" si="195"/>
        <v>0</v>
      </c>
      <c r="AR208" s="55">
        <f t="shared" si="195"/>
        <v>0</v>
      </c>
      <c r="AS208" s="55">
        <f t="shared" si="195"/>
        <v>0</v>
      </c>
      <c r="AT208" s="55">
        <f t="shared" si="195"/>
        <v>0</v>
      </c>
      <c r="AU208" s="55">
        <f t="shared" si="195"/>
        <v>0</v>
      </c>
      <c r="AV208" s="55">
        <f t="shared" si="195"/>
        <v>0</v>
      </c>
      <c r="AW208" s="55">
        <f t="shared" si="195"/>
        <v>0</v>
      </c>
      <c r="AX208" s="55">
        <f t="shared" si="195"/>
        <v>0</v>
      </c>
      <c r="AY208" s="55">
        <f t="shared" si="195"/>
        <v>0</v>
      </c>
      <c r="AZ208" s="55">
        <f t="shared" si="195"/>
        <v>0</v>
      </c>
      <c r="BA208" s="55">
        <f t="shared" si="195"/>
        <v>0</v>
      </c>
      <c r="BB208" s="55">
        <f t="shared" si="195"/>
        <v>0</v>
      </c>
      <c r="BC208" s="55">
        <f t="shared" si="195"/>
        <v>0</v>
      </c>
      <c r="BD208" s="55">
        <f t="shared" si="195"/>
        <v>0</v>
      </c>
      <c r="BE208" s="55">
        <f t="shared" si="195"/>
        <v>0</v>
      </c>
      <c r="BF208" s="55">
        <f t="shared" si="195"/>
        <v>0</v>
      </c>
      <c r="BG208" s="55">
        <f t="shared" si="195"/>
        <v>0</v>
      </c>
      <c r="BH208" s="55">
        <f t="shared" si="195"/>
        <v>0</v>
      </c>
      <c r="BI208" s="55">
        <f t="shared" si="195"/>
        <v>0</v>
      </c>
      <c r="BJ208" s="55">
        <f t="shared" si="195"/>
        <v>0</v>
      </c>
    </row>
    <row r="209" spans="1:62" x14ac:dyDescent="0.3">
      <c r="A209" s="53" t="str">
        <f t="shared" si="169"/>
        <v>project 161</v>
      </c>
      <c r="C209" s="55">
        <f t="shared" ref="C209:AH209" si="196">IF(AND(C$127&gt;=$I101,C$127&lt;$I101+$F101),INDEX($T101:$AI101,C$127-$I101+1),0)</f>
        <v>0</v>
      </c>
      <c r="D209" s="55">
        <f t="shared" si="196"/>
        <v>0</v>
      </c>
      <c r="E209" s="55">
        <f t="shared" si="196"/>
        <v>0</v>
      </c>
      <c r="F209" s="55">
        <f t="shared" si="196"/>
        <v>0</v>
      </c>
      <c r="G209" s="55">
        <f t="shared" si="196"/>
        <v>0</v>
      </c>
      <c r="H209" s="55">
        <f t="shared" si="196"/>
        <v>0</v>
      </c>
      <c r="I209" s="55">
        <f t="shared" si="196"/>
        <v>0</v>
      </c>
      <c r="J209" s="55">
        <f t="shared" si="196"/>
        <v>0</v>
      </c>
      <c r="K209" s="55">
        <f t="shared" si="196"/>
        <v>0</v>
      </c>
      <c r="L209" s="55">
        <f t="shared" si="196"/>
        <v>0</v>
      </c>
      <c r="M209" s="55">
        <f t="shared" si="196"/>
        <v>0</v>
      </c>
      <c r="N209" s="55">
        <f t="shared" si="196"/>
        <v>11.881</v>
      </c>
      <c r="O209" s="55">
        <f t="shared" si="196"/>
        <v>0</v>
      </c>
      <c r="P209" s="55">
        <f t="shared" si="196"/>
        <v>0</v>
      </c>
      <c r="Q209" s="55">
        <f t="shared" si="196"/>
        <v>0</v>
      </c>
      <c r="R209" s="55">
        <f t="shared" si="196"/>
        <v>0</v>
      </c>
      <c r="S209" s="55">
        <f t="shared" si="196"/>
        <v>0</v>
      </c>
      <c r="T209" s="55">
        <f t="shared" si="196"/>
        <v>0</v>
      </c>
      <c r="U209" s="55">
        <f t="shared" si="196"/>
        <v>0</v>
      </c>
      <c r="V209" s="55">
        <f t="shared" si="196"/>
        <v>0</v>
      </c>
      <c r="W209" s="55">
        <f t="shared" si="196"/>
        <v>0</v>
      </c>
      <c r="X209" s="55">
        <f t="shared" si="196"/>
        <v>0</v>
      </c>
      <c r="Y209" s="55">
        <f t="shared" si="196"/>
        <v>0</v>
      </c>
      <c r="Z209" s="55">
        <f t="shared" si="196"/>
        <v>0</v>
      </c>
      <c r="AA209" s="55">
        <f t="shared" si="196"/>
        <v>0</v>
      </c>
      <c r="AB209" s="55">
        <f t="shared" si="196"/>
        <v>0</v>
      </c>
      <c r="AC209" s="55">
        <f t="shared" si="196"/>
        <v>0</v>
      </c>
      <c r="AD209" s="55">
        <f t="shared" si="196"/>
        <v>0</v>
      </c>
      <c r="AE209" s="55">
        <f t="shared" si="196"/>
        <v>0</v>
      </c>
      <c r="AF209" s="55">
        <f t="shared" si="196"/>
        <v>0</v>
      </c>
      <c r="AG209" s="55">
        <f t="shared" si="196"/>
        <v>0</v>
      </c>
      <c r="AH209" s="55">
        <f t="shared" si="196"/>
        <v>0</v>
      </c>
      <c r="AI209" s="55">
        <f t="shared" ref="AI209:BJ209" si="197">IF(AND(AI$127&gt;=$I101,AI$127&lt;$I101+$F101),INDEX($T101:$AI101,AI$127-$I101+1),0)</f>
        <v>0</v>
      </c>
      <c r="AJ209" s="55">
        <f t="shared" si="197"/>
        <v>0</v>
      </c>
      <c r="AK209" s="55">
        <f t="shared" si="197"/>
        <v>0</v>
      </c>
      <c r="AL209" s="55">
        <f t="shared" si="197"/>
        <v>0</v>
      </c>
      <c r="AM209" s="55">
        <f t="shared" si="197"/>
        <v>0</v>
      </c>
      <c r="AN209" s="55">
        <f t="shared" si="197"/>
        <v>0</v>
      </c>
      <c r="AO209" s="55">
        <f t="shared" si="197"/>
        <v>0</v>
      </c>
      <c r="AP209" s="55">
        <f t="shared" si="197"/>
        <v>0</v>
      </c>
      <c r="AQ209" s="55">
        <f t="shared" si="197"/>
        <v>0</v>
      </c>
      <c r="AR209" s="55">
        <f t="shared" si="197"/>
        <v>0</v>
      </c>
      <c r="AS209" s="55">
        <f t="shared" si="197"/>
        <v>0</v>
      </c>
      <c r="AT209" s="55">
        <f t="shared" si="197"/>
        <v>0</v>
      </c>
      <c r="AU209" s="55">
        <f t="shared" si="197"/>
        <v>0</v>
      </c>
      <c r="AV209" s="55">
        <f t="shared" si="197"/>
        <v>0</v>
      </c>
      <c r="AW209" s="55">
        <f t="shared" si="197"/>
        <v>0</v>
      </c>
      <c r="AX209" s="55">
        <f t="shared" si="197"/>
        <v>0</v>
      </c>
      <c r="AY209" s="55">
        <f t="shared" si="197"/>
        <v>0</v>
      </c>
      <c r="AZ209" s="55">
        <f t="shared" si="197"/>
        <v>0</v>
      </c>
      <c r="BA209" s="55">
        <f t="shared" si="197"/>
        <v>0</v>
      </c>
      <c r="BB209" s="55">
        <f t="shared" si="197"/>
        <v>0</v>
      </c>
      <c r="BC209" s="55">
        <f t="shared" si="197"/>
        <v>0</v>
      </c>
      <c r="BD209" s="55">
        <f t="shared" si="197"/>
        <v>0</v>
      </c>
      <c r="BE209" s="55">
        <f t="shared" si="197"/>
        <v>0</v>
      </c>
      <c r="BF209" s="55">
        <f t="shared" si="197"/>
        <v>0</v>
      </c>
      <c r="BG209" s="55">
        <f t="shared" si="197"/>
        <v>0</v>
      </c>
      <c r="BH209" s="55">
        <f t="shared" si="197"/>
        <v>0</v>
      </c>
      <c r="BI209" s="55">
        <f t="shared" si="197"/>
        <v>0</v>
      </c>
      <c r="BJ209" s="55">
        <f t="shared" si="197"/>
        <v>0</v>
      </c>
    </row>
    <row r="210" spans="1:62" x14ac:dyDescent="0.3">
      <c r="A210" s="53" t="str">
        <f t="shared" si="169"/>
        <v>project 162</v>
      </c>
      <c r="C210" s="55">
        <f t="shared" ref="C210:AH210" si="198">IF(AND(C$127&gt;=$I102,C$127&lt;$I102+$F102),INDEX($T102:$AI102,C$127-$I102+1),0)</f>
        <v>0</v>
      </c>
      <c r="D210" s="55">
        <f t="shared" si="198"/>
        <v>0.218</v>
      </c>
      <c r="E210" s="55">
        <f t="shared" si="198"/>
        <v>10.686274509803919</v>
      </c>
      <c r="F210" s="55">
        <f t="shared" si="198"/>
        <v>0.1571510957324106</v>
      </c>
      <c r="G210" s="55">
        <f t="shared" si="198"/>
        <v>0</v>
      </c>
      <c r="H210" s="55">
        <f t="shared" si="198"/>
        <v>0</v>
      </c>
      <c r="I210" s="55">
        <f t="shared" si="198"/>
        <v>0</v>
      </c>
      <c r="J210" s="55">
        <f t="shared" si="198"/>
        <v>0</v>
      </c>
      <c r="K210" s="55">
        <f t="shared" si="198"/>
        <v>0</v>
      </c>
      <c r="L210" s="55">
        <f t="shared" si="198"/>
        <v>0</v>
      </c>
      <c r="M210" s="55">
        <f t="shared" si="198"/>
        <v>0</v>
      </c>
      <c r="N210" s="55">
        <f t="shared" si="198"/>
        <v>0</v>
      </c>
      <c r="O210" s="55">
        <f t="shared" si="198"/>
        <v>0</v>
      </c>
      <c r="P210" s="55">
        <f t="shared" si="198"/>
        <v>0</v>
      </c>
      <c r="Q210" s="55">
        <f t="shared" si="198"/>
        <v>0</v>
      </c>
      <c r="R210" s="55">
        <f t="shared" si="198"/>
        <v>0</v>
      </c>
      <c r="S210" s="55">
        <f t="shared" si="198"/>
        <v>0</v>
      </c>
      <c r="T210" s="55">
        <f t="shared" si="198"/>
        <v>0</v>
      </c>
      <c r="U210" s="55">
        <f t="shared" si="198"/>
        <v>0</v>
      </c>
      <c r="V210" s="55">
        <f t="shared" si="198"/>
        <v>0</v>
      </c>
      <c r="W210" s="55">
        <f t="shared" si="198"/>
        <v>0</v>
      </c>
      <c r="X210" s="55">
        <f t="shared" si="198"/>
        <v>0</v>
      </c>
      <c r="Y210" s="55">
        <f t="shared" si="198"/>
        <v>0</v>
      </c>
      <c r="Z210" s="55">
        <f t="shared" si="198"/>
        <v>0</v>
      </c>
      <c r="AA210" s="55">
        <f t="shared" si="198"/>
        <v>0</v>
      </c>
      <c r="AB210" s="55">
        <f t="shared" si="198"/>
        <v>0</v>
      </c>
      <c r="AC210" s="55">
        <f t="shared" si="198"/>
        <v>0</v>
      </c>
      <c r="AD210" s="55">
        <f t="shared" si="198"/>
        <v>0</v>
      </c>
      <c r="AE210" s="55">
        <f t="shared" si="198"/>
        <v>0</v>
      </c>
      <c r="AF210" s="55">
        <f t="shared" si="198"/>
        <v>0</v>
      </c>
      <c r="AG210" s="55">
        <f t="shared" si="198"/>
        <v>0</v>
      </c>
      <c r="AH210" s="55">
        <f t="shared" si="198"/>
        <v>0</v>
      </c>
      <c r="AI210" s="55">
        <f t="shared" ref="AI210:BJ210" si="199">IF(AND(AI$127&gt;=$I102,AI$127&lt;$I102+$F102),INDEX($T102:$AI102,AI$127-$I102+1),0)</f>
        <v>0</v>
      </c>
      <c r="AJ210" s="55">
        <f t="shared" si="199"/>
        <v>0</v>
      </c>
      <c r="AK210" s="55">
        <f t="shared" si="199"/>
        <v>0</v>
      </c>
      <c r="AL210" s="55">
        <f t="shared" si="199"/>
        <v>0</v>
      </c>
      <c r="AM210" s="55">
        <f t="shared" si="199"/>
        <v>0</v>
      </c>
      <c r="AN210" s="55">
        <f t="shared" si="199"/>
        <v>0</v>
      </c>
      <c r="AO210" s="55">
        <f t="shared" si="199"/>
        <v>0</v>
      </c>
      <c r="AP210" s="55">
        <f t="shared" si="199"/>
        <v>0</v>
      </c>
      <c r="AQ210" s="55">
        <f t="shared" si="199"/>
        <v>0</v>
      </c>
      <c r="AR210" s="55">
        <f t="shared" si="199"/>
        <v>0</v>
      </c>
      <c r="AS210" s="55">
        <f t="shared" si="199"/>
        <v>0</v>
      </c>
      <c r="AT210" s="55">
        <f t="shared" si="199"/>
        <v>0</v>
      </c>
      <c r="AU210" s="55">
        <f t="shared" si="199"/>
        <v>0</v>
      </c>
      <c r="AV210" s="55">
        <f t="shared" si="199"/>
        <v>0</v>
      </c>
      <c r="AW210" s="55">
        <f t="shared" si="199"/>
        <v>0</v>
      </c>
      <c r="AX210" s="55">
        <f t="shared" si="199"/>
        <v>0</v>
      </c>
      <c r="AY210" s="55">
        <f t="shared" si="199"/>
        <v>0</v>
      </c>
      <c r="AZ210" s="55">
        <f t="shared" si="199"/>
        <v>0</v>
      </c>
      <c r="BA210" s="55">
        <f t="shared" si="199"/>
        <v>0</v>
      </c>
      <c r="BB210" s="55">
        <f t="shared" si="199"/>
        <v>0</v>
      </c>
      <c r="BC210" s="55">
        <f t="shared" si="199"/>
        <v>0</v>
      </c>
      <c r="BD210" s="55">
        <f t="shared" si="199"/>
        <v>0</v>
      </c>
      <c r="BE210" s="55">
        <f t="shared" si="199"/>
        <v>0</v>
      </c>
      <c r="BF210" s="55">
        <f t="shared" si="199"/>
        <v>0</v>
      </c>
      <c r="BG210" s="55">
        <f t="shared" si="199"/>
        <v>0</v>
      </c>
      <c r="BH210" s="55">
        <f t="shared" si="199"/>
        <v>0</v>
      </c>
      <c r="BI210" s="55">
        <f t="shared" si="199"/>
        <v>0</v>
      </c>
      <c r="BJ210" s="55">
        <f t="shared" si="199"/>
        <v>0</v>
      </c>
    </row>
    <row r="211" spans="1:62" x14ac:dyDescent="0.3">
      <c r="A211" s="53" t="str">
        <f t="shared" si="169"/>
        <v>project 166</v>
      </c>
      <c r="C211" s="55">
        <f t="shared" ref="C211:AH211" si="200">IF(AND(C$127&gt;=$I103,C$127&lt;$I103+$F103),INDEX($T103:$AI103,C$127-$I103+1),0)</f>
        <v>0</v>
      </c>
      <c r="D211" s="55">
        <f t="shared" si="200"/>
        <v>0</v>
      </c>
      <c r="E211" s="55">
        <f t="shared" si="200"/>
        <v>0</v>
      </c>
      <c r="F211" s="55">
        <f t="shared" si="200"/>
        <v>0.32058823529411767</v>
      </c>
      <c r="G211" s="55">
        <f t="shared" si="200"/>
        <v>0</v>
      </c>
      <c r="H211" s="55">
        <f t="shared" si="200"/>
        <v>0.1127017512118265</v>
      </c>
      <c r="I211" s="55">
        <f t="shared" si="200"/>
        <v>9.2643219321938854</v>
      </c>
      <c r="J211" s="55">
        <f t="shared" si="200"/>
        <v>0</v>
      </c>
      <c r="K211" s="55">
        <f t="shared" si="200"/>
        <v>0</v>
      </c>
      <c r="L211" s="55">
        <f t="shared" si="200"/>
        <v>0</v>
      </c>
      <c r="M211" s="55">
        <f t="shared" si="200"/>
        <v>0</v>
      </c>
      <c r="N211" s="55">
        <f t="shared" si="200"/>
        <v>0</v>
      </c>
      <c r="O211" s="55">
        <f t="shared" si="200"/>
        <v>0</v>
      </c>
      <c r="P211" s="55">
        <f t="shared" si="200"/>
        <v>0</v>
      </c>
      <c r="Q211" s="55">
        <f t="shared" si="200"/>
        <v>0</v>
      </c>
      <c r="R211" s="55">
        <f t="shared" si="200"/>
        <v>0</v>
      </c>
      <c r="S211" s="55">
        <f t="shared" si="200"/>
        <v>0</v>
      </c>
      <c r="T211" s="55">
        <f t="shared" si="200"/>
        <v>0</v>
      </c>
      <c r="U211" s="55">
        <f t="shared" si="200"/>
        <v>0</v>
      </c>
      <c r="V211" s="55">
        <f t="shared" si="200"/>
        <v>0</v>
      </c>
      <c r="W211" s="55">
        <f t="shared" si="200"/>
        <v>0</v>
      </c>
      <c r="X211" s="55">
        <f t="shared" si="200"/>
        <v>0</v>
      </c>
      <c r="Y211" s="55">
        <f t="shared" si="200"/>
        <v>0</v>
      </c>
      <c r="Z211" s="55">
        <f t="shared" si="200"/>
        <v>0</v>
      </c>
      <c r="AA211" s="55">
        <f t="shared" si="200"/>
        <v>0</v>
      </c>
      <c r="AB211" s="55">
        <f t="shared" si="200"/>
        <v>0</v>
      </c>
      <c r="AC211" s="55">
        <f t="shared" si="200"/>
        <v>0</v>
      </c>
      <c r="AD211" s="55">
        <f t="shared" si="200"/>
        <v>0</v>
      </c>
      <c r="AE211" s="55">
        <f t="shared" si="200"/>
        <v>0</v>
      </c>
      <c r="AF211" s="55">
        <f t="shared" si="200"/>
        <v>0</v>
      </c>
      <c r="AG211" s="55">
        <f t="shared" si="200"/>
        <v>0</v>
      </c>
      <c r="AH211" s="55">
        <f t="shared" si="200"/>
        <v>0</v>
      </c>
      <c r="AI211" s="55">
        <f t="shared" ref="AI211:BJ211" si="201">IF(AND(AI$127&gt;=$I103,AI$127&lt;$I103+$F103),INDEX($T103:$AI103,AI$127-$I103+1),0)</f>
        <v>0</v>
      </c>
      <c r="AJ211" s="55">
        <f t="shared" si="201"/>
        <v>0</v>
      </c>
      <c r="AK211" s="55">
        <f t="shared" si="201"/>
        <v>0</v>
      </c>
      <c r="AL211" s="55">
        <f t="shared" si="201"/>
        <v>0</v>
      </c>
      <c r="AM211" s="55">
        <f t="shared" si="201"/>
        <v>0</v>
      </c>
      <c r="AN211" s="55">
        <f t="shared" si="201"/>
        <v>0</v>
      </c>
      <c r="AO211" s="55">
        <f t="shared" si="201"/>
        <v>0</v>
      </c>
      <c r="AP211" s="55">
        <f t="shared" si="201"/>
        <v>0</v>
      </c>
      <c r="AQ211" s="55">
        <f t="shared" si="201"/>
        <v>0</v>
      </c>
      <c r="AR211" s="55">
        <f t="shared" si="201"/>
        <v>0</v>
      </c>
      <c r="AS211" s="55">
        <f t="shared" si="201"/>
        <v>0</v>
      </c>
      <c r="AT211" s="55">
        <f t="shared" si="201"/>
        <v>0</v>
      </c>
      <c r="AU211" s="55">
        <f t="shared" si="201"/>
        <v>0</v>
      </c>
      <c r="AV211" s="55">
        <f t="shared" si="201"/>
        <v>0</v>
      </c>
      <c r="AW211" s="55">
        <f t="shared" si="201"/>
        <v>0</v>
      </c>
      <c r="AX211" s="55">
        <f t="shared" si="201"/>
        <v>0</v>
      </c>
      <c r="AY211" s="55">
        <f t="shared" si="201"/>
        <v>0</v>
      </c>
      <c r="AZ211" s="55">
        <f t="shared" si="201"/>
        <v>0</v>
      </c>
      <c r="BA211" s="55">
        <f t="shared" si="201"/>
        <v>0</v>
      </c>
      <c r="BB211" s="55">
        <f t="shared" si="201"/>
        <v>0</v>
      </c>
      <c r="BC211" s="55">
        <f t="shared" si="201"/>
        <v>0</v>
      </c>
      <c r="BD211" s="55">
        <f t="shared" si="201"/>
        <v>0</v>
      </c>
      <c r="BE211" s="55">
        <f t="shared" si="201"/>
        <v>0</v>
      </c>
      <c r="BF211" s="55">
        <f t="shared" si="201"/>
        <v>0</v>
      </c>
      <c r="BG211" s="55">
        <f t="shared" si="201"/>
        <v>0</v>
      </c>
      <c r="BH211" s="55">
        <f t="shared" si="201"/>
        <v>0</v>
      </c>
      <c r="BI211" s="55">
        <f t="shared" si="201"/>
        <v>0</v>
      </c>
      <c r="BJ211" s="55">
        <f t="shared" si="201"/>
        <v>0</v>
      </c>
    </row>
    <row r="212" spans="1:62" x14ac:dyDescent="0.3">
      <c r="A212" s="53" t="str">
        <f t="shared" si="169"/>
        <v>project 167</v>
      </c>
      <c r="C212" s="55">
        <f t="shared" ref="C212:AH212" si="202">IF(AND(C$127&gt;=$I104,C$127&lt;$I104+$F104),INDEX($T104:$AI104,C$127-$I104+1),0)</f>
        <v>0</v>
      </c>
      <c r="D212" s="55">
        <f t="shared" si="202"/>
        <v>0</v>
      </c>
      <c r="E212" s="55">
        <f t="shared" si="202"/>
        <v>0</v>
      </c>
      <c r="F212" s="55">
        <f t="shared" si="202"/>
        <v>0</v>
      </c>
      <c r="G212" s="55">
        <f t="shared" si="202"/>
        <v>0</v>
      </c>
      <c r="H212" s="55">
        <f t="shared" si="202"/>
        <v>0</v>
      </c>
      <c r="I212" s="55">
        <f t="shared" si="202"/>
        <v>0</v>
      </c>
      <c r="J212" s="55">
        <f t="shared" si="202"/>
        <v>0</v>
      </c>
      <c r="K212" s="55">
        <f t="shared" si="202"/>
        <v>0</v>
      </c>
      <c r="L212" s="55">
        <f t="shared" si="202"/>
        <v>0</v>
      </c>
      <c r="M212" s="55">
        <f t="shared" si="202"/>
        <v>0</v>
      </c>
      <c r="N212" s="55">
        <f t="shared" si="202"/>
        <v>0</v>
      </c>
      <c r="O212" s="55">
        <f t="shared" si="202"/>
        <v>0</v>
      </c>
      <c r="P212" s="55">
        <f t="shared" si="202"/>
        <v>0</v>
      </c>
      <c r="Q212" s="55">
        <f t="shared" si="202"/>
        <v>0</v>
      </c>
      <c r="R212" s="55">
        <f t="shared" si="202"/>
        <v>0.64117647058823535</v>
      </c>
      <c r="S212" s="55">
        <f t="shared" si="202"/>
        <v>2.2904652056901189</v>
      </c>
      <c r="T212" s="55">
        <f t="shared" si="202"/>
        <v>7.175784577575743</v>
      </c>
      <c r="U212" s="55">
        <f t="shared" si="202"/>
        <v>2.3022228016580728</v>
      </c>
      <c r="V212" s="55">
        <f t="shared" si="202"/>
        <v>0</v>
      </c>
      <c r="W212" s="55">
        <f t="shared" si="202"/>
        <v>0</v>
      </c>
      <c r="X212" s="55">
        <f t="shared" si="202"/>
        <v>0</v>
      </c>
      <c r="Y212" s="55">
        <f t="shared" si="202"/>
        <v>0</v>
      </c>
      <c r="Z212" s="55">
        <f t="shared" si="202"/>
        <v>0</v>
      </c>
      <c r="AA212" s="55">
        <f t="shared" si="202"/>
        <v>0</v>
      </c>
      <c r="AB212" s="55">
        <f t="shared" si="202"/>
        <v>0</v>
      </c>
      <c r="AC212" s="55">
        <f t="shared" si="202"/>
        <v>0</v>
      </c>
      <c r="AD212" s="55">
        <f t="shared" si="202"/>
        <v>0</v>
      </c>
      <c r="AE212" s="55">
        <f t="shared" si="202"/>
        <v>0</v>
      </c>
      <c r="AF212" s="55">
        <f t="shared" si="202"/>
        <v>0</v>
      </c>
      <c r="AG212" s="55">
        <f t="shared" si="202"/>
        <v>0</v>
      </c>
      <c r="AH212" s="55">
        <f t="shared" si="202"/>
        <v>0</v>
      </c>
      <c r="AI212" s="55">
        <f t="shared" ref="AI212:BJ212" si="203">IF(AND(AI$127&gt;=$I104,AI$127&lt;$I104+$F104),INDEX($T104:$AI104,AI$127-$I104+1),0)</f>
        <v>0</v>
      </c>
      <c r="AJ212" s="55">
        <f t="shared" si="203"/>
        <v>0</v>
      </c>
      <c r="AK212" s="55">
        <f t="shared" si="203"/>
        <v>0</v>
      </c>
      <c r="AL212" s="55">
        <f t="shared" si="203"/>
        <v>0</v>
      </c>
      <c r="AM212" s="55">
        <f t="shared" si="203"/>
        <v>0</v>
      </c>
      <c r="AN212" s="55">
        <f t="shared" si="203"/>
        <v>0</v>
      </c>
      <c r="AO212" s="55">
        <f t="shared" si="203"/>
        <v>0</v>
      </c>
      <c r="AP212" s="55">
        <f t="shared" si="203"/>
        <v>0</v>
      </c>
      <c r="AQ212" s="55">
        <f t="shared" si="203"/>
        <v>0</v>
      </c>
      <c r="AR212" s="55">
        <f t="shared" si="203"/>
        <v>0</v>
      </c>
      <c r="AS212" s="55">
        <f t="shared" si="203"/>
        <v>0</v>
      </c>
      <c r="AT212" s="55">
        <f t="shared" si="203"/>
        <v>0</v>
      </c>
      <c r="AU212" s="55">
        <f t="shared" si="203"/>
        <v>0</v>
      </c>
      <c r="AV212" s="55">
        <f t="shared" si="203"/>
        <v>0</v>
      </c>
      <c r="AW212" s="55">
        <f t="shared" si="203"/>
        <v>0</v>
      </c>
      <c r="AX212" s="55">
        <f t="shared" si="203"/>
        <v>0</v>
      </c>
      <c r="AY212" s="55">
        <f t="shared" si="203"/>
        <v>0</v>
      </c>
      <c r="AZ212" s="55">
        <f t="shared" si="203"/>
        <v>0</v>
      </c>
      <c r="BA212" s="55">
        <f t="shared" si="203"/>
        <v>0</v>
      </c>
      <c r="BB212" s="55">
        <f t="shared" si="203"/>
        <v>0</v>
      </c>
      <c r="BC212" s="55">
        <f t="shared" si="203"/>
        <v>0</v>
      </c>
      <c r="BD212" s="55">
        <f t="shared" si="203"/>
        <v>0</v>
      </c>
      <c r="BE212" s="55">
        <f t="shared" si="203"/>
        <v>0</v>
      </c>
      <c r="BF212" s="55">
        <f t="shared" si="203"/>
        <v>0</v>
      </c>
      <c r="BG212" s="55">
        <f t="shared" si="203"/>
        <v>0</v>
      </c>
      <c r="BH212" s="55">
        <f t="shared" si="203"/>
        <v>0</v>
      </c>
      <c r="BI212" s="55">
        <f t="shared" si="203"/>
        <v>0</v>
      </c>
      <c r="BJ212" s="55">
        <f t="shared" si="203"/>
        <v>0</v>
      </c>
    </row>
    <row r="213" spans="1:62" x14ac:dyDescent="0.3">
      <c r="A213" s="53" t="str">
        <f t="shared" si="169"/>
        <v>project 168</v>
      </c>
      <c r="C213" s="55">
        <f t="shared" ref="C213:AH213" si="204">IF(AND(C$127&gt;=$I105,C$127&lt;$I105+$F105),INDEX($T105:$AI105,C$127-$I105+1),0)</f>
        <v>0</v>
      </c>
      <c r="D213" s="55">
        <f t="shared" si="204"/>
        <v>0</v>
      </c>
      <c r="E213" s="55">
        <f t="shared" si="204"/>
        <v>0</v>
      </c>
      <c r="F213" s="55">
        <f t="shared" si="204"/>
        <v>0</v>
      </c>
      <c r="G213" s="55">
        <f t="shared" si="204"/>
        <v>0</v>
      </c>
      <c r="H213" s="55">
        <f t="shared" si="204"/>
        <v>0</v>
      </c>
      <c r="I213" s="55">
        <f t="shared" si="204"/>
        <v>0</v>
      </c>
      <c r="J213" s="55">
        <f t="shared" si="204"/>
        <v>0</v>
      </c>
      <c r="K213" s="55">
        <f t="shared" si="204"/>
        <v>0</v>
      </c>
      <c r="L213" s="55">
        <f t="shared" si="204"/>
        <v>0</v>
      </c>
      <c r="M213" s="55">
        <f t="shared" si="204"/>
        <v>0</v>
      </c>
      <c r="N213" s="55">
        <f t="shared" si="204"/>
        <v>0</v>
      </c>
      <c r="O213" s="55">
        <f t="shared" si="204"/>
        <v>0</v>
      </c>
      <c r="P213" s="55">
        <f t="shared" si="204"/>
        <v>0</v>
      </c>
      <c r="Q213" s="55">
        <f t="shared" si="204"/>
        <v>0.69063823529411761</v>
      </c>
      <c r="R213" s="55">
        <f t="shared" si="204"/>
        <v>1.492351980007689</v>
      </c>
      <c r="S213" s="55">
        <f t="shared" si="204"/>
        <v>2.5494992499114209</v>
      </c>
      <c r="T213" s="55">
        <f t="shared" si="204"/>
        <v>1.02710547698435</v>
      </c>
      <c r="U213" s="55">
        <f t="shared" si="204"/>
        <v>2.466028747269863</v>
      </c>
      <c r="V213" s="55">
        <f t="shared" si="204"/>
        <v>0</v>
      </c>
      <c r="W213" s="55">
        <f t="shared" si="204"/>
        <v>0</v>
      </c>
      <c r="X213" s="55">
        <f t="shared" si="204"/>
        <v>0</v>
      </c>
      <c r="Y213" s="55">
        <f t="shared" si="204"/>
        <v>0</v>
      </c>
      <c r="Z213" s="55">
        <f t="shared" si="204"/>
        <v>0</v>
      </c>
      <c r="AA213" s="55">
        <f t="shared" si="204"/>
        <v>0</v>
      </c>
      <c r="AB213" s="55">
        <f t="shared" si="204"/>
        <v>0</v>
      </c>
      <c r="AC213" s="55">
        <f t="shared" si="204"/>
        <v>0</v>
      </c>
      <c r="AD213" s="55">
        <f t="shared" si="204"/>
        <v>0</v>
      </c>
      <c r="AE213" s="55">
        <f t="shared" si="204"/>
        <v>0</v>
      </c>
      <c r="AF213" s="55">
        <f t="shared" si="204"/>
        <v>0</v>
      </c>
      <c r="AG213" s="55">
        <f t="shared" si="204"/>
        <v>0</v>
      </c>
      <c r="AH213" s="55">
        <f t="shared" si="204"/>
        <v>0</v>
      </c>
      <c r="AI213" s="55">
        <f t="shared" ref="AI213:BJ213" si="205">IF(AND(AI$127&gt;=$I105,AI$127&lt;$I105+$F105),INDEX($T105:$AI105,AI$127-$I105+1),0)</f>
        <v>0</v>
      </c>
      <c r="AJ213" s="55">
        <f t="shared" si="205"/>
        <v>0</v>
      </c>
      <c r="AK213" s="55">
        <f t="shared" si="205"/>
        <v>0</v>
      </c>
      <c r="AL213" s="55">
        <f t="shared" si="205"/>
        <v>0</v>
      </c>
      <c r="AM213" s="55">
        <f t="shared" si="205"/>
        <v>0</v>
      </c>
      <c r="AN213" s="55">
        <f t="shared" si="205"/>
        <v>0</v>
      </c>
      <c r="AO213" s="55">
        <f t="shared" si="205"/>
        <v>0</v>
      </c>
      <c r="AP213" s="55">
        <f t="shared" si="205"/>
        <v>0</v>
      </c>
      <c r="AQ213" s="55">
        <f t="shared" si="205"/>
        <v>0</v>
      </c>
      <c r="AR213" s="55">
        <f t="shared" si="205"/>
        <v>0</v>
      </c>
      <c r="AS213" s="55">
        <f t="shared" si="205"/>
        <v>0</v>
      </c>
      <c r="AT213" s="55">
        <f t="shared" si="205"/>
        <v>0</v>
      </c>
      <c r="AU213" s="55">
        <f t="shared" si="205"/>
        <v>0</v>
      </c>
      <c r="AV213" s="55">
        <f t="shared" si="205"/>
        <v>0</v>
      </c>
      <c r="AW213" s="55">
        <f t="shared" si="205"/>
        <v>0</v>
      </c>
      <c r="AX213" s="55">
        <f t="shared" si="205"/>
        <v>0</v>
      </c>
      <c r="AY213" s="55">
        <f t="shared" si="205"/>
        <v>0</v>
      </c>
      <c r="AZ213" s="55">
        <f t="shared" si="205"/>
        <v>0</v>
      </c>
      <c r="BA213" s="55">
        <f t="shared" si="205"/>
        <v>0</v>
      </c>
      <c r="BB213" s="55">
        <f t="shared" si="205"/>
        <v>0</v>
      </c>
      <c r="BC213" s="55">
        <f t="shared" si="205"/>
        <v>0</v>
      </c>
      <c r="BD213" s="55">
        <f t="shared" si="205"/>
        <v>0</v>
      </c>
      <c r="BE213" s="55">
        <f t="shared" si="205"/>
        <v>0</v>
      </c>
      <c r="BF213" s="55">
        <f t="shared" si="205"/>
        <v>0</v>
      </c>
      <c r="BG213" s="55">
        <f t="shared" si="205"/>
        <v>0</v>
      </c>
      <c r="BH213" s="55">
        <f t="shared" si="205"/>
        <v>0</v>
      </c>
      <c r="BI213" s="55">
        <f t="shared" si="205"/>
        <v>0</v>
      </c>
      <c r="BJ213" s="55">
        <f t="shared" si="205"/>
        <v>0</v>
      </c>
    </row>
    <row r="214" spans="1:62" x14ac:dyDescent="0.3">
      <c r="A214" s="53" t="str">
        <f t="shared" si="169"/>
        <v>project 171</v>
      </c>
      <c r="C214" s="55">
        <f t="shared" ref="C214:AH214" si="206">IF(AND(C$127&gt;=$I106,C$127&lt;$I106+$F106),INDEX($T106:$AI106,C$127-$I106+1),0)</f>
        <v>0</v>
      </c>
      <c r="D214" s="55">
        <f t="shared" si="206"/>
        <v>0</v>
      </c>
      <c r="E214" s="55">
        <f t="shared" si="206"/>
        <v>0</v>
      </c>
      <c r="F214" s="55">
        <f t="shared" si="206"/>
        <v>0</v>
      </c>
      <c r="G214" s="55">
        <f t="shared" si="206"/>
        <v>0</v>
      </c>
      <c r="H214" s="55">
        <f t="shared" si="206"/>
        <v>0</v>
      </c>
      <c r="I214" s="55">
        <f t="shared" si="206"/>
        <v>0</v>
      </c>
      <c r="J214" s="55">
        <f t="shared" si="206"/>
        <v>0</v>
      </c>
      <c r="K214" s="55">
        <f t="shared" si="206"/>
        <v>0</v>
      </c>
      <c r="L214" s="55">
        <f t="shared" si="206"/>
        <v>0</v>
      </c>
      <c r="M214" s="55">
        <f t="shared" si="206"/>
        <v>0</v>
      </c>
      <c r="N214" s="55">
        <f t="shared" si="206"/>
        <v>0</v>
      </c>
      <c r="O214" s="55">
        <f t="shared" si="206"/>
        <v>0</v>
      </c>
      <c r="P214" s="55">
        <f t="shared" si="206"/>
        <v>1.09E-3</v>
      </c>
      <c r="Q214" s="55">
        <f t="shared" si="206"/>
        <v>1.0686274509803919</v>
      </c>
      <c r="R214" s="55">
        <f t="shared" si="206"/>
        <v>5.2383698577470206</v>
      </c>
      <c r="S214" s="55">
        <f t="shared" si="206"/>
        <v>0</v>
      </c>
      <c r="T214" s="55">
        <f t="shared" si="206"/>
        <v>0</v>
      </c>
      <c r="U214" s="55">
        <f t="shared" si="206"/>
        <v>0</v>
      </c>
      <c r="V214" s="55">
        <f t="shared" si="206"/>
        <v>0</v>
      </c>
      <c r="W214" s="55">
        <f t="shared" si="206"/>
        <v>0</v>
      </c>
      <c r="X214" s="55">
        <f t="shared" si="206"/>
        <v>0</v>
      </c>
      <c r="Y214" s="55">
        <f t="shared" si="206"/>
        <v>0</v>
      </c>
      <c r="Z214" s="55">
        <f t="shared" si="206"/>
        <v>0</v>
      </c>
      <c r="AA214" s="55">
        <f t="shared" si="206"/>
        <v>0</v>
      </c>
      <c r="AB214" s="55">
        <f t="shared" si="206"/>
        <v>0</v>
      </c>
      <c r="AC214" s="55">
        <f t="shared" si="206"/>
        <v>0</v>
      </c>
      <c r="AD214" s="55">
        <f t="shared" si="206"/>
        <v>0</v>
      </c>
      <c r="AE214" s="55">
        <f t="shared" si="206"/>
        <v>0</v>
      </c>
      <c r="AF214" s="55">
        <f t="shared" si="206"/>
        <v>0</v>
      </c>
      <c r="AG214" s="55">
        <f t="shared" si="206"/>
        <v>0</v>
      </c>
      <c r="AH214" s="55">
        <f t="shared" si="206"/>
        <v>0</v>
      </c>
      <c r="AI214" s="55">
        <f t="shared" ref="AI214:BJ214" si="207">IF(AND(AI$127&gt;=$I106,AI$127&lt;$I106+$F106),INDEX($T106:$AI106,AI$127-$I106+1),0)</f>
        <v>0</v>
      </c>
      <c r="AJ214" s="55">
        <f t="shared" si="207"/>
        <v>0</v>
      </c>
      <c r="AK214" s="55">
        <f t="shared" si="207"/>
        <v>0</v>
      </c>
      <c r="AL214" s="55">
        <f t="shared" si="207"/>
        <v>0</v>
      </c>
      <c r="AM214" s="55">
        <f t="shared" si="207"/>
        <v>0</v>
      </c>
      <c r="AN214" s="55">
        <f t="shared" si="207"/>
        <v>0</v>
      </c>
      <c r="AO214" s="55">
        <f t="shared" si="207"/>
        <v>0</v>
      </c>
      <c r="AP214" s="55">
        <f t="shared" si="207"/>
        <v>0</v>
      </c>
      <c r="AQ214" s="55">
        <f t="shared" si="207"/>
        <v>0</v>
      </c>
      <c r="AR214" s="55">
        <f t="shared" si="207"/>
        <v>0</v>
      </c>
      <c r="AS214" s="55">
        <f t="shared" si="207"/>
        <v>0</v>
      </c>
      <c r="AT214" s="55">
        <f t="shared" si="207"/>
        <v>0</v>
      </c>
      <c r="AU214" s="55">
        <f t="shared" si="207"/>
        <v>0</v>
      </c>
      <c r="AV214" s="55">
        <f t="shared" si="207"/>
        <v>0</v>
      </c>
      <c r="AW214" s="55">
        <f t="shared" si="207"/>
        <v>0</v>
      </c>
      <c r="AX214" s="55">
        <f t="shared" si="207"/>
        <v>0</v>
      </c>
      <c r="AY214" s="55">
        <f t="shared" si="207"/>
        <v>0</v>
      </c>
      <c r="AZ214" s="55">
        <f t="shared" si="207"/>
        <v>0</v>
      </c>
      <c r="BA214" s="55">
        <f t="shared" si="207"/>
        <v>0</v>
      </c>
      <c r="BB214" s="55">
        <f t="shared" si="207"/>
        <v>0</v>
      </c>
      <c r="BC214" s="55">
        <f t="shared" si="207"/>
        <v>0</v>
      </c>
      <c r="BD214" s="55">
        <f t="shared" si="207"/>
        <v>0</v>
      </c>
      <c r="BE214" s="55">
        <f t="shared" si="207"/>
        <v>0</v>
      </c>
      <c r="BF214" s="55">
        <f t="shared" si="207"/>
        <v>0</v>
      </c>
      <c r="BG214" s="55">
        <f t="shared" si="207"/>
        <v>0</v>
      </c>
      <c r="BH214" s="55">
        <f t="shared" si="207"/>
        <v>0</v>
      </c>
      <c r="BI214" s="55">
        <f t="shared" si="207"/>
        <v>0</v>
      </c>
      <c r="BJ214" s="55">
        <f t="shared" si="207"/>
        <v>0</v>
      </c>
    </row>
    <row r="215" spans="1:62" x14ac:dyDescent="0.3">
      <c r="A215" s="53" t="str">
        <f t="shared" si="169"/>
        <v>project 175</v>
      </c>
      <c r="C215" s="55">
        <f t="shared" ref="C215:AH215" si="208">IF(AND(C$127&gt;=$I107,C$127&lt;$I107+$F107),INDEX($T107:$AI107,C$127-$I107+1),0)</f>
        <v>0</v>
      </c>
      <c r="D215" s="55">
        <f t="shared" si="208"/>
        <v>0</v>
      </c>
      <c r="E215" s="55">
        <f t="shared" si="208"/>
        <v>0</v>
      </c>
      <c r="F215" s="55">
        <f t="shared" si="208"/>
        <v>0</v>
      </c>
      <c r="G215" s="55">
        <f t="shared" si="208"/>
        <v>0</v>
      </c>
      <c r="H215" s="55">
        <f t="shared" si="208"/>
        <v>0</v>
      </c>
      <c r="I215" s="55">
        <f t="shared" si="208"/>
        <v>0</v>
      </c>
      <c r="J215" s="55">
        <f t="shared" si="208"/>
        <v>0</v>
      </c>
      <c r="K215" s="55">
        <f t="shared" si="208"/>
        <v>0</v>
      </c>
      <c r="L215" s="55">
        <f t="shared" si="208"/>
        <v>0</v>
      </c>
      <c r="M215" s="55">
        <f t="shared" si="208"/>
        <v>0</v>
      </c>
      <c r="N215" s="55">
        <f t="shared" si="208"/>
        <v>0</v>
      </c>
      <c r="O215" s="55">
        <f t="shared" si="208"/>
        <v>0</v>
      </c>
      <c r="P215" s="55">
        <f t="shared" si="208"/>
        <v>0.16200000000000001</v>
      </c>
      <c r="Q215" s="55">
        <f t="shared" si="208"/>
        <v>0.58039215686274503</v>
      </c>
      <c r="R215" s="55">
        <f t="shared" si="208"/>
        <v>3.0324875048058439</v>
      </c>
      <c r="S215" s="55">
        <f t="shared" si="208"/>
        <v>1.848836420381301</v>
      </c>
      <c r="T215" s="55">
        <f t="shared" si="208"/>
        <v>0</v>
      </c>
      <c r="U215" s="55">
        <f t="shared" si="208"/>
        <v>0</v>
      </c>
      <c r="V215" s="55">
        <f t="shared" si="208"/>
        <v>0</v>
      </c>
      <c r="W215" s="55">
        <f t="shared" si="208"/>
        <v>0</v>
      </c>
      <c r="X215" s="55">
        <f t="shared" si="208"/>
        <v>0</v>
      </c>
      <c r="Y215" s="55">
        <f t="shared" si="208"/>
        <v>0</v>
      </c>
      <c r="Z215" s="55">
        <f t="shared" si="208"/>
        <v>0</v>
      </c>
      <c r="AA215" s="55">
        <f t="shared" si="208"/>
        <v>0</v>
      </c>
      <c r="AB215" s="55">
        <f t="shared" si="208"/>
        <v>0</v>
      </c>
      <c r="AC215" s="55">
        <f t="shared" si="208"/>
        <v>0</v>
      </c>
      <c r="AD215" s="55">
        <f t="shared" si="208"/>
        <v>0</v>
      </c>
      <c r="AE215" s="55">
        <f t="shared" si="208"/>
        <v>0</v>
      </c>
      <c r="AF215" s="55">
        <f t="shared" si="208"/>
        <v>0</v>
      </c>
      <c r="AG215" s="55">
        <f t="shared" si="208"/>
        <v>0</v>
      </c>
      <c r="AH215" s="55">
        <f t="shared" si="208"/>
        <v>0</v>
      </c>
      <c r="AI215" s="55">
        <f t="shared" ref="AI215:BJ215" si="209">IF(AND(AI$127&gt;=$I107,AI$127&lt;$I107+$F107),INDEX($T107:$AI107,AI$127-$I107+1),0)</f>
        <v>0</v>
      </c>
      <c r="AJ215" s="55">
        <f t="shared" si="209"/>
        <v>0</v>
      </c>
      <c r="AK215" s="55">
        <f t="shared" si="209"/>
        <v>0</v>
      </c>
      <c r="AL215" s="55">
        <f t="shared" si="209"/>
        <v>0</v>
      </c>
      <c r="AM215" s="55">
        <f t="shared" si="209"/>
        <v>0</v>
      </c>
      <c r="AN215" s="55">
        <f t="shared" si="209"/>
        <v>0</v>
      </c>
      <c r="AO215" s="55">
        <f t="shared" si="209"/>
        <v>0</v>
      </c>
      <c r="AP215" s="55">
        <f t="shared" si="209"/>
        <v>0</v>
      </c>
      <c r="AQ215" s="55">
        <f t="shared" si="209"/>
        <v>0</v>
      </c>
      <c r="AR215" s="55">
        <f t="shared" si="209"/>
        <v>0</v>
      </c>
      <c r="AS215" s="55">
        <f t="shared" si="209"/>
        <v>0</v>
      </c>
      <c r="AT215" s="55">
        <f t="shared" si="209"/>
        <v>0</v>
      </c>
      <c r="AU215" s="55">
        <f t="shared" si="209"/>
        <v>0</v>
      </c>
      <c r="AV215" s="55">
        <f t="shared" si="209"/>
        <v>0</v>
      </c>
      <c r="AW215" s="55">
        <f t="shared" si="209"/>
        <v>0</v>
      </c>
      <c r="AX215" s="55">
        <f t="shared" si="209"/>
        <v>0</v>
      </c>
      <c r="AY215" s="55">
        <f t="shared" si="209"/>
        <v>0</v>
      </c>
      <c r="AZ215" s="55">
        <f t="shared" si="209"/>
        <v>0</v>
      </c>
      <c r="BA215" s="55">
        <f t="shared" si="209"/>
        <v>0</v>
      </c>
      <c r="BB215" s="55">
        <f t="shared" si="209"/>
        <v>0</v>
      </c>
      <c r="BC215" s="55">
        <f t="shared" si="209"/>
        <v>0</v>
      </c>
      <c r="BD215" s="55">
        <f t="shared" si="209"/>
        <v>0</v>
      </c>
      <c r="BE215" s="55">
        <f t="shared" si="209"/>
        <v>0</v>
      </c>
      <c r="BF215" s="55">
        <f t="shared" si="209"/>
        <v>0</v>
      </c>
      <c r="BG215" s="55">
        <f t="shared" si="209"/>
        <v>0</v>
      </c>
      <c r="BH215" s="55">
        <f t="shared" si="209"/>
        <v>0</v>
      </c>
      <c r="BI215" s="55">
        <f t="shared" si="209"/>
        <v>0</v>
      </c>
      <c r="BJ215" s="55">
        <f t="shared" si="209"/>
        <v>0</v>
      </c>
    </row>
    <row r="216" spans="1:62" x14ac:dyDescent="0.3">
      <c r="A216" s="53" t="str">
        <f t="shared" si="169"/>
        <v>project 176</v>
      </c>
      <c r="C216" s="55">
        <f t="shared" ref="C216:AH216" si="210">IF(AND(C$127&gt;=$I108,C$127&lt;$I108+$F108),INDEX($T108:$AI108,C$127-$I108+1),0)</f>
        <v>0</v>
      </c>
      <c r="D216" s="55">
        <f t="shared" si="210"/>
        <v>0</v>
      </c>
      <c r="E216" s="55">
        <f t="shared" si="210"/>
        <v>0</v>
      </c>
      <c r="F216" s="55">
        <f t="shared" si="210"/>
        <v>0</v>
      </c>
      <c r="G216" s="55">
        <f t="shared" si="210"/>
        <v>0</v>
      </c>
      <c r="H216" s="55">
        <f t="shared" si="210"/>
        <v>0</v>
      </c>
      <c r="I216" s="55">
        <f t="shared" si="210"/>
        <v>0</v>
      </c>
      <c r="J216" s="55">
        <f t="shared" si="210"/>
        <v>0</v>
      </c>
      <c r="K216" s="55">
        <f t="shared" si="210"/>
        <v>0</v>
      </c>
      <c r="L216" s="55">
        <f t="shared" si="210"/>
        <v>0</v>
      </c>
      <c r="M216" s="55">
        <f t="shared" si="210"/>
        <v>0</v>
      </c>
      <c r="N216" s="55">
        <f t="shared" si="210"/>
        <v>0</v>
      </c>
      <c r="O216" s="55">
        <f t="shared" si="210"/>
        <v>0</v>
      </c>
      <c r="P216" s="55">
        <f t="shared" si="210"/>
        <v>0</v>
      </c>
      <c r="Q216" s="55">
        <f t="shared" si="210"/>
        <v>0</v>
      </c>
      <c r="R216" s="55">
        <f t="shared" si="210"/>
        <v>0</v>
      </c>
      <c r="S216" s="55">
        <f t="shared" si="210"/>
        <v>0</v>
      </c>
      <c r="T216" s="55">
        <f t="shared" si="210"/>
        <v>3</v>
      </c>
      <c r="U216" s="55">
        <f t="shared" si="210"/>
        <v>2.2549019607843142</v>
      </c>
      <c r="V216" s="55">
        <f t="shared" si="210"/>
        <v>0</v>
      </c>
      <c r="W216" s="55">
        <f t="shared" si="210"/>
        <v>0</v>
      </c>
      <c r="X216" s="55">
        <f t="shared" si="210"/>
        <v>0</v>
      </c>
      <c r="Y216" s="55">
        <f t="shared" si="210"/>
        <v>0</v>
      </c>
      <c r="Z216" s="55">
        <f t="shared" si="210"/>
        <v>0</v>
      </c>
      <c r="AA216" s="55">
        <f t="shared" si="210"/>
        <v>0</v>
      </c>
      <c r="AB216" s="55">
        <f t="shared" si="210"/>
        <v>0</v>
      </c>
      <c r="AC216" s="55">
        <f t="shared" si="210"/>
        <v>0</v>
      </c>
      <c r="AD216" s="55">
        <f t="shared" si="210"/>
        <v>0</v>
      </c>
      <c r="AE216" s="55">
        <f t="shared" si="210"/>
        <v>0</v>
      </c>
      <c r="AF216" s="55">
        <f t="shared" si="210"/>
        <v>0</v>
      </c>
      <c r="AG216" s="55">
        <f t="shared" si="210"/>
        <v>0</v>
      </c>
      <c r="AH216" s="55">
        <f t="shared" si="210"/>
        <v>0</v>
      </c>
      <c r="AI216" s="55">
        <f t="shared" ref="AI216:BJ216" si="211">IF(AND(AI$127&gt;=$I108,AI$127&lt;$I108+$F108),INDEX($T108:$AI108,AI$127-$I108+1),0)</f>
        <v>0</v>
      </c>
      <c r="AJ216" s="55">
        <f t="shared" si="211"/>
        <v>0</v>
      </c>
      <c r="AK216" s="55">
        <f t="shared" si="211"/>
        <v>0</v>
      </c>
      <c r="AL216" s="55">
        <f t="shared" si="211"/>
        <v>0</v>
      </c>
      <c r="AM216" s="55">
        <f t="shared" si="211"/>
        <v>0</v>
      </c>
      <c r="AN216" s="55">
        <f t="shared" si="211"/>
        <v>0</v>
      </c>
      <c r="AO216" s="55">
        <f t="shared" si="211"/>
        <v>0</v>
      </c>
      <c r="AP216" s="55">
        <f t="shared" si="211"/>
        <v>0</v>
      </c>
      <c r="AQ216" s="55">
        <f t="shared" si="211"/>
        <v>0</v>
      </c>
      <c r="AR216" s="55">
        <f t="shared" si="211"/>
        <v>0</v>
      </c>
      <c r="AS216" s="55">
        <f t="shared" si="211"/>
        <v>0</v>
      </c>
      <c r="AT216" s="55">
        <f t="shared" si="211"/>
        <v>0</v>
      </c>
      <c r="AU216" s="55">
        <f t="shared" si="211"/>
        <v>0</v>
      </c>
      <c r="AV216" s="55">
        <f t="shared" si="211"/>
        <v>0</v>
      </c>
      <c r="AW216" s="55">
        <f t="shared" si="211"/>
        <v>0</v>
      </c>
      <c r="AX216" s="55">
        <f t="shared" si="211"/>
        <v>0</v>
      </c>
      <c r="AY216" s="55">
        <f t="shared" si="211"/>
        <v>0</v>
      </c>
      <c r="AZ216" s="55">
        <f t="shared" si="211"/>
        <v>0</v>
      </c>
      <c r="BA216" s="55">
        <f t="shared" si="211"/>
        <v>0</v>
      </c>
      <c r="BB216" s="55">
        <f t="shared" si="211"/>
        <v>0</v>
      </c>
      <c r="BC216" s="55">
        <f t="shared" si="211"/>
        <v>0</v>
      </c>
      <c r="BD216" s="55">
        <f t="shared" si="211"/>
        <v>0</v>
      </c>
      <c r="BE216" s="55">
        <f t="shared" si="211"/>
        <v>0</v>
      </c>
      <c r="BF216" s="55">
        <f t="shared" si="211"/>
        <v>0</v>
      </c>
      <c r="BG216" s="55">
        <f t="shared" si="211"/>
        <v>0</v>
      </c>
      <c r="BH216" s="55">
        <f t="shared" si="211"/>
        <v>0</v>
      </c>
      <c r="BI216" s="55">
        <f t="shared" si="211"/>
        <v>0</v>
      </c>
      <c r="BJ216" s="55">
        <f t="shared" si="211"/>
        <v>0</v>
      </c>
    </row>
    <row r="217" spans="1:62" x14ac:dyDescent="0.3">
      <c r="A217" s="53" t="str">
        <f t="shared" si="169"/>
        <v>project 180</v>
      </c>
      <c r="C217" s="55">
        <f t="shared" ref="C217:AH217" si="212">IF(AND(C$127&gt;=$I109,C$127&lt;$I109+$F109),INDEX($T109:$AI109,C$127-$I109+1),0)</f>
        <v>0</v>
      </c>
      <c r="D217" s="55">
        <f t="shared" si="212"/>
        <v>0</v>
      </c>
      <c r="E217" s="55">
        <f t="shared" si="212"/>
        <v>0</v>
      </c>
      <c r="F217" s="55">
        <f t="shared" si="212"/>
        <v>0</v>
      </c>
      <c r="G217" s="55">
        <f t="shared" si="212"/>
        <v>0</v>
      </c>
      <c r="H217" s="55">
        <f t="shared" si="212"/>
        <v>0</v>
      </c>
      <c r="I217" s="55">
        <f t="shared" si="212"/>
        <v>0</v>
      </c>
      <c r="J217" s="55">
        <f t="shared" si="212"/>
        <v>0</v>
      </c>
      <c r="K217" s="55">
        <f t="shared" si="212"/>
        <v>0</v>
      </c>
      <c r="L217" s="55">
        <f t="shared" si="212"/>
        <v>0</v>
      </c>
      <c r="M217" s="55">
        <f t="shared" si="212"/>
        <v>0</v>
      </c>
      <c r="N217" s="55">
        <f t="shared" si="212"/>
        <v>0</v>
      </c>
      <c r="O217" s="55">
        <f t="shared" si="212"/>
        <v>0</v>
      </c>
      <c r="P217" s="55">
        <f t="shared" si="212"/>
        <v>0</v>
      </c>
      <c r="Q217" s="55">
        <f t="shared" si="212"/>
        <v>1.816666666666666</v>
      </c>
      <c r="R217" s="55">
        <f t="shared" si="212"/>
        <v>1.781045751633987</v>
      </c>
      <c r="S217" s="55">
        <f t="shared" si="212"/>
        <v>0</v>
      </c>
      <c r="T217" s="55">
        <f t="shared" si="212"/>
        <v>0</v>
      </c>
      <c r="U217" s="55">
        <f t="shared" si="212"/>
        <v>0</v>
      </c>
      <c r="V217" s="55">
        <f t="shared" si="212"/>
        <v>0</v>
      </c>
      <c r="W217" s="55">
        <f t="shared" si="212"/>
        <v>0</v>
      </c>
      <c r="X217" s="55">
        <f t="shared" si="212"/>
        <v>0</v>
      </c>
      <c r="Y217" s="55">
        <f t="shared" si="212"/>
        <v>0</v>
      </c>
      <c r="Z217" s="55">
        <f t="shared" si="212"/>
        <v>0</v>
      </c>
      <c r="AA217" s="55">
        <f t="shared" si="212"/>
        <v>0</v>
      </c>
      <c r="AB217" s="55">
        <f t="shared" si="212"/>
        <v>0</v>
      </c>
      <c r="AC217" s="55">
        <f t="shared" si="212"/>
        <v>0</v>
      </c>
      <c r="AD217" s="55">
        <f t="shared" si="212"/>
        <v>0</v>
      </c>
      <c r="AE217" s="55">
        <f t="shared" si="212"/>
        <v>0</v>
      </c>
      <c r="AF217" s="55">
        <f t="shared" si="212"/>
        <v>0</v>
      </c>
      <c r="AG217" s="55">
        <f t="shared" si="212"/>
        <v>0</v>
      </c>
      <c r="AH217" s="55">
        <f t="shared" si="212"/>
        <v>0</v>
      </c>
      <c r="AI217" s="55">
        <f t="shared" ref="AI217:BJ217" si="213">IF(AND(AI$127&gt;=$I109,AI$127&lt;$I109+$F109),INDEX($T109:$AI109,AI$127-$I109+1),0)</f>
        <v>0</v>
      </c>
      <c r="AJ217" s="55">
        <f t="shared" si="213"/>
        <v>0</v>
      </c>
      <c r="AK217" s="55">
        <f t="shared" si="213"/>
        <v>0</v>
      </c>
      <c r="AL217" s="55">
        <f t="shared" si="213"/>
        <v>0</v>
      </c>
      <c r="AM217" s="55">
        <f t="shared" si="213"/>
        <v>0</v>
      </c>
      <c r="AN217" s="55">
        <f t="shared" si="213"/>
        <v>0</v>
      </c>
      <c r="AO217" s="55">
        <f t="shared" si="213"/>
        <v>0</v>
      </c>
      <c r="AP217" s="55">
        <f t="shared" si="213"/>
        <v>0</v>
      </c>
      <c r="AQ217" s="55">
        <f t="shared" si="213"/>
        <v>0</v>
      </c>
      <c r="AR217" s="55">
        <f t="shared" si="213"/>
        <v>0</v>
      </c>
      <c r="AS217" s="55">
        <f t="shared" si="213"/>
        <v>0</v>
      </c>
      <c r="AT217" s="55">
        <f t="shared" si="213"/>
        <v>0</v>
      </c>
      <c r="AU217" s="55">
        <f t="shared" si="213"/>
        <v>0</v>
      </c>
      <c r="AV217" s="55">
        <f t="shared" si="213"/>
        <v>0</v>
      </c>
      <c r="AW217" s="55">
        <f t="shared" si="213"/>
        <v>0</v>
      </c>
      <c r="AX217" s="55">
        <f t="shared" si="213"/>
        <v>0</v>
      </c>
      <c r="AY217" s="55">
        <f t="shared" si="213"/>
        <v>0</v>
      </c>
      <c r="AZ217" s="55">
        <f t="shared" si="213"/>
        <v>0</v>
      </c>
      <c r="BA217" s="55">
        <f t="shared" si="213"/>
        <v>0</v>
      </c>
      <c r="BB217" s="55">
        <f t="shared" si="213"/>
        <v>0</v>
      </c>
      <c r="BC217" s="55">
        <f t="shared" si="213"/>
        <v>0</v>
      </c>
      <c r="BD217" s="55">
        <f t="shared" si="213"/>
        <v>0</v>
      </c>
      <c r="BE217" s="55">
        <f t="shared" si="213"/>
        <v>0</v>
      </c>
      <c r="BF217" s="55">
        <f t="shared" si="213"/>
        <v>0</v>
      </c>
      <c r="BG217" s="55">
        <f t="shared" si="213"/>
        <v>0</v>
      </c>
      <c r="BH217" s="55">
        <f t="shared" si="213"/>
        <v>0</v>
      </c>
      <c r="BI217" s="55">
        <f t="shared" si="213"/>
        <v>0</v>
      </c>
      <c r="BJ217" s="55">
        <f t="shared" si="213"/>
        <v>0</v>
      </c>
    </row>
    <row r="218" spans="1:62" x14ac:dyDescent="0.3">
      <c r="A218" s="53" t="str">
        <f t="shared" si="169"/>
        <v>project 181</v>
      </c>
      <c r="C218" s="55">
        <f t="shared" ref="C218:AH218" si="214">IF(AND(C$127&gt;=$I110,C$127&lt;$I110+$F110),INDEX($T110:$AI110,C$127-$I110+1),0)</f>
        <v>0</v>
      </c>
      <c r="D218" s="55">
        <f t="shared" si="214"/>
        <v>0</v>
      </c>
      <c r="E218" s="55">
        <f t="shared" si="214"/>
        <v>0</v>
      </c>
      <c r="F218" s="55">
        <f t="shared" si="214"/>
        <v>0</v>
      </c>
      <c r="G218" s="55">
        <f t="shared" si="214"/>
        <v>0</v>
      </c>
      <c r="H218" s="55">
        <f t="shared" si="214"/>
        <v>0</v>
      </c>
      <c r="I218" s="55">
        <f t="shared" si="214"/>
        <v>0</v>
      </c>
      <c r="J218" s="55">
        <f t="shared" si="214"/>
        <v>0</v>
      </c>
      <c r="K218" s="55">
        <f t="shared" si="214"/>
        <v>0</v>
      </c>
      <c r="L218" s="55">
        <f t="shared" si="214"/>
        <v>0</v>
      </c>
      <c r="M218" s="55">
        <f t="shared" si="214"/>
        <v>0</v>
      </c>
      <c r="N218" s="55">
        <f t="shared" si="214"/>
        <v>0</v>
      </c>
      <c r="O218" s="55">
        <f t="shared" si="214"/>
        <v>0</v>
      </c>
      <c r="P218" s="55">
        <f t="shared" si="214"/>
        <v>0</v>
      </c>
      <c r="Q218" s="55">
        <f t="shared" si="214"/>
        <v>0</v>
      </c>
      <c r="R218" s="55">
        <f t="shared" si="214"/>
        <v>0</v>
      </c>
      <c r="S218" s="55">
        <f t="shared" si="214"/>
        <v>3.597</v>
      </c>
      <c r="T218" s="55">
        <f t="shared" si="214"/>
        <v>0</v>
      </c>
      <c r="U218" s="55">
        <f t="shared" si="214"/>
        <v>0</v>
      </c>
      <c r="V218" s="55">
        <f t="shared" si="214"/>
        <v>0</v>
      </c>
      <c r="W218" s="55">
        <f t="shared" si="214"/>
        <v>0</v>
      </c>
      <c r="X218" s="55">
        <f t="shared" si="214"/>
        <v>0</v>
      </c>
      <c r="Y218" s="55">
        <f t="shared" si="214"/>
        <v>0</v>
      </c>
      <c r="Z218" s="55">
        <f t="shared" si="214"/>
        <v>0</v>
      </c>
      <c r="AA218" s="55">
        <f t="shared" si="214"/>
        <v>0</v>
      </c>
      <c r="AB218" s="55">
        <f t="shared" si="214"/>
        <v>0</v>
      </c>
      <c r="AC218" s="55">
        <f t="shared" si="214"/>
        <v>0</v>
      </c>
      <c r="AD218" s="55">
        <f t="shared" si="214"/>
        <v>0</v>
      </c>
      <c r="AE218" s="55">
        <f t="shared" si="214"/>
        <v>0</v>
      </c>
      <c r="AF218" s="55">
        <f t="shared" si="214"/>
        <v>0</v>
      </c>
      <c r="AG218" s="55">
        <f t="shared" si="214"/>
        <v>0</v>
      </c>
      <c r="AH218" s="55">
        <f t="shared" si="214"/>
        <v>0</v>
      </c>
      <c r="AI218" s="55">
        <f t="shared" ref="AI218:BJ218" si="215">IF(AND(AI$127&gt;=$I110,AI$127&lt;$I110+$F110),INDEX($T110:$AI110,AI$127-$I110+1),0)</f>
        <v>0</v>
      </c>
      <c r="AJ218" s="55">
        <f t="shared" si="215"/>
        <v>0</v>
      </c>
      <c r="AK218" s="55">
        <f t="shared" si="215"/>
        <v>0</v>
      </c>
      <c r="AL218" s="55">
        <f t="shared" si="215"/>
        <v>0</v>
      </c>
      <c r="AM218" s="55">
        <f t="shared" si="215"/>
        <v>0</v>
      </c>
      <c r="AN218" s="55">
        <f t="shared" si="215"/>
        <v>0</v>
      </c>
      <c r="AO218" s="55">
        <f t="shared" si="215"/>
        <v>0</v>
      </c>
      <c r="AP218" s="55">
        <f t="shared" si="215"/>
        <v>0</v>
      </c>
      <c r="AQ218" s="55">
        <f t="shared" si="215"/>
        <v>0</v>
      </c>
      <c r="AR218" s="55">
        <f t="shared" si="215"/>
        <v>0</v>
      </c>
      <c r="AS218" s="55">
        <f t="shared" si="215"/>
        <v>0</v>
      </c>
      <c r="AT218" s="55">
        <f t="shared" si="215"/>
        <v>0</v>
      </c>
      <c r="AU218" s="55">
        <f t="shared" si="215"/>
        <v>0</v>
      </c>
      <c r="AV218" s="55">
        <f t="shared" si="215"/>
        <v>0</v>
      </c>
      <c r="AW218" s="55">
        <f t="shared" si="215"/>
        <v>0</v>
      </c>
      <c r="AX218" s="55">
        <f t="shared" si="215"/>
        <v>0</v>
      </c>
      <c r="AY218" s="55">
        <f t="shared" si="215"/>
        <v>0</v>
      </c>
      <c r="AZ218" s="55">
        <f t="shared" si="215"/>
        <v>0</v>
      </c>
      <c r="BA218" s="55">
        <f t="shared" si="215"/>
        <v>0</v>
      </c>
      <c r="BB218" s="55">
        <f t="shared" si="215"/>
        <v>0</v>
      </c>
      <c r="BC218" s="55">
        <f t="shared" si="215"/>
        <v>0</v>
      </c>
      <c r="BD218" s="55">
        <f t="shared" si="215"/>
        <v>0</v>
      </c>
      <c r="BE218" s="55">
        <f t="shared" si="215"/>
        <v>0</v>
      </c>
      <c r="BF218" s="55">
        <f t="shared" si="215"/>
        <v>0</v>
      </c>
      <c r="BG218" s="55">
        <f t="shared" si="215"/>
        <v>0</v>
      </c>
      <c r="BH218" s="55">
        <f t="shared" si="215"/>
        <v>0</v>
      </c>
      <c r="BI218" s="55">
        <f t="shared" si="215"/>
        <v>0</v>
      </c>
      <c r="BJ218" s="55">
        <f t="shared" si="215"/>
        <v>0</v>
      </c>
    </row>
    <row r="219" spans="1:62" x14ac:dyDescent="0.3">
      <c r="A219" s="53" t="str">
        <f t="shared" si="169"/>
        <v>project 182</v>
      </c>
      <c r="C219" s="55">
        <f t="shared" ref="C219:AH219" si="216">IF(AND(C$127&gt;=$I111,C$127&lt;$I111+$F111),INDEX($T111:$AI111,C$127-$I111+1),0)</f>
        <v>0</v>
      </c>
      <c r="D219" s="55">
        <f t="shared" si="216"/>
        <v>0</v>
      </c>
      <c r="E219" s="55">
        <f t="shared" si="216"/>
        <v>0</v>
      </c>
      <c r="F219" s="55">
        <f t="shared" si="216"/>
        <v>0</v>
      </c>
      <c r="G219" s="55">
        <f t="shared" si="216"/>
        <v>0</v>
      </c>
      <c r="H219" s="55">
        <f t="shared" si="216"/>
        <v>0</v>
      </c>
      <c r="I219" s="55">
        <f t="shared" si="216"/>
        <v>0</v>
      </c>
      <c r="J219" s="55">
        <f t="shared" si="216"/>
        <v>0</v>
      </c>
      <c r="K219" s="55">
        <f t="shared" si="216"/>
        <v>0</v>
      </c>
      <c r="L219" s="55">
        <f t="shared" si="216"/>
        <v>0</v>
      </c>
      <c r="M219" s="55">
        <f t="shared" si="216"/>
        <v>0</v>
      </c>
      <c r="N219" s="55">
        <f t="shared" si="216"/>
        <v>0</v>
      </c>
      <c r="O219" s="55">
        <f t="shared" si="216"/>
        <v>0</v>
      </c>
      <c r="P219" s="55">
        <f t="shared" si="216"/>
        <v>0.11586399999999999</v>
      </c>
      <c r="Q219" s="55">
        <f t="shared" si="216"/>
        <v>0.63033921568627449</v>
      </c>
      <c r="R219" s="55">
        <f t="shared" si="216"/>
        <v>0.8165090349865437</v>
      </c>
      <c r="S219" s="55">
        <f t="shared" si="216"/>
        <v>0.50225874663590919</v>
      </c>
      <c r="T219" s="55">
        <f t="shared" si="216"/>
        <v>0.58703170829661966</v>
      </c>
      <c r="U219" s="55">
        <f t="shared" si="216"/>
        <v>0.71065360227793883</v>
      </c>
      <c r="V219" s="55">
        <f t="shared" si="216"/>
        <v>0</v>
      </c>
      <c r="W219" s="55">
        <f t="shared" si="216"/>
        <v>0</v>
      </c>
      <c r="X219" s="55">
        <f t="shared" si="216"/>
        <v>0</v>
      </c>
      <c r="Y219" s="55">
        <f t="shared" si="216"/>
        <v>0</v>
      </c>
      <c r="Z219" s="55">
        <f t="shared" si="216"/>
        <v>0</v>
      </c>
      <c r="AA219" s="55">
        <f t="shared" si="216"/>
        <v>0</v>
      </c>
      <c r="AB219" s="55">
        <f t="shared" si="216"/>
        <v>0</v>
      </c>
      <c r="AC219" s="55">
        <f t="shared" si="216"/>
        <v>0</v>
      </c>
      <c r="AD219" s="55">
        <f t="shared" si="216"/>
        <v>0</v>
      </c>
      <c r="AE219" s="55">
        <f t="shared" si="216"/>
        <v>0</v>
      </c>
      <c r="AF219" s="55">
        <f t="shared" si="216"/>
        <v>0</v>
      </c>
      <c r="AG219" s="55">
        <f t="shared" si="216"/>
        <v>0</v>
      </c>
      <c r="AH219" s="55">
        <f t="shared" si="216"/>
        <v>0</v>
      </c>
      <c r="AI219" s="55">
        <f t="shared" ref="AI219:BJ219" si="217">IF(AND(AI$127&gt;=$I111,AI$127&lt;$I111+$F111),INDEX($T111:$AI111,AI$127-$I111+1),0)</f>
        <v>0</v>
      </c>
      <c r="AJ219" s="55">
        <f t="shared" si="217"/>
        <v>0</v>
      </c>
      <c r="AK219" s="55">
        <f t="shared" si="217"/>
        <v>0</v>
      </c>
      <c r="AL219" s="55">
        <f t="shared" si="217"/>
        <v>0</v>
      </c>
      <c r="AM219" s="55">
        <f t="shared" si="217"/>
        <v>0</v>
      </c>
      <c r="AN219" s="55">
        <f t="shared" si="217"/>
        <v>0</v>
      </c>
      <c r="AO219" s="55">
        <f t="shared" si="217"/>
        <v>0</v>
      </c>
      <c r="AP219" s="55">
        <f t="shared" si="217"/>
        <v>0</v>
      </c>
      <c r="AQ219" s="55">
        <f t="shared" si="217"/>
        <v>0</v>
      </c>
      <c r="AR219" s="55">
        <f t="shared" si="217"/>
        <v>0</v>
      </c>
      <c r="AS219" s="55">
        <f t="shared" si="217"/>
        <v>0</v>
      </c>
      <c r="AT219" s="55">
        <f t="shared" si="217"/>
        <v>0</v>
      </c>
      <c r="AU219" s="55">
        <f t="shared" si="217"/>
        <v>0</v>
      </c>
      <c r="AV219" s="55">
        <f t="shared" si="217"/>
        <v>0</v>
      </c>
      <c r="AW219" s="55">
        <f t="shared" si="217"/>
        <v>0</v>
      </c>
      <c r="AX219" s="55">
        <f t="shared" si="217"/>
        <v>0</v>
      </c>
      <c r="AY219" s="55">
        <f t="shared" si="217"/>
        <v>0</v>
      </c>
      <c r="AZ219" s="55">
        <f t="shared" si="217"/>
        <v>0</v>
      </c>
      <c r="BA219" s="55">
        <f t="shared" si="217"/>
        <v>0</v>
      </c>
      <c r="BB219" s="55">
        <f t="shared" si="217"/>
        <v>0</v>
      </c>
      <c r="BC219" s="55">
        <f t="shared" si="217"/>
        <v>0</v>
      </c>
      <c r="BD219" s="55">
        <f t="shared" si="217"/>
        <v>0</v>
      </c>
      <c r="BE219" s="55">
        <f t="shared" si="217"/>
        <v>0</v>
      </c>
      <c r="BF219" s="55">
        <f t="shared" si="217"/>
        <v>0</v>
      </c>
      <c r="BG219" s="55">
        <f t="shared" si="217"/>
        <v>0</v>
      </c>
      <c r="BH219" s="55">
        <f t="shared" si="217"/>
        <v>0</v>
      </c>
      <c r="BI219" s="55">
        <f t="shared" si="217"/>
        <v>0</v>
      </c>
      <c r="BJ219" s="55">
        <f t="shared" si="217"/>
        <v>0</v>
      </c>
    </row>
    <row r="220" spans="1:62" x14ac:dyDescent="0.3">
      <c r="A220" s="53" t="str">
        <f t="shared" si="169"/>
        <v>project 184</v>
      </c>
      <c r="C220" s="55">
        <f t="shared" ref="C220:AH220" si="218">IF(AND(C$127&gt;=$I112,C$127&lt;$I112+$F112),INDEX($T112:$AI112,C$127-$I112+1),0)</f>
        <v>2.8233730000000001</v>
      </c>
      <c r="D220" s="55">
        <f t="shared" si="218"/>
        <v>0</v>
      </c>
      <c r="E220" s="55">
        <f t="shared" si="218"/>
        <v>0</v>
      </c>
      <c r="F220" s="55">
        <f t="shared" si="218"/>
        <v>0</v>
      </c>
      <c r="G220" s="55">
        <f t="shared" si="218"/>
        <v>0</v>
      </c>
      <c r="H220" s="55">
        <f t="shared" si="218"/>
        <v>0</v>
      </c>
      <c r="I220" s="55">
        <f t="shared" si="218"/>
        <v>0</v>
      </c>
      <c r="J220" s="55">
        <f t="shared" si="218"/>
        <v>0</v>
      </c>
      <c r="K220" s="55">
        <f t="shared" si="218"/>
        <v>0</v>
      </c>
      <c r="L220" s="55">
        <f t="shared" si="218"/>
        <v>0</v>
      </c>
      <c r="M220" s="55">
        <f t="shared" si="218"/>
        <v>0</v>
      </c>
      <c r="N220" s="55">
        <f t="shared" si="218"/>
        <v>0</v>
      </c>
      <c r="O220" s="55">
        <f t="shared" si="218"/>
        <v>0</v>
      </c>
      <c r="P220" s="55">
        <f t="shared" si="218"/>
        <v>0</v>
      </c>
      <c r="Q220" s="55">
        <f t="shared" si="218"/>
        <v>0</v>
      </c>
      <c r="R220" s="55">
        <f t="shared" si="218"/>
        <v>0</v>
      </c>
      <c r="S220" s="55">
        <f t="shared" si="218"/>
        <v>0</v>
      </c>
      <c r="T220" s="55">
        <f t="shared" si="218"/>
        <v>0</v>
      </c>
      <c r="U220" s="55">
        <f t="shared" si="218"/>
        <v>0</v>
      </c>
      <c r="V220" s="55">
        <f t="shared" si="218"/>
        <v>0</v>
      </c>
      <c r="W220" s="55">
        <f t="shared" si="218"/>
        <v>0</v>
      </c>
      <c r="X220" s="55">
        <f t="shared" si="218"/>
        <v>0</v>
      </c>
      <c r="Y220" s="55">
        <f t="shared" si="218"/>
        <v>0</v>
      </c>
      <c r="Z220" s="55">
        <f t="shared" si="218"/>
        <v>0</v>
      </c>
      <c r="AA220" s="55">
        <f t="shared" si="218"/>
        <v>0</v>
      </c>
      <c r="AB220" s="55">
        <f t="shared" si="218"/>
        <v>0</v>
      </c>
      <c r="AC220" s="55">
        <f t="shared" si="218"/>
        <v>0</v>
      </c>
      <c r="AD220" s="55">
        <f t="shared" si="218"/>
        <v>0</v>
      </c>
      <c r="AE220" s="55">
        <f t="shared" si="218"/>
        <v>0</v>
      </c>
      <c r="AF220" s="55">
        <f t="shared" si="218"/>
        <v>0</v>
      </c>
      <c r="AG220" s="55">
        <f t="shared" si="218"/>
        <v>0</v>
      </c>
      <c r="AH220" s="55">
        <f t="shared" si="218"/>
        <v>0</v>
      </c>
      <c r="AI220" s="55">
        <f t="shared" ref="AI220:BJ220" si="219">IF(AND(AI$127&gt;=$I112,AI$127&lt;$I112+$F112),INDEX($T112:$AI112,AI$127-$I112+1),0)</f>
        <v>0</v>
      </c>
      <c r="AJ220" s="55">
        <f t="shared" si="219"/>
        <v>0</v>
      </c>
      <c r="AK220" s="55">
        <f t="shared" si="219"/>
        <v>0</v>
      </c>
      <c r="AL220" s="55">
        <f t="shared" si="219"/>
        <v>0</v>
      </c>
      <c r="AM220" s="55">
        <f t="shared" si="219"/>
        <v>0</v>
      </c>
      <c r="AN220" s="55">
        <f t="shared" si="219"/>
        <v>0</v>
      </c>
      <c r="AO220" s="55">
        <f t="shared" si="219"/>
        <v>0</v>
      </c>
      <c r="AP220" s="55">
        <f t="shared" si="219"/>
        <v>0</v>
      </c>
      <c r="AQ220" s="55">
        <f t="shared" si="219"/>
        <v>0</v>
      </c>
      <c r="AR220" s="55">
        <f t="shared" si="219"/>
        <v>0</v>
      </c>
      <c r="AS220" s="55">
        <f t="shared" si="219"/>
        <v>0</v>
      </c>
      <c r="AT220" s="55">
        <f t="shared" si="219"/>
        <v>0</v>
      </c>
      <c r="AU220" s="55">
        <f t="shared" si="219"/>
        <v>0</v>
      </c>
      <c r="AV220" s="55">
        <f t="shared" si="219"/>
        <v>0</v>
      </c>
      <c r="AW220" s="55">
        <f t="shared" si="219"/>
        <v>0</v>
      </c>
      <c r="AX220" s="55">
        <f t="shared" si="219"/>
        <v>0</v>
      </c>
      <c r="AY220" s="55">
        <f t="shared" si="219"/>
        <v>0</v>
      </c>
      <c r="AZ220" s="55">
        <f t="shared" si="219"/>
        <v>0</v>
      </c>
      <c r="BA220" s="55">
        <f t="shared" si="219"/>
        <v>0</v>
      </c>
      <c r="BB220" s="55">
        <f t="shared" si="219"/>
        <v>0</v>
      </c>
      <c r="BC220" s="55">
        <f t="shared" si="219"/>
        <v>0</v>
      </c>
      <c r="BD220" s="55">
        <f t="shared" si="219"/>
        <v>0</v>
      </c>
      <c r="BE220" s="55">
        <f t="shared" si="219"/>
        <v>0</v>
      </c>
      <c r="BF220" s="55">
        <f t="shared" si="219"/>
        <v>0</v>
      </c>
      <c r="BG220" s="55">
        <f t="shared" si="219"/>
        <v>0</v>
      </c>
      <c r="BH220" s="55">
        <f t="shared" si="219"/>
        <v>0</v>
      </c>
      <c r="BI220" s="55">
        <f t="shared" si="219"/>
        <v>0</v>
      </c>
      <c r="BJ220" s="55">
        <f t="shared" si="219"/>
        <v>0</v>
      </c>
    </row>
    <row r="221" spans="1:62" x14ac:dyDescent="0.3">
      <c r="A221" s="53" t="str">
        <f t="shared" si="169"/>
        <v>project 186</v>
      </c>
      <c r="C221" s="55">
        <f t="shared" ref="C221:AH221" si="220">IF(AND(C$127&gt;=$I113,C$127&lt;$I113+$F113),INDEX($T113:$AI113,C$127-$I113+1),0)</f>
        <v>0</v>
      </c>
      <c r="D221" s="55">
        <f t="shared" si="220"/>
        <v>0</v>
      </c>
      <c r="E221" s="55">
        <f t="shared" si="220"/>
        <v>0</v>
      </c>
      <c r="F221" s="55">
        <f t="shared" si="220"/>
        <v>0</v>
      </c>
      <c r="G221" s="55">
        <f t="shared" si="220"/>
        <v>0</v>
      </c>
      <c r="H221" s="55">
        <f t="shared" si="220"/>
        <v>0</v>
      </c>
      <c r="I221" s="55">
        <f t="shared" si="220"/>
        <v>0</v>
      </c>
      <c r="J221" s="55">
        <f t="shared" si="220"/>
        <v>0</v>
      </c>
      <c r="K221" s="55">
        <f t="shared" si="220"/>
        <v>0</v>
      </c>
      <c r="L221" s="55">
        <f t="shared" si="220"/>
        <v>0</v>
      </c>
      <c r="M221" s="55">
        <f t="shared" si="220"/>
        <v>0</v>
      </c>
      <c r="N221" s="55">
        <f t="shared" si="220"/>
        <v>0</v>
      </c>
      <c r="O221" s="55">
        <f t="shared" si="220"/>
        <v>0</v>
      </c>
      <c r="P221" s="55">
        <f t="shared" si="220"/>
        <v>0</v>
      </c>
      <c r="Q221" s="55">
        <f t="shared" si="220"/>
        <v>0</v>
      </c>
      <c r="R221" s="55">
        <f t="shared" si="220"/>
        <v>0</v>
      </c>
      <c r="S221" s="55">
        <f t="shared" si="220"/>
        <v>0.51287450980392157</v>
      </c>
      <c r="T221" s="55">
        <f t="shared" si="220"/>
        <v>0.70661956939638604</v>
      </c>
      <c r="U221" s="55">
        <f t="shared" si="220"/>
        <v>0.50562377969257677</v>
      </c>
      <c r="V221" s="55">
        <f t="shared" si="220"/>
        <v>0</v>
      </c>
      <c r="W221" s="55">
        <f t="shared" si="220"/>
        <v>0</v>
      </c>
      <c r="X221" s="55">
        <f t="shared" si="220"/>
        <v>0</v>
      </c>
      <c r="Y221" s="55">
        <f t="shared" si="220"/>
        <v>0</v>
      </c>
      <c r="Z221" s="55">
        <f t="shared" si="220"/>
        <v>0</v>
      </c>
      <c r="AA221" s="55">
        <f t="shared" si="220"/>
        <v>0</v>
      </c>
      <c r="AB221" s="55">
        <f t="shared" si="220"/>
        <v>0</v>
      </c>
      <c r="AC221" s="55">
        <f t="shared" si="220"/>
        <v>0</v>
      </c>
      <c r="AD221" s="55">
        <f t="shared" si="220"/>
        <v>0</v>
      </c>
      <c r="AE221" s="55">
        <f t="shared" si="220"/>
        <v>0</v>
      </c>
      <c r="AF221" s="55">
        <f t="shared" si="220"/>
        <v>0</v>
      </c>
      <c r="AG221" s="55">
        <f t="shared" si="220"/>
        <v>0</v>
      </c>
      <c r="AH221" s="55">
        <f t="shared" si="220"/>
        <v>0</v>
      </c>
      <c r="AI221" s="55">
        <f t="shared" ref="AI221:BJ221" si="221">IF(AND(AI$127&gt;=$I113,AI$127&lt;$I113+$F113),INDEX($T113:$AI113,AI$127-$I113+1),0)</f>
        <v>0</v>
      </c>
      <c r="AJ221" s="55">
        <f t="shared" si="221"/>
        <v>0</v>
      </c>
      <c r="AK221" s="55">
        <f t="shared" si="221"/>
        <v>0</v>
      </c>
      <c r="AL221" s="55">
        <f t="shared" si="221"/>
        <v>0</v>
      </c>
      <c r="AM221" s="55">
        <f t="shared" si="221"/>
        <v>0</v>
      </c>
      <c r="AN221" s="55">
        <f t="shared" si="221"/>
        <v>0</v>
      </c>
      <c r="AO221" s="55">
        <f t="shared" si="221"/>
        <v>0</v>
      </c>
      <c r="AP221" s="55">
        <f t="shared" si="221"/>
        <v>0</v>
      </c>
      <c r="AQ221" s="55">
        <f t="shared" si="221"/>
        <v>0</v>
      </c>
      <c r="AR221" s="55">
        <f t="shared" si="221"/>
        <v>0</v>
      </c>
      <c r="AS221" s="55">
        <f t="shared" si="221"/>
        <v>0</v>
      </c>
      <c r="AT221" s="55">
        <f t="shared" si="221"/>
        <v>0</v>
      </c>
      <c r="AU221" s="55">
        <f t="shared" si="221"/>
        <v>0</v>
      </c>
      <c r="AV221" s="55">
        <f t="shared" si="221"/>
        <v>0</v>
      </c>
      <c r="AW221" s="55">
        <f t="shared" si="221"/>
        <v>0</v>
      </c>
      <c r="AX221" s="55">
        <f t="shared" si="221"/>
        <v>0</v>
      </c>
      <c r="AY221" s="55">
        <f t="shared" si="221"/>
        <v>0</v>
      </c>
      <c r="AZ221" s="55">
        <f t="shared" si="221"/>
        <v>0</v>
      </c>
      <c r="BA221" s="55">
        <f t="shared" si="221"/>
        <v>0</v>
      </c>
      <c r="BB221" s="55">
        <f t="shared" si="221"/>
        <v>0</v>
      </c>
      <c r="BC221" s="55">
        <f t="shared" si="221"/>
        <v>0</v>
      </c>
      <c r="BD221" s="55">
        <f t="shared" si="221"/>
        <v>0</v>
      </c>
      <c r="BE221" s="55">
        <f t="shared" si="221"/>
        <v>0</v>
      </c>
      <c r="BF221" s="55">
        <f t="shared" si="221"/>
        <v>0</v>
      </c>
      <c r="BG221" s="55">
        <f t="shared" si="221"/>
        <v>0</v>
      </c>
      <c r="BH221" s="55">
        <f t="shared" si="221"/>
        <v>0</v>
      </c>
      <c r="BI221" s="55">
        <f t="shared" si="221"/>
        <v>0</v>
      </c>
      <c r="BJ221" s="55">
        <f t="shared" si="221"/>
        <v>0</v>
      </c>
    </row>
    <row r="222" spans="1:62" x14ac:dyDescent="0.3">
      <c r="A222" s="53" t="str">
        <f t="shared" si="169"/>
        <v>project 188</v>
      </c>
      <c r="C222" s="55">
        <f t="shared" ref="C222:AH222" si="222">IF(AND(C$127&gt;=$I114,C$127&lt;$I114+$F114),INDEX($T114:$AI114,C$127-$I114+1),0)</f>
        <v>0</v>
      </c>
      <c r="D222" s="55">
        <f t="shared" si="222"/>
        <v>0</v>
      </c>
      <c r="E222" s="55">
        <f t="shared" si="222"/>
        <v>0</v>
      </c>
      <c r="F222" s="55">
        <f t="shared" si="222"/>
        <v>0</v>
      </c>
      <c r="G222" s="55">
        <f t="shared" si="222"/>
        <v>0</v>
      </c>
      <c r="H222" s="55">
        <f t="shared" si="222"/>
        <v>0</v>
      </c>
      <c r="I222" s="55">
        <f t="shared" si="222"/>
        <v>0</v>
      </c>
      <c r="J222" s="55">
        <f t="shared" si="222"/>
        <v>0</v>
      </c>
      <c r="K222" s="55">
        <f t="shared" si="222"/>
        <v>0</v>
      </c>
      <c r="L222" s="55">
        <f t="shared" si="222"/>
        <v>0</v>
      </c>
      <c r="M222" s="55">
        <f t="shared" si="222"/>
        <v>0</v>
      </c>
      <c r="N222" s="55">
        <f t="shared" si="222"/>
        <v>0</v>
      </c>
      <c r="O222" s="55">
        <f t="shared" si="222"/>
        <v>0</v>
      </c>
      <c r="P222" s="55">
        <f t="shared" si="222"/>
        <v>0</v>
      </c>
      <c r="Q222" s="55">
        <f t="shared" si="222"/>
        <v>0</v>
      </c>
      <c r="R222" s="55">
        <f t="shared" si="222"/>
        <v>0.27029999999999998</v>
      </c>
      <c r="S222" s="55">
        <f t="shared" si="222"/>
        <v>0.53</v>
      </c>
      <c r="T222" s="55">
        <f t="shared" si="222"/>
        <v>0.51960784313725494</v>
      </c>
      <c r="U222" s="55">
        <f t="shared" si="222"/>
        <v>0</v>
      </c>
      <c r="V222" s="55">
        <f t="shared" si="222"/>
        <v>0</v>
      </c>
      <c r="W222" s="55">
        <f t="shared" si="222"/>
        <v>0</v>
      </c>
      <c r="X222" s="55">
        <f t="shared" si="222"/>
        <v>0</v>
      </c>
      <c r="Y222" s="55">
        <f t="shared" si="222"/>
        <v>0</v>
      </c>
      <c r="Z222" s="55">
        <f t="shared" si="222"/>
        <v>0</v>
      </c>
      <c r="AA222" s="55">
        <f t="shared" si="222"/>
        <v>0</v>
      </c>
      <c r="AB222" s="55">
        <f t="shared" si="222"/>
        <v>0</v>
      </c>
      <c r="AC222" s="55">
        <f t="shared" si="222"/>
        <v>0</v>
      </c>
      <c r="AD222" s="55">
        <f t="shared" si="222"/>
        <v>0</v>
      </c>
      <c r="AE222" s="55">
        <f t="shared" si="222"/>
        <v>0</v>
      </c>
      <c r="AF222" s="55">
        <f t="shared" si="222"/>
        <v>0</v>
      </c>
      <c r="AG222" s="55">
        <f t="shared" si="222"/>
        <v>0</v>
      </c>
      <c r="AH222" s="55">
        <f t="shared" si="222"/>
        <v>0</v>
      </c>
      <c r="AI222" s="55">
        <f t="shared" ref="AI222:BJ222" si="223">IF(AND(AI$127&gt;=$I114,AI$127&lt;$I114+$F114),INDEX($T114:$AI114,AI$127-$I114+1),0)</f>
        <v>0</v>
      </c>
      <c r="AJ222" s="55">
        <f t="shared" si="223"/>
        <v>0</v>
      </c>
      <c r="AK222" s="55">
        <f t="shared" si="223"/>
        <v>0</v>
      </c>
      <c r="AL222" s="55">
        <f t="shared" si="223"/>
        <v>0</v>
      </c>
      <c r="AM222" s="55">
        <f t="shared" si="223"/>
        <v>0</v>
      </c>
      <c r="AN222" s="55">
        <f t="shared" si="223"/>
        <v>0</v>
      </c>
      <c r="AO222" s="55">
        <f t="shared" si="223"/>
        <v>0</v>
      </c>
      <c r="AP222" s="55">
        <f t="shared" si="223"/>
        <v>0</v>
      </c>
      <c r="AQ222" s="55">
        <f t="shared" si="223"/>
        <v>0</v>
      </c>
      <c r="AR222" s="55">
        <f t="shared" si="223"/>
        <v>0</v>
      </c>
      <c r="AS222" s="55">
        <f t="shared" si="223"/>
        <v>0</v>
      </c>
      <c r="AT222" s="55">
        <f t="shared" si="223"/>
        <v>0</v>
      </c>
      <c r="AU222" s="55">
        <f t="shared" si="223"/>
        <v>0</v>
      </c>
      <c r="AV222" s="55">
        <f t="shared" si="223"/>
        <v>0</v>
      </c>
      <c r="AW222" s="55">
        <f t="shared" si="223"/>
        <v>0</v>
      </c>
      <c r="AX222" s="55">
        <f t="shared" si="223"/>
        <v>0</v>
      </c>
      <c r="AY222" s="55">
        <f t="shared" si="223"/>
        <v>0</v>
      </c>
      <c r="AZ222" s="55">
        <f t="shared" si="223"/>
        <v>0</v>
      </c>
      <c r="BA222" s="55">
        <f t="shared" si="223"/>
        <v>0</v>
      </c>
      <c r="BB222" s="55">
        <f t="shared" si="223"/>
        <v>0</v>
      </c>
      <c r="BC222" s="55">
        <f t="shared" si="223"/>
        <v>0</v>
      </c>
      <c r="BD222" s="55">
        <f t="shared" si="223"/>
        <v>0</v>
      </c>
      <c r="BE222" s="55">
        <f t="shared" si="223"/>
        <v>0</v>
      </c>
      <c r="BF222" s="55">
        <f t="shared" si="223"/>
        <v>0</v>
      </c>
      <c r="BG222" s="55">
        <f t="shared" si="223"/>
        <v>0</v>
      </c>
      <c r="BH222" s="55">
        <f t="shared" si="223"/>
        <v>0</v>
      </c>
      <c r="BI222" s="55">
        <f t="shared" si="223"/>
        <v>0</v>
      </c>
      <c r="BJ222" s="55">
        <f t="shared" si="223"/>
        <v>0</v>
      </c>
    </row>
    <row r="223" spans="1:62" x14ac:dyDescent="0.3">
      <c r="A223" s="53" t="str">
        <f t="shared" si="169"/>
        <v>project 190</v>
      </c>
      <c r="C223" s="55">
        <f t="shared" ref="C223:AH223" si="224">IF(AND(C$127&gt;=$I115,C$127&lt;$I115+$F115),INDEX($T115:$AI115,C$127-$I115+1),0)</f>
        <v>0</v>
      </c>
      <c r="D223" s="55">
        <f t="shared" si="224"/>
        <v>0</v>
      </c>
      <c r="E223" s="55">
        <f t="shared" si="224"/>
        <v>0</v>
      </c>
      <c r="F223" s="55">
        <f t="shared" si="224"/>
        <v>0</v>
      </c>
      <c r="G223" s="55">
        <f t="shared" si="224"/>
        <v>0</v>
      </c>
      <c r="H223" s="55">
        <f t="shared" si="224"/>
        <v>0</v>
      </c>
      <c r="I223" s="55">
        <f t="shared" si="224"/>
        <v>0</v>
      </c>
      <c r="J223" s="55">
        <f t="shared" si="224"/>
        <v>0</v>
      </c>
      <c r="K223" s="55">
        <f t="shared" si="224"/>
        <v>0</v>
      </c>
      <c r="L223" s="55">
        <f t="shared" si="224"/>
        <v>0</v>
      </c>
      <c r="M223" s="55">
        <f t="shared" si="224"/>
        <v>0</v>
      </c>
      <c r="N223" s="55">
        <f t="shared" si="224"/>
        <v>1.2043759999999999</v>
      </c>
      <c r="O223" s="55">
        <f t="shared" si="224"/>
        <v>0</v>
      </c>
      <c r="P223" s="55">
        <f t="shared" si="224"/>
        <v>0</v>
      </c>
      <c r="Q223" s="55">
        <f t="shared" si="224"/>
        <v>0</v>
      </c>
      <c r="R223" s="55">
        <f t="shared" si="224"/>
        <v>0</v>
      </c>
      <c r="S223" s="55">
        <f t="shared" si="224"/>
        <v>0</v>
      </c>
      <c r="T223" s="55">
        <f t="shared" si="224"/>
        <v>0</v>
      </c>
      <c r="U223" s="55">
        <f t="shared" si="224"/>
        <v>0</v>
      </c>
      <c r="V223" s="55">
        <f t="shared" si="224"/>
        <v>0</v>
      </c>
      <c r="W223" s="55">
        <f t="shared" si="224"/>
        <v>0</v>
      </c>
      <c r="X223" s="55">
        <f t="shared" si="224"/>
        <v>0</v>
      </c>
      <c r="Y223" s="55">
        <f t="shared" si="224"/>
        <v>0</v>
      </c>
      <c r="Z223" s="55">
        <f t="shared" si="224"/>
        <v>0</v>
      </c>
      <c r="AA223" s="55">
        <f t="shared" si="224"/>
        <v>0</v>
      </c>
      <c r="AB223" s="55">
        <f t="shared" si="224"/>
        <v>0</v>
      </c>
      <c r="AC223" s="55">
        <f t="shared" si="224"/>
        <v>0</v>
      </c>
      <c r="AD223" s="55">
        <f t="shared" si="224"/>
        <v>0</v>
      </c>
      <c r="AE223" s="55">
        <f t="shared" si="224"/>
        <v>0</v>
      </c>
      <c r="AF223" s="55">
        <f t="shared" si="224"/>
        <v>0</v>
      </c>
      <c r="AG223" s="55">
        <f t="shared" si="224"/>
        <v>0</v>
      </c>
      <c r="AH223" s="55">
        <f t="shared" si="224"/>
        <v>0</v>
      </c>
      <c r="AI223" s="55">
        <f t="shared" ref="AI223:BJ223" si="225">IF(AND(AI$127&gt;=$I115,AI$127&lt;$I115+$F115),INDEX($T115:$AI115,AI$127-$I115+1),0)</f>
        <v>0</v>
      </c>
      <c r="AJ223" s="55">
        <f t="shared" si="225"/>
        <v>0</v>
      </c>
      <c r="AK223" s="55">
        <f t="shared" si="225"/>
        <v>0</v>
      </c>
      <c r="AL223" s="55">
        <f t="shared" si="225"/>
        <v>0</v>
      </c>
      <c r="AM223" s="55">
        <f t="shared" si="225"/>
        <v>0</v>
      </c>
      <c r="AN223" s="55">
        <f t="shared" si="225"/>
        <v>0</v>
      </c>
      <c r="AO223" s="55">
        <f t="shared" si="225"/>
        <v>0</v>
      </c>
      <c r="AP223" s="55">
        <f t="shared" si="225"/>
        <v>0</v>
      </c>
      <c r="AQ223" s="55">
        <f t="shared" si="225"/>
        <v>0</v>
      </c>
      <c r="AR223" s="55">
        <f t="shared" si="225"/>
        <v>0</v>
      </c>
      <c r="AS223" s="55">
        <f t="shared" si="225"/>
        <v>0</v>
      </c>
      <c r="AT223" s="55">
        <f t="shared" si="225"/>
        <v>0</v>
      </c>
      <c r="AU223" s="55">
        <f t="shared" si="225"/>
        <v>0</v>
      </c>
      <c r="AV223" s="55">
        <f t="shared" si="225"/>
        <v>0</v>
      </c>
      <c r="AW223" s="55">
        <f t="shared" si="225"/>
        <v>0</v>
      </c>
      <c r="AX223" s="55">
        <f t="shared" si="225"/>
        <v>0</v>
      </c>
      <c r="AY223" s="55">
        <f t="shared" si="225"/>
        <v>0</v>
      </c>
      <c r="AZ223" s="55">
        <f t="shared" si="225"/>
        <v>0</v>
      </c>
      <c r="BA223" s="55">
        <f t="shared" si="225"/>
        <v>0</v>
      </c>
      <c r="BB223" s="55">
        <f t="shared" si="225"/>
        <v>0</v>
      </c>
      <c r="BC223" s="55">
        <f t="shared" si="225"/>
        <v>0</v>
      </c>
      <c r="BD223" s="55">
        <f t="shared" si="225"/>
        <v>0</v>
      </c>
      <c r="BE223" s="55">
        <f t="shared" si="225"/>
        <v>0</v>
      </c>
      <c r="BF223" s="55">
        <f t="shared" si="225"/>
        <v>0</v>
      </c>
      <c r="BG223" s="55">
        <f t="shared" si="225"/>
        <v>0</v>
      </c>
      <c r="BH223" s="55">
        <f t="shared" si="225"/>
        <v>0</v>
      </c>
      <c r="BI223" s="55">
        <f t="shared" si="225"/>
        <v>0</v>
      </c>
      <c r="BJ223" s="55">
        <f t="shared" si="225"/>
        <v>0</v>
      </c>
    </row>
    <row r="224" spans="1:62" x14ac:dyDescent="0.3">
      <c r="A224" s="53" t="str">
        <f t="shared" si="169"/>
        <v>project 192</v>
      </c>
      <c r="C224" s="55">
        <f t="shared" ref="C224:AH224" si="226">IF(AND(C$127&gt;=$I116,C$127&lt;$I116+$F116),INDEX($T116:$AI116,C$127-$I116+1),0)</f>
        <v>0</v>
      </c>
      <c r="D224" s="55">
        <f t="shared" si="226"/>
        <v>0</v>
      </c>
      <c r="E224" s="55">
        <f t="shared" si="226"/>
        <v>0</v>
      </c>
      <c r="F224" s="55">
        <f t="shared" si="226"/>
        <v>0</v>
      </c>
      <c r="G224" s="55">
        <f t="shared" si="226"/>
        <v>0</v>
      </c>
      <c r="H224" s="55">
        <f t="shared" si="226"/>
        <v>0</v>
      </c>
      <c r="I224" s="55">
        <f t="shared" si="226"/>
        <v>0</v>
      </c>
      <c r="J224" s="55">
        <f t="shared" si="226"/>
        <v>0</v>
      </c>
      <c r="K224" s="55">
        <f t="shared" si="226"/>
        <v>0</v>
      </c>
      <c r="L224" s="55">
        <f t="shared" si="226"/>
        <v>0</v>
      </c>
      <c r="M224" s="55">
        <f t="shared" si="226"/>
        <v>0</v>
      </c>
      <c r="N224" s="55">
        <f t="shared" si="226"/>
        <v>0</v>
      </c>
      <c r="O224" s="55">
        <f t="shared" si="226"/>
        <v>0</v>
      </c>
      <c r="P224" s="55">
        <f t="shared" si="226"/>
        <v>0</v>
      </c>
      <c r="Q224" s="55">
        <f t="shared" si="226"/>
        <v>0</v>
      </c>
      <c r="R224" s="55">
        <f t="shared" si="226"/>
        <v>0</v>
      </c>
      <c r="S224" s="55">
        <f t="shared" si="226"/>
        <v>1.2149840000000001</v>
      </c>
      <c r="T224" s="55">
        <f t="shared" si="226"/>
        <v>6.1264705882352943E-2</v>
      </c>
      <c r="U224" s="55">
        <f t="shared" si="226"/>
        <v>0</v>
      </c>
      <c r="V224" s="55">
        <f t="shared" si="226"/>
        <v>0</v>
      </c>
      <c r="W224" s="55">
        <f t="shared" si="226"/>
        <v>0</v>
      </c>
      <c r="X224" s="55">
        <f t="shared" si="226"/>
        <v>0</v>
      </c>
      <c r="Y224" s="55">
        <f t="shared" si="226"/>
        <v>0</v>
      </c>
      <c r="Z224" s="55">
        <f t="shared" si="226"/>
        <v>0</v>
      </c>
      <c r="AA224" s="55">
        <f t="shared" si="226"/>
        <v>0</v>
      </c>
      <c r="AB224" s="55">
        <f t="shared" si="226"/>
        <v>0</v>
      </c>
      <c r="AC224" s="55">
        <f t="shared" si="226"/>
        <v>0</v>
      </c>
      <c r="AD224" s="55">
        <f t="shared" si="226"/>
        <v>0</v>
      </c>
      <c r="AE224" s="55">
        <f t="shared" si="226"/>
        <v>0</v>
      </c>
      <c r="AF224" s="55">
        <f t="shared" si="226"/>
        <v>0</v>
      </c>
      <c r="AG224" s="55">
        <f t="shared" si="226"/>
        <v>0</v>
      </c>
      <c r="AH224" s="55">
        <f t="shared" si="226"/>
        <v>0</v>
      </c>
      <c r="AI224" s="55">
        <f t="shared" ref="AI224:BJ224" si="227">IF(AND(AI$127&gt;=$I116,AI$127&lt;$I116+$F116),INDEX($T116:$AI116,AI$127-$I116+1),0)</f>
        <v>0</v>
      </c>
      <c r="AJ224" s="55">
        <f t="shared" si="227"/>
        <v>0</v>
      </c>
      <c r="AK224" s="55">
        <f t="shared" si="227"/>
        <v>0</v>
      </c>
      <c r="AL224" s="55">
        <f t="shared" si="227"/>
        <v>0</v>
      </c>
      <c r="AM224" s="55">
        <f t="shared" si="227"/>
        <v>0</v>
      </c>
      <c r="AN224" s="55">
        <f t="shared" si="227"/>
        <v>0</v>
      </c>
      <c r="AO224" s="55">
        <f t="shared" si="227"/>
        <v>0</v>
      </c>
      <c r="AP224" s="55">
        <f t="shared" si="227"/>
        <v>0</v>
      </c>
      <c r="AQ224" s="55">
        <f t="shared" si="227"/>
        <v>0</v>
      </c>
      <c r="AR224" s="55">
        <f t="shared" si="227"/>
        <v>0</v>
      </c>
      <c r="AS224" s="55">
        <f t="shared" si="227"/>
        <v>0</v>
      </c>
      <c r="AT224" s="55">
        <f t="shared" si="227"/>
        <v>0</v>
      </c>
      <c r="AU224" s="55">
        <f t="shared" si="227"/>
        <v>0</v>
      </c>
      <c r="AV224" s="55">
        <f t="shared" si="227"/>
        <v>0</v>
      </c>
      <c r="AW224" s="55">
        <f t="shared" si="227"/>
        <v>0</v>
      </c>
      <c r="AX224" s="55">
        <f t="shared" si="227"/>
        <v>0</v>
      </c>
      <c r="AY224" s="55">
        <f t="shared" si="227"/>
        <v>0</v>
      </c>
      <c r="AZ224" s="55">
        <f t="shared" si="227"/>
        <v>0</v>
      </c>
      <c r="BA224" s="55">
        <f t="shared" si="227"/>
        <v>0</v>
      </c>
      <c r="BB224" s="55">
        <f t="shared" si="227"/>
        <v>0</v>
      </c>
      <c r="BC224" s="55">
        <f t="shared" si="227"/>
        <v>0</v>
      </c>
      <c r="BD224" s="55">
        <f t="shared" si="227"/>
        <v>0</v>
      </c>
      <c r="BE224" s="55">
        <f t="shared" si="227"/>
        <v>0</v>
      </c>
      <c r="BF224" s="55">
        <f t="shared" si="227"/>
        <v>0</v>
      </c>
      <c r="BG224" s="55">
        <f t="shared" si="227"/>
        <v>0</v>
      </c>
      <c r="BH224" s="55">
        <f t="shared" si="227"/>
        <v>0</v>
      </c>
      <c r="BI224" s="55">
        <f t="shared" si="227"/>
        <v>0</v>
      </c>
      <c r="BJ224" s="55">
        <f t="shared" si="227"/>
        <v>0</v>
      </c>
    </row>
    <row r="225" spans="1:62" x14ac:dyDescent="0.3">
      <c r="A225" s="53" t="str">
        <f t="shared" si="169"/>
        <v>project 193</v>
      </c>
      <c r="C225" s="55">
        <f t="shared" ref="C225:AH225" si="228">IF(AND(C$127&gt;=$I117,C$127&lt;$I117+$F117),INDEX($T117:$AI117,C$127-$I117+1),0)</f>
        <v>0</v>
      </c>
      <c r="D225" s="55">
        <f t="shared" si="228"/>
        <v>0</v>
      </c>
      <c r="E225" s="55">
        <f t="shared" si="228"/>
        <v>0</v>
      </c>
      <c r="F225" s="55">
        <f t="shared" si="228"/>
        <v>0</v>
      </c>
      <c r="G225" s="55">
        <f t="shared" si="228"/>
        <v>0</v>
      </c>
      <c r="H225" s="55">
        <f t="shared" si="228"/>
        <v>0</v>
      </c>
      <c r="I225" s="55">
        <f t="shared" si="228"/>
        <v>0</v>
      </c>
      <c r="J225" s="55">
        <f t="shared" si="228"/>
        <v>0</v>
      </c>
      <c r="K225" s="55">
        <f t="shared" si="228"/>
        <v>0</v>
      </c>
      <c r="L225" s="55">
        <f t="shared" si="228"/>
        <v>0</v>
      </c>
      <c r="M225" s="55">
        <f t="shared" si="228"/>
        <v>0</v>
      </c>
      <c r="N225" s="55">
        <f t="shared" si="228"/>
        <v>1.0588235294117641</v>
      </c>
      <c r="O225" s="55">
        <f t="shared" si="228"/>
        <v>0</v>
      </c>
      <c r="P225" s="55">
        <f t="shared" si="228"/>
        <v>0</v>
      </c>
      <c r="Q225" s="55">
        <f t="shared" si="228"/>
        <v>0</v>
      </c>
      <c r="R225" s="55">
        <f t="shared" si="228"/>
        <v>0</v>
      </c>
      <c r="S225" s="55">
        <f t="shared" si="228"/>
        <v>0</v>
      </c>
      <c r="T225" s="55">
        <f t="shared" si="228"/>
        <v>0</v>
      </c>
      <c r="U225" s="55">
        <f t="shared" si="228"/>
        <v>0</v>
      </c>
      <c r="V225" s="55">
        <f t="shared" si="228"/>
        <v>0</v>
      </c>
      <c r="W225" s="55">
        <f t="shared" si="228"/>
        <v>0</v>
      </c>
      <c r="X225" s="55">
        <f t="shared" si="228"/>
        <v>0</v>
      </c>
      <c r="Y225" s="55">
        <f t="shared" si="228"/>
        <v>0</v>
      </c>
      <c r="Z225" s="55">
        <f t="shared" si="228"/>
        <v>0</v>
      </c>
      <c r="AA225" s="55">
        <f t="shared" si="228"/>
        <v>0</v>
      </c>
      <c r="AB225" s="55">
        <f t="shared" si="228"/>
        <v>0</v>
      </c>
      <c r="AC225" s="55">
        <f t="shared" si="228"/>
        <v>0</v>
      </c>
      <c r="AD225" s="55">
        <f t="shared" si="228"/>
        <v>0</v>
      </c>
      <c r="AE225" s="55">
        <f t="shared" si="228"/>
        <v>0</v>
      </c>
      <c r="AF225" s="55">
        <f t="shared" si="228"/>
        <v>0</v>
      </c>
      <c r="AG225" s="55">
        <f t="shared" si="228"/>
        <v>0</v>
      </c>
      <c r="AH225" s="55">
        <f t="shared" si="228"/>
        <v>0</v>
      </c>
      <c r="AI225" s="55">
        <f t="shared" ref="AI225:BJ225" si="229">IF(AND(AI$127&gt;=$I117,AI$127&lt;$I117+$F117),INDEX($T117:$AI117,AI$127-$I117+1),0)</f>
        <v>0</v>
      </c>
      <c r="AJ225" s="55">
        <f t="shared" si="229"/>
        <v>0</v>
      </c>
      <c r="AK225" s="55">
        <f t="shared" si="229"/>
        <v>0</v>
      </c>
      <c r="AL225" s="55">
        <f t="shared" si="229"/>
        <v>0</v>
      </c>
      <c r="AM225" s="55">
        <f t="shared" si="229"/>
        <v>0</v>
      </c>
      <c r="AN225" s="55">
        <f t="shared" si="229"/>
        <v>0</v>
      </c>
      <c r="AO225" s="55">
        <f t="shared" si="229"/>
        <v>0</v>
      </c>
      <c r="AP225" s="55">
        <f t="shared" si="229"/>
        <v>0</v>
      </c>
      <c r="AQ225" s="55">
        <f t="shared" si="229"/>
        <v>0</v>
      </c>
      <c r="AR225" s="55">
        <f t="shared" si="229"/>
        <v>0</v>
      </c>
      <c r="AS225" s="55">
        <f t="shared" si="229"/>
        <v>0</v>
      </c>
      <c r="AT225" s="55">
        <f t="shared" si="229"/>
        <v>0</v>
      </c>
      <c r="AU225" s="55">
        <f t="shared" si="229"/>
        <v>0</v>
      </c>
      <c r="AV225" s="55">
        <f t="shared" si="229"/>
        <v>0</v>
      </c>
      <c r="AW225" s="55">
        <f t="shared" si="229"/>
        <v>0</v>
      </c>
      <c r="AX225" s="55">
        <f t="shared" si="229"/>
        <v>0</v>
      </c>
      <c r="AY225" s="55">
        <f t="shared" si="229"/>
        <v>0</v>
      </c>
      <c r="AZ225" s="55">
        <f t="shared" si="229"/>
        <v>0</v>
      </c>
      <c r="BA225" s="55">
        <f t="shared" si="229"/>
        <v>0</v>
      </c>
      <c r="BB225" s="55">
        <f t="shared" si="229"/>
        <v>0</v>
      </c>
      <c r="BC225" s="55">
        <f t="shared" si="229"/>
        <v>0</v>
      </c>
      <c r="BD225" s="55">
        <f t="shared" si="229"/>
        <v>0</v>
      </c>
      <c r="BE225" s="55">
        <f t="shared" si="229"/>
        <v>0</v>
      </c>
      <c r="BF225" s="55">
        <f t="shared" si="229"/>
        <v>0</v>
      </c>
      <c r="BG225" s="55">
        <f t="shared" si="229"/>
        <v>0</v>
      </c>
      <c r="BH225" s="55">
        <f t="shared" si="229"/>
        <v>0</v>
      </c>
      <c r="BI225" s="55">
        <f t="shared" si="229"/>
        <v>0</v>
      </c>
      <c r="BJ225" s="55">
        <f t="shared" si="229"/>
        <v>0</v>
      </c>
    </row>
    <row r="226" spans="1:62" x14ac:dyDescent="0.3">
      <c r="A226" s="53" t="str">
        <f t="shared" si="169"/>
        <v>project 195</v>
      </c>
      <c r="C226" s="55">
        <f t="shared" ref="C226:AH226" si="230">IF(AND(C$127&gt;=$I118,C$127&lt;$I118+$F118),INDEX($T118:$AI118,C$127-$I118+1),0)</f>
        <v>0</v>
      </c>
      <c r="D226" s="55">
        <f t="shared" si="230"/>
        <v>0</v>
      </c>
      <c r="E226" s="55">
        <f t="shared" si="230"/>
        <v>0</v>
      </c>
      <c r="F226" s="55">
        <f t="shared" si="230"/>
        <v>0</v>
      </c>
      <c r="G226" s="55">
        <f t="shared" si="230"/>
        <v>0</v>
      </c>
      <c r="H226" s="55">
        <f t="shared" si="230"/>
        <v>0</v>
      </c>
      <c r="I226" s="55">
        <f t="shared" si="230"/>
        <v>0.56722899999999998</v>
      </c>
      <c r="J226" s="55">
        <f t="shared" si="230"/>
        <v>0.2780539215686274</v>
      </c>
      <c r="K226" s="55">
        <f t="shared" si="230"/>
        <v>0</v>
      </c>
      <c r="L226" s="55">
        <f t="shared" si="230"/>
        <v>0</v>
      </c>
      <c r="M226" s="55">
        <f t="shared" si="230"/>
        <v>0</v>
      </c>
      <c r="N226" s="55">
        <f t="shared" si="230"/>
        <v>0</v>
      </c>
      <c r="O226" s="55">
        <f t="shared" si="230"/>
        <v>0</v>
      </c>
      <c r="P226" s="55">
        <f t="shared" si="230"/>
        <v>0</v>
      </c>
      <c r="Q226" s="55">
        <f t="shared" si="230"/>
        <v>0</v>
      </c>
      <c r="R226" s="55">
        <f t="shared" si="230"/>
        <v>0</v>
      </c>
      <c r="S226" s="55">
        <f t="shared" si="230"/>
        <v>0</v>
      </c>
      <c r="T226" s="55">
        <f t="shared" si="230"/>
        <v>0</v>
      </c>
      <c r="U226" s="55">
        <f t="shared" si="230"/>
        <v>0</v>
      </c>
      <c r="V226" s="55">
        <f t="shared" si="230"/>
        <v>0</v>
      </c>
      <c r="W226" s="55">
        <f t="shared" si="230"/>
        <v>0</v>
      </c>
      <c r="X226" s="55">
        <f t="shared" si="230"/>
        <v>0</v>
      </c>
      <c r="Y226" s="55">
        <f t="shared" si="230"/>
        <v>0</v>
      </c>
      <c r="Z226" s="55">
        <f t="shared" si="230"/>
        <v>0</v>
      </c>
      <c r="AA226" s="55">
        <f t="shared" si="230"/>
        <v>0</v>
      </c>
      <c r="AB226" s="55">
        <f t="shared" si="230"/>
        <v>0</v>
      </c>
      <c r="AC226" s="55">
        <f t="shared" si="230"/>
        <v>0</v>
      </c>
      <c r="AD226" s="55">
        <f t="shared" si="230"/>
        <v>0</v>
      </c>
      <c r="AE226" s="55">
        <f t="shared" si="230"/>
        <v>0</v>
      </c>
      <c r="AF226" s="55">
        <f t="shared" si="230"/>
        <v>0</v>
      </c>
      <c r="AG226" s="55">
        <f t="shared" si="230"/>
        <v>0</v>
      </c>
      <c r="AH226" s="55">
        <f t="shared" si="230"/>
        <v>0</v>
      </c>
      <c r="AI226" s="55">
        <f t="shared" ref="AI226:BJ226" si="231">IF(AND(AI$127&gt;=$I118,AI$127&lt;$I118+$F118),INDEX($T118:$AI118,AI$127-$I118+1),0)</f>
        <v>0</v>
      </c>
      <c r="AJ226" s="55">
        <f t="shared" si="231"/>
        <v>0</v>
      </c>
      <c r="AK226" s="55">
        <f t="shared" si="231"/>
        <v>0</v>
      </c>
      <c r="AL226" s="55">
        <f t="shared" si="231"/>
        <v>0</v>
      </c>
      <c r="AM226" s="55">
        <f t="shared" si="231"/>
        <v>0</v>
      </c>
      <c r="AN226" s="55">
        <f t="shared" si="231"/>
        <v>0</v>
      </c>
      <c r="AO226" s="55">
        <f t="shared" si="231"/>
        <v>0</v>
      </c>
      <c r="AP226" s="55">
        <f t="shared" si="231"/>
        <v>0</v>
      </c>
      <c r="AQ226" s="55">
        <f t="shared" si="231"/>
        <v>0</v>
      </c>
      <c r="AR226" s="55">
        <f t="shared" si="231"/>
        <v>0</v>
      </c>
      <c r="AS226" s="55">
        <f t="shared" si="231"/>
        <v>0</v>
      </c>
      <c r="AT226" s="55">
        <f t="shared" si="231"/>
        <v>0</v>
      </c>
      <c r="AU226" s="55">
        <f t="shared" si="231"/>
        <v>0</v>
      </c>
      <c r="AV226" s="55">
        <f t="shared" si="231"/>
        <v>0</v>
      </c>
      <c r="AW226" s="55">
        <f t="shared" si="231"/>
        <v>0</v>
      </c>
      <c r="AX226" s="55">
        <f t="shared" si="231"/>
        <v>0</v>
      </c>
      <c r="AY226" s="55">
        <f t="shared" si="231"/>
        <v>0</v>
      </c>
      <c r="AZ226" s="55">
        <f t="shared" si="231"/>
        <v>0</v>
      </c>
      <c r="BA226" s="55">
        <f t="shared" si="231"/>
        <v>0</v>
      </c>
      <c r="BB226" s="55">
        <f t="shared" si="231"/>
        <v>0</v>
      </c>
      <c r="BC226" s="55">
        <f t="shared" si="231"/>
        <v>0</v>
      </c>
      <c r="BD226" s="55">
        <f t="shared" si="231"/>
        <v>0</v>
      </c>
      <c r="BE226" s="55">
        <f t="shared" si="231"/>
        <v>0</v>
      </c>
      <c r="BF226" s="55">
        <f t="shared" si="231"/>
        <v>0</v>
      </c>
      <c r="BG226" s="55">
        <f t="shared" si="231"/>
        <v>0</v>
      </c>
      <c r="BH226" s="55">
        <f t="shared" si="231"/>
        <v>0</v>
      </c>
      <c r="BI226" s="55">
        <f t="shared" si="231"/>
        <v>0</v>
      </c>
      <c r="BJ226" s="55">
        <f t="shared" si="231"/>
        <v>0</v>
      </c>
    </row>
    <row r="227" spans="1:62" x14ac:dyDescent="0.3">
      <c r="A227" s="53" t="str">
        <f t="shared" si="169"/>
        <v>project 200</v>
      </c>
      <c r="C227" s="55">
        <f t="shared" ref="C227:AH227" si="232">IF(AND(C$127&gt;=$I119,C$127&lt;$I119+$F119),INDEX($T119:$AI119,C$127-$I119+1),0)</f>
        <v>0.74632500000000002</v>
      </c>
      <c r="D227" s="55">
        <f t="shared" si="232"/>
        <v>4.7127450980392151E-2</v>
      </c>
      <c r="E227" s="55">
        <f t="shared" si="232"/>
        <v>0</v>
      </c>
      <c r="F227" s="55">
        <f t="shared" si="232"/>
        <v>0</v>
      </c>
      <c r="G227" s="55">
        <f t="shared" si="232"/>
        <v>0</v>
      </c>
      <c r="H227" s="55">
        <f t="shared" si="232"/>
        <v>0</v>
      </c>
      <c r="I227" s="55">
        <f t="shared" si="232"/>
        <v>0</v>
      </c>
      <c r="J227" s="55">
        <f t="shared" si="232"/>
        <v>0</v>
      </c>
      <c r="K227" s="55">
        <f t="shared" si="232"/>
        <v>0</v>
      </c>
      <c r="L227" s="55">
        <f t="shared" si="232"/>
        <v>0</v>
      </c>
      <c r="M227" s="55">
        <f t="shared" si="232"/>
        <v>0</v>
      </c>
      <c r="N227" s="55">
        <f t="shared" si="232"/>
        <v>0</v>
      </c>
      <c r="O227" s="55">
        <f t="shared" si="232"/>
        <v>0</v>
      </c>
      <c r="P227" s="55">
        <f t="shared" si="232"/>
        <v>0</v>
      </c>
      <c r="Q227" s="55">
        <f t="shared" si="232"/>
        <v>0</v>
      </c>
      <c r="R227" s="55">
        <f t="shared" si="232"/>
        <v>0</v>
      </c>
      <c r="S227" s="55">
        <f t="shared" si="232"/>
        <v>0</v>
      </c>
      <c r="T227" s="55">
        <f t="shared" si="232"/>
        <v>0</v>
      </c>
      <c r="U227" s="55">
        <f t="shared" si="232"/>
        <v>0</v>
      </c>
      <c r="V227" s="55">
        <f t="shared" si="232"/>
        <v>0</v>
      </c>
      <c r="W227" s="55">
        <f t="shared" si="232"/>
        <v>0</v>
      </c>
      <c r="X227" s="55">
        <f t="shared" si="232"/>
        <v>0</v>
      </c>
      <c r="Y227" s="55">
        <f t="shared" si="232"/>
        <v>0</v>
      </c>
      <c r="Z227" s="55">
        <f t="shared" si="232"/>
        <v>0</v>
      </c>
      <c r="AA227" s="55">
        <f t="shared" si="232"/>
        <v>0</v>
      </c>
      <c r="AB227" s="55">
        <f t="shared" si="232"/>
        <v>0</v>
      </c>
      <c r="AC227" s="55">
        <f t="shared" si="232"/>
        <v>0</v>
      </c>
      <c r="AD227" s="55">
        <f t="shared" si="232"/>
        <v>0</v>
      </c>
      <c r="AE227" s="55">
        <f t="shared" si="232"/>
        <v>0</v>
      </c>
      <c r="AF227" s="55">
        <f t="shared" si="232"/>
        <v>0</v>
      </c>
      <c r="AG227" s="55">
        <f t="shared" si="232"/>
        <v>0</v>
      </c>
      <c r="AH227" s="55">
        <f t="shared" si="232"/>
        <v>0</v>
      </c>
      <c r="AI227" s="55">
        <f t="shared" ref="AI227:BJ227" si="233">IF(AND(AI$127&gt;=$I119,AI$127&lt;$I119+$F119),INDEX($T119:$AI119,AI$127-$I119+1),0)</f>
        <v>0</v>
      </c>
      <c r="AJ227" s="55">
        <f t="shared" si="233"/>
        <v>0</v>
      </c>
      <c r="AK227" s="55">
        <f t="shared" si="233"/>
        <v>0</v>
      </c>
      <c r="AL227" s="55">
        <f t="shared" si="233"/>
        <v>0</v>
      </c>
      <c r="AM227" s="55">
        <f t="shared" si="233"/>
        <v>0</v>
      </c>
      <c r="AN227" s="55">
        <f t="shared" si="233"/>
        <v>0</v>
      </c>
      <c r="AO227" s="55">
        <f t="shared" si="233"/>
        <v>0</v>
      </c>
      <c r="AP227" s="55">
        <f t="shared" si="233"/>
        <v>0</v>
      </c>
      <c r="AQ227" s="55">
        <f t="shared" si="233"/>
        <v>0</v>
      </c>
      <c r="AR227" s="55">
        <f t="shared" si="233"/>
        <v>0</v>
      </c>
      <c r="AS227" s="55">
        <f t="shared" si="233"/>
        <v>0</v>
      </c>
      <c r="AT227" s="55">
        <f t="shared" si="233"/>
        <v>0</v>
      </c>
      <c r="AU227" s="55">
        <f t="shared" si="233"/>
        <v>0</v>
      </c>
      <c r="AV227" s="55">
        <f t="shared" si="233"/>
        <v>0</v>
      </c>
      <c r="AW227" s="55">
        <f t="shared" si="233"/>
        <v>0</v>
      </c>
      <c r="AX227" s="55">
        <f t="shared" si="233"/>
        <v>0</v>
      </c>
      <c r="AY227" s="55">
        <f t="shared" si="233"/>
        <v>0</v>
      </c>
      <c r="AZ227" s="55">
        <f t="shared" si="233"/>
        <v>0</v>
      </c>
      <c r="BA227" s="55">
        <f t="shared" si="233"/>
        <v>0</v>
      </c>
      <c r="BB227" s="55">
        <f t="shared" si="233"/>
        <v>0</v>
      </c>
      <c r="BC227" s="55">
        <f t="shared" si="233"/>
        <v>0</v>
      </c>
      <c r="BD227" s="55">
        <f t="shared" si="233"/>
        <v>0</v>
      </c>
      <c r="BE227" s="55">
        <f t="shared" si="233"/>
        <v>0</v>
      </c>
      <c r="BF227" s="55">
        <f t="shared" si="233"/>
        <v>0</v>
      </c>
      <c r="BG227" s="55">
        <f t="shared" si="233"/>
        <v>0</v>
      </c>
      <c r="BH227" s="55">
        <f t="shared" si="233"/>
        <v>0</v>
      </c>
      <c r="BI227" s="55">
        <f t="shared" si="233"/>
        <v>0</v>
      </c>
      <c r="BJ227" s="55">
        <f t="shared" si="233"/>
        <v>0</v>
      </c>
    </row>
    <row r="228" spans="1:62" x14ac:dyDescent="0.3">
      <c r="A228" s="53" t="str">
        <f t="shared" ref="A228:A259" si="234">A120</f>
        <v>project 204</v>
      </c>
      <c r="C228" s="55">
        <f t="shared" ref="C228:AH228" si="235">IF(AND(C$127&gt;=$I120,C$127&lt;$I120+$F120),INDEX($T120:$AI120,C$127-$I120+1),0)</f>
        <v>0</v>
      </c>
      <c r="D228" s="55">
        <f t="shared" si="235"/>
        <v>0</v>
      </c>
      <c r="E228" s="55">
        <f t="shared" si="235"/>
        <v>0</v>
      </c>
      <c r="F228" s="55">
        <f t="shared" si="235"/>
        <v>0</v>
      </c>
      <c r="G228" s="55">
        <f t="shared" si="235"/>
        <v>0</v>
      </c>
      <c r="H228" s="55">
        <f t="shared" si="235"/>
        <v>0</v>
      </c>
      <c r="I228" s="55">
        <f t="shared" si="235"/>
        <v>0</v>
      </c>
      <c r="J228" s="55">
        <f t="shared" si="235"/>
        <v>0</v>
      </c>
      <c r="K228" s="55">
        <f t="shared" si="235"/>
        <v>0</v>
      </c>
      <c r="L228" s="55">
        <f t="shared" si="235"/>
        <v>0</v>
      </c>
      <c r="M228" s="55">
        <f t="shared" si="235"/>
        <v>0</v>
      </c>
      <c r="N228" s="55">
        <f t="shared" si="235"/>
        <v>0</v>
      </c>
      <c r="O228" s="55">
        <f t="shared" si="235"/>
        <v>0</v>
      </c>
      <c r="P228" s="55">
        <f t="shared" si="235"/>
        <v>0</v>
      </c>
      <c r="Q228" s="55">
        <f t="shared" si="235"/>
        <v>3.5511764705882347E-2</v>
      </c>
      <c r="R228" s="55">
        <f t="shared" si="235"/>
        <v>0.16027297193387161</v>
      </c>
      <c r="S228" s="55">
        <f t="shared" si="235"/>
        <v>0.16058680296416911</v>
      </c>
      <c r="T228" s="55">
        <f t="shared" si="235"/>
        <v>0</v>
      </c>
      <c r="U228" s="55">
        <f t="shared" si="235"/>
        <v>0</v>
      </c>
      <c r="V228" s="55">
        <f t="shared" si="235"/>
        <v>0</v>
      </c>
      <c r="W228" s="55">
        <f t="shared" si="235"/>
        <v>0</v>
      </c>
      <c r="X228" s="55">
        <f t="shared" si="235"/>
        <v>0</v>
      </c>
      <c r="Y228" s="55">
        <f t="shared" si="235"/>
        <v>0</v>
      </c>
      <c r="Z228" s="55">
        <f t="shared" si="235"/>
        <v>0</v>
      </c>
      <c r="AA228" s="55">
        <f t="shared" si="235"/>
        <v>0</v>
      </c>
      <c r="AB228" s="55">
        <f t="shared" si="235"/>
        <v>0</v>
      </c>
      <c r="AC228" s="55">
        <f t="shared" si="235"/>
        <v>0</v>
      </c>
      <c r="AD228" s="55">
        <f t="shared" si="235"/>
        <v>0</v>
      </c>
      <c r="AE228" s="55">
        <f t="shared" si="235"/>
        <v>0</v>
      </c>
      <c r="AF228" s="55">
        <f t="shared" si="235"/>
        <v>0</v>
      </c>
      <c r="AG228" s="55">
        <f t="shared" si="235"/>
        <v>0</v>
      </c>
      <c r="AH228" s="55">
        <f t="shared" si="235"/>
        <v>0</v>
      </c>
      <c r="AI228" s="55">
        <f t="shared" ref="AI228:BJ228" si="236">IF(AND(AI$127&gt;=$I120,AI$127&lt;$I120+$F120),INDEX($T120:$AI120,AI$127-$I120+1),0)</f>
        <v>0</v>
      </c>
      <c r="AJ228" s="55">
        <f t="shared" si="236"/>
        <v>0</v>
      </c>
      <c r="AK228" s="55">
        <f t="shared" si="236"/>
        <v>0</v>
      </c>
      <c r="AL228" s="55">
        <f t="shared" si="236"/>
        <v>0</v>
      </c>
      <c r="AM228" s="55">
        <f t="shared" si="236"/>
        <v>0</v>
      </c>
      <c r="AN228" s="55">
        <f t="shared" si="236"/>
        <v>0</v>
      </c>
      <c r="AO228" s="55">
        <f t="shared" si="236"/>
        <v>0</v>
      </c>
      <c r="AP228" s="55">
        <f t="shared" si="236"/>
        <v>0</v>
      </c>
      <c r="AQ228" s="55">
        <f t="shared" si="236"/>
        <v>0</v>
      </c>
      <c r="AR228" s="55">
        <f t="shared" si="236"/>
        <v>0</v>
      </c>
      <c r="AS228" s="55">
        <f t="shared" si="236"/>
        <v>0</v>
      </c>
      <c r="AT228" s="55">
        <f t="shared" si="236"/>
        <v>0</v>
      </c>
      <c r="AU228" s="55">
        <f t="shared" si="236"/>
        <v>0</v>
      </c>
      <c r="AV228" s="55">
        <f t="shared" si="236"/>
        <v>0</v>
      </c>
      <c r="AW228" s="55">
        <f t="shared" si="236"/>
        <v>0</v>
      </c>
      <c r="AX228" s="55">
        <f t="shared" si="236"/>
        <v>0</v>
      </c>
      <c r="AY228" s="55">
        <f t="shared" si="236"/>
        <v>0</v>
      </c>
      <c r="AZ228" s="55">
        <f t="shared" si="236"/>
        <v>0</v>
      </c>
      <c r="BA228" s="55">
        <f t="shared" si="236"/>
        <v>0</v>
      </c>
      <c r="BB228" s="55">
        <f t="shared" si="236"/>
        <v>0</v>
      </c>
      <c r="BC228" s="55">
        <f t="shared" si="236"/>
        <v>0</v>
      </c>
      <c r="BD228" s="55">
        <f t="shared" si="236"/>
        <v>0</v>
      </c>
      <c r="BE228" s="55">
        <f t="shared" si="236"/>
        <v>0</v>
      </c>
      <c r="BF228" s="55">
        <f t="shared" si="236"/>
        <v>0</v>
      </c>
      <c r="BG228" s="55">
        <f t="shared" si="236"/>
        <v>0</v>
      </c>
      <c r="BH228" s="55">
        <f t="shared" si="236"/>
        <v>0</v>
      </c>
      <c r="BI228" s="55">
        <f t="shared" si="236"/>
        <v>0</v>
      </c>
      <c r="BJ228" s="55">
        <f t="shared" si="236"/>
        <v>0</v>
      </c>
    </row>
    <row r="229" spans="1:62" x14ac:dyDescent="0.3">
      <c r="A229" s="53" t="str">
        <f t="shared" si="234"/>
        <v>project 211</v>
      </c>
      <c r="C229" s="55">
        <f t="shared" ref="C229:AH229" si="237">IF(AND(C$127&gt;=$I121,C$127&lt;$I121+$F121),INDEX($T121:$AI121,C$127-$I121+1),0)</f>
        <v>0.05</v>
      </c>
      <c r="D229" s="55">
        <f t="shared" si="237"/>
        <v>0</v>
      </c>
      <c r="E229" s="55">
        <f t="shared" si="237"/>
        <v>0</v>
      </c>
      <c r="F229" s="55">
        <f t="shared" si="237"/>
        <v>0</v>
      </c>
      <c r="G229" s="55">
        <f t="shared" si="237"/>
        <v>0</v>
      </c>
      <c r="H229" s="55">
        <f t="shared" si="237"/>
        <v>0</v>
      </c>
      <c r="I229" s="55">
        <f t="shared" si="237"/>
        <v>0</v>
      </c>
      <c r="J229" s="55">
        <f t="shared" si="237"/>
        <v>0</v>
      </c>
      <c r="K229" s="55">
        <f t="shared" si="237"/>
        <v>0</v>
      </c>
      <c r="L229" s="55">
        <f t="shared" si="237"/>
        <v>0</v>
      </c>
      <c r="M229" s="55">
        <f t="shared" si="237"/>
        <v>0</v>
      </c>
      <c r="N229" s="55">
        <f t="shared" si="237"/>
        <v>0</v>
      </c>
      <c r="O229" s="55">
        <f t="shared" si="237"/>
        <v>0</v>
      </c>
      <c r="P229" s="55">
        <f t="shared" si="237"/>
        <v>0</v>
      </c>
      <c r="Q229" s="55">
        <f t="shared" si="237"/>
        <v>0</v>
      </c>
      <c r="R229" s="55">
        <f t="shared" si="237"/>
        <v>0</v>
      </c>
      <c r="S229" s="55">
        <f t="shared" si="237"/>
        <v>0</v>
      </c>
      <c r="T229" s="55">
        <f t="shared" si="237"/>
        <v>0</v>
      </c>
      <c r="U229" s="55">
        <f t="shared" si="237"/>
        <v>0</v>
      </c>
      <c r="V229" s="55">
        <f t="shared" si="237"/>
        <v>0</v>
      </c>
      <c r="W229" s="55">
        <f t="shared" si="237"/>
        <v>0</v>
      </c>
      <c r="X229" s="55">
        <f t="shared" si="237"/>
        <v>0</v>
      </c>
      <c r="Y229" s="55">
        <f t="shared" si="237"/>
        <v>0</v>
      </c>
      <c r="Z229" s="55">
        <f t="shared" si="237"/>
        <v>0</v>
      </c>
      <c r="AA229" s="55">
        <f t="shared" si="237"/>
        <v>0</v>
      </c>
      <c r="AB229" s="55">
        <f t="shared" si="237"/>
        <v>0</v>
      </c>
      <c r="AC229" s="55">
        <f t="shared" si="237"/>
        <v>0</v>
      </c>
      <c r="AD229" s="55">
        <f t="shared" si="237"/>
        <v>0</v>
      </c>
      <c r="AE229" s="55">
        <f t="shared" si="237"/>
        <v>0</v>
      </c>
      <c r="AF229" s="55">
        <f t="shared" si="237"/>
        <v>0</v>
      </c>
      <c r="AG229" s="55">
        <f t="shared" si="237"/>
        <v>0</v>
      </c>
      <c r="AH229" s="55">
        <f t="shared" si="237"/>
        <v>0</v>
      </c>
      <c r="AI229" s="55">
        <f t="shared" ref="AI229:BJ229" si="238">IF(AND(AI$127&gt;=$I121,AI$127&lt;$I121+$F121),INDEX($T121:$AI121,AI$127-$I121+1),0)</f>
        <v>0</v>
      </c>
      <c r="AJ229" s="55">
        <f t="shared" si="238"/>
        <v>0</v>
      </c>
      <c r="AK229" s="55">
        <f t="shared" si="238"/>
        <v>0</v>
      </c>
      <c r="AL229" s="55">
        <f t="shared" si="238"/>
        <v>0</v>
      </c>
      <c r="AM229" s="55">
        <f t="shared" si="238"/>
        <v>0</v>
      </c>
      <c r="AN229" s="55">
        <f t="shared" si="238"/>
        <v>0</v>
      </c>
      <c r="AO229" s="55">
        <f t="shared" si="238"/>
        <v>0</v>
      </c>
      <c r="AP229" s="55">
        <f t="shared" si="238"/>
        <v>0</v>
      </c>
      <c r="AQ229" s="55">
        <f t="shared" si="238"/>
        <v>0</v>
      </c>
      <c r="AR229" s="55">
        <f t="shared" si="238"/>
        <v>0</v>
      </c>
      <c r="AS229" s="55">
        <f t="shared" si="238"/>
        <v>0</v>
      </c>
      <c r="AT229" s="55">
        <f t="shared" si="238"/>
        <v>0</v>
      </c>
      <c r="AU229" s="55">
        <f t="shared" si="238"/>
        <v>0</v>
      </c>
      <c r="AV229" s="55">
        <f t="shared" si="238"/>
        <v>0</v>
      </c>
      <c r="AW229" s="55">
        <f t="shared" si="238"/>
        <v>0</v>
      </c>
      <c r="AX229" s="55">
        <f t="shared" si="238"/>
        <v>0</v>
      </c>
      <c r="AY229" s="55">
        <f t="shared" si="238"/>
        <v>0</v>
      </c>
      <c r="AZ229" s="55">
        <f t="shared" si="238"/>
        <v>0</v>
      </c>
      <c r="BA229" s="55">
        <f t="shared" si="238"/>
        <v>0</v>
      </c>
      <c r="BB229" s="55">
        <f t="shared" si="238"/>
        <v>0</v>
      </c>
      <c r="BC229" s="55">
        <f t="shared" si="238"/>
        <v>0</v>
      </c>
      <c r="BD229" s="55">
        <f t="shared" si="238"/>
        <v>0</v>
      </c>
      <c r="BE229" s="55">
        <f t="shared" si="238"/>
        <v>0</v>
      </c>
      <c r="BF229" s="55">
        <f t="shared" si="238"/>
        <v>0</v>
      </c>
      <c r="BG229" s="55">
        <f t="shared" si="238"/>
        <v>0</v>
      </c>
      <c r="BH229" s="55">
        <f t="shared" si="238"/>
        <v>0</v>
      </c>
      <c r="BI229" s="55">
        <f t="shared" si="238"/>
        <v>0</v>
      </c>
      <c r="BJ229" s="55">
        <f t="shared" si="238"/>
        <v>0</v>
      </c>
    </row>
    <row r="230" spans="1:62" x14ac:dyDescent="0.3">
      <c r="A230" s="53" t="str">
        <f t="shared" si="234"/>
        <v>project 213</v>
      </c>
      <c r="C230" s="55">
        <f t="shared" ref="C230:AH230" si="239">IF(AND(C$127&gt;=$I122,C$127&lt;$I122+$F122),INDEX($T122:$AI122,C$127-$I122+1),0)</f>
        <v>0</v>
      </c>
      <c r="D230" s="55">
        <f t="shared" si="239"/>
        <v>0</v>
      </c>
      <c r="E230" s="55">
        <f t="shared" si="239"/>
        <v>0</v>
      </c>
      <c r="F230" s="55">
        <f t="shared" si="239"/>
        <v>0</v>
      </c>
      <c r="G230" s="55">
        <f t="shared" si="239"/>
        <v>0</v>
      </c>
      <c r="H230" s="55">
        <f t="shared" si="239"/>
        <v>2.8840999999999999E-2</v>
      </c>
      <c r="I230" s="55">
        <f t="shared" si="239"/>
        <v>1.4138235294117649E-2</v>
      </c>
      <c r="J230" s="55">
        <f t="shared" si="239"/>
        <v>0</v>
      </c>
      <c r="K230" s="55">
        <f t="shared" si="239"/>
        <v>0</v>
      </c>
      <c r="L230" s="55">
        <f t="shared" si="239"/>
        <v>0</v>
      </c>
      <c r="M230" s="55">
        <f t="shared" si="239"/>
        <v>0</v>
      </c>
      <c r="N230" s="55">
        <f t="shared" si="239"/>
        <v>0</v>
      </c>
      <c r="O230" s="55">
        <f t="shared" si="239"/>
        <v>0</v>
      </c>
      <c r="P230" s="55">
        <f t="shared" si="239"/>
        <v>0</v>
      </c>
      <c r="Q230" s="55">
        <f t="shared" si="239"/>
        <v>0</v>
      </c>
      <c r="R230" s="55">
        <f t="shared" si="239"/>
        <v>0</v>
      </c>
      <c r="S230" s="55">
        <f t="shared" si="239"/>
        <v>0</v>
      </c>
      <c r="T230" s="55">
        <f t="shared" si="239"/>
        <v>0</v>
      </c>
      <c r="U230" s="55">
        <f t="shared" si="239"/>
        <v>0</v>
      </c>
      <c r="V230" s="55">
        <f t="shared" si="239"/>
        <v>0</v>
      </c>
      <c r="W230" s="55">
        <f t="shared" si="239"/>
        <v>0</v>
      </c>
      <c r="X230" s="55">
        <f t="shared" si="239"/>
        <v>0</v>
      </c>
      <c r="Y230" s="55">
        <f t="shared" si="239"/>
        <v>0</v>
      </c>
      <c r="Z230" s="55">
        <f t="shared" si="239"/>
        <v>0</v>
      </c>
      <c r="AA230" s="55">
        <f t="shared" si="239"/>
        <v>0</v>
      </c>
      <c r="AB230" s="55">
        <f t="shared" si="239"/>
        <v>0</v>
      </c>
      <c r="AC230" s="55">
        <f t="shared" si="239"/>
        <v>0</v>
      </c>
      <c r="AD230" s="55">
        <f t="shared" si="239"/>
        <v>0</v>
      </c>
      <c r="AE230" s="55">
        <f t="shared" si="239"/>
        <v>0</v>
      </c>
      <c r="AF230" s="55">
        <f t="shared" si="239"/>
        <v>0</v>
      </c>
      <c r="AG230" s="55">
        <f t="shared" si="239"/>
        <v>0</v>
      </c>
      <c r="AH230" s="55">
        <f t="shared" si="239"/>
        <v>0</v>
      </c>
      <c r="AI230" s="55">
        <f t="shared" ref="AI230:BJ230" si="240">IF(AND(AI$127&gt;=$I122,AI$127&lt;$I122+$F122),INDEX($T122:$AI122,AI$127-$I122+1),0)</f>
        <v>0</v>
      </c>
      <c r="AJ230" s="55">
        <f t="shared" si="240"/>
        <v>0</v>
      </c>
      <c r="AK230" s="55">
        <f t="shared" si="240"/>
        <v>0</v>
      </c>
      <c r="AL230" s="55">
        <f t="shared" si="240"/>
        <v>0</v>
      </c>
      <c r="AM230" s="55">
        <f t="shared" si="240"/>
        <v>0</v>
      </c>
      <c r="AN230" s="55">
        <f t="shared" si="240"/>
        <v>0</v>
      </c>
      <c r="AO230" s="55">
        <f t="shared" si="240"/>
        <v>0</v>
      </c>
      <c r="AP230" s="55">
        <f t="shared" si="240"/>
        <v>0</v>
      </c>
      <c r="AQ230" s="55">
        <f t="shared" si="240"/>
        <v>0</v>
      </c>
      <c r="AR230" s="55">
        <f t="shared" si="240"/>
        <v>0</v>
      </c>
      <c r="AS230" s="55">
        <f t="shared" si="240"/>
        <v>0</v>
      </c>
      <c r="AT230" s="55">
        <f t="shared" si="240"/>
        <v>0</v>
      </c>
      <c r="AU230" s="55">
        <f t="shared" si="240"/>
        <v>0</v>
      </c>
      <c r="AV230" s="55">
        <f t="shared" si="240"/>
        <v>0</v>
      </c>
      <c r="AW230" s="55">
        <f t="shared" si="240"/>
        <v>0</v>
      </c>
      <c r="AX230" s="55">
        <f t="shared" si="240"/>
        <v>0</v>
      </c>
      <c r="AY230" s="55">
        <f t="shared" si="240"/>
        <v>0</v>
      </c>
      <c r="AZ230" s="55">
        <f t="shared" si="240"/>
        <v>0</v>
      </c>
      <c r="BA230" s="55">
        <f t="shared" si="240"/>
        <v>0</v>
      </c>
      <c r="BB230" s="55">
        <f t="shared" si="240"/>
        <v>0</v>
      </c>
      <c r="BC230" s="55">
        <f t="shared" si="240"/>
        <v>0</v>
      </c>
      <c r="BD230" s="55">
        <f t="shared" si="240"/>
        <v>0</v>
      </c>
      <c r="BE230" s="55">
        <f t="shared" si="240"/>
        <v>0</v>
      </c>
      <c r="BF230" s="55">
        <f t="shared" si="240"/>
        <v>0</v>
      </c>
      <c r="BG230" s="55">
        <f t="shared" si="240"/>
        <v>0</v>
      </c>
      <c r="BH230" s="55">
        <f t="shared" si="240"/>
        <v>0</v>
      </c>
      <c r="BI230" s="55">
        <f t="shared" si="240"/>
        <v>0</v>
      </c>
      <c r="BJ230" s="55">
        <f t="shared" si="240"/>
        <v>0</v>
      </c>
    </row>
    <row r="231" spans="1:62" x14ac:dyDescent="0.3">
      <c r="A231" s="53" t="str">
        <f t="shared" si="234"/>
        <v>project 218</v>
      </c>
      <c r="C231" s="55">
        <f t="shared" ref="C231:AH231" si="241">IF(AND(C$127&gt;=$I123,C$127&lt;$I123+$F123),INDEX($T123:$AI123,C$127-$I123+1),0)</f>
        <v>0</v>
      </c>
      <c r="D231" s="55">
        <f t="shared" si="241"/>
        <v>0</v>
      </c>
      <c r="E231" s="55">
        <f t="shared" si="241"/>
        <v>0</v>
      </c>
      <c r="F231" s="55">
        <f t="shared" si="241"/>
        <v>0</v>
      </c>
      <c r="G231" s="55">
        <f t="shared" si="241"/>
        <v>0</v>
      </c>
      <c r="H231" s="55">
        <f t="shared" si="241"/>
        <v>0</v>
      </c>
      <c r="I231" s="55">
        <f t="shared" si="241"/>
        <v>0</v>
      </c>
      <c r="J231" s="55">
        <f t="shared" si="241"/>
        <v>0</v>
      </c>
      <c r="K231" s="55">
        <f t="shared" si="241"/>
        <v>0</v>
      </c>
      <c r="L231" s="55">
        <f t="shared" si="241"/>
        <v>0</v>
      </c>
      <c r="M231" s="55">
        <f t="shared" si="241"/>
        <v>0</v>
      </c>
      <c r="N231" s="55">
        <f t="shared" si="241"/>
        <v>0</v>
      </c>
      <c r="O231" s="55">
        <f t="shared" si="241"/>
        <v>0</v>
      </c>
      <c r="P231" s="55">
        <f t="shared" si="241"/>
        <v>0</v>
      </c>
      <c r="Q231" s="55">
        <f t="shared" si="241"/>
        <v>0</v>
      </c>
      <c r="R231" s="55">
        <f t="shared" si="241"/>
        <v>0.56036139946174557</v>
      </c>
      <c r="S231" s="55">
        <f t="shared" si="241"/>
        <v>3.9954466984794679</v>
      </c>
      <c r="T231" s="55">
        <f t="shared" si="241"/>
        <v>4.4557064897258787</v>
      </c>
      <c r="U231" s="55">
        <f t="shared" si="241"/>
        <v>0</v>
      </c>
      <c r="V231" s="55">
        <f t="shared" si="241"/>
        <v>0</v>
      </c>
      <c r="W231" s="55">
        <f t="shared" si="241"/>
        <v>0</v>
      </c>
      <c r="X231" s="55">
        <f t="shared" si="241"/>
        <v>0</v>
      </c>
      <c r="Y231" s="55">
        <f t="shared" si="241"/>
        <v>0</v>
      </c>
      <c r="Z231" s="55">
        <f t="shared" si="241"/>
        <v>0</v>
      </c>
      <c r="AA231" s="55">
        <f t="shared" si="241"/>
        <v>0</v>
      </c>
      <c r="AB231" s="55">
        <f t="shared" si="241"/>
        <v>0</v>
      </c>
      <c r="AC231" s="55">
        <f t="shared" si="241"/>
        <v>0</v>
      </c>
      <c r="AD231" s="55">
        <f t="shared" si="241"/>
        <v>0</v>
      </c>
      <c r="AE231" s="55">
        <f t="shared" si="241"/>
        <v>0</v>
      </c>
      <c r="AF231" s="55">
        <f t="shared" si="241"/>
        <v>0</v>
      </c>
      <c r="AG231" s="55">
        <f t="shared" si="241"/>
        <v>0</v>
      </c>
      <c r="AH231" s="55">
        <f t="shared" si="241"/>
        <v>0</v>
      </c>
      <c r="AI231" s="55">
        <f t="shared" ref="AI231:BJ231" si="242">IF(AND(AI$127&gt;=$I123,AI$127&lt;$I123+$F123),INDEX($T123:$AI123,AI$127-$I123+1),0)</f>
        <v>0</v>
      </c>
      <c r="AJ231" s="55">
        <f t="shared" si="242"/>
        <v>0</v>
      </c>
      <c r="AK231" s="55">
        <f t="shared" si="242"/>
        <v>0</v>
      </c>
      <c r="AL231" s="55">
        <f t="shared" si="242"/>
        <v>0</v>
      </c>
      <c r="AM231" s="55">
        <f t="shared" si="242"/>
        <v>0</v>
      </c>
      <c r="AN231" s="55">
        <f t="shared" si="242"/>
        <v>0</v>
      </c>
      <c r="AO231" s="55">
        <f t="shared" si="242"/>
        <v>0</v>
      </c>
      <c r="AP231" s="55">
        <f t="shared" si="242"/>
        <v>0</v>
      </c>
      <c r="AQ231" s="55">
        <f t="shared" si="242"/>
        <v>0</v>
      </c>
      <c r="AR231" s="55">
        <f t="shared" si="242"/>
        <v>0</v>
      </c>
      <c r="AS231" s="55">
        <f t="shared" si="242"/>
        <v>0</v>
      </c>
      <c r="AT231" s="55">
        <f t="shared" si="242"/>
        <v>0</v>
      </c>
      <c r="AU231" s="55">
        <f t="shared" si="242"/>
        <v>0</v>
      </c>
      <c r="AV231" s="55">
        <f t="shared" si="242"/>
        <v>0</v>
      </c>
      <c r="AW231" s="55">
        <f t="shared" si="242"/>
        <v>0</v>
      </c>
      <c r="AX231" s="55">
        <f t="shared" si="242"/>
        <v>0</v>
      </c>
      <c r="AY231" s="55">
        <f t="shared" si="242"/>
        <v>0</v>
      </c>
      <c r="AZ231" s="55">
        <f t="shared" si="242"/>
        <v>0</v>
      </c>
      <c r="BA231" s="55">
        <f t="shared" si="242"/>
        <v>0</v>
      </c>
      <c r="BB231" s="55">
        <f t="shared" si="242"/>
        <v>0</v>
      </c>
      <c r="BC231" s="55">
        <f t="shared" si="242"/>
        <v>0</v>
      </c>
      <c r="BD231" s="55">
        <f t="shared" si="242"/>
        <v>0</v>
      </c>
      <c r="BE231" s="55">
        <f t="shared" si="242"/>
        <v>0</v>
      </c>
      <c r="BF231" s="55">
        <f t="shared" si="242"/>
        <v>0</v>
      </c>
      <c r="BG231" s="55">
        <f t="shared" si="242"/>
        <v>0</v>
      </c>
      <c r="BH231" s="55">
        <f t="shared" si="242"/>
        <v>0</v>
      </c>
      <c r="BI231" s="55">
        <f t="shared" si="242"/>
        <v>0</v>
      </c>
      <c r="BJ231" s="55">
        <f t="shared" si="242"/>
        <v>0</v>
      </c>
    </row>
    <row r="232" spans="1:62" x14ac:dyDescent="0.3">
      <c r="A232" s="4" t="s">
        <v>251</v>
      </c>
      <c r="C232" s="30">
        <f t="shared" ref="C232:AH232" si="243">SUM(C132:C231)</f>
        <v>162.73449980779091</v>
      </c>
      <c r="D232" s="30">
        <f t="shared" si="243"/>
        <v>253.67024897810205</v>
      </c>
      <c r="E232" s="30">
        <f t="shared" si="243"/>
        <v>212.90893987841784</v>
      </c>
      <c r="F232" s="30">
        <f t="shared" si="243"/>
        <v>210.2445818397118</v>
      </c>
      <c r="G232" s="30">
        <f t="shared" si="243"/>
        <v>210.44428211664234</v>
      </c>
      <c r="H232" s="30">
        <f t="shared" si="243"/>
        <v>210.02330612256353</v>
      </c>
      <c r="I232" s="30">
        <f t="shared" si="243"/>
        <v>205.03903214360358</v>
      </c>
      <c r="J232" s="30">
        <f t="shared" si="243"/>
        <v>212.73965752779301</v>
      </c>
      <c r="K232" s="30">
        <f t="shared" si="243"/>
        <v>196.74293259092309</v>
      </c>
      <c r="L232" s="30">
        <f t="shared" si="243"/>
        <v>217.39132691326333</v>
      </c>
      <c r="M232" s="30">
        <f t="shared" si="243"/>
        <v>218.06394683074367</v>
      </c>
      <c r="N232" s="30">
        <f t="shared" si="243"/>
        <v>199.52656976215229</v>
      </c>
      <c r="O232" s="30">
        <f t="shared" si="243"/>
        <v>220.35351472938009</v>
      </c>
      <c r="P232" s="30">
        <f t="shared" si="243"/>
        <v>209.85768210641049</v>
      </c>
      <c r="Q232" s="30">
        <f t="shared" si="243"/>
        <v>210.27485385251532</v>
      </c>
      <c r="R232" s="30">
        <f t="shared" si="243"/>
        <v>209.70249136363523</v>
      </c>
      <c r="S232" s="30">
        <f t="shared" si="243"/>
        <v>210.27834049887775</v>
      </c>
      <c r="T232" s="30">
        <f t="shared" si="243"/>
        <v>210.00548486927821</v>
      </c>
      <c r="U232" s="30">
        <f t="shared" si="243"/>
        <v>49.645243782200289</v>
      </c>
      <c r="V232" s="30">
        <f t="shared" si="243"/>
        <v>0</v>
      </c>
      <c r="W232" s="30">
        <f t="shared" si="243"/>
        <v>0</v>
      </c>
      <c r="X232" s="30">
        <f t="shared" si="243"/>
        <v>0</v>
      </c>
      <c r="Y232" s="30">
        <f t="shared" si="243"/>
        <v>0</v>
      </c>
      <c r="Z232" s="30">
        <f t="shared" si="243"/>
        <v>0</v>
      </c>
      <c r="AA232" s="30">
        <f t="shared" si="243"/>
        <v>0</v>
      </c>
      <c r="AB232" s="30">
        <f t="shared" si="243"/>
        <v>0</v>
      </c>
      <c r="AC232" s="30">
        <f t="shared" si="243"/>
        <v>0</v>
      </c>
      <c r="AD232" s="30">
        <f t="shared" si="243"/>
        <v>0</v>
      </c>
      <c r="AE232" s="30">
        <f t="shared" si="243"/>
        <v>0</v>
      </c>
      <c r="AF232" s="30">
        <f t="shared" si="243"/>
        <v>0</v>
      </c>
      <c r="AG232" s="30">
        <f t="shared" si="243"/>
        <v>0</v>
      </c>
      <c r="AH232" s="30">
        <f t="shared" si="243"/>
        <v>0</v>
      </c>
      <c r="AI232" s="30">
        <f t="shared" ref="AI232:BN232" si="244">SUM(AI132:AI231)</f>
        <v>0</v>
      </c>
      <c r="AJ232" s="30">
        <f t="shared" si="244"/>
        <v>0</v>
      </c>
      <c r="AK232" s="30">
        <f t="shared" si="244"/>
        <v>0</v>
      </c>
      <c r="AL232" s="30">
        <f t="shared" si="244"/>
        <v>0</v>
      </c>
      <c r="AM232" s="30">
        <f t="shared" si="244"/>
        <v>0</v>
      </c>
      <c r="AN232" s="30">
        <f t="shared" si="244"/>
        <v>0</v>
      </c>
      <c r="AO232" s="30">
        <f t="shared" si="244"/>
        <v>0</v>
      </c>
      <c r="AP232" s="30">
        <f t="shared" si="244"/>
        <v>0</v>
      </c>
      <c r="AQ232" s="30">
        <f t="shared" si="244"/>
        <v>0</v>
      </c>
      <c r="AR232" s="30">
        <f t="shared" si="244"/>
        <v>0</v>
      </c>
      <c r="AS232" s="30">
        <f t="shared" si="244"/>
        <v>0</v>
      </c>
      <c r="AT232" s="30">
        <f t="shared" si="244"/>
        <v>0</v>
      </c>
      <c r="AU232" s="30">
        <f t="shared" si="244"/>
        <v>0</v>
      </c>
      <c r="AV232" s="30">
        <f t="shared" si="244"/>
        <v>0</v>
      </c>
      <c r="AW232" s="30">
        <f t="shared" si="244"/>
        <v>0</v>
      </c>
      <c r="AX232" s="30">
        <f t="shared" si="244"/>
        <v>0</v>
      </c>
      <c r="AY232" s="30">
        <f t="shared" si="244"/>
        <v>0</v>
      </c>
      <c r="AZ232" s="30">
        <f t="shared" si="244"/>
        <v>0</v>
      </c>
      <c r="BA232" s="30">
        <f t="shared" si="244"/>
        <v>0</v>
      </c>
      <c r="BB232" s="30">
        <f t="shared" si="244"/>
        <v>0</v>
      </c>
      <c r="BC232" s="30">
        <f t="shared" si="244"/>
        <v>0</v>
      </c>
      <c r="BD232" s="30">
        <f t="shared" si="244"/>
        <v>0</v>
      </c>
      <c r="BE232" s="30">
        <f t="shared" si="244"/>
        <v>0</v>
      </c>
      <c r="BF232" s="30">
        <f t="shared" si="244"/>
        <v>0</v>
      </c>
      <c r="BG232" s="30">
        <f t="shared" si="244"/>
        <v>0</v>
      </c>
      <c r="BH232" s="30">
        <f t="shared" si="244"/>
        <v>0</v>
      </c>
      <c r="BI232" s="30">
        <f t="shared" si="244"/>
        <v>0</v>
      </c>
      <c r="BJ232" s="30">
        <f t="shared" si="244"/>
        <v>0</v>
      </c>
    </row>
    <row r="234" spans="1:62" x14ac:dyDescent="0.3">
      <c r="A234" s="4" t="s">
        <v>252</v>
      </c>
    </row>
    <row r="235" spans="1:62" x14ac:dyDescent="0.3">
      <c r="A235" s="53" t="str">
        <f t="shared" ref="A235:A266" si="245">A24</f>
        <v>project 1</v>
      </c>
      <c r="C235" s="55">
        <f t="shared" ref="C235:AH235" si="246">IF(AND(C$127&gt;=$K24,C$127&lt;=$L24),$G24*(1+$H24)^(C$127-$B$5),0)</f>
        <v>0</v>
      </c>
      <c r="D235" s="55">
        <f t="shared" si="246"/>
        <v>0</v>
      </c>
      <c r="E235" s="55">
        <f t="shared" si="246"/>
        <v>0</v>
      </c>
      <c r="F235" s="55">
        <f t="shared" si="246"/>
        <v>0</v>
      </c>
      <c r="G235" s="55">
        <f t="shared" si="246"/>
        <v>0</v>
      </c>
      <c r="H235" s="55">
        <f t="shared" si="246"/>
        <v>0</v>
      </c>
      <c r="I235" s="55">
        <f t="shared" si="246"/>
        <v>9.5924845314507223</v>
      </c>
      <c r="J235" s="55">
        <f t="shared" si="246"/>
        <v>9.5924845314507223</v>
      </c>
      <c r="K235" s="55">
        <f t="shared" si="246"/>
        <v>9.5924845314507223</v>
      </c>
      <c r="L235" s="55">
        <f t="shared" si="246"/>
        <v>9.5924845314507223</v>
      </c>
      <c r="M235" s="55">
        <f t="shared" si="246"/>
        <v>9.5924845314507223</v>
      </c>
      <c r="N235" s="55">
        <f t="shared" si="246"/>
        <v>9.5924845314507223</v>
      </c>
      <c r="O235" s="55">
        <f t="shared" si="246"/>
        <v>9.5924845314507223</v>
      </c>
      <c r="P235" s="55">
        <f t="shared" si="246"/>
        <v>9.5924845314507223</v>
      </c>
      <c r="Q235" s="55">
        <f t="shared" si="246"/>
        <v>9.5924845314507223</v>
      </c>
      <c r="R235" s="55">
        <f t="shared" si="246"/>
        <v>9.5924845314507223</v>
      </c>
      <c r="S235" s="55">
        <f t="shared" si="246"/>
        <v>9.5924845314507223</v>
      </c>
      <c r="T235" s="55">
        <f t="shared" si="246"/>
        <v>9.5924845314507223</v>
      </c>
      <c r="U235" s="55">
        <f t="shared" si="246"/>
        <v>9.5924845314507223</v>
      </c>
      <c r="V235" s="55">
        <f t="shared" si="246"/>
        <v>9.5924845314507223</v>
      </c>
      <c r="W235" s="55">
        <f t="shared" si="246"/>
        <v>9.5924845314507223</v>
      </c>
      <c r="X235" s="55">
        <f t="shared" si="246"/>
        <v>9.5924845314507223</v>
      </c>
      <c r="Y235" s="55">
        <f t="shared" si="246"/>
        <v>9.5924845314507223</v>
      </c>
      <c r="Z235" s="55">
        <f t="shared" si="246"/>
        <v>9.5924845314507223</v>
      </c>
      <c r="AA235" s="55">
        <f t="shared" si="246"/>
        <v>9.5924845314507223</v>
      </c>
      <c r="AB235" s="55">
        <f t="shared" si="246"/>
        <v>9.5924845314507223</v>
      </c>
      <c r="AC235" s="55">
        <f t="shared" si="246"/>
        <v>9.5924845314507223</v>
      </c>
      <c r="AD235" s="55">
        <f t="shared" si="246"/>
        <v>9.5924845314507223</v>
      </c>
      <c r="AE235" s="55">
        <f t="shared" si="246"/>
        <v>9.5924845314507223</v>
      </c>
      <c r="AF235" s="55">
        <f t="shared" si="246"/>
        <v>9.5924845314507223</v>
      </c>
      <c r="AG235" s="55">
        <f t="shared" si="246"/>
        <v>9.5924845314507223</v>
      </c>
      <c r="AH235" s="55">
        <f t="shared" si="246"/>
        <v>9.5924845314507223</v>
      </c>
      <c r="AI235" s="55">
        <f t="shared" ref="AI235:BJ235" si="247">IF(AND(AI$127&gt;=$K24,AI$127&lt;=$L24),$G24*(1+$H24)^(AI$127-$B$5),0)</f>
        <v>9.5924845314507223</v>
      </c>
      <c r="AJ235" s="55">
        <f t="shared" si="247"/>
        <v>9.5924845314507223</v>
      </c>
      <c r="AK235" s="55">
        <f t="shared" si="247"/>
        <v>9.5924845314507223</v>
      </c>
      <c r="AL235" s="55">
        <f t="shared" si="247"/>
        <v>9.5924845314507223</v>
      </c>
      <c r="AM235" s="55">
        <f t="shared" si="247"/>
        <v>9.5924845314507223</v>
      </c>
      <c r="AN235" s="55">
        <f t="shared" si="247"/>
        <v>9.5924845314507223</v>
      </c>
      <c r="AO235" s="55">
        <f t="shared" si="247"/>
        <v>9.5924845314507223</v>
      </c>
      <c r="AP235" s="55">
        <f t="shared" si="247"/>
        <v>9.5924845314507223</v>
      </c>
      <c r="AQ235" s="55">
        <f t="shared" si="247"/>
        <v>9.5924845314507223</v>
      </c>
      <c r="AR235" s="55">
        <f t="shared" si="247"/>
        <v>9.5924845314507223</v>
      </c>
      <c r="AS235" s="55">
        <f t="shared" si="247"/>
        <v>9.5924845314507223</v>
      </c>
      <c r="AT235" s="55">
        <f t="shared" si="247"/>
        <v>9.5924845314507223</v>
      </c>
      <c r="AU235" s="55">
        <f t="shared" si="247"/>
        <v>9.5924845314507223</v>
      </c>
      <c r="AV235" s="55">
        <f t="shared" si="247"/>
        <v>9.5924845314507223</v>
      </c>
      <c r="AW235" s="55">
        <f t="shared" si="247"/>
        <v>0</v>
      </c>
      <c r="AX235" s="55">
        <f t="shared" si="247"/>
        <v>0</v>
      </c>
      <c r="AY235" s="55">
        <f t="shared" si="247"/>
        <v>0</v>
      </c>
      <c r="AZ235" s="55">
        <f t="shared" si="247"/>
        <v>0</v>
      </c>
      <c r="BA235" s="55">
        <f t="shared" si="247"/>
        <v>0</v>
      </c>
      <c r="BB235" s="55">
        <f t="shared" si="247"/>
        <v>0</v>
      </c>
      <c r="BC235" s="55">
        <f t="shared" si="247"/>
        <v>0</v>
      </c>
      <c r="BD235" s="55">
        <f t="shared" si="247"/>
        <v>0</v>
      </c>
      <c r="BE235" s="55">
        <f t="shared" si="247"/>
        <v>0</v>
      </c>
      <c r="BF235" s="55">
        <f t="shared" si="247"/>
        <v>0</v>
      </c>
      <c r="BG235" s="55">
        <f t="shared" si="247"/>
        <v>0</v>
      </c>
      <c r="BH235" s="55">
        <f t="shared" si="247"/>
        <v>0</v>
      </c>
      <c r="BI235" s="55">
        <f t="shared" si="247"/>
        <v>0</v>
      </c>
      <c r="BJ235" s="55">
        <f t="shared" si="247"/>
        <v>0</v>
      </c>
    </row>
    <row r="236" spans="1:62" x14ac:dyDescent="0.3">
      <c r="A236" s="53" t="str">
        <f t="shared" si="245"/>
        <v>project 4</v>
      </c>
      <c r="C236" s="55">
        <f t="shared" ref="C236:AH236" si="248">IF(AND(C$127&gt;=$K25,C$127&lt;=$L25),$G25*(1+$H25)^(C$127-$B$5),0)</f>
        <v>0</v>
      </c>
      <c r="D236" s="55">
        <f t="shared" si="248"/>
        <v>0</v>
      </c>
      <c r="E236" s="55">
        <f t="shared" si="248"/>
        <v>0.27936777839903332</v>
      </c>
      <c r="F236" s="55">
        <f t="shared" si="248"/>
        <v>0.27936777839903332</v>
      </c>
      <c r="G236" s="55">
        <f t="shared" si="248"/>
        <v>0.27936777839903332</v>
      </c>
      <c r="H236" s="55">
        <f t="shared" si="248"/>
        <v>0.27936777839903332</v>
      </c>
      <c r="I236" s="55">
        <f t="shared" si="248"/>
        <v>0.27936777839903332</v>
      </c>
      <c r="J236" s="55">
        <f t="shared" si="248"/>
        <v>0.27936777839903332</v>
      </c>
      <c r="K236" s="55">
        <f t="shared" si="248"/>
        <v>0.27936777839903332</v>
      </c>
      <c r="L236" s="55">
        <f t="shared" si="248"/>
        <v>0.27936777839903332</v>
      </c>
      <c r="M236" s="55">
        <f t="shared" si="248"/>
        <v>0.27936777839903332</v>
      </c>
      <c r="N236" s="55">
        <f t="shared" si="248"/>
        <v>0.27936777839903332</v>
      </c>
      <c r="O236" s="55">
        <f t="shared" si="248"/>
        <v>0.27936777839903332</v>
      </c>
      <c r="P236" s="55">
        <f t="shared" si="248"/>
        <v>0.27936777839903332</v>
      </c>
      <c r="Q236" s="55">
        <f t="shared" si="248"/>
        <v>0.27936777839903332</v>
      </c>
      <c r="R236" s="55">
        <f t="shared" si="248"/>
        <v>0.27936777839903332</v>
      </c>
      <c r="S236" s="55">
        <f t="shared" si="248"/>
        <v>0.27936777839903332</v>
      </c>
      <c r="T236" s="55">
        <f t="shared" si="248"/>
        <v>0.27936777839903332</v>
      </c>
      <c r="U236" s="55">
        <f t="shared" si="248"/>
        <v>0.27936777839903332</v>
      </c>
      <c r="V236" s="55">
        <f t="shared" si="248"/>
        <v>0.27936777839903332</v>
      </c>
      <c r="W236" s="55">
        <f t="shared" si="248"/>
        <v>0.27936777839903332</v>
      </c>
      <c r="X236" s="55">
        <f t="shared" si="248"/>
        <v>0.27936777839903332</v>
      </c>
      <c r="Y236" s="55">
        <f t="shared" si="248"/>
        <v>0.27936777839903332</v>
      </c>
      <c r="Z236" s="55">
        <f t="shared" si="248"/>
        <v>0.27936777839903332</v>
      </c>
      <c r="AA236" s="55">
        <f t="shared" si="248"/>
        <v>0.27936777839903332</v>
      </c>
      <c r="AB236" s="55">
        <f t="shared" si="248"/>
        <v>0.27936777839903332</v>
      </c>
      <c r="AC236" s="55">
        <f t="shared" si="248"/>
        <v>0.27936777839903332</v>
      </c>
      <c r="AD236" s="55">
        <f t="shared" si="248"/>
        <v>0.27936777839903332</v>
      </c>
      <c r="AE236" s="55">
        <f t="shared" si="248"/>
        <v>0.27936777839903332</v>
      </c>
      <c r="AF236" s="55">
        <f t="shared" si="248"/>
        <v>0.27936777839903332</v>
      </c>
      <c r="AG236" s="55">
        <f t="shared" si="248"/>
        <v>0.27936777839903332</v>
      </c>
      <c r="AH236" s="55">
        <f t="shared" si="248"/>
        <v>0.27936777839903332</v>
      </c>
      <c r="AI236" s="55">
        <f t="shared" ref="AI236:BJ236" si="249">IF(AND(AI$127&gt;=$K25,AI$127&lt;=$L25),$G25*(1+$H25)^(AI$127-$B$5),0)</f>
        <v>0.27936777839903332</v>
      </c>
      <c r="AJ236" s="55">
        <f t="shared" si="249"/>
        <v>0.27936777839903332</v>
      </c>
      <c r="AK236" s="55">
        <f t="shared" si="249"/>
        <v>0.27936777839903332</v>
      </c>
      <c r="AL236" s="55">
        <f t="shared" si="249"/>
        <v>0.27936777839903332</v>
      </c>
      <c r="AM236" s="55">
        <f t="shared" si="249"/>
        <v>0.27936777839903332</v>
      </c>
      <c r="AN236" s="55">
        <f t="shared" si="249"/>
        <v>0.27936777839903332</v>
      </c>
      <c r="AO236" s="55">
        <f t="shared" si="249"/>
        <v>0.27936777839903332</v>
      </c>
      <c r="AP236" s="55">
        <f t="shared" si="249"/>
        <v>0.27936777839903332</v>
      </c>
      <c r="AQ236" s="55">
        <f t="shared" si="249"/>
        <v>0.27936777839903332</v>
      </c>
      <c r="AR236" s="55">
        <f t="shared" si="249"/>
        <v>0.27936777839903332</v>
      </c>
      <c r="AS236" s="55">
        <f t="shared" si="249"/>
        <v>0</v>
      </c>
      <c r="AT236" s="55">
        <f t="shared" si="249"/>
        <v>0</v>
      </c>
      <c r="AU236" s="55">
        <f t="shared" si="249"/>
        <v>0</v>
      </c>
      <c r="AV236" s="55">
        <f t="shared" si="249"/>
        <v>0</v>
      </c>
      <c r="AW236" s="55">
        <f t="shared" si="249"/>
        <v>0</v>
      </c>
      <c r="AX236" s="55">
        <f t="shared" si="249"/>
        <v>0</v>
      </c>
      <c r="AY236" s="55">
        <f t="shared" si="249"/>
        <v>0</v>
      </c>
      <c r="AZ236" s="55">
        <f t="shared" si="249"/>
        <v>0</v>
      </c>
      <c r="BA236" s="55">
        <f t="shared" si="249"/>
        <v>0</v>
      </c>
      <c r="BB236" s="55">
        <f t="shared" si="249"/>
        <v>0</v>
      </c>
      <c r="BC236" s="55">
        <f t="shared" si="249"/>
        <v>0</v>
      </c>
      <c r="BD236" s="55">
        <f t="shared" si="249"/>
        <v>0</v>
      </c>
      <c r="BE236" s="55">
        <f t="shared" si="249"/>
        <v>0</v>
      </c>
      <c r="BF236" s="55">
        <f t="shared" si="249"/>
        <v>0</v>
      </c>
      <c r="BG236" s="55">
        <f t="shared" si="249"/>
        <v>0</v>
      </c>
      <c r="BH236" s="55">
        <f t="shared" si="249"/>
        <v>0</v>
      </c>
      <c r="BI236" s="55">
        <f t="shared" si="249"/>
        <v>0</v>
      </c>
      <c r="BJ236" s="55">
        <f t="shared" si="249"/>
        <v>0</v>
      </c>
    </row>
    <row r="237" spans="1:62" x14ac:dyDescent="0.3">
      <c r="A237" s="53" t="str">
        <f t="shared" si="245"/>
        <v>project 7</v>
      </c>
      <c r="C237" s="55">
        <f t="shared" ref="C237:AH237" si="250">IF(AND(C$127&gt;=$K26,C$127&lt;=$L26),$G26*(1+$H26)^(C$127-$B$5),0)</f>
        <v>0</v>
      </c>
      <c r="D237" s="55">
        <f t="shared" si="250"/>
        <v>0</v>
      </c>
      <c r="E237" s="55">
        <f t="shared" si="250"/>
        <v>0</v>
      </c>
      <c r="F237" s="55">
        <f t="shared" si="250"/>
        <v>0</v>
      </c>
      <c r="G237" s="55">
        <f t="shared" si="250"/>
        <v>0</v>
      </c>
      <c r="H237" s="55">
        <f t="shared" si="250"/>
        <v>0</v>
      </c>
      <c r="I237" s="55">
        <f t="shared" si="250"/>
        <v>0</v>
      </c>
      <c r="J237" s="55">
        <f t="shared" si="250"/>
        <v>0</v>
      </c>
      <c r="K237" s="55">
        <f t="shared" si="250"/>
        <v>0</v>
      </c>
      <c r="L237" s="55">
        <f t="shared" si="250"/>
        <v>0</v>
      </c>
      <c r="M237" s="55">
        <f t="shared" si="250"/>
        <v>0</v>
      </c>
      <c r="N237" s="55">
        <f t="shared" si="250"/>
        <v>0</v>
      </c>
      <c r="O237" s="55">
        <f t="shared" si="250"/>
        <v>0.40526408683160919</v>
      </c>
      <c r="P237" s="55">
        <f t="shared" si="250"/>
        <v>0.40526408683160919</v>
      </c>
      <c r="Q237" s="55">
        <f t="shared" si="250"/>
        <v>0.40526408683160919</v>
      </c>
      <c r="R237" s="55">
        <f t="shared" si="250"/>
        <v>0.40526408683160919</v>
      </c>
      <c r="S237" s="55">
        <f t="shared" si="250"/>
        <v>0.40526408683160919</v>
      </c>
      <c r="T237" s="55">
        <f t="shared" si="250"/>
        <v>0.40526408683160919</v>
      </c>
      <c r="U237" s="55">
        <f t="shared" si="250"/>
        <v>0.40526408683160919</v>
      </c>
      <c r="V237" s="55">
        <f t="shared" si="250"/>
        <v>0.40526408683160919</v>
      </c>
      <c r="W237" s="55">
        <f t="shared" si="250"/>
        <v>0.40526408683160919</v>
      </c>
      <c r="X237" s="55">
        <f t="shared" si="250"/>
        <v>0.40526408683160919</v>
      </c>
      <c r="Y237" s="55">
        <f t="shared" si="250"/>
        <v>0.40526408683160919</v>
      </c>
      <c r="Z237" s="55">
        <f t="shared" si="250"/>
        <v>0.40526408683160919</v>
      </c>
      <c r="AA237" s="55">
        <f t="shared" si="250"/>
        <v>0.40526408683160919</v>
      </c>
      <c r="AB237" s="55">
        <f t="shared" si="250"/>
        <v>0.40526408683160919</v>
      </c>
      <c r="AC237" s="55">
        <f t="shared" si="250"/>
        <v>0.40526408683160919</v>
      </c>
      <c r="AD237" s="55">
        <f t="shared" si="250"/>
        <v>0.40526408683160919</v>
      </c>
      <c r="AE237" s="55">
        <f t="shared" si="250"/>
        <v>0.40526408683160919</v>
      </c>
      <c r="AF237" s="55">
        <f t="shared" si="250"/>
        <v>0.40526408683160919</v>
      </c>
      <c r="AG237" s="55">
        <f t="shared" si="250"/>
        <v>0.40526408683160919</v>
      </c>
      <c r="AH237" s="55">
        <f t="shared" si="250"/>
        <v>0.40526408683160919</v>
      </c>
      <c r="AI237" s="55">
        <f t="shared" ref="AI237:BJ237" si="251">IF(AND(AI$127&gt;=$K26,AI$127&lt;=$L26),$G26*(1+$H26)^(AI$127-$B$5),0)</f>
        <v>0.40526408683160919</v>
      </c>
      <c r="AJ237" s="55">
        <f t="shared" si="251"/>
        <v>0.40526408683160919</v>
      </c>
      <c r="AK237" s="55">
        <f t="shared" si="251"/>
        <v>0.40526408683160919</v>
      </c>
      <c r="AL237" s="55">
        <f t="shared" si="251"/>
        <v>0.40526408683160919</v>
      </c>
      <c r="AM237" s="55">
        <f t="shared" si="251"/>
        <v>0.40526408683160919</v>
      </c>
      <c r="AN237" s="55">
        <f t="shared" si="251"/>
        <v>0.40526408683160919</v>
      </c>
      <c r="AO237" s="55">
        <f t="shared" si="251"/>
        <v>0.40526408683160919</v>
      </c>
      <c r="AP237" s="55">
        <f t="shared" si="251"/>
        <v>0.40526408683160919</v>
      </c>
      <c r="AQ237" s="55">
        <f t="shared" si="251"/>
        <v>0.40526408683160919</v>
      </c>
      <c r="AR237" s="55">
        <f t="shared" si="251"/>
        <v>0.40526408683160919</v>
      </c>
      <c r="AS237" s="55">
        <f t="shared" si="251"/>
        <v>0.40526408683160919</v>
      </c>
      <c r="AT237" s="55">
        <f t="shared" si="251"/>
        <v>0.40526408683160919</v>
      </c>
      <c r="AU237" s="55">
        <f t="shared" si="251"/>
        <v>0.40526408683160919</v>
      </c>
      <c r="AV237" s="55">
        <f t="shared" si="251"/>
        <v>0.40526408683160919</v>
      </c>
      <c r="AW237" s="55">
        <f t="shared" si="251"/>
        <v>0.40526408683160919</v>
      </c>
      <c r="AX237" s="55">
        <f t="shared" si="251"/>
        <v>0.40526408683160919</v>
      </c>
      <c r="AY237" s="55">
        <f t="shared" si="251"/>
        <v>0.40526408683160919</v>
      </c>
      <c r="AZ237" s="55">
        <f t="shared" si="251"/>
        <v>0.40526408683160919</v>
      </c>
      <c r="BA237" s="55">
        <f t="shared" si="251"/>
        <v>0.40526408683160919</v>
      </c>
      <c r="BB237" s="55">
        <f t="shared" si="251"/>
        <v>0.40526408683160919</v>
      </c>
      <c r="BC237" s="55">
        <f t="shared" si="251"/>
        <v>0</v>
      </c>
      <c r="BD237" s="55">
        <f t="shared" si="251"/>
        <v>0</v>
      </c>
      <c r="BE237" s="55">
        <f t="shared" si="251"/>
        <v>0</v>
      </c>
      <c r="BF237" s="55">
        <f t="shared" si="251"/>
        <v>0</v>
      </c>
      <c r="BG237" s="55">
        <f t="shared" si="251"/>
        <v>0</v>
      </c>
      <c r="BH237" s="55">
        <f t="shared" si="251"/>
        <v>0</v>
      </c>
      <c r="BI237" s="55">
        <f t="shared" si="251"/>
        <v>0</v>
      </c>
      <c r="BJ237" s="55">
        <f t="shared" si="251"/>
        <v>0</v>
      </c>
    </row>
    <row r="238" spans="1:62" x14ac:dyDescent="0.3">
      <c r="A238" s="53" t="str">
        <f t="shared" si="245"/>
        <v>project 8</v>
      </c>
      <c r="C238" s="55">
        <f t="shared" ref="C238:AH238" si="252">IF(AND(C$127&gt;=$K27,C$127&lt;=$L27),$G27*(1+$H27)^(C$127-$B$5),0)</f>
        <v>0</v>
      </c>
      <c r="D238" s="55">
        <f t="shared" si="252"/>
        <v>0</v>
      </c>
      <c r="E238" s="55">
        <f t="shared" si="252"/>
        <v>0</v>
      </c>
      <c r="F238" s="55">
        <f t="shared" si="252"/>
        <v>0</v>
      </c>
      <c r="G238" s="55">
        <f t="shared" si="252"/>
        <v>0</v>
      </c>
      <c r="H238" s="55">
        <f t="shared" si="252"/>
        <v>0</v>
      </c>
      <c r="I238" s="55">
        <f t="shared" si="252"/>
        <v>0</v>
      </c>
      <c r="J238" s="55">
        <f t="shared" si="252"/>
        <v>0</v>
      </c>
      <c r="K238" s="55">
        <f t="shared" si="252"/>
        <v>0</v>
      </c>
      <c r="L238" s="55">
        <f t="shared" si="252"/>
        <v>0</v>
      </c>
      <c r="M238" s="55">
        <f t="shared" si="252"/>
        <v>0</v>
      </c>
      <c r="N238" s="55">
        <f t="shared" si="252"/>
        <v>0</v>
      </c>
      <c r="O238" s="55">
        <f t="shared" si="252"/>
        <v>0</v>
      </c>
      <c r="P238" s="55">
        <f t="shared" si="252"/>
        <v>0</v>
      </c>
      <c r="Q238" s="55">
        <f t="shared" si="252"/>
        <v>0</v>
      </c>
      <c r="R238" s="55">
        <f t="shared" si="252"/>
        <v>0</v>
      </c>
      <c r="S238" s="55">
        <f t="shared" si="252"/>
        <v>0.1982701011896327</v>
      </c>
      <c r="T238" s="55">
        <f t="shared" si="252"/>
        <v>0.1982701011896327</v>
      </c>
      <c r="U238" s="55">
        <f t="shared" si="252"/>
        <v>0.1982701011896327</v>
      </c>
      <c r="V238" s="55">
        <f t="shared" si="252"/>
        <v>0.1982701011896327</v>
      </c>
      <c r="W238" s="55">
        <f t="shared" si="252"/>
        <v>0.1982701011896327</v>
      </c>
      <c r="X238" s="55">
        <f t="shared" si="252"/>
        <v>0.1982701011896327</v>
      </c>
      <c r="Y238" s="55">
        <f t="shared" si="252"/>
        <v>0.1982701011896327</v>
      </c>
      <c r="Z238" s="55">
        <f t="shared" si="252"/>
        <v>0.1982701011896327</v>
      </c>
      <c r="AA238" s="55">
        <f t="shared" si="252"/>
        <v>0.1982701011896327</v>
      </c>
      <c r="AB238" s="55">
        <f t="shared" si="252"/>
        <v>0.1982701011896327</v>
      </c>
      <c r="AC238" s="55">
        <f t="shared" si="252"/>
        <v>0.1982701011896327</v>
      </c>
      <c r="AD238" s="55">
        <f t="shared" si="252"/>
        <v>0.1982701011896327</v>
      </c>
      <c r="AE238" s="55">
        <f t="shared" si="252"/>
        <v>0.1982701011896327</v>
      </c>
      <c r="AF238" s="55">
        <f t="shared" si="252"/>
        <v>0.1982701011896327</v>
      </c>
      <c r="AG238" s="55">
        <f t="shared" si="252"/>
        <v>0.1982701011896327</v>
      </c>
      <c r="AH238" s="55">
        <f t="shared" si="252"/>
        <v>0.1982701011896327</v>
      </c>
      <c r="AI238" s="55">
        <f t="shared" ref="AI238:BJ238" si="253">IF(AND(AI$127&gt;=$K27,AI$127&lt;=$L27),$G27*(1+$H27)^(AI$127-$B$5),0)</f>
        <v>0.1982701011896327</v>
      </c>
      <c r="AJ238" s="55">
        <f t="shared" si="253"/>
        <v>0.1982701011896327</v>
      </c>
      <c r="AK238" s="55">
        <f t="shared" si="253"/>
        <v>0.1982701011896327</v>
      </c>
      <c r="AL238" s="55">
        <f t="shared" si="253"/>
        <v>0.1982701011896327</v>
      </c>
      <c r="AM238" s="55">
        <f t="shared" si="253"/>
        <v>0.1982701011896327</v>
      </c>
      <c r="AN238" s="55">
        <f t="shared" si="253"/>
        <v>0.1982701011896327</v>
      </c>
      <c r="AO238" s="55">
        <f t="shared" si="253"/>
        <v>0.1982701011896327</v>
      </c>
      <c r="AP238" s="55">
        <f t="shared" si="253"/>
        <v>0.1982701011896327</v>
      </c>
      <c r="AQ238" s="55">
        <f t="shared" si="253"/>
        <v>0.1982701011896327</v>
      </c>
      <c r="AR238" s="55">
        <f t="shared" si="253"/>
        <v>0.1982701011896327</v>
      </c>
      <c r="AS238" s="55">
        <f t="shared" si="253"/>
        <v>0.1982701011896327</v>
      </c>
      <c r="AT238" s="55">
        <f t="shared" si="253"/>
        <v>0.1982701011896327</v>
      </c>
      <c r="AU238" s="55">
        <f t="shared" si="253"/>
        <v>0.1982701011896327</v>
      </c>
      <c r="AV238" s="55">
        <f t="shared" si="253"/>
        <v>0.1982701011896327</v>
      </c>
      <c r="AW238" s="55">
        <f t="shared" si="253"/>
        <v>0.1982701011896327</v>
      </c>
      <c r="AX238" s="55">
        <f t="shared" si="253"/>
        <v>0.1982701011896327</v>
      </c>
      <c r="AY238" s="55">
        <f t="shared" si="253"/>
        <v>0.1982701011896327</v>
      </c>
      <c r="AZ238" s="55">
        <f t="shared" si="253"/>
        <v>0.1982701011896327</v>
      </c>
      <c r="BA238" s="55">
        <f t="shared" si="253"/>
        <v>0.1982701011896327</v>
      </c>
      <c r="BB238" s="55">
        <f t="shared" si="253"/>
        <v>0.1982701011896327</v>
      </c>
      <c r="BC238" s="55">
        <f t="shared" si="253"/>
        <v>0.1982701011896327</v>
      </c>
      <c r="BD238" s="55">
        <f t="shared" si="253"/>
        <v>0.1982701011896327</v>
      </c>
      <c r="BE238" s="55">
        <f t="shared" si="253"/>
        <v>0.1982701011896327</v>
      </c>
      <c r="BF238" s="55">
        <f t="shared" si="253"/>
        <v>0.1982701011896327</v>
      </c>
      <c r="BG238" s="55">
        <f t="shared" si="253"/>
        <v>0</v>
      </c>
      <c r="BH238" s="55">
        <f t="shared" si="253"/>
        <v>0</v>
      </c>
      <c r="BI238" s="55">
        <f t="shared" si="253"/>
        <v>0</v>
      </c>
      <c r="BJ238" s="55">
        <f t="shared" si="253"/>
        <v>0</v>
      </c>
    </row>
    <row r="239" spans="1:62" x14ac:dyDescent="0.3">
      <c r="A239" s="53" t="str">
        <f t="shared" si="245"/>
        <v>project 9</v>
      </c>
      <c r="C239" s="55">
        <f t="shared" ref="C239:AH239" si="254">IF(AND(C$127&gt;=$K28,C$127&lt;=$L28),$G28*(1+$H28)^(C$127-$B$5),0)</f>
        <v>0</v>
      </c>
      <c r="D239" s="55">
        <f t="shared" si="254"/>
        <v>0</v>
      </c>
      <c r="E239" s="55">
        <f t="shared" si="254"/>
        <v>0</v>
      </c>
      <c r="F239" s="55">
        <f t="shared" si="254"/>
        <v>0</v>
      </c>
      <c r="G239" s="55">
        <f t="shared" si="254"/>
        <v>0</v>
      </c>
      <c r="H239" s="55">
        <f t="shared" si="254"/>
        <v>0</v>
      </c>
      <c r="I239" s="55">
        <f t="shared" si="254"/>
        <v>0</v>
      </c>
      <c r="J239" s="55">
        <f t="shared" si="254"/>
        <v>0</v>
      </c>
      <c r="K239" s="55">
        <f t="shared" si="254"/>
        <v>0</v>
      </c>
      <c r="L239" s="55">
        <f t="shared" si="254"/>
        <v>0</v>
      </c>
      <c r="M239" s="55">
        <f t="shared" si="254"/>
        <v>0</v>
      </c>
      <c r="N239" s="55">
        <f t="shared" si="254"/>
        <v>0</v>
      </c>
      <c r="O239" s="55">
        <f t="shared" si="254"/>
        <v>0</v>
      </c>
      <c r="P239" s="55">
        <f t="shared" si="254"/>
        <v>0</v>
      </c>
      <c r="Q239" s="55">
        <f t="shared" si="254"/>
        <v>0</v>
      </c>
      <c r="R239" s="55">
        <f t="shared" si="254"/>
        <v>0</v>
      </c>
      <c r="S239" s="55">
        <f t="shared" si="254"/>
        <v>0</v>
      </c>
      <c r="T239" s="55">
        <f t="shared" si="254"/>
        <v>0</v>
      </c>
      <c r="U239" s="55">
        <f t="shared" si="254"/>
        <v>0.1586160809517061</v>
      </c>
      <c r="V239" s="55">
        <f t="shared" si="254"/>
        <v>0.1586160809517061</v>
      </c>
      <c r="W239" s="55">
        <f t="shared" si="254"/>
        <v>0.1586160809517061</v>
      </c>
      <c r="X239" s="55">
        <f t="shared" si="254"/>
        <v>0.1586160809517061</v>
      </c>
      <c r="Y239" s="55">
        <f t="shared" si="254"/>
        <v>0.1586160809517061</v>
      </c>
      <c r="Z239" s="55">
        <f t="shared" si="254"/>
        <v>0.1586160809517061</v>
      </c>
      <c r="AA239" s="55">
        <f t="shared" si="254"/>
        <v>0.1586160809517061</v>
      </c>
      <c r="AB239" s="55">
        <f t="shared" si="254"/>
        <v>0.1586160809517061</v>
      </c>
      <c r="AC239" s="55">
        <f t="shared" si="254"/>
        <v>0.1586160809517061</v>
      </c>
      <c r="AD239" s="55">
        <f t="shared" si="254"/>
        <v>0.1586160809517061</v>
      </c>
      <c r="AE239" s="55">
        <f t="shared" si="254"/>
        <v>0.1586160809517061</v>
      </c>
      <c r="AF239" s="55">
        <f t="shared" si="254"/>
        <v>0.1586160809517061</v>
      </c>
      <c r="AG239" s="55">
        <f t="shared" si="254"/>
        <v>0.1586160809517061</v>
      </c>
      <c r="AH239" s="55">
        <f t="shared" si="254"/>
        <v>0.1586160809517061</v>
      </c>
      <c r="AI239" s="55">
        <f t="shared" ref="AI239:BJ239" si="255">IF(AND(AI$127&gt;=$K28,AI$127&lt;=$L28),$G28*(1+$H28)^(AI$127-$B$5),0)</f>
        <v>0.1586160809517061</v>
      </c>
      <c r="AJ239" s="55">
        <f t="shared" si="255"/>
        <v>0.1586160809517061</v>
      </c>
      <c r="AK239" s="55">
        <f t="shared" si="255"/>
        <v>0.1586160809517061</v>
      </c>
      <c r="AL239" s="55">
        <f t="shared" si="255"/>
        <v>0.1586160809517061</v>
      </c>
      <c r="AM239" s="55">
        <f t="shared" si="255"/>
        <v>0.1586160809517061</v>
      </c>
      <c r="AN239" s="55">
        <f t="shared" si="255"/>
        <v>0.1586160809517061</v>
      </c>
      <c r="AO239" s="55">
        <f t="shared" si="255"/>
        <v>0.1586160809517061</v>
      </c>
      <c r="AP239" s="55">
        <f t="shared" si="255"/>
        <v>0.1586160809517061</v>
      </c>
      <c r="AQ239" s="55">
        <f t="shared" si="255"/>
        <v>0.1586160809517061</v>
      </c>
      <c r="AR239" s="55">
        <f t="shared" si="255"/>
        <v>0.1586160809517061</v>
      </c>
      <c r="AS239" s="55">
        <f t="shared" si="255"/>
        <v>0.1586160809517061</v>
      </c>
      <c r="AT239" s="55">
        <f t="shared" si="255"/>
        <v>0.1586160809517061</v>
      </c>
      <c r="AU239" s="55">
        <f t="shared" si="255"/>
        <v>0.1586160809517061</v>
      </c>
      <c r="AV239" s="55">
        <f t="shared" si="255"/>
        <v>0.1586160809517061</v>
      </c>
      <c r="AW239" s="55">
        <f t="shared" si="255"/>
        <v>0.1586160809517061</v>
      </c>
      <c r="AX239" s="55">
        <f t="shared" si="255"/>
        <v>0.1586160809517061</v>
      </c>
      <c r="AY239" s="55">
        <f t="shared" si="255"/>
        <v>0.1586160809517061</v>
      </c>
      <c r="AZ239" s="55">
        <f t="shared" si="255"/>
        <v>0.1586160809517061</v>
      </c>
      <c r="BA239" s="55">
        <f t="shared" si="255"/>
        <v>0.1586160809517061</v>
      </c>
      <c r="BB239" s="55">
        <f t="shared" si="255"/>
        <v>0.1586160809517061</v>
      </c>
      <c r="BC239" s="55">
        <f t="shared" si="255"/>
        <v>0.1586160809517061</v>
      </c>
      <c r="BD239" s="55">
        <f t="shared" si="255"/>
        <v>0.1586160809517061</v>
      </c>
      <c r="BE239" s="55">
        <f t="shared" si="255"/>
        <v>0.1586160809517061</v>
      </c>
      <c r="BF239" s="55">
        <f t="shared" si="255"/>
        <v>0.1586160809517061</v>
      </c>
      <c r="BG239" s="55">
        <f t="shared" si="255"/>
        <v>0.1586160809517061</v>
      </c>
      <c r="BH239" s="55">
        <f t="shared" si="255"/>
        <v>0.1586160809517061</v>
      </c>
      <c r="BI239" s="55">
        <f t="shared" si="255"/>
        <v>0</v>
      </c>
      <c r="BJ239" s="55">
        <f t="shared" si="255"/>
        <v>0</v>
      </c>
    </row>
    <row r="240" spans="1:62" x14ac:dyDescent="0.3">
      <c r="A240" s="53" t="str">
        <f t="shared" si="245"/>
        <v>project 12</v>
      </c>
      <c r="C240" s="55">
        <f t="shared" ref="C240:AH240" si="256">IF(AND(C$127&gt;=$K29,C$127&lt;=$L29),$G29*(1+$H29)^(C$127-$B$5),0)</f>
        <v>0</v>
      </c>
      <c r="D240" s="55">
        <f t="shared" si="256"/>
        <v>0</v>
      </c>
      <c r="E240" s="55">
        <f t="shared" si="256"/>
        <v>0.22790137536902921</v>
      </c>
      <c r="F240" s="55">
        <f t="shared" si="256"/>
        <v>0.22790137536902921</v>
      </c>
      <c r="G240" s="55">
        <f t="shared" si="256"/>
        <v>0.22790137536902921</v>
      </c>
      <c r="H240" s="55">
        <f t="shared" si="256"/>
        <v>0.22790137536902921</v>
      </c>
      <c r="I240" s="55">
        <f t="shared" si="256"/>
        <v>0.22790137536902921</v>
      </c>
      <c r="J240" s="55">
        <f t="shared" si="256"/>
        <v>0.22790137536902921</v>
      </c>
      <c r="K240" s="55">
        <f t="shared" si="256"/>
        <v>0.22790137536902921</v>
      </c>
      <c r="L240" s="55">
        <f t="shared" si="256"/>
        <v>0.22790137536902921</v>
      </c>
      <c r="M240" s="55">
        <f t="shared" si="256"/>
        <v>0.22790137536902921</v>
      </c>
      <c r="N240" s="55">
        <f t="shared" si="256"/>
        <v>0.22790137536902921</v>
      </c>
      <c r="O240" s="55">
        <f t="shared" si="256"/>
        <v>0.22790137536902921</v>
      </c>
      <c r="P240" s="55">
        <f t="shared" si="256"/>
        <v>0.22790137536902921</v>
      </c>
      <c r="Q240" s="55">
        <f t="shared" si="256"/>
        <v>0.22790137536902921</v>
      </c>
      <c r="R240" s="55">
        <f t="shared" si="256"/>
        <v>0.22790137536902921</v>
      </c>
      <c r="S240" s="55">
        <f t="shared" si="256"/>
        <v>0.22790137536902921</v>
      </c>
      <c r="T240" s="55">
        <f t="shared" si="256"/>
        <v>0.22790137536902921</v>
      </c>
      <c r="U240" s="55">
        <f t="shared" si="256"/>
        <v>0.22790137536902921</v>
      </c>
      <c r="V240" s="55">
        <f t="shared" si="256"/>
        <v>0.22790137536902921</v>
      </c>
      <c r="W240" s="55">
        <f t="shared" si="256"/>
        <v>0.22790137536902921</v>
      </c>
      <c r="X240" s="55">
        <f t="shared" si="256"/>
        <v>0.22790137536902921</v>
      </c>
      <c r="Y240" s="55">
        <f t="shared" si="256"/>
        <v>0.22790137536902921</v>
      </c>
      <c r="Z240" s="55">
        <f t="shared" si="256"/>
        <v>0.22790137536902921</v>
      </c>
      <c r="AA240" s="55">
        <f t="shared" si="256"/>
        <v>0.22790137536902921</v>
      </c>
      <c r="AB240" s="55">
        <f t="shared" si="256"/>
        <v>0.22790137536902921</v>
      </c>
      <c r="AC240" s="55">
        <f t="shared" si="256"/>
        <v>0.22790137536902921</v>
      </c>
      <c r="AD240" s="55">
        <f t="shared" si="256"/>
        <v>0.22790137536902921</v>
      </c>
      <c r="AE240" s="55">
        <f t="shared" si="256"/>
        <v>0.22790137536902921</v>
      </c>
      <c r="AF240" s="55">
        <f t="shared" si="256"/>
        <v>0.22790137536902921</v>
      </c>
      <c r="AG240" s="55">
        <f t="shared" si="256"/>
        <v>0.22790137536902921</v>
      </c>
      <c r="AH240" s="55">
        <f t="shared" si="256"/>
        <v>0.22790137536902921</v>
      </c>
      <c r="AI240" s="55">
        <f t="shared" ref="AI240:BJ240" si="257">IF(AND(AI$127&gt;=$K29,AI$127&lt;=$L29),$G29*(1+$H29)^(AI$127-$B$5),0)</f>
        <v>0.22790137536902921</v>
      </c>
      <c r="AJ240" s="55">
        <f t="shared" si="257"/>
        <v>0.22790137536902921</v>
      </c>
      <c r="AK240" s="55">
        <f t="shared" si="257"/>
        <v>0.22790137536902921</v>
      </c>
      <c r="AL240" s="55">
        <f t="shared" si="257"/>
        <v>0.22790137536902921</v>
      </c>
      <c r="AM240" s="55">
        <f t="shared" si="257"/>
        <v>0.22790137536902921</v>
      </c>
      <c r="AN240" s="55">
        <f t="shared" si="257"/>
        <v>0.22790137536902921</v>
      </c>
      <c r="AO240" s="55">
        <f t="shared" si="257"/>
        <v>0.22790137536902921</v>
      </c>
      <c r="AP240" s="55">
        <f t="shared" si="257"/>
        <v>0.22790137536902921</v>
      </c>
      <c r="AQ240" s="55">
        <f t="shared" si="257"/>
        <v>0.22790137536902921</v>
      </c>
      <c r="AR240" s="55">
        <f t="shared" si="257"/>
        <v>0.22790137536902921</v>
      </c>
      <c r="AS240" s="55">
        <f t="shared" si="257"/>
        <v>0</v>
      </c>
      <c r="AT240" s="55">
        <f t="shared" si="257"/>
        <v>0</v>
      </c>
      <c r="AU240" s="55">
        <f t="shared" si="257"/>
        <v>0</v>
      </c>
      <c r="AV240" s="55">
        <f t="shared" si="257"/>
        <v>0</v>
      </c>
      <c r="AW240" s="55">
        <f t="shared" si="257"/>
        <v>0</v>
      </c>
      <c r="AX240" s="55">
        <f t="shared" si="257"/>
        <v>0</v>
      </c>
      <c r="AY240" s="55">
        <f t="shared" si="257"/>
        <v>0</v>
      </c>
      <c r="AZ240" s="55">
        <f t="shared" si="257"/>
        <v>0</v>
      </c>
      <c r="BA240" s="55">
        <f t="shared" si="257"/>
        <v>0</v>
      </c>
      <c r="BB240" s="55">
        <f t="shared" si="257"/>
        <v>0</v>
      </c>
      <c r="BC240" s="55">
        <f t="shared" si="257"/>
        <v>0</v>
      </c>
      <c r="BD240" s="55">
        <f t="shared" si="257"/>
        <v>0</v>
      </c>
      <c r="BE240" s="55">
        <f t="shared" si="257"/>
        <v>0</v>
      </c>
      <c r="BF240" s="55">
        <f t="shared" si="257"/>
        <v>0</v>
      </c>
      <c r="BG240" s="55">
        <f t="shared" si="257"/>
        <v>0</v>
      </c>
      <c r="BH240" s="55">
        <f t="shared" si="257"/>
        <v>0</v>
      </c>
      <c r="BI240" s="55">
        <f t="shared" si="257"/>
        <v>0</v>
      </c>
      <c r="BJ240" s="55">
        <f t="shared" si="257"/>
        <v>0</v>
      </c>
    </row>
    <row r="241" spans="1:62" x14ac:dyDescent="0.3">
      <c r="A241" s="53" t="str">
        <f t="shared" si="245"/>
        <v>project 16</v>
      </c>
      <c r="C241" s="55">
        <f t="shared" ref="C241:AH241" si="258">IF(AND(C$127&gt;=$K30,C$127&lt;=$L30),$G30*(1+$H30)^(C$127-$B$5),0)</f>
        <v>0</v>
      </c>
      <c r="D241" s="55">
        <f t="shared" si="258"/>
        <v>0</v>
      </c>
      <c r="E241" s="55">
        <f t="shared" si="258"/>
        <v>0</v>
      </c>
      <c r="F241" s="55">
        <f t="shared" si="258"/>
        <v>0</v>
      </c>
      <c r="G241" s="55">
        <f t="shared" si="258"/>
        <v>0</v>
      </c>
      <c r="H241" s="55">
        <f t="shared" si="258"/>
        <v>0</v>
      </c>
      <c r="I241" s="55">
        <f t="shared" si="258"/>
        <v>0</v>
      </c>
      <c r="J241" s="55">
        <f t="shared" si="258"/>
        <v>0</v>
      </c>
      <c r="K241" s="55">
        <f t="shared" si="258"/>
        <v>0</v>
      </c>
      <c r="L241" s="55">
        <f t="shared" si="258"/>
        <v>0</v>
      </c>
      <c r="M241" s="55">
        <f t="shared" si="258"/>
        <v>0</v>
      </c>
      <c r="N241" s="55">
        <f t="shared" si="258"/>
        <v>0</v>
      </c>
      <c r="O241" s="55">
        <f t="shared" si="258"/>
        <v>0.13116756814301339</v>
      </c>
      <c r="P241" s="55">
        <f t="shared" si="258"/>
        <v>0.13116756814301339</v>
      </c>
      <c r="Q241" s="55">
        <f t="shared" si="258"/>
        <v>0.13116756814301339</v>
      </c>
      <c r="R241" s="55">
        <f t="shared" si="258"/>
        <v>0.13116756814301339</v>
      </c>
      <c r="S241" s="55">
        <f t="shared" si="258"/>
        <v>0.13116756814301339</v>
      </c>
      <c r="T241" s="55">
        <f t="shared" si="258"/>
        <v>0.13116756814301339</v>
      </c>
      <c r="U241" s="55">
        <f t="shared" si="258"/>
        <v>0.13116756814301339</v>
      </c>
      <c r="V241" s="55">
        <f t="shared" si="258"/>
        <v>0.13116756814301339</v>
      </c>
      <c r="W241" s="55">
        <f t="shared" si="258"/>
        <v>0.13116756814301339</v>
      </c>
      <c r="X241" s="55">
        <f t="shared" si="258"/>
        <v>0.13116756814301339</v>
      </c>
      <c r="Y241" s="55">
        <f t="shared" si="258"/>
        <v>0.13116756814301339</v>
      </c>
      <c r="Z241" s="55">
        <f t="shared" si="258"/>
        <v>0.13116756814301339</v>
      </c>
      <c r="AA241" s="55">
        <f t="shared" si="258"/>
        <v>0.13116756814301339</v>
      </c>
      <c r="AB241" s="55">
        <f t="shared" si="258"/>
        <v>0.13116756814301339</v>
      </c>
      <c r="AC241" s="55">
        <f t="shared" si="258"/>
        <v>0.13116756814301339</v>
      </c>
      <c r="AD241" s="55">
        <f t="shared" si="258"/>
        <v>0.13116756814301339</v>
      </c>
      <c r="AE241" s="55">
        <f t="shared" si="258"/>
        <v>0.13116756814301339</v>
      </c>
      <c r="AF241" s="55">
        <f t="shared" si="258"/>
        <v>0.13116756814301339</v>
      </c>
      <c r="AG241" s="55">
        <f t="shared" si="258"/>
        <v>0.13116756814301339</v>
      </c>
      <c r="AH241" s="55">
        <f t="shared" si="258"/>
        <v>0.13116756814301339</v>
      </c>
      <c r="AI241" s="55">
        <f t="shared" ref="AI241:BJ241" si="259">IF(AND(AI$127&gt;=$K30,AI$127&lt;=$L30),$G30*(1+$H30)^(AI$127-$B$5),0)</f>
        <v>0.13116756814301339</v>
      </c>
      <c r="AJ241" s="55">
        <f t="shared" si="259"/>
        <v>0.13116756814301339</v>
      </c>
      <c r="AK241" s="55">
        <f t="shared" si="259"/>
        <v>0.13116756814301339</v>
      </c>
      <c r="AL241" s="55">
        <f t="shared" si="259"/>
        <v>0.13116756814301339</v>
      </c>
      <c r="AM241" s="55">
        <f t="shared" si="259"/>
        <v>0.13116756814301339</v>
      </c>
      <c r="AN241" s="55">
        <f t="shared" si="259"/>
        <v>0.13116756814301339</v>
      </c>
      <c r="AO241" s="55">
        <f t="shared" si="259"/>
        <v>0.13116756814301339</v>
      </c>
      <c r="AP241" s="55">
        <f t="shared" si="259"/>
        <v>0.13116756814301339</v>
      </c>
      <c r="AQ241" s="55">
        <f t="shared" si="259"/>
        <v>0.13116756814301339</v>
      </c>
      <c r="AR241" s="55">
        <f t="shared" si="259"/>
        <v>0.13116756814301339</v>
      </c>
      <c r="AS241" s="55">
        <f t="shared" si="259"/>
        <v>0.13116756814301339</v>
      </c>
      <c r="AT241" s="55">
        <f t="shared" si="259"/>
        <v>0.13116756814301339</v>
      </c>
      <c r="AU241" s="55">
        <f t="shared" si="259"/>
        <v>0.13116756814301339</v>
      </c>
      <c r="AV241" s="55">
        <f t="shared" si="259"/>
        <v>0.13116756814301339</v>
      </c>
      <c r="AW241" s="55">
        <f t="shared" si="259"/>
        <v>0.13116756814301339</v>
      </c>
      <c r="AX241" s="55">
        <f t="shared" si="259"/>
        <v>0.13116756814301339</v>
      </c>
      <c r="AY241" s="55">
        <f t="shared" si="259"/>
        <v>0.13116756814301339</v>
      </c>
      <c r="AZ241" s="55">
        <f t="shared" si="259"/>
        <v>0.13116756814301339</v>
      </c>
      <c r="BA241" s="55">
        <f t="shared" si="259"/>
        <v>0.13116756814301339</v>
      </c>
      <c r="BB241" s="55">
        <f t="shared" si="259"/>
        <v>0.13116756814301339</v>
      </c>
      <c r="BC241" s="55">
        <f t="shared" si="259"/>
        <v>0</v>
      </c>
      <c r="BD241" s="55">
        <f t="shared" si="259"/>
        <v>0</v>
      </c>
      <c r="BE241" s="55">
        <f t="shared" si="259"/>
        <v>0</v>
      </c>
      <c r="BF241" s="55">
        <f t="shared" si="259"/>
        <v>0</v>
      </c>
      <c r="BG241" s="55">
        <f t="shared" si="259"/>
        <v>0</v>
      </c>
      <c r="BH241" s="55">
        <f t="shared" si="259"/>
        <v>0</v>
      </c>
      <c r="BI241" s="55">
        <f t="shared" si="259"/>
        <v>0</v>
      </c>
      <c r="BJ241" s="55">
        <f t="shared" si="259"/>
        <v>0</v>
      </c>
    </row>
    <row r="242" spans="1:62" x14ac:dyDescent="0.3">
      <c r="A242" s="53" t="str">
        <f t="shared" si="245"/>
        <v>project 19</v>
      </c>
      <c r="C242" s="55">
        <f t="shared" ref="C242:AH242" si="260">IF(AND(C$127&gt;=$K31,C$127&lt;=$L31),$G31*(1+$H31)^(C$127-$B$5),0)</f>
        <v>0</v>
      </c>
      <c r="D242" s="55">
        <f t="shared" si="260"/>
        <v>0</v>
      </c>
      <c r="E242" s="55">
        <f t="shared" si="260"/>
        <v>0</v>
      </c>
      <c r="F242" s="55">
        <f t="shared" si="260"/>
        <v>0</v>
      </c>
      <c r="G242" s="55">
        <f t="shared" si="260"/>
        <v>0</v>
      </c>
      <c r="H242" s="55">
        <f t="shared" si="260"/>
        <v>0</v>
      </c>
      <c r="I242" s="55">
        <f t="shared" si="260"/>
        <v>0</v>
      </c>
      <c r="J242" s="55">
        <f t="shared" si="260"/>
        <v>0</v>
      </c>
      <c r="K242" s="55">
        <f t="shared" si="260"/>
        <v>0</v>
      </c>
      <c r="L242" s="55">
        <f t="shared" si="260"/>
        <v>0</v>
      </c>
      <c r="M242" s="55">
        <f t="shared" si="260"/>
        <v>0</v>
      </c>
      <c r="N242" s="55">
        <f t="shared" si="260"/>
        <v>0</v>
      </c>
      <c r="O242" s="55">
        <f t="shared" si="260"/>
        <v>0.104726267448364</v>
      </c>
      <c r="P242" s="55">
        <f t="shared" si="260"/>
        <v>0.104726267448364</v>
      </c>
      <c r="Q242" s="55">
        <f t="shared" si="260"/>
        <v>0.104726267448364</v>
      </c>
      <c r="R242" s="55">
        <f t="shared" si="260"/>
        <v>0.104726267448364</v>
      </c>
      <c r="S242" s="55">
        <f t="shared" si="260"/>
        <v>0.104726267448364</v>
      </c>
      <c r="T242" s="55">
        <f t="shared" si="260"/>
        <v>0.104726267448364</v>
      </c>
      <c r="U242" s="55">
        <f t="shared" si="260"/>
        <v>0.104726267448364</v>
      </c>
      <c r="V242" s="55">
        <f t="shared" si="260"/>
        <v>0.104726267448364</v>
      </c>
      <c r="W242" s="55">
        <f t="shared" si="260"/>
        <v>0.104726267448364</v>
      </c>
      <c r="X242" s="55">
        <f t="shared" si="260"/>
        <v>0.104726267448364</v>
      </c>
      <c r="Y242" s="55">
        <f t="shared" si="260"/>
        <v>0.104726267448364</v>
      </c>
      <c r="Z242" s="55">
        <f t="shared" si="260"/>
        <v>0.104726267448364</v>
      </c>
      <c r="AA242" s="55">
        <f t="shared" si="260"/>
        <v>0.104726267448364</v>
      </c>
      <c r="AB242" s="55">
        <f t="shared" si="260"/>
        <v>0.104726267448364</v>
      </c>
      <c r="AC242" s="55">
        <f t="shared" si="260"/>
        <v>0.104726267448364</v>
      </c>
      <c r="AD242" s="55">
        <f t="shared" si="260"/>
        <v>0.104726267448364</v>
      </c>
      <c r="AE242" s="55">
        <f t="shared" si="260"/>
        <v>0.104726267448364</v>
      </c>
      <c r="AF242" s="55">
        <f t="shared" si="260"/>
        <v>0.104726267448364</v>
      </c>
      <c r="AG242" s="55">
        <f t="shared" si="260"/>
        <v>0.104726267448364</v>
      </c>
      <c r="AH242" s="55">
        <f t="shared" si="260"/>
        <v>0.104726267448364</v>
      </c>
      <c r="AI242" s="55">
        <f t="shared" ref="AI242:BJ242" si="261">IF(AND(AI$127&gt;=$K31,AI$127&lt;=$L31),$G31*(1+$H31)^(AI$127-$B$5),0)</f>
        <v>0.104726267448364</v>
      </c>
      <c r="AJ242" s="55">
        <f t="shared" si="261"/>
        <v>0.104726267448364</v>
      </c>
      <c r="AK242" s="55">
        <f t="shared" si="261"/>
        <v>0.104726267448364</v>
      </c>
      <c r="AL242" s="55">
        <f t="shared" si="261"/>
        <v>0.104726267448364</v>
      </c>
      <c r="AM242" s="55">
        <f t="shared" si="261"/>
        <v>0.104726267448364</v>
      </c>
      <c r="AN242" s="55">
        <f t="shared" si="261"/>
        <v>0.104726267448364</v>
      </c>
      <c r="AO242" s="55">
        <f t="shared" si="261"/>
        <v>0.104726267448364</v>
      </c>
      <c r="AP242" s="55">
        <f t="shared" si="261"/>
        <v>0.104726267448364</v>
      </c>
      <c r="AQ242" s="55">
        <f t="shared" si="261"/>
        <v>0.104726267448364</v>
      </c>
      <c r="AR242" s="55">
        <f t="shared" si="261"/>
        <v>0.104726267448364</v>
      </c>
      <c r="AS242" s="55">
        <f t="shared" si="261"/>
        <v>0.104726267448364</v>
      </c>
      <c r="AT242" s="55">
        <f t="shared" si="261"/>
        <v>0.104726267448364</v>
      </c>
      <c r="AU242" s="55">
        <f t="shared" si="261"/>
        <v>0.104726267448364</v>
      </c>
      <c r="AV242" s="55">
        <f t="shared" si="261"/>
        <v>0.104726267448364</v>
      </c>
      <c r="AW242" s="55">
        <f t="shared" si="261"/>
        <v>0.104726267448364</v>
      </c>
      <c r="AX242" s="55">
        <f t="shared" si="261"/>
        <v>0.104726267448364</v>
      </c>
      <c r="AY242" s="55">
        <f t="shared" si="261"/>
        <v>0.104726267448364</v>
      </c>
      <c r="AZ242" s="55">
        <f t="shared" si="261"/>
        <v>0.104726267448364</v>
      </c>
      <c r="BA242" s="55">
        <f t="shared" si="261"/>
        <v>0.104726267448364</v>
      </c>
      <c r="BB242" s="55">
        <f t="shared" si="261"/>
        <v>0.104726267448364</v>
      </c>
      <c r="BC242" s="55">
        <f t="shared" si="261"/>
        <v>0</v>
      </c>
      <c r="BD242" s="55">
        <f t="shared" si="261"/>
        <v>0</v>
      </c>
      <c r="BE242" s="55">
        <f t="shared" si="261"/>
        <v>0</v>
      </c>
      <c r="BF242" s="55">
        <f t="shared" si="261"/>
        <v>0</v>
      </c>
      <c r="BG242" s="55">
        <f t="shared" si="261"/>
        <v>0</v>
      </c>
      <c r="BH242" s="55">
        <f t="shared" si="261"/>
        <v>0</v>
      </c>
      <c r="BI242" s="55">
        <f t="shared" si="261"/>
        <v>0</v>
      </c>
      <c r="BJ242" s="55">
        <f t="shared" si="261"/>
        <v>0</v>
      </c>
    </row>
    <row r="243" spans="1:62" x14ac:dyDescent="0.3">
      <c r="A243" s="53" t="str">
        <f t="shared" si="245"/>
        <v>project 20</v>
      </c>
      <c r="C243" s="55">
        <f t="shared" ref="C243:AH243" si="262">IF(AND(C$127&gt;=$K32,C$127&lt;=$L32),$G32*(1+$H32)^(C$127-$B$5),0)</f>
        <v>0</v>
      </c>
      <c r="D243" s="55">
        <f t="shared" si="262"/>
        <v>0</v>
      </c>
      <c r="E243" s="55">
        <f t="shared" si="262"/>
        <v>0.1136407713911908</v>
      </c>
      <c r="F243" s="55">
        <f t="shared" si="262"/>
        <v>0.1136407713911908</v>
      </c>
      <c r="G243" s="55">
        <f t="shared" si="262"/>
        <v>0.1136407713911908</v>
      </c>
      <c r="H243" s="55">
        <f t="shared" si="262"/>
        <v>0.1136407713911908</v>
      </c>
      <c r="I243" s="55">
        <f t="shared" si="262"/>
        <v>0.1136407713911908</v>
      </c>
      <c r="J243" s="55">
        <f t="shared" si="262"/>
        <v>0.1136407713911908</v>
      </c>
      <c r="K243" s="55">
        <f t="shared" si="262"/>
        <v>0.1136407713911908</v>
      </c>
      <c r="L243" s="55">
        <f t="shared" si="262"/>
        <v>0.1136407713911908</v>
      </c>
      <c r="M243" s="55">
        <f t="shared" si="262"/>
        <v>0.1136407713911908</v>
      </c>
      <c r="N243" s="55">
        <f t="shared" si="262"/>
        <v>0.1136407713911908</v>
      </c>
      <c r="O243" s="55">
        <f t="shared" si="262"/>
        <v>0.1136407713911908</v>
      </c>
      <c r="P243" s="55">
        <f t="shared" si="262"/>
        <v>0.1136407713911908</v>
      </c>
      <c r="Q243" s="55">
        <f t="shared" si="262"/>
        <v>0.1136407713911908</v>
      </c>
      <c r="R243" s="55">
        <f t="shared" si="262"/>
        <v>0.1136407713911908</v>
      </c>
      <c r="S243" s="55">
        <f t="shared" si="262"/>
        <v>0.1136407713911908</v>
      </c>
      <c r="T243" s="55">
        <f t="shared" si="262"/>
        <v>0.1136407713911908</v>
      </c>
      <c r="U243" s="55">
        <f t="shared" si="262"/>
        <v>0.1136407713911908</v>
      </c>
      <c r="V243" s="55">
        <f t="shared" si="262"/>
        <v>0.1136407713911908</v>
      </c>
      <c r="W243" s="55">
        <f t="shared" si="262"/>
        <v>0.1136407713911908</v>
      </c>
      <c r="X243" s="55">
        <f t="shared" si="262"/>
        <v>0.1136407713911908</v>
      </c>
      <c r="Y243" s="55">
        <f t="shared" si="262"/>
        <v>0.1136407713911908</v>
      </c>
      <c r="Z243" s="55">
        <f t="shared" si="262"/>
        <v>0.1136407713911908</v>
      </c>
      <c r="AA243" s="55">
        <f t="shared" si="262"/>
        <v>0.1136407713911908</v>
      </c>
      <c r="AB243" s="55">
        <f t="shared" si="262"/>
        <v>0.1136407713911908</v>
      </c>
      <c r="AC243" s="55">
        <f t="shared" si="262"/>
        <v>0.1136407713911908</v>
      </c>
      <c r="AD243" s="55">
        <f t="shared" si="262"/>
        <v>0.1136407713911908</v>
      </c>
      <c r="AE243" s="55">
        <f t="shared" si="262"/>
        <v>0.1136407713911908</v>
      </c>
      <c r="AF243" s="55">
        <f t="shared" si="262"/>
        <v>0.1136407713911908</v>
      </c>
      <c r="AG243" s="55">
        <f t="shared" si="262"/>
        <v>0.1136407713911908</v>
      </c>
      <c r="AH243" s="55">
        <f t="shared" si="262"/>
        <v>0.1136407713911908</v>
      </c>
      <c r="AI243" s="55">
        <f t="shared" ref="AI243:BJ243" si="263">IF(AND(AI$127&gt;=$K32,AI$127&lt;=$L32),$G32*(1+$H32)^(AI$127-$B$5),0)</f>
        <v>0.1136407713911908</v>
      </c>
      <c r="AJ243" s="55">
        <f t="shared" si="263"/>
        <v>0.1136407713911908</v>
      </c>
      <c r="AK243" s="55">
        <f t="shared" si="263"/>
        <v>0.1136407713911908</v>
      </c>
      <c r="AL243" s="55">
        <f t="shared" si="263"/>
        <v>0.1136407713911908</v>
      </c>
      <c r="AM243" s="55">
        <f t="shared" si="263"/>
        <v>0.1136407713911908</v>
      </c>
      <c r="AN243" s="55">
        <f t="shared" si="263"/>
        <v>0.1136407713911908</v>
      </c>
      <c r="AO243" s="55">
        <f t="shared" si="263"/>
        <v>0.1136407713911908</v>
      </c>
      <c r="AP243" s="55">
        <f t="shared" si="263"/>
        <v>0.1136407713911908</v>
      </c>
      <c r="AQ243" s="55">
        <f t="shared" si="263"/>
        <v>0.1136407713911908</v>
      </c>
      <c r="AR243" s="55">
        <f t="shared" si="263"/>
        <v>0.1136407713911908</v>
      </c>
      <c r="AS243" s="55">
        <f t="shared" si="263"/>
        <v>0</v>
      </c>
      <c r="AT243" s="55">
        <f t="shared" si="263"/>
        <v>0</v>
      </c>
      <c r="AU243" s="55">
        <f t="shared" si="263"/>
        <v>0</v>
      </c>
      <c r="AV243" s="55">
        <f t="shared" si="263"/>
        <v>0</v>
      </c>
      <c r="AW243" s="55">
        <f t="shared" si="263"/>
        <v>0</v>
      </c>
      <c r="AX243" s="55">
        <f t="shared" si="263"/>
        <v>0</v>
      </c>
      <c r="AY243" s="55">
        <f t="shared" si="263"/>
        <v>0</v>
      </c>
      <c r="AZ243" s="55">
        <f t="shared" si="263"/>
        <v>0</v>
      </c>
      <c r="BA243" s="55">
        <f t="shared" si="263"/>
        <v>0</v>
      </c>
      <c r="BB243" s="55">
        <f t="shared" si="263"/>
        <v>0</v>
      </c>
      <c r="BC243" s="55">
        <f t="shared" si="263"/>
        <v>0</v>
      </c>
      <c r="BD243" s="55">
        <f t="shared" si="263"/>
        <v>0</v>
      </c>
      <c r="BE243" s="55">
        <f t="shared" si="263"/>
        <v>0</v>
      </c>
      <c r="BF243" s="55">
        <f t="shared" si="263"/>
        <v>0</v>
      </c>
      <c r="BG243" s="55">
        <f t="shared" si="263"/>
        <v>0</v>
      </c>
      <c r="BH243" s="55">
        <f t="shared" si="263"/>
        <v>0</v>
      </c>
      <c r="BI243" s="55">
        <f t="shared" si="263"/>
        <v>0</v>
      </c>
      <c r="BJ243" s="55">
        <f t="shared" si="263"/>
        <v>0</v>
      </c>
    </row>
    <row r="244" spans="1:62" x14ac:dyDescent="0.3">
      <c r="A244" s="53" t="str">
        <f t="shared" si="245"/>
        <v>project 22</v>
      </c>
      <c r="C244" s="55">
        <f t="shared" ref="C244:AH244" si="264">IF(AND(C$127&gt;=$K33,C$127&lt;=$L33),$G33*(1+$H33)^(C$127-$B$5),0)</f>
        <v>0</v>
      </c>
      <c r="D244" s="55">
        <f t="shared" si="264"/>
        <v>0</v>
      </c>
      <c r="E244" s="55">
        <f t="shared" si="264"/>
        <v>0.19113378070053921</v>
      </c>
      <c r="F244" s="55">
        <f t="shared" si="264"/>
        <v>0.19113378070053921</v>
      </c>
      <c r="G244" s="55">
        <f t="shared" si="264"/>
        <v>0.19113378070053921</v>
      </c>
      <c r="H244" s="55">
        <f t="shared" si="264"/>
        <v>0.19113378070053921</v>
      </c>
      <c r="I244" s="55">
        <f t="shared" si="264"/>
        <v>0.19113378070053921</v>
      </c>
      <c r="J244" s="55">
        <f t="shared" si="264"/>
        <v>0.19113378070053921</v>
      </c>
      <c r="K244" s="55">
        <f t="shared" si="264"/>
        <v>0.19113378070053921</v>
      </c>
      <c r="L244" s="55">
        <f t="shared" si="264"/>
        <v>0.19113378070053921</v>
      </c>
      <c r="M244" s="55">
        <f t="shared" si="264"/>
        <v>0.19113378070053921</v>
      </c>
      <c r="N244" s="55">
        <f t="shared" si="264"/>
        <v>0.19113378070053921</v>
      </c>
      <c r="O244" s="55">
        <f t="shared" si="264"/>
        <v>0.19113378070053921</v>
      </c>
      <c r="P244" s="55">
        <f t="shared" si="264"/>
        <v>0.19113378070053921</v>
      </c>
      <c r="Q244" s="55">
        <f t="shared" si="264"/>
        <v>0.19113378070053921</v>
      </c>
      <c r="R244" s="55">
        <f t="shared" si="264"/>
        <v>0.19113378070053921</v>
      </c>
      <c r="S244" s="55">
        <f t="shared" si="264"/>
        <v>0.19113378070053921</v>
      </c>
      <c r="T244" s="55">
        <f t="shared" si="264"/>
        <v>0.19113378070053921</v>
      </c>
      <c r="U244" s="55">
        <f t="shared" si="264"/>
        <v>0.19113378070053921</v>
      </c>
      <c r="V244" s="55">
        <f t="shared" si="264"/>
        <v>0.19113378070053921</v>
      </c>
      <c r="W244" s="55">
        <f t="shared" si="264"/>
        <v>0.19113378070053921</v>
      </c>
      <c r="X244" s="55">
        <f t="shared" si="264"/>
        <v>0.19113378070053921</v>
      </c>
      <c r="Y244" s="55">
        <f t="shared" si="264"/>
        <v>0.19113378070053921</v>
      </c>
      <c r="Z244" s="55">
        <f t="shared" si="264"/>
        <v>0.19113378070053921</v>
      </c>
      <c r="AA244" s="55">
        <f t="shared" si="264"/>
        <v>0.19113378070053921</v>
      </c>
      <c r="AB244" s="55">
        <f t="shared" si="264"/>
        <v>0.19113378070053921</v>
      </c>
      <c r="AC244" s="55">
        <f t="shared" si="264"/>
        <v>0.19113378070053921</v>
      </c>
      <c r="AD244" s="55">
        <f t="shared" si="264"/>
        <v>0.19113378070053921</v>
      </c>
      <c r="AE244" s="55">
        <f t="shared" si="264"/>
        <v>0.19113378070053921</v>
      </c>
      <c r="AF244" s="55">
        <f t="shared" si="264"/>
        <v>0.19113378070053921</v>
      </c>
      <c r="AG244" s="55">
        <f t="shared" si="264"/>
        <v>0.19113378070053921</v>
      </c>
      <c r="AH244" s="55">
        <f t="shared" si="264"/>
        <v>0.19113378070053921</v>
      </c>
      <c r="AI244" s="55">
        <f t="shared" ref="AI244:BJ244" si="265">IF(AND(AI$127&gt;=$K33,AI$127&lt;=$L33),$G33*(1+$H33)^(AI$127-$B$5),0)</f>
        <v>0.19113378070053921</v>
      </c>
      <c r="AJ244" s="55">
        <f t="shared" si="265"/>
        <v>0.19113378070053921</v>
      </c>
      <c r="AK244" s="55">
        <f t="shared" si="265"/>
        <v>0.19113378070053921</v>
      </c>
      <c r="AL244" s="55">
        <f t="shared" si="265"/>
        <v>0.19113378070053921</v>
      </c>
      <c r="AM244" s="55">
        <f t="shared" si="265"/>
        <v>0.19113378070053921</v>
      </c>
      <c r="AN244" s="55">
        <f t="shared" si="265"/>
        <v>0.19113378070053921</v>
      </c>
      <c r="AO244" s="55">
        <f t="shared" si="265"/>
        <v>0.19113378070053921</v>
      </c>
      <c r="AP244" s="55">
        <f t="shared" si="265"/>
        <v>0.19113378070053921</v>
      </c>
      <c r="AQ244" s="55">
        <f t="shared" si="265"/>
        <v>0.19113378070053921</v>
      </c>
      <c r="AR244" s="55">
        <f t="shared" si="265"/>
        <v>0.19113378070053921</v>
      </c>
      <c r="AS244" s="55">
        <f t="shared" si="265"/>
        <v>0</v>
      </c>
      <c r="AT244" s="55">
        <f t="shared" si="265"/>
        <v>0</v>
      </c>
      <c r="AU244" s="55">
        <f t="shared" si="265"/>
        <v>0</v>
      </c>
      <c r="AV244" s="55">
        <f t="shared" si="265"/>
        <v>0</v>
      </c>
      <c r="AW244" s="55">
        <f t="shared" si="265"/>
        <v>0</v>
      </c>
      <c r="AX244" s="55">
        <f t="shared" si="265"/>
        <v>0</v>
      </c>
      <c r="AY244" s="55">
        <f t="shared" si="265"/>
        <v>0</v>
      </c>
      <c r="AZ244" s="55">
        <f t="shared" si="265"/>
        <v>0</v>
      </c>
      <c r="BA244" s="55">
        <f t="shared" si="265"/>
        <v>0</v>
      </c>
      <c r="BB244" s="55">
        <f t="shared" si="265"/>
        <v>0</v>
      </c>
      <c r="BC244" s="55">
        <f t="shared" si="265"/>
        <v>0</v>
      </c>
      <c r="BD244" s="55">
        <f t="shared" si="265"/>
        <v>0</v>
      </c>
      <c r="BE244" s="55">
        <f t="shared" si="265"/>
        <v>0</v>
      </c>
      <c r="BF244" s="55">
        <f t="shared" si="265"/>
        <v>0</v>
      </c>
      <c r="BG244" s="55">
        <f t="shared" si="265"/>
        <v>0</v>
      </c>
      <c r="BH244" s="55">
        <f t="shared" si="265"/>
        <v>0</v>
      </c>
      <c r="BI244" s="55">
        <f t="shared" si="265"/>
        <v>0</v>
      </c>
      <c r="BJ244" s="55">
        <f t="shared" si="265"/>
        <v>0</v>
      </c>
    </row>
    <row r="245" spans="1:62" x14ac:dyDescent="0.3">
      <c r="A245" s="53" t="str">
        <f t="shared" si="245"/>
        <v>project 23</v>
      </c>
      <c r="C245" s="55">
        <f t="shared" ref="C245:AH245" si="266">IF(AND(C$127&gt;=$K34,C$127&lt;=$L34),$G34*(1+$H34)^(C$127-$B$5),0)</f>
        <v>0</v>
      </c>
      <c r="D245" s="55">
        <f t="shared" si="266"/>
        <v>0</v>
      </c>
      <c r="E245" s="55">
        <f t="shared" si="266"/>
        <v>0</v>
      </c>
      <c r="F245" s="55">
        <f t="shared" si="266"/>
        <v>0</v>
      </c>
      <c r="G245" s="55">
        <f t="shared" si="266"/>
        <v>0</v>
      </c>
      <c r="H245" s="55">
        <f t="shared" si="266"/>
        <v>0</v>
      </c>
      <c r="I245" s="55">
        <f t="shared" si="266"/>
        <v>0</v>
      </c>
      <c r="J245" s="55">
        <f t="shared" si="266"/>
        <v>0</v>
      </c>
      <c r="K245" s="55">
        <f t="shared" si="266"/>
        <v>0</v>
      </c>
      <c r="L245" s="55">
        <f t="shared" si="266"/>
        <v>0</v>
      </c>
      <c r="M245" s="55">
        <f t="shared" si="266"/>
        <v>0</v>
      </c>
      <c r="N245" s="55">
        <f t="shared" si="266"/>
        <v>0</v>
      </c>
      <c r="O245" s="55">
        <f t="shared" si="266"/>
        <v>3.9733328278402397E-2</v>
      </c>
      <c r="P245" s="55">
        <f t="shared" si="266"/>
        <v>3.9733328278402397E-2</v>
      </c>
      <c r="Q245" s="55">
        <f t="shared" si="266"/>
        <v>3.9733328278402397E-2</v>
      </c>
      <c r="R245" s="55">
        <f t="shared" si="266"/>
        <v>3.9733328278402397E-2</v>
      </c>
      <c r="S245" s="55">
        <f t="shared" si="266"/>
        <v>3.9733328278402397E-2</v>
      </c>
      <c r="T245" s="55">
        <f t="shared" si="266"/>
        <v>3.9733328278402397E-2</v>
      </c>
      <c r="U245" s="55">
        <f t="shared" si="266"/>
        <v>3.9733328278402397E-2</v>
      </c>
      <c r="V245" s="55">
        <f t="shared" si="266"/>
        <v>3.9733328278402397E-2</v>
      </c>
      <c r="W245" s="55">
        <f t="shared" si="266"/>
        <v>3.9733328278402397E-2</v>
      </c>
      <c r="X245" s="55">
        <f t="shared" si="266"/>
        <v>3.9733328278402397E-2</v>
      </c>
      <c r="Y245" s="55">
        <f t="shared" si="266"/>
        <v>3.9733328278402397E-2</v>
      </c>
      <c r="Z245" s="55">
        <f t="shared" si="266"/>
        <v>3.9733328278402397E-2</v>
      </c>
      <c r="AA245" s="55">
        <f t="shared" si="266"/>
        <v>3.9733328278402397E-2</v>
      </c>
      <c r="AB245" s="55">
        <f t="shared" si="266"/>
        <v>3.9733328278402397E-2</v>
      </c>
      <c r="AC245" s="55">
        <f t="shared" si="266"/>
        <v>3.9733328278402397E-2</v>
      </c>
      <c r="AD245" s="55">
        <f t="shared" si="266"/>
        <v>3.9733328278402397E-2</v>
      </c>
      <c r="AE245" s="55">
        <f t="shared" si="266"/>
        <v>3.9733328278402397E-2</v>
      </c>
      <c r="AF245" s="55">
        <f t="shared" si="266"/>
        <v>3.9733328278402397E-2</v>
      </c>
      <c r="AG245" s="55">
        <f t="shared" si="266"/>
        <v>3.9733328278402397E-2</v>
      </c>
      <c r="AH245" s="55">
        <f t="shared" si="266"/>
        <v>3.9733328278402397E-2</v>
      </c>
      <c r="AI245" s="55">
        <f t="shared" ref="AI245:BJ245" si="267">IF(AND(AI$127&gt;=$K34,AI$127&lt;=$L34),$G34*(1+$H34)^(AI$127-$B$5),0)</f>
        <v>3.9733328278402397E-2</v>
      </c>
      <c r="AJ245" s="55">
        <f t="shared" si="267"/>
        <v>3.9733328278402397E-2</v>
      </c>
      <c r="AK245" s="55">
        <f t="shared" si="267"/>
        <v>3.9733328278402397E-2</v>
      </c>
      <c r="AL245" s="55">
        <f t="shared" si="267"/>
        <v>3.9733328278402397E-2</v>
      </c>
      <c r="AM245" s="55">
        <f t="shared" si="267"/>
        <v>3.9733328278402397E-2</v>
      </c>
      <c r="AN245" s="55">
        <f t="shared" si="267"/>
        <v>3.9733328278402397E-2</v>
      </c>
      <c r="AO245" s="55">
        <f t="shared" si="267"/>
        <v>3.9733328278402397E-2</v>
      </c>
      <c r="AP245" s="55">
        <f t="shared" si="267"/>
        <v>3.9733328278402397E-2</v>
      </c>
      <c r="AQ245" s="55">
        <f t="shared" si="267"/>
        <v>3.9733328278402397E-2</v>
      </c>
      <c r="AR245" s="55">
        <f t="shared" si="267"/>
        <v>3.9733328278402397E-2</v>
      </c>
      <c r="AS245" s="55">
        <f t="shared" si="267"/>
        <v>3.9733328278402397E-2</v>
      </c>
      <c r="AT245" s="55">
        <f t="shared" si="267"/>
        <v>3.9733328278402397E-2</v>
      </c>
      <c r="AU245" s="55">
        <f t="shared" si="267"/>
        <v>3.9733328278402397E-2</v>
      </c>
      <c r="AV245" s="55">
        <f t="shared" si="267"/>
        <v>3.9733328278402397E-2</v>
      </c>
      <c r="AW245" s="55">
        <f t="shared" si="267"/>
        <v>3.9733328278402397E-2</v>
      </c>
      <c r="AX245" s="55">
        <f t="shared" si="267"/>
        <v>3.9733328278402397E-2</v>
      </c>
      <c r="AY245" s="55">
        <f t="shared" si="267"/>
        <v>3.9733328278402397E-2</v>
      </c>
      <c r="AZ245" s="55">
        <f t="shared" si="267"/>
        <v>3.9733328278402397E-2</v>
      </c>
      <c r="BA245" s="55">
        <f t="shared" si="267"/>
        <v>3.9733328278402397E-2</v>
      </c>
      <c r="BB245" s="55">
        <f t="shared" si="267"/>
        <v>3.9733328278402397E-2</v>
      </c>
      <c r="BC245" s="55">
        <f t="shared" si="267"/>
        <v>0</v>
      </c>
      <c r="BD245" s="55">
        <f t="shared" si="267"/>
        <v>0</v>
      </c>
      <c r="BE245" s="55">
        <f t="shared" si="267"/>
        <v>0</v>
      </c>
      <c r="BF245" s="55">
        <f t="shared" si="267"/>
        <v>0</v>
      </c>
      <c r="BG245" s="55">
        <f t="shared" si="267"/>
        <v>0</v>
      </c>
      <c r="BH245" s="55">
        <f t="shared" si="267"/>
        <v>0</v>
      </c>
      <c r="BI245" s="55">
        <f t="shared" si="267"/>
        <v>0</v>
      </c>
      <c r="BJ245" s="55">
        <f t="shared" si="267"/>
        <v>0</v>
      </c>
    </row>
    <row r="246" spans="1:62" x14ac:dyDescent="0.3">
      <c r="A246" s="53" t="str">
        <f t="shared" si="245"/>
        <v>project 24</v>
      </c>
      <c r="C246" s="55">
        <f t="shared" ref="C246:AH246" si="268">IF(AND(C$127&gt;=$K35,C$127&lt;=$L35),$G35*(1+$H35)^(C$127-$B$5),0)</f>
        <v>0</v>
      </c>
      <c r="D246" s="55">
        <f t="shared" si="268"/>
        <v>0</v>
      </c>
      <c r="E246" s="55">
        <f t="shared" si="268"/>
        <v>0</v>
      </c>
      <c r="F246" s="55">
        <f t="shared" si="268"/>
        <v>0</v>
      </c>
      <c r="G246" s="55">
        <f t="shared" si="268"/>
        <v>0</v>
      </c>
      <c r="H246" s="55">
        <f t="shared" si="268"/>
        <v>0</v>
      </c>
      <c r="I246" s="55">
        <f t="shared" si="268"/>
        <v>0</v>
      </c>
      <c r="J246" s="55">
        <f t="shared" si="268"/>
        <v>0</v>
      </c>
      <c r="K246" s="55">
        <f t="shared" si="268"/>
        <v>0</v>
      </c>
      <c r="L246" s="55">
        <f t="shared" si="268"/>
        <v>0</v>
      </c>
      <c r="M246" s="55">
        <f t="shared" si="268"/>
        <v>0</v>
      </c>
      <c r="N246" s="55">
        <f t="shared" si="268"/>
        <v>0</v>
      </c>
      <c r="O246" s="55">
        <f t="shared" si="268"/>
        <v>0</v>
      </c>
      <c r="P246" s="55">
        <f t="shared" si="268"/>
        <v>6.2980831298727391E-2</v>
      </c>
      <c r="Q246" s="55">
        <f t="shared" si="268"/>
        <v>6.2980831298727391E-2</v>
      </c>
      <c r="R246" s="55">
        <f t="shared" si="268"/>
        <v>6.2980831298727391E-2</v>
      </c>
      <c r="S246" s="55">
        <f t="shared" si="268"/>
        <v>6.2980831298727391E-2</v>
      </c>
      <c r="T246" s="55">
        <f t="shared" si="268"/>
        <v>6.2980831298727391E-2</v>
      </c>
      <c r="U246" s="55">
        <f t="shared" si="268"/>
        <v>6.2980831298727391E-2</v>
      </c>
      <c r="V246" s="55">
        <f t="shared" si="268"/>
        <v>6.2980831298727391E-2</v>
      </c>
      <c r="W246" s="55">
        <f t="shared" si="268"/>
        <v>6.2980831298727391E-2</v>
      </c>
      <c r="X246" s="55">
        <f t="shared" si="268"/>
        <v>6.2980831298727391E-2</v>
      </c>
      <c r="Y246" s="55">
        <f t="shared" si="268"/>
        <v>6.2980831298727391E-2</v>
      </c>
      <c r="Z246" s="55">
        <f t="shared" si="268"/>
        <v>6.2980831298727391E-2</v>
      </c>
      <c r="AA246" s="55">
        <f t="shared" si="268"/>
        <v>6.2980831298727391E-2</v>
      </c>
      <c r="AB246" s="55">
        <f t="shared" si="268"/>
        <v>6.2980831298727391E-2</v>
      </c>
      <c r="AC246" s="55">
        <f t="shared" si="268"/>
        <v>6.2980831298727391E-2</v>
      </c>
      <c r="AD246" s="55">
        <f t="shared" si="268"/>
        <v>6.2980831298727391E-2</v>
      </c>
      <c r="AE246" s="55">
        <f t="shared" si="268"/>
        <v>6.2980831298727391E-2</v>
      </c>
      <c r="AF246" s="55">
        <f t="shared" si="268"/>
        <v>6.2980831298727391E-2</v>
      </c>
      <c r="AG246" s="55">
        <f t="shared" si="268"/>
        <v>6.2980831298727391E-2</v>
      </c>
      <c r="AH246" s="55">
        <f t="shared" si="268"/>
        <v>6.2980831298727391E-2</v>
      </c>
      <c r="AI246" s="55">
        <f t="shared" ref="AI246:BJ246" si="269">IF(AND(AI$127&gt;=$K35,AI$127&lt;=$L35),$G35*(1+$H35)^(AI$127-$B$5),0)</f>
        <v>6.2980831298727391E-2</v>
      </c>
      <c r="AJ246" s="55">
        <f t="shared" si="269"/>
        <v>6.2980831298727391E-2</v>
      </c>
      <c r="AK246" s="55">
        <f t="shared" si="269"/>
        <v>6.2980831298727391E-2</v>
      </c>
      <c r="AL246" s="55">
        <f t="shared" si="269"/>
        <v>6.2980831298727391E-2</v>
      </c>
      <c r="AM246" s="55">
        <f t="shared" si="269"/>
        <v>6.2980831298727391E-2</v>
      </c>
      <c r="AN246" s="55">
        <f t="shared" si="269"/>
        <v>6.2980831298727391E-2</v>
      </c>
      <c r="AO246" s="55">
        <f t="shared" si="269"/>
        <v>6.2980831298727391E-2</v>
      </c>
      <c r="AP246" s="55">
        <f t="shared" si="269"/>
        <v>6.2980831298727391E-2</v>
      </c>
      <c r="AQ246" s="55">
        <f t="shared" si="269"/>
        <v>6.2980831298727391E-2</v>
      </c>
      <c r="AR246" s="55">
        <f t="shared" si="269"/>
        <v>6.2980831298727391E-2</v>
      </c>
      <c r="AS246" s="55">
        <f t="shared" si="269"/>
        <v>6.2980831298727391E-2</v>
      </c>
      <c r="AT246" s="55">
        <f t="shared" si="269"/>
        <v>6.2980831298727391E-2</v>
      </c>
      <c r="AU246" s="55">
        <f t="shared" si="269"/>
        <v>6.2980831298727391E-2</v>
      </c>
      <c r="AV246" s="55">
        <f t="shared" si="269"/>
        <v>6.2980831298727391E-2</v>
      </c>
      <c r="AW246" s="55">
        <f t="shared" si="269"/>
        <v>6.2980831298727391E-2</v>
      </c>
      <c r="AX246" s="55">
        <f t="shared" si="269"/>
        <v>6.2980831298727391E-2</v>
      </c>
      <c r="AY246" s="55">
        <f t="shared" si="269"/>
        <v>6.2980831298727391E-2</v>
      </c>
      <c r="AZ246" s="55">
        <f t="shared" si="269"/>
        <v>6.2980831298727391E-2</v>
      </c>
      <c r="BA246" s="55">
        <f t="shared" si="269"/>
        <v>6.2980831298727391E-2</v>
      </c>
      <c r="BB246" s="55">
        <f t="shared" si="269"/>
        <v>6.2980831298727391E-2</v>
      </c>
      <c r="BC246" s="55">
        <f t="shared" si="269"/>
        <v>6.2980831298727391E-2</v>
      </c>
      <c r="BD246" s="55">
        <f t="shared" si="269"/>
        <v>0</v>
      </c>
      <c r="BE246" s="55">
        <f t="shared" si="269"/>
        <v>0</v>
      </c>
      <c r="BF246" s="55">
        <f t="shared" si="269"/>
        <v>0</v>
      </c>
      <c r="BG246" s="55">
        <f t="shared" si="269"/>
        <v>0</v>
      </c>
      <c r="BH246" s="55">
        <f t="shared" si="269"/>
        <v>0</v>
      </c>
      <c r="BI246" s="55">
        <f t="shared" si="269"/>
        <v>0</v>
      </c>
      <c r="BJ246" s="55">
        <f t="shared" si="269"/>
        <v>0</v>
      </c>
    </row>
    <row r="247" spans="1:62" x14ac:dyDescent="0.3">
      <c r="A247" s="53" t="str">
        <f t="shared" si="245"/>
        <v>project 26</v>
      </c>
      <c r="C247" s="55">
        <f t="shared" ref="C247:AH247" si="270">IF(AND(C$127&gt;=$K36,C$127&lt;=$L36),$G36*(1+$H36)^(C$127-$B$5),0)</f>
        <v>0</v>
      </c>
      <c r="D247" s="55">
        <f t="shared" si="270"/>
        <v>3.4289064558677647E-2</v>
      </c>
      <c r="E247" s="55">
        <f t="shared" si="270"/>
        <v>3.4289064558677647E-2</v>
      </c>
      <c r="F247" s="55">
        <f t="shared" si="270"/>
        <v>3.4289064558677647E-2</v>
      </c>
      <c r="G247" s="55">
        <f t="shared" si="270"/>
        <v>3.4289064558677647E-2</v>
      </c>
      <c r="H247" s="55">
        <f t="shared" si="270"/>
        <v>3.4289064558677647E-2</v>
      </c>
      <c r="I247" s="55">
        <f t="shared" si="270"/>
        <v>3.4289064558677647E-2</v>
      </c>
      <c r="J247" s="55">
        <f t="shared" si="270"/>
        <v>3.4289064558677647E-2</v>
      </c>
      <c r="K247" s="55">
        <f t="shared" si="270"/>
        <v>3.4289064558677647E-2</v>
      </c>
      <c r="L247" s="55">
        <f t="shared" si="270"/>
        <v>3.4289064558677647E-2</v>
      </c>
      <c r="M247" s="55">
        <f t="shared" si="270"/>
        <v>3.4289064558677647E-2</v>
      </c>
      <c r="N247" s="55">
        <f t="shared" si="270"/>
        <v>3.4289064558677647E-2</v>
      </c>
      <c r="O247" s="55">
        <f t="shared" si="270"/>
        <v>3.4289064558677647E-2</v>
      </c>
      <c r="P247" s="55">
        <f t="shared" si="270"/>
        <v>3.4289064558677647E-2</v>
      </c>
      <c r="Q247" s="55">
        <f t="shared" si="270"/>
        <v>3.4289064558677647E-2</v>
      </c>
      <c r="R247" s="55">
        <f t="shared" si="270"/>
        <v>3.4289064558677647E-2</v>
      </c>
      <c r="S247" s="55">
        <f t="shared" si="270"/>
        <v>3.4289064558677647E-2</v>
      </c>
      <c r="T247" s="55">
        <f t="shared" si="270"/>
        <v>3.4289064558677647E-2</v>
      </c>
      <c r="U247" s="55">
        <f t="shared" si="270"/>
        <v>3.4289064558677647E-2</v>
      </c>
      <c r="V247" s="55">
        <f t="shared" si="270"/>
        <v>3.4289064558677647E-2</v>
      </c>
      <c r="W247" s="55">
        <f t="shared" si="270"/>
        <v>3.4289064558677647E-2</v>
      </c>
      <c r="X247" s="55">
        <f t="shared" si="270"/>
        <v>3.4289064558677647E-2</v>
      </c>
      <c r="Y247" s="55">
        <f t="shared" si="270"/>
        <v>3.4289064558677647E-2</v>
      </c>
      <c r="Z247" s="55">
        <f t="shared" si="270"/>
        <v>3.4289064558677647E-2</v>
      </c>
      <c r="AA247" s="55">
        <f t="shared" si="270"/>
        <v>3.4289064558677647E-2</v>
      </c>
      <c r="AB247" s="55">
        <f t="shared" si="270"/>
        <v>3.4289064558677647E-2</v>
      </c>
      <c r="AC247" s="55">
        <f t="shared" si="270"/>
        <v>3.4289064558677647E-2</v>
      </c>
      <c r="AD247" s="55">
        <f t="shared" si="270"/>
        <v>3.4289064558677647E-2</v>
      </c>
      <c r="AE247" s="55">
        <f t="shared" si="270"/>
        <v>3.4289064558677647E-2</v>
      </c>
      <c r="AF247" s="55">
        <f t="shared" si="270"/>
        <v>3.4289064558677647E-2</v>
      </c>
      <c r="AG247" s="55">
        <f t="shared" si="270"/>
        <v>3.4289064558677647E-2</v>
      </c>
      <c r="AH247" s="55">
        <f t="shared" si="270"/>
        <v>3.4289064558677647E-2</v>
      </c>
      <c r="AI247" s="55">
        <f t="shared" ref="AI247:BJ247" si="271">IF(AND(AI$127&gt;=$K36,AI$127&lt;=$L36),$G36*(1+$H36)^(AI$127-$B$5),0)</f>
        <v>3.4289064558677647E-2</v>
      </c>
      <c r="AJ247" s="55">
        <f t="shared" si="271"/>
        <v>3.4289064558677647E-2</v>
      </c>
      <c r="AK247" s="55">
        <f t="shared" si="271"/>
        <v>3.4289064558677647E-2</v>
      </c>
      <c r="AL247" s="55">
        <f t="shared" si="271"/>
        <v>3.4289064558677647E-2</v>
      </c>
      <c r="AM247" s="55">
        <f t="shared" si="271"/>
        <v>3.4289064558677647E-2</v>
      </c>
      <c r="AN247" s="55">
        <f t="shared" si="271"/>
        <v>3.4289064558677647E-2</v>
      </c>
      <c r="AO247" s="55">
        <f t="shared" si="271"/>
        <v>3.4289064558677647E-2</v>
      </c>
      <c r="AP247" s="55">
        <f t="shared" si="271"/>
        <v>3.4289064558677647E-2</v>
      </c>
      <c r="AQ247" s="55">
        <f t="shared" si="271"/>
        <v>3.4289064558677647E-2</v>
      </c>
      <c r="AR247" s="55">
        <f t="shared" si="271"/>
        <v>0</v>
      </c>
      <c r="AS247" s="55">
        <f t="shared" si="271"/>
        <v>0</v>
      </c>
      <c r="AT247" s="55">
        <f t="shared" si="271"/>
        <v>0</v>
      </c>
      <c r="AU247" s="55">
        <f t="shared" si="271"/>
        <v>0</v>
      </c>
      <c r="AV247" s="55">
        <f t="shared" si="271"/>
        <v>0</v>
      </c>
      <c r="AW247" s="55">
        <f t="shared" si="271"/>
        <v>0</v>
      </c>
      <c r="AX247" s="55">
        <f t="shared" si="271"/>
        <v>0</v>
      </c>
      <c r="AY247" s="55">
        <f t="shared" si="271"/>
        <v>0</v>
      </c>
      <c r="AZ247" s="55">
        <f t="shared" si="271"/>
        <v>0</v>
      </c>
      <c r="BA247" s="55">
        <f t="shared" si="271"/>
        <v>0</v>
      </c>
      <c r="BB247" s="55">
        <f t="shared" si="271"/>
        <v>0</v>
      </c>
      <c r="BC247" s="55">
        <f t="shared" si="271"/>
        <v>0</v>
      </c>
      <c r="BD247" s="55">
        <f t="shared" si="271"/>
        <v>0</v>
      </c>
      <c r="BE247" s="55">
        <f t="shared" si="271"/>
        <v>0</v>
      </c>
      <c r="BF247" s="55">
        <f t="shared" si="271"/>
        <v>0</v>
      </c>
      <c r="BG247" s="55">
        <f t="shared" si="271"/>
        <v>0</v>
      </c>
      <c r="BH247" s="55">
        <f t="shared" si="271"/>
        <v>0</v>
      </c>
      <c r="BI247" s="55">
        <f t="shared" si="271"/>
        <v>0</v>
      </c>
      <c r="BJ247" s="55">
        <f t="shared" si="271"/>
        <v>0</v>
      </c>
    </row>
    <row r="248" spans="1:62" x14ac:dyDescent="0.3">
      <c r="A248" s="53" t="str">
        <f t="shared" si="245"/>
        <v>project 27</v>
      </c>
      <c r="C248" s="55">
        <f t="shared" ref="C248:AH248" si="272">IF(AND(C$127&gt;=$K37,C$127&lt;=$L37),$G37*(1+$H37)^(C$127-$B$5),0)</f>
        <v>0</v>
      </c>
      <c r="D248" s="55">
        <f t="shared" si="272"/>
        <v>0</v>
      </c>
      <c r="E248" s="55">
        <f t="shared" si="272"/>
        <v>0</v>
      </c>
      <c r="F248" s="55">
        <f t="shared" si="272"/>
        <v>0</v>
      </c>
      <c r="G248" s="55">
        <f t="shared" si="272"/>
        <v>0</v>
      </c>
      <c r="H248" s="55">
        <f t="shared" si="272"/>
        <v>0</v>
      </c>
      <c r="I248" s="55">
        <f t="shared" si="272"/>
        <v>0</v>
      </c>
      <c r="J248" s="55">
        <f t="shared" si="272"/>
        <v>5.2419540775045792E-2</v>
      </c>
      <c r="K248" s="55">
        <f t="shared" si="272"/>
        <v>5.2419540775045792E-2</v>
      </c>
      <c r="L248" s="55">
        <f t="shared" si="272"/>
        <v>5.2419540775045792E-2</v>
      </c>
      <c r="M248" s="55">
        <f t="shared" si="272"/>
        <v>5.2419540775045792E-2</v>
      </c>
      <c r="N248" s="55">
        <f t="shared" si="272"/>
        <v>5.2419540775045792E-2</v>
      </c>
      <c r="O248" s="55">
        <f t="shared" si="272"/>
        <v>5.2419540775045792E-2</v>
      </c>
      <c r="P248" s="55">
        <f t="shared" si="272"/>
        <v>5.2419540775045792E-2</v>
      </c>
      <c r="Q248" s="55">
        <f t="shared" si="272"/>
        <v>5.2419540775045792E-2</v>
      </c>
      <c r="R248" s="55">
        <f t="shared" si="272"/>
        <v>5.2419540775045792E-2</v>
      </c>
      <c r="S248" s="55">
        <f t="shared" si="272"/>
        <v>5.2419540775045792E-2</v>
      </c>
      <c r="T248" s="55">
        <f t="shared" si="272"/>
        <v>5.2419540775045792E-2</v>
      </c>
      <c r="U248" s="55">
        <f t="shared" si="272"/>
        <v>5.2419540775045792E-2</v>
      </c>
      <c r="V248" s="55">
        <f t="shared" si="272"/>
        <v>5.2419540775045792E-2</v>
      </c>
      <c r="W248" s="55">
        <f t="shared" si="272"/>
        <v>5.2419540775045792E-2</v>
      </c>
      <c r="X248" s="55">
        <f t="shared" si="272"/>
        <v>5.2419540775045792E-2</v>
      </c>
      <c r="Y248" s="55">
        <f t="shared" si="272"/>
        <v>5.2419540775045792E-2</v>
      </c>
      <c r="Z248" s="55">
        <f t="shared" si="272"/>
        <v>5.2419540775045792E-2</v>
      </c>
      <c r="AA248" s="55">
        <f t="shared" si="272"/>
        <v>5.2419540775045792E-2</v>
      </c>
      <c r="AB248" s="55">
        <f t="shared" si="272"/>
        <v>5.2419540775045792E-2</v>
      </c>
      <c r="AC248" s="55">
        <f t="shared" si="272"/>
        <v>5.2419540775045792E-2</v>
      </c>
      <c r="AD248" s="55">
        <f t="shared" si="272"/>
        <v>5.2419540775045792E-2</v>
      </c>
      <c r="AE248" s="55">
        <f t="shared" si="272"/>
        <v>5.2419540775045792E-2</v>
      </c>
      <c r="AF248" s="55">
        <f t="shared" si="272"/>
        <v>5.2419540775045792E-2</v>
      </c>
      <c r="AG248" s="55">
        <f t="shared" si="272"/>
        <v>5.2419540775045792E-2</v>
      </c>
      <c r="AH248" s="55">
        <f t="shared" si="272"/>
        <v>5.2419540775045792E-2</v>
      </c>
      <c r="AI248" s="55">
        <f t="shared" ref="AI248:BJ248" si="273">IF(AND(AI$127&gt;=$K37,AI$127&lt;=$L37),$G37*(1+$H37)^(AI$127-$B$5),0)</f>
        <v>5.2419540775045792E-2</v>
      </c>
      <c r="AJ248" s="55">
        <f t="shared" si="273"/>
        <v>5.2419540775045792E-2</v>
      </c>
      <c r="AK248" s="55">
        <f t="shared" si="273"/>
        <v>5.2419540775045792E-2</v>
      </c>
      <c r="AL248" s="55">
        <f t="shared" si="273"/>
        <v>5.2419540775045792E-2</v>
      </c>
      <c r="AM248" s="55">
        <f t="shared" si="273"/>
        <v>5.2419540775045792E-2</v>
      </c>
      <c r="AN248" s="55">
        <f t="shared" si="273"/>
        <v>5.2419540775045792E-2</v>
      </c>
      <c r="AO248" s="55">
        <f t="shared" si="273"/>
        <v>5.2419540775045792E-2</v>
      </c>
      <c r="AP248" s="55">
        <f t="shared" si="273"/>
        <v>5.2419540775045792E-2</v>
      </c>
      <c r="AQ248" s="55">
        <f t="shared" si="273"/>
        <v>5.2419540775045792E-2</v>
      </c>
      <c r="AR248" s="55">
        <f t="shared" si="273"/>
        <v>5.2419540775045792E-2</v>
      </c>
      <c r="AS248" s="55">
        <f t="shared" si="273"/>
        <v>5.2419540775045792E-2</v>
      </c>
      <c r="AT248" s="55">
        <f t="shared" si="273"/>
        <v>5.2419540775045792E-2</v>
      </c>
      <c r="AU248" s="55">
        <f t="shared" si="273"/>
        <v>5.2419540775045792E-2</v>
      </c>
      <c r="AV248" s="55">
        <f t="shared" si="273"/>
        <v>5.2419540775045792E-2</v>
      </c>
      <c r="AW248" s="55">
        <f t="shared" si="273"/>
        <v>5.2419540775045792E-2</v>
      </c>
      <c r="AX248" s="55">
        <f t="shared" si="273"/>
        <v>0</v>
      </c>
      <c r="AY248" s="55">
        <f t="shared" si="273"/>
        <v>0</v>
      </c>
      <c r="AZ248" s="55">
        <f t="shared" si="273"/>
        <v>0</v>
      </c>
      <c r="BA248" s="55">
        <f t="shared" si="273"/>
        <v>0</v>
      </c>
      <c r="BB248" s="55">
        <f t="shared" si="273"/>
        <v>0</v>
      </c>
      <c r="BC248" s="55">
        <f t="shared" si="273"/>
        <v>0</v>
      </c>
      <c r="BD248" s="55">
        <f t="shared" si="273"/>
        <v>0</v>
      </c>
      <c r="BE248" s="55">
        <f t="shared" si="273"/>
        <v>0</v>
      </c>
      <c r="BF248" s="55">
        <f t="shared" si="273"/>
        <v>0</v>
      </c>
      <c r="BG248" s="55">
        <f t="shared" si="273"/>
        <v>0</v>
      </c>
      <c r="BH248" s="55">
        <f t="shared" si="273"/>
        <v>0</v>
      </c>
      <c r="BI248" s="55">
        <f t="shared" si="273"/>
        <v>0</v>
      </c>
      <c r="BJ248" s="55">
        <f t="shared" si="273"/>
        <v>0</v>
      </c>
    </row>
    <row r="249" spans="1:62" x14ac:dyDescent="0.3">
      <c r="A249" s="53" t="str">
        <f t="shared" si="245"/>
        <v>project 28</v>
      </c>
      <c r="C249" s="55">
        <f t="shared" ref="C249:AH249" si="274">IF(AND(C$127&gt;=$K38,C$127&lt;=$L38),$G38*(1+$H38)^(C$127-$B$5),0)</f>
        <v>0</v>
      </c>
      <c r="D249" s="55">
        <f t="shared" si="274"/>
        <v>0</v>
      </c>
      <c r="E249" s="55">
        <f t="shared" si="274"/>
        <v>8.3205620277850459E-2</v>
      </c>
      <c r="F249" s="55">
        <f t="shared" si="274"/>
        <v>8.3205620277850459E-2</v>
      </c>
      <c r="G249" s="55">
        <f t="shared" si="274"/>
        <v>8.3205620277850459E-2</v>
      </c>
      <c r="H249" s="55">
        <f t="shared" si="274"/>
        <v>8.3205620277850459E-2</v>
      </c>
      <c r="I249" s="55">
        <f t="shared" si="274"/>
        <v>8.3205620277850459E-2</v>
      </c>
      <c r="J249" s="55">
        <f t="shared" si="274"/>
        <v>8.3205620277850459E-2</v>
      </c>
      <c r="K249" s="55">
        <f t="shared" si="274"/>
        <v>8.3205620277850459E-2</v>
      </c>
      <c r="L249" s="55">
        <f t="shared" si="274"/>
        <v>8.3205620277850459E-2</v>
      </c>
      <c r="M249" s="55">
        <f t="shared" si="274"/>
        <v>8.3205620277850459E-2</v>
      </c>
      <c r="N249" s="55">
        <f t="shared" si="274"/>
        <v>8.3205620277850459E-2</v>
      </c>
      <c r="O249" s="55">
        <f t="shared" si="274"/>
        <v>8.3205620277850459E-2</v>
      </c>
      <c r="P249" s="55">
        <f t="shared" si="274"/>
        <v>8.3205620277850459E-2</v>
      </c>
      <c r="Q249" s="55">
        <f t="shared" si="274"/>
        <v>8.3205620277850459E-2</v>
      </c>
      <c r="R249" s="55">
        <f t="shared" si="274"/>
        <v>8.3205620277850459E-2</v>
      </c>
      <c r="S249" s="55">
        <f t="shared" si="274"/>
        <v>8.3205620277850459E-2</v>
      </c>
      <c r="T249" s="55">
        <f t="shared" si="274"/>
        <v>8.3205620277850459E-2</v>
      </c>
      <c r="U249" s="55">
        <f t="shared" si="274"/>
        <v>8.3205620277850459E-2</v>
      </c>
      <c r="V249" s="55">
        <f t="shared" si="274"/>
        <v>8.3205620277850459E-2</v>
      </c>
      <c r="W249" s="55">
        <f t="shared" si="274"/>
        <v>8.3205620277850459E-2</v>
      </c>
      <c r="X249" s="55">
        <f t="shared" si="274"/>
        <v>8.3205620277850459E-2</v>
      </c>
      <c r="Y249" s="55">
        <f t="shared" si="274"/>
        <v>8.3205620277850459E-2</v>
      </c>
      <c r="Z249" s="55">
        <f t="shared" si="274"/>
        <v>8.3205620277850459E-2</v>
      </c>
      <c r="AA249" s="55">
        <f t="shared" si="274"/>
        <v>8.3205620277850459E-2</v>
      </c>
      <c r="AB249" s="55">
        <f t="shared" si="274"/>
        <v>8.3205620277850459E-2</v>
      </c>
      <c r="AC249" s="55">
        <f t="shared" si="274"/>
        <v>8.3205620277850459E-2</v>
      </c>
      <c r="AD249" s="55">
        <f t="shared" si="274"/>
        <v>8.3205620277850459E-2</v>
      </c>
      <c r="AE249" s="55">
        <f t="shared" si="274"/>
        <v>8.3205620277850459E-2</v>
      </c>
      <c r="AF249" s="55">
        <f t="shared" si="274"/>
        <v>8.3205620277850459E-2</v>
      </c>
      <c r="AG249" s="55">
        <f t="shared" si="274"/>
        <v>8.3205620277850459E-2</v>
      </c>
      <c r="AH249" s="55">
        <f t="shared" si="274"/>
        <v>8.3205620277850459E-2</v>
      </c>
      <c r="AI249" s="55">
        <f t="shared" ref="AI249:BJ249" si="275">IF(AND(AI$127&gt;=$K38,AI$127&lt;=$L38),$G38*(1+$H38)^(AI$127-$B$5),0)</f>
        <v>8.3205620277850459E-2</v>
      </c>
      <c r="AJ249" s="55">
        <f t="shared" si="275"/>
        <v>8.3205620277850459E-2</v>
      </c>
      <c r="AK249" s="55">
        <f t="shared" si="275"/>
        <v>8.3205620277850459E-2</v>
      </c>
      <c r="AL249" s="55">
        <f t="shared" si="275"/>
        <v>8.3205620277850459E-2</v>
      </c>
      <c r="AM249" s="55">
        <f t="shared" si="275"/>
        <v>8.3205620277850459E-2</v>
      </c>
      <c r="AN249" s="55">
        <f t="shared" si="275"/>
        <v>8.3205620277850459E-2</v>
      </c>
      <c r="AO249" s="55">
        <f t="shared" si="275"/>
        <v>8.3205620277850459E-2</v>
      </c>
      <c r="AP249" s="55">
        <f t="shared" si="275"/>
        <v>8.3205620277850459E-2</v>
      </c>
      <c r="AQ249" s="55">
        <f t="shared" si="275"/>
        <v>8.3205620277850459E-2</v>
      </c>
      <c r="AR249" s="55">
        <f t="shared" si="275"/>
        <v>8.3205620277850459E-2</v>
      </c>
      <c r="AS249" s="55">
        <f t="shared" si="275"/>
        <v>0</v>
      </c>
      <c r="AT249" s="55">
        <f t="shared" si="275"/>
        <v>0</v>
      </c>
      <c r="AU249" s="55">
        <f t="shared" si="275"/>
        <v>0</v>
      </c>
      <c r="AV249" s="55">
        <f t="shared" si="275"/>
        <v>0</v>
      </c>
      <c r="AW249" s="55">
        <f t="shared" si="275"/>
        <v>0</v>
      </c>
      <c r="AX249" s="55">
        <f t="shared" si="275"/>
        <v>0</v>
      </c>
      <c r="AY249" s="55">
        <f t="shared" si="275"/>
        <v>0</v>
      </c>
      <c r="AZ249" s="55">
        <f t="shared" si="275"/>
        <v>0</v>
      </c>
      <c r="BA249" s="55">
        <f t="shared" si="275"/>
        <v>0</v>
      </c>
      <c r="BB249" s="55">
        <f t="shared" si="275"/>
        <v>0</v>
      </c>
      <c r="BC249" s="55">
        <f t="shared" si="275"/>
        <v>0</v>
      </c>
      <c r="BD249" s="55">
        <f t="shared" si="275"/>
        <v>0</v>
      </c>
      <c r="BE249" s="55">
        <f t="shared" si="275"/>
        <v>0</v>
      </c>
      <c r="BF249" s="55">
        <f t="shared" si="275"/>
        <v>0</v>
      </c>
      <c r="BG249" s="55">
        <f t="shared" si="275"/>
        <v>0</v>
      </c>
      <c r="BH249" s="55">
        <f t="shared" si="275"/>
        <v>0</v>
      </c>
      <c r="BI249" s="55">
        <f t="shared" si="275"/>
        <v>0</v>
      </c>
      <c r="BJ249" s="55">
        <f t="shared" si="275"/>
        <v>0</v>
      </c>
    </row>
    <row r="250" spans="1:62" x14ac:dyDescent="0.3">
      <c r="A250" s="53" t="str">
        <f t="shared" si="245"/>
        <v>project 29</v>
      </c>
      <c r="C250" s="55">
        <f t="shared" ref="C250:AH250" si="276">IF(AND(C$127&gt;=$K39,C$127&lt;=$L39),$G39*(1+$H39)^(C$127-$B$5),0)</f>
        <v>0</v>
      </c>
      <c r="D250" s="55">
        <f t="shared" si="276"/>
        <v>0</v>
      </c>
      <c r="E250" s="55">
        <f t="shared" si="276"/>
        <v>0</v>
      </c>
      <c r="F250" s="55">
        <f t="shared" si="276"/>
        <v>0</v>
      </c>
      <c r="G250" s="55">
        <f t="shared" si="276"/>
        <v>0</v>
      </c>
      <c r="H250" s="55">
        <f t="shared" si="276"/>
        <v>0</v>
      </c>
      <c r="I250" s="55">
        <f t="shared" si="276"/>
        <v>0</v>
      </c>
      <c r="J250" s="55">
        <f t="shared" si="276"/>
        <v>0</v>
      </c>
      <c r="K250" s="55">
        <f t="shared" si="276"/>
        <v>2.472395573970413E-2</v>
      </c>
      <c r="L250" s="55">
        <f t="shared" si="276"/>
        <v>2.472395573970413E-2</v>
      </c>
      <c r="M250" s="55">
        <f t="shared" si="276"/>
        <v>2.472395573970413E-2</v>
      </c>
      <c r="N250" s="55">
        <f t="shared" si="276"/>
        <v>2.472395573970413E-2</v>
      </c>
      <c r="O250" s="55">
        <f t="shared" si="276"/>
        <v>2.472395573970413E-2</v>
      </c>
      <c r="P250" s="55">
        <f t="shared" si="276"/>
        <v>2.472395573970413E-2</v>
      </c>
      <c r="Q250" s="55">
        <f t="shared" si="276"/>
        <v>2.472395573970413E-2</v>
      </c>
      <c r="R250" s="55">
        <f t="shared" si="276"/>
        <v>2.472395573970413E-2</v>
      </c>
      <c r="S250" s="55">
        <f t="shared" si="276"/>
        <v>2.472395573970413E-2</v>
      </c>
      <c r="T250" s="55">
        <f t="shared" si="276"/>
        <v>2.472395573970413E-2</v>
      </c>
      <c r="U250" s="55">
        <f t="shared" si="276"/>
        <v>2.472395573970413E-2</v>
      </c>
      <c r="V250" s="55">
        <f t="shared" si="276"/>
        <v>2.472395573970413E-2</v>
      </c>
      <c r="W250" s="55">
        <f t="shared" si="276"/>
        <v>2.472395573970413E-2</v>
      </c>
      <c r="X250" s="55">
        <f t="shared" si="276"/>
        <v>2.472395573970413E-2</v>
      </c>
      <c r="Y250" s="55">
        <f t="shared" si="276"/>
        <v>2.472395573970413E-2</v>
      </c>
      <c r="Z250" s="55">
        <f t="shared" si="276"/>
        <v>2.472395573970413E-2</v>
      </c>
      <c r="AA250" s="55">
        <f t="shared" si="276"/>
        <v>2.472395573970413E-2</v>
      </c>
      <c r="AB250" s="55">
        <f t="shared" si="276"/>
        <v>2.472395573970413E-2</v>
      </c>
      <c r="AC250" s="55">
        <f t="shared" si="276"/>
        <v>2.472395573970413E-2</v>
      </c>
      <c r="AD250" s="55">
        <f t="shared" si="276"/>
        <v>2.472395573970413E-2</v>
      </c>
      <c r="AE250" s="55">
        <f t="shared" si="276"/>
        <v>2.472395573970413E-2</v>
      </c>
      <c r="AF250" s="55">
        <f t="shared" si="276"/>
        <v>2.472395573970413E-2</v>
      </c>
      <c r="AG250" s="55">
        <f t="shared" si="276"/>
        <v>2.472395573970413E-2</v>
      </c>
      <c r="AH250" s="55">
        <f t="shared" si="276"/>
        <v>2.472395573970413E-2</v>
      </c>
      <c r="AI250" s="55">
        <f t="shared" ref="AI250:BJ250" si="277">IF(AND(AI$127&gt;=$K39,AI$127&lt;=$L39),$G39*(1+$H39)^(AI$127-$B$5),0)</f>
        <v>2.472395573970413E-2</v>
      </c>
      <c r="AJ250" s="55">
        <f t="shared" si="277"/>
        <v>2.472395573970413E-2</v>
      </c>
      <c r="AK250" s="55">
        <f t="shared" si="277"/>
        <v>2.472395573970413E-2</v>
      </c>
      <c r="AL250" s="55">
        <f t="shared" si="277"/>
        <v>2.472395573970413E-2</v>
      </c>
      <c r="AM250" s="55">
        <f t="shared" si="277"/>
        <v>2.472395573970413E-2</v>
      </c>
      <c r="AN250" s="55">
        <f t="shared" si="277"/>
        <v>2.472395573970413E-2</v>
      </c>
      <c r="AO250" s="55">
        <f t="shared" si="277"/>
        <v>2.472395573970413E-2</v>
      </c>
      <c r="AP250" s="55">
        <f t="shared" si="277"/>
        <v>2.472395573970413E-2</v>
      </c>
      <c r="AQ250" s="55">
        <f t="shared" si="277"/>
        <v>2.472395573970413E-2</v>
      </c>
      <c r="AR250" s="55">
        <f t="shared" si="277"/>
        <v>2.472395573970413E-2</v>
      </c>
      <c r="AS250" s="55">
        <f t="shared" si="277"/>
        <v>2.472395573970413E-2</v>
      </c>
      <c r="AT250" s="55">
        <f t="shared" si="277"/>
        <v>2.472395573970413E-2</v>
      </c>
      <c r="AU250" s="55">
        <f t="shared" si="277"/>
        <v>2.472395573970413E-2</v>
      </c>
      <c r="AV250" s="55">
        <f t="shared" si="277"/>
        <v>2.472395573970413E-2</v>
      </c>
      <c r="AW250" s="55">
        <f t="shared" si="277"/>
        <v>2.472395573970413E-2</v>
      </c>
      <c r="AX250" s="55">
        <f t="shared" si="277"/>
        <v>2.472395573970413E-2</v>
      </c>
      <c r="AY250" s="55">
        <f t="shared" si="277"/>
        <v>0</v>
      </c>
      <c r="AZ250" s="55">
        <f t="shared" si="277"/>
        <v>0</v>
      </c>
      <c r="BA250" s="55">
        <f t="shared" si="277"/>
        <v>0</v>
      </c>
      <c r="BB250" s="55">
        <f t="shared" si="277"/>
        <v>0</v>
      </c>
      <c r="BC250" s="55">
        <f t="shared" si="277"/>
        <v>0</v>
      </c>
      <c r="BD250" s="55">
        <f t="shared" si="277"/>
        <v>0</v>
      </c>
      <c r="BE250" s="55">
        <f t="shared" si="277"/>
        <v>0</v>
      </c>
      <c r="BF250" s="55">
        <f t="shared" si="277"/>
        <v>0</v>
      </c>
      <c r="BG250" s="55">
        <f t="shared" si="277"/>
        <v>0</v>
      </c>
      <c r="BH250" s="55">
        <f t="shared" si="277"/>
        <v>0</v>
      </c>
      <c r="BI250" s="55">
        <f t="shared" si="277"/>
        <v>0</v>
      </c>
      <c r="BJ250" s="55">
        <f t="shared" si="277"/>
        <v>0</v>
      </c>
    </row>
    <row r="251" spans="1:62" x14ac:dyDescent="0.3">
      <c r="A251" s="53" t="str">
        <f t="shared" si="245"/>
        <v>project 32</v>
      </c>
      <c r="C251" s="55">
        <f t="shared" ref="C251:AH251" si="278">IF(AND(C$127&gt;=$K40,C$127&lt;=$L40),$G40*(1+$H40)^(C$127-$B$5),0)</f>
        <v>0</v>
      </c>
      <c r="D251" s="55">
        <f t="shared" si="278"/>
        <v>0</v>
      </c>
      <c r="E251" s="55">
        <f t="shared" si="278"/>
        <v>0</v>
      </c>
      <c r="F251" s="55">
        <f t="shared" si="278"/>
        <v>1.8637615028381149</v>
      </c>
      <c r="G251" s="55">
        <f t="shared" si="278"/>
        <v>1.8637615028381149</v>
      </c>
      <c r="H251" s="55">
        <f t="shared" si="278"/>
        <v>1.8637615028381149</v>
      </c>
      <c r="I251" s="55">
        <f t="shared" si="278"/>
        <v>1.8637615028381149</v>
      </c>
      <c r="J251" s="55">
        <f t="shared" si="278"/>
        <v>1.8637615028381149</v>
      </c>
      <c r="K251" s="55">
        <f t="shared" si="278"/>
        <v>1.8637615028381149</v>
      </c>
      <c r="L251" s="55">
        <f t="shared" si="278"/>
        <v>1.8637615028381149</v>
      </c>
      <c r="M251" s="55">
        <f t="shared" si="278"/>
        <v>1.8637615028381149</v>
      </c>
      <c r="N251" s="55">
        <f t="shared" si="278"/>
        <v>1.8637615028381149</v>
      </c>
      <c r="O251" s="55">
        <f t="shared" si="278"/>
        <v>1.8637615028381149</v>
      </c>
      <c r="P251" s="55">
        <f t="shared" si="278"/>
        <v>1.8637615028381149</v>
      </c>
      <c r="Q251" s="55">
        <f t="shared" si="278"/>
        <v>1.8637615028381149</v>
      </c>
      <c r="R251" s="55">
        <f t="shared" si="278"/>
        <v>1.8637615028381149</v>
      </c>
      <c r="S251" s="55">
        <f t="shared" si="278"/>
        <v>1.8637615028381149</v>
      </c>
      <c r="T251" s="55">
        <f t="shared" si="278"/>
        <v>1.8637615028381149</v>
      </c>
      <c r="U251" s="55">
        <f t="shared" si="278"/>
        <v>1.8637615028381149</v>
      </c>
      <c r="V251" s="55">
        <f t="shared" si="278"/>
        <v>1.8637615028381149</v>
      </c>
      <c r="W251" s="55">
        <f t="shared" si="278"/>
        <v>1.8637615028381149</v>
      </c>
      <c r="X251" s="55">
        <f t="shared" si="278"/>
        <v>1.8637615028381149</v>
      </c>
      <c r="Y251" s="55">
        <f t="shared" si="278"/>
        <v>1.8637615028381149</v>
      </c>
      <c r="Z251" s="55">
        <f t="shared" si="278"/>
        <v>1.8637615028381149</v>
      </c>
      <c r="AA251" s="55">
        <f t="shared" si="278"/>
        <v>1.8637615028381149</v>
      </c>
      <c r="AB251" s="55">
        <f t="shared" si="278"/>
        <v>1.8637615028381149</v>
      </c>
      <c r="AC251" s="55">
        <f t="shared" si="278"/>
        <v>1.8637615028381149</v>
      </c>
      <c r="AD251" s="55">
        <f t="shared" si="278"/>
        <v>1.8637615028381149</v>
      </c>
      <c r="AE251" s="55">
        <f t="shared" si="278"/>
        <v>1.8637615028381149</v>
      </c>
      <c r="AF251" s="55">
        <f t="shared" si="278"/>
        <v>1.8637615028381149</v>
      </c>
      <c r="AG251" s="55">
        <f t="shared" si="278"/>
        <v>1.8637615028381149</v>
      </c>
      <c r="AH251" s="55">
        <f t="shared" si="278"/>
        <v>1.8637615028381149</v>
      </c>
      <c r="AI251" s="55">
        <f t="shared" ref="AI251:BJ251" si="279">IF(AND(AI$127&gt;=$K40,AI$127&lt;=$L40),$G40*(1+$H40)^(AI$127-$B$5),0)</f>
        <v>1.8637615028381149</v>
      </c>
      <c r="AJ251" s="55">
        <f t="shared" si="279"/>
        <v>1.8637615028381149</v>
      </c>
      <c r="AK251" s="55">
        <f t="shared" si="279"/>
        <v>1.8637615028381149</v>
      </c>
      <c r="AL251" s="55">
        <f t="shared" si="279"/>
        <v>1.8637615028381149</v>
      </c>
      <c r="AM251" s="55">
        <f t="shared" si="279"/>
        <v>1.8637615028381149</v>
      </c>
      <c r="AN251" s="55">
        <f t="shared" si="279"/>
        <v>1.8637615028381149</v>
      </c>
      <c r="AO251" s="55">
        <f t="shared" si="279"/>
        <v>1.8637615028381149</v>
      </c>
      <c r="AP251" s="55">
        <f t="shared" si="279"/>
        <v>1.8637615028381149</v>
      </c>
      <c r="AQ251" s="55">
        <f t="shared" si="279"/>
        <v>1.8637615028381149</v>
      </c>
      <c r="AR251" s="55">
        <f t="shared" si="279"/>
        <v>1.8637615028381149</v>
      </c>
      <c r="AS251" s="55">
        <f t="shared" si="279"/>
        <v>1.8637615028381149</v>
      </c>
      <c r="AT251" s="55">
        <f t="shared" si="279"/>
        <v>0</v>
      </c>
      <c r="AU251" s="55">
        <f t="shared" si="279"/>
        <v>0</v>
      </c>
      <c r="AV251" s="55">
        <f t="shared" si="279"/>
        <v>0</v>
      </c>
      <c r="AW251" s="55">
        <f t="shared" si="279"/>
        <v>0</v>
      </c>
      <c r="AX251" s="55">
        <f t="shared" si="279"/>
        <v>0</v>
      </c>
      <c r="AY251" s="55">
        <f t="shared" si="279"/>
        <v>0</v>
      </c>
      <c r="AZ251" s="55">
        <f t="shared" si="279"/>
        <v>0</v>
      </c>
      <c r="BA251" s="55">
        <f t="shared" si="279"/>
        <v>0</v>
      </c>
      <c r="BB251" s="55">
        <f t="shared" si="279"/>
        <v>0</v>
      </c>
      <c r="BC251" s="55">
        <f t="shared" si="279"/>
        <v>0</v>
      </c>
      <c r="BD251" s="55">
        <f t="shared" si="279"/>
        <v>0</v>
      </c>
      <c r="BE251" s="55">
        <f t="shared" si="279"/>
        <v>0</v>
      </c>
      <c r="BF251" s="55">
        <f t="shared" si="279"/>
        <v>0</v>
      </c>
      <c r="BG251" s="55">
        <f t="shared" si="279"/>
        <v>0</v>
      </c>
      <c r="BH251" s="55">
        <f t="shared" si="279"/>
        <v>0</v>
      </c>
      <c r="BI251" s="55">
        <f t="shared" si="279"/>
        <v>0</v>
      </c>
      <c r="BJ251" s="55">
        <f t="shared" si="279"/>
        <v>0</v>
      </c>
    </row>
    <row r="252" spans="1:62" x14ac:dyDescent="0.3">
      <c r="A252" s="53" t="str">
        <f t="shared" si="245"/>
        <v>project 33</v>
      </c>
      <c r="C252" s="55">
        <f t="shared" ref="C252:AH252" si="280">IF(AND(C$127&gt;=$K41,C$127&lt;=$L41),$G41*(1+$H41)^(C$127-$B$5),0)</f>
        <v>0</v>
      </c>
      <c r="D252" s="55">
        <f t="shared" si="280"/>
        <v>0</v>
      </c>
      <c r="E252" s="55">
        <f t="shared" si="280"/>
        <v>1.120863456208409</v>
      </c>
      <c r="F252" s="55">
        <f t="shared" si="280"/>
        <v>1.120863456208409</v>
      </c>
      <c r="G252" s="55">
        <f t="shared" si="280"/>
        <v>1.120863456208409</v>
      </c>
      <c r="H252" s="55">
        <f t="shared" si="280"/>
        <v>1.120863456208409</v>
      </c>
      <c r="I252" s="55">
        <f t="shared" si="280"/>
        <v>1.120863456208409</v>
      </c>
      <c r="J252" s="55">
        <f t="shared" si="280"/>
        <v>1.120863456208409</v>
      </c>
      <c r="K252" s="55">
        <f t="shared" si="280"/>
        <v>1.120863456208409</v>
      </c>
      <c r="L252" s="55">
        <f t="shared" si="280"/>
        <v>1.120863456208409</v>
      </c>
      <c r="M252" s="55">
        <f t="shared" si="280"/>
        <v>1.120863456208409</v>
      </c>
      <c r="N252" s="55">
        <f t="shared" si="280"/>
        <v>1.120863456208409</v>
      </c>
      <c r="O252" s="55">
        <f t="shared" si="280"/>
        <v>1.120863456208409</v>
      </c>
      <c r="P252" s="55">
        <f t="shared" si="280"/>
        <v>1.120863456208409</v>
      </c>
      <c r="Q252" s="55">
        <f t="shared" si="280"/>
        <v>1.120863456208409</v>
      </c>
      <c r="R252" s="55">
        <f t="shared" si="280"/>
        <v>1.120863456208409</v>
      </c>
      <c r="S252" s="55">
        <f t="shared" si="280"/>
        <v>1.120863456208409</v>
      </c>
      <c r="T252" s="55">
        <f t="shared" si="280"/>
        <v>1.120863456208409</v>
      </c>
      <c r="U252" s="55">
        <f t="shared" si="280"/>
        <v>1.120863456208409</v>
      </c>
      <c r="V252" s="55">
        <f t="shared" si="280"/>
        <v>1.120863456208409</v>
      </c>
      <c r="W252" s="55">
        <f t="shared" si="280"/>
        <v>1.120863456208409</v>
      </c>
      <c r="X252" s="55">
        <f t="shared" si="280"/>
        <v>1.120863456208409</v>
      </c>
      <c r="Y252" s="55">
        <f t="shared" si="280"/>
        <v>1.120863456208409</v>
      </c>
      <c r="Z252" s="55">
        <f t="shared" si="280"/>
        <v>1.120863456208409</v>
      </c>
      <c r="AA252" s="55">
        <f t="shared" si="280"/>
        <v>1.120863456208409</v>
      </c>
      <c r="AB252" s="55">
        <f t="shared" si="280"/>
        <v>1.120863456208409</v>
      </c>
      <c r="AC252" s="55">
        <f t="shared" si="280"/>
        <v>1.120863456208409</v>
      </c>
      <c r="AD252" s="55">
        <f t="shared" si="280"/>
        <v>1.120863456208409</v>
      </c>
      <c r="AE252" s="55">
        <f t="shared" si="280"/>
        <v>1.120863456208409</v>
      </c>
      <c r="AF252" s="55">
        <f t="shared" si="280"/>
        <v>1.120863456208409</v>
      </c>
      <c r="AG252" s="55">
        <f t="shared" si="280"/>
        <v>1.120863456208409</v>
      </c>
      <c r="AH252" s="55">
        <f t="shared" si="280"/>
        <v>1.120863456208409</v>
      </c>
      <c r="AI252" s="55">
        <f t="shared" ref="AI252:BJ252" si="281">IF(AND(AI$127&gt;=$K41,AI$127&lt;=$L41),$G41*(1+$H41)^(AI$127-$B$5),0)</f>
        <v>1.120863456208409</v>
      </c>
      <c r="AJ252" s="55">
        <f t="shared" si="281"/>
        <v>1.120863456208409</v>
      </c>
      <c r="AK252" s="55">
        <f t="shared" si="281"/>
        <v>1.120863456208409</v>
      </c>
      <c r="AL252" s="55">
        <f t="shared" si="281"/>
        <v>1.120863456208409</v>
      </c>
      <c r="AM252" s="55">
        <f t="shared" si="281"/>
        <v>1.120863456208409</v>
      </c>
      <c r="AN252" s="55">
        <f t="shared" si="281"/>
        <v>1.120863456208409</v>
      </c>
      <c r="AO252" s="55">
        <f t="shared" si="281"/>
        <v>1.120863456208409</v>
      </c>
      <c r="AP252" s="55">
        <f t="shared" si="281"/>
        <v>1.120863456208409</v>
      </c>
      <c r="AQ252" s="55">
        <f t="shared" si="281"/>
        <v>1.120863456208409</v>
      </c>
      <c r="AR252" s="55">
        <f t="shared" si="281"/>
        <v>1.120863456208409</v>
      </c>
      <c r="AS252" s="55">
        <f t="shared" si="281"/>
        <v>0</v>
      </c>
      <c r="AT252" s="55">
        <f t="shared" si="281"/>
        <v>0</v>
      </c>
      <c r="AU252" s="55">
        <f t="shared" si="281"/>
        <v>0</v>
      </c>
      <c r="AV252" s="55">
        <f t="shared" si="281"/>
        <v>0</v>
      </c>
      <c r="AW252" s="55">
        <f t="shared" si="281"/>
        <v>0</v>
      </c>
      <c r="AX252" s="55">
        <f t="shared" si="281"/>
        <v>0</v>
      </c>
      <c r="AY252" s="55">
        <f t="shared" si="281"/>
        <v>0</v>
      </c>
      <c r="AZ252" s="55">
        <f t="shared" si="281"/>
        <v>0</v>
      </c>
      <c r="BA252" s="55">
        <f t="shared" si="281"/>
        <v>0</v>
      </c>
      <c r="BB252" s="55">
        <f t="shared" si="281"/>
        <v>0</v>
      </c>
      <c r="BC252" s="55">
        <f t="shared" si="281"/>
        <v>0</v>
      </c>
      <c r="BD252" s="55">
        <f t="shared" si="281"/>
        <v>0</v>
      </c>
      <c r="BE252" s="55">
        <f t="shared" si="281"/>
        <v>0</v>
      </c>
      <c r="BF252" s="55">
        <f t="shared" si="281"/>
        <v>0</v>
      </c>
      <c r="BG252" s="55">
        <f t="shared" si="281"/>
        <v>0</v>
      </c>
      <c r="BH252" s="55">
        <f t="shared" si="281"/>
        <v>0</v>
      </c>
      <c r="BI252" s="55">
        <f t="shared" si="281"/>
        <v>0</v>
      </c>
      <c r="BJ252" s="55">
        <f t="shared" si="281"/>
        <v>0</v>
      </c>
    </row>
    <row r="253" spans="1:62" x14ac:dyDescent="0.3">
      <c r="A253" s="53" t="str">
        <f t="shared" si="245"/>
        <v>project 37</v>
      </c>
      <c r="C253" s="55">
        <f t="shared" ref="C253:AH253" si="282">IF(AND(C$127&gt;=$K42,C$127&lt;=$L42),$G42*(1+$H42)^(C$127-$B$5),0)</f>
        <v>0</v>
      </c>
      <c r="D253" s="55">
        <f t="shared" si="282"/>
        <v>0</v>
      </c>
      <c r="E253" s="55">
        <f t="shared" si="282"/>
        <v>0</v>
      </c>
      <c r="F253" s="55">
        <f t="shared" si="282"/>
        <v>0</v>
      </c>
      <c r="G253" s="55">
        <f t="shared" si="282"/>
        <v>0</v>
      </c>
      <c r="H253" s="55">
        <f t="shared" si="282"/>
        <v>0</v>
      </c>
      <c r="I253" s="55">
        <f t="shared" si="282"/>
        <v>0</v>
      </c>
      <c r="J253" s="55">
        <f t="shared" si="282"/>
        <v>0</v>
      </c>
      <c r="K253" s="55">
        <f t="shared" si="282"/>
        <v>0</v>
      </c>
      <c r="L253" s="55">
        <f t="shared" si="282"/>
        <v>0</v>
      </c>
      <c r="M253" s="55">
        <f t="shared" si="282"/>
        <v>0</v>
      </c>
      <c r="N253" s="55">
        <f t="shared" si="282"/>
        <v>0</v>
      </c>
      <c r="O253" s="55">
        <f t="shared" si="282"/>
        <v>0</v>
      </c>
      <c r="P253" s="55">
        <f t="shared" si="282"/>
        <v>0.58900578244406065</v>
      </c>
      <c r="Q253" s="55">
        <f t="shared" si="282"/>
        <v>0.58900578244406065</v>
      </c>
      <c r="R253" s="55">
        <f t="shared" si="282"/>
        <v>0.58900578244406065</v>
      </c>
      <c r="S253" s="55">
        <f t="shared" si="282"/>
        <v>0.58900578244406065</v>
      </c>
      <c r="T253" s="55">
        <f t="shared" si="282"/>
        <v>0.58900578244406065</v>
      </c>
      <c r="U253" s="55">
        <f t="shared" si="282"/>
        <v>0.58900578244406065</v>
      </c>
      <c r="V253" s="55">
        <f t="shared" si="282"/>
        <v>0.58900578244406065</v>
      </c>
      <c r="W253" s="55">
        <f t="shared" si="282"/>
        <v>0.58900578244406065</v>
      </c>
      <c r="X253" s="55">
        <f t="shared" si="282"/>
        <v>0.58900578244406065</v>
      </c>
      <c r="Y253" s="55">
        <f t="shared" si="282"/>
        <v>0.58900578244406065</v>
      </c>
      <c r="Z253" s="55">
        <f t="shared" si="282"/>
        <v>0.58900578244406065</v>
      </c>
      <c r="AA253" s="55">
        <f t="shared" si="282"/>
        <v>0.58900578244406065</v>
      </c>
      <c r="AB253" s="55">
        <f t="shared" si="282"/>
        <v>0.58900578244406065</v>
      </c>
      <c r="AC253" s="55">
        <f t="shared" si="282"/>
        <v>0.58900578244406065</v>
      </c>
      <c r="AD253" s="55">
        <f t="shared" si="282"/>
        <v>0.58900578244406065</v>
      </c>
      <c r="AE253" s="55">
        <f t="shared" si="282"/>
        <v>0.58900578244406065</v>
      </c>
      <c r="AF253" s="55">
        <f t="shared" si="282"/>
        <v>0.58900578244406065</v>
      </c>
      <c r="AG253" s="55">
        <f t="shared" si="282"/>
        <v>0.58900578244406065</v>
      </c>
      <c r="AH253" s="55">
        <f t="shared" si="282"/>
        <v>0.58900578244406065</v>
      </c>
      <c r="AI253" s="55">
        <f t="shared" ref="AI253:BJ253" si="283">IF(AND(AI$127&gt;=$K42,AI$127&lt;=$L42),$G42*(1+$H42)^(AI$127-$B$5),0)</f>
        <v>0.58900578244406065</v>
      </c>
      <c r="AJ253" s="55">
        <f t="shared" si="283"/>
        <v>0.58900578244406065</v>
      </c>
      <c r="AK253" s="55">
        <f t="shared" si="283"/>
        <v>0.58900578244406065</v>
      </c>
      <c r="AL253" s="55">
        <f t="shared" si="283"/>
        <v>0.58900578244406065</v>
      </c>
      <c r="AM253" s="55">
        <f t="shared" si="283"/>
        <v>0.58900578244406065</v>
      </c>
      <c r="AN253" s="55">
        <f t="shared" si="283"/>
        <v>0.58900578244406065</v>
      </c>
      <c r="AO253" s="55">
        <f t="shared" si="283"/>
        <v>0.58900578244406065</v>
      </c>
      <c r="AP253" s="55">
        <f t="shared" si="283"/>
        <v>0.58900578244406065</v>
      </c>
      <c r="AQ253" s="55">
        <f t="shared" si="283"/>
        <v>0.58900578244406065</v>
      </c>
      <c r="AR253" s="55">
        <f t="shared" si="283"/>
        <v>0.58900578244406065</v>
      </c>
      <c r="AS253" s="55">
        <f t="shared" si="283"/>
        <v>0.58900578244406065</v>
      </c>
      <c r="AT253" s="55">
        <f t="shared" si="283"/>
        <v>0.58900578244406065</v>
      </c>
      <c r="AU253" s="55">
        <f t="shared" si="283"/>
        <v>0.58900578244406065</v>
      </c>
      <c r="AV253" s="55">
        <f t="shared" si="283"/>
        <v>0.58900578244406065</v>
      </c>
      <c r="AW253" s="55">
        <f t="shared" si="283"/>
        <v>0.58900578244406065</v>
      </c>
      <c r="AX253" s="55">
        <f t="shared" si="283"/>
        <v>0.58900578244406065</v>
      </c>
      <c r="AY253" s="55">
        <f t="shared" si="283"/>
        <v>0.58900578244406065</v>
      </c>
      <c r="AZ253" s="55">
        <f t="shared" si="283"/>
        <v>0.58900578244406065</v>
      </c>
      <c r="BA253" s="55">
        <f t="shared" si="283"/>
        <v>0.58900578244406065</v>
      </c>
      <c r="BB253" s="55">
        <f t="shared" si="283"/>
        <v>0.58900578244406065</v>
      </c>
      <c r="BC253" s="55">
        <f t="shared" si="283"/>
        <v>0.58900578244406065</v>
      </c>
      <c r="BD253" s="55">
        <f t="shared" si="283"/>
        <v>0</v>
      </c>
      <c r="BE253" s="55">
        <f t="shared" si="283"/>
        <v>0</v>
      </c>
      <c r="BF253" s="55">
        <f t="shared" si="283"/>
        <v>0</v>
      </c>
      <c r="BG253" s="55">
        <f t="shared" si="283"/>
        <v>0</v>
      </c>
      <c r="BH253" s="55">
        <f t="shared" si="283"/>
        <v>0</v>
      </c>
      <c r="BI253" s="55">
        <f t="shared" si="283"/>
        <v>0</v>
      </c>
      <c r="BJ253" s="55">
        <f t="shared" si="283"/>
        <v>0</v>
      </c>
    </row>
    <row r="254" spans="1:62" x14ac:dyDescent="0.3">
      <c r="A254" s="53" t="str">
        <f t="shared" si="245"/>
        <v>project 38</v>
      </c>
      <c r="C254" s="55">
        <f t="shared" ref="C254:AH254" si="284">IF(AND(C$127&gt;=$K43,C$127&lt;=$L43),$G43*(1+$H43)^(C$127-$B$5),0)</f>
        <v>0</v>
      </c>
      <c r="D254" s="55">
        <f t="shared" si="284"/>
        <v>0</v>
      </c>
      <c r="E254" s="55">
        <f t="shared" si="284"/>
        <v>0</v>
      </c>
      <c r="F254" s="55">
        <f t="shared" si="284"/>
        <v>0</v>
      </c>
      <c r="G254" s="55">
        <f t="shared" si="284"/>
        <v>0</v>
      </c>
      <c r="H254" s="55">
        <f t="shared" si="284"/>
        <v>0</v>
      </c>
      <c r="I254" s="55">
        <f t="shared" si="284"/>
        <v>0</v>
      </c>
      <c r="J254" s="55">
        <f t="shared" si="284"/>
        <v>0</v>
      </c>
      <c r="K254" s="55">
        <f t="shared" si="284"/>
        <v>0</v>
      </c>
      <c r="L254" s="55">
        <f t="shared" si="284"/>
        <v>0</v>
      </c>
      <c r="M254" s="55">
        <f t="shared" si="284"/>
        <v>0</v>
      </c>
      <c r="N254" s="55">
        <f t="shared" si="284"/>
        <v>0</v>
      </c>
      <c r="O254" s="55">
        <f t="shared" si="284"/>
        <v>0</v>
      </c>
      <c r="P254" s="55">
        <f t="shared" si="284"/>
        <v>0</v>
      </c>
      <c r="Q254" s="55">
        <f t="shared" si="284"/>
        <v>5.9459782639006296</v>
      </c>
      <c r="R254" s="55">
        <f t="shared" si="284"/>
        <v>5.9459782639006296</v>
      </c>
      <c r="S254" s="55">
        <f t="shared" si="284"/>
        <v>5.9459782639006296</v>
      </c>
      <c r="T254" s="55">
        <f t="shared" si="284"/>
        <v>5.9459782639006296</v>
      </c>
      <c r="U254" s="55">
        <f t="shared" si="284"/>
        <v>5.9459782639006296</v>
      </c>
      <c r="V254" s="55">
        <f t="shared" si="284"/>
        <v>5.9459782639006296</v>
      </c>
      <c r="W254" s="55">
        <f t="shared" si="284"/>
        <v>5.9459782639006296</v>
      </c>
      <c r="X254" s="55">
        <f t="shared" si="284"/>
        <v>5.9459782639006296</v>
      </c>
      <c r="Y254" s="55">
        <f t="shared" si="284"/>
        <v>5.9459782639006296</v>
      </c>
      <c r="Z254" s="55">
        <f t="shared" si="284"/>
        <v>5.9459782639006296</v>
      </c>
      <c r="AA254" s="55">
        <f t="shared" si="284"/>
        <v>5.9459782639006296</v>
      </c>
      <c r="AB254" s="55">
        <f t="shared" si="284"/>
        <v>5.9459782639006296</v>
      </c>
      <c r="AC254" s="55">
        <f t="shared" si="284"/>
        <v>5.9459782639006296</v>
      </c>
      <c r="AD254" s="55">
        <f t="shared" si="284"/>
        <v>5.9459782639006296</v>
      </c>
      <c r="AE254" s="55">
        <f t="shared" si="284"/>
        <v>5.9459782639006296</v>
      </c>
      <c r="AF254" s="55">
        <f t="shared" si="284"/>
        <v>5.9459782639006296</v>
      </c>
      <c r="AG254" s="55">
        <f t="shared" si="284"/>
        <v>5.9459782639006296</v>
      </c>
      <c r="AH254" s="55">
        <f t="shared" si="284"/>
        <v>5.9459782639006296</v>
      </c>
      <c r="AI254" s="55">
        <f t="shared" ref="AI254:BJ254" si="285">IF(AND(AI$127&gt;=$K43,AI$127&lt;=$L43),$G43*(1+$H43)^(AI$127-$B$5),0)</f>
        <v>5.9459782639006296</v>
      </c>
      <c r="AJ254" s="55">
        <f t="shared" si="285"/>
        <v>5.9459782639006296</v>
      </c>
      <c r="AK254" s="55">
        <f t="shared" si="285"/>
        <v>5.9459782639006296</v>
      </c>
      <c r="AL254" s="55">
        <f t="shared" si="285"/>
        <v>5.9459782639006296</v>
      </c>
      <c r="AM254" s="55">
        <f t="shared" si="285"/>
        <v>5.9459782639006296</v>
      </c>
      <c r="AN254" s="55">
        <f t="shared" si="285"/>
        <v>5.9459782639006296</v>
      </c>
      <c r="AO254" s="55">
        <f t="shared" si="285"/>
        <v>5.9459782639006296</v>
      </c>
      <c r="AP254" s="55">
        <f t="shared" si="285"/>
        <v>5.9459782639006296</v>
      </c>
      <c r="AQ254" s="55">
        <f t="shared" si="285"/>
        <v>5.9459782639006296</v>
      </c>
      <c r="AR254" s="55">
        <f t="shared" si="285"/>
        <v>5.9459782639006296</v>
      </c>
      <c r="AS254" s="55">
        <f t="shared" si="285"/>
        <v>5.9459782639006296</v>
      </c>
      <c r="AT254" s="55">
        <f t="shared" si="285"/>
        <v>5.9459782639006296</v>
      </c>
      <c r="AU254" s="55">
        <f t="shared" si="285"/>
        <v>5.9459782639006296</v>
      </c>
      <c r="AV254" s="55">
        <f t="shared" si="285"/>
        <v>5.9459782639006296</v>
      </c>
      <c r="AW254" s="55">
        <f t="shared" si="285"/>
        <v>5.9459782639006296</v>
      </c>
      <c r="AX254" s="55">
        <f t="shared" si="285"/>
        <v>5.9459782639006296</v>
      </c>
      <c r="AY254" s="55">
        <f t="shared" si="285"/>
        <v>5.9459782639006296</v>
      </c>
      <c r="AZ254" s="55">
        <f t="shared" si="285"/>
        <v>5.9459782639006296</v>
      </c>
      <c r="BA254" s="55">
        <f t="shared" si="285"/>
        <v>5.9459782639006296</v>
      </c>
      <c r="BB254" s="55">
        <f t="shared" si="285"/>
        <v>5.9459782639006296</v>
      </c>
      <c r="BC254" s="55">
        <f t="shared" si="285"/>
        <v>5.9459782639006296</v>
      </c>
      <c r="BD254" s="55">
        <f t="shared" si="285"/>
        <v>5.9459782639006296</v>
      </c>
      <c r="BE254" s="55">
        <f t="shared" si="285"/>
        <v>0</v>
      </c>
      <c r="BF254" s="55">
        <f t="shared" si="285"/>
        <v>0</v>
      </c>
      <c r="BG254" s="55">
        <f t="shared" si="285"/>
        <v>0</v>
      </c>
      <c r="BH254" s="55">
        <f t="shared" si="285"/>
        <v>0</v>
      </c>
      <c r="BI254" s="55">
        <f t="shared" si="285"/>
        <v>0</v>
      </c>
      <c r="BJ254" s="55">
        <f t="shared" si="285"/>
        <v>0</v>
      </c>
    </row>
    <row r="255" spans="1:62" x14ac:dyDescent="0.3">
      <c r="A255" s="53" t="str">
        <f t="shared" si="245"/>
        <v>project 39</v>
      </c>
      <c r="C255" s="55">
        <f t="shared" ref="C255:AH255" si="286">IF(AND(C$127&gt;=$K44,C$127&lt;=$L44),$G44*(1+$H44)^(C$127-$B$5),0)</f>
        <v>0</v>
      </c>
      <c r="D255" s="55">
        <f t="shared" si="286"/>
        <v>0</v>
      </c>
      <c r="E255" s="55">
        <f t="shared" si="286"/>
        <v>0</v>
      </c>
      <c r="F255" s="55">
        <f t="shared" si="286"/>
        <v>0</v>
      </c>
      <c r="G255" s="55">
        <f t="shared" si="286"/>
        <v>0</v>
      </c>
      <c r="H255" s="55">
        <f t="shared" si="286"/>
        <v>0</v>
      </c>
      <c r="I255" s="55">
        <f t="shared" si="286"/>
        <v>0</v>
      </c>
      <c r="J255" s="55">
        <f t="shared" si="286"/>
        <v>0</v>
      </c>
      <c r="K255" s="55">
        <f t="shared" si="286"/>
        <v>0</v>
      </c>
      <c r="L255" s="55">
        <f t="shared" si="286"/>
        <v>0</v>
      </c>
      <c r="M255" s="55">
        <f t="shared" si="286"/>
        <v>0</v>
      </c>
      <c r="N255" s="55">
        <f t="shared" si="286"/>
        <v>0</v>
      </c>
      <c r="O255" s="55">
        <f t="shared" si="286"/>
        <v>0</v>
      </c>
      <c r="P255" s="55">
        <f t="shared" si="286"/>
        <v>0</v>
      </c>
      <c r="Q255" s="55">
        <f t="shared" si="286"/>
        <v>0</v>
      </c>
      <c r="R255" s="55">
        <f t="shared" si="286"/>
        <v>0</v>
      </c>
      <c r="S255" s="55">
        <f t="shared" si="286"/>
        <v>0</v>
      </c>
      <c r="T255" s="55">
        <f t="shared" si="286"/>
        <v>0</v>
      </c>
      <c r="U255" s="55">
        <f t="shared" si="286"/>
        <v>0.73430633530350509</v>
      </c>
      <c r="V255" s="55">
        <f t="shared" si="286"/>
        <v>0.73430633530350509</v>
      </c>
      <c r="W255" s="55">
        <f t="shared" si="286"/>
        <v>0.73430633530350509</v>
      </c>
      <c r="X255" s="55">
        <f t="shared" si="286"/>
        <v>0.73430633530350509</v>
      </c>
      <c r="Y255" s="55">
        <f t="shared" si="286"/>
        <v>0.73430633530350509</v>
      </c>
      <c r="Z255" s="55">
        <f t="shared" si="286"/>
        <v>0.73430633530350509</v>
      </c>
      <c r="AA255" s="55">
        <f t="shared" si="286"/>
        <v>0.73430633530350509</v>
      </c>
      <c r="AB255" s="55">
        <f t="shared" si="286"/>
        <v>0.73430633530350509</v>
      </c>
      <c r="AC255" s="55">
        <f t="shared" si="286"/>
        <v>0.73430633530350509</v>
      </c>
      <c r="AD255" s="55">
        <f t="shared" si="286"/>
        <v>0.73430633530350509</v>
      </c>
      <c r="AE255" s="55">
        <f t="shared" si="286"/>
        <v>0.73430633530350509</v>
      </c>
      <c r="AF255" s="55">
        <f t="shared" si="286"/>
        <v>0.73430633530350509</v>
      </c>
      <c r="AG255" s="55">
        <f t="shared" si="286"/>
        <v>0.73430633530350509</v>
      </c>
      <c r="AH255" s="55">
        <f t="shared" si="286"/>
        <v>0.73430633530350509</v>
      </c>
      <c r="AI255" s="55">
        <f t="shared" ref="AI255:BJ255" si="287">IF(AND(AI$127&gt;=$K44,AI$127&lt;=$L44),$G44*(1+$H44)^(AI$127-$B$5),0)</f>
        <v>0.73430633530350509</v>
      </c>
      <c r="AJ255" s="55">
        <f t="shared" si="287"/>
        <v>0.73430633530350509</v>
      </c>
      <c r="AK255" s="55">
        <f t="shared" si="287"/>
        <v>0.73430633530350509</v>
      </c>
      <c r="AL255" s="55">
        <f t="shared" si="287"/>
        <v>0.73430633530350509</v>
      </c>
      <c r="AM255" s="55">
        <f t="shared" si="287"/>
        <v>0.73430633530350509</v>
      </c>
      <c r="AN255" s="55">
        <f t="shared" si="287"/>
        <v>0.73430633530350509</v>
      </c>
      <c r="AO255" s="55">
        <f t="shared" si="287"/>
        <v>0.73430633530350509</v>
      </c>
      <c r="AP255" s="55">
        <f t="shared" si="287"/>
        <v>0.73430633530350509</v>
      </c>
      <c r="AQ255" s="55">
        <f t="shared" si="287"/>
        <v>0.73430633530350509</v>
      </c>
      <c r="AR255" s="55">
        <f t="shared" si="287"/>
        <v>0.73430633530350509</v>
      </c>
      <c r="AS255" s="55">
        <f t="shared" si="287"/>
        <v>0.73430633530350509</v>
      </c>
      <c r="AT255" s="55">
        <f t="shared" si="287"/>
        <v>0.73430633530350509</v>
      </c>
      <c r="AU255" s="55">
        <f t="shared" si="287"/>
        <v>0.73430633530350509</v>
      </c>
      <c r="AV255" s="55">
        <f t="shared" si="287"/>
        <v>0.73430633530350509</v>
      </c>
      <c r="AW255" s="55">
        <f t="shared" si="287"/>
        <v>0.73430633530350509</v>
      </c>
      <c r="AX255" s="55">
        <f t="shared" si="287"/>
        <v>0.73430633530350509</v>
      </c>
      <c r="AY255" s="55">
        <f t="shared" si="287"/>
        <v>0.73430633530350509</v>
      </c>
      <c r="AZ255" s="55">
        <f t="shared" si="287"/>
        <v>0.73430633530350509</v>
      </c>
      <c r="BA255" s="55">
        <f t="shared" si="287"/>
        <v>0.73430633530350509</v>
      </c>
      <c r="BB255" s="55">
        <f t="shared" si="287"/>
        <v>0.73430633530350509</v>
      </c>
      <c r="BC255" s="55">
        <f t="shared" si="287"/>
        <v>0.73430633530350509</v>
      </c>
      <c r="BD255" s="55">
        <f t="shared" si="287"/>
        <v>0.73430633530350509</v>
      </c>
      <c r="BE255" s="55">
        <f t="shared" si="287"/>
        <v>0.73430633530350509</v>
      </c>
      <c r="BF255" s="55">
        <f t="shared" si="287"/>
        <v>0.73430633530350509</v>
      </c>
      <c r="BG255" s="55">
        <f t="shared" si="287"/>
        <v>0.73430633530350509</v>
      </c>
      <c r="BH255" s="55">
        <f t="shared" si="287"/>
        <v>0.73430633530350509</v>
      </c>
      <c r="BI255" s="55">
        <f t="shared" si="287"/>
        <v>0</v>
      </c>
      <c r="BJ255" s="55">
        <f t="shared" si="287"/>
        <v>0</v>
      </c>
    </row>
    <row r="256" spans="1:62" x14ac:dyDescent="0.3">
      <c r="A256" s="53" t="str">
        <f t="shared" si="245"/>
        <v>project 40</v>
      </c>
      <c r="C256" s="55">
        <f t="shared" ref="C256:AH256" si="288">IF(AND(C$127&gt;=$K45,C$127&lt;=$L45),$G45*(1+$H45)^(C$127-$B$5),0)</f>
        <v>0</v>
      </c>
      <c r="D256" s="55">
        <f t="shared" si="288"/>
        <v>0</v>
      </c>
      <c r="E256" s="55">
        <f t="shared" si="288"/>
        <v>0</v>
      </c>
      <c r="F256" s="55">
        <f t="shared" si="288"/>
        <v>0</v>
      </c>
      <c r="G256" s="55">
        <f t="shared" si="288"/>
        <v>0</v>
      </c>
      <c r="H256" s="55">
        <f t="shared" si="288"/>
        <v>0</v>
      </c>
      <c r="I256" s="55">
        <f t="shared" si="288"/>
        <v>0</v>
      </c>
      <c r="J256" s="55">
        <f t="shared" si="288"/>
        <v>0</v>
      </c>
      <c r="K256" s="55">
        <f t="shared" si="288"/>
        <v>0</v>
      </c>
      <c r="L256" s="55">
        <f t="shared" si="288"/>
        <v>0</v>
      </c>
      <c r="M256" s="55">
        <f t="shared" si="288"/>
        <v>0</v>
      </c>
      <c r="N256" s="55">
        <f t="shared" si="288"/>
        <v>0</v>
      </c>
      <c r="O256" s="55">
        <f t="shared" si="288"/>
        <v>0</v>
      </c>
      <c r="P256" s="55">
        <f t="shared" si="288"/>
        <v>0</v>
      </c>
      <c r="Q256" s="55">
        <f t="shared" si="288"/>
        <v>0</v>
      </c>
      <c r="R256" s="55">
        <f t="shared" si="288"/>
        <v>0</v>
      </c>
      <c r="S256" s="55">
        <f t="shared" si="288"/>
        <v>0</v>
      </c>
      <c r="T256" s="55">
        <f t="shared" si="288"/>
        <v>0</v>
      </c>
      <c r="U256" s="55">
        <f t="shared" si="288"/>
        <v>0.93856239719028034</v>
      </c>
      <c r="V256" s="55">
        <f t="shared" si="288"/>
        <v>0.93856239719028034</v>
      </c>
      <c r="W256" s="55">
        <f t="shared" si="288"/>
        <v>0.93856239719028034</v>
      </c>
      <c r="X256" s="55">
        <f t="shared" si="288"/>
        <v>0.93856239719028034</v>
      </c>
      <c r="Y256" s="55">
        <f t="shared" si="288"/>
        <v>0.93856239719028034</v>
      </c>
      <c r="Z256" s="55">
        <f t="shared" si="288"/>
        <v>0.93856239719028034</v>
      </c>
      <c r="AA256" s="55">
        <f t="shared" si="288"/>
        <v>0.93856239719028034</v>
      </c>
      <c r="AB256" s="55">
        <f t="shared" si="288"/>
        <v>0.93856239719028034</v>
      </c>
      <c r="AC256" s="55">
        <f t="shared" si="288"/>
        <v>0.93856239719028034</v>
      </c>
      <c r="AD256" s="55">
        <f t="shared" si="288"/>
        <v>0.93856239719028034</v>
      </c>
      <c r="AE256" s="55">
        <f t="shared" si="288"/>
        <v>0.93856239719028034</v>
      </c>
      <c r="AF256" s="55">
        <f t="shared" si="288"/>
        <v>0.93856239719028034</v>
      </c>
      <c r="AG256" s="55">
        <f t="shared" si="288"/>
        <v>0.93856239719028034</v>
      </c>
      <c r="AH256" s="55">
        <f t="shared" si="288"/>
        <v>0.93856239719028034</v>
      </c>
      <c r="AI256" s="55">
        <f t="shared" ref="AI256:BJ256" si="289">IF(AND(AI$127&gt;=$K45,AI$127&lt;=$L45),$G45*(1+$H45)^(AI$127-$B$5),0)</f>
        <v>0.93856239719028034</v>
      </c>
      <c r="AJ256" s="55">
        <f t="shared" si="289"/>
        <v>0.93856239719028034</v>
      </c>
      <c r="AK256" s="55">
        <f t="shared" si="289"/>
        <v>0.93856239719028034</v>
      </c>
      <c r="AL256" s="55">
        <f t="shared" si="289"/>
        <v>0.93856239719028034</v>
      </c>
      <c r="AM256" s="55">
        <f t="shared" si="289"/>
        <v>0.93856239719028034</v>
      </c>
      <c r="AN256" s="55">
        <f t="shared" si="289"/>
        <v>0.93856239719028034</v>
      </c>
      <c r="AO256" s="55">
        <f t="shared" si="289"/>
        <v>0.93856239719028034</v>
      </c>
      <c r="AP256" s="55">
        <f t="shared" si="289"/>
        <v>0.93856239719028034</v>
      </c>
      <c r="AQ256" s="55">
        <f t="shared" si="289"/>
        <v>0.93856239719028034</v>
      </c>
      <c r="AR256" s="55">
        <f t="shared" si="289"/>
        <v>0.93856239719028034</v>
      </c>
      <c r="AS256" s="55">
        <f t="shared" si="289"/>
        <v>0.93856239719028034</v>
      </c>
      <c r="AT256" s="55">
        <f t="shared" si="289"/>
        <v>0.93856239719028034</v>
      </c>
      <c r="AU256" s="55">
        <f t="shared" si="289"/>
        <v>0.93856239719028034</v>
      </c>
      <c r="AV256" s="55">
        <f t="shared" si="289"/>
        <v>0.93856239719028034</v>
      </c>
      <c r="AW256" s="55">
        <f t="shared" si="289"/>
        <v>0.93856239719028034</v>
      </c>
      <c r="AX256" s="55">
        <f t="shared" si="289"/>
        <v>0.93856239719028034</v>
      </c>
      <c r="AY256" s="55">
        <f t="shared" si="289"/>
        <v>0.93856239719028034</v>
      </c>
      <c r="AZ256" s="55">
        <f t="shared" si="289"/>
        <v>0.93856239719028034</v>
      </c>
      <c r="BA256" s="55">
        <f t="shared" si="289"/>
        <v>0.93856239719028034</v>
      </c>
      <c r="BB256" s="55">
        <f t="shared" si="289"/>
        <v>0.93856239719028034</v>
      </c>
      <c r="BC256" s="55">
        <f t="shared" si="289"/>
        <v>0.93856239719028034</v>
      </c>
      <c r="BD256" s="55">
        <f t="shared" si="289"/>
        <v>0.93856239719028034</v>
      </c>
      <c r="BE256" s="55">
        <f t="shared" si="289"/>
        <v>0.93856239719028034</v>
      </c>
      <c r="BF256" s="55">
        <f t="shared" si="289"/>
        <v>0.93856239719028034</v>
      </c>
      <c r="BG256" s="55">
        <f t="shared" si="289"/>
        <v>0.93856239719028034</v>
      </c>
      <c r="BH256" s="55">
        <f t="shared" si="289"/>
        <v>0.93856239719028034</v>
      </c>
      <c r="BI256" s="55">
        <f t="shared" si="289"/>
        <v>0</v>
      </c>
      <c r="BJ256" s="55">
        <f t="shared" si="289"/>
        <v>0</v>
      </c>
    </row>
    <row r="257" spans="1:62" x14ac:dyDescent="0.3">
      <c r="A257" s="53" t="str">
        <f t="shared" si="245"/>
        <v>project 41</v>
      </c>
      <c r="C257" s="55">
        <f t="shared" ref="C257:AH257" si="290">IF(AND(C$127&gt;=$K46,C$127&lt;=$L46),$G46*(1+$H46)^(C$127-$B$5),0)</f>
        <v>0</v>
      </c>
      <c r="D257" s="55">
        <f t="shared" si="290"/>
        <v>0</v>
      </c>
      <c r="E257" s="55">
        <f t="shared" si="290"/>
        <v>0</v>
      </c>
      <c r="F257" s="55">
        <f t="shared" si="290"/>
        <v>0</v>
      </c>
      <c r="G257" s="55">
        <f t="shared" si="290"/>
        <v>0</v>
      </c>
      <c r="H257" s="55">
        <f t="shared" si="290"/>
        <v>0</v>
      </c>
      <c r="I257" s="55">
        <f t="shared" si="290"/>
        <v>0</v>
      </c>
      <c r="J257" s="55">
        <f t="shared" si="290"/>
        <v>0.11084509877107809</v>
      </c>
      <c r="K257" s="55">
        <f t="shared" si="290"/>
        <v>0.11084509877107809</v>
      </c>
      <c r="L257" s="55">
        <f t="shared" si="290"/>
        <v>0.11084509877107809</v>
      </c>
      <c r="M257" s="55">
        <f t="shared" si="290"/>
        <v>0.11084509877107809</v>
      </c>
      <c r="N257" s="55">
        <f t="shared" si="290"/>
        <v>0.11084509877107809</v>
      </c>
      <c r="O257" s="55">
        <f t="shared" si="290"/>
        <v>0.11084509877107809</v>
      </c>
      <c r="P257" s="55">
        <f t="shared" si="290"/>
        <v>0.11084509877107809</v>
      </c>
      <c r="Q257" s="55">
        <f t="shared" si="290"/>
        <v>0.11084509877107809</v>
      </c>
      <c r="R257" s="55">
        <f t="shared" si="290"/>
        <v>0.11084509877107809</v>
      </c>
      <c r="S257" s="55">
        <f t="shared" si="290"/>
        <v>0.11084509877107809</v>
      </c>
      <c r="T257" s="55">
        <f t="shared" si="290"/>
        <v>0.11084509877107809</v>
      </c>
      <c r="U257" s="55">
        <f t="shared" si="290"/>
        <v>0.11084509877107809</v>
      </c>
      <c r="V257" s="55">
        <f t="shared" si="290"/>
        <v>0.11084509877107809</v>
      </c>
      <c r="W257" s="55">
        <f t="shared" si="290"/>
        <v>0.11084509877107809</v>
      </c>
      <c r="X257" s="55">
        <f t="shared" si="290"/>
        <v>0.11084509877107809</v>
      </c>
      <c r="Y257" s="55">
        <f t="shared" si="290"/>
        <v>0.11084509877107809</v>
      </c>
      <c r="Z257" s="55">
        <f t="shared" si="290"/>
        <v>0.11084509877107809</v>
      </c>
      <c r="AA257" s="55">
        <f t="shared" si="290"/>
        <v>0.11084509877107809</v>
      </c>
      <c r="AB257" s="55">
        <f t="shared" si="290"/>
        <v>0.11084509877107809</v>
      </c>
      <c r="AC257" s="55">
        <f t="shared" si="290"/>
        <v>0.11084509877107809</v>
      </c>
      <c r="AD257" s="55">
        <f t="shared" si="290"/>
        <v>0.11084509877107809</v>
      </c>
      <c r="AE257" s="55">
        <f t="shared" si="290"/>
        <v>0.11084509877107809</v>
      </c>
      <c r="AF257" s="55">
        <f t="shared" si="290"/>
        <v>0.11084509877107809</v>
      </c>
      <c r="AG257" s="55">
        <f t="shared" si="290"/>
        <v>0.11084509877107809</v>
      </c>
      <c r="AH257" s="55">
        <f t="shared" si="290"/>
        <v>0.11084509877107809</v>
      </c>
      <c r="AI257" s="55">
        <f t="shared" ref="AI257:BJ257" si="291">IF(AND(AI$127&gt;=$K46,AI$127&lt;=$L46),$G46*(1+$H46)^(AI$127-$B$5),0)</f>
        <v>0.11084509877107809</v>
      </c>
      <c r="AJ257" s="55">
        <f t="shared" si="291"/>
        <v>0.11084509877107809</v>
      </c>
      <c r="AK257" s="55">
        <f t="shared" si="291"/>
        <v>0.11084509877107809</v>
      </c>
      <c r="AL257" s="55">
        <f t="shared" si="291"/>
        <v>0.11084509877107809</v>
      </c>
      <c r="AM257" s="55">
        <f t="shared" si="291"/>
        <v>0.11084509877107809</v>
      </c>
      <c r="AN257" s="55">
        <f t="shared" si="291"/>
        <v>0.11084509877107809</v>
      </c>
      <c r="AO257" s="55">
        <f t="shared" si="291"/>
        <v>0.11084509877107809</v>
      </c>
      <c r="AP257" s="55">
        <f t="shared" si="291"/>
        <v>0.11084509877107809</v>
      </c>
      <c r="AQ257" s="55">
        <f t="shared" si="291"/>
        <v>0.11084509877107809</v>
      </c>
      <c r="AR257" s="55">
        <f t="shared" si="291"/>
        <v>0.11084509877107809</v>
      </c>
      <c r="AS257" s="55">
        <f t="shared" si="291"/>
        <v>0.11084509877107809</v>
      </c>
      <c r="AT257" s="55">
        <f t="shared" si="291"/>
        <v>0.11084509877107809</v>
      </c>
      <c r="AU257" s="55">
        <f t="shared" si="291"/>
        <v>0.11084509877107809</v>
      </c>
      <c r="AV257" s="55">
        <f t="shared" si="291"/>
        <v>0.11084509877107809</v>
      </c>
      <c r="AW257" s="55">
        <f t="shared" si="291"/>
        <v>0.11084509877107809</v>
      </c>
      <c r="AX257" s="55">
        <f t="shared" si="291"/>
        <v>0</v>
      </c>
      <c r="AY257" s="55">
        <f t="shared" si="291"/>
        <v>0</v>
      </c>
      <c r="AZ257" s="55">
        <f t="shared" si="291"/>
        <v>0</v>
      </c>
      <c r="BA257" s="55">
        <f t="shared" si="291"/>
        <v>0</v>
      </c>
      <c r="BB257" s="55">
        <f t="shared" si="291"/>
        <v>0</v>
      </c>
      <c r="BC257" s="55">
        <f t="shared" si="291"/>
        <v>0</v>
      </c>
      <c r="BD257" s="55">
        <f t="shared" si="291"/>
        <v>0</v>
      </c>
      <c r="BE257" s="55">
        <f t="shared" si="291"/>
        <v>0</v>
      </c>
      <c r="BF257" s="55">
        <f t="shared" si="291"/>
        <v>0</v>
      </c>
      <c r="BG257" s="55">
        <f t="shared" si="291"/>
        <v>0</v>
      </c>
      <c r="BH257" s="55">
        <f t="shared" si="291"/>
        <v>0</v>
      </c>
      <c r="BI257" s="55">
        <f t="shared" si="291"/>
        <v>0</v>
      </c>
      <c r="BJ257" s="55">
        <f t="shared" si="291"/>
        <v>0</v>
      </c>
    </row>
    <row r="258" spans="1:62" x14ac:dyDescent="0.3">
      <c r="A258" s="53" t="str">
        <f t="shared" si="245"/>
        <v>project 42</v>
      </c>
      <c r="C258" s="55">
        <f t="shared" ref="C258:AH258" si="292">IF(AND(C$127&gt;=$K47,C$127&lt;=$L47),$G47*(1+$H47)^(C$127-$B$5),0)</f>
        <v>0</v>
      </c>
      <c r="D258" s="55">
        <f t="shared" si="292"/>
        <v>0</v>
      </c>
      <c r="E258" s="55">
        <f t="shared" si="292"/>
        <v>0</v>
      </c>
      <c r="F258" s="55">
        <f t="shared" si="292"/>
        <v>0</v>
      </c>
      <c r="G258" s="55">
        <f t="shared" si="292"/>
        <v>0</v>
      </c>
      <c r="H258" s="55">
        <f t="shared" si="292"/>
        <v>0</v>
      </c>
      <c r="I258" s="55">
        <f t="shared" si="292"/>
        <v>1.9827010118963271E-3</v>
      </c>
      <c r="J258" s="55">
        <f t="shared" si="292"/>
        <v>1.9827010118963271E-3</v>
      </c>
      <c r="K258" s="55">
        <f t="shared" si="292"/>
        <v>1.9827010118963271E-3</v>
      </c>
      <c r="L258" s="55">
        <f t="shared" si="292"/>
        <v>1.9827010118963271E-3</v>
      </c>
      <c r="M258" s="55">
        <f t="shared" si="292"/>
        <v>1.9827010118963271E-3</v>
      </c>
      <c r="N258" s="55">
        <f t="shared" si="292"/>
        <v>1.9827010118963271E-3</v>
      </c>
      <c r="O258" s="55">
        <f t="shared" si="292"/>
        <v>1.9827010118963271E-3</v>
      </c>
      <c r="P258" s="55">
        <f t="shared" si="292"/>
        <v>1.9827010118963271E-3</v>
      </c>
      <c r="Q258" s="55">
        <f t="shared" si="292"/>
        <v>1.9827010118963271E-3</v>
      </c>
      <c r="R258" s="55">
        <f t="shared" si="292"/>
        <v>1.9827010118963271E-3</v>
      </c>
      <c r="S258" s="55">
        <f t="shared" si="292"/>
        <v>1.9827010118963271E-3</v>
      </c>
      <c r="T258" s="55">
        <f t="shared" si="292"/>
        <v>1.9827010118963271E-3</v>
      </c>
      <c r="U258" s="55">
        <f t="shared" si="292"/>
        <v>1.9827010118963271E-3</v>
      </c>
      <c r="V258" s="55">
        <f t="shared" si="292"/>
        <v>1.9827010118963271E-3</v>
      </c>
      <c r="W258" s="55">
        <f t="shared" si="292"/>
        <v>1.9827010118963271E-3</v>
      </c>
      <c r="X258" s="55">
        <f t="shared" si="292"/>
        <v>1.9827010118963271E-3</v>
      </c>
      <c r="Y258" s="55">
        <f t="shared" si="292"/>
        <v>1.9827010118963271E-3</v>
      </c>
      <c r="Z258" s="55">
        <f t="shared" si="292"/>
        <v>1.9827010118963271E-3</v>
      </c>
      <c r="AA258" s="55">
        <f t="shared" si="292"/>
        <v>1.9827010118963271E-3</v>
      </c>
      <c r="AB258" s="55">
        <f t="shared" si="292"/>
        <v>1.9827010118963271E-3</v>
      </c>
      <c r="AC258" s="55">
        <f t="shared" si="292"/>
        <v>1.9827010118963271E-3</v>
      </c>
      <c r="AD258" s="55">
        <f t="shared" si="292"/>
        <v>1.9827010118963271E-3</v>
      </c>
      <c r="AE258" s="55">
        <f t="shared" si="292"/>
        <v>1.9827010118963271E-3</v>
      </c>
      <c r="AF258" s="55">
        <f t="shared" si="292"/>
        <v>1.9827010118963271E-3</v>
      </c>
      <c r="AG258" s="55">
        <f t="shared" si="292"/>
        <v>1.9827010118963271E-3</v>
      </c>
      <c r="AH258" s="55">
        <f t="shared" si="292"/>
        <v>1.9827010118963271E-3</v>
      </c>
      <c r="AI258" s="55">
        <f t="shared" ref="AI258:BJ258" si="293">IF(AND(AI$127&gt;=$K47,AI$127&lt;=$L47),$G47*(1+$H47)^(AI$127-$B$5),0)</f>
        <v>1.9827010118963271E-3</v>
      </c>
      <c r="AJ258" s="55">
        <f t="shared" si="293"/>
        <v>1.9827010118963271E-3</v>
      </c>
      <c r="AK258" s="55">
        <f t="shared" si="293"/>
        <v>1.9827010118963271E-3</v>
      </c>
      <c r="AL258" s="55">
        <f t="shared" si="293"/>
        <v>1.9827010118963271E-3</v>
      </c>
      <c r="AM258" s="55">
        <f t="shared" si="293"/>
        <v>1.9827010118963271E-3</v>
      </c>
      <c r="AN258" s="55">
        <f t="shared" si="293"/>
        <v>1.9827010118963271E-3</v>
      </c>
      <c r="AO258" s="55">
        <f t="shared" si="293"/>
        <v>1.9827010118963271E-3</v>
      </c>
      <c r="AP258" s="55">
        <f t="shared" si="293"/>
        <v>1.9827010118963271E-3</v>
      </c>
      <c r="AQ258" s="55">
        <f t="shared" si="293"/>
        <v>1.9827010118963271E-3</v>
      </c>
      <c r="AR258" s="55">
        <f t="shared" si="293"/>
        <v>1.9827010118963271E-3</v>
      </c>
      <c r="AS258" s="55">
        <f t="shared" si="293"/>
        <v>1.9827010118963271E-3</v>
      </c>
      <c r="AT258" s="55">
        <f t="shared" si="293"/>
        <v>1.9827010118963271E-3</v>
      </c>
      <c r="AU258" s="55">
        <f t="shared" si="293"/>
        <v>1.9827010118963271E-3</v>
      </c>
      <c r="AV258" s="55">
        <f t="shared" si="293"/>
        <v>1.9827010118963271E-3</v>
      </c>
      <c r="AW258" s="55">
        <f t="shared" si="293"/>
        <v>0</v>
      </c>
      <c r="AX258" s="55">
        <f t="shared" si="293"/>
        <v>0</v>
      </c>
      <c r="AY258" s="55">
        <f t="shared" si="293"/>
        <v>0</v>
      </c>
      <c r="AZ258" s="55">
        <f t="shared" si="293"/>
        <v>0</v>
      </c>
      <c r="BA258" s="55">
        <f t="shared" si="293"/>
        <v>0</v>
      </c>
      <c r="BB258" s="55">
        <f t="shared" si="293"/>
        <v>0</v>
      </c>
      <c r="BC258" s="55">
        <f t="shared" si="293"/>
        <v>0</v>
      </c>
      <c r="BD258" s="55">
        <f t="shared" si="293"/>
        <v>0</v>
      </c>
      <c r="BE258" s="55">
        <f t="shared" si="293"/>
        <v>0</v>
      </c>
      <c r="BF258" s="55">
        <f t="shared" si="293"/>
        <v>0</v>
      </c>
      <c r="BG258" s="55">
        <f t="shared" si="293"/>
        <v>0</v>
      </c>
      <c r="BH258" s="55">
        <f t="shared" si="293"/>
        <v>0</v>
      </c>
      <c r="BI258" s="55">
        <f t="shared" si="293"/>
        <v>0</v>
      </c>
      <c r="BJ258" s="55">
        <f t="shared" si="293"/>
        <v>0</v>
      </c>
    </row>
    <row r="259" spans="1:62" x14ac:dyDescent="0.3">
      <c r="A259" s="53" t="str">
        <f t="shared" si="245"/>
        <v>project 43</v>
      </c>
      <c r="C259" s="55">
        <f t="shared" ref="C259:AH259" si="294">IF(AND(C$127&gt;=$K48,C$127&lt;=$L48),$G48*(1+$H48)^(C$127-$B$5),0)</f>
        <v>0</v>
      </c>
      <c r="D259" s="55">
        <f t="shared" si="294"/>
        <v>2.1095938766576929E-3</v>
      </c>
      <c r="E259" s="55">
        <f t="shared" si="294"/>
        <v>2.1095938766576929E-3</v>
      </c>
      <c r="F259" s="55">
        <f t="shared" si="294"/>
        <v>2.1095938766576929E-3</v>
      </c>
      <c r="G259" s="55">
        <f t="shared" si="294"/>
        <v>2.1095938766576929E-3</v>
      </c>
      <c r="H259" s="55">
        <f t="shared" si="294"/>
        <v>2.1095938766576929E-3</v>
      </c>
      <c r="I259" s="55">
        <f t="shared" si="294"/>
        <v>2.1095938766576929E-3</v>
      </c>
      <c r="J259" s="55">
        <f t="shared" si="294"/>
        <v>2.1095938766576929E-3</v>
      </c>
      <c r="K259" s="55">
        <f t="shared" si="294"/>
        <v>2.1095938766576929E-3</v>
      </c>
      <c r="L259" s="55">
        <f t="shared" si="294"/>
        <v>2.1095938766576929E-3</v>
      </c>
      <c r="M259" s="55">
        <f t="shared" si="294"/>
        <v>2.1095938766576929E-3</v>
      </c>
      <c r="N259" s="55">
        <f t="shared" si="294"/>
        <v>2.1095938766576929E-3</v>
      </c>
      <c r="O259" s="55">
        <f t="shared" si="294"/>
        <v>2.1095938766576929E-3</v>
      </c>
      <c r="P259" s="55">
        <f t="shared" si="294"/>
        <v>2.1095938766576929E-3</v>
      </c>
      <c r="Q259" s="55">
        <f t="shared" si="294"/>
        <v>2.1095938766576929E-3</v>
      </c>
      <c r="R259" s="55">
        <f t="shared" si="294"/>
        <v>2.1095938766576929E-3</v>
      </c>
      <c r="S259" s="55">
        <f t="shared" si="294"/>
        <v>2.1095938766576929E-3</v>
      </c>
      <c r="T259" s="55">
        <f t="shared" si="294"/>
        <v>2.1095938766576929E-3</v>
      </c>
      <c r="U259" s="55">
        <f t="shared" si="294"/>
        <v>2.1095938766576929E-3</v>
      </c>
      <c r="V259" s="55">
        <f t="shared" si="294"/>
        <v>2.1095938766576929E-3</v>
      </c>
      <c r="W259" s="55">
        <f t="shared" si="294"/>
        <v>2.1095938766576929E-3</v>
      </c>
      <c r="X259" s="55">
        <f t="shared" si="294"/>
        <v>2.1095938766576929E-3</v>
      </c>
      <c r="Y259" s="55">
        <f t="shared" si="294"/>
        <v>2.1095938766576929E-3</v>
      </c>
      <c r="Z259" s="55">
        <f t="shared" si="294"/>
        <v>2.1095938766576929E-3</v>
      </c>
      <c r="AA259" s="55">
        <f t="shared" si="294"/>
        <v>2.1095938766576929E-3</v>
      </c>
      <c r="AB259" s="55">
        <f t="shared" si="294"/>
        <v>2.1095938766576929E-3</v>
      </c>
      <c r="AC259" s="55">
        <f t="shared" si="294"/>
        <v>2.1095938766576929E-3</v>
      </c>
      <c r="AD259" s="55">
        <f t="shared" si="294"/>
        <v>2.1095938766576929E-3</v>
      </c>
      <c r="AE259" s="55">
        <f t="shared" si="294"/>
        <v>2.1095938766576929E-3</v>
      </c>
      <c r="AF259" s="55">
        <f t="shared" si="294"/>
        <v>2.1095938766576929E-3</v>
      </c>
      <c r="AG259" s="55">
        <f t="shared" si="294"/>
        <v>2.1095938766576929E-3</v>
      </c>
      <c r="AH259" s="55">
        <f t="shared" si="294"/>
        <v>2.1095938766576929E-3</v>
      </c>
      <c r="AI259" s="55">
        <f t="shared" ref="AI259:BJ259" si="295">IF(AND(AI$127&gt;=$K48,AI$127&lt;=$L48),$G48*(1+$H48)^(AI$127-$B$5),0)</f>
        <v>2.1095938766576929E-3</v>
      </c>
      <c r="AJ259" s="55">
        <f t="shared" si="295"/>
        <v>2.1095938766576929E-3</v>
      </c>
      <c r="AK259" s="55">
        <f t="shared" si="295"/>
        <v>2.1095938766576929E-3</v>
      </c>
      <c r="AL259" s="55">
        <f t="shared" si="295"/>
        <v>2.1095938766576929E-3</v>
      </c>
      <c r="AM259" s="55">
        <f t="shared" si="295"/>
        <v>2.1095938766576929E-3</v>
      </c>
      <c r="AN259" s="55">
        <f t="shared" si="295"/>
        <v>2.1095938766576929E-3</v>
      </c>
      <c r="AO259" s="55">
        <f t="shared" si="295"/>
        <v>2.1095938766576929E-3</v>
      </c>
      <c r="AP259" s="55">
        <f t="shared" si="295"/>
        <v>2.1095938766576929E-3</v>
      </c>
      <c r="AQ259" s="55">
        <f t="shared" si="295"/>
        <v>2.1095938766576929E-3</v>
      </c>
      <c r="AR259" s="55">
        <f t="shared" si="295"/>
        <v>0</v>
      </c>
      <c r="AS259" s="55">
        <f t="shared" si="295"/>
        <v>0</v>
      </c>
      <c r="AT259" s="55">
        <f t="shared" si="295"/>
        <v>0</v>
      </c>
      <c r="AU259" s="55">
        <f t="shared" si="295"/>
        <v>0</v>
      </c>
      <c r="AV259" s="55">
        <f t="shared" si="295"/>
        <v>0</v>
      </c>
      <c r="AW259" s="55">
        <f t="shared" si="295"/>
        <v>0</v>
      </c>
      <c r="AX259" s="55">
        <f t="shared" si="295"/>
        <v>0</v>
      </c>
      <c r="AY259" s="55">
        <f t="shared" si="295"/>
        <v>0</v>
      </c>
      <c r="AZ259" s="55">
        <f t="shared" si="295"/>
        <v>0</v>
      </c>
      <c r="BA259" s="55">
        <f t="shared" si="295"/>
        <v>0</v>
      </c>
      <c r="BB259" s="55">
        <f t="shared" si="295"/>
        <v>0</v>
      </c>
      <c r="BC259" s="55">
        <f t="shared" si="295"/>
        <v>0</v>
      </c>
      <c r="BD259" s="55">
        <f t="shared" si="295"/>
        <v>0</v>
      </c>
      <c r="BE259" s="55">
        <f t="shared" si="295"/>
        <v>0</v>
      </c>
      <c r="BF259" s="55">
        <f t="shared" si="295"/>
        <v>0</v>
      </c>
      <c r="BG259" s="55">
        <f t="shared" si="295"/>
        <v>0</v>
      </c>
      <c r="BH259" s="55">
        <f t="shared" si="295"/>
        <v>0</v>
      </c>
      <c r="BI259" s="55">
        <f t="shared" si="295"/>
        <v>0</v>
      </c>
      <c r="BJ259" s="55">
        <f t="shared" si="295"/>
        <v>0</v>
      </c>
    </row>
    <row r="260" spans="1:62" x14ac:dyDescent="0.3">
      <c r="A260" s="53" t="str">
        <f t="shared" si="245"/>
        <v>project 44</v>
      </c>
      <c r="C260" s="55">
        <f t="shared" ref="C260:AH260" si="296">IF(AND(C$127&gt;=$K49,C$127&lt;=$L49),$G49*(1+$H49)^(C$127-$B$5),0)</f>
        <v>0</v>
      </c>
      <c r="D260" s="55">
        <f t="shared" si="296"/>
        <v>1.1896206071377959E-3</v>
      </c>
      <c r="E260" s="55">
        <f t="shared" si="296"/>
        <v>1.1896206071377959E-3</v>
      </c>
      <c r="F260" s="55">
        <f t="shared" si="296"/>
        <v>1.1896206071377959E-3</v>
      </c>
      <c r="G260" s="55">
        <f t="shared" si="296"/>
        <v>1.1896206071377959E-3</v>
      </c>
      <c r="H260" s="55">
        <f t="shared" si="296"/>
        <v>1.1896206071377959E-3</v>
      </c>
      <c r="I260" s="55">
        <f t="shared" si="296"/>
        <v>1.1896206071377959E-3</v>
      </c>
      <c r="J260" s="55">
        <f t="shared" si="296"/>
        <v>1.1896206071377959E-3</v>
      </c>
      <c r="K260" s="55">
        <f t="shared" si="296"/>
        <v>1.1896206071377959E-3</v>
      </c>
      <c r="L260" s="55">
        <f t="shared" si="296"/>
        <v>1.1896206071377959E-3</v>
      </c>
      <c r="M260" s="55">
        <f t="shared" si="296"/>
        <v>1.1896206071377959E-3</v>
      </c>
      <c r="N260" s="55">
        <f t="shared" si="296"/>
        <v>1.1896206071377959E-3</v>
      </c>
      <c r="O260" s="55">
        <f t="shared" si="296"/>
        <v>1.1896206071377959E-3</v>
      </c>
      <c r="P260" s="55">
        <f t="shared" si="296"/>
        <v>1.1896206071377959E-3</v>
      </c>
      <c r="Q260" s="55">
        <f t="shared" si="296"/>
        <v>1.1896206071377959E-3</v>
      </c>
      <c r="R260" s="55">
        <f t="shared" si="296"/>
        <v>1.1896206071377959E-3</v>
      </c>
      <c r="S260" s="55">
        <f t="shared" si="296"/>
        <v>1.1896206071377959E-3</v>
      </c>
      <c r="T260" s="55">
        <f t="shared" si="296"/>
        <v>1.1896206071377959E-3</v>
      </c>
      <c r="U260" s="55">
        <f t="shared" si="296"/>
        <v>1.1896206071377959E-3</v>
      </c>
      <c r="V260" s="55">
        <f t="shared" si="296"/>
        <v>1.1896206071377959E-3</v>
      </c>
      <c r="W260" s="55">
        <f t="shared" si="296"/>
        <v>1.1896206071377959E-3</v>
      </c>
      <c r="X260" s="55">
        <f t="shared" si="296"/>
        <v>1.1896206071377959E-3</v>
      </c>
      <c r="Y260" s="55">
        <f t="shared" si="296"/>
        <v>1.1896206071377959E-3</v>
      </c>
      <c r="Z260" s="55">
        <f t="shared" si="296"/>
        <v>1.1896206071377959E-3</v>
      </c>
      <c r="AA260" s="55">
        <f t="shared" si="296"/>
        <v>1.1896206071377959E-3</v>
      </c>
      <c r="AB260" s="55">
        <f t="shared" si="296"/>
        <v>1.1896206071377959E-3</v>
      </c>
      <c r="AC260" s="55">
        <f t="shared" si="296"/>
        <v>1.1896206071377959E-3</v>
      </c>
      <c r="AD260" s="55">
        <f t="shared" si="296"/>
        <v>1.1896206071377959E-3</v>
      </c>
      <c r="AE260" s="55">
        <f t="shared" si="296"/>
        <v>1.1896206071377959E-3</v>
      </c>
      <c r="AF260" s="55">
        <f t="shared" si="296"/>
        <v>1.1896206071377959E-3</v>
      </c>
      <c r="AG260" s="55">
        <f t="shared" si="296"/>
        <v>1.1896206071377959E-3</v>
      </c>
      <c r="AH260" s="55">
        <f t="shared" si="296"/>
        <v>1.1896206071377959E-3</v>
      </c>
      <c r="AI260" s="55">
        <f t="shared" ref="AI260:BJ260" si="297">IF(AND(AI$127&gt;=$K49,AI$127&lt;=$L49),$G49*(1+$H49)^(AI$127-$B$5),0)</f>
        <v>1.1896206071377959E-3</v>
      </c>
      <c r="AJ260" s="55">
        <f t="shared" si="297"/>
        <v>1.1896206071377959E-3</v>
      </c>
      <c r="AK260" s="55">
        <f t="shared" si="297"/>
        <v>1.1896206071377959E-3</v>
      </c>
      <c r="AL260" s="55">
        <f t="shared" si="297"/>
        <v>1.1896206071377959E-3</v>
      </c>
      <c r="AM260" s="55">
        <f t="shared" si="297"/>
        <v>1.1896206071377959E-3</v>
      </c>
      <c r="AN260" s="55">
        <f t="shared" si="297"/>
        <v>1.1896206071377959E-3</v>
      </c>
      <c r="AO260" s="55">
        <f t="shared" si="297"/>
        <v>1.1896206071377959E-3</v>
      </c>
      <c r="AP260" s="55">
        <f t="shared" si="297"/>
        <v>1.1896206071377959E-3</v>
      </c>
      <c r="AQ260" s="55">
        <f t="shared" si="297"/>
        <v>1.1896206071377959E-3</v>
      </c>
      <c r="AR260" s="55">
        <f t="shared" si="297"/>
        <v>0</v>
      </c>
      <c r="AS260" s="55">
        <f t="shared" si="297"/>
        <v>0</v>
      </c>
      <c r="AT260" s="55">
        <f t="shared" si="297"/>
        <v>0</v>
      </c>
      <c r="AU260" s="55">
        <f t="shared" si="297"/>
        <v>0</v>
      </c>
      <c r="AV260" s="55">
        <f t="shared" si="297"/>
        <v>0</v>
      </c>
      <c r="AW260" s="55">
        <f t="shared" si="297"/>
        <v>0</v>
      </c>
      <c r="AX260" s="55">
        <f t="shared" si="297"/>
        <v>0</v>
      </c>
      <c r="AY260" s="55">
        <f t="shared" si="297"/>
        <v>0</v>
      </c>
      <c r="AZ260" s="55">
        <f t="shared" si="297"/>
        <v>0</v>
      </c>
      <c r="BA260" s="55">
        <f t="shared" si="297"/>
        <v>0</v>
      </c>
      <c r="BB260" s="55">
        <f t="shared" si="297"/>
        <v>0</v>
      </c>
      <c r="BC260" s="55">
        <f t="shared" si="297"/>
        <v>0</v>
      </c>
      <c r="BD260" s="55">
        <f t="shared" si="297"/>
        <v>0</v>
      </c>
      <c r="BE260" s="55">
        <f t="shared" si="297"/>
        <v>0</v>
      </c>
      <c r="BF260" s="55">
        <f t="shared" si="297"/>
        <v>0</v>
      </c>
      <c r="BG260" s="55">
        <f t="shared" si="297"/>
        <v>0</v>
      </c>
      <c r="BH260" s="55">
        <f t="shared" si="297"/>
        <v>0</v>
      </c>
      <c r="BI260" s="55">
        <f t="shared" si="297"/>
        <v>0</v>
      </c>
      <c r="BJ260" s="55">
        <f t="shared" si="297"/>
        <v>0</v>
      </c>
    </row>
    <row r="261" spans="1:62" x14ac:dyDescent="0.3">
      <c r="A261" s="53" t="str">
        <f t="shared" si="245"/>
        <v>project 47</v>
      </c>
      <c r="C261" s="55">
        <f t="shared" ref="C261:AH261" si="298">IF(AND(C$127&gt;=$K50,C$127&lt;=$L50),$G50*(1+$H50)^(C$127-$B$5),0)</f>
        <v>0</v>
      </c>
      <c r="D261" s="55">
        <f t="shared" si="298"/>
        <v>0</v>
      </c>
      <c r="E261" s="55">
        <f t="shared" si="298"/>
        <v>0</v>
      </c>
      <c r="F261" s="55">
        <f t="shared" si="298"/>
        <v>0</v>
      </c>
      <c r="G261" s="55">
        <f t="shared" si="298"/>
        <v>0</v>
      </c>
      <c r="H261" s="55">
        <f t="shared" si="298"/>
        <v>0</v>
      </c>
      <c r="I261" s="55">
        <f t="shared" si="298"/>
        <v>0</v>
      </c>
      <c r="J261" s="55">
        <f t="shared" si="298"/>
        <v>0</v>
      </c>
      <c r="K261" s="55">
        <f t="shared" si="298"/>
        <v>0</v>
      </c>
      <c r="L261" s="55">
        <f t="shared" si="298"/>
        <v>0</v>
      </c>
      <c r="M261" s="55">
        <f t="shared" si="298"/>
        <v>0</v>
      </c>
      <c r="N261" s="55">
        <f t="shared" si="298"/>
        <v>0</v>
      </c>
      <c r="O261" s="55">
        <f t="shared" si="298"/>
        <v>0</v>
      </c>
      <c r="P261" s="55">
        <f t="shared" si="298"/>
        <v>0.16472886716410709</v>
      </c>
      <c r="Q261" s="55">
        <f t="shared" si="298"/>
        <v>0.16472886716410709</v>
      </c>
      <c r="R261" s="55">
        <f t="shared" si="298"/>
        <v>0.16472886716410709</v>
      </c>
      <c r="S261" s="55">
        <f t="shared" si="298"/>
        <v>0.16472886716410709</v>
      </c>
      <c r="T261" s="55">
        <f t="shared" si="298"/>
        <v>0.16472886716410709</v>
      </c>
      <c r="U261" s="55">
        <f t="shared" si="298"/>
        <v>0.16472886716410709</v>
      </c>
      <c r="V261" s="55">
        <f t="shared" si="298"/>
        <v>0.16472886716410709</v>
      </c>
      <c r="W261" s="55">
        <f t="shared" si="298"/>
        <v>0.16472886716410709</v>
      </c>
      <c r="X261" s="55">
        <f t="shared" si="298"/>
        <v>0.16472886716410709</v>
      </c>
      <c r="Y261" s="55">
        <f t="shared" si="298"/>
        <v>0.16472886716410709</v>
      </c>
      <c r="Z261" s="55">
        <f t="shared" si="298"/>
        <v>0.16472886716410709</v>
      </c>
      <c r="AA261" s="55">
        <f t="shared" si="298"/>
        <v>0.16472886716410709</v>
      </c>
      <c r="AB261" s="55">
        <f t="shared" si="298"/>
        <v>0.16472886716410709</v>
      </c>
      <c r="AC261" s="55">
        <f t="shared" si="298"/>
        <v>0.16472886716410709</v>
      </c>
      <c r="AD261" s="55">
        <f t="shared" si="298"/>
        <v>0.16472886716410709</v>
      </c>
      <c r="AE261" s="55">
        <f t="shared" si="298"/>
        <v>0.16472886716410709</v>
      </c>
      <c r="AF261" s="55">
        <f t="shared" si="298"/>
        <v>0.16472886716410709</v>
      </c>
      <c r="AG261" s="55">
        <f t="shared" si="298"/>
        <v>0.16472886716410709</v>
      </c>
      <c r="AH261" s="55">
        <f t="shared" si="298"/>
        <v>0.16472886716410709</v>
      </c>
      <c r="AI261" s="55">
        <f t="shared" ref="AI261:BJ261" si="299">IF(AND(AI$127&gt;=$K50,AI$127&lt;=$L50),$G50*(1+$H50)^(AI$127-$B$5),0)</f>
        <v>0.16472886716410709</v>
      </c>
      <c r="AJ261" s="55">
        <f t="shared" si="299"/>
        <v>0.16472886716410709</v>
      </c>
      <c r="AK261" s="55">
        <f t="shared" si="299"/>
        <v>0.16472886716410709</v>
      </c>
      <c r="AL261" s="55">
        <f t="shared" si="299"/>
        <v>0.16472886716410709</v>
      </c>
      <c r="AM261" s="55">
        <f t="shared" si="299"/>
        <v>0.16472886716410709</v>
      </c>
      <c r="AN261" s="55">
        <f t="shared" si="299"/>
        <v>0.16472886716410709</v>
      </c>
      <c r="AO261" s="55">
        <f t="shared" si="299"/>
        <v>0.16472886716410709</v>
      </c>
      <c r="AP261" s="55">
        <f t="shared" si="299"/>
        <v>0.16472886716410709</v>
      </c>
      <c r="AQ261" s="55">
        <f t="shared" si="299"/>
        <v>0.16472886716410709</v>
      </c>
      <c r="AR261" s="55">
        <f t="shared" si="299"/>
        <v>0.16472886716410709</v>
      </c>
      <c r="AS261" s="55">
        <f t="shared" si="299"/>
        <v>0.16472886716410709</v>
      </c>
      <c r="AT261" s="55">
        <f t="shared" si="299"/>
        <v>0.16472886716410709</v>
      </c>
      <c r="AU261" s="55">
        <f t="shared" si="299"/>
        <v>0.16472886716410709</v>
      </c>
      <c r="AV261" s="55">
        <f t="shared" si="299"/>
        <v>0.16472886716410709</v>
      </c>
      <c r="AW261" s="55">
        <f t="shared" si="299"/>
        <v>0.16472886716410709</v>
      </c>
      <c r="AX261" s="55">
        <f t="shared" si="299"/>
        <v>0.16472886716410709</v>
      </c>
      <c r="AY261" s="55">
        <f t="shared" si="299"/>
        <v>0.16472886716410709</v>
      </c>
      <c r="AZ261" s="55">
        <f t="shared" si="299"/>
        <v>0.16472886716410709</v>
      </c>
      <c r="BA261" s="55">
        <f t="shared" si="299"/>
        <v>0.16472886716410709</v>
      </c>
      <c r="BB261" s="55">
        <f t="shared" si="299"/>
        <v>0.16472886716410709</v>
      </c>
      <c r="BC261" s="55">
        <f t="shared" si="299"/>
        <v>0.16472886716410709</v>
      </c>
      <c r="BD261" s="55">
        <f t="shared" si="299"/>
        <v>0</v>
      </c>
      <c r="BE261" s="55">
        <f t="shared" si="299"/>
        <v>0</v>
      </c>
      <c r="BF261" s="55">
        <f t="shared" si="299"/>
        <v>0</v>
      </c>
      <c r="BG261" s="55">
        <f t="shared" si="299"/>
        <v>0</v>
      </c>
      <c r="BH261" s="55">
        <f t="shared" si="299"/>
        <v>0</v>
      </c>
      <c r="BI261" s="55">
        <f t="shared" si="299"/>
        <v>0</v>
      </c>
      <c r="BJ261" s="55">
        <f t="shared" si="299"/>
        <v>0</v>
      </c>
    </row>
    <row r="262" spans="1:62" x14ac:dyDescent="0.3">
      <c r="A262" s="53" t="str">
        <f t="shared" si="245"/>
        <v>project 48</v>
      </c>
      <c r="C262" s="55">
        <f t="shared" ref="C262:AH262" si="300">IF(AND(C$127&gt;=$K51,C$127&lt;=$L51),$G51*(1+$H51)^(C$127-$B$5),0)</f>
        <v>0</v>
      </c>
      <c r="D262" s="55">
        <f t="shared" si="300"/>
        <v>0</v>
      </c>
      <c r="E262" s="55">
        <f t="shared" si="300"/>
        <v>0.25748490235329041</v>
      </c>
      <c r="F262" s="55">
        <f t="shared" si="300"/>
        <v>0.25748490235329041</v>
      </c>
      <c r="G262" s="55">
        <f t="shared" si="300"/>
        <v>0.25748490235329041</v>
      </c>
      <c r="H262" s="55">
        <f t="shared" si="300"/>
        <v>0.25748490235329041</v>
      </c>
      <c r="I262" s="55">
        <f t="shared" si="300"/>
        <v>0.25748490235329041</v>
      </c>
      <c r="J262" s="55">
        <f t="shared" si="300"/>
        <v>0.25748490235329041</v>
      </c>
      <c r="K262" s="55">
        <f t="shared" si="300"/>
        <v>0.25748490235329041</v>
      </c>
      <c r="L262" s="55">
        <f t="shared" si="300"/>
        <v>0.25748490235329041</v>
      </c>
      <c r="M262" s="55">
        <f t="shared" si="300"/>
        <v>0.25748490235329041</v>
      </c>
      <c r="N262" s="55">
        <f t="shared" si="300"/>
        <v>0.25748490235329041</v>
      </c>
      <c r="O262" s="55">
        <f t="shared" si="300"/>
        <v>0.25748490235329041</v>
      </c>
      <c r="P262" s="55">
        <f t="shared" si="300"/>
        <v>0.25748490235329041</v>
      </c>
      <c r="Q262" s="55">
        <f t="shared" si="300"/>
        <v>0.25748490235329041</v>
      </c>
      <c r="R262" s="55">
        <f t="shared" si="300"/>
        <v>0.25748490235329041</v>
      </c>
      <c r="S262" s="55">
        <f t="shared" si="300"/>
        <v>0.25748490235329041</v>
      </c>
      <c r="T262" s="55">
        <f t="shared" si="300"/>
        <v>0.25748490235329041</v>
      </c>
      <c r="U262" s="55">
        <f t="shared" si="300"/>
        <v>0.25748490235329041</v>
      </c>
      <c r="V262" s="55">
        <f t="shared" si="300"/>
        <v>0.25748490235329041</v>
      </c>
      <c r="W262" s="55">
        <f t="shared" si="300"/>
        <v>0.25748490235329041</v>
      </c>
      <c r="X262" s="55">
        <f t="shared" si="300"/>
        <v>0.25748490235329041</v>
      </c>
      <c r="Y262" s="55">
        <f t="shared" si="300"/>
        <v>0.25748490235329041</v>
      </c>
      <c r="Z262" s="55">
        <f t="shared" si="300"/>
        <v>0.25748490235329041</v>
      </c>
      <c r="AA262" s="55">
        <f t="shared" si="300"/>
        <v>0.25748490235329041</v>
      </c>
      <c r="AB262" s="55">
        <f t="shared" si="300"/>
        <v>0.25748490235329041</v>
      </c>
      <c r="AC262" s="55">
        <f t="shared" si="300"/>
        <v>0.25748490235329041</v>
      </c>
      <c r="AD262" s="55">
        <f t="shared" si="300"/>
        <v>0.25748490235329041</v>
      </c>
      <c r="AE262" s="55">
        <f t="shared" si="300"/>
        <v>0.25748490235329041</v>
      </c>
      <c r="AF262" s="55">
        <f t="shared" si="300"/>
        <v>0.25748490235329041</v>
      </c>
      <c r="AG262" s="55">
        <f t="shared" si="300"/>
        <v>0.25748490235329041</v>
      </c>
      <c r="AH262" s="55">
        <f t="shared" si="300"/>
        <v>0.25748490235329041</v>
      </c>
      <c r="AI262" s="55">
        <f t="shared" ref="AI262:BJ262" si="301">IF(AND(AI$127&gt;=$K51,AI$127&lt;=$L51),$G51*(1+$H51)^(AI$127-$B$5),0)</f>
        <v>0.25748490235329041</v>
      </c>
      <c r="AJ262" s="55">
        <f t="shared" si="301"/>
        <v>0.25748490235329041</v>
      </c>
      <c r="AK262" s="55">
        <f t="shared" si="301"/>
        <v>0.25748490235329041</v>
      </c>
      <c r="AL262" s="55">
        <f t="shared" si="301"/>
        <v>0.25748490235329041</v>
      </c>
      <c r="AM262" s="55">
        <f t="shared" si="301"/>
        <v>0.25748490235329041</v>
      </c>
      <c r="AN262" s="55">
        <f t="shared" si="301"/>
        <v>0.25748490235329041</v>
      </c>
      <c r="AO262" s="55">
        <f t="shared" si="301"/>
        <v>0.25748490235329041</v>
      </c>
      <c r="AP262" s="55">
        <f t="shared" si="301"/>
        <v>0.25748490235329041</v>
      </c>
      <c r="AQ262" s="55">
        <f t="shared" si="301"/>
        <v>0.25748490235329041</v>
      </c>
      <c r="AR262" s="55">
        <f t="shared" si="301"/>
        <v>0.25748490235329041</v>
      </c>
      <c r="AS262" s="55">
        <f t="shared" si="301"/>
        <v>0</v>
      </c>
      <c r="AT262" s="55">
        <f t="shared" si="301"/>
        <v>0</v>
      </c>
      <c r="AU262" s="55">
        <f t="shared" si="301"/>
        <v>0</v>
      </c>
      <c r="AV262" s="55">
        <f t="shared" si="301"/>
        <v>0</v>
      </c>
      <c r="AW262" s="55">
        <f t="shared" si="301"/>
        <v>0</v>
      </c>
      <c r="AX262" s="55">
        <f t="shared" si="301"/>
        <v>0</v>
      </c>
      <c r="AY262" s="55">
        <f t="shared" si="301"/>
        <v>0</v>
      </c>
      <c r="AZ262" s="55">
        <f t="shared" si="301"/>
        <v>0</v>
      </c>
      <c r="BA262" s="55">
        <f t="shared" si="301"/>
        <v>0</v>
      </c>
      <c r="BB262" s="55">
        <f t="shared" si="301"/>
        <v>0</v>
      </c>
      <c r="BC262" s="55">
        <f t="shared" si="301"/>
        <v>0</v>
      </c>
      <c r="BD262" s="55">
        <f t="shared" si="301"/>
        <v>0</v>
      </c>
      <c r="BE262" s="55">
        <f t="shared" si="301"/>
        <v>0</v>
      </c>
      <c r="BF262" s="55">
        <f t="shared" si="301"/>
        <v>0</v>
      </c>
      <c r="BG262" s="55">
        <f t="shared" si="301"/>
        <v>0</v>
      </c>
      <c r="BH262" s="55">
        <f t="shared" si="301"/>
        <v>0</v>
      </c>
      <c r="BI262" s="55">
        <f t="shared" si="301"/>
        <v>0</v>
      </c>
      <c r="BJ262" s="55">
        <f t="shared" si="301"/>
        <v>0</v>
      </c>
    </row>
    <row r="263" spans="1:62" x14ac:dyDescent="0.3">
      <c r="A263" s="53" t="str">
        <f t="shared" si="245"/>
        <v>project 50</v>
      </c>
      <c r="C263" s="55">
        <f t="shared" ref="C263:AH263" si="302">IF(AND(C$127&gt;=$K52,C$127&lt;=$L52),$G52*(1+$H52)^(C$127-$B$5),0)</f>
        <v>0</v>
      </c>
      <c r="D263" s="55">
        <f t="shared" si="302"/>
        <v>0</v>
      </c>
      <c r="E263" s="55">
        <f t="shared" si="302"/>
        <v>0</v>
      </c>
      <c r="F263" s="55">
        <f t="shared" si="302"/>
        <v>0</v>
      </c>
      <c r="G263" s="55">
        <f t="shared" si="302"/>
        <v>0</v>
      </c>
      <c r="H263" s="55">
        <f t="shared" si="302"/>
        <v>0</v>
      </c>
      <c r="I263" s="55">
        <f t="shared" si="302"/>
        <v>0</v>
      </c>
      <c r="J263" s="55">
        <f t="shared" si="302"/>
        <v>0</v>
      </c>
      <c r="K263" s="55">
        <f t="shared" si="302"/>
        <v>0</v>
      </c>
      <c r="L263" s="55">
        <f t="shared" si="302"/>
        <v>2.7611007066820372</v>
      </c>
      <c r="M263" s="55">
        <f t="shared" si="302"/>
        <v>2.7611007066820372</v>
      </c>
      <c r="N263" s="55">
        <f t="shared" si="302"/>
        <v>2.7611007066820372</v>
      </c>
      <c r="O263" s="55">
        <f t="shared" si="302"/>
        <v>2.7611007066820372</v>
      </c>
      <c r="P263" s="55">
        <f t="shared" si="302"/>
        <v>2.7611007066820372</v>
      </c>
      <c r="Q263" s="55">
        <f t="shared" si="302"/>
        <v>2.7611007066820372</v>
      </c>
      <c r="R263" s="55">
        <f t="shared" si="302"/>
        <v>2.7611007066820372</v>
      </c>
      <c r="S263" s="55">
        <f t="shared" si="302"/>
        <v>2.7611007066820372</v>
      </c>
      <c r="T263" s="55">
        <f t="shared" si="302"/>
        <v>2.7611007066820372</v>
      </c>
      <c r="U263" s="55">
        <f t="shared" si="302"/>
        <v>2.7611007066820372</v>
      </c>
      <c r="V263" s="55">
        <f t="shared" si="302"/>
        <v>2.7611007066820372</v>
      </c>
      <c r="W263" s="55">
        <f t="shared" si="302"/>
        <v>2.7611007066820372</v>
      </c>
      <c r="X263" s="55">
        <f t="shared" si="302"/>
        <v>2.7611007066820372</v>
      </c>
      <c r="Y263" s="55">
        <f t="shared" si="302"/>
        <v>2.7611007066820372</v>
      </c>
      <c r="Z263" s="55">
        <f t="shared" si="302"/>
        <v>2.7611007066820372</v>
      </c>
      <c r="AA263" s="55">
        <f t="shared" si="302"/>
        <v>2.7611007066820372</v>
      </c>
      <c r="AB263" s="55">
        <f t="shared" si="302"/>
        <v>2.7611007066820372</v>
      </c>
      <c r="AC263" s="55">
        <f t="shared" si="302"/>
        <v>2.7611007066820372</v>
      </c>
      <c r="AD263" s="55">
        <f t="shared" si="302"/>
        <v>2.7611007066820372</v>
      </c>
      <c r="AE263" s="55">
        <f t="shared" si="302"/>
        <v>2.7611007066820372</v>
      </c>
      <c r="AF263" s="55">
        <f t="shared" si="302"/>
        <v>2.7611007066820372</v>
      </c>
      <c r="AG263" s="55">
        <f t="shared" si="302"/>
        <v>2.7611007066820372</v>
      </c>
      <c r="AH263" s="55">
        <f t="shared" si="302"/>
        <v>2.7611007066820372</v>
      </c>
      <c r="AI263" s="55">
        <f t="shared" ref="AI263:BJ263" si="303">IF(AND(AI$127&gt;=$K52,AI$127&lt;=$L52),$G52*(1+$H52)^(AI$127-$B$5),0)</f>
        <v>2.7611007066820372</v>
      </c>
      <c r="AJ263" s="55">
        <f t="shared" si="303"/>
        <v>2.7611007066820372</v>
      </c>
      <c r="AK263" s="55">
        <f t="shared" si="303"/>
        <v>2.7611007066820372</v>
      </c>
      <c r="AL263" s="55">
        <f t="shared" si="303"/>
        <v>2.7611007066820372</v>
      </c>
      <c r="AM263" s="55">
        <f t="shared" si="303"/>
        <v>2.7611007066820372</v>
      </c>
      <c r="AN263" s="55">
        <f t="shared" si="303"/>
        <v>2.7611007066820372</v>
      </c>
      <c r="AO263" s="55">
        <f t="shared" si="303"/>
        <v>2.7611007066820372</v>
      </c>
      <c r="AP263" s="55">
        <f t="shared" si="303"/>
        <v>2.7611007066820372</v>
      </c>
      <c r="AQ263" s="55">
        <f t="shared" si="303"/>
        <v>2.7611007066820372</v>
      </c>
      <c r="AR263" s="55">
        <f t="shared" si="303"/>
        <v>2.7611007066820372</v>
      </c>
      <c r="AS263" s="55">
        <f t="shared" si="303"/>
        <v>2.7611007066820372</v>
      </c>
      <c r="AT263" s="55">
        <f t="shared" si="303"/>
        <v>2.7611007066820372</v>
      </c>
      <c r="AU263" s="55">
        <f t="shared" si="303"/>
        <v>2.7611007066820372</v>
      </c>
      <c r="AV263" s="55">
        <f t="shared" si="303"/>
        <v>2.7611007066820372</v>
      </c>
      <c r="AW263" s="55">
        <f t="shared" si="303"/>
        <v>2.7611007066820372</v>
      </c>
      <c r="AX263" s="55">
        <f t="shared" si="303"/>
        <v>2.7611007066820372</v>
      </c>
      <c r="AY263" s="55">
        <f t="shared" si="303"/>
        <v>2.7611007066820372</v>
      </c>
      <c r="AZ263" s="55">
        <f t="shared" si="303"/>
        <v>0</v>
      </c>
      <c r="BA263" s="55">
        <f t="shared" si="303"/>
        <v>0</v>
      </c>
      <c r="BB263" s="55">
        <f t="shared" si="303"/>
        <v>0</v>
      </c>
      <c r="BC263" s="55">
        <f t="shared" si="303"/>
        <v>0</v>
      </c>
      <c r="BD263" s="55">
        <f t="shared" si="303"/>
        <v>0</v>
      </c>
      <c r="BE263" s="55">
        <f t="shared" si="303"/>
        <v>0</v>
      </c>
      <c r="BF263" s="55">
        <f t="shared" si="303"/>
        <v>0</v>
      </c>
      <c r="BG263" s="55">
        <f t="shared" si="303"/>
        <v>0</v>
      </c>
      <c r="BH263" s="55">
        <f t="shared" si="303"/>
        <v>0</v>
      </c>
      <c r="BI263" s="55">
        <f t="shared" si="303"/>
        <v>0</v>
      </c>
      <c r="BJ263" s="55">
        <f t="shared" si="303"/>
        <v>0</v>
      </c>
    </row>
    <row r="264" spans="1:62" x14ac:dyDescent="0.3">
      <c r="A264" s="53" t="str">
        <f t="shared" si="245"/>
        <v>project 51</v>
      </c>
      <c r="C264" s="55">
        <f t="shared" ref="C264:AH264" si="304">IF(AND(C$127&gt;=$K53,C$127&lt;=$L53),$G53*(1+$H53)^(C$127-$B$5),0)</f>
        <v>0</v>
      </c>
      <c r="D264" s="55">
        <f t="shared" si="304"/>
        <v>0</v>
      </c>
      <c r="E264" s="55">
        <f t="shared" si="304"/>
        <v>0</v>
      </c>
      <c r="F264" s="55">
        <f t="shared" si="304"/>
        <v>0</v>
      </c>
      <c r="G264" s="55">
        <f t="shared" si="304"/>
        <v>0</v>
      </c>
      <c r="H264" s="55">
        <f t="shared" si="304"/>
        <v>0</v>
      </c>
      <c r="I264" s="55">
        <f t="shared" si="304"/>
        <v>0</v>
      </c>
      <c r="J264" s="55">
        <f t="shared" si="304"/>
        <v>0</v>
      </c>
      <c r="K264" s="55">
        <f t="shared" si="304"/>
        <v>0</v>
      </c>
      <c r="L264" s="55">
        <f t="shared" si="304"/>
        <v>0</v>
      </c>
      <c r="M264" s="55">
        <f t="shared" si="304"/>
        <v>0</v>
      </c>
      <c r="N264" s="55">
        <f t="shared" si="304"/>
        <v>4.2990494521558889</v>
      </c>
      <c r="O264" s="55">
        <f t="shared" si="304"/>
        <v>4.2990494521558889</v>
      </c>
      <c r="P264" s="55">
        <f t="shared" si="304"/>
        <v>4.2990494521558889</v>
      </c>
      <c r="Q264" s="55">
        <f t="shared" si="304"/>
        <v>4.2990494521558889</v>
      </c>
      <c r="R264" s="55">
        <f t="shared" si="304"/>
        <v>4.2990494521558889</v>
      </c>
      <c r="S264" s="55">
        <f t="shared" si="304"/>
        <v>4.2990494521558889</v>
      </c>
      <c r="T264" s="55">
        <f t="shared" si="304"/>
        <v>4.2990494521558889</v>
      </c>
      <c r="U264" s="55">
        <f t="shared" si="304"/>
        <v>4.2990494521558889</v>
      </c>
      <c r="V264" s="55">
        <f t="shared" si="304"/>
        <v>4.2990494521558889</v>
      </c>
      <c r="W264" s="55">
        <f t="shared" si="304"/>
        <v>4.2990494521558889</v>
      </c>
      <c r="X264" s="55">
        <f t="shared" si="304"/>
        <v>4.2990494521558889</v>
      </c>
      <c r="Y264" s="55">
        <f t="shared" si="304"/>
        <v>4.2990494521558889</v>
      </c>
      <c r="Z264" s="55">
        <f t="shared" si="304"/>
        <v>4.2990494521558889</v>
      </c>
      <c r="AA264" s="55">
        <f t="shared" si="304"/>
        <v>4.2990494521558889</v>
      </c>
      <c r="AB264" s="55">
        <f t="shared" si="304"/>
        <v>4.2990494521558889</v>
      </c>
      <c r="AC264" s="55">
        <f t="shared" si="304"/>
        <v>4.2990494521558889</v>
      </c>
      <c r="AD264" s="55">
        <f t="shared" si="304"/>
        <v>4.2990494521558889</v>
      </c>
      <c r="AE264" s="55">
        <f t="shared" si="304"/>
        <v>4.2990494521558889</v>
      </c>
      <c r="AF264" s="55">
        <f t="shared" si="304"/>
        <v>4.2990494521558889</v>
      </c>
      <c r="AG264" s="55">
        <f t="shared" si="304"/>
        <v>4.2990494521558889</v>
      </c>
      <c r="AH264" s="55">
        <f t="shared" si="304"/>
        <v>4.2990494521558889</v>
      </c>
      <c r="AI264" s="55">
        <f t="shared" ref="AI264:BJ264" si="305">IF(AND(AI$127&gt;=$K53,AI$127&lt;=$L53),$G53*(1+$H53)^(AI$127-$B$5),0)</f>
        <v>4.2990494521558889</v>
      </c>
      <c r="AJ264" s="55">
        <f t="shared" si="305"/>
        <v>4.2990494521558889</v>
      </c>
      <c r="AK264" s="55">
        <f t="shared" si="305"/>
        <v>4.2990494521558889</v>
      </c>
      <c r="AL264" s="55">
        <f t="shared" si="305"/>
        <v>4.2990494521558889</v>
      </c>
      <c r="AM264" s="55">
        <f t="shared" si="305"/>
        <v>4.2990494521558889</v>
      </c>
      <c r="AN264" s="55">
        <f t="shared" si="305"/>
        <v>4.2990494521558889</v>
      </c>
      <c r="AO264" s="55">
        <f t="shared" si="305"/>
        <v>4.2990494521558889</v>
      </c>
      <c r="AP264" s="55">
        <f t="shared" si="305"/>
        <v>4.2990494521558889</v>
      </c>
      <c r="AQ264" s="55">
        <f t="shared" si="305"/>
        <v>4.2990494521558889</v>
      </c>
      <c r="AR264" s="55">
        <f t="shared" si="305"/>
        <v>4.2990494521558889</v>
      </c>
      <c r="AS264" s="55">
        <f t="shared" si="305"/>
        <v>4.2990494521558889</v>
      </c>
      <c r="AT264" s="55">
        <f t="shared" si="305"/>
        <v>4.2990494521558889</v>
      </c>
      <c r="AU264" s="55">
        <f t="shared" si="305"/>
        <v>4.2990494521558889</v>
      </c>
      <c r="AV264" s="55">
        <f t="shared" si="305"/>
        <v>4.2990494521558889</v>
      </c>
      <c r="AW264" s="55">
        <f t="shared" si="305"/>
        <v>4.2990494521558889</v>
      </c>
      <c r="AX264" s="55">
        <f t="shared" si="305"/>
        <v>4.2990494521558889</v>
      </c>
      <c r="AY264" s="55">
        <f t="shared" si="305"/>
        <v>4.2990494521558889</v>
      </c>
      <c r="AZ264" s="55">
        <f t="shared" si="305"/>
        <v>4.2990494521558889</v>
      </c>
      <c r="BA264" s="55">
        <f t="shared" si="305"/>
        <v>4.2990494521558889</v>
      </c>
      <c r="BB264" s="55">
        <f t="shared" si="305"/>
        <v>0</v>
      </c>
      <c r="BC264" s="55">
        <f t="shared" si="305"/>
        <v>0</v>
      </c>
      <c r="BD264" s="55">
        <f t="shared" si="305"/>
        <v>0</v>
      </c>
      <c r="BE264" s="55">
        <f t="shared" si="305"/>
        <v>0</v>
      </c>
      <c r="BF264" s="55">
        <f t="shared" si="305"/>
        <v>0</v>
      </c>
      <c r="BG264" s="55">
        <f t="shared" si="305"/>
        <v>0</v>
      </c>
      <c r="BH264" s="55">
        <f t="shared" si="305"/>
        <v>0</v>
      </c>
      <c r="BI264" s="55">
        <f t="shared" si="305"/>
        <v>0</v>
      </c>
      <c r="BJ264" s="55">
        <f t="shared" si="305"/>
        <v>0</v>
      </c>
    </row>
    <row r="265" spans="1:62" x14ac:dyDescent="0.3">
      <c r="A265" s="53" t="str">
        <f t="shared" si="245"/>
        <v>project 53</v>
      </c>
      <c r="C265" s="55">
        <f t="shared" ref="C265:AH265" si="306">IF(AND(C$127&gt;=$K54,C$127&lt;=$L54),$G54*(1+$H54)^(C$127-$B$5),0)</f>
        <v>0</v>
      </c>
      <c r="D265" s="55">
        <f t="shared" si="306"/>
        <v>0</v>
      </c>
      <c r="E265" s="55">
        <f t="shared" si="306"/>
        <v>0</v>
      </c>
      <c r="F265" s="55">
        <f t="shared" si="306"/>
        <v>0</v>
      </c>
      <c r="G265" s="55">
        <f t="shared" si="306"/>
        <v>0</v>
      </c>
      <c r="H265" s="55">
        <f t="shared" si="306"/>
        <v>0</v>
      </c>
      <c r="I265" s="55">
        <f t="shared" si="306"/>
        <v>0</v>
      </c>
      <c r="J265" s="55">
        <f t="shared" si="306"/>
        <v>0</v>
      </c>
      <c r="K265" s="55">
        <f t="shared" si="306"/>
        <v>0</v>
      </c>
      <c r="L265" s="55">
        <f t="shared" si="306"/>
        <v>0</v>
      </c>
      <c r="M265" s="55">
        <f t="shared" si="306"/>
        <v>0</v>
      </c>
      <c r="N265" s="55">
        <f t="shared" si="306"/>
        <v>0</v>
      </c>
      <c r="O265" s="55">
        <f t="shared" si="306"/>
        <v>0</v>
      </c>
      <c r="P265" s="55">
        <f t="shared" si="306"/>
        <v>0</v>
      </c>
      <c r="Q265" s="55">
        <f t="shared" si="306"/>
        <v>0</v>
      </c>
      <c r="R265" s="55">
        <f t="shared" si="306"/>
        <v>0</v>
      </c>
      <c r="S265" s="55">
        <f t="shared" si="306"/>
        <v>0</v>
      </c>
      <c r="T265" s="55">
        <f t="shared" si="306"/>
        <v>0.1261730536150158</v>
      </c>
      <c r="U265" s="55">
        <f t="shared" si="306"/>
        <v>0.1261730536150158</v>
      </c>
      <c r="V265" s="55">
        <f t="shared" si="306"/>
        <v>0.1261730536150158</v>
      </c>
      <c r="W265" s="55">
        <f t="shared" si="306"/>
        <v>0.1261730536150158</v>
      </c>
      <c r="X265" s="55">
        <f t="shared" si="306"/>
        <v>0.1261730536150158</v>
      </c>
      <c r="Y265" s="55">
        <f t="shared" si="306"/>
        <v>0.1261730536150158</v>
      </c>
      <c r="Z265" s="55">
        <f t="shared" si="306"/>
        <v>0.1261730536150158</v>
      </c>
      <c r="AA265" s="55">
        <f t="shared" si="306"/>
        <v>0.1261730536150158</v>
      </c>
      <c r="AB265" s="55">
        <f t="shared" si="306"/>
        <v>0.1261730536150158</v>
      </c>
      <c r="AC265" s="55">
        <f t="shared" si="306"/>
        <v>0.1261730536150158</v>
      </c>
      <c r="AD265" s="55">
        <f t="shared" si="306"/>
        <v>0.1261730536150158</v>
      </c>
      <c r="AE265" s="55">
        <f t="shared" si="306"/>
        <v>0.1261730536150158</v>
      </c>
      <c r="AF265" s="55">
        <f t="shared" si="306"/>
        <v>0.1261730536150158</v>
      </c>
      <c r="AG265" s="55">
        <f t="shared" si="306"/>
        <v>0.1261730536150158</v>
      </c>
      <c r="AH265" s="55">
        <f t="shared" si="306"/>
        <v>0.1261730536150158</v>
      </c>
      <c r="AI265" s="55">
        <f t="shared" ref="AI265:BJ265" si="307">IF(AND(AI$127&gt;=$K54,AI$127&lt;=$L54),$G54*(1+$H54)^(AI$127-$B$5),0)</f>
        <v>0.1261730536150158</v>
      </c>
      <c r="AJ265" s="55">
        <f t="shared" si="307"/>
        <v>0.1261730536150158</v>
      </c>
      <c r="AK265" s="55">
        <f t="shared" si="307"/>
        <v>0.1261730536150158</v>
      </c>
      <c r="AL265" s="55">
        <f t="shared" si="307"/>
        <v>0.1261730536150158</v>
      </c>
      <c r="AM265" s="55">
        <f t="shared" si="307"/>
        <v>0.1261730536150158</v>
      </c>
      <c r="AN265" s="55">
        <f t="shared" si="307"/>
        <v>0.1261730536150158</v>
      </c>
      <c r="AO265" s="55">
        <f t="shared" si="307"/>
        <v>0.1261730536150158</v>
      </c>
      <c r="AP265" s="55">
        <f t="shared" si="307"/>
        <v>0.1261730536150158</v>
      </c>
      <c r="AQ265" s="55">
        <f t="shared" si="307"/>
        <v>0.1261730536150158</v>
      </c>
      <c r="AR265" s="55">
        <f t="shared" si="307"/>
        <v>0.1261730536150158</v>
      </c>
      <c r="AS265" s="55">
        <f t="shared" si="307"/>
        <v>0.1261730536150158</v>
      </c>
      <c r="AT265" s="55">
        <f t="shared" si="307"/>
        <v>0.1261730536150158</v>
      </c>
      <c r="AU265" s="55">
        <f t="shared" si="307"/>
        <v>0.1261730536150158</v>
      </c>
      <c r="AV265" s="55">
        <f t="shared" si="307"/>
        <v>0.1261730536150158</v>
      </c>
      <c r="AW265" s="55">
        <f t="shared" si="307"/>
        <v>0.1261730536150158</v>
      </c>
      <c r="AX265" s="55">
        <f t="shared" si="307"/>
        <v>0.1261730536150158</v>
      </c>
      <c r="AY265" s="55">
        <f t="shared" si="307"/>
        <v>0.1261730536150158</v>
      </c>
      <c r="AZ265" s="55">
        <f t="shared" si="307"/>
        <v>0.1261730536150158</v>
      </c>
      <c r="BA265" s="55">
        <f t="shared" si="307"/>
        <v>0.1261730536150158</v>
      </c>
      <c r="BB265" s="55">
        <f t="shared" si="307"/>
        <v>0.1261730536150158</v>
      </c>
      <c r="BC265" s="55">
        <f t="shared" si="307"/>
        <v>0.1261730536150158</v>
      </c>
      <c r="BD265" s="55">
        <f t="shared" si="307"/>
        <v>0.1261730536150158</v>
      </c>
      <c r="BE265" s="55">
        <f t="shared" si="307"/>
        <v>0.1261730536150158</v>
      </c>
      <c r="BF265" s="55">
        <f t="shared" si="307"/>
        <v>0.1261730536150158</v>
      </c>
      <c r="BG265" s="55">
        <f t="shared" si="307"/>
        <v>0.1261730536150158</v>
      </c>
      <c r="BH265" s="55">
        <f t="shared" si="307"/>
        <v>0</v>
      </c>
      <c r="BI265" s="55">
        <f t="shared" si="307"/>
        <v>0</v>
      </c>
      <c r="BJ265" s="55">
        <f t="shared" si="307"/>
        <v>0</v>
      </c>
    </row>
    <row r="266" spans="1:62" x14ac:dyDescent="0.3">
      <c r="A266" s="53" t="str">
        <f t="shared" si="245"/>
        <v>project 55</v>
      </c>
      <c r="C266" s="55">
        <f t="shared" ref="C266:AH266" si="308">IF(AND(C$127&gt;=$K55,C$127&lt;=$L55),$G55*(1+$H55)^(C$127-$B$5),0)</f>
        <v>0</v>
      </c>
      <c r="D266" s="55">
        <f t="shared" si="308"/>
        <v>0</v>
      </c>
      <c r="E266" s="55">
        <f t="shared" si="308"/>
        <v>0</v>
      </c>
      <c r="F266" s="55">
        <f t="shared" si="308"/>
        <v>0</v>
      </c>
      <c r="G266" s="55">
        <f t="shared" si="308"/>
        <v>0</v>
      </c>
      <c r="H266" s="55">
        <f t="shared" si="308"/>
        <v>0</v>
      </c>
      <c r="I266" s="55">
        <f t="shared" si="308"/>
        <v>0</v>
      </c>
      <c r="J266" s="55">
        <f t="shared" si="308"/>
        <v>0</v>
      </c>
      <c r="K266" s="55">
        <f t="shared" si="308"/>
        <v>0</v>
      </c>
      <c r="L266" s="55">
        <f t="shared" si="308"/>
        <v>0</v>
      </c>
      <c r="M266" s="55">
        <f t="shared" si="308"/>
        <v>0</v>
      </c>
      <c r="N266" s="55">
        <f t="shared" si="308"/>
        <v>0</v>
      </c>
      <c r="O266" s="55">
        <f t="shared" si="308"/>
        <v>0</v>
      </c>
      <c r="P266" s="55">
        <f t="shared" si="308"/>
        <v>1.756069835490772</v>
      </c>
      <c r="Q266" s="55">
        <f t="shared" si="308"/>
        <v>1.756069835490772</v>
      </c>
      <c r="R266" s="55">
        <f t="shared" si="308"/>
        <v>1.756069835490772</v>
      </c>
      <c r="S266" s="55">
        <f t="shared" si="308"/>
        <v>1.756069835490772</v>
      </c>
      <c r="T266" s="55">
        <f t="shared" si="308"/>
        <v>1.756069835490772</v>
      </c>
      <c r="U266" s="55">
        <f t="shared" si="308"/>
        <v>1.756069835490772</v>
      </c>
      <c r="V266" s="55">
        <f t="shared" si="308"/>
        <v>1.756069835490772</v>
      </c>
      <c r="W266" s="55">
        <f t="shared" si="308"/>
        <v>1.756069835490772</v>
      </c>
      <c r="X266" s="55">
        <f t="shared" si="308"/>
        <v>1.756069835490772</v>
      </c>
      <c r="Y266" s="55">
        <f t="shared" si="308"/>
        <v>1.756069835490772</v>
      </c>
      <c r="Z266" s="55">
        <f t="shared" si="308"/>
        <v>1.756069835490772</v>
      </c>
      <c r="AA266" s="55">
        <f t="shared" si="308"/>
        <v>1.756069835490772</v>
      </c>
      <c r="AB266" s="55">
        <f t="shared" si="308"/>
        <v>1.756069835490772</v>
      </c>
      <c r="AC266" s="55">
        <f t="shared" si="308"/>
        <v>1.756069835490772</v>
      </c>
      <c r="AD266" s="55">
        <f t="shared" si="308"/>
        <v>1.756069835490772</v>
      </c>
      <c r="AE266" s="55">
        <f t="shared" si="308"/>
        <v>1.756069835490772</v>
      </c>
      <c r="AF266" s="55">
        <f t="shared" si="308"/>
        <v>1.756069835490772</v>
      </c>
      <c r="AG266" s="55">
        <f t="shared" si="308"/>
        <v>1.756069835490772</v>
      </c>
      <c r="AH266" s="55">
        <f t="shared" si="308"/>
        <v>1.756069835490772</v>
      </c>
      <c r="AI266" s="55">
        <f t="shared" ref="AI266:BJ266" si="309">IF(AND(AI$127&gt;=$K55,AI$127&lt;=$L55),$G55*(1+$H55)^(AI$127-$B$5),0)</f>
        <v>1.756069835490772</v>
      </c>
      <c r="AJ266" s="55">
        <f t="shared" si="309"/>
        <v>1.756069835490772</v>
      </c>
      <c r="AK266" s="55">
        <f t="shared" si="309"/>
        <v>1.756069835490772</v>
      </c>
      <c r="AL266" s="55">
        <f t="shared" si="309"/>
        <v>1.756069835490772</v>
      </c>
      <c r="AM266" s="55">
        <f t="shared" si="309"/>
        <v>1.756069835490772</v>
      </c>
      <c r="AN266" s="55">
        <f t="shared" si="309"/>
        <v>1.756069835490772</v>
      </c>
      <c r="AO266" s="55">
        <f t="shared" si="309"/>
        <v>1.756069835490772</v>
      </c>
      <c r="AP266" s="55">
        <f t="shared" si="309"/>
        <v>1.756069835490772</v>
      </c>
      <c r="AQ266" s="55">
        <f t="shared" si="309"/>
        <v>1.756069835490772</v>
      </c>
      <c r="AR266" s="55">
        <f t="shared" si="309"/>
        <v>1.756069835490772</v>
      </c>
      <c r="AS266" s="55">
        <f t="shared" si="309"/>
        <v>1.756069835490772</v>
      </c>
      <c r="AT266" s="55">
        <f t="shared" si="309"/>
        <v>1.756069835490772</v>
      </c>
      <c r="AU266" s="55">
        <f t="shared" si="309"/>
        <v>1.756069835490772</v>
      </c>
      <c r="AV266" s="55">
        <f t="shared" si="309"/>
        <v>1.756069835490772</v>
      </c>
      <c r="AW266" s="55">
        <f t="shared" si="309"/>
        <v>1.756069835490772</v>
      </c>
      <c r="AX266" s="55">
        <f t="shared" si="309"/>
        <v>1.756069835490772</v>
      </c>
      <c r="AY266" s="55">
        <f t="shared" si="309"/>
        <v>1.756069835490772</v>
      </c>
      <c r="AZ266" s="55">
        <f t="shared" si="309"/>
        <v>1.756069835490772</v>
      </c>
      <c r="BA266" s="55">
        <f t="shared" si="309"/>
        <v>1.756069835490772</v>
      </c>
      <c r="BB266" s="55">
        <f t="shared" si="309"/>
        <v>1.756069835490772</v>
      </c>
      <c r="BC266" s="55">
        <f t="shared" si="309"/>
        <v>1.756069835490772</v>
      </c>
      <c r="BD266" s="55">
        <f t="shared" si="309"/>
        <v>0</v>
      </c>
      <c r="BE266" s="55">
        <f t="shared" si="309"/>
        <v>0</v>
      </c>
      <c r="BF266" s="55">
        <f t="shared" si="309"/>
        <v>0</v>
      </c>
      <c r="BG266" s="55">
        <f t="shared" si="309"/>
        <v>0</v>
      </c>
      <c r="BH266" s="55">
        <f t="shared" si="309"/>
        <v>0</v>
      </c>
      <c r="BI266" s="55">
        <f t="shared" si="309"/>
        <v>0</v>
      </c>
      <c r="BJ266" s="55">
        <f t="shared" si="309"/>
        <v>0</v>
      </c>
    </row>
    <row r="267" spans="1:62" x14ac:dyDescent="0.3">
      <c r="A267" s="53" t="str">
        <f t="shared" ref="A267:A298" si="310">A56</f>
        <v>project 56</v>
      </c>
      <c r="C267" s="55">
        <f t="shared" ref="C267:AH267" si="311">IF(AND(C$127&gt;=$K56,C$127&lt;=$L56),$G56*(1+$H56)^(C$127-$B$5),0)</f>
        <v>0</v>
      </c>
      <c r="D267" s="55">
        <f t="shared" si="311"/>
        <v>1.0519138363987039E-2</v>
      </c>
      <c r="E267" s="55">
        <f t="shared" si="311"/>
        <v>1.0519138363987039E-2</v>
      </c>
      <c r="F267" s="55">
        <f t="shared" si="311"/>
        <v>1.0519138363987039E-2</v>
      </c>
      <c r="G267" s="55">
        <f t="shared" si="311"/>
        <v>1.0519138363987039E-2</v>
      </c>
      <c r="H267" s="55">
        <f t="shared" si="311"/>
        <v>1.0519138363987039E-2</v>
      </c>
      <c r="I267" s="55">
        <f t="shared" si="311"/>
        <v>1.0519138363987039E-2</v>
      </c>
      <c r="J267" s="55">
        <f t="shared" si="311"/>
        <v>1.0519138363987039E-2</v>
      </c>
      <c r="K267" s="55">
        <f t="shared" si="311"/>
        <v>1.0519138363987039E-2</v>
      </c>
      <c r="L267" s="55">
        <f t="shared" si="311"/>
        <v>1.0519138363987039E-2</v>
      </c>
      <c r="M267" s="55">
        <f t="shared" si="311"/>
        <v>1.0519138363987039E-2</v>
      </c>
      <c r="N267" s="55">
        <f t="shared" si="311"/>
        <v>1.0519138363987039E-2</v>
      </c>
      <c r="O267" s="55">
        <f t="shared" si="311"/>
        <v>1.0519138363987039E-2</v>
      </c>
      <c r="P267" s="55">
        <f t="shared" si="311"/>
        <v>1.0519138363987039E-2</v>
      </c>
      <c r="Q267" s="55">
        <f t="shared" si="311"/>
        <v>1.0519138363987039E-2</v>
      </c>
      <c r="R267" s="55">
        <f t="shared" si="311"/>
        <v>1.0519138363987039E-2</v>
      </c>
      <c r="S267" s="55">
        <f t="shared" si="311"/>
        <v>1.0519138363987039E-2</v>
      </c>
      <c r="T267" s="55">
        <f t="shared" si="311"/>
        <v>1.0519138363987039E-2</v>
      </c>
      <c r="U267" s="55">
        <f t="shared" si="311"/>
        <v>1.0519138363987039E-2</v>
      </c>
      <c r="V267" s="55">
        <f t="shared" si="311"/>
        <v>1.0519138363987039E-2</v>
      </c>
      <c r="W267" s="55">
        <f t="shared" si="311"/>
        <v>1.0519138363987039E-2</v>
      </c>
      <c r="X267" s="55">
        <f t="shared" si="311"/>
        <v>1.0519138363987039E-2</v>
      </c>
      <c r="Y267" s="55">
        <f t="shared" si="311"/>
        <v>1.0519138363987039E-2</v>
      </c>
      <c r="Z267" s="55">
        <f t="shared" si="311"/>
        <v>1.0519138363987039E-2</v>
      </c>
      <c r="AA267" s="55">
        <f t="shared" si="311"/>
        <v>1.0519138363987039E-2</v>
      </c>
      <c r="AB267" s="55">
        <f t="shared" si="311"/>
        <v>1.0519138363987039E-2</v>
      </c>
      <c r="AC267" s="55">
        <f t="shared" si="311"/>
        <v>1.0519138363987039E-2</v>
      </c>
      <c r="AD267" s="55">
        <f t="shared" si="311"/>
        <v>1.0519138363987039E-2</v>
      </c>
      <c r="AE267" s="55">
        <f t="shared" si="311"/>
        <v>1.0519138363987039E-2</v>
      </c>
      <c r="AF267" s="55">
        <f t="shared" si="311"/>
        <v>1.0519138363987039E-2</v>
      </c>
      <c r="AG267" s="55">
        <f t="shared" si="311"/>
        <v>1.0519138363987039E-2</v>
      </c>
      <c r="AH267" s="55">
        <f t="shared" si="311"/>
        <v>1.0519138363987039E-2</v>
      </c>
      <c r="AI267" s="55">
        <f t="shared" ref="AI267:BJ267" si="312">IF(AND(AI$127&gt;=$K56,AI$127&lt;=$L56),$G56*(1+$H56)^(AI$127-$B$5),0)</f>
        <v>1.0519138363987039E-2</v>
      </c>
      <c r="AJ267" s="55">
        <f t="shared" si="312"/>
        <v>1.0519138363987039E-2</v>
      </c>
      <c r="AK267" s="55">
        <f t="shared" si="312"/>
        <v>1.0519138363987039E-2</v>
      </c>
      <c r="AL267" s="55">
        <f t="shared" si="312"/>
        <v>1.0519138363987039E-2</v>
      </c>
      <c r="AM267" s="55">
        <f t="shared" si="312"/>
        <v>1.0519138363987039E-2</v>
      </c>
      <c r="AN267" s="55">
        <f t="shared" si="312"/>
        <v>1.0519138363987039E-2</v>
      </c>
      <c r="AO267" s="55">
        <f t="shared" si="312"/>
        <v>1.0519138363987039E-2</v>
      </c>
      <c r="AP267" s="55">
        <f t="shared" si="312"/>
        <v>1.0519138363987039E-2</v>
      </c>
      <c r="AQ267" s="55">
        <f t="shared" si="312"/>
        <v>1.0519138363987039E-2</v>
      </c>
      <c r="AR267" s="55">
        <f t="shared" si="312"/>
        <v>0</v>
      </c>
      <c r="AS267" s="55">
        <f t="shared" si="312"/>
        <v>0</v>
      </c>
      <c r="AT267" s="55">
        <f t="shared" si="312"/>
        <v>0</v>
      </c>
      <c r="AU267" s="55">
        <f t="shared" si="312"/>
        <v>0</v>
      </c>
      <c r="AV267" s="55">
        <f t="shared" si="312"/>
        <v>0</v>
      </c>
      <c r="AW267" s="55">
        <f t="shared" si="312"/>
        <v>0</v>
      </c>
      <c r="AX267" s="55">
        <f t="shared" si="312"/>
        <v>0</v>
      </c>
      <c r="AY267" s="55">
        <f t="shared" si="312"/>
        <v>0</v>
      </c>
      <c r="AZ267" s="55">
        <f t="shared" si="312"/>
        <v>0</v>
      </c>
      <c r="BA267" s="55">
        <f t="shared" si="312"/>
        <v>0</v>
      </c>
      <c r="BB267" s="55">
        <f t="shared" si="312"/>
        <v>0</v>
      </c>
      <c r="BC267" s="55">
        <f t="shared" si="312"/>
        <v>0</v>
      </c>
      <c r="BD267" s="55">
        <f t="shared" si="312"/>
        <v>0</v>
      </c>
      <c r="BE267" s="55">
        <f t="shared" si="312"/>
        <v>0</v>
      </c>
      <c r="BF267" s="55">
        <f t="shared" si="312"/>
        <v>0</v>
      </c>
      <c r="BG267" s="55">
        <f t="shared" si="312"/>
        <v>0</v>
      </c>
      <c r="BH267" s="55">
        <f t="shared" si="312"/>
        <v>0</v>
      </c>
      <c r="BI267" s="55">
        <f t="shared" si="312"/>
        <v>0</v>
      </c>
      <c r="BJ267" s="55">
        <f t="shared" si="312"/>
        <v>0</v>
      </c>
    </row>
    <row r="268" spans="1:62" x14ac:dyDescent="0.3">
      <c r="A268" s="53" t="str">
        <f t="shared" si="310"/>
        <v>project 58</v>
      </c>
      <c r="C268" s="55">
        <f t="shared" ref="C268:AH268" si="313">IF(AND(C$127&gt;=$K57,C$127&lt;=$L57),$G57*(1+$H57)^(C$127-$B$5),0)</f>
        <v>0</v>
      </c>
      <c r="D268" s="55">
        <f t="shared" si="313"/>
        <v>0</v>
      </c>
      <c r="E268" s="55">
        <f t="shared" si="313"/>
        <v>0</v>
      </c>
      <c r="F268" s="55">
        <f t="shared" si="313"/>
        <v>0</v>
      </c>
      <c r="G268" s="55">
        <f t="shared" si="313"/>
        <v>0</v>
      </c>
      <c r="H268" s="55">
        <f t="shared" si="313"/>
        <v>0</v>
      </c>
      <c r="I268" s="55">
        <f t="shared" si="313"/>
        <v>0</v>
      </c>
      <c r="J268" s="55">
        <f t="shared" si="313"/>
        <v>0</v>
      </c>
      <c r="K268" s="55">
        <f t="shared" si="313"/>
        <v>0</v>
      </c>
      <c r="L268" s="55">
        <f t="shared" si="313"/>
        <v>0</v>
      </c>
      <c r="M268" s="55">
        <f t="shared" si="313"/>
        <v>0</v>
      </c>
      <c r="N268" s="55">
        <f t="shared" si="313"/>
        <v>0</v>
      </c>
      <c r="O268" s="55">
        <f t="shared" si="313"/>
        <v>0</v>
      </c>
      <c r="P268" s="55">
        <f t="shared" si="313"/>
        <v>0</v>
      </c>
      <c r="Q268" s="55">
        <f t="shared" si="313"/>
        <v>0</v>
      </c>
      <c r="R268" s="55">
        <f t="shared" si="313"/>
        <v>0</v>
      </c>
      <c r="S268" s="55">
        <f t="shared" si="313"/>
        <v>0</v>
      </c>
      <c r="T268" s="55">
        <f t="shared" si="313"/>
        <v>0.18831518439406331</v>
      </c>
      <c r="U268" s="55">
        <f t="shared" si="313"/>
        <v>0.18831518439406331</v>
      </c>
      <c r="V268" s="55">
        <f t="shared" si="313"/>
        <v>0.18831518439406331</v>
      </c>
      <c r="W268" s="55">
        <f t="shared" si="313"/>
        <v>0.18831518439406331</v>
      </c>
      <c r="X268" s="55">
        <f t="shared" si="313"/>
        <v>0.18831518439406331</v>
      </c>
      <c r="Y268" s="55">
        <f t="shared" si="313"/>
        <v>0.18831518439406331</v>
      </c>
      <c r="Z268" s="55">
        <f t="shared" si="313"/>
        <v>0.18831518439406331</v>
      </c>
      <c r="AA268" s="55">
        <f t="shared" si="313"/>
        <v>0.18831518439406331</v>
      </c>
      <c r="AB268" s="55">
        <f t="shared" si="313"/>
        <v>0.18831518439406331</v>
      </c>
      <c r="AC268" s="55">
        <f t="shared" si="313"/>
        <v>0.18831518439406331</v>
      </c>
      <c r="AD268" s="55">
        <f t="shared" si="313"/>
        <v>0.18831518439406331</v>
      </c>
      <c r="AE268" s="55">
        <f t="shared" si="313"/>
        <v>0.18831518439406331</v>
      </c>
      <c r="AF268" s="55">
        <f t="shared" si="313"/>
        <v>0.18831518439406331</v>
      </c>
      <c r="AG268" s="55">
        <f t="shared" si="313"/>
        <v>0.18831518439406331</v>
      </c>
      <c r="AH268" s="55">
        <f t="shared" si="313"/>
        <v>0.18831518439406331</v>
      </c>
      <c r="AI268" s="55">
        <f t="shared" ref="AI268:BJ268" si="314">IF(AND(AI$127&gt;=$K57,AI$127&lt;=$L57),$G57*(1+$H57)^(AI$127-$B$5),0)</f>
        <v>0.18831518439406331</v>
      </c>
      <c r="AJ268" s="55">
        <f t="shared" si="314"/>
        <v>0.18831518439406331</v>
      </c>
      <c r="AK268" s="55">
        <f t="shared" si="314"/>
        <v>0.18831518439406331</v>
      </c>
      <c r="AL268" s="55">
        <f t="shared" si="314"/>
        <v>0.18831518439406331</v>
      </c>
      <c r="AM268" s="55">
        <f t="shared" si="314"/>
        <v>0.18831518439406331</v>
      </c>
      <c r="AN268" s="55">
        <f t="shared" si="314"/>
        <v>0.18831518439406331</v>
      </c>
      <c r="AO268" s="55">
        <f t="shared" si="314"/>
        <v>0.18831518439406331</v>
      </c>
      <c r="AP268" s="55">
        <f t="shared" si="314"/>
        <v>0.18831518439406331</v>
      </c>
      <c r="AQ268" s="55">
        <f t="shared" si="314"/>
        <v>0.18831518439406331</v>
      </c>
      <c r="AR268" s="55">
        <f t="shared" si="314"/>
        <v>0.18831518439406331</v>
      </c>
      <c r="AS268" s="55">
        <f t="shared" si="314"/>
        <v>0.18831518439406331</v>
      </c>
      <c r="AT268" s="55">
        <f t="shared" si="314"/>
        <v>0.18831518439406331</v>
      </c>
      <c r="AU268" s="55">
        <f t="shared" si="314"/>
        <v>0.18831518439406331</v>
      </c>
      <c r="AV268" s="55">
        <f t="shared" si="314"/>
        <v>0.18831518439406331</v>
      </c>
      <c r="AW268" s="55">
        <f t="shared" si="314"/>
        <v>0.18831518439406331</v>
      </c>
      <c r="AX268" s="55">
        <f t="shared" si="314"/>
        <v>0.18831518439406331</v>
      </c>
      <c r="AY268" s="55">
        <f t="shared" si="314"/>
        <v>0.18831518439406331</v>
      </c>
      <c r="AZ268" s="55">
        <f t="shared" si="314"/>
        <v>0.18831518439406331</v>
      </c>
      <c r="BA268" s="55">
        <f t="shared" si="314"/>
        <v>0.18831518439406331</v>
      </c>
      <c r="BB268" s="55">
        <f t="shared" si="314"/>
        <v>0.18831518439406331</v>
      </c>
      <c r="BC268" s="55">
        <f t="shared" si="314"/>
        <v>0.18831518439406331</v>
      </c>
      <c r="BD268" s="55">
        <f t="shared" si="314"/>
        <v>0.18831518439406331</v>
      </c>
      <c r="BE268" s="55">
        <f t="shared" si="314"/>
        <v>0.18831518439406331</v>
      </c>
      <c r="BF268" s="55">
        <f t="shared" si="314"/>
        <v>0.18831518439406331</v>
      </c>
      <c r="BG268" s="55">
        <f t="shared" si="314"/>
        <v>0.18831518439406331</v>
      </c>
      <c r="BH268" s="55">
        <f t="shared" si="314"/>
        <v>0</v>
      </c>
      <c r="BI268" s="55">
        <f t="shared" si="314"/>
        <v>0</v>
      </c>
      <c r="BJ268" s="55">
        <f t="shared" si="314"/>
        <v>0</v>
      </c>
    </row>
    <row r="269" spans="1:62" x14ac:dyDescent="0.3">
      <c r="A269" s="53" t="str">
        <f t="shared" si="310"/>
        <v>project 61</v>
      </c>
      <c r="C269" s="55">
        <f t="shared" ref="C269:AH269" si="315">IF(AND(C$127&gt;=$K58,C$127&lt;=$L58),$G58*(1+$H58)^(C$127-$B$5),0)</f>
        <v>0</v>
      </c>
      <c r="D269" s="55">
        <f t="shared" si="315"/>
        <v>0</v>
      </c>
      <c r="E269" s="55">
        <f t="shared" si="315"/>
        <v>0</v>
      </c>
      <c r="F269" s="55">
        <f t="shared" si="315"/>
        <v>0</v>
      </c>
      <c r="G269" s="55">
        <f t="shared" si="315"/>
        <v>0</v>
      </c>
      <c r="H269" s="55">
        <f t="shared" si="315"/>
        <v>0</v>
      </c>
      <c r="I269" s="55">
        <f t="shared" si="315"/>
        <v>0</v>
      </c>
      <c r="J269" s="55">
        <f t="shared" si="315"/>
        <v>0</v>
      </c>
      <c r="K269" s="55">
        <f t="shared" si="315"/>
        <v>0</v>
      </c>
      <c r="L269" s="55">
        <f t="shared" si="315"/>
        <v>0</v>
      </c>
      <c r="M269" s="55">
        <f t="shared" si="315"/>
        <v>0</v>
      </c>
      <c r="N269" s="55">
        <f t="shared" si="315"/>
        <v>0</v>
      </c>
      <c r="O269" s="55">
        <f t="shared" si="315"/>
        <v>0</v>
      </c>
      <c r="P269" s="55">
        <f t="shared" si="315"/>
        <v>0</v>
      </c>
      <c r="Q269" s="55">
        <f t="shared" si="315"/>
        <v>0</v>
      </c>
      <c r="R269" s="55">
        <f t="shared" si="315"/>
        <v>0</v>
      </c>
      <c r="S269" s="55">
        <f t="shared" si="315"/>
        <v>0.32596193115787869</v>
      </c>
      <c r="T269" s="55">
        <f t="shared" si="315"/>
        <v>0.32596193115787869</v>
      </c>
      <c r="U269" s="55">
        <f t="shared" si="315"/>
        <v>0.32596193115787869</v>
      </c>
      <c r="V269" s="55">
        <f t="shared" si="315"/>
        <v>0.32596193115787869</v>
      </c>
      <c r="W269" s="55">
        <f t="shared" si="315"/>
        <v>0.32596193115787869</v>
      </c>
      <c r="X269" s="55">
        <f t="shared" si="315"/>
        <v>0.32596193115787869</v>
      </c>
      <c r="Y269" s="55">
        <f t="shared" si="315"/>
        <v>0.32596193115787869</v>
      </c>
      <c r="Z269" s="55">
        <f t="shared" si="315"/>
        <v>0.32596193115787869</v>
      </c>
      <c r="AA269" s="55">
        <f t="shared" si="315"/>
        <v>0.32596193115787869</v>
      </c>
      <c r="AB269" s="55">
        <f t="shared" si="315"/>
        <v>0.32596193115787869</v>
      </c>
      <c r="AC269" s="55">
        <f t="shared" si="315"/>
        <v>0.32596193115787869</v>
      </c>
      <c r="AD269" s="55">
        <f t="shared" si="315"/>
        <v>0.32596193115787869</v>
      </c>
      <c r="AE269" s="55">
        <f t="shared" si="315"/>
        <v>0.32596193115787869</v>
      </c>
      <c r="AF269" s="55">
        <f t="shared" si="315"/>
        <v>0.32596193115787869</v>
      </c>
      <c r="AG269" s="55">
        <f t="shared" si="315"/>
        <v>0.32596193115787869</v>
      </c>
      <c r="AH269" s="55">
        <f t="shared" si="315"/>
        <v>0.32596193115787869</v>
      </c>
      <c r="AI269" s="55">
        <f t="shared" ref="AI269:BJ269" si="316">IF(AND(AI$127&gt;=$K58,AI$127&lt;=$L58),$G58*(1+$H58)^(AI$127-$B$5),0)</f>
        <v>0.32596193115787869</v>
      </c>
      <c r="AJ269" s="55">
        <f t="shared" si="316"/>
        <v>0.32596193115787869</v>
      </c>
      <c r="AK269" s="55">
        <f t="shared" si="316"/>
        <v>0.32596193115787869</v>
      </c>
      <c r="AL269" s="55">
        <f t="shared" si="316"/>
        <v>0.32596193115787869</v>
      </c>
      <c r="AM269" s="55">
        <f t="shared" si="316"/>
        <v>0.32596193115787869</v>
      </c>
      <c r="AN269" s="55">
        <f t="shared" si="316"/>
        <v>0.32596193115787869</v>
      </c>
      <c r="AO269" s="55">
        <f t="shared" si="316"/>
        <v>0.32596193115787869</v>
      </c>
      <c r="AP269" s="55">
        <f t="shared" si="316"/>
        <v>0.32596193115787869</v>
      </c>
      <c r="AQ269" s="55">
        <f t="shared" si="316"/>
        <v>0.32596193115787869</v>
      </c>
      <c r="AR269" s="55">
        <f t="shared" si="316"/>
        <v>0.32596193115787869</v>
      </c>
      <c r="AS269" s="55">
        <f t="shared" si="316"/>
        <v>0.32596193115787869</v>
      </c>
      <c r="AT269" s="55">
        <f t="shared" si="316"/>
        <v>0.32596193115787869</v>
      </c>
      <c r="AU269" s="55">
        <f t="shared" si="316"/>
        <v>0.32596193115787869</v>
      </c>
      <c r="AV269" s="55">
        <f t="shared" si="316"/>
        <v>0.32596193115787869</v>
      </c>
      <c r="AW269" s="55">
        <f t="shared" si="316"/>
        <v>0.32596193115787869</v>
      </c>
      <c r="AX269" s="55">
        <f t="shared" si="316"/>
        <v>0.32596193115787869</v>
      </c>
      <c r="AY269" s="55">
        <f t="shared" si="316"/>
        <v>0.32596193115787869</v>
      </c>
      <c r="AZ269" s="55">
        <f t="shared" si="316"/>
        <v>0.32596193115787869</v>
      </c>
      <c r="BA269" s="55">
        <f t="shared" si="316"/>
        <v>0.32596193115787869</v>
      </c>
      <c r="BB269" s="55">
        <f t="shared" si="316"/>
        <v>0.32596193115787869</v>
      </c>
      <c r="BC269" s="55">
        <f t="shared" si="316"/>
        <v>0.32596193115787869</v>
      </c>
      <c r="BD269" s="55">
        <f t="shared" si="316"/>
        <v>0.32596193115787869</v>
      </c>
      <c r="BE269" s="55">
        <f t="shared" si="316"/>
        <v>0.32596193115787869</v>
      </c>
      <c r="BF269" s="55">
        <f t="shared" si="316"/>
        <v>0.32596193115787869</v>
      </c>
      <c r="BG269" s="55">
        <f t="shared" si="316"/>
        <v>0</v>
      </c>
      <c r="BH269" s="55">
        <f t="shared" si="316"/>
        <v>0</v>
      </c>
      <c r="BI269" s="55">
        <f t="shared" si="316"/>
        <v>0</v>
      </c>
      <c r="BJ269" s="55">
        <f t="shared" si="316"/>
        <v>0</v>
      </c>
    </row>
    <row r="270" spans="1:62" x14ac:dyDescent="0.3">
      <c r="A270" s="53" t="str">
        <f t="shared" si="310"/>
        <v>project 64</v>
      </c>
      <c r="C270" s="55">
        <f t="shared" ref="C270:AH270" si="317">IF(AND(C$127&gt;=$K59,C$127&lt;=$L59),$G59*(1+$H59)^(C$127-$B$5),0)</f>
        <v>0</v>
      </c>
      <c r="D270" s="55">
        <f t="shared" si="317"/>
        <v>0</v>
      </c>
      <c r="E270" s="55">
        <f t="shared" si="317"/>
        <v>1.3208728146685369</v>
      </c>
      <c r="F270" s="55">
        <f t="shared" si="317"/>
        <v>1.3208728146685369</v>
      </c>
      <c r="G270" s="55">
        <f t="shared" si="317"/>
        <v>1.3208728146685369</v>
      </c>
      <c r="H270" s="55">
        <f t="shared" si="317"/>
        <v>1.3208728146685369</v>
      </c>
      <c r="I270" s="55">
        <f t="shared" si="317"/>
        <v>1.3208728146685369</v>
      </c>
      <c r="J270" s="55">
        <f t="shared" si="317"/>
        <v>1.3208728146685369</v>
      </c>
      <c r="K270" s="55">
        <f t="shared" si="317"/>
        <v>1.3208728146685369</v>
      </c>
      <c r="L270" s="55">
        <f t="shared" si="317"/>
        <v>1.3208728146685369</v>
      </c>
      <c r="M270" s="55">
        <f t="shared" si="317"/>
        <v>1.3208728146685369</v>
      </c>
      <c r="N270" s="55">
        <f t="shared" si="317"/>
        <v>1.3208728146685369</v>
      </c>
      <c r="O270" s="55">
        <f t="shared" si="317"/>
        <v>1.3208728146685369</v>
      </c>
      <c r="P270" s="55">
        <f t="shared" si="317"/>
        <v>1.3208728146685369</v>
      </c>
      <c r="Q270" s="55">
        <f t="shared" si="317"/>
        <v>1.3208728146685369</v>
      </c>
      <c r="R270" s="55">
        <f t="shared" si="317"/>
        <v>1.3208728146685369</v>
      </c>
      <c r="S270" s="55">
        <f t="shared" si="317"/>
        <v>1.3208728146685369</v>
      </c>
      <c r="T270" s="55">
        <f t="shared" si="317"/>
        <v>1.3208728146685369</v>
      </c>
      <c r="U270" s="55">
        <f t="shared" si="317"/>
        <v>1.3208728146685369</v>
      </c>
      <c r="V270" s="55">
        <f t="shared" si="317"/>
        <v>1.3208728146685369</v>
      </c>
      <c r="W270" s="55">
        <f t="shared" si="317"/>
        <v>1.3208728146685369</v>
      </c>
      <c r="X270" s="55">
        <f t="shared" si="317"/>
        <v>1.3208728146685369</v>
      </c>
      <c r="Y270" s="55">
        <f t="shared" si="317"/>
        <v>1.3208728146685369</v>
      </c>
      <c r="Z270" s="55">
        <f t="shared" si="317"/>
        <v>1.3208728146685369</v>
      </c>
      <c r="AA270" s="55">
        <f t="shared" si="317"/>
        <v>1.3208728146685369</v>
      </c>
      <c r="AB270" s="55">
        <f t="shared" si="317"/>
        <v>1.3208728146685369</v>
      </c>
      <c r="AC270" s="55">
        <f t="shared" si="317"/>
        <v>1.3208728146685369</v>
      </c>
      <c r="AD270" s="55">
        <f t="shared" si="317"/>
        <v>1.3208728146685369</v>
      </c>
      <c r="AE270" s="55">
        <f t="shared" si="317"/>
        <v>1.3208728146685369</v>
      </c>
      <c r="AF270" s="55">
        <f t="shared" si="317"/>
        <v>1.3208728146685369</v>
      </c>
      <c r="AG270" s="55">
        <f t="shared" si="317"/>
        <v>1.3208728146685369</v>
      </c>
      <c r="AH270" s="55">
        <f t="shared" si="317"/>
        <v>1.3208728146685369</v>
      </c>
      <c r="AI270" s="55">
        <f t="shared" ref="AI270:BJ270" si="318">IF(AND(AI$127&gt;=$K59,AI$127&lt;=$L59),$G59*(1+$H59)^(AI$127-$B$5),0)</f>
        <v>1.3208728146685369</v>
      </c>
      <c r="AJ270" s="55">
        <f t="shared" si="318"/>
        <v>1.3208728146685369</v>
      </c>
      <c r="AK270" s="55">
        <f t="shared" si="318"/>
        <v>1.3208728146685369</v>
      </c>
      <c r="AL270" s="55">
        <f t="shared" si="318"/>
        <v>1.3208728146685369</v>
      </c>
      <c r="AM270" s="55">
        <f t="shared" si="318"/>
        <v>1.3208728146685369</v>
      </c>
      <c r="AN270" s="55">
        <f t="shared" si="318"/>
        <v>1.3208728146685369</v>
      </c>
      <c r="AO270" s="55">
        <f t="shared" si="318"/>
        <v>1.3208728146685369</v>
      </c>
      <c r="AP270" s="55">
        <f t="shared" si="318"/>
        <v>1.3208728146685369</v>
      </c>
      <c r="AQ270" s="55">
        <f t="shared" si="318"/>
        <v>1.3208728146685369</v>
      </c>
      <c r="AR270" s="55">
        <f t="shared" si="318"/>
        <v>1.3208728146685369</v>
      </c>
      <c r="AS270" s="55">
        <f t="shared" si="318"/>
        <v>0</v>
      </c>
      <c r="AT270" s="55">
        <f t="shared" si="318"/>
        <v>0</v>
      </c>
      <c r="AU270" s="55">
        <f t="shared" si="318"/>
        <v>0</v>
      </c>
      <c r="AV270" s="55">
        <f t="shared" si="318"/>
        <v>0</v>
      </c>
      <c r="AW270" s="55">
        <f t="shared" si="318"/>
        <v>0</v>
      </c>
      <c r="AX270" s="55">
        <f t="shared" si="318"/>
        <v>0</v>
      </c>
      <c r="AY270" s="55">
        <f t="shared" si="318"/>
        <v>0</v>
      </c>
      <c r="AZ270" s="55">
        <f t="shared" si="318"/>
        <v>0</v>
      </c>
      <c r="BA270" s="55">
        <f t="shared" si="318"/>
        <v>0</v>
      </c>
      <c r="BB270" s="55">
        <f t="shared" si="318"/>
        <v>0</v>
      </c>
      <c r="BC270" s="55">
        <f t="shared" si="318"/>
        <v>0</v>
      </c>
      <c r="BD270" s="55">
        <f t="shared" si="318"/>
        <v>0</v>
      </c>
      <c r="BE270" s="55">
        <f t="shared" si="318"/>
        <v>0</v>
      </c>
      <c r="BF270" s="55">
        <f t="shared" si="318"/>
        <v>0</v>
      </c>
      <c r="BG270" s="55">
        <f t="shared" si="318"/>
        <v>0</v>
      </c>
      <c r="BH270" s="55">
        <f t="shared" si="318"/>
        <v>0</v>
      </c>
      <c r="BI270" s="55">
        <f t="shared" si="318"/>
        <v>0</v>
      </c>
      <c r="BJ270" s="55">
        <f t="shared" si="318"/>
        <v>0</v>
      </c>
    </row>
    <row r="271" spans="1:62" x14ac:dyDescent="0.3">
      <c r="A271" s="53" t="str">
        <f t="shared" si="310"/>
        <v>project 74</v>
      </c>
      <c r="C271" s="55">
        <f t="shared" ref="C271:AH271" si="319">IF(AND(C$127&gt;=$K60,C$127&lt;=$L60),$G60*(1+$H60)^(C$127-$B$5),0)</f>
        <v>0</v>
      </c>
      <c r="D271" s="55">
        <f t="shared" si="319"/>
        <v>0</v>
      </c>
      <c r="E271" s="55">
        <f t="shared" si="319"/>
        <v>0</v>
      </c>
      <c r="F271" s="55">
        <f t="shared" si="319"/>
        <v>0</v>
      </c>
      <c r="G271" s="55">
        <f t="shared" si="319"/>
        <v>0</v>
      </c>
      <c r="H271" s="55">
        <f t="shared" si="319"/>
        <v>0</v>
      </c>
      <c r="I271" s="55">
        <f t="shared" si="319"/>
        <v>0</v>
      </c>
      <c r="J271" s="55">
        <f t="shared" si="319"/>
        <v>0</v>
      </c>
      <c r="K271" s="55">
        <f t="shared" si="319"/>
        <v>0</v>
      </c>
      <c r="L271" s="55">
        <f t="shared" si="319"/>
        <v>0</v>
      </c>
      <c r="M271" s="55">
        <f t="shared" si="319"/>
        <v>0</v>
      </c>
      <c r="N271" s="55">
        <f t="shared" si="319"/>
        <v>0</v>
      </c>
      <c r="O271" s="55">
        <f t="shared" si="319"/>
        <v>0</v>
      </c>
      <c r="P271" s="55">
        <f t="shared" si="319"/>
        <v>0</v>
      </c>
      <c r="Q271" s="55">
        <f t="shared" si="319"/>
        <v>0</v>
      </c>
      <c r="R271" s="55">
        <f t="shared" si="319"/>
        <v>0</v>
      </c>
      <c r="S271" s="55">
        <f t="shared" si="319"/>
        <v>0</v>
      </c>
      <c r="T271" s="55">
        <f t="shared" si="319"/>
        <v>0</v>
      </c>
      <c r="U271" s="55">
        <f t="shared" si="319"/>
        <v>0</v>
      </c>
      <c r="V271" s="55">
        <f t="shared" si="319"/>
        <v>1.9987307834406951</v>
      </c>
      <c r="W271" s="55">
        <f t="shared" si="319"/>
        <v>1.9987307834406951</v>
      </c>
      <c r="X271" s="55">
        <f t="shared" si="319"/>
        <v>1.9987307834406951</v>
      </c>
      <c r="Y271" s="55">
        <f t="shared" si="319"/>
        <v>1.9987307834406951</v>
      </c>
      <c r="Z271" s="55">
        <f t="shared" si="319"/>
        <v>1.9987307834406951</v>
      </c>
      <c r="AA271" s="55">
        <f t="shared" si="319"/>
        <v>1.9987307834406951</v>
      </c>
      <c r="AB271" s="55">
        <f t="shared" si="319"/>
        <v>1.9987307834406951</v>
      </c>
      <c r="AC271" s="55">
        <f t="shared" si="319"/>
        <v>1.9987307834406951</v>
      </c>
      <c r="AD271" s="55">
        <f t="shared" si="319"/>
        <v>1.9987307834406951</v>
      </c>
      <c r="AE271" s="55">
        <f t="shared" si="319"/>
        <v>1.9987307834406951</v>
      </c>
      <c r="AF271" s="55">
        <f t="shared" si="319"/>
        <v>1.9987307834406951</v>
      </c>
      <c r="AG271" s="55">
        <f t="shared" si="319"/>
        <v>1.9987307834406951</v>
      </c>
      <c r="AH271" s="55">
        <f t="shared" si="319"/>
        <v>1.9987307834406951</v>
      </c>
      <c r="AI271" s="55">
        <f t="shared" ref="AI271:BJ271" si="320">IF(AND(AI$127&gt;=$K60,AI$127&lt;=$L60),$G60*(1+$H60)^(AI$127-$B$5),0)</f>
        <v>1.9987307834406951</v>
      </c>
      <c r="AJ271" s="55">
        <f t="shared" si="320"/>
        <v>1.9987307834406951</v>
      </c>
      <c r="AK271" s="55">
        <f t="shared" si="320"/>
        <v>1.9987307834406951</v>
      </c>
      <c r="AL271" s="55">
        <f t="shared" si="320"/>
        <v>1.9987307834406951</v>
      </c>
      <c r="AM271" s="55">
        <f t="shared" si="320"/>
        <v>1.9987307834406951</v>
      </c>
      <c r="AN271" s="55">
        <f t="shared" si="320"/>
        <v>1.9987307834406951</v>
      </c>
      <c r="AO271" s="55">
        <f t="shared" si="320"/>
        <v>1.9987307834406951</v>
      </c>
      <c r="AP271" s="55">
        <f t="shared" si="320"/>
        <v>1.9987307834406951</v>
      </c>
      <c r="AQ271" s="55">
        <f t="shared" si="320"/>
        <v>1.9987307834406951</v>
      </c>
      <c r="AR271" s="55">
        <f t="shared" si="320"/>
        <v>1.9987307834406951</v>
      </c>
      <c r="AS271" s="55">
        <f t="shared" si="320"/>
        <v>1.9987307834406951</v>
      </c>
      <c r="AT271" s="55">
        <f t="shared" si="320"/>
        <v>1.9987307834406951</v>
      </c>
      <c r="AU271" s="55">
        <f t="shared" si="320"/>
        <v>1.9987307834406951</v>
      </c>
      <c r="AV271" s="55">
        <f t="shared" si="320"/>
        <v>1.9987307834406951</v>
      </c>
      <c r="AW271" s="55">
        <f t="shared" si="320"/>
        <v>1.9987307834406951</v>
      </c>
      <c r="AX271" s="55">
        <f t="shared" si="320"/>
        <v>1.9987307834406951</v>
      </c>
      <c r="AY271" s="55">
        <f t="shared" si="320"/>
        <v>1.9987307834406951</v>
      </c>
      <c r="AZ271" s="55">
        <f t="shared" si="320"/>
        <v>1.9987307834406951</v>
      </c>
      <c r="BA271" s="55">
        <f t="shared" si="320"/>
        <v>1.9987307834406951</v>
      </c>
      <c r="BB271" s="55">
        <f t="shared" si="320"/>
        <v>1.9987307834406951</v>
      </c>
      <c r="BC271" s="55">
        <f t="shared" si="320"/>
        <v>1.9987307834406951</v>
      </c>
      <c r="BD271" s="55">
        <f t="shared" si="320"/>
        <v>1.9987307834406951</v>
      </c>
      <c r="BE271" s="55">
        <f t="shared" si="320"/>
        <v>1.9987307834406951</v>
      </c>
      <c r="BF271" s="55">
        <f t="shared" si="320"/>
        <v>1.9987307834406951</v>
      </c>
      <c r="BG271" s="55">
        <f t="shared" si="320"/>
        <v>1.9987307834406951</v>
      </c>
      <c r="BH271" s="55">
        <f t="shared" si="320"/>
        <v>1.9987307834406951</v>
      </c>
      <c r="BI271" s="55">
        <f t="shared" si="320"/>
        <v>1.9987307834406951</v>
      </c>
      <c r="BJ271" s="55">
        <f t="shared" si="320"/>
        <v>0</v>
      </c>
    </row>
    <row r="272" spans="1:62" x14ac:dyDescent="0.3">
      <c r="A272" s="53" t="str">
        <f t="shared" si="310"/>
        <v>project 75</v>
      </c>
      <c r="C272" s="55">
        <f t="shared" ref="C272:AH272" si="321">IF(AND(C$127&gt;=$K61,C$127&lt;=$L61),$G61*(1+$H61)^(C$127-$B$5),0)</f>
        <v>0</v>
      </c>
      <c r="D272" s="55">
        <f t="shared" si="321"/>
        <v>0</v>
      </c>
      <c r="E272" s="55">
        <f t="shared" si="321"/>
        <v>0</v>
      </c>
      <c r="F272" s="55">
        <f t="shared" si="321"/>
        <v>0</v>
      </c>
      <c r="G272" s="55">
        <f t="shared" si="321"/>
        <v>0</v>
      </c>
      <c r="H272" s="55">
        <f t="shared" si="321"/>
        <v>0</v>
      </c>
      <c r="I272" s="55">
        <f t="shared" si="321"/>
        <v>0</v>
      </c>
      <c r="J272" s="55">
        <f t="shared" si="321"/>
        <v>0</v>
      </c>
      <c r="K272" s="55">
        <f t="shared" si="321"/>
        <v>0</v>
      </c>
      <c r="L272" s="55">
        <f t="shared" si="321"/>
        <v>0</v>
      </c>
      <c r="M272" s="55">
        <f t="shared" si="321"/>
        <v>0</v>
      </c>
      <c r="N272" s="55">
        <f t="shared" si="321"/>
        <v>0</v>
      </c>
      <c r="O272" s="55">
        <f t="shared" si="321"/>
        <v>0</v>
      </c>
      <c r="P272" s="55">
        <f t="shared" si="321"/>
        <v>0</v>
      </c>
      <c r="Q272" s="55">
        <f t="shared" si="321"/>
        <v>0</v>
      </c>
      <c r="R272" s="55">
        <f t="shared" si="321"/>
        <v>0</v>
      </c>
      <c r="S272" s="55">
        <f t="shared" si="321"/>
        <v>0</v>
      </c>
      <c r="T272" s="55">
        <f t="shared" si="321"/>
        <v>0</v>
      </c>
      <c r="U272" s="55">
        <f t="shared" si="321"/>
        <v>0</v>
      </c>
      <c r="V272" s="55">
        <f t="shared" si="321"/>
        <v>0.7863193587144367</v>
      </c>
      <c r="W272" s="55">
        <f t="shared" si="321"/>
        <v>0.7863193587144367</v>
      </c>
      <c r="X272" s="55">
        <f t="shared" si="321"/>
        <v>0.7863193587144367</v>
      </c>
      <c r="Y272" s="55">
        <f t="shared" si="321"/>
        <v>0.7863193587144367</v>
      </c>
      <c r="Z272" s="55">
        <f t="shared" si="321"/>
        <v>0.7863193587144367</v>
      </c>
      <c r="AA272" s="55">
        <f t="shared" si="321"/>
        <v>0.7863193587144367</v>
      </c>
      <c r="AB272" s="55">
        <f t="shared" si="321"/>
        <v>0.7863193587144367</v>
      </c>
      <c r="AC272" s="55">
        <f t="shared" si="321"/>
        <v>0.7863193587144367</v>
      </c>
      <c r="AD272" s="55">
        <f t="shared" si="321"/>
        <v>0.7863193587144367</v>
      </c>
      <c r="AE272" s="55">
        <f t="shared" si="321"/>
        <v>0.7863193587144367</v>
      </c>
      <c r="AF272" s="55">
        <f t="shared" si="321"/>
        <v>0.7863193587144367</v>
      </c>
      <c r="AG272" s="55">
        <f t="shared" si="321"/>
        <v>0.7863193587144367</v>
      </c>
      <c r="AH272" s="55">
        <f t="shared" si="321"/>
        <v>0.7863193587144367</v>
      </c>
      <c r="AI272" s="55">
        <f t="shared" ref="AI272:BJ272" si="322">IF(AND(AI$127&gt;=$K61,AI$127&lt;=$L61),$G61*(1+$H61)^(AI$127-$B$5),0)</f>
        <v>0.7863193587144367</v>
      </c>
      <c r="AJ272" s="55">
        <f t="shared" si="322"/>
        <v>0.7863193587144367</v>
      </c>
      <c r="AK272" s="55">
        <f t="shared" si="322"/>
        <v>0.7863193587144367</v>
      </c>
      <c r="AL272" s="55">
        <f t="shared" si="322"/>
        <v>0.7863193587144367</v>
      </c>
      <c r="AM272" s="55">
        <f t="shared" si="322"/>
        <v>0.7863193587144367</v>
      </c>
      <c r="AN272" s="55">
        <f t="shared" si="322"/>
        <v>0.7863193587144367</v>
      </c>
      <c r="AO272" s="55">
        <f t="shared" si="322"/>
        <v>0.7863193587144367</v>
      </c>
      <c r="AP272" s="55">
        <f t="shared" si="322"/>
        <v>0.7863193587144367</v>
      </c>
      <c r="AQ272" s="55">
        <f t="shared" si="322"/>
        <v>0.7863193587144367</v>
      </c>
      <c r="AR272" s="55">
        <f t="shared" si="322"/>
        <v>0.7863193587144367</v>
      </c>
      <c r="AS272" s="55">
        <f t="shared" si="322"/>
        <v>0.7863193587144367</v>
      </c>
      <c r="AT272" s="55">
        <f t="shared" si="322"/>
        <v>0.7863193587144367</v>
      </c>
      <c r="AU272" s="55">
        <f t="shared" si="322"/>
        <v>0.7863193587144367</v>
      </c>
      <c r="AV272" s="55">
        <f t="shared" si="322"/>
        <v>0.7863193587144367</v>
      </c>
      <c r="AW272" s="55">
        <f t="shared" si="322"/>
        <v>0.7863193587144367</v>
      </c>
      <c r="AX272" s="55">
        <f t="shared" si="322"/>
        <v>0.7863193587144367</v>
      </c>
      <c r="AY272" s="55">
        <f t="shared" si="322"/>
        <v>0.7863193587144367</v>
      </c>
      <c r="AZ272" s="55">
        <f t="shared" si="322"/>
        <v>0.7863193587144367</v>
      </c>
      <c r="BA272" s="55">
        <f t="shared" si="322"/>
        <v>0.7863193587144367</v>
      </c>
      <c r="BB272" s="55">
        <f t="shared" si="322"/>
        <v>0.7863193587144367</v>
      </c>
      <c r="BC272" s="55">
        <f t="shared" si="322"/>
        <v>0.7863193587144367</v>
      </c>
      <c r="BD272" s="55">
        <f t="shared" si="322"/>
        <v>0.7863193587144367</v>
      </c>
      <c r="BE272" s="55">
        <f t="shared" si="322"/>
        <v>0.7863193587144367</v>
      </c>
      <c r="BF272" s="55">
        <f t="shared" si="322"/>
        <v>0.7863193587144367</v>
      </c>
      <c r="BG272" s="55">
        <f t="shared" si="322"/>
        <v>0.7863193587144367</v>
      </c>
      <c r="BH272" s="55">
        <f t="shared" si="322"/>
        <v>0.7863193587144367</v>
      </c>
      <c r="BI272" s="55">
        <f t="shared" si="322"/>
        <v>0.7863193587144367</v>
      </c>
      <c r="BJ272" s="55">
        <f t="shared" si="322"/>
        <v>0</v>
      </c>
    </row>
    <row r="273" spans="1:62" x14ac:dyDescent="0.3">
      <c r="A273" s="53" t="str">
        <f t="shared" si="310"/>
        <v>project 77</v>
      </c>
      <c r="C273" s="55">
        <f t="shared" ref="C273:AH273" si="323">IF(AND(C$127&gt;=$K62,C$127&lt;=$L62),$G62*(1+$H62)^(C$127-$B$5),0)</f>
        <v>0</v>
      </c>
      <c r="D273" s="55">
        <f t="shared" si="323"/>
        <v>0</v>
      </c>
      <c r="E273" s="55">
        <f t="shared" si="323"/>
        <v>0</v>
      </c>
      <c r="F273" s="55">
        <f t="shared" si="323"/>
        <v>0</v>
      </c>
      <c r="G273" s="55">
        <f t="shared" si="323"/>
        <v>0</v>
      </c>
      <c r="H273" s="55">
        <f t="shared" si="323"/>
        <v>0</v>
      </c>
      <c r="I273" s="55">
        <f t="shared" si="323"/>
        <v>4.3470112142581117E-3</v>
      </c>
      <c r="J273" s="55">
        <f t="shared" si="323"/>
        <v>4.3470112142581117E-3</v>
      </c>
      <c r="K273" s="55">
        <f t="shared" si="323"/>
        <v>4.3470112142581117E-3</v>
      </c>
      <c r="L273" s="55">
        <f t="shared" si="323"/>
        <v>4.3470112142581117E-3</v>
      </c>
      <c r="M273" s="55">
        <f t="shared" si="323"/>
        <v>4.3470112142581117E-3</v>
      </c>
      <c r="N273" s="55">
        <f t="shared" si="323"/>
        <v>4.3470112142581117E-3</v>
      </c>
      <c r="O273" s="55">
        <f t="shared" si="323"/>
        <v>4.3470112142581117E-3</v>
      </c>
      <c r="P273" s="55">
        <f t="shared" si="323"/>
        <v>4.3470112142581117E-3</v>
      </c>
      <c r="Q273" s="55">
        <f t="shared" si="323"/>
        <v>4.3470112142581117E-3</v>
      </c>
      <c r="R273" s="55">
        <f t="shared" si="323"/>
        <v>4.3470112142581117E-3</v>
      </c>
      <c r="S273" s="55">
        <f t="shared" si="323"/>
        <v>4.3470112142581117E-3</v>
      </c>
      <c r="T273" s="55">
        <f t="shared" si="323"/>
        <v>4.3470112142581117E-3</v>
      </c>
      <c r="U273" s="55">
        <f t="shared" si="323"/>
        <v>4.3470112142581117E-3</v>
      </c>
      <c r="V273" s="55">
        <f t="shared" si="323"/>
        <v>4.3470112142581117E-3</v>
      </c>
      <c r="W273" s="55">
        <f t="shared" si="323"/>
        <v>4.3470112142581117E-3</v>
      </c>
      <c r="X273" s="55">
        <f t="shared" si="323"/>
        <v>4.3470112142581117E-3</v>
      </c>
      <c r="Y273" s="55">
        <f t="shared" si="323"/>
        <v>4.3470112142581117E-3</v>
      </c>
      <c r="Z273" s="55">
        <f t="shared" si="323"/>
        <v>4.3470112142581117E-3</v>
      </c>
      <c r="AA273" s="55">
        <f t="shared" si="323"/>
        <v>4.3470112142581117E-3</v>
      </c>
      <c r="AB273" s="55">
        <f t="shared" si="323"/>
        <v>4.3470112142581117E-3</v>
      </c>
      <c r="AC273" s="55">
        <f t="shared" si="323"/>
        <v>4.3470112142581117E-3</v>
      </c>
      <c r="AD273" s="55">
        <f t="shared" si="323"/>
        <v>4.3470112142581117E-3</v>
      </c>
      <c r="AE273" s="55">
        <f t="shared" si="323"/>
        <v>4.3470112142581117E-3</v>
      </c>
      <c r="AF273" s="55">
        <f t="shared" si="323"/>
        <v>4.3470112142581117E-3</v>
      </c>
      <c r="AG273" s="55">
        <f t="shared" si="323"/>
        <v>4.3470112142581117E-3</v>
      </c>
      <c r="AH273" s="55">
        <f t="shared" si="323"/>
        <v>4.3470112142581117E-3</v>
      </c>
      <c r="AI273" s="55">
        <f t="shared" ref="AI273:BJ273" si="324">IF(AND(AI$127&gt;=$K62,AI$127&lt;=$L62),$G62*(1+$H62)^(AI$127-$B$5),0)</f>
        <v>4.3470112142581117E-3</v>
      </c>
      <c r="AJ273" s="55">
        <f t="shared" si="324"/>
        <v>4.3470112142581117E-3</v>
      </c>
      <c r="AK273" s="55">
        <f t="shared" si="324"/>
        <v>4.3470112142581117E-3</v>
      </c>
      <c r="AL273" s="55">
        <f t="shared" si="324"/>
        <v>4.3470112142581117E-3</v>
      </c>
      <c r="AM273" s="55">
        <f t="shared" si="324"/>
        <v>4.3470112142581117E-3</v>
      </c>
      <c r="AN273" s="55">
        <f t="shared" si="324"/>
        <v>4.3470112142581117E-3</v>
      </c>
      <c r="AO273" s="55">
        <f t="shared" si="324"/>
        <v>4.3470112142581117E-3</v>
      </c>
      <c r="AP273" s="55">
        <f t="shared" si="324"/>
        <v>4.3470112142581117E-3</v>
      </c>
      <c r="AQ273" s="55">
        <f t="shared" si="324"/>
        <v>4.3470112142581117E-3</v>
      </c>
      <c r="AR273" s="55">
        <f t="shared" si="324"/>
        <v>4.3470112142581117E-3</v>
      </c>
      <c r="AS273" s="55">
        <f t="shared" si="324"/>
        <v>4.3470112142581117E-3</v>
      </c>
      <c r="AT273" s="55">
        <f t="shared" si="324"/>
        <v>4.3470112142581117E-3</v>
      </c>
      <c r="AU273" s="55">
        <f t="shared" si="324"/>
        <v>4.3470112142581117E-3</v>
      </c>
      <c r="AV273" s="55">
        <f t="shared" si="324"/>
        <v>4.3470112142581117E-3</v>
      </c>
      <c r="AW273" s="55">
        <f t="shared" si="324"/>
        <v>0</v>
      </c>
      <c r="AX273" s="55">
        <f t="shared" si="324"/>
        <v>0</v>
      </c>
      <c r="AY273" s="55">
        <f t="shared" si="324"/>
        <v>0</v>
      </c>
      <c r="AZ273" s="55">
        <f t="shared" si="324"/>
        <v>0</v>
      </c>
      <c r="BA273" s="55">
        <f t="shared" si="324"/>
        <v>0</v>
      </c>
      <c r="BB273" s="55">
        <f t="shared" si="324"/>
        <v>0</v>
      </c>
      <c r="BC273" s="55">
        <f t="shared" si="324"/>
        <v>0</v>
      </c>
      <c r="BD273" s="55">
        <f t="shared" si="324"/>
        <v>0</v>
      </c>
      <c r="BE273" s="55">
        <f t="shared" si="324"/>
        <v>0</v>
      </c>
      <c r="BF273" s="55">
        <f t="shared" si="324"/>
        <v>0</v>
      </c>
      <c r="BG273" s="55">
        <f t="shared" si="324"/>
        <v>0</v>
      </c>
      <c r="BH273" s="55">
        <f t="shared" si="324"/>
        <v>0</v>
      </c>
      <c r="BI273" s="55">
        <f t="shared" si="324"/>
        <v>0</v>
      </c>
      <c r="BJ273" s="55">
        <f t="shared" si="324"/>
        <v>0</v>
      </c>
    </row>
    <row r="274" spans="1:62" x14ac:dyDescent="0.3">
      <c r="A274" s="53" t="str">
        <f t="shared" si="310"/>
        <v>project 78</v>
      </c>
      <c r="C274" s="55">
        <f t="shared" ref="C274:AH274" si="325">IF(AND(C$127&gt;=$K63,C$127&lt;=$L63),$G63*(1+$H63)^(C$127-$B$5),0)</f>
        <v>0</v>
      </c>
      <c r="D274" s="55">
        <f t="shared" si="325"/>
        <v>0</v>
      </c>
      <c r="E274" s="55">
        <f t="shared" si="325"/>
        <v>0</v>
      </c>
      <c r="F274" s="55">
        <f t="shared" si="325"/>
        <v>0</v>
      </c>
      <c r="G274" s="55">
        <f t="shared" si="325"/>
        <v>0</v>
      </c>
      <c r="H274" s="55">
        <f t="shared" si="325"/>
        <v>0</v>
      </c>
      <c r="I274" s="55">
        <f t="shared" si="325"/>
        <v>0</v>
      </c>
      <c r="J274" s="55">
        <f t="shared" si="325"/>
        <v>0</v>
      </c>
      <c r="K274" s="55">
        <f t="shared" si="325"/>
        <v>0</v>
      </c>
      <c r="L274" s="55">
        <f t="shared" si="325"/>
        <v>5.5107907914743519</v>
      </c>
      <c r="M274" s="55">
        <f t="shared" si="325"/>
        <v>5.5107907914743519</v>
      </c>
      <c r="N274" s="55">
        <f t="shared" si="325"/>
        <v>5.5107907914743519</v>
      </c>
      <c r="O274" s="55">
        <f t="shared" si="325"/>
        <v>5.5107907914743519</v>
      </c>
      <c r="P274" s="55">
        <f t="shared" si="325"/>
        <v>5.5107907914743519</v>
      </c>
      <c r="Q274" s="55">
        <f t="shared" si="325"/>
        <v>5.5107907914743519</v>
      </c>
      <c r="R274" s="55">
        <f t="shared" si="325"/>
        <v>5.5107907914743519</v>
      </c>
      <c r="S274" s="55">
        <f t="shared" si="325"/>
        <v>5.5107907914743519</v>
      </c>
      <c r="T274" s="55">
        <f t="shared" si="325"/>
        <v>5.5107907914743519</v>
      </c>
      <c r="U274" s="55">
        <f t="shared" si="325"/>
        <v>5.5107907914743519</v>
      </c>
      <c r="V274" s="55">
        <f t="shared" si="325"/>
        <v>5.5107907914743519</v>
      </c>
      <c r="W274" s="55">
        <f t="shared" si="325"/>
        <v>5.5107907914743519</v>
      </c>
      <c r="X274" s="55">
        <f t="shared" si="325"/>
        <v>5.5107907914743519</v>
      </c>
      <c r="Y274" s="55">
        <f t="shared" si="325"/>
        <v>5.5107907914743519</v>
      </c>
      <c r="Z274" s="55">
        <f t="shared" si="325"/>
        <v>5.5107907914743519</v>
      </c>
      <c r="AA274" s="55">
        <f t="shared" si="325"/>
        <v>5.5107907914743519</v>
      </c>
      <c r="AB274" s="55">
        <f t="shared" si="325"/>
        <v>5.5107907914743519</v>
      </c>
      <c r="AC274" s="55">
        <f t="shared" si="325"/>
        <v>5.5107907914743519</v>
      </c>
      <c r="AD274" s="55">
        <f t="shared" si="325"/>
        <v>5.5107907914743519</v>
      </c>
      <c r="AE274" s="55">
        <f t="shared" si="325"/>
        <v>5.5107907914743519</v>
      </c>
      <c r="AF274" s="55">
        <f t="shared" si="325"/>
        <v>5.5107907914743519</v>
      </c>
      <c r="AG274" s="55">
        <f t="shared" si="325"/>
        <v>5.5107907914743519</v>
      </c>
      <c r="AH274" s="55">
        <f t="shared" si="325"/>
        <v>5.5107907914743519</v>
      </c>
      <c r="AI274" s="55">
        <f t="shared" ref="AI274:BJ274" si="326">IF(AND(AI$127&gt;=$K63,AI$127&lt;=$L63),$G63*(1+$H63)^(AI$127-$B$5),0)</f>
        <v>5.5107907914743519</v>
      </c>
      <c r="AJ274" s="55">
        <f t="shared" si="326"/>
        <v>5.5107907914743519</v>
      </c>
      <c r="AK274" s="55">
        <f t="shared" si="326"/>
        <v>5.5107907914743519</v>
      </c>
      <c r="AL274" s="55">
        <f t="shared" si="326"/>
        <v>5.5107907914743519</v>
      </c>
      <c r="AM274" s="55">
        <f t="shared" si="326"/>
        <v>5.5107907914743519</v>
      </c>
      <c r="AN274" s="55">
        <f t="shared" si="326"/>
        <v>5.5107907914743519</v>
      </c>
      <c r="AO274" s="55">
        <f t="shared" si="326"/>
        <v>5.5107907914743519</v>
      </c>
      <c r="AP274" s="55">
        <f t="shared" si="326"/>
        <v>5.5107907914743519</v>
      </c>
      <c r="AQ274" s="55">
        <f t="shared" si="326"/>
        <v>5.5107907914743519</v>
      </c>
      <c r="AR274" s="55">
        <f t="shared" si="326"/>
        <v>5.5107907914743519</v>
      </c>
      <c r="AS274" s="55">
        <f t="shared" si="326"/>
        <v>5.5107907914743519</v>
      </c>
      <c r="AT274" s="55">
        <f t="shared" si="326"/>
        <v>5.5107907914743519</v>
      </c>
      <c r="AU274" s="55">
        <f t="shared" si="326"/>
        <v>5.5107907914743519</v>
      </c>
      <c r="AV274" s="55">
        <f t="shared" si="326"/>
        <v>5.5107907914743519</v>
      </c>
      <c r="AW274" s="55">
        <f t="shared" si="326"/>
        <v>5.5107907914743519</v>
      </c>
      <c r="AX274" s="55">
        <f t="shared" si="326"/>
        <v>5.5107907914743519</v>
      </c>
      <c r="AY274" s="55">
        <f t="shared" si="326"/>
        <v>5.5107907914743519</v>
      </c>
      <c r="AZ274" s="55">
        <f t="shared" si="326"/>
        <v>0</v>
      </c>
      <c r="BA274" s="55">
        <f t="shared" si="326"/>
        <v>0</v>
      </c>
      <c r="BB274" s="55">
        <f t="shared" si="326"/>
        <v>0</v>
      </c>
      <c r="BC274" s="55">
        <f t="shared" si="326"/>
        <v>0</v>
      </c>
      <c r="BD274" s="55">
        <f t="shared" si="326"/>
        <v>0</v>
      </c>
      <c r="BE274" s="55">
        <f t="shared" si="326"/>
        <v>0</v>
      </c>
      <c r="BF274" s="55">
        <f t="shared" si="326"/>
        <v>0</v>
      </c>
      <c r="BG274" s="55">
        <f t="shared" si="326"/>
        <v>0</v>
      </c>
      <c r="BH274" s="55">
        <f t="shared" si="326"/>
        <v>0</v>
      </c>
      <c r="BI274" s="55">
        <f t="shared" si="326"/>
        <v>0</v>
      </c>
      <c r="BJ274" s="55">
        <f t="shared" si="326"/>
        <v>0</v>
      </c>
    </row>
    <row r="275" spans="1:62" x14ac:dyDescent="0.3">
      <c r="A275" s="53" t="str">
        <f t="shared" si="310"/>
        <v>project 84</v>
      </c>
      <c r="C275" s="55">
        <f t="shared" ref="C275:AH275" si="327">IF(AND(C$127&gt;=$K64,C$127&lt;=$L64),$G64*(1+$H64)^(C$127-$B$5),0)</f>
        <v>0</v>
      </c>
      <c r="D275" s="55">
        <f t="shared" si="327"/>
        <v>7.8205155458853426E-2</v>
      </c>
      <c r="E275" s="55">
        <f t="shared" si="327"/>
        <v>7.8205155458853426E-2</v>
      </c>
      <c r="F275" s="55">
        <f t="shared" si="327"/>
        <v>7.8205155458853426E-2</v>
      </c>
      <c r="G275" s="55">
        <f t="shared" si="327"/>
        <v>7.8205155458853426E-2</v>
      </c>
      <c r="H275" s="55">
        <f t="shared" si="327"/>
        <v>7.8205155458853426E-2</v>
      </c>
      <c r="I275" s="55">
        <f t="shared" si="327"/>
        <v>7.8205155458853426E-2</v>
      </c>
      <c r="J275" s="55">
        <f t="shared" si="327"/>
        <v>7.8205155458853426E-2</v>
      </c>
      <c r="K275" s="55">
        <f t="shared" si="327"/>
        <v>7.8205155458853426E-2</v>
      </c>
      <c r="L275" s="55">
        <f t="shared" si="327"/>
        <v>7.8205155458853426E-2</v>
      </c>
      <c r="M275" s="55">
        <f t="shared" si="327"/>
        <v>7.8205155458853426E-2</v>
      </c>
      <c r="N275" s="55">
        <f t="shared" si="327"/>
        <v>7.8205155458853426E-2</v>
      </c>
      <c r="O275" s="55">
        <f t="shared" si="327"/>
        <v>7.8205155458853426E-2</v>
      </c>
      <c r="P275" s="55">
        <f t="shared" si="327"/>
        <v>7.8205155458853426E-2</v>
      </c>
      <c r="Q275" s="55">
        <f t="shared" si="327"/>
        <v>7.8205155458853426E-2</v>
      </c>
      <c r="R275" s="55">
        <f t="shared" si="327"/>
        <v>7.8205155458853426E-2</v>
      </c>
      <c r="S275" s="55">
        <f t="shared" si="327"/>
        <v>7.8205155458853426E-2</v>
      </c>
      <c r="T275" s="55">
        <f t="shared" si="327"/>
        <v>7.8205155458853426E-2</v>
      </c>
      <c r="U275" s="55">
        <f t="shared" si="327"/>
        <v>7.8205155458853426E-2</v>
      </c>
      <c r="V275" s="55">
        <f t="shared" si="327"/>
        <v>7.8205155458853426E-2</v>
      </c>
      <c r="W275" s="55">
        <f t="shared" si="327"/>
        <v>7.8205155458853426E-2</v>
      </c>
      <c r="X275" s="55">
        <f t="shared" si="327"/>
        <v>7.8205155458853426E-2</v>
      </c>
      <c r="Y275" s="55">
        <f t="shared" si="327"/>
        <v>7.8205155458853426E-2</v>
      </c>
      <c r="Z275" s="55">
        <f t="shared" si="327"/>
        <v>7.8205155458853426E-2</v>
      </c>
      <c r="AA275" s="55">
        <f t="shared" si="327"/>
        <v>7.8205155458853426E-2</v>
      </c>
      <c r="AB275" s="55">
        <f t="shared" si="327"/>
        <v>7.8205155458853426E-2</v>
      </c>
      <c r="AC275" s="55">
        <f t="shared" si="327"/>
        <v>7.8205155458853426E-2</v>
      </c>
      <c r="AD275" s="55">
        <f t="shared" si="327"/>
        <v>7.8205155458853426E-2</v>
      </c>
      <c r="AE275" s="55">
        <f t="shared" si="327"/>
        <v>7.8205155458853426E-2</v>
      </c>
      <c r="AF275" s="55">
        <f t="shared" si="327"/>
        <v>7.8205155458853426E-2</v>
      </c>
      <c r="AG275" s="55">
        <f t="shared" si="327"/>
        <v>7.8205155458853426E-2</v>
      </c>
      <c r="AH275" s="55">
        <f t="shared" si="327"/>
        <v>7.8205155458853426E-2</v>
      </c>
      <c r="AI275" s="55">
        <f t="shared" ref="AI275:BJ275" si="328">IF(AND(AI$127&gt;=$K64,AI$127&lt;=$L64),$G64*(1+$H64)^(AI$127-$B$5),0)</f>
        <v>7.8205155458853426E-2</v>
      </c>
      <c r="AJ275" s="55">
        <f t="shared" si="328"/>
        <v>7.8205155458853426E-2</v>
      </c>
      <c r="AK275" s="55">
        <f t="shared" si="328"/>
        <v>7.8205155458853426E-2</v>
      </c>
      <c r="AL275" s="55">
        <f t="shared" si="328"/>
        <v>7.8205155458853426E-2</v>
      </c>
      <c r="AM275" s="55">
        <f t="shared" si="328"/>
        <v>7.8205155458853426E-2</v>
      </c>
      <c r="AN275" s="55">
        <f t="shared" si="328"/>
        <v>7.8205155458853426E-2</v>
      </c>
      <c r="AO275" s="55">
        <f t="shared" si="328"/>
        <v>7.8205155458853426E-2</v>
      </c>
      <c r="AP275" s="55">
        <f t="shared" si="328"/>
        <v>7.8205155458853426E-2</v>
      </c>
      <c r="AQ275" s="55">
        <f t="shared" si="328"/>
        <v>7.8205155458853426E-2</v>
      </c>
      <c r="AR275" s="55">
        <f t="shared" si="328"/>
        <v>0</v>
      </c>
      <c r="AS275" s="55">
        <f t="shared" si="328"/>
        <v>0</v>
      </c>
      <c r="AT275" s="55">
        <f t="shared" si="328"/>
        <v>0</v>
      </c>
      <c r="AU275" s="55">
        <f t="shared" si="328"/>
        <v>0</v>
      </c>
      <c r="AV275" s="55">
        <f t="shared" si="328"/>
        <v>0</v>
      </c>
      <c r="AW275" s="55">
        <f t="shared" si="328"/>
        <v>0</v>
      </c>
      <c r="AX275" s="55">
        <f t="shared" si="328"/>
        <v>0</v>
      </c>
      <c r="AY275" s="55">
        <f t="shared" si="328"/>
        <v>0</v>
      </c>
      <c r="AZ275" s="55">
        <f t="shared" si="328"/>
        <v>0</v>
      </c>
      <c r="BA275" s="55">
        <f t="shared" si="328"/>
        <v>0</v>
      </c>
      <c r="BB275" s="55">
        <f t="shared" si="328"/>
        <v>0</v>
      </c>
      <c r="BC275" s="55">
        <f t="shared" si="328"/>
        <v>0</v>
      </c>
      <c r="BD275" s="55">
        <f t="shared" si="328"/>
        <v>0</v>
      </c>
      <c r="BE275" s="55">
        <f t="shared" si="328"/>
        <v>0</v>
      </c>
      <c r="BF275" s="55">
        <f t="shared" si="328"/>
        <v>0</v>
      </c>
      <c r="BG275" s="55">
        <f t="shared" si="328"/>
        <v>0</v>
      </c>
      <c r="BH275" s="55">
        <f t="shared" si="328"/>
        <v>0</v>
      </c>
      <c r="BI275" s="55">
        <f t="shared" si="328"/>
        <v>0</v>
      </c>
      <c r="BJ275" s="55">
        <f t="shared" si="328"/>
        <v>0</v>
      </c>
    </row>
    <row r="276" spans="1:62" x14ac:dyDescent="0.3">
      <c r="A276" s="53" t="str">
        <f t="shared" si="310"/>
        <v>project 87</v>
      </c>
      <c r="C276" s="55">
        <f t="shared" ref="C276:AH276" si="329">IF(AND(C$127&gt;=$K65,C$127&lt;=$L65),$G65*(1+$H65)^(C$127-$B$5),0)</f>
        <v>0</v>
      </c>
      <c r="D276" s="55">
        <f t="shared" si="329"/>
        <v>0</v>
      </c>
      <c r="E276" s="55">
        <f t="shared" si="329"/>
        <v>0</v>
      </c>
      <c r="F276" s="55">
        <f t="shared" si="329"/>
        <v>0</v>
      </c>
      <c r="G276" s="55">
        <f t="shared" si="329"/>
        <v>0</v>
      </c>
      <c r="H276" s="55">
        <f t="shared" si="329"/>
        <v>0</v>
      </c>
      <c r="I276" s="55">
        <f t="shared" si="329"/>
        <v>0</v>
      </c>
      <c r="J276" s="55">
        <f t="shared" si="329"/>
        <v>2.833855896561515</v>
      </c>
      <c r="K276" s="55">
        <f t="shared" si="329"/>
        <v>2.833855896561515</v>
      </c>
      <c r="L276" s="55">
        <f t="shared" si="329"/>
        <v>2.833855896561515</v>
      </c>
      <c r="M276" s="55">
        <f t="shared" si="329"/>
        <v>2.833855896561515</v>
      </c>
      <c r="N276" s="55">
        <f t="shared" si="329"/>
        <v>2.833855896561515</v>
      </c>
      <c r="O276" s="55">
        <f t="shared" si="329"/>
        <v>2.833855896561515</v>
      </c>
      <c r="P276" s="55">
        <f t="shared" si="329"/>
        <v>2.833855896561515</v>
      </c>
      <c r="Q276" s="55">
        <f t="shared" si="329"/>
        <v>2.833855896561515</v>
      </c>
      <c r="R276" s="55">
        <f t="shared" si="329"/>
        <v>2.833855896561515</v>
      </c>
      <c r="S276" s="55">
        <f t="shared" si="329"/>
        <v>2.833855896561515</v>
      </c>
      <c r="T276" s="55">
        <f t="shared" si="329"/>
        <v>2.833855896561515</v>
      </c>
      <c r="U276" s="55">
        <f t="shared" si="329"/>
        <v>2.833855896561515</v>
      </c>
      <c r="V276" s="55">
        <f t="shared" si="329"/>
        <v>2.833855896561515</v>
      </c>
      <c r="W276" s="55">
        <f t="shared" si="329"/>
        <v>2.833855896561515</v>
      </c>
      <c r="X276" s="55">
        <f t="shared" si="329"/>
        <v>2.833855896561515</v>
      </c>
      <c r="Y276" s="55">
        <f t="shared" si="329"/>
        <v>2.833855896561515</v>
      </c>
      <c r="Z276" s="55">
        <f t="shared" si="329"/>
        <v>2.833855896561515</v>
      </c>
      <c r="AA276" s="55">
        <f t="shared" si="329"/>
        <v>2.833855896561515</v>
      </c>
      <c r="AB276" s="55">
        <f t="shared" si="329"/>
        <v>2.833855896561515</v>
      </c>
      <c r="AC276" s="55">
        <f t="shared" si="329"/>
        <v>2.833855896561515</v>
      </c>
      <c r="AD276" s="55">
        <f t="shared" si="329"/>
        <v>2.833855896561515</v>
      </c>
      <c r="AE276" s="55">
        <f t="shared" si="329"/>
        <v>2.833855896561515</v>
      </c>
      <c r="AF276" s="55">
        <f t="shared" si="329"/>
        <v>2.833855896561515</v>
      </c>
      <c r="AG276" s="55">
        <f t="shared" si="329"/>
        <v>2.833855896561515</v>
      </c>
      <c r="AH276" s="55">
        <f t="shared" si="329"/>
        <v>2.833855896561515</v>
      </c>
      <c r="AI276" s="55">
        <f t="shared" ref="AI276:BJ276" si="330">IF(AND(AI$127&gt;=$K65,AI$127&lt;=$L65),$G65*(1+$H65)^(AI$127-$B$5),0)</f>
        <v>2.833855896561515</v>
      </c>
      <c r="AJ276" s="55">
        <f t="shared" si="330"/>
        <v>2.833855896561515</v>
      </c>
      <c r="AK276" s="55">
        <f t="shared" si="330"/>
        <v>2.833855896561515</v>
      </c>
      <c r="AL276" s="55">
        <f t="shared" si="330"/>
        <v>2.833855896561515</v>
      </c>
      <c r="AM276" s="55">
        <f t="shared" si="330"/>
        <v>2.833855896561515</v>
      </c>
      <c r="AN276" s="55">
        <f t="shared" si="330"/>
        <v>2.833855896561515</v>
      </c>
      <c r="AO276" s="55">
        <f t="shared" si="330"/>
        <v>2.833855896561515</v>
      </c>
      <c r="AP276" s="55">
        <f t="shared" si="330"/>
        <v>2.833855896561515</v>
      </c>
      <c r="AQ276" s="55">
        <f t="shared" si="330"/>
        <v>2.833855896561515</v>
      </c>
      <c r="AR276" s="55">
        <f t="shared" si="330"/>
        <v>2.833855896561515</v>
      </c>
      <c r="AS276" s="55">
        <f t="shared" si="330"/>
        <v>2.833855896561515</v>
      </c>
      <c r="AT276" s="55">
        <f t="shared" si="330"/>
        <v>2.833855896561515</v>
      </c>
      <c r="AU276" s="55">
        <f t="shared" si="330"/>
        <v>2.833855896561515</v>
      </c>
      <c r="AV276" s="55">
        <f t="shared" si="330"/>
        <v>2.833855896561515</v>
      </c>
      <c r="AW276" s="55">
        <f t="shared" si="330"/>
        <v>2.833855896561515</v>
      </c>
      <c r="AX276" s="55">
        <f t="shared" si="330"/>
        <v>0</v>
      </c>
      <c r="AY276" s="55">
        <f t="shared" si="330"/>
        <v>0</v>
      </c>
      <c r="AZ276" s="55">
        <f t="shared" si="330"/>
        <v>0</v>
      </c>
      <c r="BA276" s="55">
        <f t="shared" si="330"/>
        <v>0</v>
      </c>
      <c r="BB276" s="55">
        <f t="shared" si="330"/>
        <v>0</v>
      </c>
      <c r="BC276" s="55">
        <f t="shared" si="330"/>
        <v>0</v>
      </c>
      <c r="BD276" s="55">
        <f t="shared" si="330"/>
        <v>0</v>
      </c>
      <c r="BE276" s="55">
        <f t="shared" si="330"/>
        <v>0</v>
      </c>
      <c r="BF276" s="55">
        <f t="shared" si="330"/>
        <v>0</v>
      </c>
      <c r="BG276" s="55">
        <f t="shared" si="330"/>
        <v>0</v>
      </c>
      <c r="BH276" s="55">
        <f t="shared" si="330"/>
        <v>0</v>
      </c>
      <c r="BI276" s="55">
        <f t="shared" si="330"/>
        <v>0</v>
      </c>
      <c r="BJ276" s="55">
        <f t="shared" si="330"/>
        <v>0</v>
      </c>
    </row>
    <row r="277" spans="1:62" x14ac:dyDescent="0.3">
      <c r="A277" s="53" t="str">
        <f t="shared" si="310"/>
        <v>project 90</v>
      </c>
      <c r="C277" s="55">
        <f t="shared" ref="C277:AH277" si="331">IF(AND(C$127&gt;=$K66,C$127&lt;=$L66),$G66*(1+$H66)^(C$127-$B$5),0)</f>
        <v>0</v>
      </c>
      <c r="D277" s="55">
        <f t="shared" si="331"/>
        <v>0</v>
      </c>
      <c r="E277" s="55">
        <f t="shared" si="331"/>
        <v>0</v>
      </c>
      <c r="F277" s="55">
        <f t="shared" si="331"/>
        <v>0</v>
      </c>
      <c r="G277" s="55">
        <f t="shared" si="331"/>
        <v>0</v>
      </c>
      <c r="H277" s="55">
        <f t="shared" si="331"/>
        <v>0</v>
      </c>
      <c r="I277" s="55">
        <f t="shared" si="331"/>
        <v>0</v>
      </c>
      <c r="J277" s="55">
        <f t="shared" si="331"/>
        <v>1.1875395984794399</v>
      </c>
      <c r="K277" s="55">
        <f t="shared" si="331"/>
        <v>1.1875395984794399</v>
      </c>
      <c r="L277" s="55">
        <f t="shared" si="331"/>
        <v>1.1875395984794399</v>
      </c>
      <c r="M277" s="55">
        <f t="shared" si="331"/>
        <v>1.1875395984794399</v>
      </c>
      <c r="N277" s="55">
        <f t="shared" si="331"/>
        <v>1.1875395984794399</v>
      </c>
      <c r="O277" s="55">
        <f t="shared" si="331"/>
        <v>1.1875395984794399</v>
      </c>
      <c r="P277" s="55">
        <f t="shared" si="331"/>
        <v>1.1875395984794399</v>
      </c>
      <c r="Q277" s="55">
        <f t="shared" si="331"/>
        <v>1.1875395984794399</v>
      </c>
      <c r="R277" s="55">
        <f t="shared" si="331"/>
        <v>1.1875395984794399</v>
      </c>
      <c r="S277" s="55">
        <f t="shared" si="331"/>
        <v>1.1875395984794399</v>
      </c>
      <c r="T277" s="55">
        <f t="shared" si="331"/>
        <v>1.1875395984794399</v>
      </c>
      <c r="U277" s="55">
        <f t="shared" si="331"/>
        <v>1.1875395984794399</v>
      </c>
      <c r="V277" s="55">
        <f t="shared" si="331"/>
        <v>1.1875395984794399</v>
      </c>
      <c r="W277" s="55">
        <f t="shared" si="331"/>
        <v>1.1875395984794399</v>
      </c>
      <c r="X277" s="55">
        <f t="shared" si="331"/>
        <v>1.1875395984794399</v>
      </c>
      <c r="Y277" s="55">
        <f t="shared" si="331"/>
        <v>1.1875395984794399</v>
      </c>
      <c r="Z277" s="55">
        <f t="shared" si="331"/>
        <v>1.1875395984794399</v>
      </c>
      <c r="AA277" s="55">
        <f t="shared" si="331"/>
        <v>1.1875395984794399</v>
      </c>
      <c r="AB277" s="55">
        <f t="shared" si="331"/>
        <v>1.1875395984794399</v>
      </c>
      <c r="AC277" s="55">
        <f t="shared" si="331"/>
        <v>1.1875395984794399</v>
      </c>
      <c r="AD277" s="55">
        <f t="shared" si="331"/>
        <v>1.1875395984794399</v>
      </c>
      <c r="AE277" s="55">
        <f t="shared" si="331"/>
        <v>1.1875395984794399</v>
      </c>
      <c r="AF277" s="55">
        <f t="shared" si="331"/>
        <v>1.1875395984794399</v>
      </c>
      <c r="AG277" s="55">
        <f t="shared" si="331"/>
        <v>1.1875395984794399</v>
      </c>
      <c r="AH277" s="55">
        <f t="shared" si="331"/>
        <v>1.1875395984794399</v>
      </c>
      <c r="AI277" s="55">
        <f t="shared" ref="AI277:BJ277" si="332">IF(AND(AI$127&gt;=$K66,AI$127&lt;=$L66),$G66*(1+$H66)^(AI$127-$B$5),0)</f>
        <v>1.1875395984794399</v>
      </c>
      <c r="AJ277" s="55">
        <f t="shared" si="332"/>
        <v>1.1875395984794399</v>
      </c>
      <c r="AK277" s="55">
        <f t="shared" si="332"/>
        <v>1.1875395984794399</v>
      </c>
      <c r="AL277" s="55">
        <f t="shared" si="332"/>
        <v>1.1875395984794399</v>
      </c>
      <c r="AM277" s="55">
        <f t="shared" si="332"/>
        <v>1.1875395984794399</v>
      </c>
      <c r="AN277" s="55">
        <f t="shared" si="332"/>
        <v>1.1875395984794399</v>
      </c>
      <c r="AO277" s="55">
        <f t="shared" si="332"/>
        <v>1.1875395984794399</v>
      </c>
      <c r="AP277" s="55">
        <f t="shared" si="332"/>
        <v>1.1875395984794399</v>
      </c>
      <c r="AQ277" s="55">
        <f t="shared" si="332"/>
        <v>1.1875395984794399</v>
      </c>
      <c r="AR277" s="55">
        <f t="shared" si="332"/>
        <v>1.1875395984794399</v>
      </c>
      <c r="AS277" s="55">
        <f t="shared" si="332"/>
        <v>1.1875395984794399</v>
      </c>
      <c r="AT277" s="55">
        <f t="shared" si="332"/>
        <v>1.1875395984794399</v>
      </c>
      <c r="AU277" s="55">
        <f t="shared" si="332"/>
        <v>1.1875395984794399</v>
      </c>
      <c r="AV277" s="55">
        <f t="shared" si="332"/>
        <v>1.1875395984794399</v>
      </c>
      <c r="AW277" s="55">
        <f t="shared" si="332"/>
        <v>1.1875395984794399</v>
      </c>
      <c r="AX277" s="55">
        <f t="shared" si="332"/>
        <v>0</v>
      </c>
      <c r="AY277" s="55">
        <f t="shared" si="332"/>
        <v>0</v>
      </c>
      <c r="AZ277" s="55">
        <f t="shared" si="332"/>
        <v>0</v>
      </c>
      <c r="BA277" s="55">
        <f t="shared" si="332"/>
        <v>0</v>
      </c>
      <c r="BB277" s="55">
        <f t="shared" si="332"/>
        <v>0</v>
      </c>
      <c r="BC277" s="55">
        <f t="shared" si="332"/>
        <v>0</v>
      </c>
      <c r="BD277" s="55">
        <f t="shared" si="332"/>
        <v>0</v>
      </c>
      <c r="BE277" s="55">
        <f t="shared" si="332"/>
        <v>0</v>
      </c>
      <c r="BF277" s="55">
        <f t="shared" si="332"/>
        <v>0</v>
      </c>
      <c r="BG277" s="55">
        <f t="shared" si="332"/>
        <v>0</v>
      </c>
      <c r="BH277" s="55">
        <f t="shared" si="332"/>
        <v>0</v>
      </c>
      <c r="BI277" s="55">
        <f t="shared" si="332"/>
        <v>0</v>
      </c>
      <c r="BJ277" s="55">
        <f t="shared" si="332"/>
        <v>0</v>
      </c>
    </row>
    <row r="278" spans="1:62" x14ac:dyDescent="0.3">
      <c r="A278" s="53" t="str">
        <f t="shared" si="310"/>
        <v>project 91</v>
      </c>
      <c r="C278" s="55">
        <f t="shared" ref="C278:AH278" si="333">IF(AND(C$127&gt;=$K67,C$127&lt;=$L67),$G67*(1+$H67)^(C$127-$B$5),0)</f>
        <v>0</v>
      </c>
      <c r="D278" s="55">
        <f t="shared" si="333"/>
        <v>0</v>
      </c>
      <c r="E278" s="55">
        <f t="shared" si="333"/>
        <v>0</v>
      </c>
      <c r="F278" s="55">
        <f t="shared" si="333"/>
        <v>0</v>
      </c>
      <c r="G278" s="55">
        <f t="shared" si="333"/>
        <v>0</v>
      </c>
      <c r="H278" s="55">
        <f t="shared" si="333"/>
        <v>0</v>
      </c>
      <c r="I278" s="55">
        <f t="shared" si="333"/>
        <v>0</v>
      </c>
      <c r="J278" s="55">
        <f t="shared" si="333"/>
        <v>0</v>
      </c>
      <c r="K278" s="55">
        <f t="shared" si="333"/>
        <v>0</v>
      </c>
      <c r="L278" s="55">
        <f t="shared" si="333"/>
        <v>0</v>
      </c>
      <c r="M278" s="55">
        <f t="shared" si="333"/>
        <v>0</v>
      </c>
      <c r="N278" s="55">
        <f t="shared" si="333"/>
        <v>0</v>
      </c>
      <c r="O278" s="55">
        <f t="shared" si="333"/>
        <v>0</v>
      </c>
      <c r="P278" s="55">
        <f t="shared" si="333"/>
        <v>0.55780011737751434</v>
      </c>
      <c r="Q278" s="55">
        <f t="shared" si="333"/>
        <v>0.55780011737751434</v>
      </c>
      <c r="R278" s="55">
        <f t="shared" si="333"/>
        <v>0.55780011737751434</v>
      </c>
      <c r="S278" s="55">
        <f t="shared" si="333"/>
        <v>0.55780011737751434</v>
      </c>
      <c r="T278" s="55">
        <f t="shared" si="333"/>
        <v>0.55780011737751434</v>
      </c>
      <c r="U278" s="55">
        <f t="shared" si="333"/>
        <v>0.55780011737751434</v>
      </c>
      <c r="V278" s="55">
        <f t="shared" si="333"/>
        <v>0.55780011737751434</v>
      </c>
      <c r="W278" s="55">
        <f t="shared" si="333"/>
        <v>0.55780011737751434</v>
      </c>
      <c r="X278" s="55">
        <f t="shared" si="333"/>
        <v>0.55780011737751434</v>
      </c>
      <c r="Y278" s="55">
        <f t="shared" si="333"/>
        <v>0.55780011737751434</v>
      </c>
      <c r="Z278" s="55">
        <f t="shared" si="333"/>
        <v>0.55780011737751434</v>
      </c>
      <c r="AA278" s="55">
        <f t="shared" si="333"/>
        <v>0.55780011737751434</v>
      </c>
      <c r="AB278" s="55">
        <f t="shared" si="333"/>
        <v>0.55780011737751434</v>
      </c>
      <c r="AC278" s="55">
        <f t="shared" si="333"/>
        <v>0.55780011737751434</v>
      </c>
      <c r="AD278" s="55">
        <f t="shared" si="333"/>
        <v>0.55780011737751434</v>
      </c>
      <c r="AE278" s="55">
        <f t="shared" si="333"/>
        <v>0.55780011737751434</v>
      </c>
      <c r="AF278" s="55">
        <f t="shared" si="333"/>
        <v>0.55780011737751434</v>
      </c>
      <c r="AG278" s="55">
        <f t="shared" si="333"/>
        <v>0.55780011737751434</v>
      </c>
      <c r="AH278" s="55">
        <f t="shared" si="333"/>
        <v>0.55780011737751434</v>
      </c>
      <c r="AI278" s="55">
        <f t="shared" ref="AI278:BJ278" si="334">IF(AND(AI$127&gt;=$K67,AI$127&lt;=$L67),$G67*(1+$H67)^(AI$127-$B$5),0)</f>
        <v>0.55780011737751434</v>
      </c>
      <c r="AJ278" s="55">
        <f t="shared" si="334"/>
        <v>0.55780011737751434</v>
      </c>
      <c r="AK278" s="55">
        <f t="shared" si="334"/>
        <v>0.55780011737751434</v>
      </c>
      <c r="AL278" s="55">
        <f t="shared" si="334"/>
        <v>0.55780011737751434</v>
      </c>
      <c r="AM278" s="55">
        <f t="shared" si="334"/>
        <v>0.55780011737751434</v>
      </c>
      <c r="AN278" s="55">
        <f t="shared" si="334"/>
        <v>0.55780011737751434</v>
      </c>
      <c r="AO278" s="55">
        <f t="shared" si="334"/>
        <v>0.55780011737751434</v>
      </c>
      <c r="AP278" s="55">
        <f t="shared" si="334"/>
        <v>0.55780011737751434</v>
      </c>
      <c r="AQ278" s="55">
        <f t="shared" si="334"/>
        <v>0.55780011737751434</v>
      </c>
      <c r="AR278" s="55">
        <f t="shared" si="334"/>
        <v>0.55780011737751434</v>
      </c>
      <c r="AS278" s="55">
        <f t="shared" si="334"/>
        <v>0.55780011737751434</v>
      </c>
      <c r="AT278" s="55">
        <f t="shared" si="334"/>
        <v>0.55780011737751434</v>
      </c>
      <c r="AU278" s="55">
        <f t="shared" si="334"/>
        <v>0.55780011737751434</v>
      </c>
      <c r="AV278" s="55">
        <f t="shared" si="334"/>
        <v>0.55780011737751434</v>
      </c>
      <c r="AW278" s="55">
        <f t="shared" si="334"/>
        <v>0.55780011737751434</v>
      </c>
      <c r="AX278" s="55">
        <f t="shared" si="334"/>
        <v>0.55780011737751434</v>
      </c>
      <c r="AY278" s="55">
        <f t="shared" si="334"/>
        <v>0.55780011737751434</v>
      </c>
      <c r="AZ278" s="55">
        <f t="shared" si="334"/>
        <v>0.55780011737751434</v>
      </c>
      <c r="BA278" s="55">
        <f t="shared" si="334"/>
        <v>0.55780011737751434</v>
      </c>
      <c r="BB278" s="55">
        <f t="shared" si="334"/>
        <v>0.55780011737751434</v>
      </c>
      <c r="BC278" s="55">
        <f t="shared" si="334"/>
        <v>0.55780011737751434</v>
      </c>
      <c r="BD278" s="55">
        <f t="shared" si="334"/>
        <v>0</v>
      </c>
      <c r="BE278" s="55">
        <f t="shared" si="334"/>
        <v>0</v>
      </c>
      <c r="BF278" s="55">
        <f t="shared" si="334"/>
        <v>0</v>
      </c>
      <c r="BG278" s="55">
        <f t="shared" si="334"/>
        <v>0</v>
      </c>
      <c r="BH278" s="55">
        <f t="shared" si="334"/>
        <v>0</v>
      </c>
      <c r="BI278" s="55">
        <f t="shared" si="334"/>
        <v>0</v>
      </c>
      <c r="BJ278" s="55">
        <f t="shared" si="334"/>
        <v>0</v>
      </c>
    </row>
    <row r="279" spans="1:62" x14ac:dyDescent="0.3">
      <c r="A279" s="53" t="str">
        <f t="shared" si="310"/>
        <v>project 92</v>
      </c>
      <c r="C279" s="55">
        <f t="shared" ref="C279:AH279" si="335">IF(AND(C$127&gt;=$K68,C$127&lt;=$L68),$G68*(1+$H68)^(C$127-$B$5),0)</f>
        <v>0</v>
      </c>
      <c r="D279" s="55">
        <f t="shared" si="335"/>
        <v>0</v>
      </c>
      <c r="E279" s="55">
        <f t="shared" si="335"/>
        <v>0</v>
      </c>
      <c r="F279" s="55">
        <f t="shared" si="335"/>
        <v>0</v>
      </c>
      <c r="G279" s="55">
        <f t="shared" si="335"/>
        <v>0</v>
      </c>
      <c r="H279" s="55">
        <f t="shared" si="335"/>
        <v>0</v>
      </c>
      <c r="I279" s="55">
        <f t="shared" si="335"/>
        <v>0</v>
      </c>
      <c r="J279" s="55">
        <f t="shared" si="335"/>
        <v>0</v>
      </c>
      <c r="K279" s="55">
        <f t="shared" si="335"/>
        <v>0</v>
      </c>
      <c r="L279" s="55">
        <f t="shared" si="335"/>
        <v>0</v>
      </c>
      <c r="M279" s="55">
        <f t="shared" si="335"/>
        <v>0</v>
      </c>
      <c r="N279" s="55">
        <f t="shared" si="335"/>
        <v>0</v>
      </c>
      <c r="O279" s="55">
        <f t="shared" si="335"/>
        <v>0</v>
      </c>
      <c r="P279" s="55">
        <f t="shared" si="335"/>
        <v>0</v>
      </c>
      <c r="Q279" s="55">
        <f t="shared" si="335"/>
        <v>0</v>
      </c>
      <c r="R279" s="55">
        <f t="shared" si="335"/>
        <v>0</v>
      </c>
      <c r="S279" s="55">
        <f t="shared" si="335"/>
        <v>0</v>
      </c>
      <c r="T279" s="55">
        <f t="shared" si="335"/>
        <v>0.66623577946345458</v>
      </c>
      <c r="U279" s="55">
        <f t="shared" si="335"/>
        <v>0.66623577946345458</v>
      </c>
      <c r="V279" s="55">
        <f t="shared" si="335"/>
        <v>0.66623577946345458</v>
      </c>
      <c r="W279" s="55">
        <f t="shared" si="335"/>
        <v>0.66623577946345458</v>
      </c>
      <c r="X279" s="55">
        <f t="shared" si="335"/>
        <v>0.66623577946345458</v>
      </c>
      <c r="Y279" s="55">
        <f t="shared" si="335"/>
        <v>0.66623577946345458</v>
      </c>
      <c r="Z279" s="55">
        <f t="shared" si="335"/>
        <v>0.66623577946345458</v>
      </c>
      <c r="AA279" s="55">
        <f t="shared" si="335"/>
        <v>0.66623577946345458</v>
      </c>
      <c r="AB279" s="55">
        <f t="shared" si="335"/>
        <v>0.66623577946345458</v>
      </c>
      <c r="AC279" s="55">
        <f t="shared" si="335"/>
        <v>0.66623577946345458</v>
      </c>
      <c r="AD279" s="55">
        <f t="shared" si="335"/>
        <v>0.66623577946345458</v>
      </c>
      <c r="AE279" s="55">
        <f t="shared" si="335"/>
        <v>0.66623577946345458</v>
      </c>
      <c r="AF279" s="55">
        <f t="shared" si="335"/>
        <v>0.66623577946345458</v>
      </c>
      <c r="AG279" s="55">
        <f t="shared" si="335"/>
        <v>0.66623577946345458</v>
      </c>
      <c r="AH279" s="55">
        <f t="shared" si="335"/>
        <v>0.66623577946345458</v>
      </c>
      <c r="AI279" s="55">
        <f t="shared" ref="AI279:BJ279" si="336">IF(AND(AI$127&gt;=$K68,AI$127&lt;=$L68),$G68*(1+$H68)^(AI$127-$B$5),0)</f>
        <v>0.66623577946345458</v>
      </c>
      <c r="AJ279" s="55">
        <f t="shared" si="336"/>
        <v>0.66623577946345458</v>
      </c>
      <c r="AK279" s="55">
        <f t="shared" si="336"/>
        <v>0.66623577946345458</v>
      </c>
      <c r="AL279" s="55">
        <f t="shared" si="336"/>
        <v>0.66623577946345458</v>
      </c>
      <c r="AM279" s="55">
        <f t="shared" si="336"/>
        <v>0.66623577946345458</v>
      </c>
      <c r="AN279" s="55">
        <f t="shared" si="336"/>
        <v>0.66623577946345458</v>
      </c>
      <c r="AO279" s="55">
        <f t="shared" si="336"/>
        <v>0.66623577946345458</v>
      </c>
      <c r="AP279" s="55">
        <f t="shared" si="336"/>
        <v>0.66623577946345458</v>
      </c>
      <c r="AQ279" s="55">
        <f t="shared" si="336"/>
        <v>0.66623577946345458</v>
      </c>
      <c r="AR279" s="55">
        <f t="shared" si="336"/>
        <v>0.66623577946345458</v>
      </c>
      <c r="AS279" s="55">
        <f t="shared" si="336"/>
        <v>0.66623577946345458</v>
      </c>
      <c r="AT279" s="55">
        <f t="shared" si="336"/>
        <v>0.66623577946345458</v>
      </c>
      <c r="AU279" s="55">
        <f t="shared" si="336"/>
        <v>0.66623577946345458</v>
      </c>
      <c r="AV279" s="55">
        <f t="shared" si="336"/>
        <v>0.66623577946345458</v>
      </c>
      <c r="AW279" s="55">
        <f t="shared" si="336"/>
        <v>0.66623577946345458</v>
      </c>
      <c r="AX279" s="55">
        <f t="shared" si="336"/>
        <v>0.66623577946345458</v>
      </c>
      <c r="AY279" s="55">
        <f t="shared" si="336"/>
        <v>0.66623577946345458</v>
      </c>
      <c r="AZ279" s="55">
        <f t="shared" si="336"/>
        <v>0.66623577946345458</v>
      </c>
      <c r="BA279" s="55">
        <f t="shared" si="336"/>
        <v>0.66623577946345458</v>
      </c>
      <c r="BB279" s="55">
        <f t="shared" si="336"/>
        <v>0.66623577946345458</v>
      </c>
      <c r="BC279" s="55">
        <f t="shared" si="336"/>
        <v>0.66623577946345458</v>
      </c>
      <c r="BD279" s="55">
        <f t="shared" si="336"/>
        <v>0.66623577946345458</v>
      </c>
      <c r="BE279" s="55">
        <f t="shared" si="336"/>
        <v>0.66623577946345458</v>
      </c>
      <c r="BF279" s="55">
        <f t="shared" si="336"/>
        <v>0.66623577946345458</v>
      </c>
      <c r="BG279" s="55">
        <f t="shared" si="336"/>
        <v>0.66623577946345458</v>
      </c>
      <c r="BH279" s="55">
        <f t="shared" si="336"/>
        <v>0</v>
      </c>
      <c r="BI279" s="55">
        <f t="shared" si="336"/>
        <v>0</v>
      </c>
      <c r="BJ279" s="55">
        <f t="shared" si="336"/>
        <v>0</v>
      </c>
    </row>
    <row r="280" spans="1:62" x14ac:dyDescent="0.3">
      <c r="A280" s="53" t="str">
        <f t="shared" si="310"/>
        <v>project 98</v>
      </c>
      <c r="C280" s="55">
        <f t="shared" ref="C280:AH280" si="337">IF(AND(C$127&gt;=$K69,C$127&lt;=$L69),$G69*(1+$H69)^(C$127-$B$5),0)</f>
        <v>0</v>
      </c>
      <c r="D280" s="55">
        <f t="shared" si="337"/>
        <v>0</v>
      </c>
      <c r="E280" s="55">
        <f t="shared" si="337"/>
        <v>0</v>
      </c>
      <c r="F280" s="55">
        <f t="shared" si="337"/>
        <v>0</v>
      </c>
      <c r="G280" s="55">
        <f t="shared" si="337"/>
        <v>0</v>
      </c>
      <c r="H280" s="55">
        <f t="shared" si="337"/>
        <v>0</v>
      </c>
      <c r="I280" s="55">
        <f t="shared" si="337"/>
        <v>0</v>
      </c>
      <c r="J280" s="55">
        <f t="shared" si="337"/>
        <v>0</v>
      </c>
      <c r="K280" s="55">
        <f t="shared" si="337"/>
        <v>0</v>
      </c>
      <c r="L280" s="55">
        <f t="shared" si="337"/>
        <v>0</v>
      </c>
      <c r="M280" s="55">
        <f t="shared" si="337"/>
        <v>0</v>
      </c>
      <c r="N280" s="55">
        <f t="shared" si="337"/>
        <v>0</v>
      </c>
      <c r="O280" s="55">
        <f t="shared" si="337"/>
        <v>0</v>
      </c>
      <c r="P280" s="55">
        <f t="shared" si="337"/>
        <v>0</v>
      </c>
      <c r="Q280" s="55">
        <f t="shared" si="337"/>
        <v>0</v>
      </c>
      <c r="R280" s="55">
        <f t="shared" si="337"/>
        <v>0</v>
      </c>
      <c r="S280" s="55">
        <f t="shared" si="337"/>
        <v>1.3873075609709891</v>
      </c>
      <c r="T280" s="55">
        <f t="shared" si="337"/>
        <v>1.3873075609709891</v>
      </c>
      <c r="U280" s="55">
        <f t="shared" si="337"/>
        <v>1.3873075609709891</v>
      </c>
      <c r="V280" s="55">
        <f t="shared" si="337"/>
        <v>1.3873075609709891</v>
      </c>
      <c r="W280" s="55">
        <f t="shared" si="337"/>
        <v>1.3873075609709891</v>
      </c>
      <c r="X280" s="55">
        <f t="shared" si="337"/>
        <v>1.3873075609709891</v>
      </c>
      <c r="Y280" s="55">
        <f t="shared" si="337"/>
        <v>1.3873075609709891</v>
      </c>
      <c r="Z280" s="55">
        <f t="shared" si="337"/>
        <v>1.3873075609709891</v>
      </c>
      <c r="AA280" s="55">
        <f t="shared" si="337"/>
        <v>1.3873075609709891</v>
      </c>
      <c r="AB280" s="55">
        <f t="shared" si="337"/>
        <v>1.3873075609709891</v>
      </c>
      <c r="AC280" s="55">
        <f t="shared" si="337"/>
        <v>1.3873075609709891</v>
      </c>
      <c r="AD280" s="55">
        <f t="shared" si="337"/>
        <v>1.3873075609709891</v>
      </c>
      <c r="AE280" s="55">
        <f t="shared" si="337"/>
        <v>1.3873075609709891</v>
      </c>
      <c r="AF280" s="55">
        <f t="shared" si="337"/>
        <v>1.3873075609709891</v>
      </c>
      <c r="AG280" s="55">
        <f t="shared" si="337"/>
        <v>1.3873075609709891</v>
      </c>
      <c r="AH280" s="55">
        <f t="shared" si="337"/>
        <v>1.3873075609709891</v>
      </c>
      <c r="AI280" s="55">
        <f t="shared" ref="AI280:BJ280" si="338">IF(AND(AI$127&gt;=$K69,AI$127&lt;=$L69),$G69*(1+$H69)^(AI$127-$B$5),0)</f>
        <v>1.3873075609709891</v>
      </c>
      <c r="AJ280" s="55">
        <f t="shared" si="338"/>
        <v>1.3873075609709891</v>
      </c>
      <c r="AK280" s="55">
        <f t="shared" si="338"/>
        <v>1.3873075609709891</v>
      </c>
      <c r="AL280" s="55">
        <f t="shared" si="338"/>
        <v>1.3873075609709891</v>
      </c>
      <c r="AM280" s="55">
        <f t="shared" si="338"/>
        <v>1.3873075609709891</v>
      </c>
      <c r="AN280" s="55">
        <f t="shared" si="338"/>
        <v>1.3873075609709891</v>
      </c>
      <c r="AO280" s="55">
        <f t="shared" si="338"/>
        <v>1.3873075609709891</v>
      </c>
      <c r="AP280" s="55">
        <f t="shared" si="338"/>
        <v>1.3873075609709891</v>
      </c>
      <c r="AQ280" s="55">
        <f t="shared" si="338"/>
        <v>1.3873075609709891</v>
      </c>
      <c r="AR280" s="55">
        <f t="shared" si="338"/>
        <v>1.3873075609709891</v>
      </c>
      <c r="AS280" s="55">
        <f t="shared" si="338"/>
        <v>1.3873075609709891</v>
      </c>
      <c r="AT280" s="55">
        <f t="shared" si="338"/>
        <v>1.3873075609709891</v>
      </c>
      <c r="AU280" s="55">
        <f t="shared" si="338"/>
        <v>1.3873075609709891</v>
      </c>
      <c r="AV280" s="55">
        <f t="shared" si="338"/>
        <v>1.3873075609709891</v>
      </c>
      <c r="AW280" s="55">
        <f t="shared" si="338"/>
        <v>1.3873075609709891</v>
      </c>
      <c r="AX280" s="55">
        <f t="shared" si="338"/>
        <v>1.3873075609709891</v>
      </c>
      <c r="AY280" s="55">
        <f t="shared" si="338"/>
        <v>1.3873075609709891</v>
      </c>
      <c r="AZ280" s="55">
        <f t="shared" si="338"/>
        <v>1.3873075609709891</v>
      </c>
      <c r="BA280" s="55">
        <f t="shared" si="338"/>
        <v>1.3873075609709891</v>
      </c>
      <c r="BB280" s="55">
        <f t="shared" si="338"/>
        <v>1.3873075609709891</v>
      </c>
      <c r="BC280" s="55">
        <f t="shared" si="338"/>
        <v>1.3873075609709891</v>
      </c>
      <c r="BD280" s="55">
        <f t="shared" si="338"/>
        <v>1.3873075609709891</v>
      </c>
      <c r="BE280" s="55">
        <f t="shared" si="338"/>
        <v>1.3873075609709891</v>
      </c>
      <c r="BF280" s="55">
        <f t="shared" si="338"/>
        <v>1.3873075609709891</v>
      </c>
      <c r="BG280" s="55">
        <f t="shared" si="338"/>
        <v>0</v>
      </c>
      <c r="BH280" s="55">
        <f t="shared" si="338"/>
        <v>0</v>
      </c>
      <c r="BI280" s="55">
        <f t="shared" si="338"/>
        <v>0</v>
      </c>
      <c r="BJ280" s="55">
        <f t="shared" si="338"/>
        <v>0</v>
      </c>
    </row>
    <row r="281" spans="1:62" x14ac:dyDescent="0.3">
      <c r="A281" s="53" t="str">
        <f t="shared" si="310"/>
        <v>project 100</v>
      </c>
      <c r="C281" s="55">
        <f t="shared" ref="C281:AH281" si="339">IF(AND(C$127&gt;=$K70,C$127&lt;=$L70),$G70*(1+$H70)^(C$127-$B$5),0)</f>
        <v>0</v>
      </c>
      <c r="D281" s="55">
        <f t="shared" si="339"/>
        <v>0</v>
      </c>
      <c r="E281" s="55">
        <f t="shared" si="339"/>
        <v>1.4600495352565841</v>
      </c>
      <c r="F281" s="55">
        <f t="shared" si="339"/>
        <v>1.4600495352565841</v>
      </c>
      <c r="G281" s="55">
        <f t="shared" si="339"/>
        <v>1.4600495352565841</v>
      </c>
      <c r="H281" s="55">
        <f t="shared" si="339"/>
        <v>1.4600495352565841</v>
      </c>
      <c r="I281" s="55">
        <f t="shared" si="339"/>
        <v>1.4600495352565841</v>
      </c>
      <c r="J281" s="55">
        <f t="shared" si="339"/>
        <v>1.4600495352565841</v>
      </c>
      <c r="K281" s="55">
        <f t="shared" si="339"/>
        <v>1.4600495352565841</v>
      </c>
      <c r="L281" s="55">
        <f t="shared" si="339"/>
        <v>1.4600495352565841</v>
      </c>
      <c r="M281" s="55">
        <f t="shared" si="339"/>
        <v>1.4600495352565841</v>
      </c>
      <c r="N281" s="55">
        <f t="shared" si="339"/>
        <v>1.4600495352565841</v>
      </c>
      <c r="O281" s="55">
        <f t="shared" si="339"/>
        <v>1.4600495352565841</v>
      </c>
      <c r="P281" s="55">
        <f t="shared" si="339"/>
        <v>1.4600495352565841</v>
      </c>
      <c r="Q281" s="55">
        <f t="shared" si="339"/>
        <v>1.4600495352565841</v>
      </c>
      <c r="R281" s="55">
        <f t="shared" si="339"/>
        <v>1.4600495352565841</v>
      </c>
      <c r="S281" s="55">
        <f t="shared" si="339"/>
        <v>1.4600495352565841</v>
      </c>
      <c r="T281" s="55">
        <f t="shared" si="339"/>
        <v>1.4600495352565841</v>
      </c>
      <c r="U281" s="55">
        <f t="shared" si="339"/>
        <v>1.4600495352565841</v>
      </c>
      <c r="V281" s="55">
        <f t="shared" si="339"/>
        <v>1.4600495352565841</v>
      </c>
      <c r="W281" s="55">
        <f t="shared" si="339"/>
        <v>1.4600495352565841</v>
      </c>
      <c r="X281" s="55">
        <f t="shared" si="339"/>
        <v>1.4600495352565841</v>
      </c>
      <c r="Y281" s="55">
        <f t="shared" si="339"/>
        <v>1.4600495352565841</v>
      </c>
      <c r="Z281" s="55">
        <f t="shared" si="339"/>
        <v>1.4600495352565841</v>
      </c>
      <c r="AA281" s="55">
        <f t="shared" si="339"/>
        <v>1.4600495352565841</v>
      </c>
      <c r="AB281" s="55">
        <f t="shared" si="339"/>
        <v>1.4600495352565841</v>
      </c>
      <c r="AC281" s="55">
        <f t="shared" si="339"/>
        <v>1.4600495352565841</v>
      </c>
      <c r="AD281" s="55">
        <f t="shared" si="339"/>
        <v>1.4600495352565841</v>
      </c>
      <c r="AE281" s="55">
        <f t="shared" si="339"/>
        <v>1.4600495352565841</v>
      </c>
      <c r="AF281" s="55">
        <f t="shared" si="339"/>
        <v>1.4600495352565841</v>
      </c>
      <c r="AG281" s="55">
        <f t="shared" si="339"/>
        <v>1.4600495352565841</v>
      </c>
      <c r="AH281" s="55">
        <f t="shared" si="339"/>
        <v>1.4600495352565841</v>
      </c>
      <c r="AI281" s="55">
        <f t="shared" ref="AI281:BJ281" si="340">IF(AND(AI$127&gt;=$K70,AI$127&lt;=$L70),$G70*(1+$H70)^(AI$127-$B$5),0)</f>
        <v>1.4600495352565841</v>
      </c>
      <c r="AJ281" s="55">
        <f t="shared" si="340"/>
        <v>1.4600495352565841</v>
      </c>
      <c r="AK281" s="55">
        <f t="shared" si="340"/>
        <v>1.4600495352565841</v>
      </c>
      <c r="AL281" s="55">
        <f t="shared" si="340"/>
        <v>1.4600495352565841</v>
      </c>
      <c r="AM281" s="55">
        <f t="shared" si="340"/>
        <v>1.4600495352565841</v>
      </c>
      <c r="AN281" s="55">
        <f t="shared" si="340"/>
        <v>1.4600495352565841</v>
      </c>
      <c r="AO281" s="55">
        <f t="shared" si="340"/>
        <v>1.4600495352565841</v>
      </c>
      <c r="AP281" s="55">
        <f t="shared" si="340"/>
        <v>1.4600495352565841</v>
      </c>
      <c r="AQ281" s="55">
        <f t="shared" si="340"/>
        <v>1.4600495352565841</v>
      </c>
      <c r="AR281" s="55">
        <f t="shared" si="340"/>
        <v>1.4600495352565841</v>
      </c>
      <c r="AS281" s="55">
        <f t="shared" si="340"/>
        <v>0</v>
      </c>
      <c r="AT281" s="55">
        <f t="shared" si="340"/>
        <v>0</v>
      </c>
      <c r="AU281" s="55">
        <f t="shared" si="340"/>
        <v>0</v>
      </c>
      <c r="AV281" s="55">
        <f t="shared" si="340"/>
        <v>0</v>
      </c>
      <c r="AW281" s="55">
        <f t="shared" si="340"/>
        <v>0</v>
      </c>
      <c r="AX281" s="55">
        <f t="shared" si="340"/>
        <v>0</v>
      </c>
      <c r="AY281" s="55">
        <f t="shared" si="340"/>
        <v>0</v>
      </c>
      <c r="AZ281" s="55">
        <f t="shared" si="340"/>
        <v>0</v>
      </c>
      <c r="BA281" s="55">
        <f t="shared" si="340"/>
        <v>0</v>
      </c>
      <c r="BB281" s="55">
        <f t="shared" si="340"/>
        <v>0</v>
      </c>
      <c r="BC281" s="55">
        <f t="shared" si="340"/>
        <v>0</v>
      </c>
      <c r="BD281" s="55">
        <f t="shared" si="340"/>
        <v>0</v>
      </c>
      <c r="BE281" s="55">
        <f t="shared" si="340"/>
        <v>0</v>
      </c>
      <c r="BF281" s="55">
        <f t="shared" si="340"/>
        <v>0</v>
      </c>
      <c r="BG281" s="55">
        <f t="shared" si="340"/>
        <v>0</v>
      </c>
      <c r="BH281" s="55">
        <f t="shared" si="340"/>
        <v>0</v>
      </c>
      <c r="BI281" s="55">
        <f t="shared" si="340"/>
        <v>0</v>
      </c>
      <c r="BJ281" s="55">
        <f t="shared" si="340"/>
        <v>0</v>
      </c>
    </row>
    <row r="282" spans="1:62" x14ac:dyDescent="0.3">
      <c r="A282" s="53" t="str">
        <f t="shared" si="310"/>
        <v>project 101</v>
      </c>
      <c r="C282" s="55">
        <f t="shared" ref="C282:AH282" si="341">IF(AND(C$127&gt;=$K71,C$127&lt;=$L71),$G71*(1+$H71)^(C$127-$B$5),0)</f>
        <v>0</v>
      </c>
      <c r="D282" s="55">
        <f t="shared" si="341"/>
        <v>0</v>
      </c>
      <c r="E282" s="55">
        <f t="shared" si="341"/>
        <v>0</v>
      </c>
      <c r="F282" s="55">
        <f t="shared" si="341"/>
        <v>0</v>
      </c>
      <c r="G282" s="55">
        <f t="shared" si="341"/>
        <v>0</v>
      </c>
      <c r="H282" s="55">
        <f t="shared" si="341"/>
        <v>0</v>
      </c>
      <c r="I282" s="55">
        <f t="shared" si="341"/>
        <v>0</v>
      </c>
      <c r="J282" s="55">
        <f t="shared" si="341"/>
        <v>0</v>
      </c>
      <c r="K282" s="55">
        <f t="shared" si="341"/>
        <v>0</v>
      </c>
      <c r="L282" s="55">
        <f t="shared" si="341"/>
        <v>0</v>
      </c>
      <c r="M282" s="55">
        <f t="shared" si="341"/>
        <v>0</v>
      </c>
      <c r="N282" s="55">
        <f t="shared" si="341"/>
        <v>0</v>
      </c>
      <c r="O282" s="55">
        <f t="shared" si="341"/>
        <v>0</v>
      </c>
      <c r="P282" s="55">
        <f t="shared" si="341"/>
        <v>0</v>
      </c>
      <c r="Q282" s="55">
        <f t="shared" si="341"/>
        <v>0</v>
      </c>
      <c r="R282" s="55">
        <f t="shared" si="341"/>
        <v>0</v>
      </c>
      <c r="S282" s="55">
        <f t="shared" si="341"/>
        <v>0</v>
      </c>
      <c r="T282" s="55">
        <f t="shared" si="341"/>
        <v>0</v>
      </c>
      <c r="U282" s="55">
        <f t="shared" si="341"/>
        <v>0.55138295473668175</v>
      </c>
      <c r="V282" s="55">
        <f t="shared" si="341"/>
        <v>0.55138295473668175</v>
      </c>
      <c r="W282" s="55">
        <f t="shared" si="341"/>
        <v>0.55138295473668175</v>
      </c>
      <c r="X282" s="55">
        <f t="shared" si="341"/>
        <v>0.55138295473668175</v>
      </c>
      <c r="Y282" s="55">
        <f t="shared" si="341"/>
        <v>0.55138295473668175</v>
      </c>
      <c r="Z282" s="55">
        <f t="shared" si="341"/>
        <v>0.55138295473668175</v>
      </c>
      <c r="AA282" s="55">
        <f t="shared" si="341"/>
        <v>0.55138295473668175</v>
      </c>
      <c r="AB282" s="55">
        <f t="shared" si="341"/>
        <v>0.55138295473668175</v>
      </c>
      <c r="AC282" s="55">
        <f t="shared" si="341"/>
        <v>0.55138295473668175</v>
      </c>
      <c r="AD282" s="55">
        <f t="shared" si="341"/>
        <v>0.55138295473668175</v>
      </c>
      <c r="AE282" s="55">
        <f t="shared" si="341"/>
        <v>0.55138295473668175</v>
      </c>
      <c r="AF282" s="55">
        <f t="shared" si="341"/>
        <v>0.55138295473668175</v>
      </c>
      <c r="AG282" s="55">
        <f t="shared" si="341"/>
        <v>0.55138295473668175</v>
      </c>
      <c r="AH282" s="55">
        <f t="shared" si="341"/>
        <v>0.55138295473668175</v>
      </c>
      <c r="AI282" s="55">
        <f t="shared" ref="AI282:BJ282" si="342">IF(AND(AI$127&gt;=$K71,AI$127&lt;=$L71),$G71*(1+$H71)^(AI$127-$B$5),0)</f>
        <v>0.55138295473668175</v>
      </c>
      <c r="AJ282" s="55">
        <f t="shared" si="342"/>
        <v>0.55138295473668175</v>
      </c>
      <c r="AK282" s="55">
        <f t="shared" si="342"/>
        <v>0.55138295473668175</v>
      </c>
      <c r="AL282" s="55">
        <f t="shared" si="342"/>
        <v>0.55138295473668175</v>
      </c>
      <c r="AM282" s="55">
        <f t="shared" si="342"/>
        <v>0.55138295473668175</v>
      </c>
      <c r="AN282" s="55">
        <f t="shared" si="342"/>
        <v>0.55138295473668175</v>
      </c>
      <c r="AO282" s="55">
        <f t="shared" si="342"/>
        <v>0.55138295473668175</v>
      </c>
      <c r="AP282" s="55">
        <f t="shared" si="342"/>
        <v>0.55138295473668175</v>
      </c>
      <c r="AQ282" s="55">
        <f t="shared" si="342"/>
        <v>0.55138295473668175</v>
      </c>
      <c r="AR282" s="55">
        <f t="shared" si="342"/>
        <v>0.55138295473668175</v>
      </c>
      <c r="AS282" s="55">
        <f t="shared" si="342"/>
        <v>0.55138295473668175</v>
      </c>
      <c r="AT282" s="55">
        <f t="shared" si="342"/>
        <v>0.55138295473668175</v>
      </c>
      <c r="AU282" s="55">
        <f t="shared" si="342"/>
        <v>0.55138295473668175</v>
      </c>
      <c r="AV282" s="55">
        <f t="shared" si="342"/>
        <v>0.55138295473668175</v>
      </c>
      <c r="AW282" s="55">
        <f t="shared" si="342"/>
        <v>0.55138295473668175</v>
      </c>
      <c r="AX282" s="55">
        <f t="shared" si="342"/>
        <v>0.55138295473668175</v>
      </c>
      <c r="AY282" s="55">
        <f t="shared" si="342"/>
        <v>0.55138295473668175</v>
      </c>
      <c r="AZ282" s="55">
        <f t="shared" si="342"/>
        <v>0.55138295473668175</v>
      </c>
      <c r="BA282" s="55">
        <f t="shared" si="342"/>
        <v>0.55138295473668175</v>
      </c>
      <c r="BB282" s="55">
        <f t="shared" si="342"/>
        <v>0.55138295473668175</v>
      </c>
      <c r="BC282" s="55">
        <f t="shared" si="342"/>
        <v>0.55138295473668175</v>
      </c>
      <c r="BD282" s="55">
        <f t="shared" si="342"/>
        <v>0.55138295473668175</v>
      </c>
      <c r="BE282" s="55">
        <f t="shared" si="342"/>
        <v>0.55138295473668175</v>
      </c>
      <c r="BF282" s="55">
        <f t="shared" si="342"/>
        <v>0.55138295473668175</v>
      </c>
      <c r="BG282" s="55">
        <f t="shared" si="342"/>
        <v>0.55138295473668175</v>
      </c>
      <c r="BH282" s="55">
        <f t="shared" si="342"/>
        <v>0.55138295473668175</v>
      </c>
      <c r="BI282" s="55">
        <f t="shared" si="342"/>
        <v>0</v>
      </c>
      <c r="BJ282" s="55">
        <f t="shared" si="342"/>
        <v>0</v>
      </c>
    </row>
    <row r="283" spans="1:62" x14ac:dyDescent="0.3">
      <c r="A283" s="53" t="str">
        <f t="shared" si="310"/>
        <v>project 103</v>
      </c>
      <c r="C283" s="55">
        <f t="shared" ref="C283:AH283" si="343">IF(AND(C$127&gt;=$K72,C$127&lt;=$L72),$G72*(1+$H72)^(C$127-$B$5),0)</f>
        <v>0</v>
      </c>
      <c r="D283" s="55">
        <f t="shared" si="343"/>
        <v>0</v>
      </c>
      <c r="E283" s="55">
        <f t="shared" si="343"/>
        <v>0</v>
      </c>
      <c r="F283" s="55">
        <f t="shared" si="343"/>
        <v>0</v>
      </c>
      <c r="G283" s="55">
        <f t="shared" si="343"/>
        <v>0</v>
      </c>
      <c r="H283" s="55">
        <f t="shared" si="343"/>
        <v>0</v>
      </c>
      <c r="I283" s="55">
        <f t="shared" si="343"/>
        <v>0</v>
      </c>
      <c r="J283" s="55">
        <f t="shared" si="343"/>
        <v>0</v>
      </c>
      <c r="K283" s="55">
        <f t="shared" si="343"/>
        <v>0</v>
      </c>
      <c r="L283" s="55">
        <f t="shared" si="343"/>
        <v>0</v>
      </c>
      <c r="M283" s="55">
        <f t="shared" si="343"/>
        <v>0</v>
      </c>
      <c r="N283" s="55">
        <f t="shared" si="343"/>
        <v>0</v>
      </c>
      <c r="O283" s="55">
        <f t="shared" si="343"/>
        <v>0</v>
      </c>
      <c r="P283" s="55">
        <f t="shared" si="343"/>
        <v>0</v>
      </c>
      <c r="Q283" s="55">
        <f t="shared" si="343"/>
        <v>0</v>
      </c>
      <c r="R283" s="55">
        <f t="shared" si="343"/>
        <v>0</v>
      </c>
      <c r="S283" s="55">
        <f t="shared" si="343"/>
        <v>0</v>
      </c>
      <c r="T283" s="55">
        <f t="shared" si="343"/>
        <v>0</v>
      </c>
      <c r="U283" s="55">
        <f t="shared" si="343"/>
        <v>0.1496944571515007</v>
      </c>
      <c r="V283" s="55">
        <f t="shared" si="343"/>
        <v>0.1496944571515007</v>
      </c>
      <c r="W283" s="55">
        <f t="shared" si="343"/>
        <v>0.1496944571515007</v>
      </c>
      <c r="X283" s="55">
        <f t="shared" si="343"/>
        <v>0.1496944571515007</v>
      </c>
      <c r="Y283" s="55">
        <f t="shared" si="343"/>
        <v>0.1496944571515007</v>
      </c>
      <c r="Z283" s="55">
        <f t="shared" si="343"/>
        <v>0.1496944571515007</v>
      </c>
      <c r="AA283" s="55">
        <f t="shared" si="343"/>
        <v>0.1496944571515007</v>
      </c>
      <c r="AB283" s="55">
        <f t="shared" si="343"/>
        <v>0.1496944571515007</v>
      </c>
      <c r="AC283" s="55">
        <f t="shared" si="343"/>
        <v>0.1496944571515007</v>
      </c>
      <c r="AD283" s="55">
        <f t="shared" si="343"/>
        <v>0.1496944571515007</v>
      </c>
      <c r="AE283" s="55">
        <f t="shared" si="343"/>
        <v>0.1496944571515007</v>
      </c>
      <c r="AF283" s="55">
        <f t="shared" si="343"/>
        <v>0.1496944571515007</v>
      </c>
      <c r="AG283" s="55">
        <f t="shared" si="343"/>
        <v>0.1496944571515007</v>
      </c>
      <c r="AH283" s="55">
        <f t="shared" si="343"/>
        <v>0.1496944571515007</v>
      </c>
      <c r="AI283" s="55">
        <f t="shared" ref="AI283:BJ283" si="344">IF(AND(AI$127&gt;=$K72,AI$127&lt;=$L72),$G72*(1+$H72)^(AI$127-$B$5),0)</f>
        <v>0.1496944571515007</v>
      </c>
      <c r="AJ283" s="55">
        <f t="shared" si="344"/>
        <v>0.1496944571515007</v>
      </c>
      <c r="AK283" s="55">
        <f t="shared" si="344"/>
        <v>0.1496944571515007</v>
      </c>
      <c r="AL283" s="55">
        <f t="shared" si="344"/>
        <v>0.1496944571515007</v>
      </c>
      <c r="AM283" s="55">
        <f t="shared" si="344"/>
        <v>0.1496944571515007</v>
      </c>
      <c r="AN283" s="55">
        <f t="shared" si="344"/>
        <v>0.1496944571515007</v>
      </c>
      <c r="AO283" s="55">
        <f t="shared" si="344"/>
        <v>0.1496944571515007</v>
      </c>
      <c r="AP283" s="55">
        <f t="shared" si="344"/>
        <v>0.1496944571515007</v>
      </c>
      <c r="AQ283" s="55">
        <f t="shared" si="344"/>
        <v>0.1496944571515007</v>
      </c>
      <c r="AR283" s="55">
        <f t="shared" si="344"/>
        <v>0.1496944571515007</v>
      </c>
      <c r="AS283" s="55">
        <f t="shared" si="344"/>
        <v>0.1496944571515007</v>
      </c>
      <c r="AT283" s="55">
        <f t="shared" si="344"/>
        <v>0.1496944571515007</v>
      </c>
      <c r="AU283" s="55">
        <f t="shared" si="344"/>
        <v>0.1496944571515007</v>
      </c>
      <c r="AV283" s="55">
        <f t="shared" si="344"/>
        <v>0.1496944571515007</v>
      </c>
      <c r="AW283" s="55">
        <f t="shared" si="344"/>
        <v>0.1496944571515007</v>
      </c>
      <c r="AX283" s="55">
        <f t="shared" si="344"/>
        <v>0.1496944571515007</v>
      </c>
      <c r="AY283" s="55">
        <f t="shared" si="344"/>
        <v>0.1496944571515007</v>
      </c>
      <c r="AZ283" s="55">
        <f t="shared" si="344"/>
        <v>0.1496944571515007</v>
      </c>
      <c r="BA283" s="55">
        <f t="shared" si="344"/>
        <v>0.1496944571515007</v>
      </c>
      <c r="BB283" s="55">
        <f t="shared" si="344"/>
        <v>0.1496944571515007</v>
      </c>
      <c r="BC283" s="55">
        <f t="shared" si="344"/>
        <v>0.1496944571515007</v>
      </c>
      <c r="BD283" s="55">
        <f t="shared" si="344"/>
        <v>0.1496944571515007</v>
      </c>
      <c r="BE283" s="55">
        <f t="shared" si="344"/>
        <v>0.1496944571515007</v>
      </c>
      <c r="BF283" s="55">
        <f t="shared" si="344"/>
        <v>0.1496944571515007</v>
      </c>
      <c r="BG283" s="55">
        <f t="shared" si="344"/>
        <v>0.1496944571515007</v>
      </c>
      <c r="BH283" s="55">
        <f t="shared" si="344"/>
        <v>0.1496944571515007</v>
      </c>
      <c r="BI283" s="55">
        <f t="shared" si="344"/>
        <v>0</v>
      </c>
      <c r="BJ283" s="55">
        <f t="shared" si="344"/>
        <v>0</v>
      </c>
    </row>
    <row r="284" spans="1:62" x14ac:dyDescent="0.3">
      <c r="A284" s="53" t="str">
        <f t="shared" si="310"/>
        <v>project 104</v>
      </c>
      <c r="C284" s="55">
        <f t="shared" ref="C284:AH284" si="345">IF(AND(C$127&gt;=$K73,C$127&lt;=$L73),$G73*(1+$H73)^(C$127-$B$5),0)</f>
        <v>0</v>
      </c>
      <c r="D284" s="55">
        <f t="shared" si="345"/>
        <v>0</v>
      </c>
      <c r="E284" s="55">
        <f t="shared" si="345"/>
        <v>0</v>
      </c>
      <c r="F284" s="55">
        <f t="shared" si="345"/>
        <v>0</v>
      </c>
      <c r="G284" s="55">
        <f t="shared" si="345"/>
        <v>0</v>
      </c>
      <c r="H284" s="55">
        <f t="shared" si="345"/>
        <v>0</v>
      </c>
      <c r="I284" s="55">
        <f t="shared" si="345"/>
        <v>0</v>
      </c>
      <c r="J284" s="55">
        <f t="shared" si="345"/>
        <v>0</v>
      </c>
      <c r="K284" s="55">
        <f t="shared" si="345"/>
        <v>0</v>
      </c>
      <c r="L284" s="55">
        <f t="shared" si="345"/>
        <v>0</v>
      </c>
      <c r="M284" s="55">
        <f t="shared" si="345"/>
        <v>0</v>
      </c>
      <c r="N284" s="55">
        <f t="shared" si="345"/>
        <v>0</v>
      </c>
      <c r="O284" s="55">
        <f t="shared" si="345"/>
        <v>0</v>
      </c>
      <c r="P284" s="55">
        <f t="shared" si="345"/>
        <v>0</v>
      </c>
      <c r="Q284" s="55">
        <f t="shared" si="345"/>
        <v>0</v>
      </c>
      <c r="R284" s="55">
        <f t="shared" si="345"/>
        <v>0</v>
      </c>
      <c r="S284" s="55">
        <f t="shared" si="345"/>
        <v>0</v>
      </c>
      <c r="T284" s="55">
        <f t="shared" si="345"/>
        <v>0</v>
      </c>
      <c r="U284" s="55">
        <f t="shared" si="345"/>
        <v>0</v>
      </c>
      <c r="V284" s="55">
        <f t="shared" si="345"/>
        <v>5.3017287701062031E-2</v>
      </c>
      <c r="W284" s="55">
        <f t="shared" si="345"/>
        <v>5.3017287701062031E-2</v>
      </c>
      <c r="X284" s="55">
        <f t="shared" si="345"/>
        <v>5.3017287701062031E-2</v>
      </c>
      <c r="Y284" s="55">
        <f t="shared" si="345"/>
        <v>5.3017287701062031E-2</v>
      </c>
      <c r="Z284" s="55">
        <f t="shared" si="345"/>
        <v>5.3017287701062031E-2</v>
      </c>
      <c r="AA284" s="55">
        <f t="shared" si="345"/>
        <v>5.3017287701062031E-2</v>
      </c>
      <c r="AB284" s="55">
        <f t="shared" si="345"/>
        <v>5.3017287701062031E-2</v>
      </c>
      <c r="AC284" s="55">
        <f t="shared" si="345"/>
        <v>5.3017287701062031E-2</v>
      </c>
      <c r="AD284" s="55">
        <f t="shared" si="345"/>
        <v>5.3017287701062031E-2</v>
      </c>
      <c r="AE284" s="55">
        <f t="shared" si="345"/>
        <v>5.3017287701062031E-2</v>
      </c>
      <c r="AF284" s="55">
        <f t="shared" si="345"/>
        <v>5.3017287701062031E-2</v>
      </c>
      <c r="AG284" s="55">
        <f t="shared" si="345"/>
        <v>5.3017287701062031E-2</v>
      </c>
      <c r="AH284" s="55">
        <f t="shared" si="345"/>
        <v>5.3017287701062031E-2</v>
      </c>
      <c r="AI284" s="55">
        <f t="shared" ref="AI284:BJ284" si="346">IF(AND(AI$127&gt;=$K73,AI$127&lt;=$L73),$G73*(1+$H73)^(AI$127-$B$5),0)</f>
        <v>5.3017287701062031E-2</v>
      </c>
      <c r="AJ284" s="55">
        <f t="shared" si="346"/>
        <v>5.3017287701062031E-2</v>
      </c>
      <c r="AK284" s="55">
        <f t="shared" si="346"/>
        <v>5.3017287701062031E-2</v>
      </c>
      <c r="AL284" s="55">
        <f t="shared" si="346"/>
        <v>5.3017287701062031E-2</v>
      </c>
      <c r="AM284" s="55">
        <f t="shared" si="346"/>
        <v>5.3017287701062031E-2</v>
      </c>
      <c r="AN284" s="55">
        <f t="shared" si="346"/>
        <v>5.3017287701062031E-2</v>
      </c>
      <c r="AO284" s="55">
        <f t="shared" si="346"/>
        <v>5.3017287701062031E-2</v>
      </c>
      <c r="AP284" s="55">
        <f t="shared" si="346"/>
        <v>5.3017287701062031E-2</v>
      </c>
      <c r="AQ284" s="55">
        <f t="shared" si="346"/>
        <v>5.3017287701062031E-2</v>
      </c>
      <c r="AR284" s="55">
        <f t="shared" si="346"/>
        <v>5.3017287701062031E-2</v>
      </c>
      <c r="AS284" s="55">
        <f t="shared" si="346"/>
        <v>5.3017287701062031E-2</v>
      </c>
      <c r="AT284" s="55">
        <f t="shared" si="346"/>
        <v>5.3017287701062031E-2</v>
      </c>
      <c r="AU284" s="55">
        <f t="shared" si="346"/>
        <v>5.3017287701062031E-2</v>
      </c>
      <c r="AV284" s="55">
        <f t="shared" si="346"/>
        <v>5.3017287701062031E-2</v>
      </c>
      <c r="AW284" s="55">
        <f t="shared" si="346"/>
        <v>5.3017287701062031E-2</v>
      </c>
      <c r="AX284" s="55">
        <f t="shared" si="346"/>
        <v>5.3017287701062031E-2</v>
      </c>
      <c r="AY284" s="55">
        <f t="shared" si="346"/>
        <v>5.3017287701062031E-2</v>
      </c>
      <c r="AZ284" s="55">
        <f t="shared" si="346"/>
        <v>5.3017287701062031E-2</v>
      </c>
      <c r="BA284" s="55">
        <f t="shared" si="346"/>
        <v>5.3017287701062031E-2</v>
      </c>
      <c r="BB284" s="55">
        <f t="shared" si="346"/>
        <v>5.3017287701062031E-2</v>
      </c>
      <c r="BC284" s="55">
        <f t="shared" si="346"/>
        <v>5.3017287701062031E-2</v>
      </c>
      <c r="BD284" s="55">
        <f t="shared" si="346"/>
        <v>5.3017287701062031E-2</v>
      </c>
      <c r="BE284" s="55">
        <f t="shared" si="346"/>
        <v>5.3017287701062031E-2</v>
      </c>
      <c r="BF284" s="55">
        <f t="shared" si="346"/>
        <v>5.3017287701062031E-2</v>
      </c>
      <c r="BG284" s="55">
        <f t="shared" si="346"/>
        <v>5.3017287701062031E-2</v>
      </c>
      <c r="BH284" s="55">
        <f t="shared" si="346"/>
        <v>5.3017287701062031E-2</v>
      </c>
      <c r="BI284" s="55">
        <f t="shared" si="346"/>
        <v>5.3017287701062031E-2</v>
      </c>
      <c r="BJ284" s="55">
        <f t="shared" si="346"/>
        <v>0</v>
      </c>
    </row>
    <row r="285" spans="1:62" x14ac:dyDescent="0.3">
      <c r="A285" s="53" t="str">
        <f t="shared" si="310"/>
        <v>project 106</v>
      </c>
      <c r="C285" s="55">
        <f t="shared" ref="C285:AH285" si="347">IF(AND(C$127&gt;=$K74,C$127&lt;=$L74),$G74*(1+$H74)^(C$127-$B$5),0)</f>
        <v>0</v>
      </c>
      <c r="D285" s="55">
        <f t="shared" si="347"/>
        <v>0</v>
      </c>
      <c r="E285" s="55">
        <f t="shared" si="347"/>
        <v>0</v>
      </c>
      <c r="F285" s="55">
        <f t="shared" si="347"/>
        <v>0</v>
      </c>
      <c r="G285" s="55">
        <f t="shared" si="347"/>
        <v>0</v>
      </c>
      <c r="H285" s="55">
        <f t="shared" si="347"/>
        <v>0</v>
      </c>
      <c r="I285" s="55">
        <f t="shared" si="347"/>
        <v>0</v>
      </c>
      <c r="J285" s="55">
        <f t="shared" si="347"/>
        <v>0</v>
      </c>
      <c r="K285" s="55">
        <f t="shared" si="347"/>
        <v>0</v>
      </c>
      <c r="L285" s="55">
        <f t="shared" si="347"/>
        <v>48.286799716079912</v>
      </c>
      <c r="M285" s="55">
        <f t="shared" si="347"/>
        <v>48.286799716079912</v>
      </c>
      <c r="N285" s="55">
        <f t="shared" si="347"/>
        <v>48.286799716079912</v>
      </c>
      <c r="O285" s="55">
        <f t="shared" si="347"/>
        <v>48.286799716079912</v>
      </c>
      <c r="P285" s="55">
        <f t="shared" si="347"/>
        <v>48.286799716079912</v>
      </c>
      <c r="Q285" s="55">
        <f t="shared" si="347"/>
        <v>48.286799716079912</v>
      </c>
      <c r="R285" s="55">
        <f t="shared" si="347"/>
        <v>48.286799716079912</v>
      </c>
      <c r="S285" s="55">
        <f t="shared" si="347"/>
        <v>48.286799716079912</v>
      </c>
      <c r="T285" s="55">
        <f t="shared" si="347"/>
        <v>48.286799716079912</v>
      </c>
      <c r="U285" s="55">
        <f t="shared" si="347"/>
        <v>48.286799716079912</v>
      </c>
      <c r="V285" s="55">
        <f t="shared" si="347"/>
        <v>48.286799716079912</v>
      </c>
      <c r="W285" s="55">
        <f t="shared" si="347"/>
        <v>48.286799716079912</v>
      </c>
      <c r="X285" s="55">
        <f t="shared" si="347"/>
        <v>48.286799716079912</v>
      </c>
      <c r="Y285" s="55">
        <f t="shared" si="347"/>
        <v>48.286799716079912</v>
      </c>
      <c r="Z285" s="55">
        <f t="shared" si="347"/>
        <v>48.286799716079912</v>
      </c>
      <c r="AA285" s="55">
        <f t="shared" si="347"/>
        <v>48.286799716079912</v>
      </c>
      <c r="AB285" s="55">
        <f t="shared" si="347"/>
        <v>48.286799716079912</v>
      </c>
      <c r="AC285" s="55">
        <f t="shared" si="347"/>
        <v>48.286799716079912</v>
      </c>
      <c r="AD285" s="55">
        <f t="shared" si="347"/>
        <v>48.286799716079912</v>
      </c>
      <c r="AE285" s="55">
        <f t="shared" si="347"/>
        <v>48.286799716079912</v>
      </c>
      <c r="AF285" s="55">
        <f t="shared" si="347"/>
        <v>48.286799716079912</v>
      </c>
      <c r="AG285" s="55">
        <f t="shared" si="347"/>
        <v>48.286799716079912</v>
      </c>
      <c r="AH285" s="55">
        <f t="shared" si="347"/>
        <v>48.286799716079912</v>
      </c>
      <c r="AI285" s="55">
        <f t="shared" ref="AI285:BJ285" si="348">IF(AND(AI$127&gt;=$K74,AI$127&lt;=$L74),$G74*(1+$H74)^(AI$127-$B$5),0)</f>
        <v>48.286799716079912</v>
      </c>
      <c r="AJ285" s="55">
        <f t="shared" si="348"/>
        <v>48.286799716079912</v>
      </c>
      <c r="AK285" s="55">
        <f t="shared" si="348"/>
        <v>48.286799716079912</v>
      </c>
      <c r="AL285" s="55">
        <f t="shared" si="348"/>
        <v>48.286799716079912</v>
      </c>
      <c r="AM285" s="55">
        <f t="shared" si="348"/>
        <v>48.286799716079912</v>
      </c>
      <c r="AN285" s="55">
        <f t="shared" si="348"/>
        <v>48.286799716079912</v>
      </c>
      <c r="AO285" s="55">
        <f t="shared" si="348"/>
        <v>48.286799716079912</v>
      </c>
      <c r="AP285" s="55">
        <f t="shared" si="348"/>
        <v>48.286799716079912</v>
      </c>
      <c r="AQ285" s="55">
        <f t="shared" si="348"/>
        <v>48.286799716079912</v>
      </c>
      <c r="AR285" s="55">
        <f t="shared" si="348"/>
        <v>48.286799716079912</v>
      </c>
      <c r="AS285" s="55">
        <f t="shared" si="348"/>
        <v>48.286799716079912</v>
      </c>
      <c r="AT285" s="55">
        <f t="shared" si="348"/>
        <v>48.286799716079912</v>
      </c>
      <c r="AU285" s="55">
        <f t="shared" si="348"/>
        <v>48.286799716079912</v>
      </c>
      <c r="AV285" s="55">
        <f t="shared" si="348"/>
        <v>48.286799716079912</v>
      </c>
      <c r="AW285" s="55">
        <f t="shared" si="348"/>
        <v>48.286799716079912</v>
      </c>
      <c r="AX285" s="55">
        <f t="shared" si="348"/>
        <v>48.286799716079912</v>
      </c>
      <c r="AY285" s="55">
        <f t="shared" si="348"/>
        <v>48.286799716079912</v>
      </c>
      <c r="AZ285" s="55">
        <f t="shared" si="348"/>
        <v>0</v>
      </c>
      <c r="BA285" s="55">
        <f t="shared" si="348"/>
        <v>0</v>
      </c>
      <c r="BB285" s="55">
        <f t="shared" si="348"/>
        <v>0</v>
      </c>
      <c r="BC285" s="55">
        <f t="shared" si="348"/>
        <v>0</v>
      </c>
      <c r="BD285" s="55">
        <f t="shared" si="348"/>
        <v>0</v>
      </c>
      <c r="BE285" s="55">
        <f t="shared" si="348"/>
        <v>0</v>
      </c>
      <c r="BF285" s="55">
        <f t="shared" si="348"/>
        <v>0</v>
      </c>
      <c r="BG285" s="55">
        <f t="shared" si="348"/>
        <v>0</v>
      </c>
      <c r="BH285" s="55">
        <f t="shared" si="348"/>
        <v>0</v>
      </c>
      <c r="BI285" s="55">
        <f t="shared" si="348"/>
        <v>0</v>
      </c>
      <c r="BJ285" s="55">
        <f t="shared" si="348"/>
        <v>0</v>
      </c>
    </row>
    <row r="286" spans="1:62" x14ac:dyDescent="0.3">
      <c r="A286" s="53" t="str">
        <f t="shared" si="310"/>
        <v>project 107</v>
      </c>
      <c r="C286" s="55">
        <f t="shared" ref="C286:AH286" si="349">IF(AND(C$127&gt;=$K75,C$127&lt;=$L75),$G75*(1+$H75)^(C$127-$B$5),0)</f>
        <v>0</v>
      </c>
      <c r="D286" s="55">
        <f t="shared" si="349"/>
        <v>0</v>
      </c>
      <c r="E286" s="55">
        <f t="shared" si="349"/>
        <v>0</v>
      </c>
      <c r="F286" s="55">
        <f t="shared" si="349"/>
        <v>0</v>
      </c>
      <c r="G286" s="55">
        <f t="shared" si="349"/>
        <v>0</v>
      </c>
      <c r="H286" s="55">
        <f t="shared" si="349"/>
        <v>0</v>
      </c>
      <c r="I286" s="55">
        <f t="shared" si="349"/>
        <v>0</v>
      </c>
      <c r="J286" s="55">
        <f t="shared" si="349"/>
        <v>0</v>
      </c>
      <c r="K286" s="55">
        <f t="shared" si="349"/>
        <v>0</v>
      </c>
      <c r="L286" s="55">
        <f t="shared" si="349"/>
        <v>0</v>
      </c>
      <c r="M286" s="55">
        <f t="shared" si="349"/>
        <v>0</v>
      </c>
      <c r="N286" s="55">
        <f t="shared" si="349"/>
        <v>32.263830046878986</v>
      </c>
      <c r="O286" s="55">
        <f t="shared" si="349"/>
        <v>32.263830046878986</v>
      </c>
      <c r="P286" s="55">
        <f t="shared" si="349"/>
        <v>32.263830046878986</v>
      </c>
      <c r="Q286" s="55">
        <f t="shared" si="349"/>
        <v>32.263830046878986</v>
      </c>
      <c r="R286" s="55">
        <f t="shared" si="349"/>
        <v>32.263830046878986</v>
      </c>
      <c r="S286" s="55">
        <f t="shared" si="349"/>
        <v>32.263830046878986</v>
      </c>
      <c r="T286" s="55">
        <f t="shared" si="349"/>
        <v>32.263830046878986</v>
      </c>
      <c r="U286" s="55">
        <f t="shared" si="349"/>
        <v>32.263830046878986</v>
      </c>
      <c r="V286" s="55">
        <f t="shared" si="349"/>
        <v>32.263830046878986</v>
      </c>
      <c r="W286" s="55">
        <f t="shared" si="349"/>
        <v>32.263830046878986</v>
      </c>
      <c r="X286" s="55">
        <f t="shared" si="349"/>
        <v>32.263830046878986</v>
      </c>
      <c r="Y286" s="55">
        <f t="shared" si="349"/>
        <v>32.263830046878986</v>
      </c>
      <c r="Z286" s="55">
        <f t="shared" si="349"/>
        <v>32.263830046878986</v>
      </c>
      <c r="AA286" s="55">
        <f t="shared" si="349"/>
        <v>32.263830046878986</v>
      </c>
      <c r="AB286" s="55">
        <f t="shared" si="349"/>
        <v>32.263830046878986</v>
      </c>
      <c r="AC286" s="55">
        <f t="shared" si="349"/>
        <v>32.263830046878986</v>
      </c>
      <c r="AD286" s="55">
        <f t="shared" si="349"/>
        <v>32.263830046878986</v>
      </c>
      <c r="AE286" s="55">
        <f t="shared" si="349"/>
        <v>32.263830046878986</v>
      </c>
      <c r="AF286" s="55">
        <f t="shared" si="349"/>
        <v>32.263830046878986</v>
      </c>
      <c r="AG286" s="55">
        <f t="shared" si="349"/>
        <v>32.263830046878986</v>
      </c>
      <c r="AH286" s="55">
        <f t="shared" si="349"/>
        <v>32.263830046878986</v>
      </c>
      <c r="AI286" s="55">
        <f t="shared" ref="AI286:BJ286" si="350">IF(AND(AI$127&gt;=$K75,AI$127&lt;=$L75),$G75*(1+$H75)^(AI$127-$B$5),0)</f>
        <v>32.263830046878986</v>
      </c>
      <c r="AJ286" s="55">
        <f t="shared" si="350"/>
        <v>32.263830046878986</v>
      </c>
      <c r="AK286" s="55">
        <f t="shared" si="350"/>
        <v>32.263830046878986</v>
      </c>
      <c r="AL286" s="55">
        <f t="shared" si="350"/>
        <v>32.263830046878986</v>
      </c>
      <c r="AM286" s="55">
        <f t="shared" si="350"/>
        <v>32.263830046878986</v>
      </c>
      <c r="AN286" s="55">
        <f t="shared" si="350"/>
        <v>32.263830046878986</v>
      </c>
      <c r="AO286" s="55">
        <f t="shared" si="350"/>
        <v>32.263830046878986</v>
      </c>
      <c r="AP286" s="55">
        <f t="shared" si="350"/>
        <v>32.263830046878986</v>
      </c>
      <c r="AQ286" s="55">
        <f t="shared" si="350"/>
        <v>32.263830046878986</v>
      </c>
      <c r="AR286" s="55">
        <f t="shared" si="350"/>
        <v>32.263830046878986</v>
      </c>
      <c r="AS286" s="55">
        <f t="shared" si="350"/>
        <v>32.263830046878986</v>
      </c>
      <c r="AT286" s="55">
        <f t="shared" si="350"/>
        <v>32.263830046878986</v>
      </c>
      <c r="AU286" s="55">
        <f t="shared" si="350"/>
        <v>32.263830046878986</v>
      </c>
      <c r="AV286" s="55">
        <f t="shared" si="350"/>
        <v>32.263830046878986</v>
      </c>
      <c r="AW286" s="55">
        <f t="shared" si="350"/>
        <v>32.263830046878986</v>
      </c>
      <c r="AX286" s="55">
        <f t="shared" si="350"/>
        <v>32.263830046878986</v>
      </c>
      <c r="AY286" s="55">
        <f t="shared" si="350"/>
        <v>32.263830046878986</v>
      </c>
      <c r="AZ286" s="55">
        <f t="shared" si="350"/>
        <v>32.263830046878986</v>
      </c>
      <c r="BA286" s="55">
        <f t="shared" si="350"/>
        <v>32.263830046878986</v>
      </c>
      <c r="BB286" s="55">
        <f t="shared" si="350"/>
        <v>0</v>
      </c>
      <c r="BC286" s="55">
        <f t="shared" si="350"/>
        <v>0</v>
      </c>
      <c r="BD286" s="55">
        <f t="shared" si="350"/>
        <v>0</v>
      </c>
      <c r="BE286" s="55">
        <f t="shared" si="350"/>
        <v>0</v>
      </c>
      <c r="BF286" s="55">
        <f t="shared" si="350"/>
        <v>0</v>
      </c>
      <c r="BG286" s="55">
        <f t="shared" si="350"/>
        <v>0</v>
      </c>
      <c r="BH286" s="55">
        <f t="shared" si="350"/>
        <v>0</v>
      </c>
      <c r="BI286" s="55">
        <f t="shared" si="350"/>
        <v>0</v>
      </c>
      <c r="BJ286" s="55">
        <f t="shared" si="350"/>
        <v>0</v>
      </c>
    </row>
    <row r="287" spans="1:62" x14ac:dyDescent="0.3">
      <c r="A287" s="53" t="str">
        <f t="shared" si="310"/>
        <v>project 108</v>
      </c>
      <c r="C287" s="55">
        <f t="shared" ref="C287:AH287" si="351">IF(AND(C$127&gt;=$K76,C$127&lt;=$L76),$G76*(1+$H76)^(C$127-$B$5),0)</f>
        <v>0</v>
      </c>
      <c r="D287" s="55">
        <f t="shared" si="351"/>
        <v>0</v>
      </c>
      <c r="E287" s="55">
        <f t="shared" si="351"/>
        <v>0</v>
      </c>
      <c r="F287" s="55">
        <f t="shared" si="351"/>
        <v>0</v>
      </c>
      <c r="G287" s="55">
        <f t="shared" si="351"/>
        <v>0</v>
      </c>
      <c r="H287" s="55">
        <f t="shared" si="351"/>
        <v>0</v>
      </c>
      <c r="I287" s="55">
        <f t="shared" si="351"/>
        <v>0</v>
      </c>
      <c r="J287" s="55">
        <f t="shared" si="351"/>
        <v>0</v>
      </c>
      <c r="K287" s="55">
        <f t="shared" si="351"/>
        <v>0</v>
      </c>
      <c r="L287" s="55">
        <f t="shared" si="351"/>
        <v>0</v>
      </c>
      <c r="M287" s="55">
        <f t="shared" si="351"/>
        <v>0</v>
      </c>
      <c r="N287" s="55">
        <f t="shared" si="351"/>
        <v>0</v>
      </c>
      <c r="O287" s="55">
        <f t="shared" si="351"/>
        <v>0</v>
      </c>
      <c r="P287" s="55">
        <f t="shared" si="351"/>
        <v>0</v>
      </c>
      <c r="Q287" s="55">
        <f t="shared" si="351"/>
        <v>0</v>
      </c>
      <c r="R287" s="55">
        <f t="shared" si="351"/>
        <v>0</v>
      </c>
      <c r="S287" s="55">
        <f t="shared" si="351"/>
        <v>0</v>
      </c>
      <c r="T287" s="55">
        <f t="shared" si="351"/>
        <v>0</v>
      </c>
      <c r="U287" s="55">
        <f t="shared" si="351"/>
        <v>0</v>
      </c>
      <c r="V287" s="55">
        <f t="shared" si="351"/>
        <v>28.127258490020012</v>
      </c>
      <c r="W287" s="55">
        <f t="shared" si="351"/>
        <v>28.127258490020012</v>
      </c>
      <c r="X287" s="55">
        <f t="shared" si="351"/>
        <v>28.127258490020012</v>
      </c>
      <c r="Y287" s="55">
        <f t="shared" si="351"/>
        <v>28.127258490020012</v>
      </c>
      <c r="Z287" s="55">
        <f t="shared" si="351"/>
        <v>28.127258490020012</v>
      </c>
      <c r="AA287" s="55">
        <f t="shared" si="351"/>
        <v>28.127258490020012</v>
      </c>
      <c r="AB287" s="55">
        <f t="shared" si="351"/>
        <v>28.127258490020012</v>
      </c>
      <c r="AC287" s="55">
        <f t="shared" si="351"/>
        <v>28.127258490020012</v>
      </c>
      <c r="AD287" s="55">
        <f t="shared" si="351"/>
        <v>28.127258490020012</v>
      </c>
      <c r="AE287" s="55">
        <f t="shared" si="351"/>
        <v>28.127258490020012</v>
      </c>
      <c r="AF287" s="55">
        <f t="shared" si="351"/>
        <v>28.127258490020012</v>
      </c>
      <c r="AG287" s="55">
        <f t="shared" si="351"/>
        <v>28.127258490020012</v>
      </c>
      <c r="AH287" s="55">
        <f t="shared" si="351"/>
        <v>28.127258490020012</v>
      </c>
      <c r="AI287" s="55">
        <f t="shared" ref="AI287:BJ287" si="352">IF(AND(AI$127&gt;=$K76,AI$127&lt;=$L76),$G76*(1+$H76)^(AI$127-$B$5),0)</f>
        <v>28.127258490020012</v>
      </c>
      <c r="AJ287" s="55">
        <f t="shared" si="352"/>
        <v>28.127258490020012</v>
      </c>
      <c r="AK287" s="55">
        <f t="shared" si="352"/>
        <v>28.127258490020012</v>
      </c>
      <c r="AL287" s="55">
        <f t="shared" si="352"/>
        <v>28.127258490020012</v>
      </c>
      <c r="AM287" s="55">
        <f t="shared" si="352"/>
        <v>28.127258490020012</v>
      </c>
      <c r="AN287" s="55">
        <f t="shared" si="352"/>
        <v>28.127258490020012</v>
      </c>
      <c r="AO287" s="55">
        <f t="shared" si="352"/>
        <v>28.127258490020012</v>
      </c>
      <c r="AP287" s="55">
        <f t="shared" si="352"/>
        <v>28.127258490020012</v>
      </c>
      <c r="AQ287" s="55">
        <f t="shared" si="352"/>
        <v>28.127258490020012</v>
      </c>
      <c r="AR287" s="55">
        <f t="shared" si="352"/>
        <v>28.127258490020012</v>
      </c>
      <c r="AS287" s="55">
        <f t="shared" si="352"/>
        <v>28.127258490020012</v>
      </c>
      <c r="AT287" s="55">
        <f t="shared" si="352"/>
        <v>28.127258490020012</v>
      </c>
      <c r="AU287" s="55">
        <f t="shared" si="352"/>
        <v>28.127258490020012</v>
      </c>
      <c r="AV287" s="55">
        <f t="shared" si="352"/>
        <v>28.127258490020012</v>
      </c>
      <c r="AW287" s="55">
        <f t="shared" si="352"/>
        <v>28.127258490020012</v>
      </c>
      <c r="AX287" s="55">
        <f t="shared" si="352"/>
        <v>28.127258490020012</v>
      </c>
      <c r="AY287" s="55">
        <f t="shared" si="352"/>
        <v>28.127258490020012</v>
      </c>
      <c r="AZ287" s="55">
        <f t="shared" si="352"/>
        <v>28.127258490020012</v>
      </c>
      <c r="BA287" s="55">
        <f t="shared" si="352"/>
        <v>28.127258490020012</v>
      </c>
      <c r="BB287" s="55">
        <f t="shared" si="352"/>
        <v>28.127258490020012</v>
      </c>
      <c r="BC287" s="55">
        <f t="shared" si="352"/>
        <v>28.127258490020012</v>
      </c>
      <c r="BD287" s="55">
        <f t="shared" si="352"/>
        <v>28.127258490020012</v>
      </c>
      <c r="BE287" s="55">
        <f t="shared" si="352"/>
        <v>28.127258490020012</v>
      </c>
      <c r="BF287" s="55">
        <f t="shared" si="352"/>
        <v>28.127258490020012</v>
      </c>
      <c r="BG287" s="55">
        <f t="shared" si="352"/>
        <v>28.127258490020012</v>
      </c>
      <c r="BH287" s="55">
        <f t="shared" si="352"/>
        <v>28.127258490020012</v>
      </c>
      <c r="BI287" s="55">
        <f t="shared" si="352"/>
        <v>28.127258490020012</v>
      </c>
      <c r="BJ287" s="55">
        <f t="shared" si="352"/>
        <v>0</v>
      </c>
    </row>
    <row r="288" spans="1:62" x14ac:dyDescent="0.3">
      <c r="A288" s="53" t="str">
        <f t="shared" si="310"/>
        <v>project 110</v>
      </c>
      <c r="C288" s="55">
        <f t="shared" ref="C288:AH288" si="353">IF(AND(C$127&gt;=$K77,C$127&lt;=$L77),$G77*(1+$H77)^(C$127-$B$5),0)</f>
        <v>0</v>
      </c>
      <c r="D288" s="55">
        <f t="shared" si="353"/>
        <v>0</v>
      </c>
      <c r="E288" s="55">
        <f t="shared" si="353"/>
        <v>0</v>
      </c>
      <c r="F288" s="55">
        <f t="shared" si="353"/>
        <v>0</v>
      </c>
      <c r="G288" s="55">
        <f t="shared" si="353"/>
        <v>0</v>
      </c>
      <c r="H288" s="55">
        <f t="shared" si="353"/>
        <v>0</v>
      </c>
      <c r="I288" s="55">
        <f t="shared" si="353"/>
        <v>0</v>
      </c>
      <c r="J288" s="55">
        <f t="shared" si="353"/>
        <v>0</v>
      </c>
      <c r="K288" s="55">
        <f t="shared" si="353"/>
        <v>0</v>
      </c>
      <c r="L288" s="55">
        <f t="shared" si="353"/>
        <v>0</v>
      </c>
      <c r="M288" s="55">
        <f t="shared" si="353"/>
        <v>0</v>
      </c>
      <c r="N288" s="55">
        <f t="shared" si="353"/>
        <v>0</v>
      </c>
      <c r="O288" s="55">
        <f t="shared" si="353"/>
        <v>0</v>
      </c>
      <c r="P288" s="55">
        <f t="shared" si="353"/>
        <v>0</v>
      </c>
      <c r="Q288" s="55">
        <f t="shared" si="353"/>
        <v>0</v>
      </c>
      <c r="R288" s="55">
        <f t="shared" si="353"/>
        <v>19.20741116243936</v>
      </c>
      <c r="S288" s="55">
        <f t="shared" si="353"/>
        <v>19.20741116243936</v>
      </c>
      <c r="T288" s="55">
        <f t="shared" si="353"/>
        <v>19.20741116243936</v>
      </c>
      <c r="U288" s="55">
        <f t="shared" si="353"/>
        <v>19.20741116243936</v>
      </c>
      <c r="V288" s="55">
        <f t="shared" si="353"/>
        <v>19.20741116243936</v>
      </c>
      <c r="W288" s="55">
        <f t="shared" si="353"/>
        <v>19.20741116243936</v>
      </c>
      <c r="X288" s="55">
        <f t="shared" si="353"/>
        <v>19.20741116243936</v>
      </c>
      <c r="Y288" s="55">
        <f t="shared" si="353"/>
        <v>19.20741116243936</v>
      </c>
      <c r="Z288" s="55">
        <f t="shared" si="353"/>
        <v>19.20741116243936</v>
      </c>
      <c r="AA288" s="55">
        <f t="shared" si="353"/>
        <v>19.20741116243936</v>
      </c>
      <c r="AB288" s="55">
        <f t="shared" si="353"/>
        <v>19.20741116243936</v>
      </c>
      <c r="AC288" s="55">
        <f t="shared" si="353"/>
        <v>19.20741116243936</v>
      </c>
      <c r="AD288" s="55">
        <f t="shared" si="353"/>
        <v>19.20741116243936</v>
      </c>
      <c r="AE288" s="55">
        <f t="shared" si="353"/>
        <v>19.20741116243936</v>
      </c>
      <c r="AF288" s="55">
        <f t="shared" si="353"/>
        <v>19.20741116243936</v>
      </c>
      <c r="AG288" s="55">
        <f t="shared" si="353"/>
        <v>19.20741116243936</v>
      </c>
      <c r="AH288" s="55">
        <f t="shared" si="353"/>
        <v>19.20741116243936</v>
      </c>
      <c r="AI288" s="55">
        <f t="shared" ref="AI288:BJ288" si="354">IF(AND(AI$127&gt;=$K77,AI$127&lt;=$L77),$G77*(1+$H77)^(AI$127-$B$5),0)</f>
        <v>19.20741116243936</v>
      </c>
      <c r="AJ288" s="55">
        <f t="shared" si="354"/>
        <v>19.20741116243936</v>
      </c>
      <c r="AK288" s="55">
        <f t="shared" si="354"/>
        <v>19.20741116243936</v>
      </c>
      <c r="AL288" s="55">
        <f t="shared" si="354"/>
        <v>19.20741116243936</v>
      </c>
      <c r="AM288" s="55">
        <f t="shared" si="354"/>
        <v>19.20741116243936</v>
      </c>
      <c r="AN288" s="55">
        <f t="shared" si="354"/>
        <v>19.20741116243936</v>
      </c>
      <c r="AO288" s="55">
        <f t="shared" si="354"/>
        <v>19.20741116243936</v>
      </c>
      <c r="AP288" s="55">
        <f t="shared" si="354"/>
        <v>19.20741116243936</v>
      </c>
      <c r="AQ288" s="55">
        <f t="shared" si="354"/>
        <v>19.20741116243936</v>
      </c>
      <c r="AR288" s="55">
        <f t="shared" si="354"/>
        <v>19.20741116243936</v>
      </c>
      <c r="AS288" s="55">
        <f t="shared" si="354"/>
        <v>19.20741116243936</v>
      </c>
      <c r="AT288" s="55">
        <f t="shared" si="354"/>
        <v>19.20741116243936</v>
      </c>
      <c r="AU288" s="55">
        <f t="shared" si="354"/>
        <v>19.20741116243936</v>
      </c>
      <c r="AV288" s="55">
        <f t="shared" si="354"/>
        <v>19.20741116243936</v>
      </c>
      <c r="AW288" s="55">
        <f t="shared" si="354"/>
        <v>19.20741116243936</v>
      </c>
      <c r="AX288" s="55">
        <f t="shared" si="354"/>
        <v>19.20741116243936</v>
      </c>
      <c r="AY288" s="55">
        <f t="shared" si="354"/>
        <v>19.20741116243936</v>
      </c>
      <c r="AZ288" s="55">
        <f t="shared" si="354"/>
        <v>19.20741116243936</v>
      </c>
      <c r="BA288" s="55">
        <f t="shared" si="354"/>
        <v>19.20741116243936</v>
      </c>
      <c r="BB288" s="55">
        <f t="shared" si="354"/>
        <v>19.20741116243936</v>
      </c>
      <c r="BC288" s="55">
        <f t="shared" si="354"/>
        <v>19.20741116243936</v>
      </c>
      <c r="BD288" s="55">
        <f t="shared" si="354"/>
        <v>19.20741116243936</v>
      </c>
      <c r="BE288" s="55">
        <f t="shared" si="354"/>
        <v>19.20741116243936</v>
      </c>
      <c r="BF288" s="55">
        <f t="shared" si="354"/>
        <v>0</v>
      </c>
      <c r="BG288" s="55">
        <f t="shared" si="354"/>
        <v>0</v>
      </c>
      <c r="BH288" s="55">
        <f t="shared" si="354"/>
        <v>0</v>
      </c>
      <c r="BI288" s="55">
        <f t="shared" si="354"/>
        <v>0</v>
      </c>
      <c r="BJ288" s="55">
        <f t="shared" si="354"/>
        <v>0</v>
      </c>
    </row>
    <row r="289" spans="1:62" x14ac:dyDescent="0.3">
      <c r="A289" s="53" t="str">
        <f t="shared" si="310"/>
        <v>project 112</v>
      </c>
      <c r="C289" s="55">
        <f t="shared" ref="C289:AH289" si="355">IF(AND(C$127&gt;=$K78,C$127&lt;=$L78),$G78*(1+$H78)^(C$127-$B$5),0)</f>
        <v>0</v>
      </c>
      <c r="D289" s="55">
        <f t="shared" si="355"/>
        <v>0</v>
      </c>
      <c r="E289" s="55">
        <f t="shared" si="355"/>
        <v>0</v>
      </c>
      <c r="F289" s="55">
        <f t="shared" si="355"/>
        <v>0</v>
      </c>
      <c r="G289" s="55">
        <f t="shared" si="355"/>
        <v>0</v>
      </c>
      <c r="H289" s="55">
        <f t="shared" si="355"/>
        <v>0</v>
      </c>
      <c r="I289" s="55">
        <f t="shared" si="355"/>
        <v>0</v>
      </c>
      <c r="J289" s="55">
        <f t="shared" si="355"/>
        <v>0</v>
      </c>
      <c r="K289" s="55">
        <f t="shared" si="355"/>
        <v>0</v>
      </c>
      <c r="L289" s="55">
        <f t="shared" si="355"/>
        <v>22.119607656705629</v>
      </c>
      <c r="M289" s="55">
        <f t="shared" si="355"/>
        <v>22.119607656705629</v>
      </c>
      <c r="N289" s="55">
        <f t="shared" si="355"/>
        <v>22.119607656705629</v>
      </c>
      <c r="O289" s="55">
        <f t="shared" si="355"/>
        <v>22.119607656705629</v>
      </c>
      <c r="P289" s="55">
        <f t="shared" si="355"/>
        <v>22.119607656705629</v>
      </c>
      <c r="Q289" s="55">
        <f t="shared" si="355"/>
        <v>22.119607656705629</v>
      </c>
      <c r="R289" s="55">
        <f t="shared" si="355"/>
        <v>22.119607656705629</v>
      </c>
      <c r="S289" s="55">
        <f t="shared" si="355"/>
        <v>22.119607656705629</v>
      </c>
      <c r="T289" s="55">
        <f t="shared" si="355"/>
        <v>22.119607656705629</v>
      </c>
      <c r="U289" s="55">
        <f t="shared" si="355"/>
        <v>22.119607656705629</v>
      </c>
      <c r="V289" s="55">
        <f t="shared" si="355"/>
        <v>22.119607656705629</v>
      </c>
      <c r="W289" s="55">
        <f t="shared" si="355"/>
        <v>22.119607656705629</v>
      </c>
      <c r="X289" s="55">
        <f t="shared" si="355"/>
        <v>22.119607656705629</v>
      </c>
      <c r="Y289" s="55">
        <f t="shared" si="355"/>
        <v>22.119607656705629</v>
      </c>
      <c r="Z289" s="55">
        <f t="shared" si="355"/>
        <v>22.119607656705629</v>
      </c>
      <c r="AA289" s="55">
        <f t="shared" si="355"/>
        <v>22.119607656705629</v>
      </c>
      <c r="AB289" s="55">
        <f t="shared" si="355"/>
        <v>22.119607656705629</v>
      </c>
      <c r="AC289" s="55">
        <f t="shared" si="355"/>
        <v>22.119607656705629</v>
      </c>
      <c r="AD289" s="55">
        <f t="shared" si="355"/>
        <v>22.119607656705629</v>
      </c>
      <c r="AE289" s="55">
        <f t="shared" si="355"/>
        <v>22.119607656705629</v>
      </c>
      <c r="AF289" s="55">
        <f t="shared" si="355"/>
        <v>22.119607656705629</v>
      </c>
      <c r="AG289" s="55">
        <f t="shared" si="355"/>
        <v>22.119607656705629</v>
      </c>
      <c r="AH289" s="55">
        <f t="shared" si="355"/>
        <v>22.119607656705629</v>
      </c>
      <c r="AI289" s="55">
        <f t="shared" ref="AI289:BJ289" si="356">IF(AND(AI$127&gt;=$K78,AI$127&lt;=$L78),$G78*(1+$H78)^(AI$127-$B$5),0)</f>
        <v>22.119607656705629</v>
      </c>
      <c r="AJ289" s="55">
        <f t="shared" si="356"/>
        <v>22.119607656705629</v>
      </c>
      <c r="AK289" s="55">
        <f t="shared" si="356"/>
        <v>22.119607656705629</v>
      </c>
      <c r="AL289" s="55">
        <f t="shared" si="356"/>
        <v>22.119607656705629</v>
      </c>
      <c r="AM289" s="55">
        <f t="shared" si="356"/>
        <v>22.119607656705629</v>
      </c>
      <c r="AN289" s="55">
        <f t="shared" si="356"/>
        <v>22.119607656705629</v>
      </c>
      <c r="AO289" s="55">
        <f t="shared" si="356"/>
        <v>22.119607656705629</v>
      </c>
      <c r="AP289" s="55">
        <f t="shared" si="356"/>
        <v>22.119607656705629</v>
      </c>
      <c r="AQ289" s="55">
        <f t="shared" si="356"/>
        <v>22.119607656705629</v>
      </c>
      <c r="AR289" s="55">
        <f t="shared" si="356"/>
        <v>22.119607656705629</v>
      </c>
      <c r="AS289" s="55">
        <f t="shared" si="356"/>
        <v>22.119607656705629</v>
      </c>
      <c r="AT289" s="55">
        <f t="shared" si="356"/>
        <v>22.119607656705629</v>
      </c>
      <c r="AU289" s="55">
        <f t="shared" si="356"/>
        <v>22.119607656705629</v>
      </c>
      <c r="AV289" s="55">
        <f t="shared" si="356"/>
        <v>22.119607656705629</v>
      </c>
      <c r="AW289" s="55">
        <f t="shared" si="356"/>
        <v>22.119607656705629</v>
      </c>
      <c r="AX289" s="55">
        <f t="shared" si="356"/>
        <v>22.119607656705629</v>
      </c>
      <c r="AY289" s="55">
        <f t="shared" si="356"/>
        <v>22.119607656705629</v>
      </c>
      <c r="AZ289" s="55">
        <f t="shared" si="356"/>
        <v>0</v>
      </c>
      <c r="BA289" s="55">
        <f t="shared" si="356"/>
        <v>0</v>
      </c>
      <c r="BB289" s="55">
        <f t="shared" si="356"/>
        <v>0</v>
      </c>
      <c r="BC289" s="55">
        <f t="shared" si="356"/>
        <v>0</v>
      </c>
      <c r="BD289" s="55">
        <f t="shared" si="356"/>
        <v>0</v>
      </c>
      <c r="BE289" s="55">
        <f t="shared" si="356"/>
        <v>0</v>
      </c>
      <c r="BF289" s="55">
        <f t="shared" si="356"/>
        <v>0</v>
      </c>
      <c r="BG289" s="55">
        <f t="shared" si="356"/>
        <v>0</v>
      </c>
      <c r="BH289" s="55">
        <f t="shared" si="356"/>
        <v>0</v>
      </c>
      <c r="BI289" s="55">
        <f t="shared" si="356"/>
        <v>0</v>
      </c>
      <c r="BJ289" s="55">
        <f t="shared" si="356"/>
        <v>0</v>
      </c>
    </row>
    <row r="290" spans="1:62" x14ac:dyDescent="0.3">
      <c r="A290" s="53" t="str">
        <f t="shared" si="310"/>
        <v>project 116</v>
      </c>
      <c r="C290" s="55">
        <f t="shared" ref="C290:AH290" si="357">IF(AND(C$127&gt;=$K79,C$127&lt;=$L79),$G79*(1+$H79)^(C$127-$B$5),0)</f>
        <v>0</v>
      </c>
      <c r="D290" s="55">
        <f t="shared" si="357"/>
        <v>0</v>
      </c>
      <c r="E290" s="55">
        <f t="shared" si="357"/>
        <v>0</v>
      </c>
      <c r="F290" s="55">
        <f t="shared" si="357"/>
        <v>0</v>
      </c>
      <c r="G290" s="55">
        <f t="shared" si="357"/>
        <v>0</v>
      </c>
      <c r="H290" s="55">
        <f t="shared" si="357"/>
        <v>17.940904867152849</v>
      </c>
      <c r="I290" s="55">
        <f t="shared" si="357"/>
        <v>17.940904867152849</v>
      </c>
      <c r="J290" s="55">
        <f t="shared" si="357"/>
        <v>17.940904867152849</v>
      </c>
      <c r="K290" s="55">
        <f t="shared" si="357"/>
        <v>17.940904867152849</v>
      </c>
      <c r="L290" s="55">
        <f t="shared" si="357"/>
        <v>17.940904867152849</v>
      </c>
      <c r="M290" s="55">
        <f t="shared" si="357"/>
        <v>17.940904867152849</v>
      </c>
      <c r="N290" s="55">
        <f t="shared" si="357"/>
        <v>17.940904867152849</v>
      </c>
      <c r="O290" s="55">
        <f t="shared" si="357"/>
        <v>17.940904867152849</v>
      </c>
      <c r="P290" s="55">
        <f t="shared" si="357"/>
        <v>17.940904867152849</v>
      </c>
      <c r="Q290" s="55">
        <f t="shared" si="357"/>
        <v>17.940904867152849</v>
      </c>
      <c r="R290" s="55">
        <f t="shared" si="357"/>
        <v>17.940904867152849</v>
      </c>
      <c r="S290" s="55">
        <f t="shared" si="357"/>
        <v>17.940904867152849</v>
      </c>
      <c r="T290" s="55">
        <f t="shared" si="357"/>
        <v>17.940904867152849</v>
      </c>
      <c r="U290" s="55">
        <f t="shared" si="357"/>
        <v>17.940904867152849</v>
      </c>
      <c r="V290" s="55">
        <f t="shared" si="357"/>
        <v>17.940904867152849</v>
      </c>
      <c r="W290" s="55">
        <f t="shared" si="357"/>
        <v>17.940904867152849</v>
      </c>
      <c r="X290" s="55">
        <f t="shared" si="357"/>
        <v>17.940904867152849</v>
      </c>
      <c r="Y290" s="55">
        <f t="shared" si="357"/>
        <v>17.940904867152849</v>
      </c>
      <c r="Z290" s="55">
        <f t="shared" si="357"/>
        <v>17.940904867152849</v>
      </c>
      <c r="AA290" s="55">
        <f t="shared" si="357"/>
        <v>17.940904867152849</v>
      </c>
      <c r="AB290" s="55">
        <f t="shared" si="357"/>
        <v>17.940904867152849</v>
      </c>
      <c r="AC290" s="55">
        <f t="shared" si="357"/>
        <v>17.940904867152849</v>
      </c>
      <c r="AD290" s="55">
        <f t="shared" si="357"/>
        <v>17.940904867152849</v>
      </c>
      <c r="AE290" s="55">
        <f t="shared" si="357"/>
        <v>17.940904867152849</v>
      </c>
      <c r="AF290" s="55">
        <f t="shared" si="357"/>
        <v>17.940904867152849</v>
      </c>
      <c r="AG290" s="55">
        <f t="shared" si="357"/>
        <v>17.940904867152849</v>
      </c>
      <c r="AH290" s="55">
        <f t="shared" si="357"/>
        <v>17.940904867152849</v>
      </c>
      <c r="AI290" s="55">
        <f t="shared" ref="AI290:BJ290" si="358">IF(AND(AI$127&gt;=$K79,AI$127&lt;=$L79),$G79*(1+$H79)^(AI$127-$B$5),0)</f>
        <v>17.940904867152849</v>
      </c>
      <c r="AJ290" s="55">
        <f t="shared" si="358"/>
        <v>17.940904867152849</v>
      </c>
      <c r="AK290" s="55">
        <f t="shared" si="358"/>
        <v>17.940904867152849</v>
      </c>
      <c r="AL290" s="55">
        <f t="shared" si="358"/>
        <v>17.940904867152849</v>
      </c>
      <c r="AM290" s="55">
        <f t="shared" si="358"/>
        <v>17.940904867152849</v>
      </c>
      <c r="AN290" s="55">
        <f t="shared" si="358"/>
        <v>17.940904867152849</v>
      </c>
      <c r="AO290" s="55">
        <f t="shared" si="358"/>
        <v>17.940904867152849</v>
      </c>
      <c r="AP290" s="55">
        <f t="shared" si="358"/>
        <v>17.940904867152849</v>
      </c>
      <c r="AQ290" s="55">
        <f t="shared" si="358"/>
        <v>17.940904867152849</v>
      </c>
      <c r="AR290" s="55">
        <f t="shared" si="358"/>
        <v>17.940904867152849</v>
      </c>
      <c r="AS290" s="55">
        <f t="shared" si="358"/>
        <v>17.940904867152849</v>
      </c>
      <c r="AT290" s="55">
        <f t="shared" si="358"/>
        <v>17.940904867152849</v>
      </c>
      <c r="AU290" s="55">
        <f t="shared" si="358"/>
        <v>17.940904867152849</v>
      </c>
      <c r="AV290" s="55">
        <f t="shared" si="358"/>
        <v>0</v>
      </c>
      <c r="AW290" s="55">
        <f t="shared" si="358"/>
        <v>0</v>
      </c>
      <c r="AX290" s="55">
        <f t="shared" si="358"/>
        <v>0</v>
      </c>
      <c r="AY290" s="55">
        <f t="shared" si="358"/>
        <v>0</v>
      </c>
      <c r="AZ290" s="55">
        <f t="shared" si="358"/>
        <v>0</v>
      </c>
      <c r="BA290" s="55">
        <f t="shared" si="358"/>
        <v>0</v>
      </c>
      <c r="BB290" s="55">
        <f t="shared" si="358"/>
        <v>0</v>
      </c>
      <c r="BC290" s="55">
        <f t="shared" si="358"/>
        <v>0</v>
      </c>
      <c r="BD290" s="55">
        <f t="shared" si="358"/>
        <v>0</v>
      </c>
      <c r="BE290" s="55">
        <f t="shared" si="358"/>
        <v>0</v>
      </c>
      <c r="BF290" s="55">
        <f t="shared" si="358"/>
        <v>0</v>
      </c>
      <c r="BG290" s="55">
        <f t="shared" si="358"/>
        <v>0</v>
      </c>
      <c r="BH290" s="55">
        <f t="shared" si="358"/>
        <v>0</v>
      </c>
      <c r="BI290" s="55">
        <f t="shared" si="358"/>
        <v>0</v>
      </c>
      <c r="BJ290" s="55">
        <f t="shared" si="358"/>
        <v>0</v>
      </c>
    </row>
    <row r="291" spans="1:62" x14ac:dyDescent="0.3">
      <c r="A291" s="53" t="str">
        <f t="shared" si="310"/>
        <v>project 119</v>
      </c>
      <c r="C291" s="55">
        <f t="shared" ref="C291:AH291" si="359">IF(AND(C$127&gt;=$K80,C$127&lt;=$L80),$G80*(1+$H80)^(C$127-$B$5),0)</f>
        <v>0</v>
      </c>
      <c r="D291" s="55">
        <f t="shared" si="359"/>
        <v>0</v>
      </c>
      <c r="E291" s="55">
        <f t="shared" si="359"/>
        <v>0</v>
      </c>
      <c r="F291" s="55">
        <f t="shared" si="359"/>
        <v>0</v>
      </c>
      <c r="G291" s="55">
        <f t="shared" si="359"/>
        <v>0</v>
      </c>
      <c r="H291" s="55">
        <f t="shared" si="359"/>
        <v>0</v>
      </c>
      <c r="I291" s="55">
        <f t="shared" si="359"/>
        <v>0</v>
      </c>
      <c r="J291" s="55">
        <f t="shared" si="359"/>
        <v>0</v>
      </c>
      <c r="K291" s="55">
        <f t="shared" si="359"/>
        <v>0</v>
      </c>
      <c r="L291" s="55">
        <f t="shared" si="359"/>
        <v>0</v>
      </c>
      <c r="M291" s="55">
        <f t="shared" si="359"/>
        <v>0</v>
      </c>
      <c r="N291" s="55">
        <f t="shared" si="359"/>
        <v>0</v>
      </c>
      <c r="O291" s="55">
        <f t="shared" si="359"/>
        <v>0</v>
      </c>
      <c r="P291" s="55">
        <f t="shared" si="359"/>
        <v>0</v>
      </c>
      <c r="Q291" s="55">
        <f t="shared" si="359"/>
        <v>0</v>
      </c>
      <c r="R291" s="55">
        <f t="shared" si="359"/>
        <v>0</v>
      </c>
      <c r="S291" s="55">
        <f t="shared" si="359"/>
        <v>0</v>
      </c>
      <c r="T291" s="55">
        <f t="shared" si="359"/>
        <v>8.8130526433135081</v>
      </c>
      <c r="U291" s="55">
        <f t="shared" si="359"/>
        <v>8.8130526433135081</v>
      </c>
      <c r="V291" s="55">
        <f t="shared" si="359"/>
        <v>8.8130526433135081</v>
      </c>
      <c r="W291" s="55">
        <f t="shared" si="359"/>
        <v>8.8130526433135081</v>
      </c>
      <c r="X291" s="55">
        <f t="shared" si="359"/>
        <v>8.8130526433135081</v>
      </c>
      <c r="Y291" s="55">
        <f t="shared" si="359"/>
        <v>8.8130526433135081</v>
      </c>
      <c r="Z291" s="55">
        <f t="shared" si="359"/>
        <v>8.8130526433135081</v>
      </c>
      <c r="AA291" s="55">
        <f t="shared" si="359"/>
        <v>8.8130526433135081</v>
      </c>
      <c r="AB291" s="55">
        <f t="shared" si="359"/>
        <v>8.8130526433135081</v>
      </c>
      <c r="AC291" s="55">
        <f t="shared" si="359"/>
        <v>8.8130526433135081</v>
      </c>
      <c r="AD291" s="55">
        <f t="shared" si="359"/>
        <v>8.8130526433135081</v>
      </c>
      <c r="AE291" s="55">
        <f t="shared" si="359"/>
        <v>8.8130526433135081</v>
      </c>
      <c r="AF291" s="55">
        <f t="shared" si="359"/>
        <v>8.8130526433135081</v>
      </c>
      <c r="AG291" s="55">
        <f t="shared" si="359"/>
        <v>8.8130526433135081</v>
      </c>
      <c r="AH291" s="55">
        <f t="shared" si="359"/>
        <v>8.8130526433135081</v>
      </c>
      <c r="AI291" s="55">
        <f t="shared" ref="AI291:BJ291" si="360">IF(AND(AI$127&gt;=$K80,AI$127&lt;=$L80),$G80*(1+$H80)^(AI$127-$B$5),0)</f>
        <v>8.8130526433135081</v>
      </c>
      <c r="AJ291" s="55">
        <f t="shared" si="360"/>
        <v>8.8130526433135081</v>
      </c>
      <c r="AK291" s="55">
        <f t="shared" si="360"/>
        <v>8.8130526433135081</v>
      </c>
      <c r="AL291" s="55">
        <f t="shared" si="360"/>
        <v>8.8130526433135081</v>
      </c>
      <c r="AM291" s="55">
        <f t="shared" si="360"/>
        <v>8.8130526433135081</v>
      </c>
      <c r="AN291" s="55">
        <f t="shared" si="360"/>
        <v>8.8130526433135081</v>
      </c>
      <c r="AO291" s="55">
        <f t="shared" si="360"/>
        <v>8.8130526433135081</v>
      </c>
      <c r="AP291" s="55">
        <f t="shared" si="360"/>
        <v>8.8130526433135081</v>
      </c>
      <c r="AQ291" s="55">
        <f t="shared" si="360"/>
        <v>8.8130526433135081</v>
      </c>
      <c r="AR291" s="55">
        <f t="shared" si="360"/>
        <v>8.8130526433135081</v>
      </c>
      <c r="AS291" s="55">
        <f t="shared" si="360"/>
        <v>8.8130526433135081</v>
      </c>
      <c r="AT291" s="55">
        <f t="shared" si="360"/>
        <v>8.8130526433135081</v>
      </c>
      <c r="AU291" s="55">
        <f t="shared" si="360"/>
        <v>8.8130526433135081</v>
      </c>
      <c r="AV291" s="55">
        <f t="shared" si="360"/>
        <v>8.8130526433135081</v>
      </c>
      <c r="AW291" s="55">
        <f t="shared" si="360"/>
        <v>8.8130526433135081</v>
      </c>
      <c r="AX291" s="55">
        <f t="shared" si="360"/>
        <v>8.8130526433135081</v>
      </c>
      <c r="AY291" s="55">
        <f t="shared" si="360"/>
        <v>8.8130526433135081</v>
      </c>
      <c r="AZ291" s="55">
        <f t="shared" si="360"/>
        <v>8.8130526433135081</v>
      </c>
      <c r="BA291" s="55">
        <f t="shared" si="360"/>
        <v>8.8130526433135081</v>
      </c>
      <c r="BB291" s="55">
        <f t="shared" si="360"/>
        <v>8.8130526433135081</v>
      </c>
      <c r="BC291" s="55">
        <f t="shared" si="360"/>
        <v>8.8130526433135081</v>
      </c>
      <c r="BD291" s="55">
        <f t="shared" si="360"/>
        <v>8.8130526433135081</v>
      </c>
      <c r="BE291" s="55">
        <f t="shared" si="360"/>
        <v>8.8130526433135081</v>
      </c>
      <c r="BF291" s="55">
        <f t="shared" si="360"/>
        <v>8.8130526433135081</v>
      </c>
      <c r="BG291" s="55">
        <f t="shared" si="360"/>
        <v>8.8130526433135081</v>
      </c>
      <c r="BH291" s="55">
        <f t="shared" si="360"/>
        <v>0</v>
      </c>
      <c r="BI291" s="55">
        <f t="shared" si="360"/>
        <v>0</v>
      </c>
      <c r="BJ291" s="55">
        <f t="shared" si="360"/>
        <v>0</v>
      </c>
    </row>
    <row r="292" spans="1:62" x14ac:dyDescent="0.3">
      <c r="A292" s="53" t="str">
        <f t="shared" si="310"/>
        <v>project 120</v>
      </c>
      <c r="C292" s="55">
        <f t="shared" ref="C292:AH292" si="361">IF(AND(C$127&gt;=$K81,C$127&lt;=$L81),$G81*(1+$H81)^(C$127-$B$5),0)</f>
        <v>0</v>
      </c>
      <c r="D292" s="55">
        <f t="shared" si="361"/>
        <v>0</v>
      </c>
      <c r="E292" s="55">
        <f t="shared" si="361"/>
        <v>0</v>
      </c>
      <c r="F292" s="55">
        <f t="shared" si="361"/>
        <v>0</v>
      </c>
      <c r="G292" s="55">
        <f t="shared" si="361"/>
        <v>0</v>
      </c>
      <c r="H292" s="55">
        <f t="shared" si="361"/>
        <v>0</v>
      </c>
      <c r="I292" s="55">
        <f t="shared" si="361"/>
        <v>23.08118337197028</v>
      </c>
      <c r="J292" s="55">
        <f t="shared" si="361"/>
        <v>23.08118337197028</v>
      </c>
      <c r="K292" s="55">
        <f t="shared" si="361"/>
        <v>23.08118337197028</v>
      </c>
      <c r="L292" s="55">
        <f t="shared" si="361"/>
        <v>23.08118337197028</v>
      </c>
      <c r="M292" s="55">
        <f t="shared" si="361"/>
        <v>23.08118337197028</v>
      </c>
      <c r="N292" s="55">
        <f t="shared" si="361"/>
        <v>23.08118337197028</v>
      </c>
      <c r="O292" s="55">
        <f t="shared" si="361"/>
        <v>23.08118337197028</v>
      </c>
      <c r="P292" s="55">
        <f t="shared" si="361"/>
        <v>23.08118337197028</v>
      </c>
      <c r="Q292" s="55">
        <f t="shared" si="361"/>
        <v>23.08118337197028</v>
      </c>
      <c r="R292" s="55">
        <f t="shared" si="361"/>
        <v>23.08118337197028</v>
      </c>
      <c r="S292" s="55">
        <f t="shared" si="361"/>
        <v>23.08118337197028</v>
      </c>
      <c r="T292" s="55">
        <f t="shared" si="361"/>
        <v>23.08118337197028</v>
      </c>
      <c r="U292" s="55">
        <f t="shared" si="361"/>
        <v>23.08118337197028</v>
      </c>
      <c r="V292" s="55">
        <f t="shared" si="361"/>
        <v>23.08118337197028</v>
      </c>
      <c r="W292" s="55">
        <f t="shared" si="361"/>
        <v>23.08118337197028</v>
      </c>
      <c r="X292" s="55">
        <f t="shared" si="361"/>
        <v>23.08118337197028</v>
      </c>
      <c r="Y292" s="55">
        <f t="shared" si="361"/>
        <v>23.08118337197028</v>
      </c>
      <c r="Z292" s="55">
        <f t="shared" si="361"/>
        <v>23.08118337197028</v>
      </c>
      <c r="AA292" s="55">
        <f t="shared" si="361"/>
        <v>23.08118337197028</v>
      </c>
      <c r="AB292" s="55">
        <f t="shared" si="361"/>
        <v>23.08118337197028</v>
      </c>
      <c r="AC292" s="55">
        <f t="shared" si="361"/>
        <v>23.08118337197028</v>
      </c>
      <c r="AD292" s="55">
        <f t="shared" si="361"/>
        <v>23.08118337197028</v>
      </c>
      <c r="AE292" s="55">
        <f t="shared" si="361"/>
        <v>23.08118337197028</v>
      </c>
      <c r="AF292" s="55">
        <f t="shared" si="361"/>
        <v>23.08118337197028</v>
      </c>
      <c r="AG292" s="55">
        <f t="shared" si="361"/>
        <v>23.08118337197028</v>
      </c>
      <c r="AH292" s="55">
        <f t="shared" si="361"/>
        <v>23.08118337197028</v>
      </c>
      <c r="AI292" s="55">
        <f t="shared" ref="AI292:BJ292" si="362">IF(AND(AI$127&gt;=$K81,AI$127&lt;=$L81),$G81*(1+$H81)^(AI$127-$B$5),0)</f>
        <v>23.08118337197028</v>
      </c>
      <c r="AJ292" s="55">
        <f t="shared" si="362"/>
        <v>23.08118337197028</v>
      </c>
      <c r="AK292" s="55">
        <f t="shared" si="362"/>
        <v>23.08118337197028</v>
      </c>
      <c r="AL292" s="55">
        <f t="shared" si="362"/>
        <v>23.08118337197028</v>
      </c>
      <c r="AM292" s="55">
        <f t="shared" si="362"/>
        <v>23.08118337197028</v>
      </c>
      <c r="AN292" s="55">
        <f t="shared" si="362"/>
        <v>23.08118337197028</v>
      </c>
      <c r="AO292" s="55">
        <f t="shared" si="362"/>
        <v>23.08118337197028</v>
      </c>
      <c r="AP292" s="55">
        <f t="shared" si="362"/>
        <v>23.08118337197028</v>
      </c>
      <c r="AQ292" s="55">
        <f t="shared" si="362"/>
        <v>23.08118337197028</v>
      </c>
      <c r="AR292" s="55">
        <f t="shared" si="362"/>
        <v>23.08118337197028</v>
      </c>
      <c r="AS292" s="55">
        <f t="shared" si="362"/>
        <v>23.08118337197028</v>
      </c>
      <c r="AT292" s="55">
        <f t="shared" si="362"/>
        <v>23.08118337197028</v>
      </c>
      <c r="AU292" s="55">
        <f t="shared" si="362"/>
        <v>23.08118337197028</v>
      </c>
      <c r="AV292" s="55">
        <f t="shared" si="362"/>
        <v>23.08118337197028</v>
      </c>
      <c r="AW292" s="55">
        <f t="shared" si="362"/>
        <v>0</v>
      </c>
      <c r="AX292" s="55">
        <f t="shared" si="362"/>
        <v>0</v>
      </c>
      <c r="AY292" s="55">
        <f t="shared" si="362"/>
        <v>0</v>
      </c>
      <c r="AZ292" s="55">
        <f t="shared" si="362"/>
        <v>0</v>
      </c>
      <c r="BA292" s="55">
        <f t="shared" si="362"/>
        <v>0</v>
      </c>
      <c r="BB292" s="55">
        <f t="shared" si="362"/>
        <v>0</v>
      </c>
      <c r="BC292" s="55">
        <f t="shared" si="362"/>
        <v>0</v>
      </c>
      <c r="BD292" s="55">
        <f t="shared" si="362"/>
        <v>0</v>
      </c>
      <c r="BE292" s="55">
        <f t="shared" si="362"/>
        <v>0</v>
      </c>
      <c r="BF292" s="55">
        <f t="shared" si="362"/>
        <v>0</v>
      </c>
      <c r="BG292" s="55">
        <f t="shared" si="362"/>
        <v>0</v>
      </c>
      <c r="BH292" s="55">
        <f t="shared" si="362"/>
        <v>0</v>
      </c>
      <c r="BI292" s="55">
        <f t="shared" si="362"/>
        <v>0</v>
      </c>
      <c r="BJ292" s="55">
        <f t="shared" si="362"/>
        <v>0</v>
      </c>
    </row>
    <row r="293" spans="1:62" x14ac:dyDescent="0.3">
      <c r="A293" s="53" t="str">
        <f t="shared" si="310"/>
        <v>project 121</v>
      </c>
      <c r="C293" s="55">
        <f t="shared" ref="C293:AH293" si="363">IF(AND(C$127&gt;=$K82,C$127&lt;=$L82),$G82*(1+$H82)^(C$127-$B$5),0)</f>
        <v>0</v>
      </c>
      <c r="D293" s="55">
        <f t="shared" si="363"/>
        <v>0</v>
      </c>
      <c r="E293" s="55">
        <f t="shared" si="363"/>
        <v>0</v>
      </c>
      <c r="F293" s="55">
        <f t="shared" si="363"/>
        <v>0</v>
      </c>
      <c r="G293" s="55">
        <f t="shared" si="363"/>
        <v>0</v>
      </c>
      <c r="H293" s="55">
        <f t="shared" si="363"/>
        <v>0</v>
      </c>
      <c r="I293" s="55">
        <f t="shared" si="363"/>
        <v>0</v>
      </c>
      <c r="J293" s="55">
        <f t="shared" si="363"/>
        <v>0</v>
      </c>
      <c r="K293" s="55">
        <f t="shared" si="363"/>
        <v>0</v>
      </c>
      <c r="L293" s="55">
        <f t="shared" si="363"/>
        <v>0</v>
      </c>
      <c r="M293" s="55">
        <f t="shared" si="363"/>
        <v>0</v>
      </c>
      <c r="N293" s="55">
        <f t="shared" si="363"/>
        <v>0</v>
      </c>
      <c r="O293" s="55">
        <f t="shared" si="363"/>
        <v>0</v>
      </c>
      <c r="P293" s="55">
        <f t="shared" si="363"/>
        <v>0</v>
      </c>
      <c r="Q293" s="55">
        <f t="shared" si="363"/>
        <v>8.8692900090621567</v>
      </c>
      <c r="R293" s="55">
        <f t="shared" si="363"/>
        <v>8.8692900090621567</v>
      </c>
      <c r="S293" s="55">
        <f t="shared" si="363"/>
        <v>8.8692900090621567</v>
      </c>
      <c r="T293" s="55">
        <f t="shared" si="363"/>
        <v>8.8692900090621567</v>
      </c>
      <c r="U293" s="55">
        <f t="shared" si="363"/>
        <v>8.8692900090621567</v>
      </c>
      <c r="V293" s="55">
        <f t="shared" si="363"/>
        <v>8.8692900090621567</v>
      </c>
      <c r="W293" s="55">
        <f t="shared" si="363"/>
        <v>8.8692900090621567</v>
      </c>
      <c r="X293" s="55">
        <f t="shared" si="363"/>
        <v>8.8692900090621567</v>
      </c>
      <c r="Y293" s="55">
        <f t="shared" si="363"/>
        <v>8.8692900090621567</v>
      </c>
      <c r="Z293" s="55">
        <f t="shared" si="363"/>
        <v>8.8692900090621567</v>
      </c>
      <c r="AA293" s="55">
        <f t="shared" si="363"/>
        <v>8.8692900090621567</v>
      </c>
      <c r="AB293" s="55">
        <f t="shared" si="363"/>
        <v>8.8692900090621567</v>
      </c>
      <c r="AC293" s="55">
        <f t="shared" si="363"/>
        <v>8.8692900090621567</v>
      </c>
      <c r="AD293" s="55">
        <f t="shared" si="363"/>
        <v>8.8692900090621567</v>
      </c>
      <c r="AE293" s="55">
        <f t="shared" si="363"/>
        <v>8.8692900090621567</v>
      </c>
      <c r="AF293" s="55">
        <f t="shared" si="363"/>
        <v>8.8692900090621567</v>
      </c>
      <c r="AG293" s="55">
        <f t="shared" si="363"/>
        <v>8.8692900090621567</v>
      </c>
      <c r="AH293" s="55">
        <f t="shared" si="363"/>
        <v>8.8692900090621567</v>
      </c>
      <c r="AI293" s="55">
        <f t="shared" ref="AI293:BJ293" si="364">IF(AND(AI$127&gt;=$K82,AI$127&lt;=$L82),$G82*(1+$H82)^(AI$127-$B$5),0)</f>
        <v>8.8692900090621567</v>
      </c>
      <c r="AJ293" s="55">
        <f t="shared" si="364"/>
        <v>8.8692900090621567</v>
      </c>
      <c r="AK293" s="55">
        <f t="shared" si="364"/>
        <v>8.8692900090621567</v>
      </c>
      <c r="AL293" s="55">
        <f t="shared" si="364"/>
        <v>8.8692900090621567</v>
      </c>
      <c r="AM293" s="55">
        <f t="shared" si="364"/>
        <v>8.8692900090621567</v>
      </c>
      <c r="AN293" s="55">
        <f t="shared" si="364"/>
        <v>8.8692900090621567</v>
      </c>
      <c r="AO293" s="55">
        <f t="shared" si="364"/>
        <v>8.8692900090621567</v>
      </c>
      <c r="AP293" s="55">
        <f t="shared" si="364"/>
        <v>8.8692900090621567</v>
      </c>
      <c r="AQ293" s="55">
        <f t="shared" si="364"/>
        <v>8.8692900090621567</v>
      </c>
      <c r="AR293" s="55">
        <f t="shared" si="364"/>
        <v>8.8692900090621567</v>
      </c>
      <c r="AS293" s="55">
        <f t="shared" si="364"/>
        <v>8.8692900090621567</v>
      </c>
      <c r="AT293" s="55">
        <f t="shared" si="364"/>
        <v>8.8692900090621567</v>
      </c>
      <c r="AU293" s="55">
        <f t="shared" si="364"/>
        <v>8.8692900090621567</v>
      </c>
      <c r="AV293" s="55">
        <f t="shared" si="364"/>
        <v>8.8692900090621567</v>
      </c>
      <c r="AW293" s="55">
        <f t="shared" si="364"/>
        <v>8.8692900090621567</v>
      </c>
      <c r="AX293" s="55">
        <f t="shared" si="364"/>
        <v>8.8692900090621567</v>
      </c>
      <c r="AY293" s="55">
        <f t="shared" si="364"/>
        <v>8.8692900090621567</v>
      </c>
      <c r="AZ293" s="55">
        <f t="shared" si="364"/>
        <v>8.8692900090621567</v>
      </c>
      <c r="BA293" s="55">
        <f t="shared" si="364"/>
        <v>8.8692900090621567</v>
      </c>
      <c r="BB293" s="55">
        <f t="shared" si="364"/>
        <v>8.8692900090621567</v>
      </c>
      <c r="BC293" s="55">
        <f t="shared" si="364"/>
        <v>8.8692900090621567</v>
      </c>
      <c r="BD293" s="55">
        <f t="shared" si="364"/>
        <v>8.8692900090621567</v>
      </c>
      <c r="BE293" s="55">
        <f t="shared" si="364"/>
        <v>0</v>
      </c>
      <c r="BF293" s="55">
        <f t="shared" si="364"/>
        <v>0</v>
      </c>
      <c r="BG293" s="55">
        <f t="shared" si="364"/>
        <v>0</v>
      </c>
      <c r="BH293" s="55">
        <f t="shared" si="364"/>
        <v>0</v>
      </c>
      <c r="BI293" s="55">
        <f t="shared" si="364"/>
        <v>0</v>
      </c>
      <c r="BJ293" s="55">
        <f t="shared" si="364"/>
        <v>0</v>
      </c>
    </row>
    <row r="294" spans="1:62" x14ac:dyDescent="0.3">
      <c r="A294" s="53" t="str">
        <f t="shared" si="310"/>
        <v>project 125</v>
      </c>
      <c r="C294" s="55">
        <f t="shared" ref="C294:AH294" si="365">IF(AND(C$127&gt;=$K83,C$127&lt;=$L83),$G83*(1+$H83)^(C$127-$B$5),0)</f>
        <v>0</v>
      </c>
      <c r="D294" s="55">
        <f t="shared" si="365"/>
        <v>0</v>
      </c>
      <c r="E294" s="55">
        <f t="shared" si="365"/>
        <v>10.557342149920469</v>
      </c>
      <c r="F294" s="55">
        <f t="shared" si="365"/>
        <v>10.557342149920469</v>
      </c>
      <c r="G294" s="55">
        <f t="shared" si="365"/>
        <v>10.557342149920469</v>
      </c>
      <c r="H294" s="55">
        <f t="shared" si="365"/>
        <v>10.557342149920469</v>
      </c>
      <c r="I294" s="55">
        <f t="shared" si="365"/>
        <v>10.557342149920469</v>
      </c>
      <c r="J294" s="55">
        <f t="shared" si="365"/>
        <v>10.557342149920469</v>
      </c>
      <c r="K294" s="55">
        <f t="shared" si="365"/>
        <v>10.557342149920469</v>
      </c>
      <c r="L294" s="55">
        <f t="shared" si="365"/>
        <v>10.557342149920469</v>
      </c>
      <c r="M294" s="55">
        <f t="shared" si="365"/>
        <v>10.557342149920469</v>
      </c>
      <c r="N294" s="55">
        <f t="shared" si="365"/>
        <v>10.557342149920469</v>
      </c>
      <c r="O294" s="55">
        <f t="shared" si="365"/>
        <v>10.557342149920469</v>
      </c>
      <c r="P294" s="55">
        <f t="shared" si="365"/>
        <v>10.557342149920469</v>
      </c>
      <c r="Q294" s="55">
        <f t="shared" si="365"/>
        <v>10.557342149920469</v>
      </c>
      <c r="R294" s="55">
        <f t="shared" si="365"/>
        <v>10.557342149920469</v>
      </c>
      <c r="S294" s="55">
        <f t="shared" si="365"/>
        <v>10.557342149920469</v>
      </c>
      <c r="T294" s="55">
        <f t="shared" si="365"/>
        <v>10.557342149920469</v>
      </c>
      <c r="U294" s="55">
        <f t="shared" si="365"/>
        <v>10.557342149920469</v>
      </c>
      <c r="V294" s="55">
        <f t="shared" si="365"/>
        <v>10.557342149920469</v>
      </c>
      <c r="W294" s="55">
        <f t="shared" si="365"/>
        <v>10.557342149920469</v>
      </c>
      <c r="X294" s="55">
        <f t="shared" si="365"/>
        <v>10.557342149920469</v>
      </c>
      <c r="Y294" s="55">
        <f t="shared" si="365"/>
        <v>10.557342149920469</v>
      </c>
      <c r="Z294" s="55">
        <f t="shared" si="365"/>
        <v>10.557342149920469</v>
      </c>
      <c r="AA294" s="55">
        <f t="shared" si="365"/>
        <v>10.557342149920469</v>
      </c>
      <c r="AB294" s="55">
        <f t="shared" si="365"/>
        <v>10.557342149920469</v>
      </c>
      <c r="AC294" s="55">
        <f t="shared" si="365"/>
        <v>10.557342149920469</v>
      </c>
      <c r="AD294" s="55">
        <f t="shared" si="365"/>
        <v>10.557342149920469</v>
      </c>
      <c r="AE294" s="55">
        <f t="shared" si="365"/>
        <v>10.557342149920469</v>
      </c>
      <c r="AF294" s="55">
        <f t="shared" si="365"/>
        <v>10.557342149920469</v>
      </c>
      <c r="AG294" s="55">
        <f t="shared" si="365"/>
        <v>10.557342149920469</v>
      </c>
      <c r="AH294" s="55">
        <f t="shared" si="365"/>
        <v>10.557342149920469</v>
      </c>
      <c r="AI294" s="55">
        <f t="shared" ref="AI294:BJ294" si="366">IF(AND(AI$127&gt;=$K83,AI$127&lt;=$L83),$G83*(1+$H83)^(AI$127-$B$5),0)</f>
        <v>10.557342149920469</v>
      </c>
      <c r="AJ294" s="55">
        <f t="shared" si="366"/>
        <v>10.557342149920469</v>
      </c>
      <c r="AK294" s="55">
        <f t="shared" si="366"/>
        <v>10.557342149920469</v>
      </c>
      <c r="AL294" s="55">
        <f t="shared" si="366"/>
        <v>10.557342149920469</v>
      </c>
      <c r="AM294" s="55">
        <f t="shared" si="366"/>
        <v>10.557342149920469</v>
      </c>
      <c r="AN294" s="55">
        <f t="shared" si="366"/>
        <v>10.557342149920469</v>
      </c>
      <c r="AO294" s="55">
        <f t="shared" si="366"/>
        <v>10.557342149920469</v>
      </c>
      <c r="AP294" s="55">
        <f t="shared" si="366"/>
        <v>10.557342149920469</v>
      </c>
      <c r="AQ294" s="55">
        <f t="shared" si="366"/>
        <v>10.557342149920469</v>
      </c>
      <c r="AR294" s="55">
        <f t="shared" si="366"/>
        <v>10.557342149920469</v>
      </c>
      <c r="AS294" s="55">
        <f t="shared" si="366"/>
        <v>0</v>
      </c>
      <c r="AT294" s="55">
        <f t="shared" si="366"/>
        <v>0</v>
      </c>
      <c r="AU294" s="55">
        <f t="shared" si="366"/>
        <v>0</v>
      </c>
      <c r="AV294" s="55">
        <f t="shared" si="366"/>
        <v>0</v>
      </c>
      <c r="AW294" s="55">
        <f t="shared" si="366"/>
        <v>0</v>
      </c>
      <c r="AX294" s="55">
        <f t="shared" si="366"/>
        <v>0</v>
      </c>
      <c r="AY294" s="55">
        <f t="shared" si="366"/>
        <v>0</v>
      </c>
      <c r="AZ294" s="55">
        <f t="shared" si="366"/>
        <v>0</v>
      </c>
      <c r="BA294" s="55">
        <f t="shared" si="366"/>
        <v>0</v>
      </c>
      <c r="BB294" s="55">
        <f t="shared" si="366"/>
        <v>0</v>
      </c>
      <c r="BC294" s="55">
        <f t="shared" si="366"/>
        <v>0</v>
      </c>
      <c r="BD294" s="55">
        <f t="shared" si="366"/>
        <v>0</v>
      </c>
      <c r="BE294" s="55">
        <f t="shared" si="366"/>
        <v>0</v>
      </c>
      <c r="BF294" s="55">
        <f t="shared" si="366"/>
        <v>0</v>
      </c>
      <c r="BG294" s="55">
        <f t="shared" si="366"/>
        <v>0</v>
      </c>
      <c r="BH294" s="55">
        <f t="shared" si="366"/>
        <v>0</v>
      </c>
      <c r="BI294" s="55">
        <f t="shared" si="366"/>
        <v>0</v>
      </c>
      <c r="BJ294" s="55">
        <f t="shared" si="366"/>
        <v>0</v>
      </c>
    </row>
    <row r="295" spans="1:62" x14ac:dyDescent="0.3">
      <c r="A295" s="53" t="str">
        <f t="shared" si="310"/>
        <v>project 126</v>
      </c>
      <c r="C295" s="55">
        <f t="shared" ref="C295:AH295" si="367">IF(AND(C$127&gt;=$K84,C$127&lt;=$L84),$G84*(1+$H84)^(C$127-$B$5),0)</f>
        <v>0</v>
      </c>
      <c r="D295" s="55">
        <f t="shared" si="367"/>
        <v>0</v>
      </c>
      <c r="E295" s="55">
        <f t="shared" si="367"/>
        <v>0</v>
      </c>
      <c r="F295" s="55">
        <f t="shared" si="367"/>
        <v>0</v>
      </c>
      <c r="G295" s="55">
        <f t="shared" si="367"/>
        <v>11.35574368993499</v>
      </c>
      <c r="H295" s="55">
        <f t="shared" si="367"/>
        <v>11.35574368993499</v>
      </c>
      <c r="I295" s="55">
        <f t="shared" si="367"/>
        <v>11.35574368993499</v>
      </c>
      <c r="J295" s="55">
        <f t="shared" si="367"/>
        <v>11.35574368993499</v>
      </c>
      <c r="K295" s="55">
        <f t="shared" si="367"/>
        <v>11.35574368993499</v>
      </c>
      <c r="L295" s="55">
        <f t="shared" si="367"/>
        <v>11.35574368993499</v>
      </c>
      <c r="M295" s="55">
        <f t="shared" si="367"/>
        <v>11.35574368993499</v>
      </c>
      <c r="N295" s="55">
        <f t="shared" si="367"/>
        <v>11.35574368993499</v>
      </c>
      <c r="O295" s="55">
        <f t="shared" si="367"/>
        <v>11.35574368993499</v>
      </c>
      <c r="P295" s="55">
        <f t="shared" si="367"/>
        <v>11.35574368993499</v>
      </c>
      <c r="Q295" s="55">
        <f t="shared" si="367"/>
        <v>11.35574368993499</v>
      </c>
      <c r="R295" s="55">
        <f t="shared" si="367"/>
        <v>11.35574368993499</v>
      </c>
      <c r="S295" s="55">
        <f t="shared" si="367"/>
        <v>11.35574368993499</v>
      </c>
      <c r="T295" s="55">
        <f t="shared" si="367"/>
        <v>11.35574368993499</v>
      </c>
      <c r="U295" s="55">
        <f t="shared" si="367"/>
        <v>11.35574368993499</v>
      </c>
      <c r="V295" s="55">
        <f t="shared" si="367"/>
        <v>11.35574368993499</v>
      </c>
      <c r="W295" s="55">
        <f t="shared" si="367"/>
        <v>11.35574368993499</v>
      </c>
      <c r="X295" s="55">
        <f t="shared" si="367"/>
        <v>11.35574368993499</v>
      </c>
      <c r="Y295" s="55">
        <f t="shared" si="367"/>
        <v>11.35574368993499</v>
      </c>
      <c r="Z295" s="55">
        <f t="shared" si="367"/>
        <v>11.35574368993499</v>
      </c>
      <c r="AA295" s="55">
        <f t="shared" si="367"/>
        <v>11.35574368993499</v>
      </c>
      <c r="AB295" s="55">
        <f t="shared" si="367"/>
        <v>11.35574368993499</v>
      </c>
      <c r="AC295" s="55">
        <f t="shared" si="367"/>
        <v>11.35574368993499</v>
      </c>
      <c r="AD295" s="55">
        <f t="shared" si="367"/>
        <v>11.35574368993499</v>
      </c>
      <c r="AE295" s="55">
        <f t="shared" si="367"/>
        <v>11.35574368993499</v>
      </c>
      <c r="AF295" s="55">
        <f t="shared" si="367"/>
        <v>11.35574368993499</v>
      </c>
      <c r="AG295" s="55">
        <f t="shared" si="367"/>
        <v>11.35574368993499</v>
      </c>
      <c r="AH295" s="55">
        <f t="shared" si="367"/>
        <v>11.35574368993499</v>
      </c>
      <c r="AI295" s="55">
        <f t="shared" ref="AI295:BJ295" si="368">IF(AND(AI$127&gt;=$K84,AI$127&lt;=$L84),$G84*(1+$H84)^(AI$127-$B$5),0)</f>
        <v>11.35574368993499</v>
      </c>
      <c r="AJ295" s="55">
        <f t="shared" si="368"/>
        <v>11.35574368993499</v>
      </c>
      <c r="AK295" s="55">
        <f t="shared" si="368"/>
        <v>11.35574368993499</v>
      </c>
      <c r="AL295" s="55">
        <f t="shared" si="368"/>
        <v>11.35574368993499</v>
      </c>
      <c r="AM295" s="55">
        <f t="shared" si="368"/>
        <v>11.35574368993499</v>
      </c>
      <c r="AN295" s="55">
        <f t="shared" si="368"/>
        <v>11.35574368993499</v>
      </c>
      <c r="AO295" s="55">
        <f t="shared" si="368"/>
        <v>11.35574368993499</v>
      </c>
      <c r="AP295" s="55">
        <f t="shared" si="368"/>
        <v>11.35574368993499</v>
      </c>
      <c r="AQ295" s="55">
        <f t="shared" si="368"/>
        <v>11.35574368993499</v>
      </c>
      <c r="AR295" s="55">
        <f t="shared" si="368"/>
        <v>11.35574368993499</v>
      </c>
      <c r="AS295" s="55">
        <f t="shared" si="368"/>
        <v>11.35574368993499</v>
      </c>
      <c r="AT295" s="55">
        <f t="shared" si="368"/>
        <v>11.35574368993499</v>
      </c>
      <c r="AU295" s="55">
        <f t="shared" si="368"/>
        <v>0</v>
      </c>
      <c r="AV295" s="55">
        <f t="shared" si="368"/>
        <v>0</v>
      </c>
      <c r="AW295" s="55">
        <f t="shared" si="368"/>
        <v>0</v>
      </c>
      <c r="AX295" s="55">
        <f t="shared" si="368"/>
        <v>0</v>
      </c>
      <c r="AY295" s="55">
        <f t="shared" si="368"/>
        <v>0</v>
      </c>
      <c r="AZ295" s="55">
        <f t="shared" si="368"/>
        <v>0</v>
      </c>
      <c r="BA295" s="55">
        <f t="shared" si="368"/>
        <v>0</v>
      </c>
      <c r="BB295" s="55">
        <f t="shared" si="368"/>
        <v>0</v>
      </c>
      <c r="BC295" s="55">
        <f t="shared" si="368"/>
        <v>0</v>
      </c>
      <c r="BD295" s="55">
        <f t="shared" si="368"/>
        <v>0</v>
      </c>
      <c r="BE295" s="55">
        <f t="shared" si="368"/>
        <v>0</v>
      </c>
      <c r="BF295" s="55">
        <f t="shared" si="368"/>
        <v>0</v>
      </c>
      <c r="BG295" s="55">
        <f t="shared" si="368"/>
        <v>0</v>
      </c>
      <c r="BH295" s="55">
        <f t="shared" si="368"/>
        <v>0</v>
      </c>
      <c r="BI295" s="55">
        <f t="shared" si="368"/>
        <v>0</v>
      </c>
      <c r="BJ295" s="55">
        <f t="shared" si="368"/>
        <v>0</v>
      </c>
    </row>
    <row r="296" spans="1:62" x14ac:dyDescent="0.3">
      <c r="A296" s="53" t="str">
        <f t="shared" si="310"/>
        <v>project 128</v>
      </c>
      <c r="C296" s="55">
        <f t="shared" ref="C296:AH296" si="369">IF(AND(C$127&gt;=$K85,C$127&lt;=$L85),$G85*(1+$H85)^(C$127-$B$5),0)</f>
        <v>0</v>
      </c>
      <c r="D296" s="55">
        <f t="shared" si="369"/>
        <v>0</v>
      </c>
      <c r="E296" s="55">
        <f t="shared" si="369"/>
        <v>0</v>
      </c>
      <c r="F296" s="55">
        <f t="shared" si="369"/>
        <v>0</v>
      </c>
      <c r="G296" s="55">
        <f t="shared" si="369"/>
        <v>0</v>
      </c>
      <c r="H296" s="55">
        <f t="shared" si="369"/>
        <v>0</v>
      </c>
      <c r="I296" s="55">
        <f t="shared" si="369"/>
        <v>0</v>
      </c>
      <c r="J296" s="55">
        <f t="shared" si="369"/>
        <v>0</v>
      </c>
      <c r="K296" s="55">
        <f t="shared" si="369"/>
        <v>0</v>
      </c>
      <c r="L296" s="55">
        <f t="shared" si="369"/>
        <v>0</v>
      </c>
      <c r="M296" s="55">
        <f t="shared" si="369"/>
        <v>0</v>
      </c>
      <c r="N296" s="55">
        <f t="shared" si="369"/>
        <v>0</v>
      </c>
      <c r="O296" s="55">
        <f t="shared" si="369"/>
        <v>0</v>
      </c>
      <c r="P296" s="55">
        <f t="shared" si="369"/>
        <v>0</v>
      </c>
      <c r="Q296" s="55">
        <f t="shared" si="369"/>
        <v>0</v>
      </c>
      <c r="R296" s="55">
        <f t="shared" si="369"/>
        <v>0</v>
      </c>
      <c r="S296" s="55">
        <f t="shared" si="369"/>
        <v>0</v>
      </c>
      <c r="T296" s="55">
        <f t="shared" si="369"/>
        <v>0</v>
      </c>
      <c r="U296" s="55">
        <f t="shared" si="369"/>
        <v>2.7107279630580252</v>
      </c>
      <c r="V296" s="55">
        <f t="shared" si="369"/>
        <v>2.7107279630580252</v>
      </c>
      <c r="W296" s="55">
        <f t="shared" si="369"/>
        <v>2.7107279630580252</v>
      </c>
      <c r="X296" s="55">
        <f t="shared" si="369"/>
        <v>2.7107279630580252</v>
      </c>
      <c r="Y296" s="55">
        <f t="shared" si="369"/>
        <v>2.7107279630580252</v>
      </c>
      <c r="Z296" s="55">
        <f t="shared" si="369"/>
        <v>2.7107279630580252</v>
      </c>
      <c r="AA296" s="55">
        <f t="shared" si="369"/>
        <v>2.7107279630580252</v>
      </c>
      <c r="AB296" s="55">
        <f t="shared" si="369"/>
        <v>2.7107279630580252</v>
      </c>
      <c r="AC296" s="55">
        <f t="shared" si="369"/>
        <v>2.7107279630580252</v>
      </c>
      <c r="AD296" s="55">
        <f t="shared" si="369"/>
        <v>2.7107279630580252</v>
      </c>
      <c r="AE296" s="55">
        <f t="shared" si="369"/>
        <v>2.7107279630580252</v>
      </c>
      <c r="AF296" s="55">
        <f t="shared" si="369"/>
        <v>2.7107279630580252</v>
      </c>
      <c r="AG296" s="55">
        <f t="shared" si="369"/>
        <v>2.7107279630580252</v>
      </c>
      <c r="AH296" s="55">
        <f t="shared" si="369"/>
        <v>2.7107279630580252</v>
      </c>
      <c r="AI296" s="55">
        <f t="shared" ref="AI296:BJ296" si="370">IF(AND(AI$127&gt;=$K85,AI$127&lt;=$L85),$G85*(1+$H85)^(AI$127-$B$5),0)</f>
        <v>2.7107279630580252</v>
      </c>
      <c r="AJ296" s="55">
        <f t="shared" si="370"/>
        <v>2.7107279630580252</v>
      </c>
      <c r="AK296" s="55">
        <f t="shared" si="370"/>
        <v>2.7107279630580252</v>
      </c>
      <c r="AL296" s="55">
        <f t="shared" si="370"/>
        <v>2.7107279630580252</v>
      </c>
      <c r="AM296" s="55">
        <f t="shared" si="370"/>
        <v>2.7107279630580252</v>
      </c>
      <c r="AN296" s="55">
        <f t="shared" si="370"/>
        <v>2.7107279630580252</v>
      </c>
      <c r="AO296" s="55">
        <f t="shared" si="370"/>
        <v>2.7107279630580252</v>
      </c>
      <c r="AP296" s="55">
        <f t="shared" si="370"/>
        <v>2.7107279630580252</v>
      </c>
      <c r="AQ296" s="55">
        <f t="shared" si="370"/>
        <v>2.7107279630580252</v>
      </c>
      <c r="AR296" s="55">
        <f t="shared" si="370"/>
        <v>2.7107279630580252</v>
      </c>
      <c r="AS296" s="55">
        <f t="shared" si="370"/>
        <v>2.7107279630580252</v>
      </c>
      <c r="AT296" s="55">
        <f t="shared" si="370"/>
        <v>2.7107279630580252</v>
      </c>
      <c r="AU296" s="55">
        <f t="shared" si="370"/>
        <v>2.7107279630580252</v>
      </c>
      <c r="AV296" s="55">
        <f t="shared" si="370"/>
        <v>2.7107279630580252</v>
      </c>
      <c r="AW296" s="55">
        <f t="shared" si="370"/>
        <v>2.7107279630580252</v>
      </c>
      <c r="AX296" s="55">
        <f t="shared" si="370"/>
        <v>2.7107279630580252</v>
      </c>
      <c r="AY296" s="55">
        <f t="shared" si="370"/>
        <v>2.7107279630580252</v>
      </c>
      <c r="AZ296" s="55">
        <f t="shared" si="370"/>
        <v>2.7107279630580252</v>
      </c>
      <c r="BA296" s="55">
        <f t="shared" si="370"/>
        <v>2.7107279630580252</v>
      </c>
      <c r="BB296" s="55">
        <f t="shared" si="370"/>
        <v>2.7107279630580252</v>
      </c>
      <c r="BC296" s="55">
        <f t="shared" si="370"/>
        <v>2.7107279630580252</v>
      </c>
      <c r="BD296" s="55">
        <f t="shared" si="370"/>
        <v>2.7107279630580252</v>
      </c>
      <c r="BE296" s="55">
        <f t="shared" si="370"/>
        <v>2.7107279630580252</v>
      </c>
      <c r="BF296" s="55">
        <f t="shared" si="370"/>
        <v>2.7107279630580252</v>
      </c>
      <c r="BG296" s="55">
        <f t="shared" si="370"/>
        <v>2.7107279630580252</v>
      </c>
      <c r="BH296" s="55">
        <f t="shared" si="370"/>
        <v>2.7107279630580252</v>
      </c>
      <c r="BI296" s="55">
        <f t="shared" si="370"/>
        <v>0</v>
      </c>
      <c r="BJ296" s="55">
        <f t="shared" si="370"/>
        <v>0</v>
      </c>
    </row>
    <row r="297" spans="1:62" x14ac:dyDescent="0.3">
      <c r="A297" s="53" t="str">
        <f t="shared" si="310"/>
        <v>project 130</v>
      </c>
      <c r="C297" s="55">
        <f t="shared" ref="C297:AH297" si="371">IF(AND(C$127&gt;=$K86,C$127&lt;=$L86),$G86*(1+$H86)^(C$127-$B$5),0)</f>
        <v>0</v>
      </c>
      <c r="D297" s="55">
        <f t="shared" si="371"/>
        <v>0</v>
      </c>
      <c r="E297" s="55">
        <f t="shared" si="371"/>
        <v>0</v>
      </c>
      <c r="F297" s="55">
        <f t="shared" si="371"/>
        <v>0</v>
      </c>
      <c r="G297" s="55">
        <f t="shared" si="371"/>
        <v>0</v>
      </c>
      <c r="H297" s="55">
        <f t="shared" si="371"/>
        <v>0</v>
      </c>
      <c r="I297" s="55">
        <f t="shared" si="371"/>
        <v>0</v>
      </c>
      <c r="J297" s="55">
        <f t="shared" si="371"/>
        <v>0</v>
      </c>
      <c r="K297" s="55">
        <f t="shared" si="371"/>
        <v>0</v>
      </c>
      <c r="L297" s="55">
        <f t="shared" si="371"/>
        <v>0</v>
      </c>
      <c r="M297" s="55">
        <f t="shared" si="371"/>
        <v>0</v>
      </c>
      <c r="N297" s="55">
        <f t="shared" si="371"/>
        <v>0</v>
      </c>
      <c r="O297" s="55">
        <f t="shared" si="371"/>
        <v>0</v>
      </c>
      <c r="P297" s="55">
        <f t="shared" si="371"/>
        <v>0</v>
      </c>
      <c r="Q297" s="55">
        <f t="shared" si="371"/>
        <v>0</v>
      </c>
      <c r="R297" s="55">
        <f t="shared" si="371"/>
        <v>0</v>
      </c>
      <c r="S297" s="55">
        <f t="shared" si="371"/>
        <v>0</v>
      </c>
      <c r="T297" s="55">
        <f t="shared" si="371"/>
        <v>4.0241551917247209</v>
      </c>
      <c r="U297" s="55">
        <f t="shared" si="371"/>
        <v>4.0241551917247209</v>
      </c>
      <c r="V297" s="55">
        <f t="shared" si="371"/>
        <v>4.0241551917247209</v>
      </c>
      <c r="W297" s="55">
        <f t="shared" si="371"/>
        <v>4.0241551917247209</v>
      </c>
      <c r="X297" s="55">
        <f t="shared" si="371"/>
        <v>4.0241551917247209</v>
      </c>
      <c r="Y297" s="55">
        <f t="shared" si="371"/>
        <v>4.0241551917247209</v>
      </c>
      <c r="Z297" s="55">
        <f t="shared" si="371"/>
        <v>4.0241551917247209</v>
      </c>
      <c r="AA297" s="55">
        <f t="shared" si="371"/>
        <v>4.0241551917247209</v>
      </c>
      <c r="AB297" s="55">
        <f t="shared" si="371"/>
        <v>4.0241551917247209</v>
      </c>
      <c r="AC297" s="55">
        <f t="shared" si="371"/>
        <v>4.0241551917247209</v>
      </c>
      <c r="AD297" s="55">
        <f t="shared" si="371"/>
        <v>4.0241551917247209</v>
      </c>
      <c r="AE297" s="55">
        <f t="shared" si="371"/>
        <v>4.0241551917247209</v>
      </c>
      <c r="AF297" s="55">
        <f t="shared" si="371"/>
        <v>4.0241551917247209</v>
      </c>
      <c r="AG297" s="55">
        <f t="shared" si="371"/>
        <v>4.0241551917247209</v>
      </c>
      <c r="AH297" s="55">
        <f t="shared" si="371"/>
        <v>4.0241551917247209</v>
      </c>
      <c r="AI297" s="55">
        <f t="shared" ref="AI297:BJ297" si="372">IF(AND(AI$127&gt;=$K86,AI$127&lt;=$L86),$G86*(1+$H86)^(AI$127-$B$5),0)</f>
        <v>4.0241551917247209</v>
      </c>
      <c r="AJ297" s="55">
        <f t="shared" si="372"/>
        <v>4.0241551917247209</v>
      </c>
      <c r="AK297" s="55">
        <f t="shared" si="372"/>
        <v>4.0241551917247209</v>
      </c>
      <c r="AL297" s="55">
        <f t="shared" si="372"/>
        <v>4.0241551917247209</v>
      </c>
      <c r="AM297" s="55">
        <f t="shared" si="372"/>
        <v>4.0241551917247209</v>
      </c>
      <c r="AN297" s="55">
        <f t="shared" si="372"/>
        <v>4.0241551917247209</v>
      </c>
      <c r="AO297" s="55">
        <f t="shared" si="372"/>
        <v>4.0241551917247209</v>
      </c>
      <c r="AP297" s="55">
        <f t="shared" si="372"/>
        <v>4.0241551917247209</v>
      </c>
      <c r="AQ297" s="55">
        <f t="shared" si="372"/>
        <v>4.0241551917247209</v>
      </c>
      <c r="AR297" s="55">
        <f t="shared" si="372"/>
        <v>4.0241551917247209</v>
      </c>
      <c r="AS297" s="55">
        <f t="shared" si="372"/>
        <v>4.0241551917247209</v>
      </c>
      <c r="AT297" s="55">
        <f t="shared" si="372"/>
        <v>4.0241551917247209</v>
      </c>
      <c r="AU297" s="55">
        <f t="shared" si="372"/>
        <v>4.0241551917247209</v>
      </c>
      <c r="AV297" s="55">
        <f t="shared" si="372"/>
        <v>4.0241551917247209</v>
      </c>
      <c r="AW297" s="55">
        <f t="shared" si="372"/>
        <v>4.0241551917247209</v>
      </c>
      <c r="AX297" s="55">
        <f t="shared" si="372"/>
        <v>4.0241551917247209</v>
      </c>
      <c r="AY297" s="55">
        <f t="shared" si="372"/>
        <v>4.0241551917247209</v>
      </c>
      <c r="AZ297" s="55">
        <f t="shared" si="372"/>
        <v>4.0241551917247209</v>
      </c>
      <c r="BA297" s="55">
        <f t="shared" si="372"/>
        <v>4.0241551917247209</v>
      </c>
      <c r="BB297" s="55">
        <f t="shared" si="372"/>
        <v>4.0241551917247209</v>
      </c>
      <c r="BC297" s="55">
        <f t="shared" si="372"/>
        <v>4.0241551917247209</v>
      </c>
      <c r="BD297" s="55">
        <f t="shared" si="372"/>
        <v>4.0241551917247209</v>
      </c>
      <c r="BE297" s="55">
        <f t="shared" si="372"/>
        <v>4.0241551917247209</v>
      </c>
      <c r="BF297" s="55">
        <f t="shared" si="372"/>
        <v>4.0241551917247209</v>
      </c>
      <c r="BG297" s="55">
        <f t="shared" si="372"/>
        <v>4.0241551917247209</v>
      </c>
      <c r="BH297" s="55">
        <f t="shared" si="372"/>
        <v>0</v>
      </c>
      <c r="BI297" s="55">
        <f t="shared" si="372"/>
        <v>0</v>
      </c>
      <c r="BJ297" s="55">
        <f t="shared" si="372"/>
        <v>0</v>
      </c>
    </row>
    <row r="298" spans="1:62" x14ac:dyDescent="0.3">
      <c r="A298" s="53" t="str">
        <f t="shared" si="310"/>
        <v>project 133</v>
      </c>
      <c r="C298" s="55">
        <f t="shared" ref="C298:AH298" si="373">IF(AND(C$127&gt;=$K87,C$127&lt;=$L87),$G87*(1+$H87)^(C$127-$B$5),0)</f>
        <v>0</v>
      </c>
      <c r="D298" s="55">
        <f t="shared" si="373"/>
        <v>0</v>
      </c>
      <c r="E298" s="55">
        <f t="shared" si="373"/>
        <v>0</v>
      </c>
      <c r="F298" s="55">
        <f t="shared" si="373"/>
        <v>0</v>
      </c>
      <c r="G298" s="55">
        <f t="shared" si="373"/>
        <v>0</v>
      </c>
      <c r="H298" s="55">
        <f t="shared" si="373"/>
        <v>0</v>
      </c>
      <c r="I298" s="55">
        <f t="shared" si="373"/>
        <v>0</v>
      </c>
      <c r="J298" s="55">
        <f t="shared" si="373"/>
        <v>0</v>
      </c>
      <c r="K298" s="55">
        <f t="shared" si="373"/>
        <v>0</v>
      </c>
      <c r="L298" s="55">
        <f t="shared" si="373"/>
        <v>0</v>
      </c>
      <c r="M298" s="55">
        <f t="shared" si="373"/>
        <v>0</v>
      </c>
      <c r="N298" s="55">
        <f t="shared" si="373"/>
        <v>0</v>
      </c>
      <c r="O298" s="55">
        <f t="shared" si="373"/>
        <v>0</v>
      </c>
      <c r="P298" s="55">
        <f t="shared" si="373"/>
        <v>0</v>
      </c>
      <c r="Q298" s="55">
        <f t="shared" si="373"/>
        <v>0</v>
      </c>
      <c r="R298" s="55">
        <f t="shared" si="373"/>
        <v>0</v>
      </c>
      <c r="S298" s="55">
        <f t="shared" si="373"/>
        <v>0</v>
      </c>
      <c r="T298" s="55">
        <f t="shared" si="373"/>
        <v>0</v>
      </c>
      <c r="U298" s="55">
        <f t="shared" si="373"/>
        <v>2.610699194211024</v>
      </c>
      <c r="V298" s="55">
        <f t="shared" si="373"/>
        <v>2.610699194211024</v>
      </c>
      <c r="W298" s="55">
        <f t="shared" si="373"/>
        <v>2.610699194211024</v>
      </c>
      <c r="X298" s="55">
        <f t="shared" si="373"/>
        <v>2.610699194211024</v>
      </c>
      <c r="Y298" s="55">
        <f t="shared" si="373"/>
        <v>2.610699194211024</v>
      </c>
      <c r="Z298" s="55">
        <f t="shared" si="373"/>
        <v>2.610699194211024</v>
      </c>
      <c r="AA298" s="55">
        <f t="shared" si="373"/>
        <v>2.610699194211024</v>
      </c>
      <c r="AB298" s="55">
        <f t="shared" si="373"/>
        <v>2.610699194211024</v>
      </c>
      <c r="AC298" s="55">
        <f t="shared" si="373"/>
        <v>2.610699194211024</v>
      </c>
      <c r="AD298" s="55">
        <f t="shared" si="373"/>
        <v>2.610699194211024</v>
      </c>
      <c r="AE298" s="55">
        <f t="shared" si="373"/>
        <v>2.610699194211024</v>
      </c>
      <c r="AF298" s="55">
        <f t="shared" si="373"/>
        <v>2.610699194211024</v>
      </c>
      <c r="AG298" s="55">
        <f t="shared" si="373"/>
        <v>2.610699194211024</v>
      </c>
      <c r="AH298" s="55">
        <f t="shared" si="373"/>
        <v>2.610699194211024</v>
      </c>
      <c r="AI298" s="55">
        <f t="shared" ref="AI298:BJ298" si="374">IF(AND(AI$127&gt;=$K87,AI$127&lt;=$L87),$G87*(1+$H87)^(AI$127-$B$5),0)</f>
        <v>2.610699194211024</v>
      </c>
      <c r="AJ298" s="55">
        <f t="shared" si="374"/>
        <v>2.610699194211024</v>
      </c>
      <c r="AK298" s="55">
        <f t="shared" si="374"/>
        <v>2.610699194211024</v>
      </c>
      <c r="AL298" s="55">
        <f t="shared" si="374"/>
        <v>2.610699194211024</v>
      </c>
      <c r="AM298" s="55">
        <f t="shared" si="374"/>
        <v>2.610699194211024</v>
      </c>
      <c r="AN298" s="55">
        <f t="shared" si="374"/>
        <v>2.610699194211024</v>
      </c>
      <c r="AO298" s="55">
        <f t="shared" si="374"/>
        <v>2.610699194211024</v>
      </c>
      <c r="AP298" s="55">
        <f t="shared" si="374"/>
        <v>2.610699194211024</v>
      </c>
      <c r="AQ298" s="55">
        <f t="shared" si="374"/>
        <v>2.610699194211024</v>
      </c>
      <c r="AR298" s="55">
        <f t="shared" si="374"/>
        <v>2.610699194211024</v>
      </c>
      <c r="AS298" s="55">
        <f t="shared" si="374"/>
        <v>2.610699194211024</v>
      </c>
      <c r="AT298" s="55">
        <f t="shared" si="374"/>
        <v>2.610699194211024</v>
      </c>
      <c r="AU298" s="55">
        <f t="shared" si="374"/>
        <v>2.610699194211024</v>
      </c>
      <c r="AV298" s="55">
        <f t="shared" si="374"/>
        <v>2.610699194211024</v>
      </c>
      <c r="AW298" s="55">
        <f t="shared" si="374"/>
        <v>2.610699194211024</v>
      </c>
      <c r="AX298" s="55">
        <f t="shared" si="374"/>
        <v>2.610699194211024</v>
      </c>
      <c r="AY298" s="55">
        <f t="shared" si="374"/>
        <v>2.610699194211024</v>
      </c>
      <c r="AZ298" s="55">
        <f t="shared" si="374"/>
        <v>2.610699194211024</v>
      </c>
      <c r="BA298" s="55">
        <f t="shared" si="374"/>
        <v>2.610699194211024</v>
      </c>
      <c r="BB298" s="55">
        <f t="shared" si="374"/>
        <v>2.610699194211024</v>
      </c>
      <c r="BC298" s="55">
        <f t="shared" si="374"/>
        <v>2.610699194211024</v>
      </c>
      <c r="BD298" s="55">
        <f t="shared" si="374"/>
        <v>2.610699194211024</v>
      </c>
      <c r="BE298" s="55">
        <f t="shared" si="374"/>
        <v>2.610699194211024</v>
      </c>
      <c r="BF298" s="55">
        <f t="shared" si="374"/>
        <v>2.610699194211024</v>
      </c>
      <c r="BG298" s="55">
        <f t="shared" si="374"/>
        <v>2.610699194211024</v>
      </c>
      <c r="BH298" s="55">
        <f t="shared" si="374"/>
        <v>2.610699194211024</v>
      </c>
      <c r="BI298" s="55">
        <f t="shared" si="374"/>
        <v>0</v>
      </c>
      <c r="BJ298" s="55">
        <f t="shared" si="374"/>
        <v>0</v>
      </c>
    </row>
    <row r="299" spans="1:62" x14ac:dyDescent="0.3">
      <c r="A299" s="53" t="str">
        <f t="shared" ref="A299:A330" si="375">A88</f>
        <v>project 135</v>
      </c>
      <c r="C299" s="55">
        <f t="shared" ref="C299:AH299" si="376">IF(AND(C$127&gt;=$K88,C$127&lt;=$L88),$G88*(1+$H88)^(C$127-$B$5),0)</f>
        <v>0</v>
      </c>
      <c r="D299" s="55">
        <f t="shared" si="376"/>
        <v>0</v>
      </c>
      <c r="E299" s="55">
        <f t="shared" si="376"/>
        <v>0</v>
      </c>
      <c r="F299" s="55">
        <f t="shared" si="376"/>
        <v>0</v>
      </c>
      <c r="G299" s="55">
        <f t="shared" si="376"/>
        <v>0</v>
      </c>
      <c r="H299" s="55">
        <f t="shared" si="376"/>
        <v>0</v>
      </c>
      <c r="I299" s="55">
        <f t="shared" si="376"/>
        <v>0</v>
      </c>
      <c r="J299" s="55">
        <f t="shared" si="376"/>
        <v>0</v>
      </c>
      <c r="K299" s="55">
        <f t="shared" si="376"/>
        <v>0</v>
      </c>
      <c r="L299" s="55">
        <f t="shared" si="376"/>
        <v>0</v>
      </c>
      <c r="M299" s="55">
        <f t="shared" si="376"/>
        <v>0</v>
      </c>
      <c r="N299" s="55">
        <f t="shared" si="376"/>
        <v>0</v>
      </c>
      <c r="O299" s="55">
        <f t="shared" si="376"/>
        <v>0</v>
      </c>
      <c r="P299" s="55">
        <f t="shared" si="376"/>
        <v>0</v>
      </c>
      <c r="Q299" s="55">
        <f t="shared" si="376"/>
        <v>0</v>
      </c>
      <c r="R299" s="55">
        <f t="shared" si="376"/>
        <v>0</v>
      </c>
      <c r="S299" s="55">
        <f t="shared" si="376"/>
        <v>0</v>
      </c>
      <c r="T299" s="55">
        <f t="shared" si="376"/>
        <v>0</v>
      </c>
      <c r="U299" s="55">
        <f t="shared" si="376"/>
        <v>0</v>
      </c>
      <c r="V299" s="55">
        <f t="shared" si="376"/>
        <v>1.8709632301200541</v>
      </c>
      <c r="W299" s="55">
        <f t="shared" si="376"/>
        <v>1.8709632301200541</v>
      </c>
      <c r="X299" s="55">
        <f t="shared" si="376"/>
        <v>1.8709632301200541</v>
      </c>
      <c r="Y299" s="55">
        <f t="shared" si="376"/>
        <v>1.8709632301200541</v>
      </c>
      <c r="Z299" s="55">
        <f t="shared" si="376"/>
        <v>1.8709632301200541</v>
      </c>
      <c r="AA299" s="55">
        <f t="shared" si="376"/>
        <v>1.8709632301200541</v>
      </c>
      <c r="AB299" s="55">
        <f t="shared" si="376"/>
        <v>1.8709632301200541</v>
      </c>
      <c r="AC299" s="55">
        <f t="shared" si="376"/>
        <v>1.8709632301200541</v>
      </c>
      <c r="AD299" s="55">
        <f t="shared" si="376"/>
        <v>1.8709632301200541</v>
      </c>
      <c r="AE299" s="55">
        <f t="shared" si="376"/>
        <v>1.8709632301200541</v>
      </c>
      <c r="AF299" s="55">
        <f t="shared" si="376"/>
        <v>1.8709632301200541</v>
      </c>
      <c r="AG299" s="55">
        <f t="shared" si="376"/>
        <v>1.8709632301200541</v>
      </c>
      <c r="AH299" s="55">
        <f t="shared" si="376"/>
        <v>1.8709632301200541</v>
      </c>
      <c r="AI299" s="55">
        <f t="shared" ref="AI299:BJ299" si="377">IF(AND(AI$127&gt;=$K88,AI$127&lt;=$L88),$G88*(1+$H88)^(AI$127-$B$5),0)</f>
        <v>1.8709632301200541</v>
      </c>
      <c r="AJ299" s="55">
        <f t="shared" si="377"/>
        <v>1.8709632301200541</v>
      </c>
      <c r="AK299" s="55">
        <f t="shared" si="377"/>
        <v>1.8709632301200541</v>
      </c>
      <c r="AL299" s="55">
        <f t="shared" si="377"/>
        <v>1.8709632301200541</v>
      </c>
      <c r="AM299" s="55">
        <f t="shared" si="377"/>
        <v>1.8709632301200541</v>
      </c>
      <c r="AN299" s="55">
        <f t="shared" si="377"/>
        <v>1.8709632301200541</v>
      </c>
      <c r="AO299" s="55">
        <f t="shared" si="377"/>
        <v>1.8709632301200541</v>
      </c>
      <c r="AP299" s="55">
        <f t="shared" si="377"/>
        <v>1.8709632301200541</v>
      </c>
      <c r="AQ299" s="55">
        <f t="shared" si="377"/>
        <v>1.8709632301200541</v>
      </c>
      <c r="AR299" s="55">
        <f t="shared" si="377"/>
        <v>1.8709632301200541</v>
      </c>
      <c r="AS299" s="55">
        <f t="shared" si="377"/>
        <v>1.8709632301200541</v>
      </c>
      <c r="AT299" s="55">
        <f t="shared" si="377"/>
        <v>1.8709632301200541</v>
      </c>
      <c r="AU299" s="55">
        <f t="shared" si="377"/>
        <v>1.8709632301200541</v>
      </c>
      <c r="AV299" s="55">
        <f t="shared" si="377"/>
        <v>1.8709632301200541</v>
      </c>
      <c r="AW299" s="55">
        <f t="shared" si="377"/>
        <v>1.8709632301200541</v>
      </c>
      <c r="AX299" s="55">
        <f t="shared" si="377"/>
        <v>1.8709632301200541</v>
      </c>
      <c r="AY299" s="55">
        <f t="shared" si="377"/>
        <v>1.8709632301200541</v>
      </c>
      <c r="AZ299" s="55">
        <f t="shared" si="377"/>
        <v>1.8709632301200541</v>
      </c>
      <c r="BA299" s="55">
        <f t="shared" si="377"/>
        <v>1.8709632301200541</v>
      </c>
      <c r="BB299" s="55">
        <f t="shared" si="377"/>
        <v>1.8709632301200541</v>
      </c>
      <c r="BC299" s="55">
        <f t="shared" si="377"/>
        <v>1.8709632301200541</v>
      </c>
      <c r="BD299" s="55">
        <f t="shared" si="377"/>
        <v>1.8709632301200541</v>
      </c>
      <c r="BE299" s="55">
        <f t="shared" si="377"/>
        <v>1.8709632301200541</v>
      </c>
      <c r="BF299" s="55">
        <f t="shared" si="377"/>
        <v>1.8709632301200541</v>
      </c>
      <c r="BG299" s="55">
        <f t="shared" si="377"/>
        <v>1.8709632301200541</v>
      </c>
      <c r="BH299" s="55">
        <f t="shared" si="377"/>
        <v>1.8709632301200541</v>
      </c>
      <c r="BI299" s="55">
        <f t="shared" si="377"/>
        <v>1.8709632301200541</v>
      </c>
      <c r="BJ299" s="55">
        <f t="shared" si="377"/>
        <v>0</v>
      </c>
    </row>
    <row r="300" spans="1:62" x14ac:dyDescent="0.3">
      <c r="A300" s="53" t="str">
        <f t="shared" si="375"/>
        <v>project 137</v>
      </c>
      <c r="C300" s="55">
        <f t="shared" ref="C300:AH300" si="378">IF(AND(C$127&gt;=$K89,C$127&lt;=$L89),$G89*(1+$H89)^(C$127-$B$5),0)</f>
        <v>0</v>
      </c>
      <c r="D300" s="55">
        <f t="shared" si="378"/>
        <v>0</v>
      </c>
      <c r="E300" s="55">
        <f t="shared" si="378"/>
        <v>0</v>
      </c>
      <c r="F300" s="55">
        <f t="shared" si="378"/>
        <v>0</v>
      </c>
      <c r="G300" s="55">
        <f t="shared" si="378"/>
        <v>0</v>
      </c>
      <c r="H300" s="55">
        <f t="shared" si="378"/>
        <v>0</v>
      </c>
      <c r="I300" s="55">
        <f t="shared" si="378"/>
        <v>5.0433154943691987</v>
      </c>
      <c r="J300" s="55">
        <f t="shared" si="378"/>
        <v>5.0433154943691987</v>
      </c>
      <c r="K300" s="55">
        <f t="shared" si="378"/>
        <v>5.0433154943691987</v>
      </c>
      <c r="L300" s="55">
        <f t="shared" si="378"/>
        <v>5.0433154943691987</v>
      </c>
      <c r="M300" s="55">
        <f t="shared" si="378"/>
        <v>5.0433154943691987</v>
      </c>
      <c r="N300" s="55">
        <f t="shared" si="378"/>
        <v>5.0433154943691987</v>
      </c>
      <c r="O300" s="55">
        <f t="shared" si="378"/>
        <v>5.0433154943691987</v>
      </c>
      <c r="P300" s="55">
        <f t="shared" si="378"/>
        <v>5.0433154943691987</v>
      </c>
      <c r="Q300" s="55">
        <f t="shared" si="378"/>
        <v>5.0433154943691987</v>
      </c>
      <c r="R300" s="55">
        <f t="shared" si="378"/>
        <v>5.0433154943691987</v>
      </c>
      <c r="S300" s="55">
        <f t="shared" si="378"/>
        <v>5.0433154943691987</v>
      </c>
      <c r="T300" s="55">
        <f t="shared" si="378"/>
        <v>5.0433154943691987</v>
      </c>
      <c r="U300" s="55">
        <f t="shared" si="378"/>
        <v>5.0433154943691987</v>
      </c>
      <c r="V300" s="55">
        <f t="shared" si="378"/>
        <v>5.0433154943691987</v>
      </c>
      <c r="W300" s="55">
        <f t="shared" si="378"/>
        <v>5.0433154943691987</v>
      </c>
      <c r="X300" s="55">
        <f t="shared" si="378"/>
        <v>5.0433154943691987</v>
      </c>
      <c r="Y300" s="55">
        <f t="shared" si="378"/>
        <v>5.0433154943691987</v>
      </c>
      <c r="Z300" s="55">
        <f t="shared" si="378"/>
        <v>5.0433154943691987</v>
      </c>
      <c r="AA300" s="55">
        <f t="shared" si="378"/>
        <v>5.0433154943691987</v>
      </c>
      <c r="AB300" s="55">
        <f t="shared" si="378"/>
        <v>5.0433154943691987</v>
      </c>
      <c r="AC300" s="55">
        <f t="shared" si="378"/>
        <v>5.0433154943691987</v>
      </c>
      <c r="AD300" s="55">
        <f t="shared" si="378"/>
        <v>5.0433154943691987</v>
      </c>
      <c r="AE300" s="55">
        <f t="shared" si="378"/>
        <v>5.0433154943691987</v>
      </c>
      <c r="AF300" s="55">
        <f t="shared" si="378"/>
        <v>5.0433154943691987</v>
      </c>
      <c r="AG300" s="55">
        <f t="shared" si="378"/>
        <v>5.0433154943691987</v>
      </c>
      <c r="AH300" s="55">
        <f t="shared" si="378"/>
        <v>5.0433154943691987</v>
      </c>
      <c r="AI300" s="55">
        <f t="shared" ref="AI300:BJ300" si="379">IF(AND(AI$127&gt;=$K89,AI$127&lt;=$L89),$G89*(1+$H89)^(AI$127-$B$5),0)</f>
        <v>5.0433154943691987</v>
      </c>
      <c r="AJ300" s="55">
        <f t="shared" si="379"/>
        <v>5.0433154943691987</v>
      </c>
      <c r="AK300" s="55">
        <f t="shared" si="379"/>
        <v>5.0433154943691987</v>
      </c>
      <c r="AL300" s="55">
        <f t="shared" si="379"/>
        <v>5.0433154943691987</v>
      </c>
      <c r="AM300" s="55">
        <f t="shared" si="379"/>
        <v>5.0433154943691987</v>
      </c>
      <c r="AN300" s="55">
        <f t="shared" si="379"/>
        <v>5.0433154943691987</v>
      </c>
      <c r="AO300" s="55">
        <f t="shared" si="379"/>
        <v>5.0433154943691987</v>
      </c>
      <c r="AP300" s="55">
        <f t="shared" si="379"/>
        <v>5.0433154943691987</v>
      </c>
      <c r="AQ300" s="55">
        <f t="shared" si="379"/>
        <v>5.0433154943691987</v>
      </c>
      <c r="AR300" s="55">
        <f t="shared" si="379"/>
        <v>5.0433154943691987</v>
      </c>
      <c r="AS300" s="55">
        <f t="shared" si="379"/>
        <v>5.0433154943691987</v>
      </c>
      <c r="AT300" s="55">
        <f t="shared" si="379"/>
        <v>5.0433154943691987</v>
      </c>
      <c r="AU300" s="55">
        <f t="shared" si="379"/>
        <v>5.0433154943691987</v>
      </c>
      <c r="AV300" s="55">
        <f t="shared" si="379"/>
        <v>5.0433154943691987</v>
      </c>
      <c r="AW300" s="55">
        <f t="shared" si="379"/>
        <v>0</v>
      </c>
      <c r="AX300" s="55">
        <f t="shared" si="379"/>
        <v>0</v>
      </c>
      <c r="AY300" s="55">
        <f t="shared" si="379"/>
        <v>0</v>
      </c>
      <c r="AZ300" s="55">
        <f t="shared" si="379"/>
        <v>0</v>
      </c>
      <c r="BA300" s="55">
        <f t="shared" si="379"/>
        <v>0</v>
      </c>
      <c r="BB300" s="55">
        <f t="shared" si="379"/>
        <v>0</v>
      </c>
      <c r="BC300" s="55">
        <f t="shared" si="379"/>
        <v>0</v>
      </c>
      <c r="BD300" s="55">
        <f t="shared" si="379"/>
        <v>0</v>
      </c>
      <c r="BE300" s="55">
        <f t="shared" si="379"/>
        <v>0</v>
      </c>
      <c r="BF300" s="55">
        <f t="shared" si="379"/>
        <v>0</v>
      </c>
      <c r="BG300" s="55">
        <f t="shared" si="379"/>
        <v>0</v>
      </c>
      <c r="BH300" s="55">
        <f t="shared" si="379"/>
        <v>0</v>
      </c>
      <c r="BI300" s="55">
        <f t="shared" si="379"/>
        <v>0</v>
      </c>
      <c r="BJ300" s="55">
        <f t="shared" si="379"/>
        <v>0</v>
      </c>
    </row>
    <row r="301" spans="1:62" x14ac:dyDescent="0.3">
      <c r="A301" s="53" t="str">
        <f t="shared" si="375"/>
        <v>project 142</v>
      </c>
      <c r="C301" s="55">
        <f t="shared" ref="C301:AH301" si="380">IF(AND(C$127&gt;=$K90,C$127&lt;=$L90),$G90*(1+$H90)^(C$127-$B$5),0)</f>
        <v>0</v>
      </c>
      <c r="D301" s="55">
        <f t="shared" si="380"/>
        <v>0</v>
      </c>
      <c r="E301" s="55">
        <f t="shared" si="380"/>
        <v>0</v>
      </c>
      <c r="F301" s="55">
        <f t="shared" si="380"/>
        <v>0</v>
      </c>
      <c r="G301" s="55">
        <f t="shared" si="380"/>
        <v>0</v>
      </c>
      <c r="H301" s="55">
        <f t="shared" si="380"/>
        <v>0</v>
      </c>
      <c r="I301" s="55">
        <f t="shared" si="380"/>
        <v>0</v>
      </c>
      <c r="J301" s="55">
        <f t="shared" si="380"/>
        <v>0</v>
      </c>
      <c r="K301" s="55">
        <f t="shared" si="380"/>
        <v>0</v>
      </c>
      <c r="L301" s="55">
        <f t="shared" si="380"/>
        <v>0</v>
      </c>
      <c r="M301" s="55">
        <f t="shared" si="380"/>
        <v>0</v>
      </c>
      <c r="N301" s="55">
        <f t="shared" si="380"/>
        <v>0</v>
      </c>
      <c r="O301" s="55">
        <f t="shared" si="380"/>
        <v>0</v>
      </c>
      <c r="P301" s="55">
        <f t="shared" si="380"/>
        <v>0</v>
      </c>
      <c r="Q301" s="55">
        <f t="shared" si="380"/>
        <v>0</v>
      </c>
      <c r="R301" s="55">
        <f t="shared" si="380"/>
        <v>0</v>
      </c>
      <c r="S301" s="55">
        <f t="shared" si="380"/>
        <v>0</v>
      </c>
      <c r="T301" s="55">
        <f t="shared" si="380"/>
        <v>0</v>
      </c>
      <c r="U301" s="55">
        <f t="shared" si="380"/>
        <v>1.3889306744452981</v>
      </c>
      <c r="V301" s="55">
        <f t="shared" si="380"/>
        <v>1.3889306744452981</v>
      </c>
      <c r="W301" s="55">
        <f t="shared" si="380"/>
        <v>1.3889306744452981</v>
      </c>
      <c r="X301" s="55">
        <f t="shared" si="380"/>
        <v>1.3889306744452981</v>
      </c>
      <c r="Y301" s="55">
        <f t="shared" si="380"/>
        <v>1.3889306744452981</v>
      </c>
      <c r="Z301" s="55">
        <f t="shared" si="380"/>
        <v>1.3889306744452981</v>
      </c>
      <c r="AA301" s="55">
        <f t="shared" si="380"/>
        <v>1.3889306744452981</v>
      </c>
      <c r="AB301" s="55">
        <f t="shared" si="380"/>
        <v>1.3889306744452981</v>
      </c>
      <c r="AC301" s="55">
        <f t="shared" si="380"/>
        <v>1.3889306744452981</v>
      </c>
      <c r="AD301" s="55">
        <f t="shared" si="380"/>
        <v>1.3889306744452981</v>
      </c>
      <c r="AE301" s="55">
        <f t="shared" si="380"/>
        <v>1.3889306744452981</v>
      </c>
      <c r="AF301" s="55">
        <f t="shared" si="380"/>
        <v>1.3889306744452981</v>
      </c>
      <c r="AG301" s="55">
        <f t="shared" si="380"/>
        <v>1.3889306744452981</v>
      </c>
      <c r="AH301" s="55">
        <f t="shared" si="380"/>
        <v>1.3889306744452981</v>
      </c>
      <c r="AI301" s="55">
        <f t="shared" ref="AI301:BJ301" si="381">IF(AND(AI$127&gt;=$K90,AI$127&lt;=$L90),$G90*(1+$H90)^(AI$127-$B$5),0)</f>
        <v>1.3889306744452981</v>
      </c>
      <c r="AJ301" s="55">
        <f t="shared" si="381"/>
        <v>1.3889306744452981</v>
      </c>
      <c r="AK301" s="55">
        <f t="shared" si="381"/>
        <v>1.3889306744452981</v>
      </c>
      <c r="AL301" s="55">
        <f t="shared" si="381"/>
        <v>1.3889306744452981</v>
      </c>
      <c r="AM301" s="55">
        <f t="shared" si="381"/>
        <v>1.3889306744452981</v>
      </c>
      <c r="AN301" s="55">
        <f t="shared" si="381"/>
        <v>1.3889306744452981</v>
      </c>
      <c r="AO301" s="55">
        <f t="shared" si="381"/>
        <v>1.3889306744452981</v>
      </c>
      <c r="AP301" s="55">
        <f t="shared" si="381"/>
        <v>1.3889306744452981</v>
      </c>
      <c r="AQ301" s="55">
        <f t="shared" si="381"/>
        <v>1.3889306744452981</v>
      </c>
      <c r="AR301" s="55">
        <f t="shared" si="381"/>
        <v>1.3889306744452981</v>
      </c>
      <c r="AS301" s="55">
        <f t="shared" si="381"/>
        <v>1.3889306744452981</v>
      </c>
      <c r="AT301" s="55">
        <f t="shared" si="381"/>
        <v>1.3889306744452981</v>
      </c>
      <c r="AU301" s="55">
        <f t="shared" si="381"/>
        <v>1.3889306744452981</v>
      </c>
      <c r="AV301" s="55">
        <f t="shared" si="381"/>
        <v>1.3889306744452981</v>
      </c>
      <c r="AW301" s="55">
        <f t="shared" si="381"/>
        <v>1.3889306744452981</v>
      </c>
      <c r="AX301" s="55">
        <f t="shared" si="381"/>
        <v>1.3889306744452981</v>
      </c>
      <c r="AY301" s="55">
        <f t="shared" si="381"/>
        <v>1.3889306744452981</v>
      </c>
      <c r="AZ301" s="55">
        <f t="shared" si="381"/>
        <v>1.3889306744452981</v>
      </c>
      <c r="BA301" s="55">
        <f t="shared" si="381"/>
        <v>1.3889306744452981</v>
      </c>
      <c r="BB301" s="55">
        <f t="shared" si="381"/>
        <v>1.3889306744452981</v>
      </c>
      <c r="BC301" s="55">
        <f t="shared" si="381"/>
        <v>1.3889306744452981</v>
      </c>
      <c r="BD301" s="55">
        <f t="shared" si="381"/>
        <v>1.3889306744452981</v>
      </c>
      <c r="BE301" s="55">
        <f t="shared" si="381"/>
        <v>1.3889306744452981</v>
      </c>
      <c r="BF301" s="55">
        <f t="shared" si="381"/>
        <v>1.3889306744452981</v>
      </c>
      <c r="BG301" s="55">
        <f t="shared" si="381"/>
        <v>1.3889306744452981</v>
      </c>
      <c r="BH301" s="55">
        <f t="shared" si="381"/>
        <v>1.3889306744452981</v>
      </c>
      <c r="BI301" s="55">
        <f t="shared" si="381"/>
        <v>0</v>
      </c>
      <c r="BJ301" s="55">
        <f t="shared" si="381"/>
        <v>0</v>
      </c>
    </row>
    <row r="302" spans="1:62" x14ac:dyDescent="0.3">
      <c r="A302" s="53" t="str">
        <f t="shared" si="375"/>
        <v>project 144</v>
      </c>
      <c r="C302" s="55">
        <f t="shared" ref="C302:AH302" si="382">IF(AND(C$127&gt;=$K91,C$127&lt;=$L91),$G91*(1+$H91)^(C$127-$B$5),0)</f>
        <v>0</v>
      </c>
      <c r="D302" s="55">
        <f t="shared" si="382"/>
        <v>0</v>
      </c>
      <c r="E302" s="55">
        <f t="shared" si="382"/>
        <v>0</v>
      </c>
      <c r="F302" s="55">
        <f t="shared" si="382"/>
        <v>0</v>
      </c>
      <c r="G302" s="55">
        <f t="shared" si="382"/>
        <v>0</v>
      </c>
      <c r="H302" s="55">
        <f t="shared" si="382"/>
        <v>0</v>
      </c>
      <c r="I302" s="55">
        <f t="shared" si="382"/>
        <v>2.540766236271681</v>
      </c>
      <c r="J302" s="55">
        <f t="shared" si="382"/>
        <v>2.540766236271681</v>
      </c>
      <c r="K302" s="55">
        <f t="shared" si="382"/>
        <v>2.540766236271681</v>
      </c>
      <c r="L302" s="55">
        <f t="shared" si="382"/>
        <v>2.540766236271681</v>
      </c>
      <c r="M302" s="55">
        <f t="shared" si="382"/>
        <v>2.540766236271681</v>
      </c>
      <c r="N302" s="55">
        <f t="shared" si="382"/>
        <v>2.540766236271681</v>
      </c>
      <c r="O302" s="55">
        <f t="shared" si="382"/>
        <v>2.540766236271681</v>
      </c>
      <c r="P302" s="55">
        <f t="shared" si="382"/>
        <v>2.540766236271681</v>
      </c>
      <c r="Q302" s="55">
        <f t="shared" si="382"/>
        <v>2.540766236271681</v>
      </c>
      <c r="R302" s="55">
        <f t="shared" si="382"/>
        <v>2.540766236271681</v>
      </c>
      <c r="S302" s="55">
        <f t="shared" si="382"/>
        <v>2.540766236271681</v>
      </c>
      <c r="T302" s="55">
        <f t="shared" si="382"/>
        <v>2.540766236271681</v>
      </c>
      <c r="U302" s="55">
        <f t="shared" si="382"/>
        <v>2.540766236271681</v>
      </c>
      <c r="V302" s="55">
        <f t="shared" si="382"/>
        <v>2.540766236271681</v>
      </c>
      <c r="W302" s="55">
        <f t="shared" si="382"/>
        <v>2.540766236271681</v>
      </c>
      <c r="X302" s="55">
        <f t="shared" si="382"/>
        <v>2.540766236271681</v>
      </c>
      <c r="Y302" s="55">
        <f t="shared" si="382"/>
        <v>2.540766236271681</v>
      </c>
      <c r="Z302" s="55">
        <f t="shared" si="382"/>
        <v>2.540766236271681</v>
      </c>
      <c r="AA302" s="55">
        <f t="shared" si="382"/>
        <v>2.540766236271681</v>
      </c>
      <c r="AB302" s="55">
        <f t="shared" si="382"/>
        <v>2.540766236271681</v>
      </c>
      <c r="AC302" s="55">
        <f t="shared" si="382"/>
        <v>2.540766236271681</v>
      </c>
      <c r="AD302" s="55">
        <f t="shared" si="382"/>
        <v>2.540766236271681</v>
      </c>
      <c r="AE302" s="55">
        <f t="shared" si="382"/>
        <v>2.540766236271681</v>
      </c>
      <c r="AF302" s="55">
        <f t="shared" si="382"/>
        <v>2.540766236271681</v>
      </c>
      <c r="AG302" s="55">
        <f t="shared" si="382"/>
        <v>2.540766236271681</v>
      </c>
      <c r="AH302" s="55">
        <f t="shared" si="382"/>
        <v>2.540766236271681</v>
      </c>
      <c r="AI302" s="55">
        <f t="shared" ref="AI302:BJ302" si="383">IF(AND(AI$127&gt;=$K91,AI$127&lt;=$L91),$G91*(1+$H91)^(AI$127-$B$5),0)</f>
        <v>2.540766236271681</v>
      </c>
      <c r="AJ302" s="55">
        <f t="shared" si="383"/>
        <v>2.540766236271681</v>
      </c>
      <c r="AK302" s="55">
        <f t="shared" si="383"/>
        <v>2.540766236271681</v>
      </c>
      <c r="AL302" s="55">
        <f t="shared" si="383"/>
        <v>2.540766236271681</v>
      </c>
      <c r="AM302" s="55">
        <f t="shared" si="383"/>
        <v>2.540766236271681</v>
      </c>
      <c r="AN302" s="55">
        <f t="shared" si="383"/>
        <v>2.540766236271681</v>
      </c>
      <c r="AO302" s="55">
        <f t="shared" si="383"/>
        <v>2.540766236271681</v>
      </c>
      <c r="AP302" s="55">
        <f t="shared" si="383"/>
        <v>2.540766236271681</v>
      </c>
      <c r="AQ302" s="55">
        <f t="shared" si="383"/>
        <v>2.540766236271681</v>
      </c>
      <c r="AR302" s="55">
        <f t="shared" si="383"/>
        <v>2.540766236271681</v>
      </c>
      <c r="AS302" s="55">
        <f t="shared" si="383"/>
        <v>2.540766236271681</v>
      </c>
      <c r="AT302" s="55">
        <f t="shared" si="383"/>
        <v>2.540766236271681</v>
      </c>
      <c r="AU302" s="55">
        <f t="shared" si="383"/>
        <v>2.540766236271681</v>
      </c>
      <c r="AV302" s="55">
        <f t="shared" si="383"/>
        <v>2.540766236271681</v>
      </c>
      <c r="AW302" s="55">
        <f t="shared" si="383"/>
        <v>0</v>
      </c>
      <c r="AX302" s="55">
        <f t="shared" si="383"/>
        <v>0</v>
      </c>
      <c r="AY302" s="55">
        <f t="shared" si="383"/>
        <v>0</v>
      </c>
      <c r="AZ302" s="55">
        <f t="shared" si="383"/>
        <v>0</v>
      </c>
      <c r="BA302" s="55">
        <f t="shared" si="383"/>
        <v>0</v>
      </c>
      <c r="BB302" s="55">
        <f t="shared" si="383"/>
        <v>0</v>
      </c>
      <c r="BC302" s="55">
        <f t="shared" si="383"/>
        <v>0</v>
      </c>
      <c r="BD302" s="55">
        <f t="shared" si="383"/>
        <v>0</v>
      </c>
      <c r="BE302" s="55">
        <f t="shared" si="383"/>
        <v>0</v>
      </c>
      <c r="BF302" s="55">
        <f t="shared" si="383"/>
        <v>0</v>
      </c>
      <c r="BG302" s="55">
        <f t="shared" si="383"/>
        <v>0</v>
      </c>
      <c r="BH302" s="55">
        <f t="shared" si="383"/>
        <v>0</v>
      </c>
      <c r="BI302" s="55">
        <f t="shared" si="383"/>
        <v>0</v>
      </c>
      <c r="BJ302" s="55">
        <f t="shared" si="383"/>
        <v>0</v>
      </c>
    </row>
    <row r="303" spans="1:62" x14ac:dyDescent="0.3">
      <c r="A303" s="53" t="str">
        <f t="shared" si="375"/>
        <v>project 145</v>
      </c>
      <c r="C303" s="55">
        <f t="shared" ref="C303:AH303" si="384">IF(AND(C$127&gt;=$K92,C$127&lt;=$L92),$G92*(1+$H92)^(C$127-$B$5),0)</f>
        <v>0</v>
      </c>
      <c r="D303" s="55">
        <f t="shared" si="384"/>
        <v>0</v>
      </c>
      <c r="E303" s="55">
        <f t="shared" si="384"/>
        <v>0</v>
      </c>
      <c r="F303" s="55">
        <f t="shared" si="384"/>
        <v>0</v>
      </c>
      <c r="G303" s="55">
        <f t="shared" si="384"/>
        <v>0</v>
      </c>
      <c r="H303" s="55">
        <f t="shared" si="384"/>
        <v>0</v>
      </c>
      <c r="I303" s="55">
        <f t="shared" si="384"/>
        <v>0</v>
      </c>
      <c r="J303" s="55">
        <f t="shared" si="384"/>
        <v>0</v>
      </c>
      <c r="K303" s="55">
        <f t="shared" si="384"/>
        <v>0</v>
      </c>
      <c r="L303" s="55">
        <f t="shared" si="384"/>
        <v>0</v>
      </c>
      <c r="M303" s="55">
        <f t="shared" si="384"/>
        <v>0</v>
      </c>
      <c r="N303" s="55">
        <f t="shared" si="384"/>
        <v>0</v>
      </c>
      <c r="O303" s="55">
        <f t="shared" si="384"/>
        <v>0</v>
      </c>
      <c r="P303" s="55">
        <f t="shared" si="384"/>
        <v>0</v>
      </c>
      <c r="Q303" s="55">
        <f t="shared" si="384"/>
        <v>0</v>
      </c>
      <c r="R303" s="55">
        <f t="shared" si="384"/>
        <v>0</v>
      </c>
      <c r="S303" s="55">
        <f t="shared" si="384"/>
        <v>0</v>
      </c>
      <c r="T303" s="55">
        <f t="shared" si="384"/>
        <v>0</v>
      </c>
      <c r="U303" s="55">
        <f t="shared" si="384"/>
        <v>1.0042554293563959</v>
      </c>
      <c r="V303" s="55">
        <f t="shared" si="384"/>
        <v>1.0042554293563959</v>
      </c>
      <c r="W303" s="55">
        <f t="shared" si="384"/>
        <v>1.0042554293563959</v>
      </c>
      <c r="X303" s="55">
        <f t="shared" si="384"/>
        <v>1.0042554293563959</v>
      </c>
      <c r="Y303" s="55">
        <f t="shared" si="384"/>
        <v>1.0042554293563959</v>
      </c>
      <c r="Z303" s="55">
        <f t="shared" si="384"/>
        <v>1.0042554293563959</v>
      </c>
      <c r="AA303" s="55">
        <f t="shared" si="384"/>
        <v>1.0042554293563959</v>
      </c>
      <c r="AB303" s="55">
        <f t="shared" si="384"/>
        <v>1.0042554293563959</v>
      </c>
      <c r="AC303" s="55">
        <f t="shared" si="384"/>
        <v>1.0042554293563959</v>
      </c>
      <c r="AD303" s="55">
        <f t="shared" si="384"/>
        <v>1.0042554293563959</v>
      </c>
      <c r="AE303" s="55">
        <f t="shared" si="384"/>
        <v>1.0042554293563959</v>
      </c>
      <c r="AF303" s="55">
        <f t="shared" si="384"/>
        <v>1.0042554293563959</v>
      </c>
      <c r="AG303" s="55">
        <f t="shared" si="384"/>
        <v>1.0042554293563959</v>
      </c>
      <c r="AH303" s="55">
        <f t="shared" si="384"/>
        <v>1.0042554293563959</v>
      </c>
      <c r="AI303" s="55">
        <f t="shared" ref="AI303:BJ303" si="385">IF(AND(AI$127&gt;=$K92,AI$127&lt;=$L92),$G92*(1+$H92)^(AI$127-$B$5),0)</f>
        <v>1.0042554293563959</v>
      </c>
      <c r="AJ303" s="55">
        <f t="shared" si="385"/>
        <v>1.0042554293563959</v>
      </c>
      <c r="AK303" s="55">
        <f t="shared" si="385"/>
        <v>1.0042554293563959</v>
      </c>
      <c r="AL303" s="55">
        <f t="shared" si="385"/>
        <v>1.0042554293563959</v>
      </c>
      <c r="AM303" s="55">
        <f t="shared" si="385"/>
        <v>1.0042554293563959</v>
      </c>
      <c r="AN303" s="55">
        <f t="shared" si="385"/>
        <v>1.0042554293563959</v>
      </c>
      <c r="AO303" s="55">
        <f t="shared" si="385"/>
        <v>1.0042554293563959</v>
      </c>
      <c r="AP303" s="55">
        <f t="shared" si="385"/>
        <v>1.0042554293563959</v>
      </c>
      <c r="AQ303" s="55">
        <f t="shared" si="385"/>
        <v>1.0042554293563959</v>
      </c>
      <c r="AR303" s="55">
        <f t="shared" si="385"/>
        <v>1.0042554293563959</v>
      </c>
      <c r="AS303" s="55">
        <f t="shared" si="385"/>
        <v>1.0042554293563959</v>
      </c>
      <c r="AT303" s="55">
        <f t="shared" si="385"/>
        <v>1.0042554293563959</v>
      </c>
      <c r="AU303" s="55">
        <f t="shared" si="385"/>
        <v>1.0042554293563959</v>
      </c>
      <c r="AV303" s="55">
        <f t="shared" si="385"/>
        <v>1.0042554293563959</v>
      </c>
      <c r="AW303" s="55">
        <f t="shared" si="385"/>
        <v>1.0042554293563959</v>
      </c>
      <c r="AX303" s="55">
        <f t="shared" si="385"/>
        <v>1.0042554293563959</v>
      </c>
      <c r="AY303" s="55">
        <f t="shared" si="385"/>
        <v>1.0042554293563959</v>
      </c>
      <c r="AZ303" s="55">
        <f t="shared" si="385"/>
        <v>1.0042554293563959</v>
      </c>
      <c r="BA303" s="55">
        <f t="shared" si="385"/>
        <v>1.0042554293563959</v>
      </c>
      <c r="BB303" s="55">
        <f t="shared" si="385"/>
        <v>1.0042554293563959</v>
      </c>
      <c r="BC303" s="55">
        <f t="shared" si="385"/>
        <v>1.0042554293563959</v>
      </c>
      <c r="BD303" s="55">
        <f t="shared" si="385"/>
        <v>1.0042554293563959</v>
      </c>
      <c r="BE303" s="55">
        <f t="shared" si="385"/>
        <v>1.0042554293563959</v>
      </c>
      <c r="BF303" s="55">
        <f t="shared" si="385"/>
        <v>1.0042554293563959</v>
      </c>
      <c r="BG303" s="55">
        <f t="shared" si="385"/>
        <v>1.0042554293563959</v>
      </c>
      <c r="BH303" s="55">
        <f t="shared" si="385"/>
        <v>1.0042554293563959</v>
      </c>
      <c r="BI303" s="55">
        <f t="shared" si="385"/>
        <v>0</v>
      </c>
      <c r="BJ303" s="55">
        <f t="shared" si="385"/>
        <v>0</v>
      </c>
    </row>
    <row r="304" spans="1:62" x14ac:dyDescent="0.3">
      <c r="A304" s="53" t="str">
        <f t="shared" si="375"/>
        <v>project 146</v>
      </c>
      <c r="C304" s="55">
        <f t="shared" ref="C304:AH304" si="386">IF(AND(C$127&gt;=$K93,C$127&lt;=$L93),$G93*(1+$H93)^(C$127-$B$5),0)</f>
        <v>0</v>
      </c>
      <c r="D304" s="55">
        <f t="shared" si="386"/>
        <v>0</v>
      </c>
      <c r="E304" s="55">
        <f t="shared" si="386"/>
        <v>0</v>
      </c>
      <c r="F304" s="55">
        <f t="shared" si="386"/>
        <v>0</v>
      </c>
      <c r="G304" s="55">
        <f t="shared" si="386"/>
        <v>0</v>
      </c>
      <c r="H304" s="55">
        <f t="shared" si="386"/>
        <v>0</v>
      </c>
      <c r="I304" s="55">
        <f t="shared" si="386"/>
        <v>0</v>
      </c>
      <c r="J304" s="55">
        <f t="shared" si="386"/>
        <v>0</v>
      </c>
      <c r="K304" s="55">
        <f t="shared" si="386"/>
        <v>0</v>
      </c>
      <c r="L304" s="55">
        <f t="shared" si="386"/>
        <v>0</v>
      </c>
      <c r="M304" s="55">
        <f t="shared" si="386"/>
        <v>0</v>
      </c>
      <c r="N304" s="55">
        <f t="shared" si="386"/>
        <v>0</v>
      </c>
      <c r="O304" s="55">
        <f t="shared" si="386"/>
        <v>0</v>
      </c>
      <c r="P304" s="55">
        <f t="shared" si="386"/>
        <v>0</v>
      </c>
      <c r="Q304" s="55">
        <f t="shared" si="386"/>
        <v>0</v>
      </c>
      <c r="R304" s="55">
        <f t="shared" si="386"/>
        <v>0</v>
      </c>
      <c r="S304" s="55">
        <f t="shared" si="386"/>
        <v>0</v>
      </c>
      <c r="T304" s="55">
        <f t="shared" si="386"/>
        <v>0</v>
      </c>
      <c r="U304" s="55">
        <f t="shared" si="386"/>
        <v>0</v>
      </c>
      <c r="V304" s="55">
        <f t="shared" si="386"/>
        <v>1.1308889094869781</v>
      </c>
      <c r="W304" s="55">
        <f t="shared" si="386"/>
        <v>1.1308889094869781</v>
      </c>
      <c r="X304" s="55">
        <f t="shared" si="386"/>
        <v>1.1308889094869781</v>
      </c>
      <c r="Y304" s="55">
        <f t="shared" si="386"/>
        <v>1.1308889094869781</v>
      </c>
      <c r="Z304" s="55">
        <f t="shared" si="386"/>
        <v>1.1308889094869781</v>
      </c>
      <c r="AA304" s="55">
        <f t="shared" si="386"/>
        <v>1.1308889094869781</v>
      </c>
      <c r="AB304" s="55">
        <f t="shared" si="386"/>
        <v>1.1308889094869781</v>
      </c>
      <c r="AC304" s="55">
        <f t="shared" si="386"/>
        <v>1.1308889094869781</v>
      </c>
      <c r="AD304" s="55">
        <f t="shared" si="386"/>
        <v>1.1308889094869781</v>
      </c>
      <c r="AE304" s="55">
        <f t="shared" si="386"/>
        <v>1.1308889094869781</v>
      </c>
      <c r="AF304" s="55">
        <f t="shared" si="386"/>
        <v>1.1308889094869781</v>
      </c>
      <c r="AG304" s="55">
        <f t="shared" si="386"/>
        <v>1.1308889094869781</v>
      </c>
      <c r="AH304" s="55">
        <f t="shared" si="386"/>
        <v>1.1308889094869781</v>
      </c>
      <c r="AI304" s="55">
        <f t="shared" ref="AI304:BJ304" si="387">IF(AND(AI$127&gt;=$K93,AI$127&lt;=$L93),$G93*(1+$H93)^(AI$127-$B$5),0)</f>
        <v>1.1308889094869781</v>
      </c>
      <c r="AJ304" s="55">
        <f t="shared" si="387"/>
        <v>1.1308889094869781</v>
      </c>
      <c r="AK304" s="55">
        <f t="shared" si="387"/>
        <v>1.1308889094869781</v>
      </c>
      <c r="AL304" s="55">
        <f t="shared" si="387"/>
        <v>1.1308889094869781</v>
      </c>
      <c r="AM304" s="55">
        <f t="shared" si="387"/>
        <v>1.1308889094869781</v>
      </c>
      <c r="AN304" s="55">
        <f t="shared" si="387"/>
        <v>1.1308889094869781</v>
      </c>
      <c r="AO304" s="55">
        <f t="shared" si="387"/>
        <v>1.1308889094869781</v>
      </c>
      <c r="AP304" s="55">
        <f t="shared" si="387"/>
        <v>1.1308889094869781</v>
      </c>
      <c r="AQ304" s="55">
        <f t="shared" si="387"/>
        <v>1.1308889094869781</v>
      </c>
      <c r="AR304" s="55">
        <f t="shared" si="387"/>
        <v>1.1308889094869781</v>
      </c>
      <c r="AS304" s="55">
        <f t="shared" si="387"/>
        <v>1.1308889094869781</v>
      </c>
      <c r="AT304" s="55">
        <f t="shared" si="387"/>
        <v>1.1308889094869781</v>
      </c>
      <c r="AU304" s="55">
        <f t="shared" si="387"/>
        <v>1.1308889094869781</v>
      </c>
      <c r="AV304" s="55">
        <f t="shared" si="387"/>
        <v>1.1308889094869781</v>
      </c>
      <c r="AW304" s="55">
        <f t="shared" si="387"/>
        <v>1.1308889094869781</v>
      </c>
      <c r="AX304" s="55">
        <f t="shared" si="387"/>
        <v>1.1308889094869781</v>
      </c>
      <c r="AY304" s="55">
        <f t="shared" si="387"/>
        <v>1.1308889094869781</v>
      </c>
      <c r="AZ304" s="55">
        <f t="shared" si="387"/>
        <v>1.1308889094869781</v>
      </c>
      <c r="BA304" s="55">
        <f t="shared" si="387"/>
        <v>1.1308889094869781</v>
      </c>
      <c r="BB304" s="55">
        <f t="shared" si="387"/>
        <v>1.1308889094869781</v>
      </c>
      <c r="BC304" s="55">
        <f t="shared" si="387"/>
        <v>1.1308889094869781</v>
      </c>
      <c r="BD304" s="55">
        <f t="shared" si="387"/>
        <v>1.1308889094869781</v>
      </c>
      <c r="BE304" s="55">
        <f t="shared" si="387"/>
        <v>1.1308889094869781</v>
      </c>
      <c r="BF304" s="55">
        <f t="shared" si="387"/>
        <v>1.1308889094869781</v>
      </c>
      <c r="BG304" s="55">
        <f t="shared" si="387"/>
        <v>1.1308889094869781</v>
      </c>
      <c r="BH304" s="55">
        <f t="shared" si="387"/>
        <v>1.1308889094869781</v>
      </c>
      <c r="BI304" s="55">
        <f t="shared" si="387"/>
        <v>1.1308889094869781</v>
      </c>
      <c r="BJ304" s="55">
        <f t="shared" si="387"/>
        <v>0</v>
      </c>
    </row>
    <row r="305" spans="1:62" x14ac:dyDescent="0.3">
      <c r="A305" s="53" t="str">
        <f t="shared" si="375"/>
        <v>project 148</v>
      </c>
      <c r="C305" s="55">
        <f t="shared" ref="C305:AH305" si="388">IF(AND(C$127&gt;=$K94,C$127&lt;=$L94),$G94*(1+$H94)^(C$127-$B$5),0)</f>
        <v>0</v>
      </c>
      <c r="D305" s="55">
        <f t="shared" si="388"/>
        <v>0</v>
      </c>
      <c r="E305" s="55">
        <f t="shared" si="388"/>
        <v>0</v>
      </c>
      <c r="F305" s="55">
        <f t="shared" si="388"/>
        <v>0</v>
      </c>
      <c r="G305" s="55">
        <f t="shared" si="388"/>
        <v>0</v>
      </c>
      <c r="H305" s="55">
        <f t="shared" si="388"/>
        <v>0</v>
      </c>
      <c r="I305" s="55">
        <f t="shared" si="388"/>
        <v>0</v>
      </c>
      <c r="J305" s="55">
        <f t="shared" si="388"/>
        <v>0</v>
      </c>
      <c r="K305" s="55">
        <f t="shared" si="388"/>
        <v>0</v>
      </c>
      <c r="L305" s="55">
        <f t="shared" si="388"/>
        <v>0</v>
      </c>
      <c r="M305" s="55">
        <f t="shared" si="388"/>
        <v>0</v>
      </c>
      <c r="N305" s="55">
        <f t="shared" si="388"/>
        <v>0</v>
      </c>
      <c r="O305" s="55">
        <f t="shared" si="388"/>
        <v>0</v>
      </c>
      <c r="P305" s="55">
        <f t="shared" si="388"/>
        <v>0</v>
      </c>
      <c r="Q305" s="55">
        <f t="shared" si="388"/>
        <v>0</v>
      </c>
      <c r="R305" s="55">
        <f t="shared" si="388"/>
        <v>0</v>
      </c>
      <c r="S305" s="55">
        <f t="shared" si="388"/>
        <v>0</v>
      </c>
      <c r="T305" s="55">
        <f t="shared" si="388"/>
        <v>0</v>
      </c>
      <c r="U305" s="55">
        <f t="shared" si="388"/>
        <v>0</v>
      </c>
      <c r="V305" s="55">
        <f t="shared" si="388"/>
        <v>0.85314524515548984</v>
      </c>
      <c r="W305" s="55">
        <f t="shared" si="388"/>
        <v>0.85314524515548984</v>
      </c>
      <c r="X305" s="55">
        <f t="shared" si="388"/>
        <v>0.85314524515548984</v>
      </c>
      <c r="Y305" s="55">
        <f t="shared" si="388"/>
        <v>0.85314524515548984</v>
      </c>
      <c r="Z305" s="55">
        <f t="shared" si="388"/>
        <v>0.85314524515548984</v>
      </c>
      <c r="AA305" s="55">
        <f t="shared" si="388"/>
        <v>0.85314524515548984</v>
      </c>
      <c r="AB305" s="55">
        <f t="shared" si="388"/>
        <v>0.85314524515548984</v>
      </c>
      <c r="AC305" s="55">
        <f t="shared" si="388"/>
        <v>0.85314524515548984</v>
      </c>
      <c r="AD305" s="55">
        <f t="shared" si="388"/>
        <v>0.85314524515548984</v>
      </c>
      <c r="AE305" s="55">
        <f t="shared" si="388"/>
        <v>0.85314524515548984</v>
      </c>
      <c r="AF305" s="55">
        <f t="shared" si="388"/>
        <v>0.85314524515548984</v>
      </c>
      <c r="AG305" s="55">
        <f t="shared" si="388"/>
        <v>0.85314524515548984</v>
      </c>
      <c r="AH305" s="55">
        <f t="shared" si="388"/>
        <v>0.85314524515548984</v>
      </c>
      <c r="AI305" s="55">
        <f t="shared" ref="AI305:BJ305" si="389">IF(AND(AI$127&gt;=$K94,AI$127&lt;=$L94),$G94*(1+$H94)^(AI$127-$B$5),0)</f>
        <v>0.85314524515548984</v>
      </c>
      <c r="AJ305" s="55">
        <f t="shared" si="389"/>
        <v>0.85314524515548984</v>
      </c>
      <c r="AK305" s="55">
        <f t="shared" si="389"/>
        <v>0.85314524515548984</v>
      </c>
      <c r="AL305" s="55">
        <f t="shared" si="389"/>
        <v>0.85314524515548984</v>
      </c>
      <c r="AM305" s="55">
        <f t="shared" si="389"/>
        <v>0.85314524515548984</v>
      </c>
      <c r="AN305" s="55">
        <f t="shared" si="389"/>
        <v>0.85314524515548984</v>
      </c>
      <c r="AO305" s="55">
        <f t="shared" si="389"/>
        <v>0.85314524515548984</v>
      </c>
      <c r="AP305" s="55">
        <f t="shared" si="389"/>
        <v>0.85314524515548984</v>
      </c>
      <c r="AQ305" s="55">
        <f t="shared" si="389"/>
        <v>0.85314524515548984</v>
      </c>
      <c r="AR305" s="55">
        <f t="shared" si="389"/>
        <v>0.85314524515548984</v>
      </c>
      <c r="AS305" s="55">
        <f t="shared" si="389"/>
        <v>0.85314524515548984</v>
      </c>
      <c r="AT305" s="55">
        <f t="shared" si="389"/>
        <v>0.85314524515548984</v>
      </c>
      <c r="AU305" s="55">
        <f t="shared" si="389"/>
        <v>0.85314524515548984</v>
      </c>
      <c r="AV305" s="55">
        <f t="shared" si="389"/>
        <v>0.85314524515548984</v>
      </c>
      <c r="AW305" s="55">
        <f t="shared" si="389"/>
        <v>0.85314524515548984</v>
      </c>
      <c r="AX305" s="55">
        <f t="shared" si="389"/>
        <v>0.85314524515548984</v>
      </c>
      <c r="AY305" s="55">
        <f t="shared" si="389"/>
        <v>0.85314524515548984</v>
      </c>
      <c r="AZ305" s="55">
        <f t="shared" si="389"/>
        <v>0.85314524515548984</v>
      </c>
      <c r="BA305" s="55">
        <f t="shared" si="389"/>
        <v>0.85314524515548984</v>
      </c>
      <c r="BB305" s="55">
        <f t="shared" si="389"/>
        <v>0.85314524515548984</v>
      </c>
      <c r="BC305" s="55">
        <f t="shared" si="389"/>
        <v>0.85314524515548984</v>
      </c>
      <c r="BD305" s="55">
        <f t="shared" si="389"/>
        <v>0.85314524515548984</v>
      </c>
      <c r="BE305" s="55">
        <f t="shared" si="389"/>
        <v>0.85314524515548984</v>
      </c>
      <c r="BF305" s="55">
        <f t="shared" si="389"/>
        <v>0.85314524515548984</v>
      </c>
      <c r="BG305" s="55">
        <f t="shared" si="389"/>
        <v>0.85314524515548984</v>
      </c>
      <c r="BH305" s="55">
        <f t="shared" si="389"/>
        <v>0.85314524515548984</v>
      </c>
      <c r="BI305" s="55">
        <f t="shared" si="389"/>
        <v>0.85314524515548984</v>
      </c>
      <c r="BJ305" s="55">
        <f t="shared" si="389"/>
        <v>0</v>
      </c>
    </row>
    <row r="306" spans="1:62" x14ac:dyDescent="0.3">
      <c r="A306" s="53" t="str">
        <f t="shared" si="375"/>
        <v>project 149</v>
      </c>
      <c r="C306" s="55">
        <f t="shared" ref="C306:AH306" si="390">IF(AND(C$127&gt;=$K95,C$127&lt;=$L95),$G95*(1+$H95)^(C$127-$B$5),0)</f>
        <v>0</v>
      </c>
      <c r="D306" s="55">
        <f t="shared" si="390"/>
        <v>0</v>
      </c>
      <c r="E306" s="55">
        <f t="shared" si="390"/>
        <v>0</v>
      </c>
      <c r="F306" s="55">
        <f t="shared" si="390"/>
        <v>0</v>
      </c>
      <c r="G306" s="55">
        <f t="shared" si="390"/>
        <v>0</v>
      </c>
      <c r="H306" s="55">
        <f t="shared" si="390"/>
        <v>0</v>
      </c>
      <c r="I306" s="55">
        <f t="shared" si="390"/>
        <v>0</v>
      </c>
      <c r="J306" s="55">
        <f t="shared" si="390"/>
        <v>0</v>
      </c>
      <c r="K306" s="55">
        <f t="shared" si="390"/>
        <v>0</v>
      </c>
      <c r="L306" s="55">
        <f t="shared" si="390"/>
        <v>0</v>
      </c>
      <c r="M306" s="55">
        <f t="shared" si="390"/>
        <v>0</v>
      </c>
      <c r="N306" s="55">
        <f t="shared" si="390"/>
        <v>0</v>
      </c>
      <c r="O306" s="55">
        <f t="shared" si="390"/>
        <v>0</v>
      </c>
      <c r="P306" s="55">
        <f t="shared" si="390"/>
        <v>1.3542448334721069</v>
      </c>
      <c r="Q306" s="55">
        <f t="shared" si="390"/>
        <v>1.3542448334721069</v>
      </c>
      <c r="R306" s="55">
        <f t="shared" si="390"/>
        <v>1.3542448334721069</v>
      </c>
      <c r="S306" s="55">
        <f t="shared" si="390"/>
        <v>1.3542448334721069</v>
      </c>
      <c r="T306" s="55">
        <f t="shared" si="390"/>
        <v>1.3542448334721069</v>
      </c>
      <c r="U306" s="55">
        <f t="shared" si="390"/>
        <v>1.3542448334721069</v>
      </c>
      <c r="V306" s="55">
        <f t="shared" si="390"/>
        <v>1.3542448334721069</v>
      </c>
      <c r="W306" s="55">
        <f t="shared" si="390"/>
        <v>1.3542448334721069</v>
      </c>
      <c r="X306" s="55">
        <f t="shared" si="390"/>
        <v>1.3542448334721069</v>
      </c>
      <c r="Y306" s="55">
        <f t="shared" si="390"/>
        <v>1.3542448334721069</v>
      </c>
      <c r="Z306" s="55">
        <f t="shared" si="390"/>
        <v>1.3542448334721069</v>
      </c>
      <c r="AA306" s="55">
        <f t="shared" si="390"/>
        <v>1.3542448334721069</v>
      </c>
      <c r="AB306" s="55">
        <f t="shared" si="390"/>
        <v>1.3542448334721069</v>
      </c>
      <c r="AC306" s="55">
        <f t="shared" si="390"/>
        <v>1.3542448334721069</v>
      </c>
      <c r="AD306" s="55">
        <f t="shared" si="390"/>
        <v>1.3542448334721069</v>
      </c>
      <c r="AE306" s="55">
        <f t="shared" si="390"/>
        <v>1.3542448334721069</v>
      </c>
      <c r="AF306" s="55">
        <f t="shared" si="390"/>
        <v>1.3542448334721069</v>
      </c>
      <c r="AG306" s="55">
        <f t="shared" si="390"/>
        <v>1.3542448334721069</v>
      </c>
      <c r="AH306" s="55">
        <f t="shared" si="390"/>
        <v>1.3542448334721069</v>
      </c>
      <c r="AI306" s="55">
        <f t="shared" ref="AI306:BJ306" si="391">IF(AND(AI$127&gt;=$K95,AI$127&lt;=$L95),$G95*(1+$H95)^(AI$127-$B$5),0)</f>
        <v>1.3542448334721069</v>
      </c>
      <c r="AJ306" s="55">
        <f t="shared" si="391"/>
        <v>1.3542448334721069</v>
      </c>
      <c r="AK306" s="55">
        <f t="shared" si="391"/>
        <v>1.3542448334721069</v>
      </c>
      <c r="AL306" s="55">
        <f t="shared" si="391"/>
        <v>1.3542448334721069</v>
      </c>
      <c r="AM306" s="55">
        <f t="shared" si="391"/>
        <v>1.3542448334721069</v>
      </c>
      <c r="AN306" s="55">
        <f t="shared" si="391"/>
        <v>1.3542448334721069</v>
      </c>
      <c r="AO306" s="55">
        <f t="shared" si="391"/>
        <v>1.3542448334721069</v>
      </c>
      <c r="AP306" s="55">
        <f t="shared" si="391"/>
        <v>1.3542448334721069</v>
      </c>
      <c r="AQ306" s="55">
        <f t="shared" si="391"/>
        <v>1.3542448334721069</v>
      </c>
      <c r="AR306" s="55">
        <f t="shared" si="391"/>
        <v>1.3542448334721069</v>
      </c>
      <c r="AS306" s="55">
        <f t="shared" si="391"/>
        <v>1.3542448334721069</v>
      </c>
      <c r="AT306" s="55">
        <f t="shared" si="391"/>
        <v>1.3542448334721069</v>
      </c>
      <c r="AU306" s="55">
        <f t="shared" si="391"/>
        <v>1.3542448334721069</v>
      </c>
      <c r="AV306" s="55">
        <f t="shared" si="391"/>
        <v>1.3542448334721069</v>
      </c>
      <c r="AW306" s="55">
        <f t="shared" si="391"/>
        <v>1.3542448334721069</v>
      </c>
      <c r="AX306" s="55">
        <f t="shared" si="391"/>
        <v>1.3542448334721069</v>
      </c>
      <c r="AY306" s="55">
        <f t="shared" si="391"/>
        <v>1.3542448334721069</v>
      </c>
      <c r="AZ306" s="55">
        <f t="shared" si="391"/>
        <v>1.3542448334721069</v>
      </c>
      <c r="BA306" s="55">
        <f t="shared" si="391"/>
        <v>1.3542448334721069</v>
      </c>
      <c r="BB306" s="55">
        <f t="shared" si="391"/>
        <v>1.3542448334721069</v>
      </c>
      <c r="BC306" s="55">
        <f t="shared" si="391"/>
        <v>1.3542448334721069</v>
      </c>
      <c r="BD306" s="55">
        <f t="shared" si="391"/>
        <v>0</v>
      </c>
      <c r="BE306" s="55">
        <f t="shared" si="391"/>
        <v>0</v>
      </c>
      <c r="BF306" s="55">
        <f t="shared" si="391"/>
        <v>0</v>
      </c>
      <c r="BG306" s="55">
        <f t="shared" si="391"/>
        <v>0</v>
      </c>
      <c r="BH306" s="55">
        <f t="shared" si="391"/>
        <v>0</v>
      </c>
      <c r="BI306" s="55">
        <f t="shared" si="391"/>
        <v>0</v>
      </c>
      <c r="BJ306" s="55">
        <f t="shared" si="391"/>
        <v>0</v>
      </c>
    </row>
    <row r="307" spans="1:62" x14ac:dyDescent="0.3">
      <c r="A307" s="53" t="str">
        <f t="shared" si="375"/>
        <v>project 150</v>
      </c>
      <c r="C307" s="55">
        <f t="shared" ref="C307:AH307" si="392">IF(AND(C$127&gt;=$K96,C$127&lt;=$L96),$G96*(1+$H96)^(C$127-$B$5),0)</f>
        <v>0</v>
      </c>
      <c r="D307" s="55">
        <f t="shared" si="392"/>
        <v>0</v>
      </c>
      <c r="E307" s="55">
        <f t="shared" si="392"/>
        <v>1.7660464676758429</v>
      </c>
      <c r="F307" s="55">
        <f t="shared" si="392"/>
        <v>1.7660464676758429</v>
      </c>
      <c r="G307" s="55">
        <f t="shared" si="392"/>
        <v>1.7660464676758429</v>
      </c>
      <c r="H307" s="55">
        <f t="shared" si="392"/>
        <v>1.7660464676758429</v>
      </c>
      <c r="I307" s="55">
        <f t="shared" si="392"/>
        <v>1.7660464676758429</v>
      </c>
      <c r="J307" s="55">
        <f t="shared" si="392"/>
        <v>1.7660464676758429</v>
      </c>
      <c r="K307" s="55">
        <f t="shared" si="392"/>
        <v>1.7660464676758429</v>
      </c>
      <c r="L307" s="55">
        <f t="shared" si="392"/>
        <v>1.7660464676758429</v>
      </c>
      <c r="M307" s="55">
        <f t="shared" si="392"/>
        <v>1.7660464676758429</v>
      </c>
      <c r="N307" s="55">
        <f t="shared" si="392"/>
        <v>1.7660464676758429</v>
      </c>
      <c r="O307" s="55">
        <f t="shared" si="392"/>
        <v>1.7660464676758429</v>
      </c>
      <c r="P307" s="55">
        <f t="shared" si="392"/>
        <v>1.7660464676758429</v>
      </c>
      <c r="Q307" s="55">
        <f t="shared" si="392"/>
        <v>1.7660464676758429</v>
      </c>
      <c r="R307" s="55">
        <f t="shared" si="392"/>
        <v>1.7660464676758429</v>
      </c>
      <c r="S307" s="55">
        <f t="shared" si="392"/>
        <v>1.7660464676758429</v>
      </c>
      <c r="T307" s="55">
        <f t="shared" si="392"/>
        <v>1.7660464676758429</v>
      </c>
      <c r="U307" s="55">
        <f t="shared" si="392"/>
        <v>1.7660464676758429</v>
      </c>
      <c r="V307" s="55">
        <f t="shared" si="392"/>
        <v>1.7660464676758429</v>
      </c>
      <c r="W307" s="55">
        <f t="shared" si="392"/>
        <v>1.7660464676758429</v>
      </c>
      <c r="X307" s="55">
        <f t="shared" si="392"/>
        <v>1.7660464676758429</v>
      </c>
      <c r="Y307" s="55">
        <f t="shared" si="392"/>
        <v>1.7660464676758429</v>
      </c>
      <c r="Z307" s="55">
        <f t="shared" si="392"/>
        <v>1.7660464676758429</v>
      </c>
      <c r="AA307" s="55">
        <f t="shared" si="392"/>
        <v>1.7660464676758429</v>
      </c>
      <c r="AB307" s="55">
        <f t="shared" si="392"/>
        <v>1.7660464676758429</v>
      </c>
      <c r="AC307" s="55">
        <f t="shared" si="392"/>
        <v>1.7660464676758429</v>
      </c>
      <c r="AD307" s="55">
        <f t="shared" si="392"/>
        <v>1.7660464676758429</v>
      </c>
      <c r="AE307" s="55">
        <f t="shared" si="392"/>
        <v>1.7660464676758429</v>
      </c>
      <c r="AF307" s="55">
        <f t="shared" si="392"/>
        <v>1.7660464676758429</v>
      </c>
      <c r="AG307" s="55">
        <f t="shared" si="392"/>
        <v>1.7660464676758429</v>
      </c>
      <c r="AH307" s="55">
        <f t="shared" si="392"/>
        <v>1.7660464676758429</v>
      </c>
      <c r="AI307" s="55">
        <f t="shared" ref="AI307:BJ307" si="393">IF(AND(AI$127&gt;=$K96,AI$127&lt;=$L96),$G96*(1+$H96)^(AI$127-$B$5),0)</f>
        <v>1.7660464676758429</v>
      </c>
      <c r="AJ307" s="55">
        <f t="shared" si="393"/>
        <v>1.7660464676758429</v>
      </c>
      <c r="AK307" s="55">
        <f t="shared" si="393"/>
        <v>1.7660464676758429</v>
      </c>
      <c r="AL307" s="55">
        <f t="shared" si="393"/>
        <v>1.7660464676758429</v>
      </c>
      <c r="AM307" s="55">
        <f t="shared" si="393"/>
        <v>1.7660464676758429</v>
      </c>
      <c r="AN307" s="55">
        <f t="shared" si="393"/>
        <v>1.7660464676758429</v>
      </c>
      <c r="AO307" s="55">
        <f t="shared" si="393"/>
        <v>1.7660464676758429</v>
      </c>
      <c r="AP307" s="55">
        <f t="shared" si="393"/>
        <v>1.7660464676758429</v>
      </c>
      <c r="AQ307" s="55">
        <f t="shared" si="393"/>
        <v>1.7660464676758429</v>
      </c>
      <c r="AR307" s="55">
        <f t="shared" si="393"/>
        <v>1.7660464676758429</v>
      </c>
      <c r="AS307" s="55">
        <f t="shared" si="393"/>
        <v>0</v>
      </c>
      <c r="AT307" s="55">
        <f t="shared" si="393"/>
        <v>0</v>
      </c>
      <c r="AU307" s="55">
        <f t="shared" si="393"/>
        <v>0</v>
      </c>
      <c r="AV307" s="55">
        <f t="shared" si="393"/>
        <v>0</v>
      </c>
      <c r="AW307" s="55">
        <f t="shared" si="393"/>
        <v>0</v>
      </c>
      <c r="AX307" s="55">
        <f t="shared" si="393"/>
        <v>0</v>
      </c>
      <c r="AY307" s="55">
        <f t="shared" si="393"/>
        <v>0</v>
      </c>
      <c r="AZ307" s="55">
        <f t="shared" si="393"/>
        <v>0</v>
      </c>
      <c r="BA307" s="55">
        <f t="shared" si="393"/>
        <v>0</v>
      </c>
      <c r="BB307" s="55">
        <f t="shared" si="393"/>
        <v>0</v>
      </c>
      <c r="BC307" s="55">
        <f t="shared" si="393"/>
        <v>0</v>
      </c>
      <c r="BD307" s="55">
        <f t="shared" si="393"/>
        <v>0</v>
      </c>
      <c r="BE307" s="55">
        <f t="shared" si="393"/>
        <v>0</v>
      </c>
      <c r="BF307" s="55">
        <f t="shared" si="393"/>
        <v>0</v>
      </c>
      <c r="BG307" s="55">
        <f t="shared" si="393"/>
        <v>0</v>
      </c>
      <c r="BH307" s="55">
        <f t="shared" si="393"/>
        <v>0</v>
      </c>
      <c r="BI307" s="55">
        <f t="shared" si="393"/>
        <v>0</v>
      </c>
      <c r="BJ307" s="55">
        <f t="shared" si="393"/>
        <v>0</v>
      </c>
    </row>
    <row r="308" spans="1:62" x14ac:dyDescent="0.3">
      <c r="A308" s="53" t="str">
        <f t="shared" si="375"/>
        <v>project 153</v>
      </c>
      <c r="C308" s="55">
        <f t="shared" ref="C308:AH308" si="394">IF(AND(C$127&gt;=$K97,C$127&lt;=$L97),$G97*(1+$H97)^(C$127-$B$5),0)</f>
        <v>0</v>
      </c>
      <c r="D308" s="55">
        <f t="shared" si="394"/>
        <v>0</v>
      </c>
      <c r="E308" s="55">
        <f t="shared" si="394"/>
        <v>1.155087062918825</v>
      </c>
      <c r="F308" s="55">
        <f t="shared" si="394"/>
        <v>1.155087062918825</v>
      </c>
      <c r="G308" s="55">
        <f t="shared" si="394"/>
        <v>1.155087062918825</v>
      </c>
      <c r="H308" s="55">
        <f t="shared" si="394"/>
        <v>1.155087062918825</v>
      </c>
      <c r="I308" s="55">
        <f t="shared" si="394"/>
        <v>1.155087062918825</v>
      </c>
      <c r="J308" s="55">
        <f t="shared" si="394"/>
        <v>1.155087062918825</v>
      </c>
      <c r="K308" s="55">
        <f t="shared" si="394"/>
        <v>1.155087062918825</v>
      </c>
      <c r="L308" s="55">
        <f t="shared" si="394"/>
        <v>1.155087062918825</v>
      </c>
      <c r="M308" s="55">
        <f t="shared" si="394"/>
        <v>1.155087062918825</v>
      </c>
      <c r="N308" s="55">
        <f t="shared" si="394"/>
        <v>1.155087062918825</v>
      </c>
      <c r="O308" s="55">
        <f t="shared" si="394"/>
        <v>1.155087062918825</v>
      </c>
      <c r="P308" s="55">
        <f t="shared" si="394"/>
        <v>1.155087062918825</v>
      </c>
      <c r="Q308" s="55">
        <f t="shared" si="394"/>
        <v>1.155087062918825</v>
      </c>
      <c r="R308" s="55">
        <f t="shared" si="394"/>
        <v>1.155087062918825</v>
      </c>
      <c r="S308" s="55">
        <f t="shared" si="394"/>
        <v>1.155087062918825</v>
      </c>
      <c r="T308" s="55">
        <f t="shared" si="394"/>
        <v>1.155087062918825</v>
      </c>
      <c r="U308" s="55">
        <f t="shared" si="394"/>
        <v>1.155087062918825</v>
      </c>
      <c r="V308" s="55">
        <f t="shared" si="394"/>
        <v>1.155087062918825</v>
      </c>
      <c r="W308" s="55">
        <f t="shared" si="394"/>
        <v>1.155087062918825</v>
      </c>
      <c r="X308" s="55">
        <f t="shared" si="394"/>
        <v>1.155087062918825</v>
      </c>
      <c r="Y308" s="55">
        <f t="shared" si="394"/>
        <v>1.155087062918825</v>
      </c>
      <c r="Z308" s="55">
        <f t="shared" si="394"/>
        <v>1.155087062918825</v>
      </c>
      <c r="AA308" s="55">
        <f t="shared" si="394"/>
        <v>1.155087062918825</v>
      </c>
      <c r="AB308" s="55">
        <f t="shared" si="394"/>
        <v>1.155087062918825</v>
      </c>
      <c r="AC308" s="55">
        <f t="shared" si="394"/>
        <v>1.155087062918825</v>
      </c>
      <c r="AD308" s="55">
        <f t="shared" si="394"/>
        <v>1.155087062918825</v>
      </c>
      <c r="AE308" s="55">
        <f t="shared" si="394"/>
        <v>1.155087062918825</v>
      </c>
      <c r="AF308" s="55">
        <f t="shared" si="394"/>
        <v>1.155087062918825</v>
      </c>
      <c r="AG308" s="55">
        <f t="shared" si="394"/>
        <v>1.155087062918825</v>
      </c>
      <c r="AH308" s="55">
        <f t="shared" si="394"/>
        <v>1.155087062918825</v>
      </c>
      <c r="AI308" s="55">
        <f t="shared" ref="AI308:BJ308" si="395">IF(AND(AI$127&gt;=$K97,AI$127&lt;=$L97),$G97*(1+$H97)^(AI$127-$B$5),0)</f>
        <v>1.155087062918825</v>
      </c>
      <c r="AJ308" s="55">
        <f t="shared" si="395"/>
        <v>1.155087062918825</v>
      </c>
      <c r="AK308" s="55">
        <f t="shared" si="395"/>
        <v>1.155087062918825</v>
      </c>
      <c r="AL308" s="55">
        <f t="shared" si="395"/>
        <v>1.155087062918825</v>
      </c>
      <c r="AM308" s="55">
        <f t="shared" si="395"/>
        <v>1.155087062918825</v>
      </c>
      <c r="AN308" s="55">
        <f t="shared" si="395"/>
        <v>1.155087062918825</v>
      </c>
      <c r="AO308" s="55">
        <f t="shared" si="395"/>
        <v>1.155087062918825</v>
      </c>
      <c r="AP308" s="55">
        <f t="shared" si="395"/>
        <v>1.155087062918825</v>
      </c>
      <c r="AQ308" s="55">
        <f t="shared" si="395"/>
        <v>1.155087062918825</v>
      </c>
      <c r="AR308" s="55">
        <f t="shared" si="395"/>
        <v>1.155087062918825</v>
      </c>
      <c r="AS308" s="55">
        <f t="shared" si="395"/>
        <v>0</v>
      </c>
      <c r="AT308" s="55">
        <f t="shared" si="395"/>
        <v>0</v>
      </c>
      <c r="AU308" s="55">
        <f t="shared" si="395"/>
        <v>0</v>
      </c>
      <c r="AV308" s="55">
        <f t="shared" si="395"/>
        <v>0</v>
      </c>
      <c r="AW308" s="55">
        <f t="shared" si="395"/>
        <v>0</v>
      </c>
      <c r="AX308" s="55">
        <f t="shared" si="395"/>
        <v>0</v>
      </c>
      <c r="AY308" s="55">
        <f t="shared" si="395"/>
        <v>0</v>
      </c>
      <c r="AZ308" s="55">
        <f t="shared" si="395"/>
        <v>0</v>
      </c>
      <c r="BA308" s="55">
        <f t="shared" si="395"/>
        <v>0</v>
      </c>
      <c r="BB308" s="55">
        <f t="shared" si="395"/>
        <v>0</v>
      </c>
      <c r="BC308" s="55">
        <f t="shared" si="395"/>
        <v>0</v>
      </c>
      <c r="BD308" s="55">
        <f t="shared" si="395"/>
        <v>0</v>
      </c>
      <c r="BE308" s="55">
        <f t="shared" si="395"/>
        <v>0</v>
      </c>
      <c r="BF308" s="55">
        <f t="shared" si="395"/>
        <v>0</v>
      </c>
      <c r="BG308" s="55">
        <f t="shared" si="395"/>
        <v>0</v>
      </c>
      <c r="BH308" s="55">
        <f t="shared" si="395"/>
        <v>0</v>
      </c>
      <c r="BI308" s="55">
        <f t="shared" si="395"/>
        <v>0</v>
      </c>
      <c r="BJ308" s="55">
        <f t="shared" si="395"/>
        <v>0</v>
      </c>
    </row>
    <row r="309" spans="1:62" x14ac:dyDescent="0.3">
      <c r="A309" s="53" t="str">
        <f t="shared" si="375"/>
        <v>project 156</v>
      </c>
      <c r="C309" s="55">
        <f t="shared" ref="C309:AH309" si="396">IF(AND(C$127&gt;=$K98,C$127&lt;=$L98),$G98*(1+$H98)^(C$127-$B$5),0)</f>
        <v>0</v>
      </c>
      <c r="D309" s="55">
        <f t="shared" si="396"/>
        <v>0</v>
      </c>
      <c r="E309" s="55">
        <f t="shared" si="396"/>
        <v>0</v>
      </c>
      <c r="F309" s="55">
        <f t="shared" si="396"/>
        <v>0</v>
      </c>
      <c r="G309" s="55">
        <f t="shared" si="396"/>
        <v>1.9121951881315249</v>
      </c>
      <c r="H309" s="55">
        <f t="shared" si="396"/>
        <v>1.9121951881315249</v>
      </c>
      <c r="I309" s="55">
        <f t="shared" si="396"/>
        <v>1.9121951881315249</v>
      </c>
      <c r="J309" s="55">
        <f t="shared" si="396"/>
        <v>1.9121951881315249</v>
      </c>
      <c r="K309" s="55">
        <f t="shared" si="396"/>
        <v>1.9121951881315249</v>
      </c>
      <c r="L309" s="55">
        <f t="shared" si="396"/>
        <v>1.9121951881315249</v>
      </c>
      <c r="M309" s="55">
        <f t="shared" si="396"/>
        <v>1.9121951881315249</v>
      </c>
      <c r="N309" s="55">
        <f t="shared" si="396"/>
        <v>1.9121951881315249</v>
      </c>
      <c r="O309" s="55">
        <f t="shared" si="396"/>
        <v>1.9121951881315249</v>
      </c>
      <c r="P309" s="55">
        <f t="shared" si="396"/>
        <v>1.9121951881315249</v>
      </c>
      <c r="Q309" s="55">
        <f t="shared" si="396"/>
        <v>1.9121951881315249</v>
      </c>
      <c r="R309" s="55">
        <f t="shared" si="396"/>
        <v>1.9121951881315249</v>
      </c>
      <c r="S309" s="55">
        <f t="shared" si="396"/>
        <v>1.9121951881315249</v>
      </c>
      <c r="T309" s="55">
        <f t="shared" si="396"/>
        <v>1.9121951881315249</v>
      </c>
      <c r="U309" s="55">
        <f t="shared" si="396"/>
        <v>1.9121951881315249</v>
      </c>
      <c r="V309" s="55">
        <f t="shared" si="396"/>
        <v>1.9121951881315249</v>
      </c>
      <c r="W309" s="55">
        <f t="shared" si="396"/>
        <v>1.9121951881315249</v>
      </c>
      <c r="X309" s="55">
        <f t="shared" si="396"/>
        <v>1.9121951881315249</v>
      </c>
      <c r="Y309" s="55">
        <f t="shared" si="396"/>
        <v>1.9121951881315249</v>
      </c>
      <c r="Z309" s="55">
        <f t="shared" si="396"/>
        <v>1.9121951881315249</v>
      </c>
      <c r="AA309" s="55">
        <f t="shared" si="396"/>
        <v>1.9121951881315249</v>
      </c>
      <c r="AB309" s="55">
        <f t="shared" si="396"/>
        <v>1.9121951881315249</v>
      </c>
      <c r="AC309" s="55">
        <f t="shared" si="396"/>
        <v>1.9121951881315249</v>
      </c>
      <c r="AD309" s="55">
        <f t="shared" si="396"/>
        <v>1.9121951881315249</v>
      </c>
      <c r="AE309" s="55">
        <f t="shared" si="396"/>
        <v>1.9121951881315249</v>
      </c>
      <c r="AF309" s="55">
        <f t="shared" si="396"/>
        <v>1.9121951881315249</v>
      </c>
      <c r="AG309" s="55">
        <f t="shared" si="396"/>
        <v>1.9121951881315249</v>
      </c>
      <c r="AH309" s="55">
        <f t="shared" si="396"/>
        <v>1.9121951881315249</v>
      </c>
      <c r="AI309" s="55">
        <f t="shared" ref="AI309:BJ309" si="397">IF(AND(AI$127&gt;=$K98,AI$127&lt;=$L98),$G98*(1+$H98)^(AI$127-$B$5),0)</f>
        <v>1.9121951881315249</v>
      </c>
      <c r="AJ309" s="55">
        <f t="shared" si="397"/>
        <v>1.9121951881315249</v>
      </c>
      <c r="AK309" s="55">
        <f t="shared" si="397"/>
        <v>1.9121951881315249</v>
      </c>
      <c r="AL309" s="55">
        <f t="shared" si="397"/>
        <v>1.9121951881315249</v>
      </c>
      <c r="AM309" s="55">
        <f t="shared" si="397"/>
        <v>1.9121951881315249</v>
      </c>
      <c r="AN309" s="55">
        <f t="shared" si="397"/>
        <v>1.9121951881315249</v>
      </c>
      <c r="AO309" s="55">
        <f t="shared" si="397"/>
        <v>1.9121951881315249</v>
      </c>
      <c r="AP309" s="55">
        <f t="shared" si="397"/>
        <v>1.9121951881315249</v>
      </c>
      <c r="AQ309" s="55">
        <f t="shared" si="397"/>
        <v>1.9121951881315249</v>
      </c>
      <c r="AR309" s="55">
        <f t="shared" si="397"/>
        <v>1.9121951881315249</v>
      </c>
      <c r="AS309" s="55">
        <f t="shared" si="397"/>
        <v>1.9121951881315249</v>
      </c>
      <c r="AT309" s="55">
        <f t="shared" si="397"/>
        <v>1.9121951881315249</v>
      </c>
      <c r="AU309" s="55">
        <f t="shared" si="397"/>
        <v>0</v>
      </c>
      <c r="AV309" s="55">
        <f t="shared" si="397"/>
        <v>0</v>
      </c>
      <c r="AW309" s="55">
        <f t="shared" si="397"/>
        <v>0</v>
      </c>
      <c r="AX309" s="55">
        <f t="shared" si="397"/>
        <v>0</v>
      </c>
      <c r="AY309" s="55">
        <f t="shared" si="397"/>
        <v>0</v>
      </c>
      <c r="AZ309" s="55">
        <f t="shared" si="397"/>
        <v>0</v>
      </c>
      <c r="BA309" s="55">
        <f t="shared" si="397"/>
        <v>0</v>
      </c>
      <c r="BB309" s="55">
        <f t="shared" si="397"/>
        <v>0</v>
      </c>
      <c r="BC309" s="55">
        <f t="shared" si="397"/>
        <v>0</v>
      </c>
      <c r="BD309" s="55">
        <f t="shared" si="397"/>
        <v>0</v>
      </c>
      <c r="BE309" s="55">
        <f t="shared" si="397"/>
        <v>0</v>
      </c>
      <c r="BF309" s="55">
        <f t="shared" si="397"/>
        <v>0</v>
      </c>
      <c r="BG309" s="55">
        <f t="shared" si="397"/>
        <v>0</v>
      </c>
      <c r="BH309" s="55">
        <f t="shared" si="397"/>
        <v>0</v>
      </c>
      <c r="BI309" s="55">
        <f t="shared" si="397"/>
        <v>0</v>
      </c>
      <c r="BJ309" s="55">
        <f t="shared" si="397"/>
        <v>0</v>
      </c>
    </row>
    <row r="310" spans="1:62" x14ac:dyDescent="0.3">
      <c r="A310" s="53" t="str">
        <f t="shared" si="375"/>
        <v>project 157</v>
      </c>
      <c r="C310" s="55">
        <f t="shared" ref="C310:AH310" si="398">IF(AND(C$127&gt;=$K99,C$127&lt;=$L99),$G99*(1+$H99)^(C$127-$B$5),0)</f>
        <v>0</v>
      </c>
      <c r="D310" s="55">
        <f t="shared" si="398"/>
        <v>0</v>
      </c>
      <c r="E310" s="55">
        <f t="shared" si="398"/>
        <v>0</v>
      </c>
      <c r="F310" s="55">
        <f t="shared" si="398"/>
        <v>0</v>
      </c>
      <c r="G310" s="55">
        <f t="shared" si="398"/>
        <v>0</v>
      </c>
      <c r="H310" s="55">
        <f t="shared" si="398"/>
        <v>0</v>
      </c>
      <c r="I310" s="55">
        <f t="shared" si="398"/>
        <v>0</v>
      </c>
      <c r="J310" s="55">
        <f t="shared" si="398"/>
        <v>0</v>
      </c>
      <c r="K310" s="55">
        <f t="shared" si="398"/>
        <v>0</v>
      </c>
      <c r="L310" s="55">
        <f t="shared" si="398"/>
        <v>0</v>
      </c>
      <c r="M310" s="55">
        <f t="shared" si="398"/>
        <v>0</v>
      </c>
      <c r="N310" s="55">
        <f t="shared" si="398"/>
        <v>0</v>
      </c>
      <c r="O310" s="55">
        <f t="shared" si="398"/>
        <v>0</v>
      </c>
      <c r="P310" s="55">
        <f t="shared" si="398"/>
        <v>0.8207903290451386</v>
      </c>
      <c r="Q310" s="55">
        <f t="shared" si="398"/>
        <v>0.8207903290451386</v>
      </c>
      <c r="R310" s="55">
        <f t="shared" si="398"/>
        <v>0.8207903290451386</v>
      </c>
      <c r="S310" s="55">
        <f t="shared" si="398"/>
        <v>0.8207903290451386</v>
      </c>
      <c r="T310" s="55">
        <f t="shared" si="398"/>
        <v>0.8207903290451386</v>
      </c>
      <c r="U310" s="55">
        <f t="shared" si="398"/>
        <v>0.8207903290451386</v>
      </c>
      <c r="V310" s="55">
        <f t="shared" si="398"/>
        <v>0.8207903290451386</v>
      </c>
      <c r="W310" s="55">
        <f t="shared" si="398"/>
        <v>0.8207903290451386</v>
      </c>
      <c r="X310" s="55">
        <f t="shared" si="398"/>
        <v>0.8207903290451386</v>
      </c>
      <c r="Y310" s="55">
        <f t="shared" si="398"/>
        <v>0.8207903290451386</v>
      </c>
      <c r="Z310" s="55">
        <f t="shared" si="398"/>
        <v>0.8207903290451386</v>
      </c>
      <c r="AA310" s="55">
        <f t="shared" si="398"/>
        <v>0.8207903290451386</v>
      </c>
      <c r="AB310" s="55">
        <f t="shared" si="398"/>
        <v>0.8207903290451386</v>
      </c>
      <c r="AC310" s="55">
        <f t="shared" si="398"/>
        <v>0.8207903290451386</v>
      </c>
      <c r="AD310" s="55">
        <f t="shared" si="398"/>
        <v>0.8207903290451386</v>
      </c>
      <c r="AE310" s="55">
        <f t="shared" si="398"/>
        <v>0.8207903290451386</v>
      </c>
      <c r="AF310" s="55">
        <f t="shared" si="398"/>
        <v>0.8207903290451386</v>
      </c>
      <c r="AG310" s="55">
        <f t="shared" si="398"/>
        <v>0.8207903290451386</v>
      </c>
      <c r="AH310" s="55">
        <f t="shared" si="398"/>
        <v>0.8207903290451386</v>
      </c>
      <c r="AI310" s="55">
        <f t="shared" ref="AI310:BJ310" si="399">IF(AND(AI$127&gt;=$K99,AI$127&lt;=$L99),$G99*(1+$H99)^(AI$127-$B$5),0)</f>
        <v>0.8207903290451386</v>
      </c>
      <c r="AJ310" s="55">
        <f t="shared" si="399"/>
        <v>0.8207903290451386</v>
      </c>
      <c r="AK310" s="55">
        <f t="shared" si="399"/>
        <v>0.8207903290451386</v>
      </c>
      <c r="AL310" s="55">
        <f t="shared" si="399"/>
        <v>0.8207903290451386</v>
      </c>
      <c r="AM310" s="55">
        <f t="shared" si="399"/>
        <v>0.8207903290451386</v>
      </c>
      <c r="AN310" s="55">
        <f t="shared" si="399"/>
        <v>0.8207903290451386</v>
      </c>
      <c r="AO310" s="55">
        <f t="shared" si="399"/>
        <v>0.8207903290451386</v>
      </c>
      <c r="AP310" s="55">
        <f t="shared" si="399"/>
        <v>0.8207903290451386</v>
      </c>
      <c r="AQ310" s="55">
        <f t="shared" si="399"/>
        <v>0.8207903290451386</v>
      </c>
      <c r="AR310" s="55">
        <f t="shared" si="399"/>
        <v>0.8207903290451386</v>
      </c>
      <c r="AS310" s="55">
        <f t="shared" si="399"/>
        <v>0.8207903290451386</v>
      </c>
      <c r="AT310" s="55">
        <f t="shared" si="399"/>
        <v>0.8207903290451386</v>
      </c>
      <c r="AU310" s="55">
        <f t="shared" si="399"/>
        <v>0.8207903290451386</v>
      </c>
      <c r="AV310" s="55">
        <f t="shared" si="399"/>
        <v>0.8207903290451386</v>
      </c>
      <c r="AW310" s="55">
        <f t="shared" si="399"/>
        <v>0.8207903290451386</v>
      </c>
      <c r="AX310" s="55">
        <f t="shared" si="399"/>
        <v>0.8207903290451386</v>
      </c>
      <c r="AY310" s="55">
        <f t="shared" si="399"/>
        <v>0.8207903290451386</v>
      </c>
      <c r="AZ310" s="55">
        <f t="shared" si="399"/>
        <v>0.8207903290451386</v>
      </c>
      <c r="BA310" s="55">
        <f t="shared" si="399"/>
        <v>0.8207903290451386</v>
      </c>
      <c r="BB310" s="55">
        <f t="shared" si="399"/>
        <v>0.8207903290451386</v>
      </c>
      <c r="BC310" s="55">
        <f t="shared" si="399"/>
        <v>0.8207903290451386</v>
      </c>
      <c r="BD310" s="55">
        <f t="shared" si="399"/>
        <v>0</v>
      </c>
      <c r="BE310" s="55">
        <f t="shared" si="399"/>
        <v>0</v>
      </c>
      <c r="BF310" s="55">
        <f t="shared" si="399"/>
        <v>0</v>
      </c>
      <c r="BG310" s="55">
        <f t="shared" si="399"/>
        <v>0</v>
      </c>
      <c r="BH310" s="55">
        <f t="shared" si="399"/>
        <v>0</v>
      </c>
      <c r="BI310" s="55">
        <f t="shared" si="399"/>
        <v>0</v>
      </c>
      <c r="BJ310" s="55">
        <f t="shared" si="399"/>
        <v>0</v>
      </c>
    </row>
    <row r="311" spans="1:62" x14ac:dyDescent="0.3">
      <c r="A311" s="53" t="str">
        <f t="shared" si="375"/>
        <v>project 158</v>
      </c>
      <c r="C311" s="55">
        <f t="shared" ref="C311:AH311" si="400">IF(AND(C$127&gt;=$K100,C$127&lt;=$L100),$G100*(1+$H100)^(C$127-$B$5),0)</f>
        <v>0</v>
      </c>
      <c r="D311" s="55">
        <f t="shared" si="400"/>
        <v>0</v>
      </c>
      <c r="E311" s="55">
        <f t="shared" si="400"/>
        <v>0</v>
      </c>
      <c r="F311" s="55">
        <f t="shared" si="400"/>
        <v>0</v>
      </c>
      <c r="G311" s="55">
        <f t="shared" si="400"/>
        <v>0</v>
      </c>
      <c r="H311" s="55">
        <f t="shared" si="400"/>
        <v>0</v>
      </c>
      <c r="I311" s="55">
        <f t="shared" si="400"/>
        <v>0</v>
      </c>
      <c r="J311" s="55">
        <f t="shared" si="400"/>
        <v>0</v>
      </c>
      <c r="K311" s="55">
        <f t="shared" si="400"/>
        <v>0</v>
      </c>
      <c r="L311" s="55">
        <f t="shared" si="400"/>
        <v>0</v>
      </c>
      <c r="M311" s="55">
        <f t="shared" si="400"/>
        <v>0</v>
      </c>
      <c r="N311" s="55">
        <f t="shared" si="400"/>
        <v>0</v>
      </c>
      <c r="O311" s="55">
        <f t="shared" si="400"/>
        <v>0</v>
      </c>
      <c r="P311" s="55">
        <f t="shared" si="400"/>
        <v>0</v>
      </c>
      <c r="Q311" s="55">
        <f t="shared" si="400"/>
        <v>0</v>
      </c>
      <c r="R311" s="55">
        <f t="shared" si="400"/>
        <v>0</v>
      </c>
      <c r="S311" s="55">
        <f t="shared" si="400"/>
        <v>0</v>
      </c>
      <c r="T311" s="55">
        <f t="shared" si="400"/>
        <v>0</v>
      </c>
      <c r="U311" s="55">
        <f t="shared" si="400"/>
        <v>0</v>
      </c>
      <c r="V311" s="55">
        <f t="shared" si="400"/>
        <v>0.50355234910744695</v>
      </c>
      <c r="W311" s="55">
        <f t="shared" si="400"/>
        <v>0.50355234910744695</v>
      </c>
      <c r="X311" s="55">
        <f t="shared" si="400"/>
        <v>0.50355234910744695</v>
      </c>
      <c r="Y311" s="55">
        <f t="shared" si="400"/>
        <v>0.50355234910744695</v>
      </c>
      <c r="Z311" s="55">
        <f t="shared" si="400"/>
        <v>0.50355234910744695</v>
      </c>
      <c r="AA311" s="55">
        <f t="shared" si="400"/>
        <v>0.50355234910744695</v>
      </c>
      <c r="AB311" s="55">
        <f t="shared" si="400"/>
        <v>0.50355234910744695</v>
      </c>
      <c r="AC311" s="55">
        <f t="shared" si="400"/>
        <v>0.50355234910744695</v>
      </c>
      <c r="AD311" s="55">
        <f t="shared" si="400"/>
        <v>0.50355234910744695</v>
      </c>
      <c r="AE311" s="55">
        <f t="shared" si="400"/>
        <v>0.50355234910744695</v>
      </c>
      <c r="AF311" s="55">
        <f t="shared" si="400"/>
        <v>0.50355234910744695</v>
      </c>
      <c r="AG311" s="55">
        <f t="shared" si="400"/>
        <v>0.50355234910744695</v>
      </c>
      <c r="AH311" s="55">
        <f t="shared" si="400"/>
        <v>0.50355234910744695</v>
      </c>
      <c r="AI311" s="55">
        <f t="shared" ref="AI311:BJ311" si="401">IF(AND(AI$127&gt;=$K100,AI$127&lt;=$L100),$G100*(1+$H100)^(AI$127-$B$5),0)</f>
        <v>0.50355234910744695</v>
      </c>
      <c r="AJ311" s="55">
        <f t="shared" si="401"/>
        <v>0.50355234910744695</v>
      </c>
      <c r="AK311" s="55">
        <f t="shared" si="401"/>
        <v>0.50355234910744695</v>
      </c>
      <c r="AL311" s="55">
        <f t="shared" si="401"/>
        <v>0.50355234910744695</v>
      </c>
      <c r="AM311" s="55">
        <f t="shared" si="401"/>
        <v>0.50355234910744695</v>
      </c>
      <c r="AN311" s="55">
        <f t="shared" si="401"/>
        <v>0.50355234910744695</v>
      </c>
      <c r="AO311" s="55">
        <f t="shared" si="401"/>
        <v>0.50355234910744695</v>
      </c>
      <c r="AP311" s="55">
        <f t="shared" si="401"/>
        <v>0.50355234910744695</v>
      </c>
      <c r="AQ311" s="55">
        <f t="shared" si="401"/>
        <v>0.50355234910744695</v>
      </c>
      <c r="AR311" s="55">
        <f t="shared" si="401"/>
        <v>0.50355234910744695</v>
      </c>
      <c r="AS311" s="55">
        <f t="shared" si="401"/>
        <v>0.50355234910744695</v>
      </c>
      <c r="AT311" s="55">
        <f t="shared" si="401"/>
        <v>0.50355234910744695</v>
      </c>
      <c r="AU311" s="55">
        <f t="shared" si="401"/>
        <v>0.50355234910744695</v>
      </c>
      <c r="AV311" s="55">
        <f t="shared" si="401"/>
        <v>0.50355234910744695</v>
      </c>
      <c r="AW311" s="55">
        <f t="shared" si="401"/>
        <v>0.50355234910744695</v>
      </c>
      <c r="AX311" s="55">
        <f t="shared" si="401"/>
        <v>0.50355234910744695</v>
      </c>
      <c r="AY311" s="55">
        <f t="shared" si="401"/>
        <v>0.50355234910744695</v>
      </c>
      <c r="AZ311" s="55">
        <f t="shared" si="401"/>
        <v>0.50355234910744695</v>
      </c>
      <c r="BA311" s="55">
        <f t="shared" si="401"/>
        <v>0.50355234910744695</v>
      </c>
      <c r="BB311" s="55">
        <f t="shared" si="401"/>
        <v>0.50355234910744695</v>
      </c>
      <c r="BC311" s="55">
        <f t="shared" si="401"/>
        <v>0.50355234910744695</v>
      </c>
      <c r="BD311" s="55">
        <f t="shared" si="401"/>
        <v>0.50355234910744695</v>
      </c>
      <c r="BE311" s="55">
        <f t="shared" si="401"/>
        <v>0.50355234910744695</v>
      </c>
      <c r="BF311" s="55">
        <f t="shared" si="401"/>
        <v>0.50355234910744695</v>
      </c>
      <c r="BG311" s="55">
        <f t="shared" si="401"/>
        <v>0.50355234910744695</v>
      </c>
      <c r="BH311" s="55">
        <f t="shared" si="401"/>
        <v>0.50355234910744695</v>
      </c>
      <c r="BI311" s="55">
        <f t="shared" si="401"/>
        <v>0.50355234910744695</v>
      </c>
      <c r="BJ311" s="55">
        <f t="shared" si="401"/>
        <v>0</v>
      </c>
    </row>
    <row r="312" spans="1:62" x14ac:dyDescent="0.3">
      <c r="A312" s="53" t="str">
        <f t="shared" si="375"/>
        <v>project 161</v>
      </c>
      <c r="C312" s="55">
        <f t="shared" ref="C312:AH312" si="402">IF(AND(C$127&gt;=$K101,C$127&lt;=$L101),$G101*(1+$H101)^(C$127-$B$5),0)</f>
        <v>0</v>
      </c>
      <c r="D312" s="55">
        <f t="shared" si="402"/>
        <v>0</v>
      </c>
      <c r="E312" s="55">
        <f t="shared" si="402"/>
        <v>0</v>
      </c>
      <c r="F312" s="55">
        <f t="shared" si="402"/>
        <v>0</v>
      </c>
      <c r="G312" s="55">
        <f t="shared" si="402"/>
        <v>0</v>
      </c>
      <c r="H312" s="55">
        <f t="shared" si="402"/>
        <v>0</v>
      </c>
      <c r="I312" s="55">
        <f t="shared" si="402"/>
        <v>0</v>
      </c>
      <c r="J312" s="55">
        <f t="shared" si="402"/>
        <v>0</v>
      </c>
      <c r="K312" s="55">
        <f t="shared" si="402"/>
        <v>0</v>
      </c>
      <c r="L312" s="55">
        <f t="shared" si="402"/>
        <v>0</v>
      </c>
      <c r="M312" s="55">
        <f t="shared" si="402"/>
        <v>0</v>
      </c>
      <c r="N312" s="55">
        <f t="shared" si="402"/>
        <v>0</v>
      </c>
      <c r="O312" s="55">
        <f t="shared" si="402"/>
        <v>0.72182213039097687</v>
      </c>
      <c r="P312" s="55">
        <f t="shared" si="402"/>
        <v>0.72182213039097687</v>
      </c>
      <c r="Q312" s="55">
        <f t="shared" si="402"/>
        <v>0.72182213039097687</v>
      </c>
      <c r="R312" s="55">
        <f t="shared" si="402"/>
        <v>0.72182213039097687</v>
      </c>
      <c r="S312" s="55">
        <f t="shared" si="402"/>
        <v>0.72182213039097687</v>
      </c>
      <c r="T312" s="55">
        <f t="shared" si="402"/>
        <v>0.72182213039097687</v>
      </c>
      <c r="U312" s="55">
        <f t="shared" si="402"/>
        <v>0.72182213039097687</v>
      </c>
      <c r="V312" s="55">
        <f t="shared" si="402"/>
        <v>0.72182213039097687</v>
      </c>
      <c r="W312" s="55">
        <f t="shared" si="402"/>
        <v>0.72182213039097687</v>
      </c>
      <c r="X312" s="55">
        <f t="shared" si="402"/>
        <v>0.72182213039097687</v>
      </c>
      <c r="Y312" s="55">
        <f t="shared" si="402"/>
        <v>0.72182213039097687</v>
      </c>
      <c r="Z312" s="55">
        <f t="shared" si="402"/>
        <v>0.72182213039097687</v>
      </c>
      <c r="AA312" s="55">
        <f t="shared" si="402"/>
        <v>0.72182213039097687</v>
      </c>
      <c r="AB312" s="55">
        <f t="shared" si="402"/>
        <v>0.72182213039097687</v>
      </c>
      <c r="AC312" s="55">
        <f t="shared" si="402"/>
        <v>0.72182213039097687</v>
      </c>
      <c r="AD312" s="55">
        <f t="shared" si="402"/>
        <v>0.72182213039097687</v>
      </c>
      <c r="AE312" s="55">
        <f t="shared" si="402"/>
        <v>0.72182213039097687</v>
      </c>
      <c r="AF312" s="55">
        <f t="shared" si="402"/>
        <v>0.72182213039097687</v>
      </c>
      <c r="AG312" s="55">
        <f t="shared" si="402"/>
        <v>0.72182213039097687</v>
      </c>
      <c r="AH312" s="55">
        <f t="shared" si="402"/>
        <v>0.72182213039097687</v>
      </c>
      <c r="AI312" s="55">
        <f t="shared" ref="AI312:BJ312" si="403">IF(AND(AI$127&gt;=$K101,AI$127&lt;=$L101),$G101*(1+$H101)^(AI$127-$B$5),0)</f>
        <v>0.72182213039097687</v>
      </c>
      <c r="AJ312" s="55">
        <f t="shared" si="403"/>
        <v>0.72182213039097687</v>
      </c>
      <c r="AK312" s="55">
        <f t="shared" si="403"/>
        <v>0.72182213039097687</v>
      </c>
      <c r="AL312" s="55">
        <f t="shared" si="403"/>
        <v>0.72182213039097687</v>
      </c>
      <c r="AM312" s="55">
        <f t="shared" si="403"/>
        <v>0.72182213039097687</v>
      </c>
      <c r="AN312" s="55">
        <f t="shared" si="403"/>
        <v>0.72182213039097687</v>
      </c>
      <c r="AO312" s="55">
        <f t="shared" si="403"/>
        <v>0.72182213039097687</v>
      </c>
      <c r="AP312" s="55">
        <f t="shared" si="403"/>
        <v>0.72182213039097687</v>
      </c>
      <c r="AQ312" s="55">
        <f t="shared" si="403"/>
        <v>0.72182213039097687</v>
      </c>
      <c r="AR312" s="55">
        <f t="shared" si="403"/>
        <v>0.72182213039097687</v>
      </c>
      <c r="AS312" s="55">
        <f t="shared" si="403"/>
        <v>0.72182213039097687</v>
      </c>
      <c r="AT312" s="55">
        <f t="shared" si="403"/>
        <v>0.72182213039097687</v>
      </c>
      <c r="AU312" s="55">
        <f t="shared" si="403"/>
        <v>0.72182213039097687</v>
      </c>
      <c r="AV312" s="55">
        <f t="shared" si="403"/>
        <v>0.72182213039097687</v>
      </c>
      <c r="AW312" s="55">
        <f t="shared" si="403"/>
        <v>0.72182213039097687</v>
      </c>
      <c r="AX312" s="55">
        <f t="shared" si="403"/>
        <v>0.72182213039097687</v>
      </c>
      <c r="AY312" s="55">
        <f t="shared" si="403"/>
        <v>0.72182213039097687</v>
      </c>
      <c r="AZ312" s="55">
        <f t="shared" si="403"/>
        <v>0.72182213039097687</v>
      </c>
      <c r="BA312" s="55">
        <f t="shared" si="403"/>
        <v>0.72182213039097687</v>
      </c>
      <c r="BB312" s="55">
        <f t="shared" si="403"/>
        <v>0.72182213039097687</v>
      </c>
      <c r="BC312" s="55">
        <f t="shared" si="403"/>
        <v>0</v>
      </c>
      <c r="BD312" s="55">
        <f t="shared" si="403"/>
        <v>0</v>
      </c>
      <c r="BE312" s="55">
        <f t="shared" si="403"/>
        <v>0</v>
      </c>
      <c r="BF312" s="55">
        <f t="shared" si="403"/>
        <v>0</v>
      </c>
      <c r="BG312" s="55">
        <f t="shared" si="403"/>
        <v>0</v>
      </c>
      <c r="BH312" s="55">
        <f t="shared" si="403"/>
        <v>0</v>
      </c>
      <c r="BI312" s="55">
        <f t="shared" si="403"/>
        <v>0</v>
      </c>
      <c r="BJ312" s="55">
        <f t="shared" si="403"/>
        <v>0</v>
      </c>
    </row>
    <row r="313" spans="1:62" x14ac:dyDescent="0.3">
      <c r="A313" s="53" t="str">
        <f t="shared" si="375"/>
        <v>project 162</v>
      </c>
      <c r="C313" s="55">
        <f t="shared" ref="C313:AH313" si="404">IF(AND(C$127&gt;=$K102,C$127&lt;=$L102),$G102*(1+$H102)^(C$127-$B$5),0)</f>
        <v>0</v>
      </c>
      <c r="D313" s="55">
        <f t="shared" si="404"/>
        <v>0</v>
      </c>
      <c r="E313" s="55">
        <f t="shared" si="404"/>
        <v>0</v>
      </c>
      <c r="F313" s="55">
        <f t="shared" si="404"/>
        <v>0</v>
      </c>
      <c r="G313" s="55">
        <f t="shared" si="404"/>
        <v>1.2043315653866939</v>
      </c>
      <c r="H313" s="55">
        <f t="shared" si="404"/>
        <v>1.2043315653866939</v>
      </c>
      <c r="I313" s="55">
        <f t="shared" si="404"/>
        <v>1.2043315653866939</v>
      </c>
      <c r="J313" s="55">
        <f t="shared" si="404"/>
        <v>1.2043315653866939</v>
      </c>
      <c r="K313" s="55">
        <f t="shared" si="404"/>
        <v>1.2043315653866939</v>
      </c>
      <c r="L313" s="55">
        <f t="shared" si="404"/>
        <v>1.2043315653866939</v>
      </c>
      <c r="M313" s="55">
        <f t="shared" si="404"/>
        <v>1.2043315653866939</v>
      </c>
      <c r="N313" s="55">
        <f t="shared" si="404"/>
        <v>1.2043315653866939</v>
      </c>
      <c r="O313" s="55">
        <f t="shared" si="404"/>
        <v>1.2043315653866939</v>
      </c>
      <c r="P313" s="55">
        <f t="shared" si="404"/>
        <v>1.2043315653866939</v>
      </c>
      <c r="Q313" s="55">
        <f t="shared" si="404"/>
        <v>1.2043315653866939</v>
      </c>
      <c r="R313" s="55">
        <f t="shared" si="404"/>
        <v>1.2043315653866939</v>
      </c>
      <c r="S313" s="55">
        <f t="shared" si="404"/>
        <v>1.2043315653866939</v>
      </c>
      <c r="T313" s="55">
        <f t="shared" si="404"/>
        <v>1.2043315653866939</v>
      </c>
      <c r="U313" s="55">
        <f t="shared" si="404"/>
        <v>1.2043315653866939</v>
      </c>
      <c r="V313" s="55">
        <f t="shared" si="404"/>
        <v>1.2043315653866939</v>
      </c>
      <c r="W313" s="55">
        <f t="shared" si="404"/>
        <v>1.2043315653866939</v>
      </c>
      <c r="X313" s="55">
        <f t="shared" si="404"/>
        <v>1.2043315653866939</v>
      </c>
      <c r="Y313" s="55">
        <f t="shared" si="404"/>
        <v>1.2043315653866939</v>
      </c>
      <c r="Z313" s="55">
        <f t="shared" si="404"/>
        <v>1.2043315653866939</v>
      </c>
      <c r="AA313" s="55">
        <f t="shared" si="404"/>
        <v>1.2043315653866939</v>
      </c>
      <c r="AB313" s="55">
        <f t="shared" si="404"/>
        <v>1.2043315653866939</v>
      </c>
      <c r="AC313" s="55">
        <f t="shared" si="404"/>
        <v>1.2043315653866939</v>
      </c>
      <c r="AD313" s="55">
        <f t="shared" si="404"/>
        <v>1.2043315653866939</v>
      </c>
      <c r="AE313" s="55">
        <f t="shared" si="404"/>
        <v>1.2043315653866939</v>
      </c>
      <c r="AF313" s="55">
        <f t="shared" si="404"/>
        <v>1.2043315653866939</v>
      </c>
      <c r="AG313" s="55">
        <f t="shared" si="404"/>
        <v>1.2043315653866939</v>
      </c>
      <c r="AH313" s="55">
        <f t="shared" si="404"/>
        <v>1.2043315653866939</v>
      </c>
      <c r="AI313" s="55">
        <f t="shared" ref="AI313:BJ313" si="405">IF(AND(AI$127&gt;=$K102,AI$127&lt;=$L102),$G102*(1+$H102)^(AI$127-$B$5),0)</f>
        <v>1.2043315653866939</v>
      </c>
      <c r="AJ313" s="55">
        <f t="shared" si="405"/>
        <v>1.2043315653866939</v>
      </c>
      <c r="AK313" s="55">
        <f t="shared" si="405"/>
        <v>1.2043315653866939</v>
      </c>
      <c r="AL313" s="55">
        <f t="shared" si="405"/>
        <v>1.2043315653866939</v>
      </c>
      <c r="AM313" s="55">
        <f t="shared" si="405"/>
        <v>1.2043315653866939</v>
      </c>
      <c r="AN313" s="55">
        <f t="shared" si="405"/>
        <v>1.2043315653866939</v>
      </c>
      <c r="AO313" s="55">
        <f t="shared" si="405"/>
        <v>1.2043315653866939</v>
      </c>
      <c r="AP313" s="55">
        <f t="shared" si="405"/>
        <v>1.2043315653866939</v>
      </c>
      <c r="AQ313" s="55">
        <f t="shared" si="405"/>
        <v>1.2043315653866939</v>
      </c>
      <c r="AR313" s="55">
        <f t="shared" si="405"/>
        <v>1.2043315653866939</v>
      </c>
      <c r="AS313" s="55">
        <f t="shared" si="405"/>
        <v>1.2043315653866939</v>
      </c>
      <c r="AT313" s="55">
        <f t="shared" si="405"/>
        <v>1.2043315653866939</v>
      </c>
      <c r="AU313" s="55">
        <f t="shared" si="405"/>
        <v>0</v>
      </c>
      <c r="AV313" s="55">
        <f t="shared" si="405"/>
        <v>0</v>
      </c>
      <c r="AW313" s="55">
        <f t="shared" si="405"/>
        <v>0</v>
      </c>
      <c r="AX313" s="55">
        <f t="shared" si="405"/>
        <v>0</v>
      </c>
      <c r="AY313" s="55">
        <f t="shared" si="405"/>
        <v>0</v>
      </c>
      <c r="AZ313" s="55">
        <f t="shared" si="405"/>
        <v>0</v>
      </c>
      <c r="BA313" s="55">
        <f t="shared" si="405"/>
        <v>0</v>
      </c>
      <c r="BB313" s="55">
        <f t="shared" si="405"/>
        <v>0</v>
      </c>
      <c r="BC313" s="55">
        <f t="shared" si="405"/>
        <v>0</v>
      </c>
      <c r="BD313" s="55">
        <f t="shared" si="405"/>
        <v>0</v>
      </c>
      <c r="BE313" s="55">
        <f t="shared" si="405"/>
        <v>0</v>
      </c>
      <c r="BF313" s="55">
        <f t="shared" si="405"/>
        <v>0</v>
      </c>
      <c r="BG313" s="55">
        <f t="shared" si="405"/>
        <v>0</v>
      </c>
      <c r="BH313" s="55">
        <f t="shared" si="405"/>
        <v>0</v>
      </c>
      <c r="BI313" s="55">
        <f t="shared" si="405"/>
        <v>0</v>
      </c>
      <c r="BJ313" s="55">
        <f t="shared" si="405"/>
        <v>0</v>
      </c>
    </row>
    <row r="314" spans="1:62" x14ac:dyDescent="0.3">
      <c r="A314" s="53" t="str">
        <f t="shared" si="375"/>
        <v>project 166</v>
      </c>
      <c r="C314" s="55">
        <f t="shared" ref="C314:AH314" si="406">IF(AND(C$127&gt;=$K103,C$127&lt;=$L103),$G103*(1+$H103)^(C$127-$B$5),0)</f>
        <v>0</v>
      </c>
      <c r="D314" s="55">
        <f t="shared" si="406"/>
        <v>0</v>
      </c>
      <c r="E314" s="55">
        <f t="shared" si="406"/>
        <v>0</v>
      </c>
      <c r="F314" s="55">
        <f t="shared" si="406"/>
        <v>0</v>
      </c>
      <c r="G314" s="55">
        <f t="shared" si="406"/>
        <v>0</v>
      </c>
      <c r="H314" s="55">
        <f t="shared" si="406"/>
        <v>0</v>
      </c>
      <c r="I314" s="55">
        <f t="shared" si="406"/>
        <v>0</v>
      </c>
      <c r="J314" s="55">
        <f t="shared" si="406"/>
        <v>0.87750413069423461</v>
      </c>
      <c r="K314" s="55">
        <f t="shared" si="406"/>
        <v>0.87750413069423461</v>
      </c>
      <c r="L314" s="55">
        <f t="shared" si="406"/>
        <v>0.87750413069423461</v>
      </c>
      <c r="M314" s="55">
        <f t="shared" si="406"/>
        <v>0.87750413069423461</v>
      </c>
      <c r="N314" s="55">
        <f t="shared" si="406"/>
        <v>0.87750413069423461</v>
      </c>
      <c r="O314" s="55">
        <f t="shared" si="406"/>
        <v>0.87750413069423461</v>
      </c>
      <c r="P314" s="55">
        <f t="shared" si="406"/>
        <v>0.87750413069423461</v>
      </c>
      <c r="Q314" s="55">
        <f t="shared" si="406"/>
        <v>0.87750413069423461</v>
      </c>
      <c r="R314" s="55">
        <f t="shared" si="406"/>
        <v>0.87750413069423461</v>
      </c>
      <c r="S314" s="55">
        <f t="shared" si="406"/>
        <v>0.87750413069423461</v>
      </c>
      <c r="T314" s="55">
        <f t="shared" si="406"/>
        <v>0.87750413069423461</v>
      </c>
      <c r="U314" s="55">
        <f t="shared" si="406"/>
        <v>0.87750413069423461</v>
      </c>
      <c r="V314" s="55">
        <f t="shared" si="406"/>
        <v>0.87750413069423461</v>
      </c>
      <c r="W314" s="55">
        <f t="shared" si="406"/>
        <v>0.87750413069423461</v>
      </c>
      <c r="X314" s="55">
        <f t="shared" si="406"/>
        <v>0.87750413069423461</v>
      </c>
      <c r="Y314" s="55">
        <f t="shared" si="406"/>
        <v>0.87750413069423461</v>
      </c>
      <c r="Z314" s="55">
        <f t="shared" si="406"/>
        <v>0.87750413069423461</v>
      </c>
      <c r="AA314" s="55">
        <f t="shared" si="406"/>
        <v>0.87750413069423461</v>
      </c>
      <c r="AB314" s="55">
        <f t="shared" si="406"/>
        <v>0.87750413069423461</v>
      </c>
      <c r="AC314" s="55">
        <f t="shared" si="406"/>
        <v>0.87750413069423461</v>
      </c>
      <c r="AD314" s="55">
        <f t="shared" si="406"/>
        <v>0.87750413069423461</v>
      </c>
      <c r="AE314" s="55">
        <f t="shared" si="406"/>
        <v>0.87750413069423461</v>
      </c>
      <c r="AF314" s="55">
        <f t="shared" si="406"/>
        <v>0.87750413069423461</v>
      </c>
      <c r="AG314" s="55">
        <f t="shared" si="406"/>
        <v>0.87750413069423461</v>
      </c>
      <c r="AH314" s="55">
        <f t="shared" si="406"/>
        <v>0.87750413069423461</v>
      </c>
      <c r="AI314" s="55">
        <f t="shared" ref="AI314:BJ314" si="407">IF(AND(AI$127&gt;=$K103,AI$127&lt;=$L103),$G103*(1+$H103)^(AI$127-$B$5),0)</f>
        <v>0.87750413069423461</v>
      </c>
      <c r="AJ314" s="55">
        <f t="shared" si="407"/>
        <v>0.87750413069423461</v>
      </c>
      <c r="AK314" s="55">
        <f t="shared" si="407"/>
        <v>0.87750413069423461</v>
      </c>
      <c r="AL314" s="55">
        <f t="shared" si="407"/>
        <v>0.87750413069423461</v>
      </c>
      <c r="AM314" s="55">
        <f t="shared" si="407"/>
        <v>0.87750413069423461</v>
      </c>
      <c r="AN314" s="55">
        <f t="shared" si="407"/>
        <v>0.87750413069423461</v>
      </c>
      <c r="AO314" s="55">
        <f t="shared" si="407"/>
        <v>0.87750413069423461</v>
      </c>
      <c r="AP314" s="55">
        <f t="shared" si="407"/>
        <v>0.87750413069423461</v>
      </c>
      <c r="AQ314" s="55">
        <f t="shared" si="407"/>
        <v>0.87750413069423461</v>
      </c>
      <c r="AR314" s="55">
        <f t="shared" si="407"/>
        <v>0.87750413069423461</v>
      </c>
      <c r="AS314" s="55">
        <f t="shared" si="407"/>
        <v>0.87750413069423461</v>
      </c>
      <c r="AT314" s="55">
        <f t="shared" si="407"/>
        <v>0.87750413069423461</v>
      </c>
      <c r="AU314" s="55">
        <f t="shared" si="407"/>
        <v>0.87750413069423461</v>
      </c>
      <c r="AV314" s="55">
        <f t="shared" si="407"/>
        <v>0.87750413069423461</v>
      </c>
      <c r="AW314" s="55">
        <f t="shared" si="407"/>
        <v>0.87750413069423461</v>
      </c>
      <c r="AX314" s="55">
        <f t="shared" si="407"/>
        <v>0</v>
      </c>
      <c r="AY314" s="55">
        <f t="shared" si="407"/>
        <v>0</v>
      </c>
      <c r="AZ314" s="55">
        <f t="shared" si="407"/>
        <v>0</v>
      </c>
      <c r="BA314" s="55">
        <f t="shared" si="407"/>
        <v>0</v>
      </c>
      <c r="BB314" s="55">
        <f t="shared" si="407"/>
        <v>0</v>
      </c>
      <c r="BC314" s="55">
        <f t="shared" si="407"/>
        <v>0</v>
      </c>
      <c r="BD314" s="55">
        <f t="shared" si="407"/>
        <v>0</v>
      </c>
      <c r="BE314" s="55">
        <f t="shared" si="407"/>
        <v>0</v>
      </c>
      <c r="BF314" s="55">
        <f t="shared" si="407"/>
        <v>0</v>
      </c>
      <c r="BG314" s="55">
        <f t="shared" si="407"/>
        <v>0</v>
      </c>
      <c r="BH314" s="55">
        <f t="shared" si="407"/>
        <v>0</v>
      </c>
      <c r="BI314" s="55">
        <f t="shared" si="407"/>
        <v>0</v>
      </c>
      <c r="BJ314" s="55">
        <f t="shared" si="407"/>
        <v>0</v>
      </c>
    </row>
    <row r="315" spans="1:62" x14ac:dyDescent="0.3">
      <c r="A315" s="53" t="str">
        <f t="shared" si="375"/>
        <v>project 167</v>
      </c>
      <c r="C315" s="55">
        <f t="shared" ref="C315:AH315" si="408">IF(AND(C$127&gt;=$K104,C$127&lt;=$L104),$G104*(1+$H104)^(C$127-$B$5),0)</f>
        <v>0</v>
      </c>
      <c r="D315" s="55">
        <f t="shared" si="408"/>
        <v>0</v>
      </c>
      <c r="E315" s="55">
        <f t="shared" si="408"/>
        <v>0</v>
      </c>
      <c r="F315" s="55">
        <f t="shared" si="408"/>
        <v>0</v>
      </c>
      <c r="G315" s="55">
        <f t="shared" si="408"/>
        <v>0</v>
      </c>
      <c r="H315" s="55">
        <f t="shared" si="408"/>
        <v>0</v>
      </c>
      <c r="I315" s="55">
        <f t="shared" si="408"/>
        <v>0</v>
      </c>
      <c r="J315" s="55">
        <f t="shared" si="408"/>
        <v>0</v>
      </c>
      <c r="K315" s="55">
        <f t="shared" si="408"/>
        <v>0</v>
      </c>
      <c r="L315" s="55">
        <f t="shared" si="408"/>
        <v>0</v>
      </c>
      <c r="M315" s="55">
        <f t="shared" si="408"/>
        <v>0</v>
      </c>
      <c r="N315" s="55">
        <f t="shared" si="408"/>
        <v>0</v>
      </c>
      <c r="O315" s="55">
        <f t="shared" si="408"/>
        <v>0</v>
      </c>
      <c r="P315" s="55">
        <f t="shared" si="408"/>
        <v>0</v>
      </c>
      <c r="Q315" s="55">
        <f t="shared" si="408"/>
        <v>0</v>
      </c>
      <c r="R315" s="55">
        <f t="shared" si="408"/>
        <v>0</v>
      </c>
      <c r="S315" s="55">
        <f t="shared" si="408"/>
        <v>0</v>
      </c>
      <c r="T315" s="55">
        <f t="shared" si="408"/>
        <v>0</v>
      </c>
      <c r="U315" s="55">
        <f t="shared" si="408"/>
        <v>0</v>
      </c>
      <c r="V315" s="55">
        <f t="shared" si="408"/>
        <v>0.45993344210028858</v>
      </c>
      <c r="W315" s="55">
        <f t="shared" si="408"/>
        <v>0.45993344210028858</v>
      </c>
      <c r="X315" s="55">
        <f t="shared" si="408"/>
        <v>0.45993344210028858</v>
      </c>
      <c r="Y315" s="55">
        <f t="shared" si="408"/>
        <v>0.45993344210028858</v>
      </c>
      <c r="Z315" s="55">
        <f t="shared" si="408"/>
        <v>0.45993344210028858</v>
      </c>
      <c r="AA315" s="55">
        <f t="shared" si="408"/>
        <v>0.45993344210028858</v>
      </c>
      <c r="AB315" s="55">
        <f t="shared" si="408"/>
        <v>0.45993344210028858</v>
      </c>
      <c r="AC315" s="55">
        <f t="shared" si="408"/>
        <v>0.45993344210028858</v>
      </c>
      <c r="AD315" s="55">
        <f t="shared" si="408"/>
        <v>0.45993344210028858</v>
      </c>
      <c r="AE315" s="55">
        <f t="shared" si="408"/>
        <v>0.45993344210028858</v>
      </c>
      <c r="AF315" s="55">
        <f t="shared" si="408"/>
        <v>0.45993344210028858</v>
      </c>
      <c r="AG315" s="55">
        <f t="shared" si="408"/>
        <v>0.45993344210028858</v>
      </c>
      <c r="AH315" s="55">
        <f t="shared" si="408"/>
        <v>0.45993344210028858</v>
      </c>
      <c r="AI315" s="55">
        <f t="shared" ref="AI315:BJ315" si="409">IF(AND(AI$127&gt;=$K104,AI$127&lt;=$L104),$G104*(1+$H104)^(AI$127-$B$5),0)</f>
        <v>0.45993344210028858</v>
      </c>
      <c r="AJ315" s="55">
        <f t="shared" si="409"/>
        <v>0.45993344210028858</v>
      </c>
      <c r="AK315" s="55">
        <f t="shared" si="409"/>
        <v>0.45993344210028858</v>
      </c>
      <c r="AL315" s="55">
        <f t="shared" si="409"/>
        <v>0.45993344210028858</v>
      </c>
      <c r="AM315" s="55">
        <f t="shared" si="409"/>
        <v>0.45993344210028858</v>
      </c>
      <c r="AN315" s="55">
        <f t="shared" si="409"/>
        <v>0.45993344210028858</v>
      </c>
      <c r="AO315" s="55">
        <f t="shared" si="409"/>
        <v>0.45993344210028858</v>
      </c>
      <c r="AP315" s="55">
        <f t="shared" si="409"/>
        <v>0.45993344210028858</v>
      </c>
      <c r="AQ315" s="55">
        <f t="shared" si="409"/>
        <v>0.45993344210028858</v>
      </c>
      <c r="AR315" s="55">
        <f t="shared" si="409"/>
        <v>0.45993344210028858</v>
      </c>
      <c r="AS315" s="55">
        <f t="shared" si="409"/>
        <v>0.45993344210028858</v>
      </c>
      <c r="AT315" s="55">
        <f t="shared" si="409"/>
        <v>0.45993344210028858</v>
      </c>
      <c r="AU315" s="55">
        <f t="shared" si="409"/>
        <v>0.45993344210028858</v>
      </c>
      <c r="AV315" s="55">
        <f t="shared" si="409"/>
        <v>0.45993344210028858</v>
      </c>
      <c r="AW315" s="55">
        <f t="shared" si="409"/>
        <v>0.45993344210028858</v>
      </c>
      <c r="AX315" s="55">
        <f t="shared" si="409"/>
        <v>0.45993344210028858</v>
      </c>
      <c r="AY315" s="55">
        <f t="shared" si="409"/>
        <v>0.45993344210028858</v>
      </c>
      <c r="AZ315" s="55">
        <f t="shared" si="409"/>
        <v>0.45993344210028858</v>
      </c>
      <c r="BA315" s="55">
        <f t="shared" si="409"/>
        <v>0.45993344210028858</v>
      </c>
      <c r="BB315" s="55">
        <f t="shared" si="409"/>
        <v>0.45993344210028858</v>
      </c>
      <c r="BC315" s="55">
        <f t="shared" si="409"/>
        <v>0.45993344210028858</v>
      </c>
      <c r="BD315" s="55">
        <f t="shared" si="409"/>
        <v>0.45993344210028858</v>
      </c>
      <c r="BE315" s="55">
        <f t="shared" si="409"/>
        <v>0.45993344210028858</v>
      </c>
      <c r="BF315" s="55">
        <f t="shared" si="409"/>
        <v>0.45993344210028858</v>
      </c>
      <c r="BG315" s="55">
        <f t="shared" si="409"/>
        <v>0.45993344210028858</v>
      </c>
      <c r="BH315" s="55">
        <f t="shared" si="409"/>
        <v>0.45993344210028858</v>
      </c>
      <c r="BI315" s="55">
        <f t="shared" si="409"/>
        <v>0.45993344210028858</v>
      </c>
      <c r="BJ315" s="55">
        <f t="shared" si="409"/>
        <v>0</v>
      </c>
    </row>
    <row r="316" spans="1:62" x14ac:dyDescent="0.3">
      <c r="A316" s="53" t="str">
        <f t="shared" si="375"/>
        <v>project 168</v>
      </c>
      <c r="C316" s="55">
        <f t="shared" ref="C316:AH316" si="410">IF(AND(C$127&gt;=$K105,C$127&lt;=$L105),$G105*(1+$H105)^(C$127-$B$5),0)</f>
        <v>0</v>
      </c>
      <c r="D316" s="55">
        <f t="shared" si="410"/>
        <v>0</v>
      </c>
      <c r="E316" s="55">
        <f t="shared" si="410"/>
        <v>0</v>
      </c>
      <c r="F316" s="55">
        <f t="shared" si="410"/>
        <v>0</v>
      </c>
      <c r="G316" s="55">
        <f t="shared" si="410"/>
        <v>0</v>
      </c>
      <c r="H316" s="55">
        <f t="shared" si="410"/>
        <v>0</v>
      </c>
      <c r="I316" s="55">
        <f t="shared" si="410"/>
        <v>0</v>
      </c>
      <c r="J316" s="55">
        <f t="shared" si="410"/>
        <v>0</v>
      </c>
      <c r="K316" s="55">
        <f t="shared" si="410"/>
        <v>0</v>
      </c>
      <c r="L316" s="55">
        <f t="shared" si="410"/>
        <v>0</v>
      </c>
      <c r="M316" s="55">
        <f t="shared" si="410"/>
        <v>0</v>
      </c>
      <c r="N316" s="55">
        <f t="shared" si="410"/>
        <v>0</v>
      </c>
      <c r="O316" s="55">
        <f t="shared" si="410"/>
        <v>0</v>
      </c>
      <c r="P316" s="55">
        <f t="shared" si="410"/>
        <v>0</v>
      </c>
      <c r="Q316" s="55">
        <f t="shared" si="410"/>
        <v>0</v>
      </c>
      <c r="R316" s="55">
        <f t="shared" si="410"/>
        <v>0</v>
      </c>
      <c r="S316" s="55">
        <f t="shared" si="410"/>
        <v>0</v>
      </c>
      <c r="T316" s="55">
        <f t="shared" si="410"/>
        <v>0</v>
      </c>
      <c r="U316" s="55">
        <f t="shared" si="410"/>
        <v>0</v>
      </c>
      <c r="V316" s="55">
        <f t="shared" si="410"/>
        <v>0.40923047446590599</v>
      </c>
      <c r="W316" s="55">
        <f t="shared" si="410"/>
        <v>0.40923047446590599</v>
      </c>
      <c r="X316" s="55">
        <f t="shared" si="410"/>
        <v>0.40923047446590599</v>
      </c>
      <c r="Y316" s="55">
        <f t="shared" si="410"/>
        <v>0.40923047446590599</v>
      </c>
      <c r="Z316" s="55">
        <f t="shared" si="410"/>
        <v>0.40923047446590599</v>
      </c>
      <c r="AA316" s="55">
        <f t="shared" si="410"/>
        <v>0.40923047446590599</v>
      </c>
      <c r="AB316" s="55">
        <f t="shared" si="410"/>
        <v>0.40923047446590599</v>
      </c>
      <c r="AC316" s="55">
        <f t="shared" si="410"/>
        <v>0.40923047446590599</v>
      </c>
      <c r="AD316" s="55">
        <f t="shared" si="410"/>
        <v>0.40923047446590599</v>
      </c>
      <c r="AE316" s="55">
        <f t="shared" si="410"/>
        <v>0.40923047446590599</v>
      </c>
      <c r="AF316" s="55">
        <f t="shared" si="410"/>
        <v>0.40923047446590599</v>
      </c>
      <c r="AG316" s="55">
        <f t="shared" si="410"/>
        <v>0.40923047446590599</v>
      </c>
      <c r="AH316" s="55">
        <f t="shared" si="410"/>
        <v>0.40923047446590599</v>
      </c>
      <c r="AI316" s="55">
        <f t="shared" ref="AI316:BJ316" si="411">IF(AND(AI$127&gt;=$K105,AI$127&lt;=$L105),$G105*(1+$H105)^(AI$127-$B$5),0)</f>
        <v>0.40923047446590599</v>
      </c>
      <c r="AJ316" s="55">
        <f t="shared" si="411"/>
        <v>0.40923047446590599</v>
      </c>
      <c r="AK316" s="55">
        <f t="shared" si="411"/>
        <v>0.40923047446590599</v>
      </c>
      <c r="AL316" s="55">
        <f t="shared" si="411"/>
        <v>0.40923047446590599</v>
      </c>
      <c r="AM316" s="55">
        <f t="shared" si="411"/>
        <v>0.40923047446590599</v>
      </c>
      <c r="AN316" s="55">
        <f t="shared" si="411"/>
        <v>0.40923047446590599</v>
      </c>
      <c r="AO316" s="55">
        <f t="shared" si="411"/>
        <v>0.40923047446590599</v>
      </c>
      <c r="AP316" s="55">
        <f t="shared" si="411"/>
        <v>0.40923047446590599</v>
      </c>
      <c r="AQ316" s="55">
        <f t="shared" si="411"/>
        <v>0.40923047446590599</v>
      </c>
      <c r="AR316" s="55">
        <f t="shared" si="411"/>
        <v>0.40923047446590599</v>
      </c>
      <c r="AS316" s="55">
        <f t="shared" si="411"/>
        <v>0.40923047446590599</v>
      </c>
      <c r="AT316" s="55">
        <f t="shared" si="411"/>
        <v>0.40923047446590599</v>
      </c>
      <c r="AU316" s="55">
        <f t="shared" si="411"/>
        <v>0.40923047446590599</v>
      </c>
      <c r="AV316" s="55">
        <f t="shared" si="411"/>
        <v>0.40923047446590599</v>
      </c>
      <c r="AW316" s="55">
        <f t="shared" si="411"/>
        <v>0.40923047446590599</v>
      </c>
      <c r="AX316" s="55">
        <f t="shared" si="411"/>
        <v>0.40923047446590599</v>
      </c>
      <c r="AY316" s="55">
        <f t="shared" si="411"/>
        <v>0.40923047446590599</v>
      </c>
      <c r="AZ316" s="55">
        <f t="shared" si="411"/>
        <v>0.40923047446590599</v>
      </c>
      <c r="BA316" s="55">
        <f t="shared" si="411"/>
        <v>0.40923047446590599</v>
      </c>
      <c r="BB316" s="55">
        <f t="shared" si="411"/>
        <v>0.40923047446590599</v>
      </c>
      <c r="BC316" s="55">
        <f t="shared" si="411"/>
        <v>0.40923047446590599</v>
      </c>
      <c r="BD316" s="55">
        <f t="shared" si="411"/>
        <v>0.40923047446590599</v>
      </c>
      <c r="BE316" s="55">
        <f t="shared" si="411"/>
        <v>0.40923047446590599</v>
      </c>
      <c r="BF316" s="55">
        <f t="shared" si="411"/>
        <v>0.40923047446590599</v>
      </c>
      <c r="BG316" s="55">
        <f t="shared" si="411"/>
        <v>0.40923047446590599</v>
      </c>
      <c r="BH316" s="55">
        <f t="shared" si="411"/>
        <v>0.40923047446590599</v>
      </c>
      <c r="BI316" s="55">
        <f t="shared" si="411"/>
        <v>0.40923047446590599</v>
      </c>
      <c r="BJ316" s="55">
        <f t="shared" si="411"/>
        <v>0</v>
      </c>
    </row>
    <row r="317" spans="1:62" x14ac:dyDescent="0.3">
      <c r="A317" s="53" t="str">
        <f t="shared" si="375"/>
        <v>project 171</v>
      </c>
      <c r="C317" s="55">
        <f t="shared" ref="C317:AH317" si="412">IF(AND(C$127&gt;=$K106,C$127&lt;=$L106),$G106*(1+$H106)^(C$127-$B$5),0)</f>
        <v>0</v>
      </c>
      <c r="D317" s="55">
        <f t="shared" si="412"/>
        <v>0</v>
      </c>
      <c r="E317" s="55">
        <f t="shared" si="412"/>
        <v>0</v>
      </c>
      <c r="F317" s="55">
        <f t="shared" si="412"/>
        <v>0</v>
      </c>
      <c r="G317" s="55">
        <f t="shared" si="412"/>
        <v>0</v>
      </c>
      <c r="H317" s="55">
        <f t="shared" si="412"/>
        <v>0</v>
      </c>
      <c r="I317" s="55">
        <f t="shared" si="412"/>
        <v>0</v>
      </c>
      <c r="J317" s="55">
        <f t="shared" si="412"/>
        <v>0</v>
      </c>
      <c r="K317" s="55">
        <f t="shared" si="412"/>
        <v>0</v>
      </c>
      <c r="L317" s="55">
        <f t="shared" si="412"/>
        <v>0</v>
      </c>
      <c r="M317" s="55">
        <f t="shared" si="412"/>
        <v>0</v>
      </c>
      <c r="N317" s="55">
        <f t="shared" si="412"/>
        <v>0</v>
      </c>
      <c r="O317" s="55">
        <f t="shared" si="412"/>
        <v>0</v>
      </c>
      <c r="P317" s="55">
        <f t="shared" si="412"/>
        <v>0</v>
      </c>
      <c r="Q317" s="55">
        <f t="shared" si="412"/>
        <v>0</v>
      </c>
      <c r="R317" s="55">
        <f t="shared" si="412"/>
        <v>0</v>
      </c>
      <c r="S317" s="55">
        <f t="shared" si="412"/>
        <v>0.32858139973606387</v>
      </c>
      <c r="T317" s="55">
        <f t="shared" si="412"/>
        <v>0.32858139973606387</v>
      </c>
      <c r="U317" s="55">
        <f t="shared" si="412"/>
        <v>0.32858139973606387</v>
      </c>
      <c r="V317" s="55">
        <f t="shared" si="412"/>
        <v>0.32858139973606387</v>
      </c>
      <c r="W317" s="55">
        <f t="shared" si="412"/>
        <v>0.32858139973606387</v>
      </c>
      <c r="X317" s="55">
        <f t="shared" si="412"/>
        <v>0.32858139973606387</v>
      </c>
      <c r="Y317" s="55">
        <f t="shared" si="412"/>
        <v>0.32858139973606387</v>
      </c>
      <c r="Z317" s="55">
        <f t="shared" si="412"/>
        <v>0.32858139973606387</v>
      </c>
      <c r="AA317" s="55">
        <f t="shared" si="412"/>
        <v>0.32858139973606387</v>
      </c>
      <c r="AB317" s="55">
        <f t="shared" si="412"/>
        <v>0.32858139973606387</v>
      </c>
      <c r="AC317" s="55">
        <f t="shared" si="412"/>
        <v>0.32858139973606387</v>
      </c>
      <c r="AD317" s="55">
        <f t="shared" si="412"/>
        <v>0.32858139973606387</v>
      </c>
      <c r="AE317" s="55">
        <f t="shared" si="412"/>
        <v>0.32858139973606387</v>
      </c>
      <c r="AF317" s="55">
        <f t="shared" si="412"/>
        <v>0.32858139973606387</v>
      </c>
      <c r="AG317" s="55">
        <f t="shared" si="412"/>
        <v>0.32858139973606387</v>
      </c>
      <c r="AH317" s="55">
        <f t="shared" si="412"/>
        <v>0.32858139973606387</v>
      </c>
      <c r="AI317" s="55">
        <f t="shared" ref="AI317:BJ317" si="413">IF(AND(AI$127&gt;=$K106,AI$127&lt;=$L106),$G106*(1+$H106)^(AI$127-$B$5),0)</f>
        <v>0.32858139973606387</v>
      </c>
      <c r="AJ317" s="55">
        <f t="shared" si="413"/>
        <v>0.32858139973606387</v>
      </c>
      <c r="AK317" s="55">
        <f t="shared" si="413"/>
        <v>0.32858139973606387</v>
      </c>
      <c r="AL317" s="55">
        <f t="shared" si="413"/>
        <v>0.32858139973606387</v>
      </c>
      <c r="AM317" s="55">
        <f t="shared" si="413"/>
        <v>0.32858139973606387</v>
      </c>
      <c r="AN317" s="55">
        <f t="shared" si="413"/>
        <v>0.32858139973606387</v>
      </c>
      <c r="AO317" s="55">
        <f t="shared" si="413"/>
        <v>0.32858139973606387</v>
      </c>
      <c r="AP317" s="55">
        <f t="shared" si="413"/>
        <v>0.32858139973606387</v>
      </c>
      <c r="AQ317" s="55">
        <f t="shared" si="413"/>
        <v>0.32858139973606387</v>
      </c>
      <c r="AR317" s="55">
        <f t="shared" si="413"/>
        <v>0.32858139973606387</v>
      </c>
      <c r="AS317" s="55">
        <f t="shared" si="413"/>
        <v>0.32858139973606387</v>
      </c>
      <c r="AT317" s="55">
        <f t="shared" si="413"/>
        <v>0.32858139973606387</v>
      </c>
      <c r="AU317" s="55">
        <f t="shared" si="413"/>
        <v>0.32858139973606387</v>
      </c>
      <c r="AV317" s="55">
        <f t="shared" si="413"/>
        <v>0.32858139973606387</v>
      </c>
      <c r="AW317" s="55">
        <f t="shared" si="413"/>
        <v>0.32858139973606387</v>
      </c>
      <c r="AX317" s="55">
        <f t="shared" si="413"/>
        <v>0.32858139973606387</v>
      </c>
      <c r="AY317" s="55">
        <f t="shared" si="413"/>
        <v>0.32858139973606387</v>
      </c>
      <c r="AZ317" s="55">
        <f t="shared" si="413"/>
        <v>0.32858139973606387</v>
      </c>
      <c r="BA317" s="55">
        <f t="shared" si="413"/>
        <v>0.32858139973606387</v>
      </c>
      <c r="BB317" s="55">
        <f t="shared" si="413"/>
        <v>0.32858139973606387</v>
      </c>
      <c r="BC317" s="55">
        <f t="shared" si="413"/>
        <v>0.32858139973606387</v>
      </c>
      <c r="BD317" s="55">
        <f t="shared" si="413"/>
        <v>0.32858139973606387</v>
      </c>
      <c r="BE317" s="55">
        <f t="shared" si="413"/>
        <v>0.32858139973606387</v>
      </c>
      <c r="BF317" s="55">
        <f t="shared" si="413"/>
        <v>0.32858139973606387</v>
      </c>
      <c r="BG317" s="55">
        <f t="shared" si="413"/>
        <v>0</v>
      </c>
      <c r="BH317" s="55">
        <f t="shared" si="413"/>
        <v>0</v>
      </c>
      <c r="BI317" s="55">
        <f t="shared" si="413"/>
        <v>0</v>
      </c>
      <c r="BJ317" s="55">
        <f t="shared" si="413"/>
        <v>0</v>
      </c>
    </row>
    <row r="318" spans="1:62" x14ac:dyDescent="0.3">
      <c r="A318" s="53" t="str">
        <f t="shared" si="375"/>
        <v>project 175</v>
      </c>
      <c r="C318" s="55">
        <f t="shared" ref="C318:AH318" si="414">IF(AND(C$127&gt;=$K107,C$127&lt;=$L107),$G107*(1+$H107)^(C$127-$B$5),0)</f>
        <v>0</v>
      </c>
      <c r="D318" s="55">
        <f t="shared" si="414"/>
        <v>0</v>
      </c>
      <c r="E318" s="55">
        <f t="shared" si="414"/>
        <v>0</v>
      </c>
      <c r="F318" s="55">
        <f t="shared" si="414"/>
        <v>0</v>
      </c>
      <c r="G318" s="55">
        <f t="shared" si="414"/>
        <v>0</v>
      </c>
      <c r="H318" s="55">
        <f t="shared" si="414"/>
        <v>0</v>
      </c>
      <c r="I318" s="55">
        <f t="shared" si="414"/>
        <v>0</v>
      </c>
      <c r="J318" s="55">
        <f t="shared" si="414"/>
        <v>0</v>
      </c>
      <c r="K318" s="55">
        <f t="shared" si="414"/>
        <v>0</v>
      </c>
      <c r="L318" s="55">
        <f t="shared" si="414"/>
        <v>0</v>
      </c>
      <c r="M318" s="55">
        <f t="shared" si="414"/>
        <v>0</v>
      </c>
      <c r="N318" s="55">
        <f t="shared" si="414"/>
        <v>0</v>
      </c>
      <c r="O318" s="55">
        <f t="shared" si="414"/>
        <v>0</v>
      </c>
      <c r="P318" s="55">
        <f t="shared" si="414"/>
        <v>0</v>
      </c>
      <c r="Q318" s="55">
        <f t="shared" si="414"/>
        <v>0</v>
      </c>
      <c r="R318" s="55">
        <f t="shared" si="414"/>
        <v>0</v>
      </c>
      <c r="S318" s="55">
        <f t="shared" si="414"/>
        <v>0</v>
      </c>
      <c r="T318" s="55">
        <f t="shared" si="414"/>
        <v>0.30682569203849269</v>
      </c>
      <c r="U318" s="55">
        <f t="shared" si="414"/>
        <v>0.30682569203849269</v>
      </c>
      <c r="V318" s="55">
        <f t="shared" si="414"/>
        <v>0.30682569203849269</v>
      </c>
      <c r="W318" s="55">
        <f t="shared" si="414"/>
        <v>0.30682569203849269</v>
      </c>
      <c r="X318" s="55">
        <f t="shared" si="414"/>
        <v>0.30682569203849269</v>
      </c>
      <c r="Y318" s="55">
        <f t="shared" si="414"/>
        <v>0.30682569203849269</v>
      </c>
      <c r="Z318" s="55">
        <f t="shared" si="414"/>
        <v>0.30682569203849269</v>
      </c>
      <c r="AA318" s="55">
        <f t="shared" si="414"/>
        <v>0.30682569203849269</v>
      </c>
      <c r="AB318" s="55">
        <f t="shared" si="414"/>
        <v>0.30682569203849269</v>
      </c>
      <c r="AC318" s="55">
        <f t="shared" si="414"/>
        <v>0.30682569203849269</v>
      </c>
      <c r="AD318" s="55">
        <f t="shared" si="414"/>
        <v>0.30682569203849269</v>
      </c>
      <c r="AE318" s="55">
        <f t="shared" si="414"/>
        <v>0.30682569203849269</v>
      </c>
      <c r="AF318" s="55">
        <f t="shared" si="414"/>
        <v>0.30682569203849269</v>
      </c>
      <c r="AG318" s="55">
        <f t="shared" si="414"/>
        <v>0.30682569203849269</v>
      </c>
      <c r="AH318" s="55">
        <f t="shared" si="414"/>
        <v>0.30682569203849269</v>
      </c>
      <c r="AI318" s="55">
        <f t="shared" ref="AI318:BJ318" si="415">IF(AND(AI$127&gt;=$K107,AI$127&lt;=$L107),$G107*(1+$H107)^(AI$127-$B$5),0)</f>
        <v>0.30682569203849269</v>
      </c>
      <c r="AJ318" s="55">
        <f t="shared" si="415"/>
        <v>0.30682569203849269</v>
      </c>
      <c r="AK318" s="55">
        <f t="shared" si="415"/>
        <v>0.30682569203849269</v>
      </c>
      <c r="AL318" s="55">
        <f t="shared" si="415"/>
        <v>0.30682569203849269</v>
      </c>
      <c r="AM318" s="55">
        <f t="shared" si="415"/>
        <v>0.30682569203849269</v>
      </c>
      <c r="AN318" s="55">
        <f t="shared" si="415"/>
        <v>0.30682569203849269</v>
      </c>
      <c r="AO318" s="55">
        <f t="shared" si="415"/>
        <v>0.30682569203849269</v>
      </c>
      <c r="AP318" s="55">
        <f t="shared" si="415"/>
        <v>0.30682569203849269</v>
      </c>
      <c r="AQ318" s="55">
        <f t="shared" si="415"/>
        <v>0.30682569203849269</v>
      </c>
      <c r="AR318" s="55">
        <f t="shared" si="415"/>
        <v>0.30682569203849269</v>
      </c>
      <c r="AS318" s="55">
        <f t="shared" si="415"/>
        <v>0.30682569203849269</v>
      </c>
      <c r="AT318" s="55">
        <f t="shared" si="415"/>
        <v>0.30682569203849269</v>
      </c>
      <c r="AU318" s="55">
        <f t="shared" si="415"/>
        <v>0.30682569203849269</v>
      </c>
      <c r="AV318" s="55">
        <f t="shared" si="415"/>
        <v>0.30682569203849269</v>
      </c>
      <c r="AW318" s="55">
        <f t="shared" si="415"/>
        <v>0.30682569203849269</v>
      </c>
      <c r="AX318" s="55">
        <f t="shared" si="415"/>
        <v>0.30682569203849269</v>
      </c>
      <c r="AY318" s="55">
        <f t="shared" si="415"/>
        <v>0.30682569203849269</v>
      </c>
      <c r="AZ318" s="55">
        <f t="shared" si="415"/>
        <v>0.30682569203849269</v>
      </c>
      <c r="BA318" s="55">
        <f t="shared" si="415"/>
        <v>0.30682569203849269</v>
      </c>
      <c r="BB318" s="55">
        <f t="shared" si="415"/>
        <v>0.30682569203849269</v>
      </c>
      <c r="BC318" s="55">
        <f t="shared" si="415"/>
        <v>0.30682569203849269</v>
      </c>
      <c r="BD318" s="55">
        <f t="shared" si="415"/>
        <v>0.30682569203849269</v>
      </c>
      <c r="BE318" s="55">
        <f t="shared" si="415"/>
        <v>0.30682569203849269</v>
      </c>
      <c r="BF318" s="55">
        <f t="shared" si="415"/>
        <v>0.30682569203849269</v>
      </c>
      <c r="BG318" s="55">
        <f t="shared" si="415"/>
        <v>0.30682569203849269</v>
      </c>
      <c r="BH318" s="55">
        <f t="shared" si="415"/>
        <v>0</v>
      </c>
      <c r="BI318" s="55">
        <f t="shared" si="415"/>
        <v>0</v>
      </c>
      <c r="BJ318" s="55">
        <f t="shared" si="415"/>
        <v>0</v>
      </c>
    </row>
    <row r="319" spans="1:62" x14ac:dyDescent="0.3">
      <c r="A319" s="53" t="str">
        <f t="shared" si="375"/>
        <v>project 176</v>
      </c>
      <c r="C319" s="55">
        <f t="shared" ref="C319:AH319" si="416">IF(AND(C$127&gt;=$K108,C$127&lt;=$L108),$G108*(1+$H108)^(C$127-$B$5),0)</f>
        <v>0</v>
      </c>
      <c r="D319" s="55">
        <f t="shared" si="416"/>
        <v>0</v>
      </c>
      <c r="E319" s="55">
        <f t="shared" si="416"/>
        <v>0</v>
      </c>
      <c r="F319" s="55">
        <f t="shared" si="416"/>
        <v>0</v>
      </c>
      <c r="G319" s="55">
        <f t="shared" si="416"/>
        <v>0</v>
      </c>
      <c r="H319" s="55">
        <f t="shared" si="416"/>
        <v>0</v>
      </c>
      <c r="I319" s="55">
        <f t="shared" si="416"/>
        <v>0</v>
      </c>
      <c r="J319" s="55">
        <f t="shared" si="416"/>
        <v>0</v>
      </c>
      <c r="K319" s="55">
        <f t="shared" si="416"/>
        <v>0</v>
      </c>
      <c r="L319" s="55">
        <f t="shared" si="416"/>
        <v>0</v>
      </c>
      <c r="M319" s="55">
        <f t="shared" si="416"/>
        <v>0</v>
      </c>
      <c r="N319" s="55">
        <f t="shared" si="416"/>
        <v>0</v>
      </c>
      <c r="O319" s="55">
        <f t="shared" si="416"/>
        <v>0</v>
      </c>
      <c r="P319" s="55">
        <f t="shared" si="416"/>
        <v>0</v>
      </c>
      <c r="Q319" s="55">
        <f t="shared" si="416"/>
        <v>0</v>
      </c>
      <c r="R319" s="55">
        <f t="shared" si="416"/>
        <v>0</v>
      </c>
      <c r="S319" s="55">
        <f t="shared" si="416"/>
        <v>0</v>
      </c>
      <c r="T319" s="55">
        <f t="shared" si="416"/>
        <v>0</v>
      </c>
      <c r="U319" s="55">
        <f t="shared" si="416"/>
        <v>0</v>
      </c>
      <c r="V319" s="55">
        <f t="shared" si="416"/>
        <v>0.1931599037366914</v>
      </c>
      <c r="W319" s="55">
        <f t="shared" si="416"/>
        <v>0.1931599037366914</v>
      </c>
      <c r="X319" s="55">
        <f t="shared" si="416"/>
        <v>0.1931599037366914</v>
      </c>
      <c r="Y319" s="55">
        <f t="shared" si="416"/>
        <v>0.1931599037366914</v>
      </c>
      <c r="Z319" s="55">
        <f t="shared" si="416"/>
        <v>0.1931599037366914</v>
      </c>
      <c r="AA319" s="55">
        <f t="shared" si="416"/>
        <v>0.1931599037366914</v>
      </c>
      <c r="AB319" s="55">
        <f t="shared" si="416"/>
        <v>0.1931599037366914</v>
      </c>
      <c r="AC319" s="55">
        <f t="shared" si="416"/>
        <v>0.1931599037366914</v>
      </c>
      <c r="AD319" s="55">
        <f t="shared" si="416"/>
        <v>0.1931599037366914</v>
      </c>
      <c r="AE319" s="55">
        <f t="shared" si="416"/>
        <v>0.1931599037366914</v>
      </c>
      <c r="AF319" s="55">
        <f t="shared" si="416"/>
        <v>0.1931599037366914</v>
      </c>
      <c r="AG319" s="55">
        <f t="shared" si="416"/>
        <v>0.1931599037366914</v>
      </c>
      <c r="AH319" s="55">
        <f t="shared" si="416"/>
        <v>0.1931599037366914</v>
      </c>
      <c r="AI319" s="55">
        <f t="shared" ref="AI319:BJ319" si="417">IF(AND(AI$127&gt;=$K108,AI$127&lt;=$L108),$G108*(1+$H108)^(AI$127-$B$5),0)</f>
        <v>0.1931599037366914</v>
      </c>
      <c r="AJ319" s="55">
        <f t="shared" si="417"/>
        <v>0.1931599037366914</v>
      </c>
      <c r="AK319" s="55">
        <f t="shared" si="417"/>
        <v>0.1931599037366914</v>
      </c>
      <c r="AL319" s="55">
        <f t="shared" si="417"/>
        <v>0.1931599037366914</v>
      </c>
      <c r="AM319" s="55">
        <f t="shared" si="417"/>
        <v>0.1931599037366914</v>
      </c>
      <c r="AN319" s="55">
        <f t="shared" si="417"/>
        <v>0.1931599037366914</v>
      </c>
      <c r="AO319" s="55">
        <f t="shared" si="417"/>
        <v>0.1931599037366914</v>
      </c>
      <c r="AP319" s="55">
        <f t="shared" si="417"/>
        <v>0.1931599037366914</v>
      </c>
      <c r="AQ319" s="55">
        <f t="shared" si="417"/>
        <v>0.1931599037366914</v>
      </c>
      <c r="AR319" s="55">
        <f t="shared" si="417"/>
        <v>0.1931599037366914</v>
      </c>
      <c r="AS319" s="55">
        <f t="shared" si="417"/>
        <v>0.1931599037366914</v>
      </c>
      <c r="AT319" s="55">
        <f t="shared" si="417"/>
        <v>0.1931599037366914</v>
      </c>
      <c r="AU319" s="55">
        <f t="shared" si="417"/>
        <v>0.1931599037366914</v>
      </c>
      <c r="AV319" s="55">
        <f t="shared" si="417"/>
        <v>0.1931599037366914</v>
      </c>
      <c r="AW319" s="55">
        <f t="shared" si="417"/>
        <v>0.1931599037366914</v>
      </c>
      <c r="AX319" s="55">
        <f t="shared" si="417"/>
        <v>0.1931599037366914</v>
      </c>
      <c r="AY319" s="55">
        <f t="shared" si="417"/>
        <v>0.1931599037366914</v>
      </c>
      <c r="AZ319" s="55">
        <f t="shared" si="417"/>
        <v>0.1931599037366914</v>
      </c>
      <c r="BA319" s="55">
        <f t="shared" si="417"/>
        <v>0.1931599037366914</v>
      </c>
      <c r="BB319" s="55">
        <f t="shared" si="417"/>
        <v>0.1931599037366914</v>
      </c>
      <c r="BC319" s="55">
        <f t="shared" si="417"/>
        <v>0.1931599037366914</v>
      </c>
      <c r="BD319" s="55">
        <f t="shared" si="417"/>
        <v>0.1931599037366914</v>
      </c>
      <c r="BE319" s="55">
        <f t="shared" si="417"/>
        <v>0.1931599037366914</v>
      </c>
      <c r="BF319" s="55">
        <f t="shared" si="417"/>
        <v>0.1931599037366914</v>
      </c>
      <c r="BG319" s="55">
        <f t="shared" si="417"/>
        <v>0.1931599037366914</v>
      </c>
      <c r="BH319" s="55">
        <f t="shared" si="417"/>
        <v>0.1931599037366914</v>
      </c>
      <c r="BI319" s="55">
        <f t="shared" si="417"/>
        <v>0.1931599037366914</v>
      </c>
      <c r="BJ319" s="55">
        <f t="shared" si="417"/>
        <v>0</v>
      </c>
    </row>
    <row r="320" spans="1:62" x14ac:dyDescent="0.3">
      <c r="A320" s="53" t="str">
        <f t="shared" si="375"/>
        <v>project 180</v>
      </c>
      <c r="C320" s="55">
        <f t="shared" ref="C320:AH320" si="418">IF(AND(C$127&gt;=$K109,C$127&lt;=$L109),$G109*(1+$H109)^(C$127-$B$5),0)</f>
        <v>0</v>
      </c>
      <c r="D320" s="55">
        <f t="shared" si="418"/>
        <v>0</v>
      </c>
      <c r="E320" s="55">
        <f t="shared" si="418"/>
        <v>0</v>
      </c>
      <c r="F320" s="55">
        <f t="shared" si="418"/>
        <v>0</v>
      </c>
      <c r="G320" s="55">
        <f t="shared" si="418"/>
        <v>0</v>
      </c>
      <c r="H320" s="55">
        <f t="shared" si="418"/>
        <v>0</v>
      </c>
      <c r="I320" s="55">
        <f t="shared" si="418"/>
        <v>0</v>
      </c>
      <c r="J320" s="55">
        <f t="shared" si="418"/>
        <v>0</v>
      </c>
      <c r="K320" s="55">
        <f t="shared" si="418"/>
        <v>0</v>
      </c>
      <c r="L320" s="55">
        <f t="shared" si="418"/>
        <v>0</v>
      </c>
      <c r="M320" s="55">
        <f t="shared" si="418"/>
        <v>0</v>
      </c>
      <c r="N320" s="55">
        <f t="shared" si="418"/>
        <v>0</v>
      </c>
      <c r="O320" s="55">
        <f t="shared" si="418"/>
        <v>0</v>
      </c>
      <c r="P320" s="55">
        <f t="shared" si="418"/>
        <v>0</v>
      </c>
      <c r="Q320" s="55">
        <f t="shared" si="418"/>
        <v>0</v>
      </c>
      <c r="R320" s="55">
        <f t="shared" si="418"/>
        <v>0</v>
      </c>
      <c r="S320" s="55">
        <f t="shared" si="418"/>
        <v>0.19810861970916771</v>
      </c>
      <c r="T320" s="55">
        <f t="shared" si="418"/>
        <v>0.19810861970916771</v>
      </c>
      <c r="U320" s="55">
        <f t="shared" si="418"/>
        <v>0.19810861970916771</v>
      </c>
      <c r="V320" s="55">
        <f t="shared" si="418"/>
        <v>0.19810861970916771</v>
      </c>
      <c r="W320" s="55">
        <f t="shared" si="418"/>
        <v>0.19810861970916771</v>
      </c>
      <c r="X320" s="55">
        <f t="shared" si="418"/>
        <v>0.19810861970916771</v>
      </c>
      <c r="Y320" s="55">
        <f t="shared" si="418"/>
        <v>0.19810861970916771</v>
      </c>
      <c r="Z320" s="55">
        <f t="shared" si="418"/>
        <v>0.19810861970916771</v>
      </c>
      <c r="AA320" s="55">
        <f t="shared" si="418"/>
        <v>0.19810861970916771</v>
      </c>
      <c r="AB320" s="55">
        <f t="shared" si="418"/>
        <v>0.19810861970916771</v>
      </c>
      <c r="AC320" s="55">
        <f t="shared" si="418"/>
        <v>0.19810861970916771</v>
      </c>
      <c r="AD320" s="55">
        <f t="shared" si="418"/>
        <v>0.19810861970916771</v>
      </c>
      <c r="AE320" s="55">
        <f t="shared" si="418"/>
        <v>0.19810861970916771</v>
      </c>
      <c r="AF320" s="55">
        <f t="shared" si="418"/>
        <v>0.19810861970916771</v>
      </c>
      <c r="AG320" s="55">
        <f t="shared" si="418"/>
        <v>0.19810861970916771</v>
      </c>
      <c r="AH320" s="55">
        <f t="shared" si="418"/>
        <v>0.19810861970916771</v>
      </c>
      <c r="AI320" s="55">
        <f t="shared" ref="AI320:BJ320" si="419">IF(AND(AI$127&gt;=$K109,AI$127&lt;=$L109),$G109*(1+$H109)^(AI$127-$B$5),0)</f>
        <v>0.19810861970916771</v>
      </c>
      <c r="AJ320" s="55">
        <f t="shared" si="419"/>
        <v>0.19810861970916771</v>
      </c>
      <c r="AK320" s="55">
        <f t="shared" si="419"/>
        <v>0.19810861970916771</v>
      </c>
      <c r="AL320" s="55">
        <f t="shared" si="419"/>
        <v>0.19810861970916771</v>
      </c>
      <c r="AM320" s="55">
        <f t="shared" si="419"/>
        <v>0.19810861970916771</v>
      </c>
      <c r="AN320" s="55">
        <f t="shared" si="419"/>
        <v>0.19810861970916771</v>
      </c>
      <c r="AO320" s="55">
        <f t="shared" si="419"/>
        <v>0.19810861970916771</v>
      </c>
      <c r="AP320" s="55">
        <f t="shared" si="419"/>
        <v>0.19810861970916771</v>
      </c>
      <c r="AQ320" s="55">
        <f t="shared" si="419"/>
        <v>0.19810861970916771</v>
      </c>
      <c r="AR320" s="55">
        <f t="shared" si="419"/>
        <v>0.19810861970916771</v>
      </c>
      <c r="AS320" s="55">
        <f t="shared" si="419"/>
        <v>0.19810861970916771</v>
      </c>
      <c r="AT320" s="55">
        <f t="shared" si="419"/>
        <v>0.19810861970916771</v>
      </c>
      <c r="AU320" s="55">
        <f t="shared" si="419"/>
        <v>0.19810861970916771</v>
      </c>
      <c r="AV320" s="55">
        <f t="shared" si="419"/>
        <v>0.19810861970916771</v>
      </c>
      <c r="AW320" s="55">
        <f t="shared" si="419"/>
        <v>0.19810861970916771</v>
      </c>
      <c r="AX320" s="55">
        <f t="shared" si="419"/>
        <v>0.19810861970916771</v>
      </c>
      <c r="AY320" s="55">
        <f t="shared" si="419"/>
        <v>0.19810861970916771</v>
      </c>
      <c r="AZ320" s="55">
        <f t="shared" si="419"/>
        <v>0.19810861970916771</v>
      </c>
      <c r="BA320" s="55">
        <f t="shared" si="419"/>
        <v>0.19810861970916771</v>
      </c>
      <c r="BB320" s="55">
        <f t="shared" si="419"/>
        <v>0.19810861970916771</v>
      </c>
      <c r="BC320" s="55">
        <f t="shared" si="419"/>
        <v>0.19810861970916771</v>
      </c>
      <c r="BD320" s="55">
        <f t="shared" si="419"/>
        <v>0.19810861970916771</v>
      </c>
      <c r="BE320" s="55">
        <f t="shared" si="419"/>
        <v>0.19810861970916771</v>
      </c>
      <c r="BF320" s="55">
        <f t="shared" si="419"/>
        <v>0.19810861970916771</v>
      </c>
      <c r="BG320" s="55">
        <f t="shared" si="419"/>
        <v>0</v>
      </c>
      <c r="BH320" s="55">
        <f t="shared" si="419"/>
        <v>0</v>
      </c>
      <c r="BI320" s="55">
        <f t="shared" si="419"/>
        <v>0</v>
      </c>
      <c r="BJ320" s="55">
        <f t="shared" si="419"/>
        <v>0</v>
      </c>
    </row>
    <row r="321" spans="1:62" x14ac:dyDescent="0.3">
      <c r="A321" s="53" t="str">
        <f t="shared" si="375"/>
        <v>project 181</v>
      </c>
      <c r="C321" s="55">
        <f t="shared" ref="C321:AH321" si="420">IF(AND(C$127&gt;=$K110,C$127&lt;=$L110),$G110*(1+$H110)^(C$127-$B$5),0)</f>
        <v>0</v>
      </c>
      <c r="D321" s="55">
        <f t="shared" si="420"/>
        <v>0</v>
      </c>
      <c r="E321" s="55">
        <f t="shared" si="420"/>
        <v>0</v>
      </c>
      <c r="F321" s="55">
        <f t="shared" si="420"/>
        <v>0</v>
      </c>
      <c r="G321" s="55">
        <f t="shared" si="420"/>
        <v>0</v>
      </c>
      <c r="H321" s="55">
        <f t="shared" si="420"/>
        <v>0</v>
      </c>
      <c r="I321" s="55">
        <f t="shared" si="420"/>
        <v>0</v>
      </c>
      <c r="J321" s="55">
        <f t="shared" si="420"/>
        <v>0</v>
      </c>
      <c r="K321" s="55">
        <f t="shared" si="420"/>
        <v>0</v>
      </c>
      <c r="L321" s="55">
        <f t="shared" si="420"/>
        <v>0</v>
      </c>
      <c r="M321" s="55">
        <f t="shared" si="420"/>
        <v>0</v>
      </c>
      <c r="N321" s="55">
        <f t="shared" si="420"/>
        <v>0</v>
      </c>
      <c r="O321" s="55">
        <f t="shared" si="420"/>
        <v>0</v>
      </c>
      <c r="P321" s="55">
        <f t="shared" si="420"/>
        <v>0</v>
      </c>
      <c r="Q321" s="55">
        <f t="shared" si="420"/>
        <v>0</v>
      </c>
      <c r="R321" s="55">
        <f t="shared" si="420"/>
        <v>0</v>
      </c>
      <c r="S321" s="55">
        <f t="shared" si="420"/>
        <v>0</v>
      </c>
      <c r="T321" s="55">
        <f t="shared" si="420"/>
        <v>0.13085826678515761</v>
      </c>
      <c r="U321" s="55">
        <f t="shared" si="420"/>
        <v>0.13085826678515761</v>
      </c>
      <c r="V321" s="55">
        <f t="shared" si="420"/>
        <v>0.13085826678515761</v>
      </c>
      <c r="W321" s="55">
        <f t="shared" si="420"/>
        <v>0.13085826678515761</v>
      </c>
      <c r="X321" s="55">
        <f t="shared" si="420"/>
        <v>0.13085826678515761</v>
      </c>
      <c r="Y321" s="55">
        <f t="shared" si="420"/>
        <v>0.13085826678515761</v>
      </c>
      <c r="Z321" s="55">
        <f t="shared" si="420"/>
        <v>0.13085826678515761</v>
      </c>
      <c r="AA321" s="55">
        <f t="shared" si="420"/>
        <v>0.13085826678515761</v>
      </c>
      <c r="AB321" s="55">
        <f t="shared" si="420"/>
        <v>0.13085826678515761</v>
      </c>
      <c r="AC321" s="55">
        <f t="shared" si="420"/>
        <v>0.13085826678515761</v>
      </c>
      <c r="AD321" s="55">
        <f t="shared" si="420"/>
        <v>0.13085826678515761</v>
      </c>
      <c r="AE321" s="55">
        <f t="shared" si="420"/>
        <v>0.13085826678515761</v>
      </c>
      <c r="AF321" s="55">
        <f t="shared" si="420"/>
        <v>0.13085826678515761</v>
      </c>
      <c r="AG321" s="55">
        <f t="shared" si="420"/>
        <v>0.13085826678515761</v>
      </c>
      <c r="AH321" s="55">
        <f t="shared" si="420"/>
        <v>0.13085826678515761</v>
      </c>
      <c r="AI321" s="55">
        <f t="shared" ref="AI321:BJ321" si="421">IF(AND(AI$127&gt;=$K110,AI$127&lt;=$L110),$G110*(1+$H110)^(AI$127-$B$5),0)</f>
        <v>0.13085826678515761</v>
      </c>
      <c r="AJ321" s="55">
        <f t="shared" si="421"/>
        <v>0.13085826678515761</v>
      </c>
      <c r="AK321" s="55">
        <f t="shared" si="421"/>
        <v>0.13085826678515761</v>
      </c>
      <c r="AL321" s="55">
        <f t="shared" si="421"/>
        <v>0.13085826678515761</v>
      </c>
      <c r="AM321" s="55">
        <f t="shared" si="421"/>
        <v>0.13085826678515761</v>
      </c>
      <c r="AN321" s="55">
        <f t="shared" si="421"/>
        <v>0.13085826678515761</v>
      </c>
      <c r="AO321" s="55">
        <f t="shared" si="421"/>
        <v>0.13085826678515761</v>
      </c>
      <c r="AP321" s="55">
        <f t="shared" si="421"/>
        <v>0.13085826678515761</v>
      </c>
      <c r="AQ321" s="55">
        <f t="shared" si="421"/>
        <v>0.13085826678515761</v>
      </c>
      <c r="AR321" s="55">
        <f t="shared" si="421"/>
        <v>0.13085826678515761</v>
      </c>
      <c r="AS321" s="55">
        <f t="shared" si="421"/>
        <v>0.13085826678515761</v>
      </c>
      <c r="AT321" s="55">
        <f t="shared" si="421"/>
        <v>0.13085826678515761</v>
      </c>
      <c r="AU321" s="55">
        <f t="shared" si="421"/>
        <v>0.13085826678515761</v>
      </c>
      <c r="AV321" s="55">
        <f t="shared" si="421"/>
        <v>0.13085826678515761</v>
      </c>
      <c r="AW321" s="55">
        <f t="shared" si="421"/>
        <v>0.13085826678515761</v>
      </c>
      <c r="AX321" s="55">
        <f t="shared" si="421"/>
        <v>0.13085826678515761</v>
      </c>
      <c r="AY321" s="55">
        <f t="shared" si="421"/>
        <v>0.13085826678515761</v>
      </c>
      <c r="AZ321" s="55">
        <f t="shared" si="421"/>
        <v>0.13085826678515761</v>
      </c>
      <c r="BA321" s="55">
        <f t="shared" si="421"/>
        <v>0.13085826678515761</v>
      </c>
      <c r="BB321" s="55">
        <f t="shared" si="421"/>
        <v>0.13085826678515761</v>
      </c>
      <c r="BC321" s="55">
        <f t="shared" si="421"/>
        <v>0.13085826678515761</v>
      </c>
      <c r="BD321" s="55">
        <f t="shared" si="421"/>
        <v>0.13085826678515761</v>
      </c>
      <c r="BE321" s="55">
        <f t="shared" si="421"/>
        <v>0.13085826678515761</v>
      </c>
      <c r="BF321" s="55">
        <f t="shared" si="421"/>
        <v>0.13085826678515761</v>
      </c>
      <c r="BG321" s="55">
        <f t="shared" si="421"/>
        <v>0.13085826678515761</v>
      </c>
      <c r="BH321" s="55">
        <f t="shared" si="421"/>
        <v>0</v>
      </c>
      <c r="BI321" s="55">
        <f t="shared" si="421"/>
        <v>0</v>
      </c>
      <c r="BJ321" s="55">
        <f t="shared" si="421"/>
        <v>0</v>
      </c>
    </row>
    <row r="322" spans="1:62" x14ac:dyDescent="0.3">
      <c r="A322" s="53" t="str">
        <f t="shared" si="375"/>
        <v>project 182</v>
      </c>
      <c r="C322" s="55">
        <f t="shared" ref="C322:AH322" si="422">IF(AND(C$127&gt;=$K111,C$127&lt;=$L111),$G111*(1+$H111)^(C$127-$B$5),0)</f>
        <v>0</v>
      </c>
      <c r="D322" s="55">
        <f t="shared" si="422"/>
        <v>0</v>
      </c>
      <c r="E322" s="55">
        <f t="shared" si="422"/>
        <v>0</v>
      </c>
      <c r="F322" s="55">
        <f t="shared" si="422"/>
        <v>0</v>
      </c>
      <c r="G322" s="55">
        <f t="shared" si="422"/>
        <v>0</v>
      </c>
      <c r="H322" s="55">
        <f t="shared" si="422"/>
        <v>0</v>
      </c>
      <c r="I322" s="55">
        <f t="shared" si="422"/>
        <v>0</v>
      </c>
      <c r="J322" s="55">
        <f t="shared" si="422"/>
        <v>0</v>
      </c>
      <c r="K322" s="55">
        <f t="shared" si="422"/>
        <v>0</v>
      </c>
      <c r="L322" s="55">
        <f t="shared" si="422"/>
        <v>0</v>
      </c>
      <c r="M322" s="55">
        <f t="shared" si="422"/>
        <v>0</v>
      </c>
      <c r="N322" s="55">
        <f t="shared" si="422"/>
        <v>0</v>
      </c>
      <c r="O322" s="55">
        <f t="shared" si="422"/>
        <v>0</v>
      </c>
      <c r="P322" s="55">
        <f t="shared" si="422"/>
        <v>0</v>
      </c>
      <c r="Q322" s="55">
        <f t="shared" si="422"/>
        <v>0</v>
      </c>
      <c r="R322" s="55">
        <f t="shared" si="422"/>
        <v>0</v>
      </c>
      <c r="S322" s="55">
        <f t="shared" si="422"/>
        <v>0</v>
      </c>
      <c r="T322" s="55">
        <f t="shared" si="422"/>
        <v>0</v>
      </c>
      <c r="U322" s="55">
        <f t="shared" si="422"/>
        <v>0</v>
      </c>
      <c r="V322" s="55">
        <f t="shared" si="422"/>
        <v>0.12686622602917241</v>
      </c>
      <c r="W322" s="55">
        <f t="shared" si="422"/>
        <v>0.12686622602917241</v>
      </c>
      <c r="X322" s="55">
        <f t="shared" si="422"/>
        <v>0.12686622602917241</v>
      </c>
      <c r="Y322" s="55">
        <f t="shared" si="422"/>
        <v>0.12686622602917241</v>
      </c>
      <c r="Z322" s="55">
        <f t="shared" si="422"/>
        <v>0.12686622602917241</v>
      </c>
      <c r="AA322" s="55">
        <f t="shared" si="422"/>
        <v>0.12686622602917241</v>
      </c>
      <c r="AB322" s="55">
        <f t="shared" si="422"/>
        <v>0.12686622602917241</v>
      </c>
      <c r="AC322" s="55">
        <f t="shared" si="422"/>
        <v>0.12686622602917241</v>
      </c>
      <c r="AD322" s="55">
        <f t="shared" si="422"/>
        <v>0.12686622602917241</v>
      </c>
      <c r="AE322" s="55">
        <f t="shared" si="422"/>
        <v>0.12686622602917241</v>
      </c>
      <c r="AF322" s="55">
        <f t="shared" si="422"/>
        <v>0.12686622602917241</v>
      </c>
      <c r="AG322" s="55">
        <f t="shared" si="422"/>
        <v>0.12686622602917241</v>
      </c>
      <c r="AH322" s="55">
        <f t="shared" si="422"/>
        <v>0.12686622602917241</v>
      </c>
      <c r="AI322" s="55">
        <f t="shared" ref="AI322:BJ322" si="423">IF(AND(AI$127&gt;=$K111,AI$127&lt;=$L111),$G111*(1+$H111)^(AI$127-$B$5),0)</f>
        <v>0.12686622602917241</v>
      </c>
      <c r="AJ322" s="55">
        <f t="shared" si="423"/>
        <v>0.12686622602917241</v>
      </c>
      <c r="AK322" s="55">
        <f t="shared" si="423"/>
        <v>0.12686622602917241</v>
      </c>
      <c r="AL322" s="55">
        <f t="shared" si="423"/>
        <v>0.12686622602917241</v>
      </c>
      <c r="AM322" s="55">
        <f t="shared" si="423"/>
        <v>0.12686622602917241</v>
      </c>
      <c r="AN322" s="55">
        <f t="shared" si="423"/>
        <v>0.12686622602917241</v>
      </c>
      <c r="AO322" s="55">
        <f t="shared" si="423"/>
        <v>0.12686622602917241</v>
      </c>
      <c r="AP322" s="55">
        <f t="shared" si="423"/>
        <v>0.12686622602917241</v>
      </c>
      <c r="AQ322" s="55">
        <f t="shared" si="423"/>
        <v>0.12686622602917241</v>
      </c>
      <c r="AR322" s="55">
        <f t="shared" si="423"/>
        <v>0.12686622602917241</v>
      </c>
      <c r="AS322" s="55">
        <f t="shared" si="423"/>
        <v>0.12686622602917241</v>
      </c>
      <c r="AT322" s="55">
        <f t="shared" si="423"/>
        <v>0.12686622602917241</v>
      </c>
      <c r="AU322" s="55">
        <f t="shared" si="423"/>
        <v>0.12686622602917241</v>
      </c>
      <c r="AV322" s="55">
        <f t="shared" si="423"/>
        <v>0.12686622602917241</v>
      </c>
      <c r="AW322" s="55">
        <f t="shared" si="423"/>
        <v>0.12686622602917241</v>
      </c>
      <c r="AX322" s="55">
        <f t="shared" si="423"/>
        <v>0.12686622602917241</v>
      </c>
      <c r="AY322" s="55">
        <f t="shared" si="423"/>
        <v>0.12686622602917241</v>
      </c>
      <c r="AZ322" s="55">
        <f t="shared" si="423"/>
        <v>0.12686622602917241</v>
      </c>
      <c r="BA322" s="55">
        <f t="shared" si="423"/>
        <v>0.12686622602917241</v>
      </c>
      <c r="BB322" s="55">
        <f t="shared" si="423"/>
        <v>0.12686622602917241</v>
      </c>
      <c r="BC322" s="55">
        <f t="shared" si="423"/>
        <v>0.12686622602917241</v>
      </c>
      <c r="BD322" s="55">
        <f t="shared" si="423"/>
        <v>0.12686622602917241</v>
      </c>
      <c r="BE322" s="55">
        <f t="shared" si="423"/>
        <v>0.12686622602917241</v>
      </c>
      <c r="BF322" s="55">
        <f t="shared" si="423"/>
        <v>0.12686622602917241</v>
      </c>
      <c r="BG322" s="55">
        <f t="shared" si="423"/>
        <v>0.12686622602917241</v>
      </c>
      <c r="BH322" s="55">
        <f t="shared" si="423"/>
        <v>0.12686622602917241</v>
      </c>
      <c r="BI322" s="55">
        <f t="shared" si="423"/>
        <v>0.12686622602917241</v>
      </c>
      <c r="BJ322" s="55">
        <f t="shared" si="423"/>
        <v>0</v>
      </c>
    </row>
    <row r="323" spans="1:62" x14ac:dyDescent="0.3">
      <c r="A323" s="53" t="str">
        <f t="shared" si="375"/>
        <v>project 184</v>
      </c>
      <c r="C323" s="55">
        <f t="shared" ref="C323:AH323" si="424">IF(AND(C$127&gt;=$K112,C$127&lt;=$L112),$G112*(1+$H112)^(C$127-$B$5),0)</f>
        <v>0</v>
      </c>
      <c r="D323" s="55">
        <f t="shared" si="424"/>
        <v>0.27219168689469792</v>
      </c>
      <c r="E323" s="55">
        <f t="shared" si="424"/>
        <v>0.27219168689469792</v>
      </c>
      <c r="F323" s="55">
        <f t="shared" si="424"/>
        <v>0.27219168689469792</v>
      </c>
      <c r="G323" s="55">
        <f t="shared" si="424"/>
        <v>0.27219168689469792</v>
      </c>
      <c r="H323" s="55">
        <f t="shared" si="424"/>
        <v>0.27219168689469792</v>
      </c>
      <c r="I323" s="55">
        <f t="shared" si="424"/>
        <v>0.27219168689469792</v>
      </c>
      <c r="J323" s="55">
        <f t="shared" si="424"/>
        <v>0.27219168689469792</v>
      </c>
      <c r="K323" s="55">
        <f t="shared" si="424"/>
        <v>0.27219168689469792</v>
      </c>
      <c r="L323" s="55">
        <f t="shared" si="424"/>
        <v>0.27219168689469792</v>
      </c>
      <c r="M323" s="55">
        <f t="shared" si="424"/>
        <v>0.27219168689469792</v>
      </c>
      <c r="N323" s="55">
        <f t="shared" si="424"/>
        <v>0.27219168689469792</v>
      </c>
      <c r="O323" s="55">
        <f t="shared" si="424"/>
        <v>0.27219168689469792</v>
      </c>
      <c r="P323" s="55">
        <f t="shared" si="424"/>
        <v>0.27219168689469792</v>
      </c>
      <c r="Q323" s="55">
        <f t="shared" si="424"/>
        <v>0.27219168689469792</v>
      </c>
      <c r="R323" s="55">
        <f t="shared" si="424"/>
        <v>0.27219168689469792</v>
      </c>
      <c r="S323" s="55">
        <f t="shared" si="424"/>
        <v>0.27219168689469792</v>
      </c>
      <c r="T323" s="55">
        <f t="shared" si="424"/>
        <v>0.27219168689469792</v>
      </c>
      <c r="U323" s="55">
        <f t="shared" si="424"/>
        <v>0.27219168689469792</v>
      </c>
      <c r="V323" s="55">
        <f t="shared" si="424"/>
        <v>0.27219168689469792</v>
      </c>
      <c r="W323" s="55">
        <f t="shared" si="424"/>
        <v>0.27219168689469792</v>
      </c>
      <c r="X323" s="55">
        <f t="shared" si="424"/>
        <v>0.27219168689469792</v>
      </c>
      <c r="Y323" s="55">
        <f t="shared" si="424"/>
        <v>0.27219168689469792</v>
      </c>
      <c r="Z323" s="55">
        <f t="shared" si="424"/>
        <v>0.27219168689469792</v>
      </c>
      <c r="AA323" s="55">
        <f t="shared" si="424"/>
        <v>0.27219168689469792</v>
      </c>
      <c r="AB323" s="55">
        <f t="shared" si="424"/>
        <v>0.27219168689469792</v>
      </c>
      <c r="AC323" s="55">
        <f t="shared" si="424"/>
        <v>0.27219168689469792</v>
      </c>
      <c r="AD323" s="55">
        <f t="shared" si="424"/>
        <v>0.27219168689469792</v>
      </c>
      <c r="AE323" s="55">
        <f t="shared" si="424"/>
        <v>0.27219168689469792</v>
      </c>
      <c r="AF323" s="55">
        <f t="shared" si="424"/>
        <v>0.27219168689469792</v>
      </c>
      <c r="AG323" s="55">
        <f t="shared" si="424"/>
        <v>0.27219168689469792</v>
      </c>
      <c r="AH323" s="55">
        <f t="shared" si="424"/>
        <v>0.27219168689469792</v>
      </c>
      <c r="AI323" s="55">
        <f t="shared" ref="AI323:BJ323" si="425">IF(AND(AI$127&gt;=$K112,AI$127&lt;=$L112),$G112*(1+$H112)^(AI$127-$B$5),0)</f>
        <v>0.27219168689469792</v>
      </c>
      <c r="AJ323" s="55">
        <f t="shared" si="425"/>
        <v>0.27219168689469792</v>
      </c>
      <c r="AK323" s="55">
        <f t="shared" si="425"/>
        <v>0.27219168689469792</v>
      </c>
      <c r="AL323" s="55">
        <f t="shared" si="425"/>
        <v>0.27219168689469792</v>
      </c>
      <c r="AM323" s="55">
        <f t="shared" si="425"/>
        <v>0.27219168689469792</v>
      </c>
      <c r="AN323" s="55">
        <f t="shared" si="425"/>
        <v>0.27219168689469792</v>
      </c>
      <c r="AO323" s="55">
        <f t="shared" si="425"/>
        <v>0.27219168689469792</v>
      </c>
      <c r="AP323" s="55">
        <f t="shared" si="425"/>
        <v>0.27219168689469792</v>
      </c>
      <c r="AQ323" s="55">
        <f t="shared" si="425"/>
        <v>0.27219168689469792</v>
      </c>
      <c r="AR323" s="55">
        <f t="shared" si="425"/>
        <v>0</v>
      </c>
      <c r="AS323" s="55">
        <f t="shared" si="425"/>
        <v>0</v>
      </c>
      <c r="AT323" s="55">
        <f t="shared" si="425"/>
        <v>0</v>
      </c>
      <c r="AU323" s="55">
        <f t="shared" si="425"/>
        <v>0</v>
      </c>
      <c r="AV323" s="55">
        <f t="shared" si="425"/>
        <v>0</v>
      </c>
      <c r="AW323" s="55">
        <f t="shared" si="425"/>
        <v>0</v>
      </c>
      <c r="AX323" s="55">
        <f t="shared" si="425"/>
        <v>0</v>
      </c>
      <c r="AY323" s="55">
        <f t="shared" si="425"/>
        <v>0</v>
      </c>
      <c r="AZ323" s="55">
        <f t="shared" si="425"/>
        <v>0</v>
      </c>
      <c r="BA323" s="55">
        <f t="shared" si="425"/>
        <v>0</v>
      </c>
      <c r="BB323" s="55">
        <f t="shared" si="425"/>
        <v>0</v>
      </c>
      <c r="BC323" s="55">
        <f t="shared" si="425"/>
        <v>0</v>
      </c>
      <c r="BD323" s="55">
        <f t="shared" si="425"/>
        <v>0</v>
      </c>
      <c r="BE323" s="55">
        <f t="shared" si="425"/>
        <v>0</v>
      </c>
      <c r="BF323" s="55">
        <f t="shared" si="425"/>
        <v>0</v>
      </c>
      <c r="BG323" s="55">
        <f t="shared" si="425"/>
        <v>0</v>
      </c>
      <c r="BH323" s="55">
        <f t="shared" si="425"/>
        <v>0</v>
      </c>
      <c r="BI323" s="55">
        <f t="shared" si="425"/>
        <v>0</v>
      </c>
      <c r="BJ323" s="55">
        <f t="shared" si="425"/>
        <v>0</v>
      </c>
    </row>
    <row r="324" spans="1:62" x14ac:dyDescent="0.3">
      <c r="A324" s="53" t="str">
        <f t="shared" si="375"/>
        <v>project 186</v>
      </c>
      <c r="C324" s="55">
        <f t="shared" ref="C324:AH324" si="426">IF(AND(C$127&gt;=$K113,C$127&lt;=$L113),$G113*(1+$H113)^(C$127-$B$5),0)</f>
        <v>0</v>
      </c>
      <c r="D324" s="55">
        <f t="shared" si="426"/>
        <v>0</v>
      </c>
      <c r="E324" s="55">
        <f t="shared" si="426"/>
        <v>0</v>
      </c>
      <c r="F324" s="55">
        <f t="shared" si="426"/>
        <v>0</v>
      </c>
      <c r="G324" s="55">
        <f t="shared" si="426"/>
        <v>0</v>
      </c>
      <c r="H324" s="55">
        <f t="shared" si="426"/>
        <v>0</v>
      </c>
      <c r="I324" s="55">
        <f t="shared" si="426"/>
        <v>0</v>
      </c>
      <c r="J324" s="55">
        <f t="shared" si="426"/>
        <v>0</v>
      </c>
      <c r="K324" s="55">
        <f t="shared" si="426"/>
        <v>0</v>
      </c>
      <c r="L324" s="55">
        <f t="shared" si="426"/>
        <v>0</v>
      </c>
      <c r="M324" s="55">
        <f t="shared" si="426"/>
        <v>0</v>
      </c>
      <c r="N324" s="55">
        <f t="shared" si="426"/>
        <v>0</v>
      </c>
      <c r="O324" s="55">
        <f t="shared" si="426"/>
        <v>0</v>
      </c>
      <c r="P324" s="55">
        <f t="shared" si="426"/>
        <v>0</v>
      </c>
      <c r="Q324" s="55">
        <f t="shared" si="426"/>
        <v>0</v>
      </c>
      <c r="R324" s="55">
        <f t="shared" si="426"/>
        <v>0</v>
      </c>
      <c r="S324" s="55">
        <f t="shared" si="426"/>
        <v>0</v>
      </c>
      <c r="T324" s="55">
        <f t="shared" si="426"/>
        <v>0</v>
      </c>
      <c r="U324" s="55">
        <f t="shared" si="426"/>
        <v>0</v>
      </c>
      <c r="V324" s="55">
        <f t="shared" si="426"/>
        <v>6.3891432487557437E-2</v>
      </c>
      <c r="W324" s="55">
        <f t="shared" si="426"/>
        <v>6.3891432487557437E-2</v>
      </c>
      <c r="X324" s="55">
        <f t="shared" si="426"/>
        <v>6.3891432487557437E-2</v>
      </c>
      <c r="Y324" s="55">
        <f t="shared" si="426"/>
        <v>6.3891432487557437E-2</v>
      </c>
      <c r="Z324" s="55">
        <f t="shared" si="426"/>
        <v>6.3891432487557437E-2</v>
      </c>
      <c r="AA324" s="55">
        <f t="shared" si="426"/>
        <v>6.3891432487557437E-2</v>
      </c>
      <c r="AB324" s="55">
        <f t="shared" si="426"/>
        <v>6.3891432487557437E-2</v>
      </c>
      <c r="AC324" s="55">
        <f t="shared" si="426"/>
        <v>6.3891432487557437E-2</v>
      </c>
      <c r="AD324" s="55">
        <f t="shared" si="426"/>
        <v>6.3891432487557437E-2</v>
      </c>
      <c r="AE324" s="55">
        <f t="shared" si="426"/>
        <v>6.3891432487557437E-2</v>
      </c>
      <c r="AF324" s="55">
        <f t="shared" si="426"/>
        <v>6.3891432487557437E-2</v>
      </c>
      <c r="AG324" s="55">
        <f t="shared" si="426"/>
        <v>6.3891432487557437E-2</v>
      </c>
      <c r="AH324" s="55">
        <f t="shared" si="426"/>
        <v>6.3891432487557437E-2</v>
      </c>
      <c r="AI324" s="55">
        <f t="shared" ref="AI324:BJ324" si="427">IF(AND(AI$127&gt;=$K113,AI$127&lt;=$L113),$G113*(1+$H113)^(AI$127-$B$5),0)</f>
        <v>6.3891432487557437E-2</v>
      </c>
      <c r="AJ324" s="55">
        <f t="shared" si="427"/>
        <v>6.3891432487557437E-2</v>
      </c>
      <c r="AK324" s="55">
        <f t="shared" si="427"/>
        <v>6.3891432487557437E-2</v>
      </c>
      <c r="AL324" s="55">
        <f t="shared" si="427"/>
        <v>6.3891432487557437E-2</v>
      </c>
      <c r="AM324" s="55">
        <f t="shared" si="427"/>
        <v>6.3891432487557437E-2</v>
      </c>
      <c r="AN324" s="55">
        <f t="shared" si="427"/>
        <v>6.3891432487557437E-2</v>
      </c>
      <c r="AO324" s="55">
        <f t="shared" si="427"/>
        <v>6.3891432487557437E-2</v>
      </c>
      <c r="AP324" s="55">
        <f t="shared" si="427"/>
        <v>6.3891432487557437E-2</v>
      </c>
      <c r="AQ324" s="55">
        <f t="shared" si="427"/>
        <v>6.3891432487557437E-2</v>
      </c>
      <c r="AR324" s="55">
        <f t="shared" si="427"/>
        <v>6.3891432487557437E-2</v>
      </c>
      <c r="AS324" s="55">
        <f t="shared" si="427"/>
        <v>6.3891432487557437E-2</v>
      </c>
      <c r="AT324" s="55">
        <f t="shared" si="427"/>
        <v>6.3891432487557437E-2</v>
      </c>
      <c r="AU324" s="55">
        <f t="shared" si="427"/>
        <v>6.3891432487557437E-2</v>
      </c>
      <c r="AV324" s="55">
        <f t="shared" si="427"/>
        <v>6.3891432487557437E-2</v>
      </c>
      <c r="AW324" s="55">
        <f t="shared" si="427"/>
        <v>6.3891432487557437E-2</v>
      </c>
      <c r="AX324" s="55">
        <f t="shared" si="427"/>
        <v>6.3891432487557437E-2</v>
      </c>
      <c r="AY324" s="55">
        <f t="shared" si="427"/>
        <v>6.3891432487557437E-2</v>
      </c>
      <c r="AZ324" s="55">
        <f t="shared" si="427"/>
        <v>6.3891432487557437E-2</v>
      </c>
      <c r="BA324" s="55">
        <f t="shared" si="427"/>
        <v>6.3891432487557437E-2</v>
      </c>
      <c r="BB324" s="55">
        <f t="shared" si="427"/>
        <v>6.3891432487557437E-2</v>
      </c>
      <c r="BC324" s="55">
        <f t="shared" si="427"/>
        <v>6.3891432487557437E-2</v>
      </c>
      <c r="BD324" s="55">
        <f t="shared" si="427"/>
        <v>6.3891432487557437E-2</v>
      </c>
      <c r="BE324" s="55">
        <f t="shared" si="427"/>
        <v>6.3891432487557437E-2</v>
      </c>
      <c r="BF324" s="55">
        <f t="shared" si="427"/>
        <v>6.3891432487557437E-2</v>
      </c>
      <c r="BG324" s="55">
        <f t="shared" si="427"/>
        <v>6.3891432487557437E-2</v>
      </c>
      <c r="BH324" s="55">
        <f t="shared" si="427"/>
        <v>6.3891432487557437E-2</v>
      </c>
      <c r="BI324" s="55">
        <f t="shared" si="427"/>
        <v>6.3891432487557437E-2</v>
      </c>
      <c r="BJ324" s="55">
        <f t="shared" si="427"/>
        <v>0</v>
      </c>
    </row>
    <row r="325" spans="1:62" x14ac:dyDescent="0.3">
      <c r="A325" s="53" t="str">
        <f t="shared" si="375"/>
        <v>project 188</v>
      </c>
      <c r="C325" s="55">
        <f t="shared" ref="C325:AH325" si="428">IF(AND(C$127&gt;=$K114,C$127&lt;=$L114),$G114*(1+$H114)^(C$127-$B$5),0)</f>
        <v>0</v>
      </c>
      <c r="D325" s="55">
        <f t="shared" si="428"/>
        <v>0</v>
      </c>
      <c r="E325" s="55">
        <f t="shared" si="428"/>
        <v>0</v>
      </c>
      <c r="F325" s="55">
        <f t="shared" si="428"/>
        <v>0</v>
      </c>
      <c r="G325" s="55">
        <f t="shared" si="428"/>
        <v>0</v>
      </c>
      <c r="H325" s="55">
        <f t="shared" si="428"/>
        <v>0</v>
      </c>
      <c r="I325" s="55">
        <f t="shared" si="428"/>
        <v>0</v>
      </c>
      <c r="J325" s="55">
        <f t="shared" si="428"/>
        <v>0</v>
      </c>
      <c r="K325" s="55">
        <f t="shared" si="428"/>
        <v>0</v>
      </c>
      <c r="L325" s="55">
        <f t="shared" si="428"/>
        <v>0</v>
      </c>
      <c r="M325" s="55">
        <f t="shared" si="428"/>
        <v>0</v>
      </c>
      <c r="N325" s="55">
        <f t="shared" si="428"/>
        <v>0</v>
      </c>
      <c r="O325" s="55">
        <f t="shared" si="428"/>
        <v>0</v>
      </c>
      <c r="P325" s="55">
        <f t="shared" si="428"/>
        <v>0</v>
      </c>
      <c r="Q325" s="55">
        <f t="shared" si="428"/>
        <v>0</v>
      </c>
      <c r="R325" s="55">
        <f t="shared" si="428"/>
        <v>0</v>
      </c>
      <c r="S325" s="55">
        <f t="shared" si="428"/>
        <v>0</v>
      </c>
      <c r="T325" s="55">
        <f t="shared" si="428"/>
        <v>0</v>
      </c>
      <c r="U325" s="55">
        <f t="shared" si="428"/>
        <v>6.6228288230541679E-2</v>
      </c>
      <c r="V325" s="55">
        <f t="shared" si="428"/>
        <v>6.6228288230541679E-2</v>
      </c>
      <c r="W325" s="55">
        <f t="shared" si="428"/>
        <v>6.6228288230541679E-2</v>
      </c>
      <c r="X325" s="55">
        <f t="shared" si="428"/>
        <v>6.6228288230541679E-2</v>
      </c>
      <c r="Y325" s="55">
        <f t="shared" si="428"/>
        <v>6.6228288230541679E-2</v>
      </c>
      <c r="Z325" s="55">
        <f t="shared" si="428"/>
        <v>6.6228288230541679E-2</v>
      </c>
      <c r="AA325" s="55">
        <f t="shared" si="428"/>
        <v>6.6228288230541679E-2</v>
      </c>
      <c r="AB325" s="55">
        <f t="shared" si="428"/>
        <v>6.6228288230541679E-2</v>
      </c>
      <c r="AC325" s="55">
        <f t="shared" si="428"/>
        <v>6.6228288230541679E-2</v>
      </c>
      <c r="AD325" s="55">
        <f t="shared" si="428"/>
        <v>6.6228288230541679E-2</v>
      </c>
      <c r="AE325" s="55">
        <f t="shared" si="428"/>
        <v>6.6228288230541679E-2</v>
      </c>
      <c r="AF325" s="55">
        <f t="shared" si="428"/>
        <v>6.6228288230541679E-2</v>
      </c>
      <c r="AG325" s="55">
        <f t="shared" si="428"/>
        <v>6.6228288230541679E-2</v>
      </c>
      <c r="AH325" s="55">
        <f t="shared" si="428"/>
        <v>6.6228288230541679E-2</v>
      </c>
      <c r="AI325" s="55">
        <f t="shared" ref="AI325:BJ325" si="429">IF(AND(AI$127&gt;=$K114,AI$127&lt;=$L114),$G114*(1+$H114)^(AI$127-$B$5),0)</f>
        <v>6.6228288230541679E-2</v>
      </c>
      <c r="AJ325" s="55">
        <f t="shared" si="429"/>
        <v>6.6228288230541679E-2</v>
      </c>
      <c r="AK325" s="55">
        <f t="shared" si="429"/>
        <v>6.6228288230541679E-2</v>
      </c>
      <c r="AL325" s="55">
        <f t="shared" si="429"/>
        <v>6.6228288230541679E-2</v>
      </c>
      <c r="AM325" s="55">
        <f t="shared" si="429"/>
        <v>6.6228288230541679E-2</v>
      </c>
      <c r="AN325" s="55">
        <f t="shared" si="429"/>
        <v>6.6228288230541679E-2</v>
      </c>
      <c r="AO325" s="55">
        <f t="shared" si="429"/>
        <v>6.6228288230541679E-2</v>
      </c>
      <c r="AP325" s="55">
        <f t="shared" si="429"/>
        <v>6.6228288230541679E-2</v>
      </c>
      <c r="AQ325" s="55">
        <f t="shared" si="429"/>
        <v>6.6228288230541679E-2</v>
      </c>
      <c r="AR325" s="55">
        <f t="shared" si="429"/>
        <v>6.6228288230541679E-2</v>
      </c>
      <c r="AS325" s="55">
        <f t="shared" si="429"/>
        <v>6.6228288230541679E-2</v>
      </c>
      <c r="AT325" s="55">
        <f t="shared" si="429"/>
        <v>6.6228288230541679E-2</v>
      </c>
      <c r="AU325" s="55">
        <f t="shared" si="429"/>
        <v>6.6228288230541679E-2</v>
      </c>
      <c r="AV325" s="55">
        <f t="shared" si="429"/>
        <v>6.6228288230541679E-2</v>
      </c>
      <c r="AW325" s="55">
        <f t="shared" si="429"/>
        <v>6.6228288230541679E-2</v>
      </c>
      <c r="AX325" s="55">
        <f t="shared" si="429"/>
        <v>6.6228288230541679E-2</v>
      </c>
      <c r="AY325" s="55">
        <f t="shared" si="429"/>
        <v>6.6228288230541679E-2</v>
      </c>
      <c r="AZ325" s="55">
        <f t="shared" si="429"/>
        <v>6.6228288230541679E-2</v>
      </c>
      <c r="BA325" s="55">
        <f t="shared" si="429"/>
        <v>6.6228288230541679E-2</v>
      </c>
      <c r="BB325" s="55">
        <f t="shared" si="429"/>
        <v>6.6228288230541679E-2</v>
      </c>
      <c r="BC325" s="55">
        <f t="shared" si="429"/>
        <v>6.6228288230541679E-2</v>
      </c>
      <c r="BD325" s="55">
        <f t="shared" si="429"/>
        <v>6.6228288230541679E-2</v>
      </c>
      <c r="BE325" s="55">
        <f t="shared" si="429"/>
        <v>6.6228288230541679E-2</v>
      </c>
      <c r="BF325" s="55">
        <f t="shared" si="429"/>
        <v>6.6228288230541679E-2</v>
      </c>
      <c r="BG325" s="55">
        <f t="shared" si="429"/>
        <v>6.6228288230541679E-2</v>
      </c>
      <c r="BH325" s="55">
        <f t="shared" si="429"/>
        <v>6.6228288230541679E-2</v>
      </c>
      <c r="BI325" s="55">
        <f t="shared" si="429"/>
        <v>0</v>
      </c>
      <c r="BJ325" s="55">
        <f t="shared" si="429"/>
        <v>0</v>
      </c>
    </row>
    <row r="326" spans="1:62" x14ac:dyDescent="0.3">
      <c r="A326" s="53" t="str">
        <f t="shared" si="375"/>
        <v>project 190</v>
      </c>
      <c r="C326" s="55">
        <f t="shared" ref="C326:AH326" si="430">IF(AND(C$127&gt;=$K115,C$127&lt;=$L115),$G115*(1+$H115)^(C$127-$B$5),0)</f>
        <v>0</v>
      </c>
      <c r="D326" s="55">
        <f t="shared" si="430"/>
        <v>0</v>
      </c>
      <c r="E326" s="55">
        <f t="shared" si="430"/>
        <v>0</v>
      </c>
      <c r="F326" s="55">
        <f t="shared" si="430"/>
        <v>0</v>
      </c>
      <c r="G326" s="55">
        <f t="shared" si="430"/>
        <v>0</v>
      </c>
      <c r="H326" s="55">
        <f t="shared" si="430"/>
        <v>0</v>
      </c>
      <c r="I326" s="55">
        <f t="shared" si="430"/>
        <v>0</v>
      </c>
      <c r="J326" s="55">
        <f t="shared" si="430"/>
        <v>0</v>
      </c>
      <c r="K326" s="55">
        <f t="shared" si="430"/>
        <v>0</v>
      </c>
      <c r="L326" s="55">
        <f t="shared" si="430"/>
        <v>0</v>
      </c>
      <c r="M326" s="55">
        <f t="shared" si="430"/>
        <v>0</v>
      </c>
      <c r="N326" s="55">
        <f t="shared" si="430"/>
        <v>0</v>
      </c>
      <c r="O326" s="55">
        <f t="shared" si="430"/>
        <v>5.7835800336749003E-2</v>
      </c>
      <c r="P326" s="55">
        <f t="shared" si="430"/>
        <v>5.7835800336749003E-2</v>
      </c>
      <c r="Q326" s="55">
        <f t="shared" si="430"/>
        <v>5.7835800336749003E-2</v>
      </c>
      <c r="R326" s="55">
        <f t="shared" si="430"/>
        <v>5.7835800336749003E-2</v>
      </c>
      <c r="S326" s="55">
        <f t="shared" si="430"/>
        <v>5.7835800336749003E-2</v>
      </c>
      <c r="T326" s="55">
        <f t="shared" si="430"/>
        <v>5.7835800336749003E-2</v>
      </c>
      <c r="U326" s="55">
        <f t="shared" si="430"/>
        <v>5.7835800336749003E-2</v>
      </c>
      <c r="V326" s="55">
        <f t="shared" si="430"/>
        <v>5.7835800336749003E-2</v>
      </c>
      <c r="W326" s="55">
        <f t="shared" si="430"/>
        <v>5.7835800336749003E-2</v>
      </c>
      <c r="X326" s="55">
        <f t="shared" si="430"/>
        <v>5.7835800336749003E-2</v>
      </c>
      <c r="Y326" s="55">
        <f t="shared" si="430"/>
        <v>5.7835800336749003E-2</v>
      </c>
      <c r="Z326" s="55">
        <f t="shared" si="430"/>
        <v>5.7835800336749003E-2</v>
      </c>
      <c r="AA326" s="55">
        <f t="shared" si="430"/>
        <v>5.7835800336749003E-2</v>
      </c>
      <c r="AB326" s="55">
        <f t="shared" si="430"/>
        <v>5.7835800336749003E-2</v>
      </c>
      <c r="AC326" s="55">
        <f t="shared" si="430"/>
        <v>5.7835800336749003E-2</v>
      </c>
      <c r="AD326" s="55">
        <f t="shared" si="430"/>
        <v>5.7835800336749003E-2</v>
      </c>
      <c r="AE326" s="55">
        <f t="shared" si="430"/>
        <v>5.7835800336749003E-2</v>
      </c>
      <c r="AF326" s="55">
        <f t="shared" si="430"/>
        <v>5.7835800336749003E-2</v>
      </c>
      <c r="AG326" s="55">
        <f t="shared" si="430"/>
        <v>5.7835800336749003E-2</v>
      </c>
      <c r="AH326" s="55">
        <f t="shared" si="430"/>
        <v>5.7835800336749003E-2</v>
      </c>
      <c r="AI326" s="55">
        <f t="shared" ref="AI326:BJ326" si="431">IF(AND(AI$127&gt;=$K115,AI$127&lt;=$L115),$G115*(1+$H115)^(AI$127-$B$5),0)</f>
        <v>5.7835800336749003E-2</v>
      </c>
      <c r="AJ326" s="55">
        <f t="shared" si="431"/>
        <v>5.7835800336749003E-2</v>
      </c>
      <c r="AK326" s="55">
        <f t="shared" si="431"/>
        <v>5.7835800336749003E-2</v>
      </c>
      <c r="AL326" s="55">
        <f t="shared" si="431"/>
        <v>5.7835800336749003E-2</v>
      </c>
      <c r="AM326" s="55">
        <f t="shared" si="431"/>
        <v>5.7835800336749003E-2</v>
      </c>
      <c r="AN326" s="55">
        <f t="shared" si="431"/>
        <v>5.7835800336749003E-2</v>
      </c>
      <c r="AO326" s="55">
        <f t="shared" si="431"/>
        <v>5.7835800336749003E-2</v>
      </c>
      <c r="AP326" s="55">
        <f t="shared" si="431"/>
        <v>5.7835800336749003E-2</v>
      </c>
      <c r="AQ326" s="55">
        <f t="shared" si="431"/>
        <v>5.7835800336749003E-2</v>
      </c>
      <c r="AR326" s="55">
        <f t="shared" si="431"/>
        <v>5.7835800336749003E-2</v>
      </c>
      <c r="AS326" s="55">
        <f t="shared" si="431"/>
        <v>5.7835800336749003E-2</v>
      </c>
      <c r="AT326" s="55">
        <f t="shared" si="431"/>
        <v>5.7835800336749003E-2</v>
      </c>
      <c r="AU326" s="55">
        <f t="shared" si="431"/>
        <v>5.7835800336749003E-2</v>
      </c>
      <c r="AV326" s="55">
        <f t="shared" si="431"/>
        <v>5.7835800336749003E-2</v>
      </c>
      <c r="AW326" s="55">
        <f t="shared" si="431"/>
        <v>5.7835800336749003E-2</v>
      </c>
      <c r="AX326" s="55">
        <f t="shared" si="431"/>
        <v>5.7835800336749003E-2</v>
      </c>
      <c r="AY326" s="55">
        <f t="shared" si="431"/>
        <v>5.7835800336749003E-2</v>
      </c>
      <c r="AZ326" s="55">
        <f t="shared" si="431"/>
        <v>5.7835800336749003E-2</v>
      </c>
      <c r="BA326" s="55">
        <f t="shared" si="431"/>
        <v>5.7835800336749003E-2</v>
      </c>
      <c r="BB326" s="55">
        <f t="shared" si="431"/>
        <v>5.7835800336749003E-2</v>
      </c>
      <c r="BC326" s="55">
        <f t="shared" si="431"/>
        <v>0</v>
      </c>
      <c r="BD326" s="55">
        <f t="shared" si="431"/>
        <v>0</v>
      </c>
      <c r="BE326" s="55">
        <f t="shared" si="431"/>
        <v>0</v>
      </c>
      <c r="BF326" s="55">
        <f t="shared" si="431"/>
        <v>0</v>
      </c>
      <c r="BG326" s="55">
        <f t="shared" si="431"/>
        <v>0</v>
      </c>
      <c r="BH326" s="55">
        <f t="shared" si="431"/>
        <v>0</v>
      </c>
      <c r="BI326" s="55">
        <f t="shared" si="431"/>
        <v>0</v>
      </c>
      <c r="BJ326" s="55">
        <f t="shared" si="431"/>
        <v>0</v>
      </c>
    </row>
    <row r="327" spans="1:62" x14ac:dyDescent="0.3">
      <c r="A327" s="53" t="str">
        <f t="shared" si="375"/>
        <v>project 192</v>
      </c>
      <c r="C327" s="55">
        <f t="shared" ref="C327:AH327" si="432">IF(AND(C$127&gt;=$K116,C$127&lt;=$L116),$G116*(1+$H116)^(C$127-$B$5),0)</f>
        <v>0</v>
      </c>
      <c r="D327" s="55">
        <f t="shared" si="432"/>
        <v>0</v>
      </c>
      <c r="E327" s="55">
        <f t="shared" si="432"/>
        <v>0</v>
      </c>
      <c r="F327" s="55">
        <f t="shared" si="432"/>
        <v>0</v>
      </c>
      <c r="G327" s="55">
        <f t="shared" si="432"/>
        <v>0</v>
      </c>
      <c r="H327" s="55">
        <f t="shared" si="432"/>
        <v>0</v>
      </c>
      <c r="I327" s="55">
        <f t="shared" si="432"/>
        <v>0</v>
      </c>
      <c r="J327" s="55">
        <f t="shared" si="432"/>
        <v>0</v>
      </c>
      <c r="K327" s="55">
        <f t="shared" si="432"/>
        <v>0</v>
      </c>
      <c r="L327" s="55">
        <f t="shared" si="432"/>
        <v>0</v>
      </c>
      <c r="M327" s="55">
        <f t="shared" si="432"/>
        <v>0</v>
      </c>
      <c r="N327" s="55">
        <f t="shared" si="432"/>
        <v>0</v>
      </c>
      <c r="O327" s="55">
        <f t="shared" si="432"/>
        <v>0</v>
      </c>
      <c r="P327" s="55">
        <f t="shared" si="432"/>
        <v>0</v>
      </c>
      <c r="Q327" s="55">
        <f t="shared" si="432"/>
        <v>0</v>
      </c>
      <c r="R327" s="55">
        <f t="shared" si="432"/>
        <v>0</v>
      </c>
      <c r="S327" s="55">
        <f t="shared" si="432"/>
        <v>0</v>
      </c>
      <c r="T327" s="55">
        <f t="shared" si="432"/>
        <v>0</v>
      </c>
      <c r="U327" s="55">
        <f t="shared" si="432"/>
        <v>4.7265933196042102E-2</v>
      </c>
      <c r="V327" s="55">
        <f t="shared" si="432"/>
        <v>4.7265933196042102E-2</v>
      </c>
      <c r="W327" s="55">
        <f t="shared" si="432"/>
        <v>4.7265933196042102E-2</v>
      </c>
      <c r="X327" s="55">
        <f t="shared" si="432"/>
        <v>4.7265933196042102E-2</v>
      </c>
      <c r="Y327" s="55">
        <f t="shared" si="432"/>
        <v>4.7265933196042102E-2</v>
      </c>
      <c r="Z327" s="55">
        <f t="shared" si="432"/>
        <v>4.7265933196042102E-2</v>
      </c>
      <c r="AA327" s="55">
        <f t="shared" si="432"/>
        <v>4.7265933196042102E-2</v>
      </c>
      <c r="AB327" s="55">
        <f t="shared" si="432"/>
        <v>4.7265933196042102E-2</v>
      </c>
      <c r="AC327" s="55">
        <f t="shared" si="432"/>
        <v>4.7265933196042102E-2</v>
      </c>
      <c r="AD327" s="55">
        <f t="shared" si="432"/>
        <v>4.7265933196042102E-2</v>
      </c>
      <c r="AE327" s="55">
        <f t="shared" si="432"/>
        <v>4.7265933196042102E-2</v>
      </c>
      <c r="AF327" s="55">
        <f t="shared" si="432"/>
        <v>4.7265933196042102E-2</v>
      </c>
      <c r="AG327" s="55">
        <f t="shared" si="432"/>
        <v>4.7265933196042102E-2</v>
      </c>
      <c r="AH327" s="55">
        <f t="shared" si="432"/>
        <v>4.7265933196042102E-2</v>
      </c>
      <c r="AI327" s="55">
        <f t="shared" ref="AI327:BJ327" si="433">IF(AND(AI$127&gt;=$K116,AI$127&lt;=$L116),$G116*(1+$H116)^(AI$127-$B$5),0)</f>
        <v>4.7265933196042102E-2</v>
      </c>
      <c r="AJ327" s="55">
        <f t="shared" si="433"/>
        <v>4.7265933196042102E-2</v>
      </c>
      <c r="AK327" s="55">
        <f t="shared" si="433"/>
        <v>4.7265933196042102E-2</v>
      </c>
      <c r="AL327" s="55">
        <f t="shared" si="433"/>
        <v>4.7265933196042102E-2</v>
      </c>
      <c r="AM327" s="55">
        <f t="shared" si="433"/>
        <v>4.7265933196042102E-2</v>
      </c>
      <c r="AN327" s="55">
        <f t="shared" si="433"/>
        <v>4.7265933196042102E-2</v>
      </c>
      <c r="AO327" s="55">
        <f t="shared" si="433"/>
        <v>4.7265933196042102E-2</v>
      </c>
      <c r="AP327" s="55">
        <f t="shared" si="433"/>
        <v>4.7265933196042102E-2</v>
      </c>
      <c r="AQ327" s="55">
        <f t="shared" si="433"/>
        <v>4.7265933196042102E-2</v>
      </c>
      <c r="AR327" s="55">
        <f t="shared" si="433"/>
        <v>4.7265933196042102E-2</v>
      </c>
      <c r="AS327" s="55">
        <f t="shared" si="433"/>
        <v>4.7265933196042102E-2</v>
      </c>
      <c r="AT327" s="55">
        <f t="shared" si="433"/>
        <v>4.7265933196042102E-2</v>
      </c>
      <c r="AU327" s="55">
        <f t="shared" si="433"/>
        <v>4.7265933196042102E-2</v>
      </c>
      <c r="AV327" s="55">
        <f t="shared" si="433"/>
        <v>4.7265933196042102E-2</v>
      </c>
      <c r="AW327" s="55">
        <f t="shared" si="433"/>
        <v>4.7265933196042102E-2</v>
      </c>
      <c r="AX327" s="55">
        <f t="shared" si="433"/>
        <v>4.7265933196042102E-2</v>
      </c>
      <c r="AY327" s="55">
        <f t="shared" si="433"/>
        <v>4.7265933196042102E-2</v>
      </c>
      <c r="AZ327" s="55">
        <f t="shared" si="433"/>
        <v>4.7265933196042102E-2</v>
      </c>
      <c r="BA327" s="55">
        <f t="shared" si="433"/>
        <v>4.7265933196042102E-2</v>
      </c>
      <c r="BB327" s="55">
        <f t="shared" si="433"/>
        <v>4.7265933196042102E-2</v>
      </c>
      <c r="BC327" s="55">
        <f t="shared" si="433"/>
        <v>4.7265933196042102E-2</v>
      </c>
      <c r="BD327" s="55">
        <f t="shared" si="433"/>
        <v>4.7265933196042102E-2</v>
      </c>
      <c r="BE327" s="55">
        <f t="shared" si="433"/>
        <v>4.7265933196042102E-2</v>
      </c>
      <c r="BF327" s="55">
        <f t="shared" si="433"/>
        <v>4.7265933196042102E-2</v>
      </c>
      <c r="BG327" s="55">
        <f t="shared" si="433"/>
        <v>4.7265933196042102E-2</v>
      </c>
      <c r="BH327" s="55">
        <f t="shared" si="433"/>
        <v>4.7265933196042102E-2</v>
      </c>
      <c r="BI327" s="55">
        <f t="shared" si="433"/>
        <v>0</v>
      </c>
      <c r="BJ327" s="55">
        <f t="shared" si="433"/>
        <v>0</v>
      </c>
    </row>
    <row r="328" spans="1:62" x14ac:dyDescent="0.3">
      <c r="A328" s="53" t="str">
        <f t="shared" si="375"/>
        <v>project 193</v>
      </c>
      <c r="C328" s="55">
        <f t="shared" ref="C328:AH328" si="434">IF(AND(C$127&gt;=$K117,C$127&lt;=$L117),$G117*(1+$H117)^(C$127-$B$5),0)</f>
        <v>0</v>
      </c>
      <c r="D328" s="55">
        <f t="shared" si="434"/>
        <v>0</v>
      </c>
      <c r="E328" s="55">
        <f t="shared" si="434"/>
        <v>0</v>
      </c>
      <c r="F328" s="55">
        <f t="shared" si="434"/>
        <v>0</v>
      </c>
      <c r="G328" s="55">
        <f t="shared" si="434"/>
        <v>0</v>
      </c>
      <c r="H328" s="55">
        <f t="shared" si="434"/>
        <v>0</v>
      </c>
      <c r="I328" s="55">
        <f t="shared" si="434"/>
        <v>0</v>
      </c>
      <c r="J328" s="55">
        <f t="shared" si="434"/>
        <v>0</v>
      </c>
      <c r="K328" s="55">
        <f t="shared" si="434"/>
        <v>0</v>
      </c>
      <c r="L328" s="55">
        <f t="shared" si="434"/>
        <v>0</v>
      </c>
      <c r="M328" s="55">
        <f t="shared" si="434"/>
        <v>0</v>
      </c>
      <c r="N328" s="55">
        <f t="shared" si="434"/>
        <v>0</v>
      </c>
      <c r="O328" s="55">
        <f t="shared" si="434"/>
        <v>5.6624143307908069E-2</v>
      </c>
      <c r="P328" s="55">
        <f t="shared" si="434"/>
        <v>5.6624143307908069E-2</v>
      </c>
      <c r="Q328" s="55">
        <f t="shared" si="434"/>
        <v>5.6624143307908069E-2</v>
      </c>
      <c r="R328" s="55">
        <f t="shared" si="434"/>
        <v>5.6624143307908069E-2</v>
      </c>
      <c r="S328" s="55">
        <f t="shared" si="434"/>
        <v>5.6624143307908069E-2</v>
      </c>
      <c r="T328" s="55">
        <f t="shared" si="434"/>
        <v>5.6624143307908069E-2</v>
      </c>
      <c r="U328" s="55">
        <f t="shared" si="434"/>
        <v>5.6624143307908069E-2</v>
      </c>
      <c r="V328" s="55">
        <f t="shared" si="434"/>
        <v>5.6624143307908069E-2</v>
      </c>
      <c r="W328" s="55">
        <f t="shared" si="434"/>
        <v>5.6624143307908069E-2</v>
      </c>
      <c r="X328" s="55">
        <f t="shared" si="434"/>
        <v>5.6624143307908069E-2</v>
      </c>
      <c r="Y328" s="55">
        <f t="shared" si="434"/>
        <v>5.6624143307908069E-2</v>
      </c>
      <c r="Z328" s="55">
        <f t="shared" si="434"/>
        <v>5.6624143307908069E-2</v>
      </c>
      <c r="AA328" s="55">
        <f t="shared" si="434"/>
        <v>5.6624143307908069E-2</v>
      </c>
      <c r="AB328" s="55">
        <f t="shared" si="434"/>
        <v>5.6624143307908069E-2</v>
      </c>
      <c r="AC328" s="55">
        <f t="shared" si="434"/>
        <v>5.6624143307908069E-2</v>
      </c>
      <c r="AD328" s="55">
        <f t="shared" si="434"/>
        <v>5.6624143307908069E-2</v>
      </c>
      <c r="AE328" s="55">
        <f t="shared" si="434"/>
        <v>5.6624143307908069E-2</v>
      </c>
      <c r="AF328" s="55">
        <f t="shared" si="434"/>
        <v>5.6624143307908069E-2</v>
      </c>
      <c r="AG328" s="55">
        <f t="shared" si="434"/>
        <v>5.6624143307908069E-2</v>
      </c>
      <c r="AH328" s="55">
        <f t="shared" si="434"/>
        <v>5.6624143307908069E-2</v>
      </c>
      <c r="AI328" s="55">
        <f t="shared" ref="AI328:BJ328" si="435">IF(AND(AI$127&gt;=$K117,AI$127&lt;=$L117),$G117*(1+$H117)^(AI$127-$B$5),0)</f>
        <v>5.6624143307908069E-2</v>
      </c>
      <c r="AJ328" s="55">
        <f t="shared" si="435"/>
        <v>5.6624143307908069E-2</v>
      </c>
      <c r="AK328" s="55">
        <f t="shared" si="435"/>
        <v>5.6624143307908069E-2</v>
      </c>
      <c r="AL328" s="55">
        <f t="shared" si="435"/>
        <v>5.6624143307908069E-2</v>
      </c>
      <c r="AM328" s="55">
        <f t="shared" si="435"/>
        <v>5.6624143307908069E-2</v>
      </c>
      <c r="AN328" s="55">
        <f t="shared" si="435"/>
        <v>5.6624143307908069E-2</v>
      </c>
      <c r="AO328" s="55">
        <f t="shared" si="435"/>
        <v>5.6624143307908069E-2</v>
      </c>
      <c r="AP328" s="55">
        <f t="shared" si="435"/>
        <v>5.6624143307908069E-2</v>
      </c>
      <c r="AQ328" s="55">
        <f t="shared" si="435"/>
        <v>5.6624143307908069E-2</v>
      </c>
      <c r="AR328" s="55">
        <f t="shared" si="435"/>
        <v>5.6624143307908069E-2</v>
      </c>
      <c r="AS328" s="55">
        <f t="shared" si="435"/>
        <v>5.6624143307908069E-2</v>
      </c>
      <c r="AT328" s="55">
        <f t="shared" si="435"/>
        <v>5.6624143307908069E-2</v>
      </c>
      <c r="AU328" s="55">
        <f t="shared" si="435"/>
        <v>5.6624143307908069E-2</v>
      </c>
      <c r="AV328" s="55">
        <f t="shared" si="435"/>
        <v>5.6624143307908069E-2</v>
      </c>
      <c r="AW328" s="55">
        <f t="shared" si="435"/>
        <v>5.6624143307908069E-2</v>
      </c>
      <c r="AX328" s="55">
        <f t="shared" si="435"/>
        <v>5.6624143307908069E-2</v>
      </c>
      <c r="AY328" s="55">
        <f t="shared" si="435"/>
        <v>5.6624143307908069E-2</v>
      </c>
      <c r="AZ328" s="55">
        <f t="shared" si="435"/>
        <v>5.6624143307908069E-2</v>
      </c>
      <c r="BA328" s="55">
        <f t="shared" si="435"/>
        <v>5.6624143307908069E-2</v>
      </c>
      <c r="BB328" s="55">
        <f t="shared" si="435"/>
        <v>5.6624143307908069E-2</v>
      </c>
      <c r="BC328" s="55">
        <f t="shared" si="435"/>
        <v>0</v>
      </c>
      <c r="BD328" s="55">
        <f t="shared" si="435"/>
        <v>0</v>
      </c>
      <c r="BE328" s="55">
        <f t="shared" si="435"/>
        <v>0</v>
      </c>
      <c r="BF328" s="55">
        <f t="shared" si="435"/>
        <v>0</v>
      </c>
      <c r="BG328" s="55">
        <f t="shared" si="435"/>
        <v>0</v>
      </c>
      <c r="BH328" s="55">
        <f t="shared" si="435"/>
        <v>0</v>
      </c>
      <c r="BI328" s="55">
        <f t="shared" si="435"/>
        <v>0</v>
      </c>
      <c r="BJ328" s="55">
        <f t="shared" si="435"/>
        <v>0</v>
      </c>
    </row>
    <row r="329" spans="1:62" x14ac:dyDescent="0.3">
      <c r="A329" s="53" t="str">
        <f t="shared" si="375"/>
        <v>project 195</v>
      </c>
      <c r="C329" s="55">
        <f t="shared" ref="C329:AH329" si="436">IF(AND(C$127&gt;=$K118,C$127&lt;=$L118),$G118*(1+$H118)^(C$127-$B$5),0)</f>
        <v>0</v>
      </c>
      <c r="D329" s="55">
        <f t="shared" si="436"/>
        <v>0</v>
      </c>
      <c r="E329" s="55">
        <f t="shared" si="436"/>
        <v>0</v>
      </c>
      <c r="F329" s="55">
        <f t="shared" si="436"/>
        <v>0</v>
      </c>
      <c r="G329" s="55">
        <f t="shared" si="436"/>
        <v>0</v>
      </c>
      <c r="H329" s="55">
        <f t="shared" si="436"/>
        <v>0</v>
      </c>
      <c r="I329" s="55">
        <f t="shared" si="436"/>
        <v>0</v>
      </c>
      <c r="J329" s="55">
        <f t="shared" si="436"/>
        <v>0</v>
      </c>
      <c r="K329" s="55">
        <f t="shared" si="436"/>
        <v>6.1019663287427868E-2</v>
      </c>
      <c r="L329" s="55">
        <f t="shared" si="436"/>
        <v>6.1019663287427868E-2</v>
      </c>
      <c r="M329" s="55">
        <f t="shared" si="436"/>
        <v>6.1019663287427868E-2</v>
      </c>
      <c r="N329" s="55">
        <f t="shared" si="436"/>
        <v>6.1019663287427868E-2</v>
      </c>
      <c r="O329" s="55">
        <f t="shared" si="436"/>
        <v>6.1019663287427868E-2</v>
      </c>
      <c r="P329" s="55">
        <f t="shared" si="436"/>
        <v>6.1019663287427868E-2</v>
      </c>
      <c r="Q329" s="55">
        <f t="shared" si="436"/>
        <v>6.1019663287427868E-2</v>
      </c>
      <c r="R329" s="55">
        <f t="shared" si="436"/>
        <v>6.1019663287427868E-2</v>
      </c>
      <c r="S329" s="55">
        <f t="shared" si="436"/>
        <v>6.1019663287427868E-2</v>
      </c>
      <c r="T329" s="55">
        <f t="shared" si="436"/>
        <v>6.1019663287427868E-2</v>
      </c>
      <c r="U329" s="55">
        <f t="shared" si="436"/>
        <v>6.1019663287427868E-2</v>
      </c>
      <c r="V329" s="55">
        <f t="shared" si="436"/>
        <v>6.1019663287427868E-2</v>
      </c>
      <c r="W329" s="55">
        <f t="shared" si="436"/>
        <v>6.1019663287427868E-2</v>
      </c>
      <c r="X329" s="55">
        <f t="shared" si="436"/>
        <v>6.1019663287427868E-2</v>
      </c>
      <c r="Y329" s="55">
        <f t="shared" si="436"/>
        <v>6.1019663287427868E-2</v>
      </c>
      <c r="Z329" s="55">
        <f t="shared" si="436"/>
        <v>6.1019663287427868E-2</v>
      </c>
      <c r="AA329" s="55">
        <f t="shared" si="436"/>
        <v>6.1019663287427868E-2</v>
      </c>
      <c r="AB329" s="55">
        <f t="shared" si="436"/>
        <v>6.1019663287427868E-2</v>
      </c>
      <c r="AC329" s="55">
        <f t="shared" si="436"/>
        <v>6.1019663287427868E-2</v>
      </c>
      <c r="AD329" s="55">
        <f t="shared" si="436"/>
        <v>6.1019663287427868E-2</v>
      </c>
      <c r="AE329" s="55">
        <f t="shared" si="436"/>
        <v>6.1019663287427868E-2</v>
      </c>
      <c r="AF329" s="55">
        <f t="shared" si="436"/>
        <v>6.1019663287427868E-2</v>
      </c>
      <c r="AG329" s="55">
        <f t="shared" si="436"/>
        <v>6.1019663287427868E-2</v>
      </c>
      <c r="AH329" s="55">
        <f t="shared" si="436"/>
        <v>6.1019663287427868E-2</v>
      </c>
      <c r="AI329" s="55">
        <f t="shared" ref="AI329:BJ329" si="437">IF(AND(AI$127&gt;=$K118,AI$127&lt;=$L118),$G118*(1+$H118)^(AI$127-$B$5),0)</f>
        <v>6.1019663287427868E-2</v>
      </c>
      <c r="AJ329" s="55">
        <f t="shared" si="437"/>
        <v>6.1019663287427868E-2</v>
      </c>
      <c r="AK329" s="55">
        <f t="shared" si="437"/>
        <v>6.1019663287427868E-2</v>
      </c>
      <c r="AL329" s="55">
        <f t="shared" si="437"/>
        <v>6.1019663287427868E-2</v>
      </c>
      <c r="AM329" s="55">
        <f t="shared" si="437"/>
        <v>6.1019663287427868E-2</v>
      </c>
      <c r="AN329" s="55">
        <f t="shared" si="437"/>
        <v>6.1019663287427868E-2</v>
      </c>
      <c r="AO329" s="55">
        <f t="shared" si="437"/>
        <v>6.1019663287427868E-2</v>
      </c>
      <c r="AP329" s="55">
        <f t="shared" si="437"/>
        <v>6.1019663287427868E-2</v>
      </c>
      <c r="AQ329" s="55">
        <f t="shared" si="437"/>
        <v>6.1019663287427868E-2</v>
      </c>
      <c r="AR329" s="55">
        <f t="shared" si="437"/>
        <v>6.1019663287427868E-2</v>
      </c>
      <c r="AS329" s="55">
        <f t="shared" si="437"/>
        <v>6.1019663287427868E-2</v>
      </c>
      <c r="AT329" s="55">
        <f t="shared" si="437"/>
        <v>6.1019663287427868E-2</v>
      </c>
      <c r="AU329" s="55">
        <f t="shared" si="437"/>
        <v>6.1019663287427868E-2</v>
      </c>
      <c r="AV329" s="55">
        <f t="shared" si="437"/>
        <v>6.1019663287427868E-2</v>
      </c>
      <c r="AW329" s="55">
        <f t="shared" si="437"/>
        <v>6.1019663287427868E-2</v>
      </c>
      <c r="AX329" s="55">
        <f t="shared" si="437"/>
        <v>6.1019663287427868E-2</v>
      </c>
      <c r="AY329" s="55">
        <f t="shared" si="437"/>
        <v>0</v>
      </c>
      <c r="AZ329" s="55">
        <f t="shared" si="437"/>
        <v>0</v>
      </c>
      <c r="BA329" s="55">
        <f t="shared" si="437"/>
        <v>0</v>
      </c>
      <c r="BB329" s="55">
        <f t="shared" si="437"/>
        <v>0</v>
      </c>
      <c r="BC329" s="55">
        <f t="shared" si="437"/>
        <v>0</v>
      </c>
      <c r="BD329" s="55">
        <f t="shared" si="437"/>
        <v>0</v>
      </c>
      <c r="BE329" s="55">
        <f t="shared" si="437"/>
        <v>0</v>
      </c>
      <c r="BF329" s="55">
        <f t="shared" si="437"/>
        <v>0</v>
      </c>
      <c r="BG329" s="55">
        <f t="shared" si="437"/>
        <v>0</v>
      </c>
      <c r="BH329" s="55">
        <f t="shared" si="437"/>
        <v>0</v>
      </c>
      <c r="BI329" s="55">
        <f t="shared" si="437"/>
        <v>0</v>
      </c>
      <c r="BJ329" s="55">
        <f t="shared" si="437"/>
        <v>0</v>
      </c>
    </row>
    <row r="330" spans="1:62" x14ac:dyDescent="0.3">
      <c r="A330" s="53" t="str">
        <f t="shared" si="375"/>
        <v>project 200</v>
      </c>
      <c r="C330" s="55">
        <f t="shared" ref="C330:AH330" si="438">IF(AND(C$127&gt;=$K119,C$127&lt;=$L119),$G119*(1+$H119)^(C$127-$B$5),0)</f>
        <v>0</v>
      </c>
      <c r="D330" s="55">
        <f t="shared" si="438"/>
        <v>0</v>
      </c>
      <c r="E330" s="55">
        <f t="shared" si="438"/>
        <v>5.7876591321406538E-2</v>
      </c>
      <c r="F330" s="55">
        <f t="shared" si="438"/>
        <v>5.7876591321406538E-2</v>
      </c>
      <c r="G330" s="55">
        <f t="shared" si="438"/>
        <v>5.7876591321406538E-2</v>
      </c>
      <c r="H330" s="55">
        <f t="shared" si="438"/>
        <v>5.7876591321406538E-2</v>
      </c>
      <c r="I330" s="55">
        <f t="shared" si="438"/>
        <v>5.7876591321406538E-2</v>
      </c>
      <c r="J330" s="55">
        <f t="shared" si="438"/>
        <v>5.7876591321406538E-2</v>
      </c>
      <c r="K330" s="55">
        <f t="shared" si="438"/>
        <v>5.7876591321406538E-2</v>
      </c>
      <c r="L330" s="55">
        <f t="shared" si="438"/>
        <v>5.7876591321406538E-2</v>
      </c>
      <c r="M330" s="55">
        <f t="shared" si="438"/>
        <v>5.7876591321406538E-2</v>
      </c>
      <c r="N330" s="55">
        <f t="shared" si="438"/>
        <v>5.7876591321406538E-2</v>
      </c>
      <c r="O330" s="55">
        <f t="shared" si="438"/>
        <v>5.7876591321406538E-2</v>
      </c>
      <c r="P330" s="55">
        <f t="shared" si="438"/>
        <v>5.7876591321406538E-2</v>
      </c>
      <c r="Q330" s="55">
        <f t="shared" si="438"/>
        <v>5.7876591321406538E-2</v>
      </c>
      <c r="R330" s="55">
        <f t="shared" si="438"/>
        <v>5.7876591321406538E-2</v>
      </c>
      <c r="S330" s="55">
        <f t="shared" si="438"/>
        <v>5.7876591321406538E-2</v>
      </c>
      <c r="T330" s="55">
        <f t="shared" si="438"/>
        <v>5.7876591321406538E-2</v>
      </c>
      <c r="U330" s="55">
        <f t="shared" si="438"/>
        <v>5.7876591321406538E-2</v>
      </c>
      <c r="V330" s="55">
        <f t="shared" si="438"/>
        <v>5.7876591321406538E-2</v>
      </c>
      <c r="W330" s="55">
        <f t="shared" si="438"/>
        <v>5.7876591321406538E-2</v>
      </c>
      <c r="X330" s="55">
        <f t="shared" si="438"/>
        <v>5.7876591321406538E-2</v>
      </c>
      <c r="Y330" s="55">
        <f t="shared" si="438"/>
        <v>5.7876591321406538E-2</v>
      </c>
      <c r="Z330" s="55">
        <f t="shared" si="438"/>
        <v>5.7876591321406538E-2</v>
      </c>
      <c r="AA330" s="55">
        <f t="shared" si="438"/>
        <v>5.7876591321406538E-2</v>
      </c>
      <c r="AB330" s="55">
        <f t="shared" si="438"/>
        <v>5.7876591321406538E-2</v>
      </c>
      <c r="AC330" s="55">
        <f t="shared" si="438"/>
        <v>5.7876591321406538E-2</v>
      </c>
      <c r="AD330" s="55">
        <f t="shared" si="438"/>
        <v>5.7876591321406538E-2</v>
      </c>
      <c r="AE330" s="55">
        <f t="shared" si="438"/>
        <v>5.7876591321406538E-2</v>
      </c>
      <c r="AF330" s="55">
        <f t="shared" si="438"/>
        <v>5.7876591321406538E-2</v>
      </c>
      <c r="AG330" s="55">
        <f t="shared" si="438"/>
        <v>5.7876591321406538E-2</v>
      </c>
      <c r="AH330" s="55">
        <f t="shared" si="438"/>
        <v>5.7876591321406538E-2</v>
      </c>
      <c r="AI330" s="55">
        <f t="shared" ref="AI330:BJ330" si="439">IF(AND(AI$127&gt;=$K119,AI$127&lt;=$L119),$G119*(1+$H119)^(AI$127-$B$5),0)</f>
        <v>5.7876591321406538E-2</v>
      </c>
      <c r="AJ330" s="55">
        <f t="shared" si="439"/>
        <v>5.7876591321406538E-2</v>
      </c>
      <c r="AK330" s="55">
        <f t="shared" si="439"/>
        <v>5.7876591321406538E-2</v>
      </c>
      <c r="AL330" s="55">
        <f t="shared" si="439"/>
        <v>5.7876591321406538E-2</v>
      </c>
      <c r="AM330" s="55">
        <f t="shared" si="439"/>
        <v>5.7876591321406538E-2</v>
      </c>
      <c r="AN330" s="55">
        <f t="shared" si="439"/>
        <v>5.7876591321406538E-2</v>
      </c>
      <c r="AO330" s="55">
        <f t="shared" si="439"/>
        <v>5.7876591321406538E-2</v>
      </c>
      <c r="AP330" s="55">
        <f t="shared" si="439"/>
        <v>5.7876591321406538E-2</v>
      </c>
      <c r="AQ330" s="55">
        <f t="shared" si="439"/>
        <v>5.7876591321406538E-2</v>
      </c>
      <c r="AR330" s="55">
        <f t="shared" si="439"/>
        <v>5.7876591321406538E-2</v>
      </c>
      <c r="AS330" s="55">
        <f t="shared" si="439"/>
        <v>0</v>
      </c>
      <c r="AT330" s="55">
        <f t="shared" si="439"/>
        <v>0</v>
      </c>
      <c r="AU330" s="55">
        <f t="shared" si="439"/>
        <v>0</v>
      </c>
      <c r="AV330" s="55">
        <f t="shared" si="439"/>
        <v>0</v>
      </c>
      <c r="AW330" s="55">
        <f t="shared" si="439"/>
        <v>0</v>
      </c>
      <c r="AX330" s="55">
        <f t="shared" si="439"/>
        <v>0</v>
      </c>
      <c r="AY330" s="55">
        <f t="shared" si="439"/>
        <v>0</v>
      </c>
      <c r="AZ330" s="55">
        <f t="shared" si="439"/>
        <v>0</v>
      </c>
      <c r="BA330" s="55">
        <f t="shared" si="439"/>
        <v>0</v>
      </c>
      <c r="BB330" s="55">
        <f t="shared" si="439"/>
        <v>0</v>
      </c>
      <c r="BC330" s="55">
        <f t="shared" si="439"/>
        <v>0</v>
      </c>
      <c r="BD330" s="55">
        <f t="shared" si="439"/>
        <v>0</v>
      </c>
      <c r="BE330" s="55">
        <f t="shared" si="439"/>
        <v>0</v>
      </c>
      <c r="BF330" s="55">
        <f t="shared" si="439"/>
        <v>0</v>
      </c>
      <c r="BG330" s="55">
        <f t="shared" si="439"/>
        <v>0</v>
      </c>
      <c r="BH330" s="55">
        <f t="shared" si="439"/>
        <v>0</v>
      </c>
      <c r="BI330" s="55">
        <f t="shared" si="439"/>
        <v>0</v>
      </c>
      <c r="BJ330" s="55">
        <f t="shared" si="439"/>
        <v>0</v>
      </c>
    </row>
    <row r="331" spans="1:62" x14ac:dyDescent="0.3">
      <c r="A331" s="53" t="str">
        <f t="shared" ref="A331:A362" si="440">A120</f>
        <v>project 204</v>
      </c>
      <c r="C331" s="55">
        <f t="shared" ref="C331:AH331" si="441">IF(AND(C$127&gt;=$K120,C$127&lt;=$L120),$G120*(1+$H120)^(C$127-$B$5),0)</f>
        <v>0</v>
      </c>
      <c r="D331" s="55">
        <f t="shared" si="441"/>
        <v>0</v>
      </c>
      <c r="E331" s="55">
        <f t="shared" si="441"/>
        <v>0</v>
      </c>
      <c r="F331" s="55">
        <f t="shared" si="441"/>
        <v>0</v>
      </c>
      <c r="G331" s="55">
        <f t="shared" si="441"/>
        <v>0</v>
      </c>
      <c r="H331" s="55">
        <f t="shared" si="441"/>
        <v>0</v>
      </c>
      <c r="I331" s="55">
        <f t="shared" si="441"/>
        <v>0</v>
      </c>
      <c r="J331" s="55">
        <f t="shared" si="441"/>
        <v>0</v>
      </c>
      <c r="K331" s="55">
        <f t="shared" si="441"/>
        <v>0</v>
      </c>
      <c r="L331" s="55">
        <f t="shared" si="441"/>
        <v>0</v>
      </c>
      <c r="M331" s="55">
        <f t="shared" si="441"/>
        <v>0</v>
      </c>
      <c r="N331" s="55">
        <f t="shared" si="441"/>
        <v>0</v>
      </c>
      <c r="O331" s="55">
        <f t="shared" si="441"/>
        <v>0</v>
      </c>
      <c r="P331" s="55">
        <f t="shared" si="441"/>
        <v>0</v>
      </c>
      <c r="Q331" s="55">
        <f t="shared" si="441"/>
        <v>0</v>
      </c>
      <c r="R331" s="55">
        <f t="shared" si="441"/>
        <v>0</v>
      </c>
      <c r="S331" s="55">
        <f t="shared" si="441"/>
        <v>0</v>
      </c>
      <c r="T331" s="55">
        <f t="shared" si="441"/>
        <v>1.310564840975025E-2</v>
      </c>
      <c r="U331" s="55">
        <f t="shared" si="441"/>
        <v>1.310564840975025E-2</v>
      </c>
      <c r="V331" s="55">
        <f t="shared" si="441"/>
        <v>1.310564840975025E-2</v>
      </c>
      <c r="W331" s="55">
        <f t="shared" si="441"/>
        <v>1.310564840975025E-2</v>
      </c>
      <c r="X331" s="55">
        <f t="shared" si="441"/>
        <v>1.310564840975025E-2</v>
      </c>
      <c r="Y331" s="55">
        <f t="shared" si="441"/>
        <v>1.310564840975025E-2</v>
      </c>
      <c r="Z331" s="55">
        <f t="shared" si="441"/>
        <v>1.310564840975025E-2</v>
      </c>
      <c r="AA331" s="55">
        <f t="shared" si="441"/>
        <v>1.310564840975025E-2</v>
      </c>
      <c r="AB331" s="55">
        <f t="shared" si="441"/>
        <v>1.310564840975025E-2</v>
      </c>
      <c r="AC331" s="55">
        <f t="shared" si="441"/>
        <v>1.310564840975025E-2</v>
      </c>
      <c r="AD331" s="55">
        <f t="shared" si="441"/>
        <v>1.310564840975025E-2</v>
      </c>
      <c r="AE331" s="55">
        <f t="shared" si="441"/>
        <v>1.310564840975025E-2</v>
      </c>
      <c r="AF331" s="55">
        <f t="shared" si="441"/>
        <v>1.310564840975025E-2</v>
      </c>
      <c r="AG331" s="55">
        <f t="shared" si="441"/>
        <v>1.310564840975025E-2</v>
      </c>
      <c r="AH331" s="55">
        <f t="shared" si="441"/>
        <v>1.310564840975025E-2</v>
      </c>
      <c r="AI331" s="55">
        <f t="shared" ref="AI331:BJ331" si="442">IF(AND(AI$127&gt;=$K120,AI$127&lt;=$L120),$G120*(1+$H120)^(AI$127-$B$5),0)</f>
        <v>1.310564840975025E-2</v>
      </c>
      <c r="AJ331" s="55">
        <f t="shared" si="442"/>
        <v>1.310564840975025E-2</v>
      </c>
      <c r="AK331" s="55">
        <f t="shared" si="442"/>
        <v>1.310564840975025E-2</v>
      </c>
      <c r="AL331" s="55">
        <f t="shared" si="442"/>
        <v>1.310564840975025E-2</v>
      </c>
      <c r="AM331" s="55">
        <f t="shared" si="442"/>
        <v>1.310564840975025E-2</v>
      </c>
      <c r="AN331" s="55">
        <f t="shared" si="442"/>
        <v>1.310564840975025E-2</v>
      </c>
      <c r="AO331" s="55">
        <f t="shared" si="442"/>
        <v>1.310564840975025E-2</v>
      </c>
      <c r="AP331" s="55">
        <f t="shared" si="442"/>
        <v>1.310564840975025E-2</v>
      </c>
      <c r="AQ331" s="55">
        <f t="shared" si="442"/>
        <v>1.310564840975025E-2</v>
      </c>
      <c r="AR331" s="55">
        <f t="shared" si="442"/>
        <v>1.310564840975025E-2</v>
      </c>
      <c r="AS331" s="55">
        <f t="shared" si="442"/>
        <v>1.310564840975025E-2</v>
      </c>
      <c r="AT331" s="55">
        <f t="shared" si="442"/>
        <v>1.310564840975025E-2</v>
      </c>
      <c r="AU331" s="55">
        <f t="shared" si="442"/>
        <v>1.310564840975025E-2</v>
      </c>
      <c r="AV331" s="55">
        <f t="shared" si="442"/>
        <v>1.310564840975025E-2</v>
      </c>
      <c r="AW331" s="55">
        <f t="shared" si="442"/>
        <v>1.310564840975025E-2</v>
      </c>
      <c r="AX331" s="55">
        <f t="shared" si="442"/>
        <v>1.310564840975025E-2</v>
      </c>
      <c r="AY331" s="55">
        <f t="shared" si="442"/>
        <v>1.310564840975025E-2</v>
      </c>
      <c r="AZ331" s="55">
        <f t="shared" si="442"/>
        <v>1.310564840975025E-2</v>
      </c>
      <c r="BA331" s="55">
        <f t="shared" si="442"/>
        <v>1.310564840975025E-2</v>
      </c>
      <c r="BB331" s="55">
        <f t="shared" si="442"/>
        <v>1.310564840975025E-2</v>
      </c>
      <c r="BC331" s="55">
        <f t="shared" si="442"/>
        <v>1.310564840975025E-2</v>
      </c>
      <c r="BD331" s="55">
        <f t="shared" si="442"/>
        <v>1.310564840975025E-2</v>
      </c>
      <c r="BE331" s="55">
        <f t="shared" si="442"/>
        <v>1.310564840975025E-2</v>
      </c>
      <c r="BF331" s="55">
        <f t="shared" si="442"/>
        <v>1.310564840975025E-2</v>
      </c>
      <c r="BG331" s="55">
        <f t="shared" si="442"/>
        <v>1.310564840975025E-2</v>
      </c>
      <c r="BH331" s="55">
        <f t="shared" si="442"/>
        <v>0</v>
      </c>
      <c r="BI331" s="55">
        <f t="shared" si="442"/>
        <v>0</v>
      </c>
      <c r="BJ331" s="55">
        <f t="shared" si="442"/>
        <v>0</v>
      </c>
    </row>
    <row r="332" spans="1:62" x14ac:dyDescent="0.3">
      <c r="A332" s="53" t="str">
        <f t="shared" si="440"/>
        <v>project 211</v>
      </c>
      <c r="C332" s="55">
        <f t="shared" ref="C332:AH332" si="443">IF(AND(C$127&gt;=$K121,C$127&lt;=$L121),$G121*(1+$H121)^(C$127-$B$5),0)</f>
        <v>0</v>
      </c>
      <c r="D332" s="55">
        <f t="shared" si="443"/>
        <v>8.658400749198639E-3</v>
      </c>
      <c r="E332" s="55">
        <f t="shared" si="443"/>
        <v>8.658400749198639E-3</v>
      </c>
      <c r="F332" s="55">
        <f t="shared" si="443"/>
        <v>8.658400749198639E-3</v>
      </c>
      <c r="G332" s="55">
        <f t="shared" si="443"/>
        <v>8.658400749198639E-3</v>
      </c>
      <c r="H332" s="55">
        <f t="shared" si="443"/>
        <v>8.658400749198639E-3</v>
      </c>
      <c r="I332" s="55">
        <f t="shared" si="443"/>
        <v>8.658400749198639E-3</v>
      </c>
      <c r="J332" s="55">
        <f t="shared" si="443"/>
        <v>8.658400749198639E-3</v>
      </c>
      <c r="K332" s="55">
        <f t="shared" si="443"/>
        <v>8.658400749198639E-3</v>
      </c>
      <c r="L332" s="55">
        <f t="shared" si="443"/>
        <v>8.658400749198639E-3</v>
      </c>
      <c r="M332" s="55">
        <f t="shared" si="443"/>
        <v>8.658400749198639E-3</v>
      </c>
      <c r="N332" s="55">
        <f t="shared" si="443"/>
        <v>8.658400749198639E-3</v>
      </c>
      <c r="O332" s="55">
        <f t="shared" si="443"/>
        <v>8.658400749198639E-3</v>
      </c>
      <c r="P332" s="55">
        <f t="shared" si="443"/>
        <v>8.658400749198639E-3</v>
      </c>
      <c r="Q332" s="55">
        <f t="shared" si="443"/>
        <v>8.658400749198639E-3</v>
      </c>
      <c r="R332" s="55">
        <f t="shared" si="443"/>
        <v>8.658400749198639E-3</v>
      </c>
      <c r="S332" s="55">
        <f t="shared" si="443"/>
        <v>8.658400749198639E-3</v>
      </c>
      <c r="T332" s="55">
        <f t="shared" si="443"/>
        <v>8.658400749198639E-3</v>
      </c>
      <c r="U332" s="55">
        <f t="shared" si="443"/>
        <v>8.658400749198639E-3</v>
      </c>
      <c r="V332" s="55">
        <f t="shared" si="443"/>
        <v>8.658400749198639E-3</v>
      </c>
      <c r="W332" s="55">
        <f t="shared" si="443"/>
        <v>8.658400749198639E-3</v>
      </c>
      <c r="X332" s="55">
        <f t="shared" si="443"/>
        <v>8.658400749198639E-3</v>
      </c>
      <c r="Y332" s="55">
        <f t="shared" si="443"/>
        <v>8.658400749198639E-3</v>
      </c>
      <c r="Z332" s="55">
        <f t="shared" si="443"/>
        <v>8.658400749198639E-3</v>
      </c>
      <c r="AA332" s="55">
        <f t="shared" si="443"/>
        <v>8.658400749198639E-3</v>
      </c>
      <c r="AB332" s="55">
        <f t="shared" si="443"/>
        <v>8.658400749198639E-3</v>
      </c>
      <c r="AC332" s="55">
        <f t="shared" si="443"/>
        <v>8.658400749198639E-3</v>
      </c>
      <c r="AD332" s="55">
        <f t="shared" si="443"/>
        <v>8.658400749198639E-3</v>
      </c>
      <c r="AE332" s="55">
        <f t="shared" si="443"/>
        <v>8.658400749198639E-3</v>
      </c>
      <c r="AF332" s="55">
        <f t="shared" si="443"/>
        <v>8.658400749198639E-3</v>
      </c>
      <c r="AG332" s="55">
        <f t="shared" si="443"/>
        <v>8.658400749198639E-3</v>
      </c>
      <c r="AH332" s="55">
        <f t="shared" si="443"/>
        <v>8.658400749198639E-3</v>
      </c>
      <c r="AI332" s="55">
        <f t="shared" ref="AI332:BJ332" si="444">IF(AND(AI$127&gt;=$K121,AI$127&lt;=$L121),$G121*(1+$H121)^(AI$127-$B$5),0)</f>
        <v>8.658400749198639E-3</v>
      </c>
      <c r="AJ332" s="55">
        <f t="shared" si="444"/>
        <v>8.658400749198639E-3</v>
      </c>
      <c r="AK332" s="55">
        <f t="shared" si="444"/>
        <v>8.658400749198639E-3</v>
      </c>
      <c r="AL332" s="55">
        <f t="shared" si="444"/>
        <v>8.658400749198639E-3</v>
      </c>
      <c r="AM332" s="55">
        <f t="shared" si="444"/>
        <v>8.658400749198639E-3</v>
      </c>
      <c r="AN332" s="55">
        <f t="shared" si="444"/>
        <v>8.658400749198639E-3</v>
      </c>
      <c r="AO332" s="55">
        <f t="shared" si="444"/>
        <v>8.658400749198639E-3</v>
      </c>
      <c r="AP332" s="55">
        <f t="shared" si="444"/>
        <v>8.658400749198639E-3</v>
      </c>
      <c r="AQ332" s="55">
        <f t="shared" si="444"/>
        <v>8.658400749198639E-3</v>
      </c>
      <c r="AR332" s="55">
        <f t="shared" si="444"/>
        <v>0</v>
      </c>
      <c r="AS332" s="55">
        <f t="shared" si="444"/>
        <v>0</v>
      </c>
      <c r="AT332" s="55">
        <f t="shared" si="444"/>
        <v>0</v>
      </c>
      <c r="AU332" s="55">
        <f t="shared" si="444"/>
        <v>0</v>
      </c>
      <c r="AV332" s="55">
        <f t="shared" si="444"/>
        <v>0</v>
      </c>
      <c r="AW332" s="55">
        <f t="shared" si="444"/>
        <v>0</v>
      </c>
      <c r="AX332" s="55">
        <f t="shared" si="444"/>
        <v>0</v>
      </c>
      <c r="AY332" s="55">
        <f t="shared" si="444"/>
        <v>0</v>
      </c>
      <c r="AZ332" s="55">
        <f t="shared" si="444"/>
        <v>0</v>
      </c>
      <c r="BA332" s="55">
        <f t="shared" si="444"/>
        <v>0</v>
      </c>
      <c r="BB332" s="55">
        <f t="shared" si="444"/>
        <v>0</v>
      </c>
      <c r="BC332" s="55">
        <f t="shared" si="444"/>
        <v>0</v>
      </c>
      <c r="BD332" s="55">
        <f t="shared" si="444"/>
        <v>0</v>
      </c>
      <c r="BE332" s="55">
        <f t="shared" si="444"/>
        <v>0</v>
      </c>
      <c r="BF332" s="55">
        <f t="shared" si="444"/>
        <v>0</v>
      </c>
      <c r="BG332" s="55">
        <f t="shared" si="444"/>
        <v>0</v>
      </c>
      <c r="BH332" s="55">
        <f t="shared" si="444"/>
        <v>0</v>
      </c>
      <c r="BI332" s="55">
        <f t="shared" si="444"/>
        <v>0</v>
      </c>
      <c r="BJ332" s="55">
        <f t="shared" si="444"/>
        <v>0</v>
      </c>
    </row>
    <row r="333" spans="1:62" x14ac:dyDescent="0.3">
      <c r="A333" s="53" t="str">
        <f t="shared" si="440"/>
        <v>project 213</v>
      </c>
      <c r="C333" s="55">
        <f t="shared" ref="C333:AH333" si="445">IF(AND(C$127&gt;=$K122,C$127&lt;=$L122),$G122*(1+$H122)^(C$127-$B$5),0)</f>
        <v>0</v>
      </c>
      <c r="D333" s="55">
        <f t="shared" si="445"/>
        <v>0</v>
      </c>
      <c r="E333" s="55">
        <f t="shared" si="445"/>
        <v>0</v>
      </c>
      <c r="F333" s="55">
        <f t="shared" si="445"/>
        <v>0</v>
      </c>
      <c r="G333" s="55">
        <f t="shared" si="445"/>
        <v>0</v>
      </c>
      <c r="H333" s="55">
        <f t="shared" si="445"/>
        <v>0</v>
      </c>
      <c r="I333" s="55">
        <f t="shared" si="445"/>
        <v>0</v>
      </c>
      <c r="J333" s="55">
        <f t="shared" si="445"/>
        <v>3.324218465488399E-3</v>
      </c>
      <c r="K333" s="55">
        <f t="shared" si="445"/>
        <v>3.324218465488399E-3</v>
      </c>
      <c r="L333" s="55">
        <f t="shared" si="445"/>
        <v>3.324218465488399E-3</v>
      </c>
      <c r="M333" s="55">
        <f t="shared" si="445"/>
        <v>3.324218465488399E-3</v>
      </c>
      <c r="N333" s="55">
        <f t="shared" si="445"/>
        <v>3.324218465488399E-3</v>
      </c>
      <c r="O333" s="55">
        <f t="shared" si="445"/>
        <v>3.324218465488399E-3</v>
      </c>
      <c r="P333" s="55">
        <f t="shared" si="445"/>
        <v>3.324218465488399E-3</v>
      </c>
      <c r="Q333" s="55">
        <f t="shared" si="445"/>
        <v>3.324218465488399E-3</v>
      </c>
      <c r="R333" s="55">
        <f t="shared" si="445"/>
        <v>3.324218465488399E-3</v>
      </c>
      <c r="S333" s="55">
        <f t="shared" si="445"/>
        <v>3.324218465488399E-3</v>
      </c>
      <c r="T333" s="55">
        <f t="shared" si="445"/>
        <v>3.324218465488399E-3</v>
      </c>
      <c r="U333" s="55">
        <f t="shared" si="445"/>
        <v>3.324218465488399E-3</v>
      </c>
      <c r="V333" s="55">
        <f t="shared" si="445"/>
        <v>3.324218465488399E-3</v>
      </c>
      <c r="W333" s="55">
        <f t="shared" si="445"/>
        <v>3.324218465488399E-3</v>
      </c>
      <c r="X333" s="55">
        <f t="shared" si="445"/>
        <v>3.324218465488399E-3</v>
      </c>
      <c r="Y333" s="55">
        <f t="shared" si="445"/>
        <v>3.324218465488399E-3</v>
      </c>
      <c r="Z333" s="55">
        <f t="shared" si="445"/>
        <v>3.324218465488399E-3</v>
      </c>
      <c r="AA333" s="55">
        <f t="shared" si="445"/>
        <v>3.324218465488399E-3</v>
      </c>
      <c r="AB333" s="55">
        <f t="shared" si="445"/>
        <v>3.324218465488399E-3</v>
      </c>
      <c r="AC333" s="55">
        <f t="shared" si="445"/>
        <v>3.324218465488399E-3</v>
      </c>
      <c r="AD333" s="55">
        <f t="shared" si="445"/>
        <v>3.324218465488399E-3</v>
      </c>
      <c r="AE333" s="55">
        <f t="shared" si="445"/>
        <v>3.324218465488399E-3</v>
      </c>
      <c r="AF333" s="55">
        <f t="shared" si="445"/>
        <v>3.324218465488399E-3</v>
      </c>
      <c r="AG333" s="55">
        <f t="shared" si="445"/>
        <v>3.324218465488399E-3</v>
      </c>
      <c r="AH333" s="55">
        <f t="shared" si="445"/>
        <v>3.324218465488399E-3</v>
      </c>
      <c r="AI333" s="55">
        <f t="shared" ref="AI333:BJ333" si="446">IF(AND(AI$127&gt;=$K122,AI$127&lt;=$L122),$G122*(1+$H122)^(AI$127-$B$5),0)</f>
        <v>3.324218465488399E-3</v>
      </c>
      <c r="AJ333" s="55">
        <f t="shared" si="446"/>
        <v>3.324218465488399E-3</v>
      </c>
      <c r="AK333" s="55">
        <f t="shared" si="446"/>
        <v>3.324218465488399E-3</v>
      </c>
      <c r="AL333" s="55">
        <f t="shared" si="446"/>
        <v>3.324218465488399E-3</v>
      </c>
      <c r="AM333" s="55">
        <f t="shared" si="446"/>
        <v>3.324218465488399E-3</v>
      </c>
      <c r="AN333" s="55">
        <f t="shared" si="446"/>
        <v>3.324218465488399E-3</v>
      </c>
      <c r="AO333" s="55">
        <f t="shared" si="446"/>
        <v>3.324218465488399E-3</v>
      </c>
      <c r="AP333" s="55">
        <f t="shared" si="446"/>
        <v>3.324218465488399E-3</v>
      </c>
      <c r="AQ333" s="55">
        <f t="shared" si="446"/>
        <v>3.324218465488399E-3</v>
      </c>
      <c r="AR333" s="55">
        <f t="shared" si="446"/>
        <v>3.324218465488399E-3</v>
      </c>
      <c r="AS333" s="55">
        <f t="shared" si="446"/>
        <v>3.324218465488399E-3</v>
      </c>
      <c r="AT333" s="55">
        <f t="shared" si="446"/>
        <v>3.324218465488399E-3</v>
      </c>
      <c r="AU333" s="55">
        <f t="shared" si="446"/>
        <v>3.324218465488399E-3</v>
      </c>
      <c r="AV333" s="55">
        <f t="shared" si="446"/>
        <v>3.324218465488399E-3</v>
      </c>
      <c r="AW333" s="55">
        <f t="shared" si="446"/>
        <v>3.324218465488399E-3</v>
      </c>
      <c r="AX333" s="55">
        <f t="shared" si="446"/>
        <v>0</v>
      </c>
      <c r="AY333" s="55">
        <f t="shared" si="446"/>
        <v>0</v>
      </c>
      <c r="AZ333" s="55">
        <f t="shared" si="446"/>
        <v>0</v>
      </c>
      <c r="BA333" s="55">
        <f t="shared" si="446"/>
        <v>0</v>
      </c>
      <c r="BB333" s="55">
        <f t="shared" si="446"/>
        <v>0</v>
      </c>
      <c r="BC333" s="55">
        <f t="shared" si="446"/>
        <v>0</v>
      </c>
      <c r="BD333" s="55">
        <f t="shared" si="446"/>
        <v>0</v>
      </c>
      <c r="BE333" s="55">
        <f t="shared" si="446"/>
        <v>0</v>
      </c>
      <c r="BF333" s="55">
        <f t="shared" si="446"/>
        <v>0</v>
      </c>
      <c r="BG333" s="55">
        <f t="shared" si="446"/>
        <v>0</v>
      </c>
      <c r="BH333" s="55">
        <f t="shared" si="446"/>
        <v>0</v>
      </c>
      <c r="BI333" s="55">
        <f t="shared" si="446"/>
        <v>0</v>
      </c>
      <c r="BJ333" s="55">
        <f t="shared" si="446"/>
        <v>0</v>
      </c>
    </row>
    <row r="334" spans="1:62" x14ac:dyDescent="0.3">
      <c r="A334" s="53" t="str">
        <f t="shared" si="440"/>
        <v>project 218</v>
      </c>
      <c r="C334" s="55">
        <f t="shared" ref="C334:AH334" si="447">IF(AND(C$127&gt;=$K123,C$127&lt;=$L123),$G123*(1+$H123)^(C$127-$B$5),0)</f>
        <v>0</v>
      </c>
      <c r="D334" s="55">
        <f t="shared" si="447"/>
        <v>0</v>
      </c>
      <c r="E334" s="55">
        <f t="shared" si="447"/>
        <v>0</v>
      </c>
      <c r="F334" s="55">
        <f t="shared" si="447"/>
        <v>0</v>
      </c>
      <c r="G334" s="55">
        <f t="shared" si="447"/>
        <v>0</v>
      </c>
      <c r="H334" s="55">
        <f t="shared" si="447"/>
        <v>0</v>
      </c>
      <c r="I334" s="55">
        <f t="shared" si="447"/>
        <v>0</v>
      </c>
      <c r="J334" s="55">
        <f t="shared" si="447"/>
        <v>0</v>
      </c>
      <c r="K334" s="55">
        <f t="shared" si="447"/>
        <v>0</v>
      </c>
      <c r="L334" s="55">
        <f t="shared" si="447"/>
        <v>0</v>
      </c>
      <c r="M334" s="55">
        <f t="shared" si="447"/>
        <v>0</v>
      </c>
      <c r="N334" s="55">
        <f t="shared" si="447"/>
        <v>0</v>
      </c>
      <c r="O334" s="55">
        <f t="shared" si="447"/>
        <v>0</v>
      </c>
      <c r="P334" s="55">
        <f t="shared" si="447"/>
        <v>0</v>
      </c>
      <c r="Q334" s="55">
        <f t="shared" si="447"/>
        <v>0</v>
      </c>
      <c r="R334" s="55">
        <f t="shared" si="447"/>
        <v>0</v>
      </c>
      <c r="S334" s="55">
        <f t="shared" si="447"/>
        <v>0</v>
      </c>
      <c r="T334" s="55">
        <f t="shared" si="447"/>
        <v>0</v>
      </c>
      <c r="U334" s="55">
        <f t="shared" si="447"/>
        <v>0.33086379817855699</v>
      </c>
      <c r="V334" s="55">
        <f t="shared" si="447"/>
        <v>0.33086379817855699</v>
      </c>
      <c r="W334" s="55">
        <f t="shared" si="447"/>
        <v>0.33086379817855699</v>
      </c>
      <c r="X334" s="55">
        <f t="shared" si="447"/>
        <v>0.33086379817855699</v>
      </c>
      <c r="Y334" s="55">
        <f t="shared" si="447"/>
        <v>0.33086379817855699</v>
      </c>
      <c r="Z334" s="55">
        <f t="shared" si="447"/>
        <v>0.33086379817855699</v>
      </c>
      <c r="AA334" s="55">
        <f t="shared" si="447"/>
        <v>0.33086379817855699</v>
      </c>
      <c r="AB334" s="55">
        <f t="shared" si="447"/>
        <v>0.33086379817855699</v>
      </c>
      <c r="AC334" s="55">
        <f t="shared" si="447"/>
        <v>0.33086379817855699</v>
      </c>
      <c r="AD334" s="55">
        <f t="shared" si="447"/>
        <v>0.33086379817855699</v>
      </c>
      <c r="AE334" s="55">
        <f t="shared" si="447"/>
        <v>0.33086379817855699</v>
      </c>
      <c r="AF334" s="55">
        <f t="shared" si="447"/>
        <v>0.33086379817855699</v>
      </c>
      <c r="AG334" s="55">
        <f t="shared" si="447"/>
        <v>0.33086379817855699</v>
      </c>
      <c r="AH334" s="55">
        <f t="shared" si="447"/>
        <v>0.33086379817855699</v>
      </c>
      <c r="AI334" s="55">
        <f t="shared" ref="AI334:BJ334" si="448">IF(AND(AI$127&gt;=$K123,AI$127&lt;=$L123),$G123*(1+$H123)^(AI$127-$B$5),0)</f>
        <v>0.33086379817855699</v>
      </c>
      <c r="AJ334" s="55">
        <f t="shared" si="448"/>
        <v>0.33086379817855699</v>
      </c>
      <c r="AK334" s="55">
        <f t="shared" si="448"/>
        <v>0.33086379817855699</v>
      </c>
      <c r="AL334" s="55">
        <f t="shared" si="448"/>
        <v>0.33086379817855699</v>
      </c>
      <c r="AM334" s="55">
        <f t="shared" si="448"/>
        <v>0.33086379817855699</v>
      </c>
      <c r="AN334" s="55">
        <f t="shared" si="448"/>
        <v>0.33086379817855699</v>
      </c>
      <c r="AO334" s="55">
        <f t="shared" si="448"/>
        <v>0.33086379817855699</v>
      </c>
      <c r="AP334" s="55">
        <f t="shared" si="448"/>
        <v>0.33086379817855699</v>
      </c>
      <c r="AQ334" s="55">
        <f t="shared" si="448"/>
        <v>0.33086379817855699</v>
      </c>
      <c r="AR334" s="55">
        <f t="shared" si="448"/>
        <v>0.33086379817855699</v>
      </c>
      <c r="AS334" s="55">
        <f t="shared" si="448"/>
        <v>0.33086379817855699</v>
      </c>
      <c r="AT334" s="55">
        <f t="shared" si="448"/>
        <v>0.33086379817855699</v>
      </c>
      <c r="AU334" s="55">
        <f t="shared" si="448"/>
        <v>0.33086379817855699</v>
      </c>
      <c r="AV334" s="55">
        <f t="shared" si="448"/>
        <v>0.33086379817855699</v>
      </c>
      <c r="AW334" s="55">
        <f t="shared" si="448"/>
        <v>0.33086379817855699</v>
      </c>
      <c r="AX334" s="55">
        <f t="shared" si="448"/>
        <v>0.33086379817855699</v>
      </c>
      <c r="AY334" s="55">
        <f t="shared" si="448"/>
        <v>0.33086379817855699</v>
      </c>
      <c r="AZ334" s="55">
        <f t="shared" si="448"/>
        <v>0.33086379817855699</v>
      </c>
      <c r="BA334" s="55">
        <f t="shared" si="448"/>
        <v>0.33086379817855699</v>
      </c>
      <c r="BB334" s="55">
        <f t="shared" si="448"/>
        <v>0.33086379817855699</v>
      </c>
      <c r="BC334" s="55">
        <f t="shared" si="448"/>
        <v>0.33086379817855699</v>
      </c>
      <c r="BD334" s="55">
        <f t="shared" si="448"/>
        <v>0.33086379817855699</v>
      </c>
      <c r="BE334" s="55">
        <f t="shared" si="448"/>
        <v>0.33086379817855699</v>
      </c>
      <c r="BF334" s="55">
        <f t="shared" si="448"/>
        <v>0.33086379817855699</v>
      </c>
      <c r="BG334" s="55">
        <f t="shared" si="448"/>
        <v>0.33086379817855699</v>
      </c>
      <c r="BH334" s="55">
        <f t="shared" si="448"/>
        <v>0.33086379817855699</v>
      </c>
      <c r="BI334" s="55">
        <f t="shared" si="448"/>
        <v>0</v>
      </c>
      <c r="BJ334" s="55">
        <f t="shared" si="448"/>
        <v>0</v>
      </c>
    </row>
    <row r="335" spans="1:62" x14ac:dyDescent="0.3">
      <c r="A335" s="4" t="s">
        <v>253</v>
      </c>
      <c r="C335" s="30">
        <f t="shared" ref="C335:AH335" si="449">SUM(C235:C334)</f>
        <v>0</v>
      </c>
      <c r="D335" s="30">
        <f t="shared" si="449"/>
        <v>0.40716266050921018</v>
      </c>
      <c r="E335" s="30">
        <f t="shared" si="449"/>
        <v>18.998034966970213</v>
      </c>
      <c r="F335" s="30">
        <f t="shared" si="449"/>
        <v>20.861796469808329</v>
      </c>
      <c r="G335" s="30">
        <f t="shared" si="449"/>
        <v>35.334066913261545</v>
      </c>
      <c r="H335" s="30">
        <f t="shared" si="449"/>
        <v>53.274971780414397</v>
      </c>
      <c r="I335" s="30">
        <f t="shared" si="449"/>
        <v>93.539051126702418</v>
      </c>
      <c r="J335" s="30">
        <f t="shared" si="449"/>
        <v>98.604539610449237</v>
      </c>
      <c r="K335" s="30">
        <f t="shared" si="449"/>
        <v>98.69028322947635</v>
      </c>
      <c r="L335" s="30">
        <f t="shared" si="449"/>
        <v>177.36858210041828</v>
      </c>
      <c r="M335" s="30">
        <f t="shared" si="449"/>
        <v>177.36858210041828</v>
      </c>
      <c r="N335" s="30">
        <f t="shared" si="449"/>
        <v>213.93146159945314</v>
      </c>
      <c r="O335" s="30">
        <f t="shared" si="449"/>
        <v>215.4486349241902</v>
      </c>
      <c r="P335" s="30">
        <f t="shared" si="449"/>
        <v>220.75425552048264</v>
      </c>
      <c r="Q335" s="30">
        <f t="shared" si="449"/>
        <v>235.56952379344543</v>
      </c>
      <c r="R335" s="30">
        <f t="shared" si="449"/>
        <v>254.7769349558848</v>
      </c>
      <c r="S335" s="30">
        <f t="shared" si="449"/>
        <v>257.2151645686485</v>
      </c>
      <c r="T335" s="30">
        <f t="shared" si="449"/>
        <v>271.48388602839265</v>
      </c>
      <c r="U335" s="30">
        <f t="shared" si="449"/>
        <v>282.17541953440218</v>
      </c>
      <c r="V335" s="30">
        <f t="shared" si="449"/>
        <v>318.75237666696796</v>
      </c>
      <c r="W335" s="30">
        <f t="shared" si="449"/>
        <v>318.75237666696796</v>
      </c>
      <c r="X335" s="30">
        <f t="shared" si="449"/>
        <v>318.75237666696796</v>
      </c>
      <c r="Y335" s="30">
        <f t="shared" si="449"/>
        <v>318.75237666696796</v>
      </c>
      <c r="Z335" s="30">
        <f t="shared" si="449"/>
        <v>318.75237666696796</v>
      </c>
      <c r="AA335" s="30">
        <f t="shared" si="449"/>
        <v>318.75237666696796</v>
      </c>
      <c r="AB335" s="30">
        <f t="shared" si="449"/>
        <v>318.75237666696796</v>
      </c>
      <c r="AC335" s="30">
        <f t="shared" si="449"/>
        <v>318.75237666696796</v>
      </c>
      <c r="AD335" s="30">
        <f t="shared" si="449"/>
        <v>318.75237666696796</v>
      </c>
      <c r="AE335" s="30">
        <f t="shared" si="449"/>
        <v>318.75237666696796</v>
      </c>
      <c r="AF335" s="30">
        <f t="shared" si="449"/>
        <v>318.75237666696796</v>
      </c>
      <c r="AG335" s="30">
        <f t="shared" si="449"/>
        <v>318.75237666696796</v>
      </c>
      <c r="AH335" s="30">
        <f t="shared" si="449"/>
        <v>318.75237666696796</v>
      </c>
      <c r="AI335" s="30">
        <f t="shared" ref="AI335:BN335" si="450">SUM(AI235:AI334)</f>
        <v>318.75237666696796</v>
      </c>
      <c r="AJ335" s="30">
        <f t="shared" si="450"/>
        <v>318.75237666696796</v>
      </c>
      <c r="AK335" s="30">
        <f t="shared" si="450"/>
        <v>318.75237666696796</v>
      </c>
      <c r="AL335" s="30">
        <f t="shared" si="450"/>
        <v>318.75237666696796</v>
      </c>
      <c r="AM335" s="30">
        <f t="shared" si="450"/>
        <v>318.75237666696796</v>
      </c>
      <c r="AN335" s="30">
        <f t="shared" si="450"/>
        <v>318.75237666696796</v>
      </c>
      <c r="AO335" s="30">
        <f t="shared" si="450"/>
        <v>318.75237666696796</v>
      </c>
      <c r="AP335" s="30">
        <f t="shared" si="450"/>
        <v>318.75237666696796</v>
      </c>
      <c r="AQ335" s="30">
        <f t="shared" si="450"/>
        <v>318.75237666696796</v>
      </c>
      <c r="AR335" s="30">
        <f t="shared" si="450"/>
        <v>318.34521400645878</v>
      </c>
      <c r="AS335" s="30">
        <f t="shared" si="450"/>
        <v>299.75434169999772</v>
      </c>
      <c r="AT335" s="30">
        <f t="shared" si="450"/>
        <v>297.89058019715964</v>
      </c>
      <c r="AU335" s="30">
        <f t="shared" si="450"/>
        <v>283.41830975370641</v>
      </c>
      <c r="AV335" s="30">
        <f t="shared" si="450"/>
        <v>265.47740488655359</v>
      </c>
      <c r="AW335" s="30">
        <f t="shared" si="450"/>
        <v>225.21332554026566</v>
      </c>
      <c r="AX335" s="30">
        <f t="shared" si="450"/>
        <v>220.14783705651888</v>
      </c>
      <c r="AY335" s="30">
        <f t="shared" si="450"/>
        <v>220.06209343749177</v>
      </c>
      <c r="AZ335" s="30">
        <f t="shared" si="450"/>
        <v>141.3837945665498</v>
      </c>
      <c r="BA335" s="30">
        <f t="shared" si="450"/>
        <v>141.3837945665498</v>
      </c>
      <c r="BB335" s="30">
        <f t="shared" si="450"/>
        <v>104.82091506751483</v>
      </c>
      <c r="BC335" s="30">
        <f t="shared" si="450"/>
        <v>103.3037417427778</v>
      </c>
      <c r="BD335" s="30">
        <f t="shared" si="450"/>
        <v>97.998121146485389</v>
      </c>
      <c r="BE335" s="30">
        <f t="shared" si="450"/>
        <v>83.182852873522606</v>
      </c>
      <c r="BF335" s="30">
        <f t="shared" si="450"/>
        <v>63.975441711083242</v>
      </c>
      <c r="BG335" s="30">
        <f t="shared" si="450"/>
        <v>61.537212098319515</v>
      </c>
      <c r="BH335" s="30">
        <f t="shared" si="450"/>
        <v>47.268490638575344</v>
      </c>
      <c r="BI335" s="30">
        <f t="shared" si="450"/>
        <v>36.576957132565788</v>
      </c>
      <c r="BJ335" s="30">
        <f t="shared" si="450"/>
        <v>0</v>
      </c>
    </row>
    <row r="337" spans="1:62" x14ac:dyDescent="0.3">
      <c r="A337" s="4" t="s">
        <v>254</v>
      </c>
    </row>
    <row r="338" spans="1:62" x14ac:dyDescent="0.3">
      <c r="A338" s="28" t="s">
        <v>255</v>
      </c>
      <c r="C338" s="55">
        <f t="shared" ref="C338:AH338" si="451">$B$4</f>
        <v>210</v>
      </c>
      <c r="D338" s="55">
        <f t="shared" si="451"/>
        <v>210</v>
      </c>
      <c r="E338" s="55">
        <f t="shared" si="451"/>
        <v>210</v>
      </c>
      <c r="F338" s="55">
        <f t="shared" si="451"/>
        <v>210</v>
      </c>
      <c r="G338" s="55">
        <f t="shared" si="451"/>
        <v>210</v>
      </c>
      <c r="H338" s="55">
        <f t="shared" si="451"/>
        <v>210</v>
      </c>
      <c r="I338" s="55">
        <f t="shared" si="451"/>
        <v>210</v>
      </c>
      <c r="J338" s="55">
        <f t="shared" si="451"/>
        <v>210</v>
      </c>
      <c r="K338" s="55">
        <f t="shared" si="451"/>
        <v>210</v>
      </c>
      <c r="L338" s="55">
        <f t="shared" si="451"/>
        <v>210</v>
      </c>
      <c r="M338" s="55">
        <f t="shared" si="451"/>
        <v>210</v>
      </c>
      <c r="N338" s="55">
        <f t="shared" si="451"/>
        <v>210</v>
      </c>
      <c r="O338" s="55">
        <f t="shared" si="451"/>
        <v>210</v>
      </c>
      <c r="P338" s="55">
        <f t="shared" si="451"/>
        <v>210</v>
      </c>
      <c r="Q338" s="55">
        <f t="shared" si="451"/>
        <v>210</v>
      </c>
      <c r="R338" s="55">
        <f t="shared" si="451"/>
        <v>210</v>
      </c>
      <c r="S338" s="55">
        <f t="shared" si="451"/>
        <v>210</v>
      </c>
      <c r="T338" s="55">
        <f t="shared" si="451"/>
        <v>210</v>
      </c>
      <c r="U338" s="55">
        <f t="shared" si="451"/>
        <v>210</v>
      </c>
      <c r="V338" s="55">
        <f t="shared" si="451"/>
        <v>210</v>
      </c>
      <c r="W338" s="55">
        <f t="shared" si="451"/>
        <v>210</v>
      </c>
      <c r="X338" s="55">
        <f t="shared" si="451"/>
        <v>210</v>
      </c>
      <c r="Y338" s="55">
        <f t="shared" si="451"/>
        <v>210</v>
      </c>
      <c r="Z338" s="55">
        <f t="shared" si="451"/>
        <v>210</v>
      </c>
      <c r="AA338" s="55">
        <f t="shared" si="451"/>
        <v>210</v>
      </c>
      <c r="AB338" s="55">
        <f t="shared" si="451"/>
        <v>210</v>
      </c>
      <c r="AC338" s="55">
        <f t="shared" si="451"/>
        <v>210</v>
      </c>
      <c r="AD338" s="55">
        <f t="shared" si="451"/>
        <v>210</v>
      </c>
      <c r="AE338" s="55">
        <f t="shared" si="451"/>
        <v>210</v>
      </c>
      <c r="AF338" s="55">
        <f t="shared" si="451"/>
        <v>210</v>
      </c>
      <c r="AG338" s="55">
        <f t="shared" si="451"/>
        <v>210</v>
      </c>
      <c r="AH338" s="55">
        <f t="shared" si="451"/>
        <v>210</v>
      </c>
      <c r="AI338" s="55">
        <f t="shared" ref="AI338:BJ338" si="452">$B$4</f>
        <v>210</v>
      </c>
      <c r="AJ338" s="55">
        <f t="shared" si="452"/>
        <v>210</v>
      </c>
      <c r="AK338" s="55">
        <f t="shared" si="452"/>
        <v>210</v>
      </c>
      <c r="AL338" s="55">
        <f t="shared" si="452"/>
        <v>210</v>
      </c>
      <c r="AM338" s="55">
        <f t="shared" si="452"/>
        <v>210</v>
      </c>
      <c r="AN338" s="55">
        <f t="shared" si="452"/>
        <v>210</v>
      </c>
      <c r="AO338" s="55">
        <f t="shared" si="452"/>
        <v>210</v>
      </c>
      <c r="AP338" s="55">
        <f t="shared" si="452"/>
        <v>210</v>
      </c>
      <c r="AQ338" s="55">
        <f t="shared" si="452"/>
        <v>210</v>
      </c>
      <c r="AR338" s="55">
        <f t="shared" si="452"/>
        <v>210</v>
      </c>
      <c r="AS338" s="55">
        <f t="shared" si="452"/>
        <v>210</v>
      </c>
      <c r="AT338" s="55">
        <f t="shared" si="452"/>
        <v>210</v>
      </c>
      <c r="AU338" s="55">
        <f t="shared" si="452"/>
        <v>210</v>
      </c>
      <c r="AV338" s="55">
        <f t="shared" si="452"/>
        <v>210</v>
      </c>
      <c r="AW338" s="55">
        <f t="shared" si="452"/>
        <v>210</v>
      </c>
      <c r="AX338" s="55">
        <f t="shared" si="452"/>
        <v>210</v>
      </c>
      <c r="AY338" s="55">
        <f t="shared" si="452"/>
        <v>210</v>
      </c>
      <c r="AZ338" s="55">
        <f t="shared" si="452"/>
        <v>210</v>
      </c>
      <c r="BA338" s="55">
        <f t="shared" si="452"/>
        <v>210</v>
      </c>
      <c r="BB338" s="55">
        <f t="shared" si="452"/>
        <v>210</v>
      </c>
      <c r="BC338" s="55">
        <f t="shared" si="452"/>
        <v>210</v>
      </c>
      <c r="BD338" s="55">
        <f t="shared" si="452"/>
        <v>210</v>
      </c>
      <c r="BE338" s="55">
        <f t="shared" si="452"/>
        <v>210</v>
      </c>
      <c r="BF338" s="55">
        <f t="shared" si="452"/>
        <v>210</v>
      </c>
      <c r="BG338" s="55">
        <f t="shared" si="452"/>
        <v>210</v>
      </c>
      <c r="BH338" s="55">
        <f t="shared" si="452"/>
        <v>210</v>
      </c>
      <c r="BI338" s="55">
        <f t="shared" si="452"/>
        <v>210</v>
      </c>
      <c r="BJ338" s="55">
        <f t="shared" si="452"/>
        <v>210</v>
      </c>
    </row>
    <row r="339" spans="1:62" x14ac:dyDescent="0.3">
      <c r="A339" s="28" t="s">
        <v>256</v>
      </c>
      <c r="C339" s="56">
        <f t="shared" ref="C339:AH339" si="453">IF(C$127&lt;=$B$14,1,0)</f>
        <v>1</v>
      </c>
      <c r="D339" s="56">
        <f t="shared" si="453"/>
        <v>1</v>
      </c>
      <c r="E339" s="56">
        <f t="shared" si="453"/>
        <v>1</v>
      </c>
      <c r="F339" s="56">
        <f t="shared" si="453"/>
        <v>1</v>
      </c>
      <c r="G339" s="56">
        <f t="shared" si="453"/>
        <v>1</v>
      </c>
      <c r="H339" s="56">
        <f t="shared" si="453"/>
        <v>1</v>
      </c>
      <c r="I339" s="56">
        <f t="shared" si="453"/>
        <v>1</v>
      </c>
      <c r="J339" s="56">
        <f t="shared" si="453"/>
        <v>1</v>
      </c>
      <c r="K339" s="56">
        <f t="shared" si="453"/>
        <v>1</v>
      </c>
      <c r="L339" s="56">
        <f t="shared" si="453"/>
        <v>1</v>
      </c>
      <c r="M339" s="56">
        <f t="shared" si="453"/>
        <v>1</v>
      </c>
      <c r="N339" s="56">
        <f t="shared" si="453"/>
        <v>1</v>
      </c>
      <c r="O339" s="56">
        <f t="shared" si="453"/>
        <v>1</v>
      </c>
      <c r="P339" s="56">
        <f t="shared" si="453"/>
        <v>1</v>
      </c>
      <c r="Q339" s="56">
        <f t="shared" si="453"/>
        <v>1</v>
      </c>
      <c r="R339" s="56">
        <f t="shared" si="453"/>
        <v>1</v>
      </c>
      <c r="S339" s="56">
        <f t="shared" si="453"/>
        <v>1</v>
      </c>
      <c r="T339" s="56">
        <f t="shared" si="453"/>
        <v>1</v>
      </c>
      <c r="U339" s="56">
        <f t="shared" si="453"/>
        <v>1</v>
      </c>
      <c r="V339" s="56">
        <f t="shared" si="453"/>
        <v>0</v>
      </c>
      <c r="W339" s="56">
        <f t="shared" si="453"/>
        <v>0</v>
      </c>
      <c r="X339" s="56">
        <f t="shared" si="453"/>
        <v>0</v>
      </c>
      <c r="Y339" s="56">
        <f t="shared" si="453"/>
        <v>0</v>
      </c>
      <c r="Z339" s="56">
        <f t="shared" si="453"/>
        <v>0</v>
      </c>
      <c r="AA339" s="56">
        <f t="shared" si="453"/>
        <v>0</v>
      </c>
      <c r="AB339" s="56">
        <f t="shared" si="453"/>
        <v>0</v>
      </c>
      <c r="AC339" s="56">
        <f t="shared" si="453"/>
        <v>0</v>
      </c>
      <c r="AD339" s="56">
        <f t="shared" si="453"/>
        <v>0</v>
      </c>
      <c r="AE339" s="56">
        <f t="shared" si="453"/>
        <v>0</v>
      </c>
      <c r="AF339" s="56">
        <f t="shared" si="453"/>
        <v>0</v>
      </c>
      <c r="AG339" s="56">
        <f t="shared" si="453"/>
        <v>0</v>
      </c>
      <c r="AH339" s="56">
        <f t="shared" si="453"/>
        <v>0</v>
      </c>
      <c r="AI339" s="56">
        <f t="shared" ref="AI339:BJ339" si="454">IF(AI$127&lt;=$B$14,1,0)</f>
        <v>0</v>
      </c>
      <c r="AJ339" s="56">
        <f t="shared" si="454"/>
        <v>0</v>
      </c>
      <c r="AK339" s="56">
        <f t="shared" si="454"/>
        <v>0</v>
      </c>
      <c r="AL339" s="56">
        <f t="shared" si="454"/>
        <v>0</v>
      </c>
      <c r="AM339" s="56">
        <f t="shared" si="454"/>
        <v>0</v>
      </c>
      <c r="AN339" s="56">
        <f t="shared" si="454"/>
        <v>0</v>
      </c>
      <c r="AO339" s="56">
        <f t="shared" si="454"/>
        <v>0</v>
      </c>
      <c r="AP339" s="56">
        <f t="shared" si="454"/>
        <v>0</v>
      </c>
      <c r="AQ339" s="56">
        <f t="shared" si="454"/>
        <v>0</v>
      </c>
      <c r="AR339" s="56">
        <f t="shared" si="454"/>
        <v>0</v>
      </c>
      <c r="AS339" s="56">
        <f t="shared" si="454"/>
        <v>0</v>
      </c>
      <c r="AT339" s="56">
        <f t="shared" si="454"/>
        <v>0</v>
      </c>
      <c r="AU339" s="56">
        <f t="shared" si="454"/>
        <v>0</v>
      </c>
      <c r="AV339" s="56">
        <f t="shared" si="454"/>
        <v>0</v>
      </c>
      <c r="AW339" s="56">
        <f t="shared" si="454"/>
        <v>0</v>
      </c>
      <c r="AX339" s="56">
        <f t="shared" si="454"/>
        <v>0</v>
      </c>
      <c r="AY339" s="56">
        <f t="shared" si="454"/>
        <v>0</v>
      </c>
      <c r="AZ339" s="56">
        <f t="shared" si="454"/>
        <v>0</v>
      </c>
      <c r="BA339" s="56">
        <f t="shared" si="454"/>
        <v>0</v>
      </c>
      <c r="BB339" s="56">
        <f t="shared" si="454"/>
        <v>0</v>
      </c>
      <c r="BC339" s="56">
        <f t="shared" si="454"/>
        <v>0</v>
      </c>
      <c r="BD339" s="56">
        <f t="shared" si="454"/>
        <v>0</v>
      </c>
      <c r="BE339" s="56">
        <f t="shared" si="454"/>
        <v>0</v>
      </c>
      <c r="BF339" s="56">
        <f t="shared" si="454"/>
        <v>0</v>
      </c>
      <c r="BG339" s="56">
        <f t="shared" si="454"/>
        <v>0</v>
      </c>
      <c r="BH339" s="56">
        <f t="shared" si="454"/>
        <v>0</v>
      </c>
      <c r="BI339" s="56">
        <f t="shared" si="454"/>
        <v>0</v>
      </c>
      <c r="BJ339" s="56">
        <f t="shared" si="454"/>
        <v>0</v>
      </c>
    </row>
    <row r="340" spans="1:62" x14ac:dyDescent="0.3">
      <c r="A340" s="28" t="s">
        <v>257</v>
      </c>
      <c r="C340" s="55">
        <f t="shared" ref="C340:AH340" si="455">C338*C339</f>
        <v>210</v>
      </c>
      <c r="D340" s="55">
        <f t="shared" si="455"/>
        <v>210</v>
      </c>
      <c r="E340" s="55">
        <f t="shared" si="455"/>
        <v>210</v>
      </c>
      <c r="F340" s="55">
        <f t="shared" si="455"/>
        <v>210</v>
      </c>
      <c r="G340" s="55">
        <f t="shared" si="455"/>
        <v>210</v>
      </c>
      <c r="H340" s="55">
        <f t="shared" si="455"/>
        <v>210</v>
      </c>
      <c r="I340" s="55">
        <f t="shared" si="455"/>
        <v>210</v>
      </c>
      <c r="J340" s="55">
        <f t="shared" si="455"/>
        <v>210</v>
      </c>
      <c r="K340" s="55">
        <f t="shared" si="455"/>
        <v>210</v>
      </c>
      <c r="L340" s="55">
        <f t="shared" si="455"/>
        <v>210</v>
      </c>
      <c r="M340" s="55">
        <f t="shared" si="455"/>
        <v>210</v>
      </c>
      <c r="N340" s="55">
        <f t="shared" si="455"/>
        <v>210</v>
      </c>
      <c r="O340" s="55">
        <f t="shared" si="455"/>
        <v>210</v>
      </c>
      <c r="P340" s="55">
        <f t="shared" si="455"/>
        <v>210</v>
      </c>
      <c r="Q340" s="55">
        <f t="shared" si="455"/>
        <v>210</v>
      </c>
      <c r="R340" s="55">
        <f t="shared" si="455"/>
        <v>210</v>
      </c>
      <c r="S340" s="55">
        <f t="shared" si="455"/>
        <v>210</v>
      </c>
      <c r="T340" s="55">
        <f t="shared" si="455"/>
        <v>210</v>
      </c>
      <c r="U340" s="55">
        <f t="shared" si="455"/>
        <v>210</v>
      </c>
      <c r="V340" s="55">
        <f t="shared" si="455"/>
        <v>0</v>
      </c>
      <c r="W340" s="55">
        <f t="shared" si="455"/>
        <v>0</v>
      </c>
      <c r="X340" s="55">
        <f t="shared" si="455"/>
        <v>0</v>
      </c>
      <c r="Y340" s="55">
        <f t="shared" si="455"/>
        <v>0</v>
      </c>
      <c r="Z340" s="55">
        <f t="shared" si="455"/>
        <v>0</v>
      </c>
      <c r="AA340" s="55">
        <f t="shared" si="455"/>
        <v>0</v>
      </c>
      <c r="AB340" s="55">
        <f t="shared" si="455"/>
        <v>0</v>
      </c>
      <c r="AC340" s="55">
        <f t="shared" si="455"/>
        <v>0</v>
      </c>
      <c r="AD340" s="55">
        <f t="shared" si="455"/>
        <v>0</v>
      </c>
      <c r="AE340" s="55">
        <f t="shared" si="455"/>
        <v>0</v>
      </c>
      <c r="AF340" s="55">
        <f t="shared" si="455"/>
        <v>0</v>
      </c>
      <c r="AG340" s="55">
        <f t="shared" si="455"/>
        <v>0</v>
      </c>
      <c r="AH340" s="55">
        <f t="shared" si="455"/>
        <v>0</v>
      </c>
      <c r="AI340" s="55">
        <f t="shared" ref="AI340:BN340" si="456">AI338*AI339</f>
        <v>0</v>
      </c>
      <c r="AJ340" s="55">
        <f t="shared" si="456"/>
        <v>0</v>
      </c>
      <c r="AK340" s="55">
        <f t="shared" si="456"/>
        <v>0</v>
      </c>
      <c r="AL340" s="55">
        <f t="shared" si="456"/>
        <v>0</v>
      </c>
      <c r="AM340" s="55">
        <f t="shared" si="456"/>
        <v>0</v>
      </c>
      <c r="AN340" s="55">
        <f t="shared" si="456"/>
        <v>0</v>
      </c>
      <c r="AO340" s="55">
        <f t="shared" si="456"/>
        <v>0</v>
      </c>
      <c r="AP340" s="55">
        <f t="shared" si="456"/>
        <v>0</v>
      </c>
      <c r="AQ340" s="55">
        <f t="shared" si="456"/>
        <v>0</v>
      </c>
      <c r="AR340" s="55">
        <f t="shared" si="456"/>
        <v>0</v>
      </c>
      <c r="AS340" s="55">
        <f t="shared" si="456"/>
        <v>0</v>
      </c>
      <c r="AT340" s="55">
        <f t="shared" si="456"/>
        <v>0</v>
      </c>
      <c r="AU340" s="55">
        <f t="shared" si="456"/>
        <v>0</v>
      </c>
      <c r="AV340" s="55">
        <f t="shared" si="456"/>
        <v>0</v>
      </c>
      <c r="AW340" s="55">
        <f t="shared" si="456"/>
        <v>0</v>
      </c>
      <c r="AX340" s="55">
        <f t="shared" si="456"/>
        <v>0</v>
      </c>
      <c r="AY340" s="55">
        <f t="shared" si="456"/>
        <v>0</v>
      </c>
      <c r="AZ340" s="55">
        <f t="shared" si="456"/>
        <v>0</v>
      </c>
      <c r="BA340" s="55">
        <f t="shared" si="456"/>
        <v>0</v>
      </c>
      <c r="BB340" s="55">
        <f t="shared" si="456"/>
        <v>0</v>
      </c>
      <c r="BC340" s="55">
        <f t="shared" si="456"/>
        <v>0</v>
      </c>
      <c r="BD340" s="55">
        <f t="shared" si="456"/>
        <v>0</v>
      </c>
      <c r="BE340" s="55">
        <f t="shared" si="456"/>
        <v>0</v>
      </c>
      <c r="BF340" s="55">
        <f t="shared" si="456"/>
        <v>0</v>
      </c>
      <c r="BG340" s="55">
        <f t="shared" si="456"/>
        <v>0</v>
      </c>
      <c r="BH340" s="55">
        <f t="shared" si="456"/>
        <v>0</v>
      </c>
      <c r="BI340" s="55">
        <f t="shared" si="456"/>
        <v>0</v>
      </c>
      <c r="BJ340" s="55">
        <f t="shared" si="456"/>
        <v>0</v>
      </c>
    </row>
    <row r="341" spans="1:62" x14ac:dyDescent="0.3">
      <c r="A341" s="28" t="s">
        <v>258</v>
      </c>
      <c r="C341" s="55">
        <f t="shared" ref="C341:AH341" si="457">C232</f>
        <v>162.73449980779091</v>
      </c>
      <c r="D341" s="55">
        <f t="shared" si="457"/>
        <v>253.67024897810205</v>
      </c>
      <c r="E341" s="55">
        <f t="shared" si="457"/>
        <v>212.90893987841784</v>
      </c>
      <c r="F341" s="55">
        <f t="shared" si="457"/>
        <v>210.2445818397118</v>
      </c>
      <c r="G341" s="55">
        <f t="shared" si="457"/>
        <v>210.44428211664234</v>
      </c>
      <c r="H341" s="55">
        <f t="shared" si="457"/>
        <v>210.02330612256353</v>
      </c>
      <c r="I341" s="55">
        <f t="shared" si="457"/>
        <v>205.03903214360358</v>
      </c>
      <c r="J341" s="55">
        <f t="shared" si="457"/>
        <v>212.73965752779301</v>
      </c>
      <c r="K341" s="55">
        <f t="shared" si="457"/>
        <v>196.74293259092309</v>
      </c>
      <c r="L341" s="55">
        <f t="shared" si="457"/>
        <v>217.39132691326333</v>
      </c>
      <c r="M341" s="55">
        <f t="shared" si="457"/>
        <v>218.06394683074367</v>
      </c>
      <c r="N341" s="55">
        <f t="shared" si="457"/>
        <v>199.52656976215229</v>
      </c>
      <c r="O341" s="55">
        <f t="shared" si="457"/>
        <v>220.35351472938009</v>
      </c>
      <c r="P341" s="55">
        <f t="shared" si="457"/>
        <v>209.85768210641049</v>
      </c>
      <c r="Q341" s="55">
        <f t="shared" si="457"/>
        <v>210.27485385251532</v>
      </c>
      <c r="R341" s="55">
        <f t="shared" si="457"/>
        <v>209.70249136363523</v>
      </c>
      <c r="S341" s="55">
        <f t="shared" si="457"/>
        <v>210.27834049887775</v>
      </c>
      <c r="T341" s="55">
        <f t="shared" si="457"/>
        <v>210.00548486927821</v>
      </c>
      <c r="U341" s="55">
        <f t="shared" si="457"/>
        <v>49.645243782200289</v>
      </c>
      <c r="V341" s="55">
        <f t="shared" si="457"/>
        <v>0</v>
      </c>
      <c r="W341" s="55">
        <f t="shared" si="457"/>
        <v>0</v>
      </c>
      <c r="X341" s="55">
        <f t="shared" si="457"/>
        <v>0</v>
      </c>
      <c r="Y341" s="55">
        <f t="shared" si="457"/>
        <v>0</v>
      </c>
      <c r="Z341" s="55">
        <f t="shared" si="457"/>
        <v>0</v>
      </c>
      <c r="AA341" s="55">
        <f t="shared" si="457"/>
        <v>0</v>
      </c>
      <c r="AB341" s="55">
        <f t="shared" si="457"/>
        <v>0</v>
      </c>
      <c r="AC341" s="55">
        <f t="shared" si="457"/>
        <v>0</v>
      </c>
      <c r="AD341" s="55">
        <f t="shared" si="457"/>
        <v>0</v>
      </c>
      <c r="AE341" s="55">
        <f t="shared" si="457"/>
        <v>0</v>
      </c>
      <c r="AF341" s="55">
        <f t="shared" si="457"/>
        <v>0</v>
      </c>
      <c r="AG341" s="55">
        <f t="shared" si="457"/>
        <v>0</v>
      </c>
      <c r="AH341" s="55">
        <f t="shared" si="457"/>
        <v>0</v>
      </c>
      <c r="AI341" s="55">
        <f t="shared" ref="AI341:BJ341" si="458">AI232</f>
        <v>0</v>
      </c>
      <c r="AJ341" s="55">
        <f t="shared" si="458"/>
        <v>0</v>
      </c>
      <c r="AK341" s="55">
        <f t="shared" si="458"/>
        <v>0</v>
      </c>
      <c r="AL341" s="55">
        <f t="shared" si="458"/>
        <v>0</v>
      </c>
      <c r="AM341" s="55">
        <f t="shared" si="458"/>
        <v>0</v>
      </c>
      <c r="AN341" s="55">
        <f t="shared" si="458"/>
        <v>0</v>
      </c>
      <c r="AO341" s="55">
        <f t="shared" si="458"/>
        <v>0</v>
      </c>
      <c r="AP341" s="55">
        <f t="shared" si="458"/>
        <v>0</v>
      </c>
      <c r="AQ341" s="55">
        <f t="shared" si="458"/>
        <v>0</v>
      </c>
      <c r="AR341" s="55">
        <f t="shared" si="458"/>
        <v>0</v>
      </c>
      <c r="AS341" s="55">
        <f t="shared" si="458"/>
        <v>0</v>
      </c>
      <c r="AT341" s="55">
        <f t="shared" si="458"/>
        <v>0</v>
      </c>
      <c r="AU341" s="55">
        <f t="shared" si="458"/>
        <v>0</v>
      </c>
      <c r="AV341" s="55">
        <f t="shared" si="458"/>
        <v>0</v>
      </c>
      <c r="AW341" s="55">
        <f t="shared" si="458"/>
        <v>0</v>
      </c>
      <c r="AX341" s="55">
        <f t="shared" si="458"/>
        <v>0</v>
      </c>
      <c r="AY341" s="55">
        <f t="shared" si="458"/>
        <v>0</v>
      </c>
      <c r="AZ341" s="55">
        <f t="shared" si="458"/>
        <v>0</v>
      </c>
      <c r="BA341" s="55">
        <f t="shared" si="458"/>
        <v>0</v>
      </c>
      <c r="BB341" s="55">
        <f t="shared" si="458"/>
        <v>0</v>
      </c>
      <c r="BC341" s="55">
        <f t="shared" si="458"/>
        <v>0</v>
      </c>
      <c r="BD341" s="55">
        <f t="shared" si="458"/>
        <v>0</v>
      </c>
      <c r="BE341" s="55">
        <f t="shared" si="458"/>
        <v>0</v>
      </c>
      <c r="BF341" s="55">
        <f t="shared" si="458"/>
        <v>0</v>
      </c>
      <c r="BG341" s="55">
        <f t="shared" si="458"/>
        <v>0</v>
      </c>
      <c r="BH341" s="55">
        <f t="shared" si="458"/>
        <v>0</v>
      </c>
      <c r="BI341" s="55">
        <f t="shared" si="458"/>
        <v>0</v>
      </c>
      <c r="BJ341" s="55">
        <f t="shared" si="458"/>
        <v>0</v>
      </c>
    </row>
    <row r="342" spans="1:62" x14ac:dyDescent="0.3">
      <c r="A342" s="28" t="s">
        <v>259</v>
      </c>
      <c r="C342" s="55">
        <f>0</f>
        <v>0</v>
      </c>
      <c r="D342" s="55">
        <f t="shared" ref="D342:AI342" si="459">C344</f>
        <v>47.265500192209089</v>
      </c>
      <c r="E342" s="55">
        <f t="shared" si="459"/>
        <v>3.5952512141070088</v>
      </c>
      <c r="F342" s="55">
        <f t="shared" si="459"/>
        <v>0.6863113356891688</v>
      </c>
      <c r="G342" s="55">
        <f t="shared" si="459"/>
        <v>0.44172949597736988</v>
      </c>
      <c r="H342" s="55">
        <f t="shared" si="459"/>
        <v>-2.5526206649715277E-3</v>
      </c>
      <c r="I342" s="55">
        <f t="shared" si="459"/>
        <v>-2.5858743228496905E-2</v>
      </c>
      <c r="J342" s="55">
        <f t="shared" si="459"/>
        <v>4.9351091131679254</v>
      </c>
      <c r="K342" s="55">
        <f t="shared" si="459"/>
        <v>2.1954515853749115</v>
      </c>
      <c r="L342" s="55">
        <f t="shared" si="459"/>
        <v>15.452518994451822</v>
      </c>
      <c r="M342" s="55">
        <f t="shared" si="459"/>
        <v>8.0611920811884943</v>
      </c>
      <c r="N342" s="55">
        <f t="shared" si="459"/>
        <v>-2.7547495551800694E-3</v>
      </c>
      <c r="O342" s="55">
        <f t="shared" si="459"/>
        <v>10.470675488292528</v>
      </c>
      <c r="P342" s="55">
        <f t="shared" si="459"/>
        <v>0.11716075891243349</v>
      </c>
      <c r="Q342" s="55">
        <f t="shared" si="459"/>
        <v>0.25947865250194013</v>
      </c>
      <c r="R342" s="55">
        <f t="shared" si="459"/>
        <v>-1.5375200013380663E-2</v>
      </c>
      <c r="S342" s="55">
        <f t="shared" si="459"/>
        <v>0.28213343635138699</v>
      </c>
      <c r="T342" s="55">
        <f t="shared" si="459"/>
        <v>3.7929374736336285E-3</v>
      </c>
      <c r="U342" s="55">
        <f t="shared" si="459"/>
        <v>-1.6919318045722775E-3</v>
      </c>
      <c r="V342" s="55">
        <f t="shared" si="459"/>
        <v>0</v>
      </c>
      <c r="W342" s="55">
        <f t="shared" si="459"/>
        <v>0</v>
      </c>
      <c r="X342" s="55">
        <f t="shared" si="459"/>
        <v>0</v>
      </c>
      <c r="Y342" s="55">
        <f t="shared" si="459"/>
        <v>0</v>
      </c>
      <c r="Z342" s="55">
        <f t="shared" si="459"/>
        <v>0</v>
      </c>
      <c r="AA342" s="55">
        <f t="shared" si="459"/>
        <v>0</v>
      </c>
      <c r="AB342" s="55">
        <f t="shared" si="459"/>
        <v>0</v>
      </c>
      <c r="AC342" s="55">
        <f t="shared" si="459"/>
        <v>0</v>
      </c>
      <c r="AD342" s="55">
        <f t="shared" si="459"/>
        <v>0</v>
      </c>
      <c r="AE342" s="55">
        <f t="shared" si="459"/>
        <v>0</v>
      </c>
      <c r="AF342" s="55">
        <f t="shared" si="459"/>
        <v>0</v>
      </c>
      <c r="AG342" s="55">
        <f t="shared" si="459"/>
        <v>0</v>
      </c>
      <c r="AH342" s="55">
        <f t="shared" si="459"/>
        <v>0</v>
      </c>
      <c r="AI342" s="55">
        <f t="shared" si="459"/>
        <v>0</v>
      </c>
      <c r="AJ342" s="55">
        <f t="shared" ref="AJ342:BJ342" si="460">AI344</f>
        <v>0</v>
      </c>
      <c r="AK342" s="55">
        <f t="shared" si="460"/>
        <v>0</v>
      </c>
      <c r="AL342" s="55">
        <f t="shared" si="460"/>
        <v>0</v>
      </c>
      <c r="AM342" s="55">
        <f t="shared" si="460"/>
        <v>0</v>
      </c>
      <c r="AN342" s="55">
        <f t="shared" si="460"/>
        <v>0</v>
      </c>
      <c r="AO342" s="55">
        <f t="shared" si="460"/>
        <v>0</v>
      </c>
      <c r="AP342" s="55">
        <f t="shared" si="460"/>
        <v>0</v>
      </c>
      <c r="AQ342" s="55">
        <f t="shared" si="460"/>
        <v>0</v>
      </c>
      <c r="AR342" s="55">
        <f t="shared" si="460"/>
        <v>0</v>
      </c>
      <c r="AS342" s="55">
        <f t="shared" si="460"/>
        <v>0</v>
      </c>
      <c r="AT342" s="55">
        <f t="shared" si="460"/>
        <v>0</v>
      </c>
      <c r="AU342" s="55">
        <f t="shared" si="460"/>
        <v>0</v>
      </c>
      <c r="AV342" s="55">
        <f t="shared" si="460"/>
        <v>0</v>
      </c>
      <c r="AW342" s="55">
        <f t="shared" si="460"/>
        <v>0</v>
      </c>
      <c r="AX342" s="55">
        <f t="shared" si="460"/>
        <v>0</v>
      </c>
      <c r="AY342" s="55">
        <f t="shared" si="460"/>
        <v>0</v>
      </c>
      <c r="AZ342" s="55">
        <f t="shared" si="460"/>
        <v>0</v>
      </c>
      <c r="BA342" s="55">
        <f t="shared" si="460"/>
        <v>0</v>
      </c>
      <c r="BB342" s="55">
        <f t="shared" si="460"/>
        <v>0</v>
      </c>
      <c r="BC342" s="55">
        <f t="shared" si="460"/>
        <v>0</v>
      </c>
      <c r="BD342" s="55">
        <f t="shared" si="460"/>
        <v>0</v>
      </c>
      <c r="BE342" s="55">
        <f t="shared" si="460"/>
        <v>0</v>
      </c>
      <c r="BF342" s="55">
        <f t="shared" si="460"/>
        <v>0</v>
      </c>
      <c r="BG342" s="55">
        <f t="shared" si="460"/>
        <v>0</v>
      </c>
      <c r="BH342" s="55">
        <f t="shared" si="460"/>
        <v>0</v>
      </c>
      <c r="BI342" s="55">
        <f t="shared" si="460"/>
        <v>0</v>
      </c>
      <c r="BJ342" s="55">
        <f t="shared" si="460"/>
        <v>0</v>
      </c>
    </row>
    <row r="343" spans="1:62" x14ac:dyDescent="0.3">
      <c r="A343" s="28" t="s">
        <v>260</v>
      </c>
      <c r="C343" s="55">
        <f t="shared" ref="C343:AH343" si="461">IF(C$127=$B$14,C342+C340-C341,0)</f>
        <v>0</v>
      </c>
      <c r="D343" s="55">
        <f t="shared" si="461"/>
        <v>0</v>
      </c>
      <c r="E343" s="55">
        <f t="shared" si="461"/>
        <v>0</v>
      </c>
      <c r="F343" s="55">
        <f t="shared" si="461"/>
        <v>0</v>
      </c>
      <c r="G343" s="55">
        <f t="shared" si="461"/>
        <v>0</v>
      </c>
      <c r="H343" s="55">
        <f t="shared" si="461"/>
        <v>0</v>
      </c>
      <c r="I343" s="55">
        <f t="shared" si="461"/>
        <v>0</v>
      </c>
      <c r="J343" s="55">
        <f t="shared" si="461"/>
        <v>0</v>
      </c>
      <c r="K343" s="55">
        <f t="shared" si="461"/>
        <v>0</v>
      </c>
      <c r="L343" s="55">
        <f t="shared" si="461"/>
        <v>0</v>
      </c>
      <c r="M343" s="55">
        <f t="shared" si="461"/>
        <v>0</v>
      </c>
      <c r="N343" s="55">
        <f t="shared" si="461"/>
        <v>0</v>
      </c>
      <c r="O343" s="55">
        <f t="shared" si="461"/>
        <v>0</v>
      </c>
      <c r="P343" s="55">
        <f t="shared" si="461"/>
        <v>0</v>
      </c>
      <c r="Q343" s="55">
        <f t="shared" si="461"/>
        <v>0</v>
      </c>
      <c r="R343" s="55">
        <f t="shared" si="461"/>
        <v>0</v>
      </c>
      <c r="S343" s="55">
        <f t="shared" si="461"/>
        <v>0</v>
      </c>
      <c r="T343" s="55">
        <f t="shared" si="461"/>
        <v>0</v>
      </c>
      <c r="U343" s="55">
        <f t="shared" si="461"/>
        <v>160.35306428599515</v>
      </c>
      <c r="V343" s="55">
        <f t="shared" si="461"/>
        <v>0</v>
      </c>
      <c r="W343" s="55">
        <f t="shared" si="461"/>
        <v>0</v>
      </c>
      <c r="X343" s="55">
        <f t="shared" si="461"/>
        <v>0</v>
      </c>
      <c r="Y343" s="55">
        <f t="shared" si="461"/>
        <v>0</v>
      </c>
      <c r="Z343" s="55">
        <f t="shared" si="461"/>
        <v>0</v>
      </c>
      <c r="AA343" s="55">
        <f t="shared" si="461"/>
        <v>0</v>
      </c>
      <c r="AB343" s="55">
        <f t="shared" si="461"/>
        <v>0</v>
      </c>
      <c r="AC343" s="55">
        <f t="shared" si="461"/>
        <v>0</v>
      </c>
      <c r="AD343" s="55">
        <f t="shared" si="461"/>
        <v>0</v>
      </c>
      <c r="AE343" s="55">
        <f t="shared" si="461"/>
        <v>0</v>
      </c>
      <c r="AF343" s="55">
        <f t="shared" si="461"/>
        <v>0</v>
      </c>
      <c r="AG343" s="55">
        <f t="shared" si="461"/>
        <v>0</v>
      </c>
      <c r="AH343" s="55">
        <f t="shared" si="461"/>
        <v>0</v>
      </c>
      <c r="AI343" s="55">
        <f t="shared" ref="AI343:BN343" si="462">IF(AI$127=$B$14,AI342+AI340-AI341,0)</f>
        <v>0</v>
      </c>
      <c r="AJ343" s="55">
        <f t="shared" si="462"/>
        <v>0</v>
      </c>
      <c r="AK343" s="55">
        <f t="shared" si="462"/>
        <v>0</v>
      </c>
      <c r="AL343" s="55">
        <f t="shared" si="462"/>
        <v>0</v>
      </c>
      <c r="AM343" s="55">
        <f t="shared" si="462"/>
        <v>0</v>
      </c>
      <c r="AN343" s="55">
        <f t="shared" si="462"/>
        <v>0</v>
      </c>
      <c r="AO343" s="55">
        <f t="shared" si="462"/>
        <v>0</v>
      </c>
      <c r="AP343" s="55">
        <f t="shared" si="462"/>
        <v>0</v>
      </c>
      <c r="AQ343" s="55">
        <f t="shared" si="462"/>
        <v>0</v>
      </c>
      <c r="AR343" s="55">
        <f t="shared" si="462"/>
        <v>0</v>
      </c>
      <c r="AS343" s="55">
        <f t="shared" si="462"/>
        <v>0</v>
      </c>
      <c r="AT343" s="55">
        <f t="shared" si="462"/>
        <v>0</v>
      </c>
      <c r="AU343" s="55">
        <f t="shared" si="462"/>
        <v>0</v>
      </c>
      <c r="AV343" s="55">
        <f t="shared" si="462"/>
        <v>0</v>
      </c>
      <c r="AW343" s="55">
        <f t="shared" si="462"/>
        <v>0</v>
      </c>
      <c r="AX343" s="55">
        <f t="shared" si="462"/>
        <v>0</v>
      </c>
      <c r="AY343" s="55">
        <f t="shared" si="462"/>
        <v>0</v>
      </c>
      <c r="AZ343" s="55">
        <f t="shared" si="462"/>
        <v>0</v>
      </c>
      <c r="BA343" s="55">
        <f t="shared" si="462"/>
        <v>0</v>
      </c>
      <c r="BB343" s="55">
        <f t="shared" si="462"/>
        <v>0</v>
      </c>
      <c r="BC343" s="55">
        <f t="shared" si="462"/>
        <v>0</v>
      </c>
      <c r="BD343" s="55">
        <f t="shared" si="462"/>
        <v>0</v>
      </c>
      <c r="BE343" s="55">
        <f t="shared" si="462"/>
        <v>0</v>
      </c>
      <c r="BF343" s="55">
        <f t="shared" si="462"/>
        <v>0</v>
      </c>
      <c r="BG343" s="55">
        <f t="shared" si="462"/>
        <v>0</v>
      </c>
      <c r="BH343" s="55">
        <f t="shared" si="462"/>
        <v>0</v>
      </c>
      <c r="BI343" s="55">
        <f t="shared" si="462"/>
        <v>0</v>
      </c>
      <c r="BJ343" s="55">
        <f t="shared" si="462"/>
        <v>0</v>
      </c>
    </row>
    <row r="344" spans="1:62" x14ac:dyDescent="0.3">
      <c r="A344" s="4" t="s">
        <v>261</v>
      </c>
      <c r="C344" s="55">
        <f t="shared" ref="C344:AH344" si="463">C342+C340-C341-C343</f>
        <v>47.265500192209089</v>
      </c>
      <c r="D344" s="55">
        <f t="shared" si="463"/>
        <v>3.5952512141070088</v>
      </c>
      <c r="E344" s="55">
        <f t="shared" si="463"/>
        <v>0.6863113356891688</v>
      </c>
      <c r="F344" s="55">
        <f t="shared" si="463"/>
        <v>0.44172949597736988</v>
      </c>
      <c r="G344" s="55">
        <f t="shared" si="463"/>
        <v>-2.5526206649715277E-3</v>
      </c>
      <c r="H344" s="55">
        <f t="shared" si="463"/>
        <v>-2.5858743228496905E-2</v>
      </c>
      <c r="I344" s="55">
        <f t="shared" si="463"/>
        <v>4.9351091131679254</v>
      </c>
      <c r="J344" s="55">
        <f t="shared" si="463"/>
        <v>2.1954515853749115</v>
      </c>
      <c r="K344" s="55">
        <f t="shared" si="463"/>
        <v>15.452518994451822</v>
      </c>
      <c r="L344" s="55">
        <f t="shared" si="463"/>
        <v>8.0611920811884943</v>
      </c>
      <c r="M344" s="55">
        <f t="shared" si="463"/>
        <v>-2.7547495551800694E-3</v>
      </c>
      <c r="N344" s="55">
        <f t="shared" si="463"/>
        <v>10.470675488292528</v>
      </c>
      <c r="O344" s="55">
        <f t="shared" si="463"/>
        <v>0.11716075891243349</v>
      </c>
      <c r="P344" s="55">
        <f t="shared" si="463"/>
        <v>0.25947865250194013</v>
      </c>
      <c r="Q344" s="55">
        <f t="shared" si="463"/>
        <v>-1.5375200013380663E-2</v>
      </c>
      <c r="R344" s="55">
        <f t="shared" si="463"/>
        <v>0.28213343635138699</v>
      </c>
      <c r="S344" s="55">
        <f t="shared" si="463"/>
        <v>3.7929374736336285E-3</v>
      </c>
      <c r="T344" s="55">
        <f t="shared" si="463"/>
        <v>-1.6919318045722775E-3</v>
      </c>
      <c r="U344" s="55">
        <f t="shared" si="463"/>
        <v>0</v>
      </c>
      <c r="V344" s="55">
        <f t="shared" si="463"/>
        <v>0</v>
      </c>
      <c r="W344" s="55">
        <f t="shared" si="463"/>
        <v>0</v>
      </c>
      <c r="X344" s="55">
        <f t="shared" si="463"/>
        <v>0</v>
      </c>
      <c r="Y344" s="55">
        <f t="shared" si="463"/>
        <v>0</v>
      </c>
      <c r="Z344" s="55">
        <f t="shared" si="463"/>
        <v>0</v>
      </c>
      <c r="AA344" s="55">
        <f t="shared" si="463"/>
        <v>0</v>
      </c>
      <c r="AB344" s="55">
        <f t="shared" si="463"/>
        <v>0</v>
      </c>
      <c r="AC344" s="55">
        <f t="shared" si="463"/>
        <v>0</v>
      </c>
      <c r="AD344" s="55">
        <f t="shared" si="463"/>
        <v>0</v>
      </c>
      <c r="AE344" s="55">
        <f t="shared" si="463"/>
        <v>0</v>
      </c>
      <c r="AF344" s="55">
        <f t="shared" si="463"/>
        <v>0</v>
      </c>
      <c r="AG344" s="55">
        <f t="shared" si="463"/>
        <v>0</v>
      </c>
      <c r="AH344" s="55">
        <f t="shared" si="463"/>
        <v>0</v>
      </c>
      <c r="AI344" s="55">
        <f t="shared" ref="AI344:BN344" si="464">AI342+AI340-AI341-AI343</f>
        <v>0</v>
      </c>
      <c r="AJ344" s="55">
        <f t="shared" si="464"/>
        <v>0</v>
      </c>
      <c r="AK344" s="55">
        <f t="shared" si="464"/>
        <v>0</v>
      </c>
      <c r="AL344" s="55">
        <f t="shared" si="464"/>
        <v>0</v>
      </c>
      <c r="AM344" s="55">
        <f t="shared" si="464"/>
        <v>0</v>
      </c>
      <c r="AN344" s="55">
        <f t="shared" si="464"/>
        <v>0</v>
      </c>
      <c r="AO344" s="55">
        <f t="shared" si="464"/>
        <v>0</v>
      </c>
      <c r="AP344" s="55">
        <f t="shared" si="464"/>
        <v>0</v>
      </c>
      <c r="AQ344" s="55">
        <f t="shared" si="464"/>
        <v>0</v>
      </c>
      <c r="AR344" s="55">
        <f t="shared" si="464"/>
        <v>0</v>
      </c>
      <c r="AS344" s="55">
        <f t="shared" si="464"/>
        <v>0</v>
      </c>
      <c r="AT344" s="55">
        <f t="shared" si="464"/>
        <v>0</v>
      </c>
      <c r="AU344" s="55">
        <f t="shared" si="464"/>
        <v>0</v>
      </c>
      <c r="AV344" s="55">
        <f t="shared" si="464"/>
        <v>0</v>
      </c>
      <c r="AW344" s="55">
        <f t="shared" si="464"/>
        <v>0</v>
      </c>
      <c r="AX344" s="55">
        <f t="shared" si="464"/>
        <v>0</v>
      </c>
      <c r="AY344" s="55">
        <f t="shared" si="464"/>
        <v>0</v>
      </c>
      <c r="AZ344" s="55">
        <f t="shared" si="464"/>
        <v>0</v>
      </c>
      <c r="BA344" s="55">
        <f t="shared" si="464"/>
        <v>0</v>
      </c>
      <c r="BB344" s="55">
        <f t="shared" si="464"/>
        <v>0</v>
      </c>
      <c r="BC344" s="55">
        <f t="shared" si="464"/>
        <v>0</v>
      </c>
      <c r="BD344" s="55">
        <f t="shared" si="464"/>
        <v>0</v>
      </c>
      <c r="BE344" s="55">
        <f t="shared" si="464"/>
        <v>0</v>
      </c>
      <c r="BF344" s="55">
        <f t="shared" si="464"/>
        <v>0</v>
      </c>
      <c r="BG344" s="55">
        <f t="shared" si="464"/>
        <v>0</v>
      </c>
      <c r="BH344" s="55">
        <f t="shared" si="464"/>
        <v>0</v>
      </c>
      <c r="BI344" s="55">
        <f t="shared" si="464"/>
        <v>0</v>
      </c>
      <c r="BJ344" s="55">
        <f t="shared" si="464"/>
        <v>0</v>
      </c>
    </row>
    <row r="345" spans="1:62" x14ac:dyDescent="0.3">
      <c r="A345" s="28" t="s">
        <v>262</v>
      </c>
      <c r="C345" s="56">
        <f t="shared" ref="C345:AH345" si="465">IF(C$127&lt;$B$14,1,0)</f>
        <v>1</v>
      </c>
      <c r="D345" s="56">
        <f t="shared" si="465"/>
        <v>1</v>
      </c>
      <c r="E345" s="56">
        <f t="shared" si="465"/>
        <v>1</v>
      </c>
      <c r="F345" s="56">
        <f t="shared" si="465"/>
        <v>1</v>
      </c>
      <c r="G345" s="56">
        <f t="shared" si="465"/>
        <v>1</v>
      </c>
      <c r="H345" s="56">
        <f t="shared" si="465"/>
        <v>1</v>
      </c>
      <c r="I345" s="56">
        <f t="shared" si="465"/>
        <v>1</v>
      </c>
      <c r="J345" s="56">
        <f t="shared" si="465"/>
        <v>1</v>
      </c>
      <c r="K345" s="56">
        <f t="shared" si="465"/>
        <v>1</v>
      </c>
      <c r="L345" s="56">
        <f t="shared" si="465"/>
        <v>1</v>
      </c>
      <c r="M345" s="56">
        <f t="shared" si="465"/>
        <v>1</v>
      </c>
      <c r="N345" s="56">
        <f t="shared" si="465"/>
        <v>1</v>
      </c>
      <c r="O345" s="56">
        <f t="shared" si="465"/>
        <v>1</v>
      </c>
      <c r="P345" s="56">
        <f t="shared" si="465"/>
        <v>1</v>
      </c>
      <c r="Q345" s="56">
        <f t="shared" si="465"/>
        <v>1</v>
      </c>
      <c r="R345" s="56">
        <f t="shared" si="465"/>
        <v>1</v>
      </c>
      <c r="S345" s="56">
        <f t="shared" si="465"/>
        <v>1</v>
      </c>
      <c r="T345" s="56">
        <f t="shared" si="465"/>
        <v>1</v>
      </c>
      <c r="U345" s="56">
        <f t="shared" si="465"/>
        <v>0</v>
      </c>
      <c r="V345" s="56">
        <f t="shared" si="465"/>
        <v>0</v>
      </c>
      <c r="W345" s="56">
        <f t="shared" si="465"/>
        <v>0</v>
      </c>
      <c r="X345" s="56">
        <f t="shared" si="465"/>
        <v>0</v>
      </c>
      <c r="Y345" s="56">
        <f t="shared" si="465"/>
        <v>0</v>
      </c>
      <c r="Z345" s="56">
        <f t="shared" si="465"/>
        <v>0</v>
      </c>
      <c r="AA345" s="56">
        <f t="shared" si="465"/>
        <v>0</v>
      </c>
      <c r="AB345" s="56">
        <f t="shared" si="465"/>
        <v>0</v>
      </c>
      <c r="AC345" s="56">
        <f t="shared" si="465"/>
        <v>0</v>
      </c>
      <c r="AD345" s="56">
        <f t="shared" si="465"/>
        <v>0</v>
      </c>
      <c r="AE345" s="56">
        <f t="shared" si="465"/>
        <v>0</v>
      </c>
      <c r="AF345" s="56">
        <f t="shared" si="465"/>
        <v>0</v>
      </c>
      <c r="AG345" s="56">
        <f t="shared" si="465"/>
        <v>0</v>
      </c>
      <c r="AH345" s="56">
        <f t="shared" si="465"/>
        <v>0</v>
      </c>
      <c r="AI345" s="56">
        <f t="shared" ref="AI345:BJ345" si="466">IF(AI$127&lt;$B$14,1,0)</f>
        <v>0</v>
      </c>
      <c r="AJ345" s="56">
        <f t="shared" si="466"/>
        <v>0</v>
      </c>
      <c r="AK345" s="56">
        <f t="shared" si="466"/>
        <v>0</v>
      </c>
      <c r="AL345" s="56">
        <f t="shared" si="466"/>
        <v>0</v>
      </c>
      <c r="AM345" s="56">
        <f t="shared" si="466"/>
        <v>0</v>
      </c>
      <c r="AN345" s="56">
        <f t="shared" si="466"/>
        <v>0</v>
      </c>
      <c r="AO345" s="56">
        <f t="shared" si="466"/>
        <v>0</v>
      </c>
      <c r="AP345" s="56">
        <f t="shared" si="466"/>
        <v>0</v>
      </c>
      <c r="AQ345" s="56">
        <f t="shared" si="466"/>
        <v>0</v>
      </c>
      <c r="AR345" s="56">
        <f t="shared" si="466"/>
        <v>0</v>
      </c>
      <c r="AS345" s="56">
        <f t="shared" si="466"/>
        <v>0</v>
      </c>
      <c r="AT345" s="56">
        <f t="shared" si="466"/>
        <v>0</v>
      </c>
      <c r="AU345" s="56">
        <f t="shared" si="466"/>
        <v>0</v>
      </c>
      <c r="AV345" s="56">
        <f t="shared" si="466"/>
        <v>0</v>
      </c>
      <c r="AW345" s="56">
        <f t="shared" si="466"/>
        <v>0</v>
      </c>
      <c r="AX345" s="56">
        <f t="shared" si="466"/>
        <v>0</v>
      </c>
      <c r="AY345" s="56">
        <f t="shared" si="466"/>
        <v>0</v>
      </c>
      <c r="AZ345" s="56">
        <f t="shared" si="466"/>
        <v>0</v>
      </c>
      <c r="BA345" s="56">
        <f t="shared" si="466"/>
        <v>0</v>
      </c>
      <c r="BB345" s="56">
        <f t="shared" si="466"/>
        <v>0</v>
      </c>
      <c r="BC345" s="56">
        <f t="shared" si="466"/>
        <v>0</v>
      </c>
      <c r="BD345" s="56">
        <f t="shared" si="466"/>
        <v>0</v>
      </c>
      <c r="BE345" s="56">
        <f t="shared" si="466"/>
        <v>0</v>
      </c>
      <c r="BF345" s="56">
        <f t="shared" si="466"/>
        <v>0</v>
      </c>
      <c r="BG345" s="56">
        <f t="shared" si="466"/>
        <v>0</v>
      </c>
      <c r="BH345" s="56">
        <f t="shared" si="466"/>
        <v>0</v>
      </c>
      <c r="BI345" s="56">
        <f t="shared" si="466"/>
        <v>0</v>
      </c>
      <c r="BJ345" s="56">
        <f t="shared" si="466"/>
        <v>0</v>
      </c>
    </row>
    <row r="346" spans="1:62" x14ac:dyDescent="0.3">
      <c r="A346" s="4" t="s">
        <v>263</v>
      </c>
      <c r="C346" s="55">
        <f t="shared" ref="C346:AH346" si="467">C344*C345</f>
        <v>47.265500192209089</v>
      </c>
      <c r="D346" s="55">
        <f t="shared" si="467"/>
        <v>3.5952512141070088</v>
      </c>
      <c r="E346" s="55">
        <f t="shared" si="467"/>
        <v>0.6863113356891688</v>
      </c>
      <c r="F346" s="55">
        <f t="shared" si="467"/>
        <v>0.44172949597736988</v>
      </c>
      <c r="G346" s="55">
        <f t="shared" si="467"/>
        <v>-2.5526206649715277E-3</v>
      </c>
      <c r="H346" s="55">
        <f t="shared" si="467"/>
        <v>-2.5858743228496905E-2</v>
      </c>
      <c r="I346" s="55">
        <f t="shared" si="467"/>
        <v>4.9351091131679254</v>
      </c>
      <c r="J346" s="55">
        <f t="shared" si="467"/>
        <v>2.1954515853749115</v>
      </c>
      <c r="K346" s="55">
        <f t="shared" si="467"/>
        <v>15.452518994451822</v>
      </c>
      <c r="L346" s="55">
        <f t="shared" si="467"/>
        <v>8.0611920811884943</v>
      </c>
      <c r="M346" s="55">
        <f t="shared" si="467"/>
        <v>-2.7547495551800694E-3</v>
      </c>
      <c r="N346" s="55">
        <f t="shared" si="467"/>
        <v>10.470675488292528</v>
      </c>
      <c r="O346" s="55">
        <f t="shared" si="467"/>
        <v>0.11716075891243349</v>
      </c>
      <c r="P346" s="55">
        <f t="shared" si="467"/>
        <v>0.25947865250194013</v>
      </c>
      <c r="Q346" s="55">
        <f t="shared" si="467"/>
        <v>-1.5375200013380663E-2</v>
      </c>
      <c r="R346" s="55">
        <f t="shared" si="467"/>
        <v>0.28213343635138699</v>
      </c>
      <c r="S346" s="55">
        <f t="shared" si="467"/>
        <v>3.7929374736336285E-3</v>
      </c>
      <c r="T346" s="55">
        <f t="shared" si="467"/>
        <v>-1.6919318045722775E-3</v>
      </c>
      <c r="U346" s="55">
        <f t="shared" si="467"/>
        <v>0</v>
      </c>
      <c r="V346" s="55">
        <f t="shared" si="467"/>
        <v>0</v>
      </c>
      <c r="W346" s="55">
        <f t="shared" si="467"/>
        <v>0</v>
      </c>
      <c r="X346" s="55">
        <f t="shared" si="467"/>
        <v>0</v>
      </c>
      <c r="Y346" s="55">
        <f t="shared" si="467"/>
        <v>0</v>
      </c>
      <c r="Z346" s="55">
        <f t="shared" si="467"/>
        <v>0</v>
      </c>
      <c r="AA346" s="55">
        <f t="shared" si="467"/>
        <v>0</v>
      </c>
      <c r="AB346" s="55">
        <f t="shared" si="467"/>
        <v>0</v>
      </c>
      <c r="AC346" s="55">
        <f t="shared" si="467"/>
        <v>0</v>
      </c>
      <c r="AD346" s="55">
        <f t="shared" si="467"/>
        <v>0</v>
      </c>
      <c r="AE346" s="55">
        <f t="shared" si="467"/>
        <v>0</v>
      </c>
      <c r="AF346" s="55">
        <f t="shared" si="467"/>
        <v>0</v>
      </c>
      <c r="AG346" s="55">
        <f t="shared" si="467"/>
        <v>0</v>
      </c>
      <c r="AH346" s="55">
        <f t="shared" si="467"/>
        <v>0</v>
      </c>
      <c r="AI346" s="55">
        <f t="shared" ref="AI346:BN346" si="468">AI344*AI345</f>
        <v>0</v>
      </c>
      <c r="AJ346" s="55">
        <f t="shared" si="468"/>
        <v>0</v>
      </c>
      <c r="AK346" s="55">
        <f t="shared" si="468"/>
        <v>0</v>
      </c>
      <c r="AL346" s="55">
        <f t="shared" si="468"/>
        <v>0</v>
      </c>
      <c r="AM346" s="55">
        <f t="shared" si="468"/>
        <v>0</v>
      </c>
      <c r="AN346" s="55">
        <f t="shared" si="468"/>
        <v>0</v>
      </c>
      <c r="AO346" s="55">
        <f t="shared" si="468"/>
        <v>0</v>
      </c>
      <c r="AP346" s="55">
        <f t="shared" si="468"/>
        <v>0</v>
      </c>
      <c r="AQ346" s="55">
        <f t="shared" si="468"/>
        <v>0</v>
      </c>
      <c r="AR346" s="55">
        <f t="shared" si="468"/>
        <v>0</v>
      </c>
      <c r="AS346" s="55">
        <f t="shared" si="468"/>
        <v>0</v>
      </c>
      <c r="AT346" s="55">
        <f t="shared" si="468"/>
        <v>0</v>
      </c>
      <c r="AU346" s="55">
        <f t="shared" si="468"/>
        <v>0</v>
      </c>
      <c r="AV346" s="55">
        <f t="shared" si="468"/>
        <v>0</v>
      </c>
      <c r="AW346" s="55">
        <f t="shared" si="468"/>
        <v>0</v>
      </c>
      <c r="AX346" s="55">
        <f t="shared" si="468"/>
        <v>0</v>
      </c>
      <c r="AY346" s="55">
        <f t="shared" si="468"/>
        <v>0</v>
      </c>
      <c r="AZ346" s="55">
        <f t="shared" si="468"/>
        <v>0</v>
      </c>
      <c r="BA346" s="55">
        <f t="shared" si="468"/>
        <v>0</v>
      </c>
      <c r="BB346" s="55">
        <f t="shared" si="468"/>
        <v>0</v>
      </c>
      <c r="BC346" s="55">
        <f t="shared" si="468"/>
        <v>0</v>
      </c>
      <c r="BD346" s="55">
        <f t="shared" si="468"/>
        <v>0</v>
      </c>
      <c r="BE346" s="55">
        <f t="shared" si="468"/>
        <v>0</v>
      </c>
      <c r="BF346" s="55">
        <f t="shared" si="468"/>
        <v>0</v>
      </c>
      <c r="BG346" s="55">
        <f t="shared" si="468"/>
        <v>0</v>
      </c>
      <c r="BH346" s="55">
        <f t="shared" si="468"/>
        <v>0</v>
      </c>
      <c r="BI346" s="55">
        <f t="shared" si="468"/>
        <v>0</v>
      </c>
      <c r="BJ346" s="55">
        <f t="shared" si="468"/>
        <v>0</v>
      </c>
    </row>
    <row r="347" spans="1:62" x14ac:dyDescent="0.3">
      <c r="A347" s="28" t="s">
        <v>264</v>
      </c>
      <c r="C347" s="55">
        <f t="shared" ref="C347:AH347" si="469">$M$5</f>
        <v>35.445</v>
      </c>
      <c r="D347" s="55">
        <f t="shared" si="469"/>
        <v>35.445</v>
      </c>
      <c r="E347" s="55">
        <f t="shared" si="469"/>
        <v>35.445</v>
      </c>
      <c r="F347" s="55">
        <f t="shared" si="469"/>
        <v>35.445</v>
      </c>
      <c r="G347" s="55">
        <f t="shared" si="469"/>
        <v>35.445</v>
      </c>
      <c r="H347" s="55">
        <f t="shared" si="469"/>
        <v>35.445</v>
      </c>
      <c r="I347" s="55">
        <f t="shared" si="469"/>
        <v>35.445</v>
      </c>
      <c r="J347" s="55">
        <f t="shared" si="469"/>
        <v>35.445</v>
      </c>
      <c r="K347" s="55">
        <f t="shared" si="469"/>
        <v>35.445</v>
      </c>
      <c r="L347" s="55">
        <f t="shared" si="469"/>
        <v>35.445</v>
      </c>
      <c r="M347" s="55">
        <f t="shared" si="469"/>
        <v>35.445</v>
      </c>
      <c r="N347" s="55">
        <f t="shared" si="469"/>
        <v>35.445</v>
      </c>
      <c r="O347" s="55">
        <f t="shared" si="469"/>
        <v>35.445</v>
      </c>
      <c r="P347" s="55">
        <f t="shared" si="469"/>
        <v>35.445</v>
      </c>
      <c r="Q347" s="55">
        <f t="shared" si="469"/>
        <v>35.445</v>
      </c>
      <c r="R347" s="55">
        <f t="shared" si="469"/>
        <v>35.445</v>
      </c>
      <c r="S347" s="55">
        <f t="shared" si="469"/>
        <v>35.445</v>
      </c>
      <c r="T347" s="55">
        <f t="shared" si="469"/>
        <v>35.445</v>
      </c>
      <c r="U347" s="55">
        <f t="shared" si="469"/>
        <v>35.445</v>
      </c>
      <c r="V347" s="55">
        <f t="shared" si="469"/>
        <v>35.445</v>
      </c>
      <c r="W347" s="55">
        <f t="shared" si="469"/>
        <v>35.445</v>
      </c>
      <c r="X347" s="55">
        <f t="shared" si="469"/>
        <v>35.445</v>
      </c>
      <c r="Y347" s="55">
        <f t="shared" si="469"/>
        <v>35.445</v>
      </c>
      <c r="Z347" s="55">
        <f t="shared" si="469"/>
        <v>35.445</v>
      </c>
      <c r="AA347" s="55">
        <f t="shared" si="469"/>
        <v>35.445</v>
      </c>
      <c r="AB347" s="55">
        <f t="shared" si="469"/>
        <v>35.445</v>
      </c>
      <c r="AC347" s="55">
        <f t="shared" si="469"/>
        <v>35.445</v>
      </c>
      <c r="AD347" s="55">
        <f t="shared" si="469"/>
        <v>35.445</v>
      </c>
      <c r="AE347" s="55">
        <f t="shared" si="469"/>
        <v>35.445</v>
      </c>
      <c r="AF347" s="55">
        <f t="shared" si="469"/>
        <v>35.445</v>
      </c>
      <c r="AG347" s="55">
        <f t="shared" si="469"/>
        <v>35.445</v>
      </c>
      <c r="AH347" s="55">
        <f t="shared" si="469"/>
        <v>35.445</v>
      </c>
      <c r="AI347" s="55">
        <f t="shared" ref="AI347:BJ347" si="470">$M$5</f>
        <v>35.445</v>
      </c>
      <c r="AJ347" s="55">
        <f t="shared" si="470"/>
        <v>35.445</v>
      </c>
      <c r="AK347" s="55">
        <f t="shared" si="470"/>
        <v>35.445</v>
      </c>
      <c r="AL347" s="55">
        <f t="shared" si="470"/>
        <v>35.445</v>
      </c>
      <c r="AM347" s="55">
        <f t="shared" si="470"/>
        <v>35.445</v>
      </c>
      <c r="AN347" s="55">
        <f t="shared" si="470"/>
        <v>35.445</v>
      </c>
      <c r="AO347" s="55">
        <f t="shared" si="470"/>
        <v>35.445</v>
      </c>
      <c r="AP347" s="55">
        <f t="shared" si="470"/>
        <v>35.445</v>
      </c>
      <c r="AQ347" s="55">
        <f t="shared" si="470"/>
        <v>35.445</v>
      </c>
      <c r="AR347" s="55">
        <f t="shared" si="470"/>
        <v>35.445</v>
      </c>
      <c r="AS347" s="55">
        <f t="shared" si="470"/>
        <v>35.445</v>
      </c>
      <c r="AT347" s="55">
        <f t="shared" si="470"/>
        <v>35.445</v>
      </c>
      <c r="AU347" s="55">
        <f t="shared" si="470"/>
        <v>35.445</v>
      </c>
      <c r="AV347" s="55">
        <f t="shared" si="470"/>
        <v>35.445</v>
      </c>
      <c r="AW347" s="55">
        <f t="shared" si="470"/>
        <v>35.445</v>
      </c>
      <c r="AX347" s="55">
        <f t="shared" si="470"/>
        <v>35.445</v>
      </c>
      <c r="AY347" s="55">
        <f t="shared" si="470"/>
        <v>35.445</v>
      </c>
      <c r="AZ347" s="55">
        <f t="shared" si="470"/>
        <v>35.445</v>
      </c>
      <c r="BA347" s="55">
        <f t="shared" si="470"/>
        <v>35.445</v>
      </c>
      <c r="BB347" s="55">
        <f t="shared" si="470"/>
        <v>35.445</v>
      </c>
      <c r="BC347" s="55">
        <f t="shared" si="470"/>
        <v>35.445</v>
      </c>
      <c r="BD347" s="55">
        <f t="shared" si="470"/>
        <v>35.445</v>
      </c>
      <c r="BE347" s="55">
        <f t="shared" si="470"/>
        <v>35.445</v>
      </c>
      <c r="BF347" s="55">
        <f t="shared" si="470"/>
        <v>35.445</v>
      </c>
      <c r="BG347" s="55">
        <f t="shared" si="470"/>
        <v>35.445</v>
      </c>
      <c r="BH347" s="55">
        <f t="shared" si="470"/>
        <v>35.445</v>
      </c>
      <c r="BI347" s="55">
        <f t="shared" si="470"/>
        <v>35.445</v>
      </c>
      <c r="BJ347" s="55">
        <f t="shared" si="470"/>
        <v>35.445</v>
      </c>
    </row>
    <row r="348" spans="1:62" x14ac:dyDescent="0.3">
      <c r="A348" s="28" t="s">
        <v>265</v>
      </c>
      <c r="C348" s="55">
        <f t="shared" ref="C348:AH348" si="471">MAX(0,C346-C347)</f>
        <v>11.820500192209089</v>
      </c>
      <c r="D348" s="55">
        <f t="shared" si="471"/>
        <v>0</v>
      </c>
      <c r="E348" s="55">
        <f t="shared" si="471"/>
        <v>0</v>
      </c>
      <c r="F348" s="55">
        <f t="shared" si="471"/>
        <v>0</v>
      </c>
      <c r="G348" s="55">
        <f t="shared" si="471"/>
        <v>0</v>
      </c>
      <c r="H348" s="55">
        <f t="shared" si="471"/>
        <v>0</v>
      </c>
      <c r="I348" s="55">
        <f t="shared" si="471"/>
        <v>0</v>
      </c>
      <c r="J348" s="55">
        <f t="shared" si="471"/>
        <v>0</v>
      </c>
      <c r="K348" s="55">
        <f t="shared" si="471"/>
        <v>0</v>
      </c>
      <c r="L348" s="55">
        <f t="shared" si="471"/>
        <v>0</v>
      </c>
      <c r="M348" s="55">
        <f t="shared" si="471"/>
        <v>0</v>
      </c>
      <c r="N348" s="55">
        <f t="shared" si="471"/>
        <v>0</v>
      </c>
      <c r="O348" s="55">
        <f t="shared" si="471"/>
        <v>0</v>
      </c>
      <c r="P348" s="55">
        <f t="shared" si="471"/>
        <v>0</v>
      </c>
      <c r="Q348" s="55">
        <f t="shared" si="471"/>
        <v>0</v>
      </c>
      <c r="R348" s="55">
        <f t="shared" si="471"/>
        <v>0</v>
      </c>
      <c r="S348" s="55">
        <f t="shared" si="471"/>
        <v>0</v>
      </c>
      <c r="T348" s="55">
        <f t="shared" si="471"/>
        <v>0</v>
      </c>
      <c r="U348" s="55">
        <f t="shared" si="471"/>
        <v>0</v>
      </c>
      <c r="V348" s="55">
        <f t="shared" si="471"/>
        <v>0</v>
      </c>
      <c r="W348" s="55">
        <f t="shared" si="471"/>
        <v>0</v>
      </c>
      <c r="X348" s="55">
        <f t="shared" si="471"/>
        <v>0</v>
      </c>
      <c r="Y348" s="55">
        <f t="shared" si="471"/>
        <v>0</v>
      </c>
      <c r="Z348" s="55">
        <f t="shared" si="471"/>
        <v>0</v>
      </c>
      <c r="AA348" s="55">
        <f t="shared" si="471"/>
        <v>0</v>
      </c>
      <c r="AB348" s="55">
        <f t="shared" si="471"/>
        <v>0</v>
      </c>
      <c r="AC348" s="55">
        <f t="shared" si="471"/>
        <v>0</v>
      </c>
      <c r="AD348" s="55">
        <f t="shared" si="471"/>
        <v>0</v>
      </c>
      <c r="AE348" s="55">
        <f t="shared" si="471"/>
        <v>0</v>
      </c>
      <c r="AF348" s="55">
        <f t="shared" si="471"/>
        <v>0</v>
      </c>
      <c r="AG348" s="55">
        <f t="shared" si="471"/>
        <v>0</v>
      </c>
      <c r="AH348" s="55">
        <f t="shared" si="471"/>
        <v>0</v>
      </c>
      <c r="AI348" s="55">
        <f t="shared" ref="AI348:BN348" si="472">MAX(0,AI346-AI347)</f>
        <v>0</v>
      </c>
      <c r="AJ348" s="55">
        <f t="shared" si="472"/>
        <v>0</v>
      </c>
      <c r="AK348" s="55">
        <f t="shared" si="472"/>
        <v>0</v>
      </c>
      <c r="AL348" s="55">
        <f t="shared" si="472"/>
        <v>0</v>
      </c>
      <c r="AM348" s="55">
        <f t="shared" si="472"/>
        <v>0</v>
      </c>
      <c r="AN348" s="55">
        <f t="shared" si="472"/>
        <v>0</v>
      </c>
      <c r="AO348" s="55">
        <f t="shared" si="472"/>
        <v>0</v>
      </c>
      <c r="AP348" s="55">
        <f t="shared" si="472"/>
        <v>0</v>
      </c>
      <c r="AQ348" s="55">
        <f t="shared" si="472"/>
        <v>0</v>
      </c>
      <c r="AR348" s="55">
        <f t="shared" si="472"/>
        <v>0</v>
      </c>
      <c r="AS348" s="55">
        <f t="shared" si="472"/>
        <v>0</v>
      </c>
      <c r="AT348" s="55">
        <f t="shared" si="472"/>
        <v>0</v>
      </c>
      <c r="AU348" s="55">
        <f t="shared" si="472"/>
        <v>0</v>
      </c>
      <c r="AV348" s="55">
        <f t="shared" si="472"/>
        <v>0</v>
      </c>
      <c r="AW348" s="55">
        <f t="shared" si="472"/>
        <v>0</v>
      </c>
      <c r="AX348" s="55">
        <f t="shared" si="472"/>
        <v>0</v>
      </c>
      <c r="AY348" s="55">
        <f t="shared" si="472"/>
        <v>0</v>
      </c>
      <c r="AZ348" s="55">
        <f t="shared" si="472"/>
        <v>0</v>
      </c>
      <c r="BA348" s="55">
        <f t="shared" si="472"/>
        <v>0</v>
      </c>
      <c r="BB348" s="55">
        <f t="shared" si="472"/>
        <v>0</v>
      </c>
      <c r="BC348" s="55">
        <f t="shared" si="472"/>
        <v>0</v>
      </c>
      <c r="BD348" s="55">
        <f t="shared" si="472"/>
        <v>0</v>
      </c>
      <c r="BE348" s="55">
        <f t="shared" si="472"/>
        <v>0</v>
      </c>
      <c r="BF348" s="55">
        <f t="shared" si="472"/>
        <v>0</v>
      </c>
      <c r="BG348" s="55">
        <f t="shared" si="472"/>
        <v>0</v>
      </c>
      <c r="BH348" s="55">
        <f t="shared" si="472"/>
        <v>0</v>
      </c>
      <c r="BI348" s="55">
        <f t="shared" si="472"/>
        <v>0</v>
      </c>
      <c r="BJ348" s="55">
        <f t="shared" si="472"/>
        <v>0</v>
      </c>
    </row>
    <row r="349" spans="1:62" x14ac:dyDescent="0.3">
      <c r="A349" s="28" t="s">
        <v>266</v>
      </c>
      <c r="C349" s="55">
        <f t="shared" ref="C349:AH349" si="473">MIN(MAX(0,C348-($M$5-$M$5)),($M$6-$M$5))</f>
        <v>11.814999999999998</v>
      </c>
      <c r="D349" s="55">
        <f t="shared" si="473"/>
        <v>0</v>
      </c>
      <c r="E349" s="55">
        <f t="shared" si="473"/>
        <v>0</v>
      </c>
      <c r="F349" s="55">
        <f t="shared" si="473"/>
        <v>0</v>
      </c>
      <c r="G349" s="55">
        <f t="shared" si="473"/>
        <v>0</v>
      </c>
      <c r="H349" s="55">
        <f t="shared" si="473"/>
        <v>0</v>
      </c>
      <c r="I349" s="55">
        <f t="shared" si="473"/>
        <v>0</v>
      </c>
      <c r="J349" s="55">
        <f t="shared" si="473"/>
        <v>0</v>
      </c>
      <c r="K349" s="55">
        <f t="shared" si="473"/>
        <v>0</v>
      </c>
      <c r="L349" s="55">
        <f t="shared" si="473"/>
        <v>0</v>
      </c>
      <c r="M349" s="55">
        <f t="shared" si="473"/>
        <v>0</v>
      </c>
      <c r="N349" s="55">
        <f t="shared" si="473"/>
        <v>0</v>
      </c>
      <c r="O349" s="55">
        <f t="shared" si="473"/>
        <v>0</v>
      </c>
      <c r="P349" s="55">
        <f t="shared" si="473"/>
        <v>0</v>
      </c>
      <c r="Q349" s="55">
        <f t="shared" si="473"/>
        <v>0</v>
      </c>
      <c r="R349" s="55">
        <f t="shared" si="473"/>
        <v>0</v>
      </c>
      <c r="S349" s="55">
        <f t="shared" si="473"/>
        <v>0</v>
      </c>
      <c r="T349" s="55">
        <f t="shared" si="473"/>
        <v>0</v>
      </c>
      <c r="U349" s="55">
        <f t="shared" si="473"/>
        <v>0</v>
      </c>
      <c r="V349" s="55">
        <f t="shared" si="473"/>
        <v>0</v>
      </c>
      <c r="W349" s="55">
        <f t="shared" si="473"/>
        <v>0</v>
      </c>
      <c r="X349" s="55">
        <f t="shared" si="473"/>
        <v>0</v>
      </c>
      <c r="Y349" s="55">
        <f t="shared" si="473"/>
        <v>0</v>
      </c>
      <c r="Z349" s="55">
        <f t="shared" si="473"/>
        <v>0</v>
      </c>
      <c r="AA349" s="55">
        <f t="shared" si="473"/>
        <v>0</v>
      </c>
      <c r="AB349" s="55">
        <f t="shared" si="473"/>
        <v>0</v>
      </c>
      <c r="AC349" s="55">
        <f t="shared" si="473"/>
        <v>0</v>
      </c>
      <c r="AD349" s="55">
        <f t="shared" si="473"/>
        <v>0</v>
      </c>
      <c r="AE349" s="55">
        <f t="shared" si="473"/>
        <v>0</v>
      </c>
      <c r="AF349" s="55">
        <f t="shared" si="473"/>
        <v>0</v>
      </c>
      <c r="AG349" s="55">
        <f t="shared" si="473"/>
        <v>0</v>
      </c>
      <c r="AH349" s="55">
        <f t="shared" si="473"/>
        <v>0</v>
      </c>
      <c r="AI349" s="55">
        <f t="shared" ref="AI349:BN349" si="474">MIN(MAX(0,AI348-($M$5-$M$5)),($M$6-$M$5))</f>
        <v>0</v>
      </c>
      <c r="AJ349" s="55">
        <f t="shared" si="474"/>
        <v>0</v>
      </c>
      <c r="AK349" s="55">
        <f t="shared" si="474"/>
        <v>0</v>
      </c>
      <c r="AL349" s="55">
        <f t="shared" si="474"/>
        <v>0</v>
      </c>
      <c r="AM349" s="55">
        <f t="shared" si="474"/>
        <v>0</v>
      </c>
      <c r="AN349" s="55">
        <f t="shared" si="474"/>
        <v>0</v>
      </c>
      <c r="AO349" s="55">
        <f t="shared" si="474"/>
        <v>0</v>
      </c>
      <c r="AP349" s="55">
        <f t="shared" si="474"/>
        <v>0</v>
      </c>
      <c r="AQ349" s="55">
        <f t="shared" si="474"/>
        <v>0</v>
      </c>
      <c r="AR349" s="55">
        <f t="shared" si="474"/>
        <v>0</v>
      </c>
      <c r="AS349" s="55">
        <f t="shared" si="474"/>
        <v>0</v>
      </c>
      <c r="AT349" s="55">
        <f t="shared" si="474"/>
        <v>0</v>
      </c>
      <c r="AU349" s="55">
        <f t="shared" si="474"/>
        <v>0</v>
      </c>
      <c r="AV349" s="55">
        <f t="shared" si="474"/>
        <v>0</v>
      </c>
      <c r="AW349" s="55">
        <f t="shared" si="474"/>
        <v>0</v>
      </c>
      <c r="AX349" s="55">
        <f t="shared" si="474"/>
        <v>0</v>
      </c>
      <c r="AY349" s="55">
        <f t="shared" si="474"/>
        <v>0</v>
      </c>
      <c r="AZ349" s="55">
        <f t="shared" si="474"/>
        <v>0</v>
      </c>
      <c r="BA349" s="55">
        <f t="shared" si="474"/>
        <v>0</v>
      </c>
      <c r="BB349" s="55">
        <f t="shared" si="474"/>
        <v>0</v>
      </c>
      <c r="BC349" s="55">
        <f t="shared" si="474"/>
        <v>0</v>
      </c>
      <c r="BD349" s="55">
        <f t="shared" si="474"/>
        <v>0</v>
      </c>
      <c r="BE349" s="55">
        <f t="shared" si="474"/>
        <v>0</v>
      </c>
      <c r="BF349" s="55">
        <f t="shared" si="474"/>
        <v>0</v>
      </c>
      <c r="BG349" s="55">
        <f t="shared" si="474"/>
        <v>0</v>
      </c>
      <c r="BH349" s="55">
        <f t="shared" si="474"/>
        <v>0</v>
      </c>
      <c r="BI349" s="55">
        <f t="shared" si="474"/>
        <v>0</v>
      </c>
      <c r="BJ349" s="55">
        <f t="shared" si="474"/>
        <v>0</v>
      </c>
    </row>
    <row r="350" spans="1:62" x14ac:dyDescent="0.3">
      <c r="A350" s="28" t="s">
        <v>267</v>
      </c>
      <c r="C350" s="55">
        <f t="shared" ref="C350:AH350" si="475">MIN(MAX(0,C348-($M$6-$M$5)),($M$7-$M$6))</f>
        <v>5.5001922090909261E-3</v>
      </c>
      <c r="D350" s="55">
        <f t="shared" si="475"/>
        <v>0</v>
      </c>
      <c r="E350" s="55">
        <f t="shared" si="475"/>
        <v>0</v>
      </c>
      <c r="F350" s="55">
        <f t="shared" si="475"/>
        <v>0</v>
      </c>
      <c r="G350" s="55">
        <f t="shared" si="475"/>
        <v>0</v>
      </c>
      <c r="H350" s="55">
        <f t="shared" si="475"/>
        <v>0</v>
      </c>
      <c r="I350" s="55">
        <f t="shared" si="475"/>
        <v>0</v>
      </c>
      <c r="J350" s="55">
        <f t="shared" si="475"/>
        <v>0</v>
      </c>
      <c r="K350" s="55">
        <f t="shared" si="475"/>
        <v>0</v>
      </c>
      <c r="L350" s="55">
        <f t="shared" si="475"/>
        <v>0</v>
      </c>
      <c r="M350" s="55">
        <f t="shared" si="475"/>
        <v>0</v>
      </c>
      <c r="N350" s="55">
        <f t="shared" si="475"/>
        <v>0</v>
      </c>
      <c r="O350" s="55">
        <f t="shared" si="475"/>
        <v>0</v>
      </c>
      <c r="P350" s="55">
        <f t="shared" si="475"/>
        <v>0</v>
      </c>
      <c r="Q350" s="55">
        <f t="shared" si="475"/>
        <v>0</v>
      </c>
      <c r="R350" s="55">
        <f t="shared" si="475"/>
        <v>0</v>
      </c>
      <c r="S350" s="55">
        <f t="shared" si="475"/>
        <v>0</v>
      </c>
      <c r="T350" s="55">
        <f t="shared" si="475"/>
        <v>0</v>
      </c>
      <c r="U350" s="55">
        <f t="shared" si="475"/>
        <v>0</v>
      </c>
      <c r="V350" s="55">
        <f t="shared" si="475"/>
        <v>0</v>
      </c>
      <c r="W350" s="55">
        <f t="shared" si="475"/>
        <v>0</v>
      </c>
      <c r="X350" s="55">
        <f t="shared" si="475"/>
        <v>0</v>
      </c>
      <c r="Y350" s="55">
        <f t="shared" si="475"/>
        <v>0</v>
      </c>
      <c r="Z350" s="55">
        <f t="shared" si="475"/>
        <v>0</v>
      </c>
      <c r="AA350" s="55">
        <f t="shared" si="475"/>
        <v>0</v>
      </c>
      <c r="AB350" s="55">
        <f t="shared" si="475"/>
        <v>0</v>
      </c>
      <c r="AC350" s="55">
        <f t="shared" si="475"/>
        <v>0</v>
      </c>
      <c r="AD350" s="55">
        <f t="shared" si="475"/>
        <v>0</v>
      </c>
      <c r="AE350" s="55">
        <f t="shared" si="475"/>
        <v>0</v>
      </c>
      <c r="AF350" s="55">
        <f t="shared" si="475"/>
        <v>0</v>
      </c>
      <c r="AG350" s="55">
        <f t="shared" si="475"/>
        <v>0</v>
      </c>
      <c r="AH350" s="55">
        <f t="shared" si="475"/>
        <v>0</v>
      </c>
      <c r="AI350" s="55">
        <f t="shared" ref="AI350:BJ350" si="476">MIN(MAX(0,AI348-($M$6-$M$5)),($M$7-$M$6))</f>
        <v>0</v>
      </c>
      <c r="AJ350" s="55">
        <f t="shared" si="476"/>
        <v>0</v>
      </c>
      <c r="AK350" s="55">
        <f t="shared" si="476"/>
        <v>0</v>
      </c>
      <c r="AL350" s="55">
        <f t="shared" si="476"/>
        <v>0</v>
      </c>
      <c r="AM350" s="55">
        <f t="shared" si="476"/>
        <v>0</v>
      </c>
      <c r="AN350" s="55">
        <f t="shared" si="476"/>
        <v>0</v>
      </c>
      <c r="AO350" s="55">
        <f t="shared" si="476"/>
        <v>0</v>
      </c>
      <c r="AP350" s="55">
        <f t="shared" si="476"/>
        <v>0</v>
      </c>
      <c r="AQ350" s="55">
        <f t="shared" si="476"/>
        <v>0</v>
      </c>
      <c r="AR350" s="55">
        <f t="shared" si="476"/>
        <v>0</v>
      </c>
      <c r="AS350" s="55">
        <f t="shared" si="476"/>
        <v>0</v>
      </c>
      <c r="AT350" s="55">
        <f t="shared" si="476"/>
        <v>0</v>
      </c>
      <c r="AU350" s="55">
        <f t="shared" si="476"/>
        <v>0</v>
      </c>
      <c r="AV350" s="55">
        <f t="shared" si="476"/>
        <v>0</v>
      </c>
      <c r="AW350" s="55">
        <f t="shared" si="476"/>
        <v>0</v>
      </c>
      <c r="AX350" s="55">
        <f t="shared" si="476"/>
        <v>0</v>
      </c>
      <c r="AY350" s="55">
        <f t="shared" si="476"/>
        <v>0</v>
      </c>
      <c r="AZ350" s="55">
        <f t="shared" si="476"/>
        <v>0</v>
      </c>
      <c r="BA350" s="55">
        <f t="shared" si="476"/>
        <v>0</v>
      </c>
      <c r="BB350" s="55">
        <f t="shared" si="476"/>
        <v>0</v>
      </c>
      <c r="BC350" s="55">
        <f t="shared" si="476"/>
        <v>0</v>
      </c>
      <c r="BD350" s="55">
        <f t="shared" si="476"/>
        <v>0</v>
      </c>
      <c r="BE350" s="55">
        <f t="shared" si="476"/>
        <v>0</v>
      </c>
      <c r="BF350" s="55">
        <f t="shared" si="476"/>
        <v>0</v>
      </c>
      <c r="BG350" s="55">
        <f t="shared" si="476"/>
        <v>0</v>
      </c>
      <c r="BH350" s="55">
        <f t="shared" si="476"/>
        <v>0</v>
      </c>
      <c r="BI350" s="55">
        <f t="shared" si="476"/>
        <v>0</v>
      </c>
      <c r="BJ350" s="55">
        <f t="shared" si="476"/>
        <v>0</v>
      </c>
    </row>
    <row r="351" spans="1:62" x14ac:dyDescent="0.3">
      <c r="A351" s="28" t="s">
        <v>268</v>
      </c>
      <c r="C351" s="55">
        <f t="shared" ref="C351:AH351" si="477">MIN(MAX(0,C348-($M$7-$M$5)),($M$8-$M$7))</f>
        <v>0</v>
      </c>
      <c r="D351" s="55">
        <f t="shared" si="477"/>
        <v>0</v>
      </c>
      <c r="E351" s="55">
        <f t="shared" si="477"/>
        <v>0</v>
      </c>
      <c r="F351" s="55">
        <f t="shared" si="477"/>
        <v>0</v>
      </c>
      <c r="G351" s="55">
        <f t="shared" si="477"/>
        <v>0</v>
      </c>
      <c r="H351" s="55">
        <f t="shared" si="477"/>
        <v>0</v>
      </c>
      <c r="I351" s="55">
        <f t="shared" si="477"/>
        <v>0</v>
      </c>
      <c r="J351" s="55">
        <f t="shared" si="477"/>
        <v>0</v>
      </c>
      <c r="K351" s="55">
        <f t="shared" si="477"/>
        <v>0</v>
      </c>
      <c r="L351" s="55">
        <f t="shared" si="477"/>
        <v>0</v>
      </c>
      <c r="M351" s="55">
        <f t="shared" si="477"/>
        <v>0</v>
      </c>
      <c r="N351" s="55">
        <f t="shared" si="477"/>
        <v>0</v>
      </c>
      <c r="O351" s="55">
        <f t="shared" si="477"/>
        <v>0</v>
      </c>
      <c r="P351" s="55">
        <f t="shared" si="477"/>
        <v>0</v>
      </c>
      <c r="Q351" s="55">
        <f t="shared" si="477"/>
        <v>0</v>
      </c>
      <c r="R351" s="55">
        <f t="shared" si="477"/>
        <v>0</v>
      </c>
      <c r="S351" s="55">
        <f t="shared" si="477"/>
        <v>0</v>
      </c>
      <c r="T351" s="55">
        <f t="shared" si="477"/>
        <v>0</v>
      </c>
      <c r="U351" s="55">
        <f t="shared" si="477"/>
        <v>0</v>
      </c>
      <c r="V351" s="55">
        <f t="shared" si="477"/>
        <v>0</v>
      </c>
      <c r="W351" s="55">
        <f t="shared" si="477"/>
        <v>0</v>
      </c>
      <c r="X351" s="55">
        <f t="shared" si="477"/>
        <v>0</v>
      </c>
      <c r="Y351" s="55">
        <f t="shared" si="477"/>
        <v>0</v>
      </c>
      <c r="Z351" s="55">
        <f t="shared" si="477"/>
        <v>0</v>
      </c>
      <c r="AA351" s="55">
        <f t="shared" si="477"/>
        <v>0</v>
      </c>
      <c r="AB351" s="55">
        <f t="shared" si="477"/>
        <v>0</v>
      </c>
      <c r="AC351" s="55">
        <f t="shared" si="477"/>
        <v>0</v>
      </c>
      <c r="AD351" s="55">
        <f t="shared" si="477"/>
        <v>0</v>
      </c>
      <c r="AE351" s="55">
        <f t="shared" si="477"/>
        <v>0</v>
      </c>
      <c r="AF351" s="55">
        <f t="shared" si="477"/>
        <v>0</v>
      </c>
      <c r="AG351" s="55">
        <f t="shared" si="477"/>
        <v>0</v>
      </c>
      <c r="AH351" s="55">
        <f t="shared" si="477"/>
        <v>0</v>
      </c>
      <c r="AI351" s="55">
        <f t="shared" ref="AI351:BJ351" si="478">MIN(MAX(0,AI348-($M$7-$M$5)),($M$8-$M$7))</f>
        <v>0</v>
      </c>
      <c r="AJ351" s="55">
        <f t="shared" si="478"/>
        <v>0</v>
      </c>
      <c r="AK351" s="55">
        <f t="shared" si="478"/>
        <v>0</v>
      </c>
      <c r="AL351" s="55">
        <f t="shared" si="478"/>
        <v>0</v>
      </c>
      <c r="AM351" s="55">
        <f t="shared" si="478"/>
        <v>0</v>
      </c>
      <c r="AN351" s="55">
        <f t="shared" si="478"/>
        <v>0</v>
      </c>
      <c r="AO351" s="55">
        <f t="shared" si="478"/>
        <v>0</v>
      </c>
      <c r="AP351" s="55">
        <f t="shared" si="478"/>
        <v>0</v>
      </c>
      <c r="AQ351" s="55">
        <f t="shared" si="478"/>
        <v>0</v>
      </c>
      <c r="AR351" s="55">
        <f t="shared" si="478"/>
        <v>0</v>
      </c>
      <c r="AS351" s="55">
        <f t="shared" si="478"/>
        <v>0</v>
      </c>
      <c r="AT351" s="55">
        <f t="shared" si="478"/>
        <v>0</v>
      </c>
      <c r="AU351" s="55">
        <f t="shared" si="478"/>
        <v>0</v>
      </c>
      <c r="AV351" s="55">
        <f t="shared" si="478"/>
        <v>0</v>
      </c>
      <c r="AW351" s="55">
        <f t="shared" si="478"/>
        <v>0</v>
      </c>
      <c r="AX351" s="55">
        <f t="shared" si="478"/>
        <v>0</v>
      </c>
      <c r="AY351" s="55">
        <f t="shared" si="478"/>
        <v>0</v>
      </c>
      <c r="AZ351" s="55">
        <f t="shared" si="478"/>
        <v>0</v>
      </c>
      <c r="BA351" s="55">
        <f t="shared" si="478"/>
        <v>0</v>
      </c>
      <c r="BB351" s="55">
        <f t="shared" si="478"/>
        <v>0</v>
      </c>
      <c r="BC351" s="55">
        <f t="shared" si="478"/>
        <v>0</v>
      </c>
      <c r="BD351" s="55">
        <f t="shared" si="478"/>
        <v>0</v>
      </c>
      <c r="BE351" s="55">
        <f t="shared" si="478"/>
        <v>0</v>
      </c>
      <c r="BF351" s="55">
        <f t="shared" si="478"/>
        <v>0</v>
      </c>
      <c r="BG351" s="55">
        <f t="shared" si="478"/>
        <v>0</v>
      </c>
      <c r="BH351" s="55">
        <f t="shared" si="478"/>
        <v>0</v>
      </c>
      <c r="BI351" s="55">
        <f t="shared" si="478"/>
        <v>0</v>
      </c>
      <c r="BJ351" s="55">
        <f t="shared" si="478"/>
        <v>0</v>
      </c>
    </row>
    <row r="352" spans="1:62" x14ac:dyDescent="0.3">
      <c r="A352" s="28" t="s">
        <v>269</v>
      </c>
      <c r="C352" s="55">
        <f t="shared" ref="C352:AH352" si="479">MAX(0,C348-($M$8-$M$5))</f>
        <v>0</v>
      </c>
      <c r="D352" s="55">
        <f t="shared" si="479"/>
        <v>0</v>
      </c>
      <c r="E352" s="55">
        <f t="shared" si="479"/>
        <v>0</v>
      </c>
      <c r="F352" s="55">
        <f t="shared" si="479"/>
        <v>0</v>
      </c>
      <c r="G352" s="55">
        <f t="shared" si="479"/>
        <v>0</v>
      </c>
      <c r="H352" s="55">
        <f t="shared" si="479"/>
        <v>0</v>
      </c>
      <c r="I352" s="55">
        <f t="shared" si="479"/>
        <v>0</v>
      </c>
      <c r="J352" s="55">
        <f t="shared" si="479"/>
        <v>0</v>
      </c>
      <c r="K352" s="55">
        <f t="shared" si="479"/>
        <v>0</v>
      </c>
      <c r="L352" s="55">
        <f t="shared" si="479"/>
        <v>0</v>
      </c>
      <c r="M352" s="55">
        <f t="shared" si="479"/>
        <v>0</v>
      </c>
      <c r="N352" s="55">
        <f t="shared" si="479"/>
        <v>0</v>
      </c>
      <c r="O352" s="55">
        <f t="shared" si="479"/>
        <v>0</v>
      </c>
      <c r="P352" s="55">
        <f t="shared" si="479"/>
        <v>0</v>
      </c>
      <c r="Q352" s="55">
        <f t="shared" si="479"/>
        <v>0</v>
      </c>
      <c r="R352" s="55">
        <f t="shared" si="479"/>
        <v>0</v>
      </c>
      <c r="S352" s="55">
        <f t="shared" si="479"/>
        <v>0</v>
      </c>
      <c r="T352" s="55">
        <f t="shared" si="479"/>
        <v>0</v>
      </c>
      <c r="U352" s="55">
        <f t="shared" si="479"/>
        <v>0</v>
      </c>
      <c r="V352" s="55">
        <f t="shared" si="479"/>
        <v>0</v>
      </c>
      <c r="W352" s="55">
        <f t="shared" si="479"/>
        <v>0</v>
      </c>
      <c r="X352" s="55">
        <f t="shared" si="479"/>
        <v>0</v>
      </c>
      <c r="Y352" s="55">
        <f t="shared" si="479"/>
        <v>0</v>
      </c>
      <c r="Z352" s="55">
        <f t="shared" si="479"/>
        <v>0</v>
      </c>
      <c r="AA352" s="55">
        <f t="shared" si="479"/>
        <v>0</v>
      </c>
      <c r="AB352" s="55">
        <f t="shared" si="479"/>
        <v>0</v>
      </c>
      <c r="AC352" s="55">
        <f t="shared" si="479"/>
        <v>0</v>
      </c>
      <c r="AD352" s="55">
        <f t="shared" si="479"/>
        <v>0</v>
      </c>
      <c r="AE352" s="55">
        <f t="shared" si="479"/>
        <v>0</v>
      </c>
      <c r="AF352" s="55">
        <f t="shared" si="479"/>
        <v>0</v>
      </c>
      <c r="AG352" s="55">
        <f t="shared" si="479"/>
        <v>0</v>
      </c>
      <c r="AH352" s="55">
        <f t="shared" si="479"/>
        <v>0</v>
      </c>
      <c r="AI352" s="55">
        <f t="shared" ref="AI352:BJ352" si="480">MAX(0,AI348-($M$8-$M$5))</f>
        <v>0</v>
      </c>
      <c r="AJ352" s="55">
        <f t="shared" si="480"/>
        <v>0</v>
      </c>
      <c r="AK352" s="55">
        <f t="shared" si="480"/>
        <v>0</v>
      </c>
      <c r="AL352" s="55">
        <f t="shared" si="480"/>
        <v>0</v>
      </c>
      <c r="AM352" s="55">
        <f t="shared" si="480"/>
        <v>0</v>
      </c>
      <c r="AN352" s="55">
        <f t="shared" si="480"/>
        <v>0</v>
      </c>
      <c r="AO352" s="55">
        <f t="shared" si="480"/>
        <v>0</v>
      </c>
      <c r="AP352" s="55">
        <f t="shared" si="480"/>
        <v>0</v>
      </c>
      <c r="AQ352" s="55">
        <f t="shared" si="480"/>
        <v>0</v>
      </c>
      <c r="AR352" s="55">
        <f t="shared" si="480"/>
        <v>0</v>
      </c>
      <c r="AS352" s="55">
        <f t="shared" si="480"/>
        <v>0</v>
      </c>
      <c r="AT352" s="55">
        <f t="shared" si="480"/>
        <v>0</v>
      </c>
      <c r="AU352" s="55">
        <f t="shared" si="480"/>
        <v>0</v>
      </c>
      <c r="AV352" s="55">
        <f t="shared" si="480"/>
        <v>0</v>
      </c>
      <c r="AW352" s="55">
        <f t="shared" si="480"/>
        <v>0</v>
      </c>
      <c r="AX352" s="55">
        <f t="shared" si="480"/>
        <v>0</v>
      </c>
      <c r="AY352" s="55">
        <f t="shared" si="480"/>
        <v>0</v>
      </c>
      <c r="AZ352" s="55">
        <f t="shared" si="480"/>
        <v>0</v>
      </c>
      <c r="BA352" s="55">
        <f t="shared" si="480"/>
        <v>0</v>
      </c>
      <c r="BB352" s="55">
        <f t="shared" si="480"/>
        <v>0</v>
      </c>
      <c r="BC352" s="55">
        <f t="shared" si="480"/>
        <v>0</v>
      </c>
      <c r="BD352" s="55">
        <f t="shared" si="480"/>
        <v>0</v>
      </c>
      <c r="BE352" s="55">
        <f t="shared" si="480"/>
        <v>0</v>
      </c>
      <c r="BF352" s="55">
        <f t="shared" si="480"/>
        <v>0</v>
      </c>
      <c r="BG352" s="55">
        <f t="shared" si="480"/>
        <v>0</v>
      </c>
      <c r="BH352" s="55">
        <f t="shared" si="480"/>
        <v>0</v>
      </c>
      <c r="BI352" s="55">
        <f t="shared" si="480"/>
        <v>0</v>
      </c>
      <c r="BJ352" s="55">
        <f t="shared" si="480"/>
        <v>0</v>
      </c>
    </row>
    <row r="353" spans="1:62" x14ac:dyDescent="0.3">
      <c r="A353" s="4" t="s">
        <v>270</v>
      </c>
      <c r="C353" s="57">
        <f t="shared" ref="C353:AH353" si="481">$B$12*($O$5*C349+$O$6*C350+$O$7*C351+$O$8*C352)</f>
        <v>1187000.1922090908</v>
      </c>
      <c r="D353" s="57">
        <f t="shared" si="481"/>
        <v>0</v>
      </c>
      <c r="E353" s="57">
        <f t="shared" si="481"/>
        <v>0</v>
      </c>
      <c r="F353" s="57">
        <f t="shared" si="481"/>
        <v>0</v>
      </c>
      <c r="G353" s="57">
        <f t="shared" si="481"/>
        <v>0</v>
      </c>
      <c r="H353" s="57">
        <f t="shared" si="481"/>
        <v>0</v>
      </c>
      <c r="I353" s="57">
        <f t="shared" si="481"/>
        <v>0</v>
      </c>
      <c r="J353" s="57">
        <f t="shared" si="481"/>
        <v>0</v>
      </c>
      <c r="K353" s="57">
        <f t="shared" si="481"/>
        <v>0</v>
      </c>
      <c r="L353" s="57">
        <f t="shared" si="481"/>
        <v>0</v>
      </c>
      <c r="M353" s="57">
        <f t="shared" si="481"/>
        <v>0</v>
      </c>
      <c r="N353" s="57">
        <f t="shared" si="481"/>
        <v>0</v>
      </c>
      <c r="O353" s="57">
        <f t="shared" si="481"/>
        <v>0</v>
      </c>
      <c r="P353" s="57">
        <f t="shared" si="481"/>
        <v>0</v>
      </c>
      <c r="Q353" s="57">
        <f t="shared" si="481"/>
        <v>0</v>
      </c>
      <c r="R353" s="57">
        <f t="shared" si="481"/>
        <v>0</v>
      </c>
      <c r="S353" s="57">
        <f t="shared" si="481"/>
        <v>0</v>
      </c>
      <c r="T353" s="57">
        <f t="shared" si="481"/>
        <v>0</v>
      </c>
      <c r="U353" s="57">
        <f t="shared" si="481"/>
        <v>0</v>
      </c>
      <c r="V353" s="57">
        <f t="shared" si="481"/>
        <v>0</v>
      </c>
      <c r="W353" s="57">
        <f t="shared" si="481"/>
        <v>0</v>
      </c>
      <c r="X353" s="57">
        <f t="shared" si="481"/>
        <v>0</v>
      </c>
      <c r="Y353" s="57">
        <f t="shared" si="481"/>
        <v>0</v>
      </c>
      <c r="Z353" s="57">
        <f t="shared" si="481"/>
        <v>0</v>
      </c>
      <c r="AA353" s="57">
        <f t="shared" si="481"/>
        <v>0</v>
      </c>
      <c r="AB353" s="57">
        <f t="shared" si="481"/>
        <v>0</v>
      </c>
      <c r="AC353" s="57">
        <f t="shared" si="481"/>
        <v>0</v>
      </c>
      <c r="AD353" s="57">
        <f t="shared" si="481"/>
        <v>0</v>
      </c>
      <c r="AE353" s="57">
        <f t="shared" si="481"/>
        <v>0</v>
      </c>
      <c r="AF353" s="57">
        <f t="shared" si="481"/>
        <v>0</v>
      </c>
      <c r="AG353" s="57">
        <f t="shared" si="481"/>
        <v>0</v>
      </c>
      <c r="AH353" s="57">
        <f t="shared" si="481"/>
        <v>0</v>
      </c>
      <c r="AI353" s="57">
        <f t="shared" ref="AI353:BN353" si="482">$B$12*($O$5*AI349+$O$6*AI350+$O$7*AI351+$O$8*AI352)</f>
        <v>0</v>
      </c>
      <c r="AJ353" s="57">
        <f t="shared" si="482"/>
        <v>0</v>
      </c>
      <c r="AK353" s="57">
        <f t="shared" si="482"/>
        <v>0</v>
      </c>
      <c r="AL353" s="57">
        <f t="shared" si="482"/>
        <v>0</v>
      </c>
      <c r="AM353" s="57">
        <f t="shared" si="482"/>
        <v>0</v>
      </c>
      <c r="AN353" s="57">
        <f t="shared" si="482"/>
        <v>0</v>
      </c>
      <c r="AO353" s="57">
        <f t="shared" si="482"/>
        <v>0</v>
      </c>
      <c r="AP353" s="57">
        <f t="shared" si="482"/>
        <v>0</v>
      </c>
      <c r="AQ353" s="57">
        <f t="shared" si="482"/>
        <v>0</v>
      </c>
      <c r="AR353" s="57">
        <f t="shared" si="482"/>
        <v>0</v>
      </c>
      <c r="AS353" s="57">
        <f t="shared" si="482"/>
        <v>0</v>
      </c>
      <c r="AT353" s="57">
        <f t="shared" si="482"/>
        <v>0</v>
      </c>
      <c r="AU353" s="57">
        <f t="shared" si="482"/>
        <v>0</v>
      </c>
      <c r="AV353" s="57">
        <f t="shared" si="482"/>
        <v>0</v>
      </c>
      <c r="AW353" s="57">
        <f t="shared" si="482"/>
        <v>0</v>
      </c>
      <c r="AX353" s="57">
        <f t="shared" si="482"/>
        <v>0</v>
      </c>
      <c r="AY353" s="57">
        <f t="shared" si="482"/>
        <v>0</v>
      </c>
      <c r="AZ353" s="57">
        <f t="shared" si="482"/>
        <v>0</v>
      </c>
      <c r="BA353" s="57">
        <f t="shared" si="482"/>
        <v>0</v>
      </c>
      <c r="BB353" s="57">
        <f t="shared" si="482"/>
        <v>0</v>
      </c>
      <c r="BC353" s="57">
        <f t="shared" si="482"/>
        <v>0</v>
      </c>
      <c r="BD353" s="57">
        <f t="shared" si="482"/>
        <v>0</v>
      </c>
      <c r="BE353" s="57">
        <f t="shared" si="482"/>
        <v>0</v>
      </c>
      <c r="BF353" s="57">
        <f t="shared" si="482"/>
        <v>0</v>
      </c>
      <c r="BG353" s="57">
        <f t="shared" si="482"/>
        <v>0</v>
      </c>
      <c r="BH353" s="57">
        <f t="shared" si="482"/>
        <v>0</v>
      </c>
      <c r="BI353" s="57">
        <f t="shared" si="482"/>
        <v>0</v>
      </c>
      <c r="BJ353" s="57">
        <f t="shared" si="482"/>
        <v>0</v>
      </c>
    </row>
    <row r="354" spans="1:62" x14ac:dyDescent="0.3">
      <c r="A354" s="28" t="s">
        <v>271</v>
      </c>
      <c r="C354" s="58">
        <f t="shared" ref="C354:AH354" si="483">IF(C338=0,0,C344/C338)</f>
        <v>0.22507381043909089</v>
      </c>
      <c r="D354" s="58">
        <f t="shared" si="483"/>
        <v>1.7120243876700043E-2</v>
      </c>
      <c r="E354" s="58">
        <f t="shared" si="483"/>
        <v>3.2681492175674707E-3</v>
      </c>
      <c r="F354" s="58">
        <f t="shared" si="483"/>
        <v>2.1034737903684281E-3</v>
      </c>
      <c r="G354" s="58">
        <f t="shared" si="483"/>
        <v>-1.2155336499864417E-5</v>
      </c>
      <c r="H354" s="58">
        <f t="shared" si="483"/>
        <v>-1.2313687251665193E-4</v>
      </c>
      <c r="I354" s="58">
        <f t="shared" si="483"/>
        <v>2.3500519586513932E-2</v>
      </c>
      <c r="J354" s="58">
        <f t="shared" si="483"/>
        <v>1.0454531358928151E-2</v>
      </c>
      <c r="K354" s="58">
        <f t="shared" si="483"/>
        <v>7.358342378310391E-2</v>
      </c>
      <c r="L354" s="58">
        <f t="shared" si="483"/>
        <v>3.8386628958040452E-2</v>
      </c>
      <c r="M354" s="58">
        <f t="shared" si="483"/>
        <v>-1.3117855024666997E-5</v>
      </c>
      <c r="N354" s="58">
        <f t="shared" si="483"/>
        <v>4.986035946805966E-2</v>
      </c>
      <c r="O354" s="58">
        <f t="shared" si="483"/>
        <v>5.5790837577349281E-4</v>
      </c>
      <c r="P354" s="58">
        <f t="shared" si="483"/>
        <v>1.2356126309616196E-3</v>
      </c>
      <c r="Q354" s="58">
        <f t="shared" si="483"/>
        <v>-7.3215238158955538E-5</v>
      </c>
      <c r="R354" s="58">
        <f t="shared" si="483"/>
        <v>1.3434925540542237E-3</v>
      </c>
      <c r="S354" s="58">
        <f t="shared" si="483"/>
        <v>1.8061607017302992E-5</v>
      </c>
      <c r="T354" s="58">
        <f t="shared" si="483"/>
        <v>-8.0568181170108455E-6</v>
      </c>
      <c r="U354" s="58">
        <f t="shared" si="483"/>
        <v>0</v>
      </c>
      <c r="V354" s="58">
        <f t="shared" si="483"/>
        <v>0</v>
      </c>
      <c r="W354" s="58">
        <f t="shared" si="483"/>
        <v>0</v>
      </c>
      <c r="X354" s="58">
        <f t="shared" si="483"/>
        <v>0</v>
      </c>
      <c r="Y354" s="58">
        <f t="shared" si="483"/>
        <v>0</v>
      </c>
      <c r="Z354" s="58">
        <f t="shared" si="483"/>
        <v>0</v>
      </c>
      <c r="AA354" s="58">
        <f t="shared" si="483"/>
        <v>0</v>
      </c>
      <c r="AB354" s="58">
        <f t="shared" si="483"/>
        <v>0</v>
      </c>
      <c r="AC354" s="58">
        <f t="shared" si="483"/>
        <v>0</v>
      </c>
      <c r="AD354" s="58">
        <f t="shared" si="483"/>
        <v>0</v>
      </c>
      <c r="AE354" s="58">
        <f t="shared" si="483"/>
        <v>0</v>
      </c>
      <c r="AF354" s="58">
        <f t="shared" si="483"/>
        <v>0</v>
      </c>
      <c r="AG354" s="58">
        <f t="shared" si="483"/>
        <v>0</v>
      </c>
      <c r="AH354" s="58">
        <f t="shared" si="483"/>
        <v>0</v>
      </c>
      <c r="AI354" s="58">
        <f t="shared" ref="AI354:BJ354" si="484">IF(AI338=0,0,AI344/AI338)</f>
        <v>0</v>
      </c>
      <c r="AJ354" s="58">
        <f t="shared" si="484"/>
        <v>0</v>
      </c>
      <c r="AK354" s="58">
        <f t="shared" si="484"/>
        <v>0</v>
      </c>
      <c r="AL354" s="58">
        <f t="shared" si="484"/>
        <v>0</v>
      </c>
      <c r="AM354" s="58">
        <f t="shared" si="484"/>
        <v>0</v>
      </c>
      <c r="AN354" s="58">
        <f t="shared" si="484"/>
        <v>0</v>
      </c>
      <c r="AO354" s="58">
        <f t="shared" si="484"/>
        <v>0</v>
      </c>
      <c r="AP354" s="58">
        <f t="shared" si="484"/>
        <v>0</v>
      </c>
      <c r="AQ354" s="58">
        <f t="shared" si="484"/>
        <v>0</v>
      </c>
      <c r="AR354" s="58">
        <f t="shared" si="484"/>
        <v>0</v>
      </c>
      <c r="AS354" s="58">
        <f t="shared" si="484"/>
        <v>0</v>
      </c>
      <c r="AT354" s="58">
        <f t="shared" si="484"/>
        <v>0</v>
      </c>
      <c r="AU354" s="58">
        <f t="shared" si="484"/>
        <v>0</v>
      </c>
      <c r="AV354" s="58">
        <f t="shared" si="484"/>
        <v>0</v>
      </c>
      <c r="AW354" s="58">
        <f t="shared" si="484"/>
        <v>0</v>
      </c>
      <c r="AX354" s="58">
        <f t="shared" si="484"/>
        <v>0</v>
      </c>
      <c r="AY354" s="58">
        <f t="shared" si="484"/>
        <v>0</v>
      </c>
      <c r="AZ354" s="58">
        <f t="shared" si="484"/>
        <v>0</v>
      </c>
      <c r="BA354" s="58">
        <f t="shared" si="484"/>
        <v>0</v>
      </c>
      <c r="BB354" s="58">
        <f t="shared" si="484"/>
        <v>0</v>
      </c>
      <c r="BC354" s="58">
        <f t="shared" si="484"/>
        <v>0</v>
      </c>
      <c r="BD354" s="58">
        <f t="shared" si="484"/>
        <v>0</v>
      </c>
      <c r="BE354" s="58">
        <f t="shared" si="484"/>
        <v>0</v>
      </c>
      <c r="BF354" s="58">
        <f t="shared" si="484"/>
        <v>0</v>
      </c>
      <c r="BG354" s="58">
        <f t="shared" si="484"/>
        <v>0</v>
      </c>
      <c r="BH354" s="58">
        <f t="shared" si="484"/>
        <v>0</v>
      </c>
      <c r="BI354" s="58">
        <f t="shared" si="484"/>
        <v>0</v>
      </c>
      <c r="BJ354" s="58">
        <f t="shared" si="484"/>
        <v>0</v>
      </c>
    </row>
    <row r="355" spans="1:62" x14ac:dyDescent="0.3">
      <c r="A355" s="28" t="s">
        <v>272</v>
      </c>
      <c r="C355" s="58">
        <f t="shared" ref="C355:AH355" si="485">IF(C232&gt;0,SUMPRODUCT(C132:C231,$S$24:$S$123)/C232,NA())</f>
        <v>2.8684086688121191</v>
      </c>
      <c r="D355" s="58">
        <f t="shared" si="485"/>
        <v>3.0056914650511972</v>
      </c>
      <c r="E355" s="58">
        <f t="shared" si="485"/>
        <v>3.2264246040209179</v>
      </c>
      <c r="F355" s="58">
        <f t="shared" si="485"/>
        <v>3.2302235898211586</v>
      </c>
      <c r="G355" s="58">
        <f t="shared" si="485"/>
        <v>3.0482706293394091</v>
      </c>
      <c r="H355" s="58">
        <f t="shared" si="485"/>
        <v>2.7728598207044355</v>
      </c>
      <c r="I355" s="58">
        <f t="shared" si="485"/>
        <v>2.373254951381885</v>
      </c>
      <c r="J355" s="58">
        <f t="shared" si="485"/>
        <v>2.4088237540762019</v>
      </c>
      <c r="K355" s="58">
        <f t="shared" si="485"/>
        <v>2.3051868497055596</v>
      </c>
      <c r="L355" s="58">
        <f t="shared" si="485"/>
        <v>2.086074300697041</v>
      </c>
      <c r="M355" s="58">
        <f t="shared" si="485"/>
        <v>2.0742287390943606</v>
      </c>
      <c r="N355" s="58">
        <f t="shared" si="485"/>
        <v>1.7761914342735847</v>
      </c>
      <c r="O355" s="58">
        <f t="shared" si="485"/>
        <v>1.7625951995864733</v>
      </c>
      <c r="P355" s="58">
        <f t="shared" si="485"/>
        <v>1.7191230660555581</v>
      </c>
      <c r="Q355" s="58">
        <f t="shared" si="485"/>
        <v>1.5873734816616096</v>
      </c>
      <c r="R355" s="58">
        <f t="shared" si="485"/>
        <v>1.4355974328138508</v>
      </c>
      <c r="S355" s="58">
        <f t="shared" si="485"/>
        <v>1.2360891539231735</v>
      </c>
      <c r="T355" s="58">
        <f t="shared" si="485"/>
        <v>1.1479354648193991</v>
      </c>
      <c r="U355" s="58">
        <f t="shared" si="485"/>
        <v>1.4775700783531114</v>
      </c>
      <c r="V355" s="58" t="e">
        <f t="shared" si="485"/>
        <v>#N/A</v>
      </c>
      <c r="W355" s="58" t="e">
        <f t="shared" si="485"/>
        <v>#N/A</v>
      </c>
      <c r="X355" s="58" t="e">
        <f t="shared" si="485"/>
        <v>#N/A</v>
      </c>
      <c r="Y355" s="58" t="e">
        <f t="shared" si="485"/>
        <v>#N/A</v>
      </c>
      <c r="Z355" s="58" t="e">
        <f t="shared" si="485"/>
        <v>#N/A</v>
      </c>
      <c r="AA355" s="58" t="e">
        <f t="shared" si="485"/>
        <v>#N/A</v>
      </c>
      <c r="AB355" s="58" t="e">
        <f t="shared" si="485"/>
        <v>#N/A</v>
      </c>
      <c r="AC355" s="58" t="e">
        <f t="shared" si="485"/>
        <v>#N/A</v>
      </c>
      <c r="AD355" s="58" t="e">
        <f t="shared" si="485"/>
        <v>#N/A</v>
      </c>
      <c r="AE355" s="58" t="e">
        <f t="shared" si="485"/>
        <v>#N/A</v>
      </c>
      <c r="AF355" s="58" t="e">
        <f t="shared" si="485"/>
        <v>#N/A</v>
      </c>
      <c r="AG355" s="58" t="e">
        <f t="shared" si="485"/>
        <v>#N/A</v>
      </c>
      <c r="AH355" s="58" t="e">
        <f t="shared" si="485"/>
        <v>#N/A</v>
      </c>
      <c r="AI355" s="58" t="e">
        <f t="shared" ref="AI355:BJ355" si="486">IF(AI232&gt;0,SUMPRODUCT(AI132:AI231,$S$24:$S$123)/AI232,NA())</f>
        <v>#N/A</v>
      </c>
      <c r="AJ355" s="58" t="e">
        <f t="shared" si="486"/>
        <v>#N/A</v>
      </c>
      <c r="AK355" s="58" t="e">
        <f t="shared" si="486"/>
        <v>#N/A</v>
      </c>
      <c r="AL355" s="58" t="e">
        <f t="shared" si="486"/>
        <v>#N/A</v>
      </c>
      <c r="AM355" s="58" t="e">
        <f t="shared" si="486"/>
        <v>#N/A</v>
      </c>
      <c r="AN355" s="58" t="e">
        <f t="shared" si="486"/>
        <v>#N/A</v>
      </c>
      <c r="AO355" s="58" t="e">
        <f t="shared" si="486"/>
        <v>#N/A</v>
      </c>
      <c r="AP355" s="58" t="e">
        <f t="shared" si="486"/>
        <v>#N/A</v>
      </c>
      <c r="AQ355" s="58" t="e">
        <f t="shared" si="486"/>
        <v>#N/A</v>
      </c>
      <c r="AR355" s="58" t="e">
        <f t="shared" si="486"/>
        <v>#N/A</v>
      </c>
      <c r="AS355" s="58" t="e">
        <f t="shared" si="486"/>
        <v>#N/A</v>
      </c>
      <c r="AT355" s="58" t="e">
        <f t="shared" si="486"/>
        <v>#N/A</v>
      </c>
      <c r="AU355" s="58" t="e">
        <f t="shared" si="486"/>
        <v>#N/A</v>
      </c>
      <c r="AV355" s="58" t="e">
        <f t="shared" si="486"/>
        <v>#N/A</v>
      </c>
      <c r="AW355" s="58" t="e">
        <f t="shared" si="486"/>
        <v>#N/A</v>
      </c>
      <c r="AX355" s="58" t="e">
        <f t="shared" si="486"/>
        <v>#N/A</v>
      </c>
      <c r="AY355" s="58" t="e">
        <f t="shared" si="486"/>
        <v>#N/A</v>
      </c>
      <c r="AZ355" s="58" t="e">
        <f t="shared" si="486"/>
        <v>#N/A</v>
      </c>
      <c r="BA355" s="58" t="e">
        <f t="shared" si="486"/>
        <v>#N/A</v>
      </c>
      <c r="BB355" s="58" t="e">
        <f t="shared" si="486"/>
        <v>#N/A</v>
      </c>
      <c r="BC355" s="58" t="e">
        <f t="shared" si="486"/>
        <v>#N/A</v>
      </c>
      <c r="BD355" s="58" t="e">
        <f t="shared" si="486"/>
        <v>#N/A</v>
      </c>
      <c r="BE355" s="58" t="e">
        <f t="shared" si="486"/>
        <v>#N/A</v>
      </c>
      <c r="BF355" s="58" t="e">
        <f t="shared" si="486"/>
        <v>#N/A</v>
      </c>
      <c r="BG355" s="58" t="e">
        <f t="shared" si="486"/>
        <v>#N/A</v>
      </c>
      <c r="BH355" s="58" t="e">
        <f t="shared" si="486"/>
        <v>#N/A</v>
      </c>
      <c r="BI355" s="58" t="e">
        <f t="shared" si="486"/>
        <v>#N/A</v>
      </c>
      <c r="BJ355" s="58" t="e">
        <f t="shared" si="486"/>
        <v>#N/A</v>
      </c>
    </row>
    <row r="356" spans="1:62" x14ac:dyDescent="0.3">
      <c r="A356" s="28" t="s">
        <v>273</v>
      </c>
      <c r="C356" s="58">
        <f t="shared" ref="C356:AH356" si="487">IF(SUMIF($I$24:$I$123,C$127,$E$24:$E$123)&gt;0,SUMPRODUCT(($I$24:$I$123=C$127)*$E$24:$E$123*$S$24:$S$123)/SUMIF($I$24:$I$123,C$127,$E$24:$E$123),NA())</f>
        <v>3.1473864230256758</v>
      </c>
      <c r="D356" s="58">
        <f t="shared" si="487"/>
        <v>2.894974615534057</v>
      </c>
      <c r="E356" s="58">
        <f t="shared" si="487"/>
        <v>2.0882137394855094</v>
      </c>
      <c r="F356" s="58">
        <f t="shared" si="487"/>
        <v>2.2468110687485092</v>
      </c>
      <c r="G356" s="58">
        <f t="shared" si="487"/>
        <v>2.1121606835388667</v>
      </c>
      <c r="H356" s="58">
        <f t="shared" si="487"/>
        <v>2.5110242532930993</v>
      </c>
      <c r="I356" s="58">
        <f t="shared" si="487"/>
        <v>2.2881023475603368</v>
      </c>
      <c r="J356" s="58">
        <f t="shared" si="487"/>
        <v>1.5939238237656896</v>
      </c>
      <c r="K356" s="58" t="e">
        <f t="shared" si="487"/>
        <v>#N/A</v>
      </c>
      <c r="L356" s="58">
        <f t="shared" si="487"/>
        <v>1.5558485244776366</v>
      </c>
      <c r="M356" s="58">
        <f t="shared" si="487"/>
        <v>1.9008732839991958</v>
      </c>
      <c r="N356" s="58">
        <f t="shared" si="487"/>
        <v>1.7165308735779115</v>
      </c>
      <c r="O356" s="58">
        <f t="shared" si="487"/>
        <v>1.3435383276473813</v>
      </c>
      <c r="P356" s="58">
        <f t="shared" si="487"/>
        <v>1.102129200885642</v>
      </c>
      <c r="Q356" s="58">
        <f t="shared" si="487"/>
        <v>1.111950346587204</v>
      </c>
      <c r="R356" s="58">
        <f t="shared" si="487"/>
        <v>1.0756181290290341</v>
      </c>
      <c r="S356" s="58">
        <f t="shared" si="487"/>
        <v>1.032814012062377</v>
      </c>
      <c r="T356" s="58">
        <f t="shared" si="487"/>
        <v>1.0346292079819459</v>
      </c>
      <c r="U356" s="58" t="e">
        <f t="shared" si="487"/>
        <v>#N/A</v>
      </c>
      <c r="V356" s="58" t="e">
        <f t="shared" si="487"/>
        <v>#N/A</v>
      </c>
      <c r="W356" s="58" t="e">
        <f t="shared" si="487"/>
        <v>#N/A</v>
      </c>
      <c r="X356" s="58" t="e">
        <f t="shared" si="487"/>
        <v>#N/A</v>
      </c>
      <c r="Y356" s="58" t="e">
        <f t="shared" si="487"/>
        <v>#N/A</v>
      </c>
      <c r="Z356" s="58" t="e">
        <f t="shared" si="487"/>
        <v>#N/A</v>
      </c>
      <c r="AA356" s="58" t="e">
        <f t="shared" si="487"/>
        <v>#N/A</v>
      </c>
      <c r="AB356" s="58" t="e">
        <f t="shared" si="487"/>
        <v>#N/A</v>
      </c>
      <c r="AC356" s="58" t="e">
        <f t="shared" si="487"/>
        <v>#N/A</v>
      </c>
      <c r="AD356" s="58" t="e">
        <f t="shared" si="487"/>
        <v>#N/A</v>
      </c>
      <c r="AE356" s="58" t="e">
        <f t="shared" si="487"/>
        <v>#N/A</v>
      </c>
      <c r="AF356" s="58" t="e">
        <f t="shared" si="487"/>
        <v>#N/A</v>
      </c>
      <c r="AG356" s="58" t="e">
        <f t="shared" si="487"/>
        <v>#N/A</v>
      </c>
      <c r="AH356" s="58" t="e">
        <f t="shared" si="487"/>
        <v>#N/A</v>
      </c>
      <c r="AI356" s="58" t="e">
        <f t="shared" ref="AI356:BJ356" si="488">IF(SUMIF($I$24:$I$123,AI$127,$E$24:$E$123)&gt;0,SUMPRODUCT(($I$24:$I$123=AI$127)*$E$24:$E$123*$S$24:$S$123)/SUMIF($I$24:$I$123,AI$127,$E$24:$E$123),NA())</f>
        <v>#N/A</v>
      </c>
      <c r="AJ356" s="58" t="e">
        <f t="shared" si="488"/>
        <v>#N/A</v>
      </c>
      <c r="AK356" s="58" t="e">
        <f t="shared" si="488"/>
        <v>#N/A</v>
      </c>
      <c r="AL356" s="58" t="e">
        <f t="shared" si="488"/>
        <v>#N/A</v>
      </c>
      <c r="AM356" s="58" t="e">
        <f t="shared" si="488"/>
        <v>#N/A</v>
      </c>
      <c r="AN356" s="58" t="e">
        <f t="shared" si="488"/>
        <v>#N/A</v>
      </c>
      <c r="AO356" s="58" t="e">
        <f t="shared" si="488"/>
        <v>#N/A</v>
      </c>
      <c r="AP356" s="58" t="e">
        <f t="shared" si="488"/>
        <v>#N/A</v>
      </c>
      <c r="AQ356" s="58" t="e">
        <f t="shared" si="488"/>
        <v>#N/A</v>
      </c>
      <c r="AR356" s="58" t="e">
        <f t="shared" si="488"/>
        <v>#N/A</v>
      </c>
      <c r="AS356" s="58" t="e">
        <f t="shared" si="488"/>
        <v>#N/A</v>
      </c>
      <c r="AT356" s="58" t="e">
        <f t="shared" si="488"/>
        <v>#N/A</v>
      </c>
      <c r="AU356" s="58" t="e">
        <f t="shared" si="488"/>
        <v>#N/A</v>
      </c>
      <c r="AV356" s="58" t="e">
        <f t="shared" si="488"/>
        <v>#N/A</v>
      </c>
      <c r="AW356" s="58" t="e">
        <f t="shared" si="488"/>
        <v>#N/A</v>
      </c>
      <c r="AX356" s="58" t="e">
        <f t="shared" si="488"/>
        <v>#N/A</v>
      </c>
      <c r="AY356" s="58" t="e">
        <f t="shared" si="488"/>
        <v>#N/A</v>
      </c>
      <c r="AZ356" s="58" t="e">
        <f t="shared" si="488"/>
        <v>#N/A</v>
      </c>
      <c r="BA356" s="58" t="e">
        <f t="shared" si="488"/>
        <v>#N/A</v>
      </c>
      <c r="BB356" s="58" t="e">
        <f t="shared" si="488"/>
        <v>#N/A</v>
      </c>
      <c r="BC356" s="58" t="e">
        <f t="shared" si="488"/>
        <v>#N/A</v>
      </c>
      <c r="BD356" s="58" t="e">
        <f t="shared" si="488"/>
        <v>#N/A</v>
      </c>
      <c r="BE356" s="58" t="e">
        <f t="shared" si="488"/>
        <v>#N/A</v>
      </c>
      <c r="BF356" s="58" t="e">
        <f t="shared" si="488"/>
        <v>#N/A</v>
      </c>
      <c r="BG356" s="58" t="e">
        <f t="shared" si="488"/>
        <v>#N/A</v>
      </c>
      <c r="BH356" s="58" t="e">
        <f t="shared" si="488"/>
        <v>#N/A</v>
      </c>
      <c r="BI356" s="58" t="e">
        <f t="shared" si="488"/>
        <v>#N/A</v>
      </c>
      <c r="BJ356" s="58" t="e">
        <f t="shared" si="488"/>
        <v>#N/A</v>
      </c>
    </row>
    <row r="357" spans="1:62" x14ac:dyDescent="0.3">
      <c r="A357" s="28" t="s">
        <v>274</v>
      </c>
      <c r="C357" s="58">
        <f>IF(SUMPRODUCT($C$232:C$232,$C$129:C$129)&gt;0,SUMPRODUCT($C$335:C$335,$C$129:C$129)/SUMPRODUCT($C$232:C$232,$C$129:C$129),NA())</f>
        <v>0</v>
      </c>
      <c r="D357" s="58">
        <f>IF(SUMPRODUCT($C$232:D$232,$C$129:D$129)&gt;0,SUMPRODUCT($C$335:D$335,$C$129:D$129)/SUMPRODUCT($C$232:D$232,$C$129:D$129),NA())</f>
        <v>9.7022161991850537E-4</v>
      </c>
      <c r="E357" s="58">
        <f>IF(SUMPRODUCT($C$232:E$232,$C$129:E$129)&gt;0,SUMPRODUCT($C$335:E$335,$C$129:E$129)/SUMPRODUCT($C$232:E$232,$C$129:E$129),NA())</f>
        <v>3.0287839188774403E-2</v>
      </c>
      <c r="F357" s="58">
        <f>IF(SUMPRODUCT($C$232:F$232,$C$129:F$129)&gt;0,SUMPRODUCT($C$335:F$335,$C$129:F$129)/SUMPRODUCT($C$232:F$232,$C$129:F$129),NA())</f>
        <v>4.7062742692487912E-2</v>
      </c>
      <c r="G357" s="58">
        <f>IF(SUMPRODUCT($C$232:G$232,$C$129:G$129)&gt;0,SUMPRODUCT($C$335:G$335,$C$129:G$129)/SUMPRODUCT($C$232:G$232,$C$129:G$129),NA())</f>
        <v>7.0355600805496105E-2</v>
      </c>
      <c r="H357" s="58">
        <f>IF(SUMPRODUCT($C$232:H$232,$C$129:H$129)&gt;0,SUMPRODUCT($C$335:H$335,$C$129:H$129)/SUMPRODUCT($C$232:H$232,$C$129:H$129),NA())</f>
        <v>9.9441736532277517E-2</v>
      </c>
      <c r="I357" s="58">
        <f>IF(SUMPRODUCT($C$232:I$232,$C$129:I$129)&gt;0,SUMPRODUCT($C$335:I$335,$C$129:I$129)/SUMPRODUCT($C$232:I$232,$C$129:I$129),NA())</f>
        <v>0.14647966845339375</v>
      </c>
      <c r="J357" s="58">
        <f>IF(SUMPRODUCT($C$232:J$232,$C$129:J$129)&gt;0,SUMPRODUCT($C$335:J$335,$C$129:J$129)/SUMPRODUCT($C$232:J$232,$C$129:J$129),NA())</f>
        <v>0.18396935146320731</v>
      </c>
      <c r="K357" s="58">
        <f>IF(SUMPRODUCT($C$232:K$232,$C$129:K$129)&gt;0,SUMPRODUCT($C$335:K$335,$C$129:K$129)/SUMPRODUCT($C$232:K$232,$C$129:K$129),NA())</f>
        <v>0.21472985191053881</v>
      </c>
      <c r="L357" s="58">
        <f>IF(SUMPRODUCT($C$232:L$232,$C$129:L$129)&gt;0,SUMPRODUCT($C$335:L$335,$C$129:L$129)/SUMPRODUCT($C$232:L$232,$C$129:L$129),NA())</f>
        <v>0.27180617911677607</v>
      </c>
      <c r="M357" s="58">
        <f>IF(SUMPRODUCT($C$232:M$232,$C$129:M$129)&gt;0,SUMPRODUCT($C$335:M$335,$C$129:M$129)/SUMPRODUCT($C$232:M$232,$C$129:M$129),NA())</f>
        <v>0.31805421276052565</v>
      </c>
      <c r="N357" s="58">
        <f>IF(SUMPRODUCT($C$232:N$232,$C$129:N$129)&gt;0,SUMPRODUCT($C$335:N$335,$C$129:N$129)/SUMPRODUCT($C$232:N$232,$C$129:N$129),NA())</f>
        <v>0.37171410750136447</v>
      </c>
      <c r="O357" s="58">
        <f>IF(SUMPRODUCT($C$232:O$232,$C$129:O$129)&gt;0,SUMPRODUCT($C$335:O$335,$C$129:O$129)/SUMPRODUCT($C$232:O$232,$C$129:O$129),NA())</f>
        <v>0.41506282166034303</v>
      </c>
      <c r="P357" s="58">
        <f>IF(SUMPRODUCT($C$232:P$232,$C$129:P$129)&gt;0,SUMPRODUCT($C$335:P$335,$C$129:P$129)/SUMPRODUCT($C$232:P$232,$C$129:P$129),NA())</f>
        <v>0.45493372984249986</v>
      </c>
      <c r="Q357" s="58">
        <f>IF(SUMPRODUCT($C$232:Q$232,$C$129:Q$129)&gt;0,SUMPRODUCT($C$335:Q$335,$C$129:Q$129)/SUMPRODUCT($C$232:Q$232,$C$129:Q$129),NA())</f>
        <v>0.49348249060124721</v>
      </c>
      <c r="R357" s="58">
        <f>IF(SUMPRODUCT($C$232:R$232,$C$129:R$129)&gt;0,SUMPRODUCT($C$335:R$335,$C$129:R$129)/SUMPRODUCT($C$232:R$232,$C$129:R$129),NA())</f>
        <v>0.53215960748217461</v>
      </c>
      <c r="S357" s="58">
        <f>IF(SUMPRODUCT($C$232:S$232,$C$129:S$129)&gt;0,SUMPRODUCT($C$335:S$335,$C$129:S$129)/SUMPRODUCT($C$232:S$232,$C$129:S$129),NA())</f>
        <v>0.56675650163352109</v>
      </c>
      <c r="T357" s="58">
        <f>IF(SUMPRODUCT($C$232:T$232,$C$129:T$129)&gt;0,SUMPRODUCT($C$335:T$335,$C$129:T$129)/SUMPRODUCT($C$232:T$232,$C$129:T$129),NA())</f>
        <v>0.6006806571627773</v>
      </c>
      <c r="U357" s="58">
        <f>IF(SUMPRODUCT($C$232:U$232,$C$129:U$129)&gt;0,SUMPRODUCT($C$335:U$335,$C$129:U$129)/SUMPRODUCT($C$232:U$232,$C$129:U$129),NA())</f>
        <v>0.65514100948853782</v>
      </c>
      <c r="V357" s="58">
        <f>IF(SUMPRODUCT($C$232:V$232,$C$129:V$129)&gt;0,SUMPRODUCT($C$335:V$335,$C$129:V$129)/SUMPRODUCT($C$232:V$232,$C$129:V$129),NA())</f>
        <v>0.72258180495843449</v>
      </c>
      <c r="W357" s="58">
        <f>IF(SUMPRODUCT($C$232:W$232,$C$129:W$129)&gt;0,SUMPRODUCT($C$335:W$335,$C$129:W$129)/SUMPRODUCT($C$232:W$232,$C$129:W$129),NA())</f>
        <v>0.78870023188970562</v>
      </c>
      <c r="X357" s="58">
        <f>IF(SUMPRODUCT($C$232:X$232,$C$129:X$129)&gt;0,SUMPRODUCT($C$335:X$335,$C$129:X$129)/SUMPRODUCT($C$232:X$232,$C$129:X$129),NA())</f>
        <v>0.85352221907722636</v>
      </c>
      <c r="Y357" s="58">
        <f>IF(SUMPRODUCT($C$232:Y$232,$C$129:Y$129)&gt;0,SUMPRODUCT($C$335:Y$335,$C$129:Y$129)/SUMPRODUCT($C$232:Y$232,$C$129:Y$129),NA())</f>
        <v>0.91707318690812911</v>
      </c>
      <c r="Z357" s="58">
        <f>IF(SUMPRODUCT($C$232:Z$232,$C$129:Z$129)&gt;0,SUMPRODUCT($C$335:Z$335,$C$129:Z$129)/SUMPRODUCT($C$232:Z$232,$C$129:Z$129),NA())</f>
        <v>0.97937805733058281</v>
      </c>
      <c r="AA357" s="58">
        <f>IF(SUMPRODUCT($C$232:AA$232,$C$129:AA$129)&gt;0,SUMPRODUCT($C$335:AA$335,$C$129:AA$129)/SUMPRODUCT($C$232:AA$232,$C$129:AA$129),NA())</f>
        <v>1.040461263627106</v>
      </c>
      <c r="AB357" s="58">
        <f>IF(SUMPRODUCT($C$232:AB$232,$C$129:AB$129)&gt;0,SUMPRODUCT($C$335:AB$335,$C$129:AB$129)/SUMPRODUCT($C$232:AB$232,$C$129:AB$129),NA())</f>
        <v>1.1003467599962464</v>
      </c>
      <c r="AC357" s="58">
        <f>IF(SUMPRODUCT($C$232:AC$232,$C$129:AC$129)&gt;0,SUMPRODUCT($C$335:AC$335,$C$129:AC$129)/SUMPRODUCT($C$232:AC$232,$C$129:AC$129),NA())</f>
        <v>1.159058030946384</v>
      </c>
      <c r="AD357" s="58">
        <f>IF(SUMPRODUCT($C$232:AD$232,$C$129:AD$129)&gt;0,SUMPRODUCT($C$335:AD$335,$C$129:AD$129)/SUMPRODUCT($C$232:AD$232,$C$129:AD$129),NA())</f>
        <v>1.2166181005053425</v>
      </c>
      <c r="AE357" s="58">
        <f>IF(SUMPRODUCT($C$232:AE$232,$C$129:AE$129)&gt;0,SUMPRODUCT($C$335:AE$335,$C$129:AE$129)/SUMPRODUCT($C$232:AE$232,$C$129:AE$129),NA())</f>
        <v>1.2730495412494194</v>
      </c>
      <c r="AF357" s="58">
        <f>IF(SUMPRODUCT($C$232:AF$232,$C$129:AF$129)&gt;0,SUMPRODUCT($C$335:AF$335,$C$129:AF$129)/SUMPRODUCT($C$232:AF$232,$C$129:AF$129),NA())</f>
        <v>1.3283744831553772</v>
      </c>
      <c r="AG357" s="58">
        <f>IF(SUMPRODUCT($C$232:AG$232,$C$129:AG$129)&gt;0,SUMPRODUCT($C$335:AG$335,$C$129:AG$129)/SUMPRODUCT($C$232:AG$232,$C$129:AG$129),NA())</f>
        <v>1.3826146222788653</v>
      </c>
      <c r="AH357" s="58">
        <f>IF(SUMPRODUCT($C$232:AH$232,$C$129:AH$129)&gt;0,SUMPRODUCT($C$335:AH$335,$C$129:AH$129)/SUMPRODUCT($C$232:AH$232,$C$129:AH$129),NA())</f>
        <v>1.4360531829916614</v>
      </c>
      <c r="AI357" s="58">
        <f>IF(SUMPRODUCT($C$232:AI$232,$C$129:AI$129)&gt;0,SUMPRODUCT($C$335:AI$335,$C$129:AI$129)/SUMPRODUCT($C$232:AI$232,$C$129:AI$129),NA())</f>
        <v>1.4887020112801304</v>
      </c>
      <c r="AJ357" s="58">
        <f>IF(SUMPRODUCT($C$232:AJ$232,$C$129:AJ$129)&gt;0,SUMPRODUCT($C$335:AJ$335,$C$129:AJ$129)/SUMPRODUCT($C$232:AJ$232,$C$129:AJ$129),NA())</f>
        <v>1.5405727780667997</v>
      </c>
      <c r="AK357" s="58">
        <f>IF(SUMPRODUCT($C$232:AK$232,$C$129:AK$129)&gt;0,SUMPRODUCT($C$335:AK$335,$C$129:AK$129)/SUMPRODUCT($C$232:AK$232,$C$129:AK$129),NA())</f>
        <v>1.5916769817975081</v>
      </c>
      <c r="AL357" s="58">
        <f>IF(SUMPRODUCT($C$232:AL$232,$C$129:AL$129)&gt;0,SUMPRODUCT($C$335:AL$335,$C$129:AL$129)/SUMPRODUCT($C$232:AL$232,$C$129:AL$129),NA())</f>
        <v>1.6420259509903243</v>
      </c>
      <c r="AM357" s="58">
        <f>IF(SUMPRODUCT($C$232:AM$232,$C$129:AM$129)&gt;0,SUMPRODUCT($C$335:AM$335,$C$129:AM$129)/SUMPRODUCT($C$232:AM$232,$C$129:AM$129),NA())</f>
        <v>1.6916308467467933</v>
      </c>
      <c r="AN357" s="58">
        <f>IF(SUMPRODUCT($C$232:AN$232,$C$129:AN$129)&gt;0,SUMPRODUCT($C$335:AN$335,$C$129:AN$129)/SUMPRODUCT($C$232:AN$232,$C$129:AN$129),NA())</f>
        <v>1.7405026652260731</v>
      </c>
      <c r="AO357" s="58">
        <f>IF(SUMPRODUCT($C$232:AO$232,$C$129:AO$129)&gt;0,SUMPRODUCT($C$335:AO$335,$C$129:AO$129)/SUMPRODUCT($C$232:AO$232,$C$129:AO$129),NA())</f>
        <v>1.7886522400825067</v>
      </c>
      <c r="AP357" s="58">
        <f>IF(SUMPRODUCT($C$232:AP$232,$C$129:AP$129)&gt;0,SUMPRODUCT($C$335:AP$335,$C$129:AP$129)/SUMPRODUCT($C$232:AP$232,$C$129:AP$129),NA())</f>
        <v>1.8360902448671701</v>
      </c>
      <c r="AQ357" s="58">
        <f>IF(SUMPRODUCT($C$232:AQ$232,$C$129:AQ$129)&gt;0,SUMPRODUCT($C$335:AQ$335,$C$129:AQ$129)/SUMPRODUCT($C$232:AQ$232,$C$129:AQ$129),NA())</f>
        <v>1.8828271953939322</v>
      </c>
      <c r="AR357" s="58">
        <f>IF(SUMPRODUCT($C$232:AR$232,$C$129:AR$129)&gt;0,SUMPRODUCT($C$335:AR$335,$C$129:AR$129)/SUMPRODUCT($C$232:AR$232,$C$129:AR$129),NA())</f>
        <v>1.9288146342616521</v>
      </c>
      <c r="AS357" s="58">
        <f>IF(SUMPRODUCT($C$232:AS$232,$C$129:AS$129)&gt;0,SUMPRODUCT($C$335:AS$335,$C$129:AS$129)/SUMPRODUCT($C$232:AS$232,$C$129:AS$129),NA())</f>
        <v>1.9714765485088459</v>
      </c>
      <c r="AT357" s="58">
        <f>IF(SUMPRODUCT($C$232:AT$232,$C$129:AT$129)&gt;0,SUMPRODUCT($C$335:AT$335,$C$129:AT$129)/SUMPRODUCT($C$232:AT$232,$C$129:AT$129),NA())</f>
        <v>2.0132466551702985</v>
      </c>
      <c r="AU357" s="58">
        <f>IF(SUMPRODUCT($C$232:AU$232,$C$129:AU$129)&gt;0,SUMPRODUCT($C$335:AU$335,$C$129:AU$129)/SUMPRODUCT($C$232:AU$232,$C$129:AU$129),NA())</f>
        <v>2.0524001628234383</v>
      </c>
      <c r="AV357" s="58">
        <f>IF(SUMPRODUCT($C$232:AV$232,$C$129:AV$129)&gt;0,SUMPRODUCT($C$335:AV$335,$C$129:AV$129)/SUMPRODUCT($C$232:AV$232,$C$129:AV$129),NA())</f>
        <v>2.0885331854564728</v>
      </c>
      <c r="AW357" s="58">
        <f>IF(SUMPRODUCT($C$232:AW$232,$C$129:AW$129)&gt;0,SUMPRODUCT($C$335:AW$335,$C$129:AW$129)/SUMPRODUCT($C$232:AW$232,$C$129:AW$129),NA())</f>
        <v>2.1187330344023434</v>
      </c>
      <c r="AX357" s="58">
        <f>IF(SUMPRODUCT($C$232:AX$232,$C$129:AX$129)&gt;0,SUMPRODUCT($C$335:AX$335,$C$129:AX$129)/SUMPRODUCT($C$232:AX$232,$C$129:AX$129),NA())</f>
        <v>2.1478173646834144</v>
      </c>
      <c r="AY357" s="58">
        <f>IF(SUMPRODUCT($C$232:AY$232,$C$129:AY$129)&gt;0,SUMPRODUCT($C$335:AY$335,$C$129:AY$129)/SUMPRODUCT($C$232:AY$232,$C$129:AY$129),NA())</f>
        <v>2.1764607168588386</v>
      </c>
      <c r="AZ357" s="58">
        <f>IF(SUMPRODUCT($C$232:AZ$232,$C$129:AZ$129)&gt;0,SUMPRODUCT($C$335:AZ$335,$C$129:AZ$129)/SUMPRODUCT($C$232:AZ$232,$C$129:AZ$129),NA())</f>
        <v>2.1945913175819691</v>
      </c>
      <c r="BA357" s="58">
        <f>IF(SUMPRODUCT($C$232:BA$232,$C$129:BA$129)&gt;0,SUMPRODUCT($C$335:BA$335,$C$129:BA$129)/SUMPRODUCT($C$232:BA$232,$C$129:BA$129),NA())</f>
        <v>2.2124539783929351</v>
      </c>
      <c r="BB357" s="58">
        <f>IF(SUMPRODUCT($C$232:BB$232,$C$129:BB$129)&gt;0,SUMPRODUCT($C$335:BB$335,$C$129:BB$129)/SUMPRODUCT($C$232:BB$232,$C$129:BB$129),NA())</f>
        <v>2.2255015119545529</v>
      </c>
      <c r="BC357" s="58">
        <f>IF(SUMPRODUCT($C$232:BC$232,$C$129:BC$129)&gt;0,SUMPRODUCT($C$335:BC$335,$C$129:BC$129)/SUMPRODUCT($C$232:BC$232,$C$129:BC$129),NA())</f>
        <v>2.2381701662731972</v>
      </c>
      <c r="BD357" s="58">
        <f>IF(SUMPRODUCT($C$232:BD$232,$C$129:BD$129)&gt;0,SUMPRODUCT($C$335:BD$335,$C$129:BD$129)/SUMPRODUCT($C$232:BD$232,$C$129:BD$129),NA())</f>
        <v>2.2500105599080586</v>
      </c>
      <c r="BE357" s="58">
        <f>IF(SUMPRODUCT($C$232:BE$232,$C$129:BE$129)&gt;0,SUMPRODUCT($C$335:BE$335,$C$129:BE$129)/SUMPRODUCT($C$232:BE$232,$C$129:BE$129),NA())</f>
        <v>2.2599124057396955</v>
      </c>
      <c r="BF357" s="58">
        <f>IF(SUMPRODUCT($C$232:BF$232,$C$129:BF$129)&gt;0,SUMPRODUCT($C$335:BF$335,$C$129:BF$129)/SUMPRODUCT($C$232:BF$232,$C$129:BF$129),NA())</f>
        <v>2.2674153133744506</v>
      </c>
      <c r="BG357" s="58">
        <f>IF(SUMPRODUCT($C$232:BG$232,$C$129:BG$129)&gt;0,SUMPRODUCT($C$335:BG$335,$C$129:BG$129)/SUMPRODUCT($C$232:BG$232,$C$129:BG$129),NA())</f>
        <v>2.2745256159389768</v>
      </c>
      <c r="BH357" s="58">
        <f>IF(SUMPRODUCT($C$232:BH$232,$C$129:BH$129)&gt;0,SUMPRODUCT($C$335:BH$335,$C$129:BH$129)/SUMPRODUCT($C$232:BH$232,$C$129:BH$129),NA())</f>
        <v>2.2799065287769009</v>
      </c>
      <c r="BI357" s="58">
        <f>IF(SUMPRODUCT($C$232:BI$232,$C$129:BI$129)&gt;0,SUMPRODUCT($C$335:BI$335,$C$129:BI$129)/SUMPRODUCT($C$232:BI$232,$C$129:BI$129),NA())</f>
        <v>2.2840088130637706</v>
      </c>
      <c r="BJ357" s="58">
        <f>IF(SUMPRODUCT($C$232:BJ$232,$C$129:BJ$129)&gt;0,SUMPRODUCT($C$335:BJ$335,$C$129:BJ$129)/SUMPRODUCT($C$232:BJ$232,$C$129:BJ$129),NA())</f>
        <v>2.2840088130637706</v>
      </c>
    </row>
  </sheetData>
  <mergeCells count="14">
    <mergeCell ref="D17:I17"/>
    <mergeCell ref="D12:I12"/>
    <mergeCell ref="D6:I6"/>
    <mergeCell ref="D16:I16"/>
    <mergeCell ref="D7:I7"/>
    <mergeCell ref="D8:I8"/>
    <mergeCell ref="D15:I15"/>
    <mergeCell ref="D11:I11"/>
    <mergeCell ref="D10:I10"/>
    <mergeCell ref="D13:I13"/>
    <mergeCell ref="D14:I14"/>
    <mergeCell ref="D4:I4"/>
    <mergeCell ref="D5:I5"/>
    <mergeCell ref="D9:I9"/>
  </mergeCells>
  <conditionalFormatting sqref="C132:BJ231">
    <cfRule type="cellIs" dxfId="27" priority="5" operator="greaterThan">
      <formula>0</formula>
    </cfRule>
  </conditionalFormatting>
  <conditionalFormatting sqref="C235:BJ334">
    <cfRule type="cellIs" dxfId="26" priority="6" operator="greaterThan">
      <formula>0</formula>
    </cfRule>
  </conditionalFormatting>
  <conditionalFormatting sqref="C341:BJ341">
    <cfRule type="expression" dxfId="25" priority="9">
      <formula>C341&gt;C338+0.005</formula>
    </cfRule>
  </conditionalFormatting>
  <conditionalFormatting sqref="C344:BJ344">
    <cfRule type="cellIs" dxfId="24" priority="7" operator="lessThan">
      <formula>-0.5</formula>
    </cfRule>
  </conditionalFormatting>
  <conditionalFormatting sqref="C348:BJ348">
    <cfRule type="cellIs" dxfId="23" priority="8" operator="greaterThan">
      <formula>0.005</formula>
    </cfRule>
  </conditionalFormatting>
  <conditionalFormatting sqref="J4">
    <cfRule type="cellIs" dxfId="22" priority="1" operator="lessThan">
      <formula>-0.5</formula>
    </cfRule>
  </conditionalFormatting>
  <conditionalFormatting sqref="J16">
    <cfRule type="cellIs" dxfId="21" priority="2" operator="notBetween">
      <formula>-0.001</formula>
      <formula>0.001</formula>
    </cfRule>
  </conditionalFormatting>
  <conditionalFormatting sqref="N24:N123">
    <cfRule type="cellIs" dxfId="20" priority="4" operator="greaterThan">
      <formula>0</formula>
    </cfRule>
  </conditionalFormatting>
  <conditionalFormatting sqref="Q24:Q123">
    <cfRule type="cellIs" dxfId="19" priority="3" operator="notBetween">
      <formula>-0.05</formula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357"/>
  <sheetViews>
    <sheetView zoomScale="85" workbookViewId="0">
      <pane xSplit="2" ySplit="23" topLeftCell="C2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2" customWidth="1"/>
    <col min="3" max="62" width="9" customWidth="1"/>
  </cols>
  <sheetData>
    <row r="1" spans="1:15" ht="17.399999999999999" x14ac:dyDescent="0.3">
      <c r="A1" s="1" t="s">
        <v>275</v>
      </c>
    </row>
    <row r="2" spans="1:15" x14ac:dyDescent="0.3">
      <c r="A2" s="2" t="s">
        <v>78</v>
      </c>
    </row>
    <row r="3" spans="1:15" x14ac:dyDescent="0.3">
      <c r="D3" s="4" t="s">
        <v>79</v>
      </c>
      <c r="L3" s="4" t="s">
        <v>80</v>
      </c>
    </row>
    <row r="4" spans="1:15" ht="41.4" x14ac:dyDescent="0.3">
      <c r="A4" s="28" t="s">
        <v>81</v>
      </c>
      <c r="B4" s="29">
        <v>210</v>
      </c>
      <c r="D4" s="77" t="s">
        <v>82</v>
      </c>
      <c r="E4" s="73"/>
      <c r="F4" s="73"/>
      <c r="G4" s="73"/>
      <c r="H4" s="73"/>
      <c r="I4" s="73"/>
      <c r="J4" s="30">
        <f>MIN(C344:BJ344)</f>
        <v>-1.4587116928481692E-2</v>
      </c>
      <c r="L4" s="3" t="s">
        <v>83</v>
      </c>
      <c r="M4" s="3" t="s">
        <v>84</v>
      </c>
      <c r="N4" s="3" t="s">
        <v>85</v>
      </c>
      <c r="O4" s="3" t="s">
        <v>86</v>
      </c>
    </row>
    <row r="5" spans="1:15" x14ac:dyDescent="0.3">
      <c r="A5" s="28" t="s">
        <v>87</v>
      </c>
      <c r="B5" s="16">
        <v>2026</v>
      </c>
      <c r="D5" s="77" t="s">
        <v>88</v>
      </c>
      <c r="E5" s="73"/>
      <c r="F5" s="73"/>
      <c r="G5" s="73"/>
      <c r="H5" s="73"/>
      <c r="I5" s="73"/>
      <c r="J5" s="30">
        <f>MAX(C346:BJ346)</f>
        <v>44.683444391115046</v>
      </c>
      <c r="L5" s="28" t="s">
        <v>89</v>
      </c>
      <c r="M5" s="29">
        <v>35.445</v>
      </c>
      <c r="N5" s="31">
        <f>M5/$B$4</f>
        <v>0.16878571428571429</v>
      </c>
      <c r="O5" s="32">
        <v>1000</v>
      </c>
    </row>
    <row r="6" spans="1:15" x14ac:dyDescent="0.3">
      <c r="A6" s="28" t="s">
        <v>90</v>
      </c>
      <c r="B6" s="33">
        <v>0.02</v>
      </c>
      <c r="D6" s="77" t="s">
        <v>25</v>
      </c>
      <c r="E6" s="73"/>
      <c r="F6" s="73"/>
      <c r="G6" s="73"/>
      <c r="H6" s="73"/>
      <c r="I6" s="73"/>
      <c r="J6" s="30">
        <f>IFERROR(SUM(C346:BJ346)/SUM(C345:BJ345),0)</f>
        <v>24.428735874394413</v>
      </c>
      <c r="L6" s="28" t="s">
        <v>91</v>
      </c>
      <c r="M6" s="29">
        <v>47.26</v>
      </c>
      <c r="N6" s="31">
        <f>M6/$B$4</f>
        <v>0.22504761904761905</v>
      </c>
      <c r="O6" s="32">
        <v>10000</v>
      </c>
    </row>
    <row r="7" spans="1:15" x14ac:dyDescent="0.3">
      <c r="A7" s="28" t="s">
        <v>92</v>
      </c>
      <c r="B7" s="16">
        <v>30</v>
      </c>
      <c r="D7" s="77" t="s">
        <v>93</v>
      </c>
      <c r="E7" s="73"/>
      <c r="F7" s="73"/>
      <c r="G7" s="73"/>
      <c r="H7" s="73"/>
      <c r="I7" s="73"/>
      <c r="J7" s="34">
        <f>COUNTIF(C348:BJ348,"&gt;0.005")</f>
        <v>5</v>
      </c>
      <c r="L7" s="28" t="s">
        <v>94</v>
      </c>
      <c r="M7" s="29">
        <v>59.075099999999999</v>
      </c>
      <c r="N7" s="31">
        <f>M7/$B$4</f>
        <v>0.28131</v>
      </c>
      <c r="O7" s="32">
        <v>100000</v>
      </c>
    </row>
    <row r="8" spans="1:15" x14ac:dyDescent="0.3">
      <c r="A8" s="28" t="s">
        <v>95</v>
      </c>
      <c r="B8" s="33">
        <v>1.4999999999999999E-2</v>
      </c>
      <c r="D8" s="77" t="s">
        <v>20</v>
      </c>
      <c r="E8" s="73"/>
      <c r="F8" s="73"/>
      <c r="G8" s="73"/>
      <c r="H8" s="73"/>
      <c r="I8" s="73"/>
      <c r="J8" s="35">
        <f>MAX(C341:BJ341)/$B$4</f>
        <v>1.1859557166639225</v>
      </c>
      <c r="L8" s="28" t="s">
        <v>96</v>
      </c>
      <c r="M8" s="29">
        <v>70.890100000000004</v>
      </c>
      <c r="N8" s="31">
        <f>M8/$B$4</f>
        <v>0.3375719047619048</v>
      </c>
      <c r="O8" s="32">
        <v>1000000</v>
      </c>
    </row>
    <row r="9" spans="1:15" x14ac:dyDescent="0.3">
      <c r="A9" s="28" t="s">
        <v>97</v>
      </c>
      <c r="B9" s="16">
        <v>40</v>
      </c>
      <c r="D9" s="77" t="s">
        <v>98</v>
      </c>
      <c r="E9" s="73"/>
      <c r="F9" s="73"/>
      <c r="G9" s="73"/>
      <c r="H9" s="73"/>
      <c r="I9" s="73"/>
      <c r="J9" s="34">
        <f>SUMPRODUCT(--(C341:BJ341&gt;C338:BJ338+0.005))</f>
        <v>8</v>
      </c>
      <c r="L9" s="13" t="s">
        <v>99</v>
      </c>
    </row>
    <row r="10" spans="1:15" x14ac:dyDescent="0.3">
      <c r="A10" s="28" t="s">
        <v>100</v>
      </c>
      <c r="B10" s="36">
        <v>1</v>
      </c>
      <c r="D10" s="77" t="s">
        <v>101</v>
      </c>
      <c r="E10" s="73"/>
      <c r="F10" s="73"/>
      <c r="G10" s="73"/>
      <c r="H10" s="73"/>
      <c r="I10" s="73"/>
      <c r="J10" s="34">
        <f>COUNTIFS(C339:BJ339,1,C341:BJ341,0)</f>
        <v>0</v>
      </c>
    </row>
    <row r="11" spans="1:15" x14ac:dyDescent="0.3">
      <c r="A11" s="28" t="s">
        <v>102</v>
      </c>
      <c r="B11" s="37">
        <v>1E-4</v>
      </c>
      <c r="D11" s="77" t="s">
        <v>103</v>
      </c>
      <c r="E11" s="73"/>
      <c r="F11" s="73"/>
      <c r="G11" s="73"/>
      <c r="H11" s="73"/>
      <c r="I11" s="73"/>
      <c r="J11" s="38">
        <f>SUM(C346:BJ346)*$B$12*$B$10</f>
        <v>43971.724573909945</v>
      </c>
    </row>
    <row r="12" spans="1:15" x14ac:dyDescent="0.3">
      <c r="A12" s="28" t="s">
        <v>104</v>
      </c>
      <c r="B12" s="16">
        <v>100</v>
      </c>
      <c r="D12" s="77" t="s">
        <v>105</v>
      </c>
      <c r="E12" s="73"/>
      <c r="F12" s="73"/>
      <c r="G12" s="73"/>
      <c r="H12" s="73"/>
      <c r="I12" s="73"/>
      <c r="J12" s="38">
        <f>SUM(C353:BJ353)</f>
        <v>2331597.1167944488</v>
      </c>
    </row>
    <row r="13" spans="1:15" x14ac:dyDescent="0.3">
      <c r="A13" s="28" t="s">
        <v>106</v>
      </c>
      <c r="B13" s="32">
        <v>10000</v>
      </c>
      <c r="D13" s="77" t="s">
        <v>107</v>
      </c>
      <c r="E13" s="73"/>
      <c r="F13" s="73"/>
      <c r="G13" s="73"/>
      <c r="H13" s="73"/>
      <c r="I13" s="73"/>
      <c r="J13" s="38">
        <f>O124*1000000*$B$11*$B$13</f>
        <v>13627302927.003887</v>
      </c>
    </row>
    <row r="14" spans="1:15" x14ac:dyDescent="0.3">
      <c r="A14" s="4" t="s">
        <v>108</v>
      </c>
      <c r="B14" s="34">
        <f>MAX(J24:J123)</f>
        <v>2044</v>
      </c>
      <c r="D14" s="77" t="s">
        <v>109</v>
      </c>
      <c r="E14" s="73"/>
      <c r="F14" s="73"/>
      <c r="G14" s="73"/>
      <c r="H14" s="73"/>
      <c r="I14" s="73"/>
      <c r="J14" s="38">
        <f>J11+J12-J13</f>
        <v>-13624927358.162519</v>
      </c>
    </row>
    <row r="15" spans="1:15" x14ac:dyDescent="0.3">
      <c r="D15" s="77" t="s">
        <v>110</v>
      </c>
      <c r="E15" s="73"/>
      <c r="F15" s="73"/>
      <c r="G15" s="73"/>
      <c r="H15" s="73"/>
      <c r="I15" s="73"/>
      <c r="J15" s="39">
        <v>-13624914443.038589</v>
      </c>
    </row>
    <row r="16" spans="1:15" x14ac:dyDescent="0.3">
      <c r="D16" s="77" t="s">
        <v>111</v>
      </c>
      <c r="E16" s="73"/>
      <c r="F16" s="73"/>
      <c r="G16" s="73"/>
      <c r="H16" s="73"/>
      <c r="I16" s="73"/>
      <c r="J16" s="40">
        <f>IFERROR(J14/J15-1,0)</f>
        <v>9.4790495630547866E-7</v>
      </c>
    </row>
    <row r="17" spans="1:35" x14ac:dyDescent="0.3">
      <c r="D17" s="77" t="s">
        <v>112</v>
      </c>
      <c r="E17" s="73"/>
      <c r="F17" s="73"/>
      <c r="G17" s="73"/>
      <c r="H17" s="73"/>
      <c r="I17" s="73"/>
      <c r="J17" s="41">
        <f>O124</f>
        <v>13627.302927003886</v>
      </c>
    </row>
    <row r="23" spans="1:35" ht="45" customHeight="1" x14ac:dyDescent="0.3">
      <c r="A23" s="3" t="s">
        <v>56</v>
      </c>
      <c r="B23" s="3" t="s">
        <v>62</v>
      </c>
      <c r="C23" s="3" t="s">
        <v>113</v>
      </c>
      <c r="D23" s="3" t="s">
        <v>114</v>
      </c>
      <c r="E23" s="3" t="s">
        <v>65</v>
      </c>
      <c r="F23" s="3" t="s">
        <v>115</v>
      </c>
      <c r="G23" s="3" t="s">
        <v>116</v>
      </c>
      <c r="H23" s="3" t="s">
        <v>117</v>
      </c>
      <c r="I23" s="3" t="s">
        <v>118</v>
      </c>
      <c r="J23" s="3" t="s">
        <v>119</v>
      </c>
      <c r="K23" s="3" t="s">
        <v>120</v>
      </c>
      <c r="L23" s="3" t="s">
        <v>121</v>
      </c>
      <c r="M23" s="3" t="s">
        <v>122</v>
      </c>
      <c r="N23" s="3" t="s">
        <v>123</v>
      </c>
      <c r="O23" s="3" t="s">
        <v>124</v>
      </c>
      <c r="P23" s="3" t="s">
        <v>125</v>
      </c>
      <c r="Q23" s="3" t="s">
        <v>126</v>
      </c>
      <c r="R23" s="3" t="s">
        <v>127</v>
      </c>
      <c r="S23" s="3" t="s">
        <v>128</v>
      </c>
      <c r="T23" s="3" t="s">
        <v>129</v>
      </c>
      <c r="U23" s="3" t="s">
        <v>130</v>
      </c>
      <c r="V23" s="3" t="s">
        <v>131</v>
      </c>
      <c r="W23" s="3" t="s">
        <v>132</v>
      </c>
      <c r="X23" s="3" t="s">
        <v>133</v>
      </c>
      <c r="Y23" s="3" t="s">
        <v>134</v>
      </c>
      <c r="Z23" s="3" t="s">
        <v>135</v>
      </c>
      <c r="AA23" s="3" t="s">
        <v>136</v>
      </c>
      <c r="AB23" s="3" t="s">
        <v>137</v>
      </c>
      <c r="AC23" s="3" t="s">
        <v>138</v>
      </c>
      <c r="AD23" s="3" t="s">
        <v>139</v>
      </c>
      <c r="AE23" s="3" t="s">
        <v>140</v>
      </c>
      <c r="AF23" s="3" t="s">
        <v>141</v>
      </c>
      <c r="AG23" s="3" t="s">
        <v>142</v>
      </c>
      <c r="AH23" s="3" t="s">
        <v>143</v>
      </c>
      <c r="AI23" s="3" t="s">
        <v>144</v>
      </c>
    </row>
    <row r="24" spans="1:35" x14ac:dyDescent="0.3">
      <c r="A24" s="15" t="s">
        <v>145</v>
      </c>
      <c r="B24" s="15" t="s">
        <v>276</v>
      </c>
      <c r="C24" s="42">
        <v>4</v>
      </c>
      <c r="D24" s="43">
        <v>7</v>
      </c>
      <c r="E24" s="44">
        <v>36.329552279424362</v>
      </c>
      <c r="F24" s="42">
        <v>6</v>
      </c>
      <c r="G24" s="45">
        <v>9.5924845314507223</v>
      </c>
      <c r="H24" s="46">
        <v>0.03</v>
      </c>
      <c r="I24" s="47">
        <v>2039</v>
      </c>
      <c r="J24" s="8">
        <f t="shared" ref="J24:J55" si="0">I24+F24-1</f>
        <v>2044</v>
      </c>
      <c r="K24" s="8">
        <f t="shared" ref="K24:K55" si="1">I24+F24</f>
        <v>2045</v>
      </c>
      <c r="L24" s="8">
        <f t="shared" ref="L24:L55" si="2">K24+$B$9-1</f>
        <v>2084</v>
      </c>
      <c r="M24" s="8">
        <f t="shared" ref="M24:M55" si="3">MAX(0,MIN(L24,2085)-K24+1)</f>
        <v>40</v>
      </c>
      <c r="N24" s="8">
        <f t="shared" ref="N24:N55" si="4">$B$9-M24</f>
        <v>0</v>
      </c>
      <c r="O24" s="48">
        <f t="shared" ref="O24:O55" si="5">SUMPRODUCT(C235:BJ235,$C$129:$BJ$129)</f>
        <v>594.63486839421773</v>
      </c>
      <c r="P24" s="44">
        <v>594.6348683942191</v>
      </c>
      <c r="Q24" s="49">
        <f t="shared" ref="Q24:Q55" si="6">O24-P24</f>
        <v>-1.3642420526593924E-12</v>
      </c>
      <c r="R24" s="48">
        <f t="shared" ref="R24:R55" si="7">SUMPRODUCT(C132:BJ132,$C$129:$BJ$129)</f>
        <v>26.535561142014451</v>
      </c>
      <c r="S24" s="50">
        <f t="shared" ref="S24:S55" si="8">IF(R24=0,0,O24/R24)</f>
        <v>22.408980357031783</v>
      </c>
      <c r="T24" s="45">
        <v>0.65026099999999998</v>
      </c>
      <c r="U24" s="45">
        <v>2.338245098039216</v>
      </c>
      <c r="V24" s="45">
        <v>9.1310880430603625</v>
      </c>
      <c r="W24" s="45">
        <v>13.55277853163564</v>
      </c>
      <c r="X24" s="45">
        <v>10.14545890802062</v>
      </c>
      <c r="Y24" s="45">
        <v>0.51172069866851577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</row>
    <row r="25" spans="1:35" x14ac:dyDescent="0.3">
      <c r="A25" s="15" t="s">
        <v>147</v>
      </c>
      <c r="B25" s="15" t="s">
        <v>277</v>
      </c>
      <c r="C25" s="42">
        <v>2</v>
      </c>
      <c r="D25" s="43">
        <v>4.49</v>
      </c>
      <c r="E25" s="44">
        <v>1.6835429215686279</v>
      </c>
      <c r="F25" s="42">
        <v>2</v>
      </c>
      <c r="G25" s="45">
        <v>0.27936777839903332</v>
      </c>
      <c r="H25" s="46">
        <v>1.4200000000000001E-2</v>
      </c>
      <c r="I25" s="47">
        <v>2026</v>
      </c>
      <c r="J25" s="8">
        <f t="shared" si="0"/>
        <v>2027</v>
      </c>
      <c r="K25" s="8">
        <f t="shared" si="1"/>
        <v>2028</v>
      </c>
      <c r="L25" s="8">
        <f t="shared" si="2"/>
        <v>2067</v>
      </c>
      <c r="M25" s="8">
        <f t="shared" si="3"/>
        <v>40</v>
      </c>
      <c r="N25" s="8">
        <f t="shared" si="4"/>
        <v>0</v>
      </c>
      <c r="O25" s="48">
        <f t="shared" si="5"/>
        <v>9.9812276996995788</v>
      </c>
      <c r="P25" s="44">
        <v>9.9812276996995735</v>
      </c>
      <c r="Q25" s="49">
        <f t="shared" si="6"/>
        <v>0</v>
      </c>
      <c r="R25" s="48">
        <f t="shared" si="7"/>
        <v>1.6784487270280661</v>
      </c>
      <c r="S25" s="50">
        <f t="shared" si="8"/>
        <v>5.94669800689877</v>
      </c>
      <c r="T25" s="45">
        <v>1.4237390000000001</v>
      </c>
      <c r="U25" s="45">
        <v>0.25980392156862742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</row>
    <row r="26" spans="1:35" x14ac:dyDescent="0.3">
      <c r="A26" s="15" t="s">
        <v>148</v>
      </c>
      <c r="B26" s="15" t="s">
        <v>277</v>
      </c>
      <c r="C26" s="42">
        <v>3</v>
      </c>
      <c r="D26" s="43">
        <v>1.46</v>
      </c>
      <c r="E26" s="44">
        <v>7.63</v>
      </c>
      <c r="F26" s="42">
        <v>1</v>
      </c>
      <c r="G26" s="45">
        <v>0.40526408683160919</v>
      </c>
      <c r="H26" s="46">
        <v>2.8899999999999999E-2</v>
      </c>
      <c r="I26" s="47">
        <v>2038</v>
      </c>
      <c r="J26" s="8">
        <f t="shared" si="0"/>
        <v>2038</v>
      </c>
      <c r="K26" s="8">
        <f t="shared" si="1"/>
        <v>2039</v>
      </c>
      <c r="L26" s="8">
        <f t="shared" si="2"/>
        <v>2078</v>
      </c>
      <c r="M26" s="8">
        <f t="shared" si="3"/>
        <v>40</v>
      </c>
      <c r="N26" s="8">
        <f t="shared" si="4"/>
        <v>0</v>
      </c>
      <c r="O26" s="48">
        <f t="shared" si="5"/>
        <v>22.381747841062335</v>
      </c>
      <c r="P26" s="44">
        <v>22.381747841062321</v>
      </c>
      <c r="Q26" s="49">
        <f t="shared" si="6"/>
        <v>0</v>
      </c>
      <c r="R26" s="48">
        <f t="shared" si="7"/>
        <v>6.0162029296880357</v>
      </c>
      <c r="S26" s="50">
        <f t="shared" si="8"/>
        <v>3.7202448292785428</v>
      </c>
      <c r="T26" s="45">
        <v>7.63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</row>
    <row r="27" spans="1:35" x14ac:dyDescent="0.3">
      <c r="A27" s="15" t="s">
        <v>149</v>
      </c>
      <c r="B27" s="15" t="s">
        <v>277</v>
      </c>
      <c r="C27" s="42">
        <v>3</v>
      </c>
      <c r="D27" s="43">
        <v>1</v>
      </c>
      <c r="E27" s="44">
        <v>5.45</v>
      </c>
      <c r="F27" s="42">
        <v>1</v>
      </c>
      <c r="G27" s="45">
        <v>0.1982701011896327</v>
      </c>
      <c r="H27" s="46">
        <v>2.75E-2</v>
      </c>
      <c r="I27" s="47">
        <v>2037</v>
      </c>
      <c r="J27" s="8">
        <f t="shared" si="0"/>
        <v>2037</v>
      </c>
      <c r="K27" s="8">
        <f t="shared" si="1"/>
        <v>2038</v>
      </c>
      <c r="L27" s="8">
        <f t="shared" si="2"/>
        <v>2077</v>
      </c>
      <c r="M27" s="8">
        <f t="shared" si="3"/>
        <v>40</v>
      </c>
      <c r="N27" s="8">
        <f t="shared" si="4"/>
        <v>0</v>
      </c>
      <c r="O27" s="48">
        <f t="shared" si="5"/>
        <v>10.348220496005611</v>
      </c>
      <c r="P27" s="44">
        <v>10.34822049600562</v>
      </c>
      <c r="Q27" s="49">
        <f t="shared" si="6"/>
        <v>0</v>
      </c>
      <c r="R27" s="48">
        <f t="shared" si="7"/>
        <v>4.3832335630584263</v>
      </c>
      <c r="S27" s="50">
        <f t="shared" si="8"/>
        <v>2.3608644958415317</v>
      </c>
      <c r="T27" s="45">
        <v>5.45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</row>
    <row r="28" spans="1:35" x14ac:dyDescent="0.3">
      <c r="A28" s="15" t="s">
        <v>150</v>
      </c>
      <c r="B28" s="15" t="s">
        <v>277</v>
      </c>
      <c r="C28" s="42">
        <v>2</v>
      </c>
      <c r="D28" s="43">
        <v>1</v>
      </c>
      <c r="E28" s="44">
        <v>4.3600000000000003</v>
      </c>
      <c r="F28" s="42">
        <v>1</v>
      </c>
      <c r="G28" s="45">
        <v>0.1586160809517061</v>
      </c>
      <c r="H28" s="46">
        <v>1.6299999999999999E-2</v>
      </c>
      <c r="I28" s="47">
        <v>2026</v>
      </c>
      <c r="J28" s="8">
        <f t="shared" si="0"/>
        <v>2026</v>
      </c>
      <c r="K28" s="8">
        <f t="shared" si="1"/>
        <v>2027</v>
      </c>
      <c r="L28" s="8">
        <f t="shared" si="2"/>
        <v>2066</v>
      </c>
      <c r="M28" s="8">
        <f t="shared" si="3"/>
        <v>40</v>
      </c>
      <c r="N28" s="8">
        <f t="shared" si="4"/>
        <v>0</v>
      </c>
      <c r="O28" s="48">
        <f t="shared" si="5"/>
        <v>5.9324686444151142</v>
      </c>
      <c r="P28" s="44">
        <v>5.9324686444151187</v>
      </c>
      <c r="Q28" s="49">
        <f t="shared" si="6"/>
        <v>0</v>
      </c>
      <c r="R28" s="48">
        <f t="shared" si="7"/>
        <v>4.3600000000000003</v>
      </c>
      <c r="S28" s="50">
        <f t="shared" si="8"/>
        <v>1.3606579459667691</v>
      </c>
      <c r="T28" s="45">
        <v>4.3600000000000003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</row>
    <row r="29" spans="1:35" x14ac:dyDescent="0.3">
      <c r="A29" s="15" t="s">
        <v>151</v>
      </c>
      <c r="B29" s="15" t="s">
        <v>277</v>
      </c>
      <c r="C29" s="42">
        <v>2</v>
      </c>
      <c r="D29" s="43">
        <v>2.0699999999999998</v>
      </c>
      <c r="E29" s="44">
        <v>2.9836078431372548</v>
      </c>
      <c r="F29" s="42">
        <v>2</v>
      </c>
      <c r="G29" s="45">
        <v>0.22790137536902921</v>
      </c>
      <c r="H29" s="46">
        <v>2.3099999999999999E-2</v>
      </c>
      <c r="I29" s="47">
        <v>2037</v>
      </c>
      <c r="J29" s="8">
        <f t="shared" si="0"/>
        <v>2038</v>
      </c>
      <c r="K29" s="8">
        <f t="shared" si="1"/>
        <v>2039</v>
      </c>
      <c r="L29" s="8">
        <f t="shared" si="2"/>
        <v>2078</v>
      </c>
      <c r="M29" s="8">
        <f t="shared" si="3"/>
        <v>40</v>
      </c>
      <c r="N29" s="8">
        <f t="shared" si="4"/>
        <v>0</v>
      </c>
      <c r="O29" s="48">
        <f t="shared" si="5"/>
        <v>10.40434455898342</v>
      </c>
      <c r="P29" s="44">
        <v>10.40434455898343</v>
      </c>
      <c r="Q29" s="49">
        <f t="shared" si="6"/>
        <v>0</v>
      </c>
      <c r="R29" s="48">
        <f t="shared" si="7"/>
        <v>2.3886516405037579</v>
      </c>
      <c r="S29" s="50">
        <f t="shared" si="8"/>
        <v>4.3557396074670738</v>
      </c>
      <c r="T29" s="45">
        <v>2.2890000000000001</v>
      </c>
      <c r="U29" s="45">
        <v>0.69460784313725488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</row>
    <row r="30" spans="1:35" x14ac:dyDescent="0.3">
      <c r="A30" s="15" t="s">
        <v>152</v>
      </c>
      <c r="B30" s="15" t="s">
        <v>277</v>
      </c>
      <c r="C30" s="42">
        <v>2</v>
      </c>
      <c r="D30" s="43">
        <v>1.49</v>
      </c>
      <c r="E30" s="44">
        <v>2.4198</v>
      </c>
      <c r="F30" s="42">
        <v>1</v>
      </c>
      <c r="G30" s="45">
        <v>0.13116756814301339</v>
      </c>
      <c r="H30" s="46">
        <v>1.7899999999999999E-2</v>
      </c>
      <c r="I30" s="47">
        <v>2026</v>
      </c>
      <c r="J30" s="8">
        <f t="shared" si="0"/>
        <v>2026</v>
      </c>
      <c r="K30" s="8">
        <f t="shared" si="1"/>
        <v>2027</v>
      </c>
      <c r="L30" s="8">
        <f t="shared" si="2"/>
        <v>2066</v>
      </c>
      <c r="M30" s="8">
        <f t="shared" si="3"/>
        <v>40</v>
      </c>
      <c r="N30" s="8">
        <f t="shared" si="4"/>
        <v>0</v>
      </c>
      <c r="O30" s="48">
        <f t="shared" si="5"/>
        <v>5.0644933260524505</v>
      </c>
      <c r="P30" s="44">
        <v>5.0644933260524487</v>
      </c>
      <c r="Q30" s="49">
        <f t="shared" si="6"/>
        <v>0</v>
      </c>
      <c r="R30" s="48">
        <f t="shared" si="7"/>
        <v>2.4198</v>
      </c>
      <c r="S30" s="50">
        <f t="shared" si="8"/>
        <v>2.0929388073611253</v>
      </c>
      <c r="T30" s="45">
        <v>2.4198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</row>
    <row r="31" spans="1:35" x14ac:dyDescent="0.3">
      <c r="A31" s="15" t="s">
        <v>153</v>
      </c>
      <c r="B31" s="15" t="s">
        <v>277</v>
      </c>
      <c r="C31" s="42">
        <v>2</v>
      </c>
      <c r="D31" s="43">
        <v>1.39</v>
      </c>
      <c r="E31" s="44">
        <v>2.0710000000000002</v>
      </c>
      <c r="F31" s="42">
        <v>1</v>
      </c>
      <c r="G31" s="45">
        <v>0.104726267448364</v>
      </c>
      <c r="H31" s="46">
        <v>2.8299999999999999E-2</v>
      </c>
      <c r="I31" s="47">
        <v>2042</v>
      </c>
      <c r="J31" s="8">
        <f t="shared" si="0"/>
        <v>2042</v>
      </c>
      <c r="K31" s="8">
        <f t="shared" si="1"/>
        <v>2043</v>
      </c>
      <c r="L31" s="8">
        <f t="shared" si="2"/>
        <v>2082</v>
      </c>
      <c r="M31" s="8">
        <f t="shared" si="3"/>
        <v>40</v>
      </c>
      <c r="N31" s="8">
        <f t="shared" si="4"/>
        <v>0</v>
      </c>
      <c r="O31" s="48">
        <f t="shared" si="5"/>
        <v>5.9339431088825449</v>
      </c>
      <c r="P31" s="44">
        <v>5.9339431088825352</v>
      </c>
      <c r="Q31" s="49">
        <f t="shared" si="6"/>
        <v>9.7699626167013776E-15</v>
      </c>
      <c r="R31" s="48">
        <f t="shared" si="7"/>
        <v>1.5086112802021792</v>
      </c>
      <c r="S31" s="50">
        <f t="shared" si="8"/>
        <v>3.9333811080129912</v>
      </c>
      <c r="T31" s="45">
        <v>2.0710000000000002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</row>
    <row r="32" spans="1:35" x14ac:dyDescent="0.3">
      <c r="A32" s="15" t="s">
        <v>154</v>
      </c>
      <c r="B32" s="15" t="s">
        <v>277</v>
      </c>
      <c r="C32" s="42">
        <v>2</v>
      </c>
      <c r="D32" s="43">
        <v>1.69</v>
      </c>
      <c r="E32" s="44">
        <v>1.817094117647059</v>
      </c>
      <c r="F32" s="42">
        <v>2</v>
      </c>
      <c r="G32" s="45">
        <v>0.1136407713911908</v>
      </c>
      <c r="H32" s="46">
        <v>1.9199999999999998E-2</v>
      </c>
      <c r="I32" s="47">
        <v>2035</v>
      </c>
      <c r="J32" s="8">
        <f t="shared" si="0"/>
        <v>2036</v>
      </c>
      <c r="K32" s="8">
        <f t="shared" si="1"/>
        <v>2037</v>
      </c>
      <c r="L32" s="8">
        <f t="shared" si="2"/>
        <v>2076</v>
      </c>
      <c r="M32" s="8">
        <f t="shared" si="3"/>
        <v>40</v>
      </c>
      <c r="N32" s="8">
        <f t="shared" si="4"/>
        <v>0</v>
      </c>
      <c r="O32" s="48">
        <f t="shared" si="5"/>
        <v>4.5555423617770785</v>
      </c>
      <c r="P32" s="44">
        <v>4.5555423617770758</v>
      </c>
      <c r="Q32" s="49">
        <f t="shared" si="6"/>
        <v>0</v>
      </c>
      <c r="R32" s="48">
        <f t="shared" si="7"/>
        <v>1.5178331313895728</v>
      </c>
      <c r="S32" s="50">
        <f t="shared" si="8"/>
        <v>3.0013459764226451</v>
      </c>
      <c r="T32" s="45">
        <v>1.6568000000000001</v>
      </c>
      <c r="U32" s="45">
        <v>0.16029411764705881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</row>
    <row r="33" spans="1:35" x14ac:dyDescent="0.3">
      <c r="A33" s="15" t="s">
        <v>155</v>
      </c>
      <c r="B33" s="15" t="s">
        <v>277</v>
      </c>
      <c r="C33" s="42">
        <v>2</v>
      </c>
      <c r="D33" s="43">
        <v>3.73</v>
      </c>
      <c r="E33" s="44">
        <v>1.385457098039216</v>
      </c>
      <c r="F33" s="42">
        <v>2</v>
      </c>
      <c r="G33" s="45">
        <v>0.19113378070053921</v>
      </c>
      <c r="H33" s="46">
        <v>1.5299999999999999E-2</v>
      </c>
      <c r="I33" s="47">
        <v>2026</v>
      </c>
      <c r="J33" s="8">
        <f t="shared" si="0"/>
        <v>2027</v>
      </c>
      <c r="K33" s="8">
        <f t="shared" si="1"/>
        <v>2028</v>
      </c>
      <c r="L33" s="8">
        <f t="shared" si="2"/>
        <v>2067</v>
      </c>
      <c r="M33" s="8">
        <f t="shared" si="3"/>
        <v>40</v>
      </c>
      <c r="N33" s="8">
        <f t="shared" si="4"/>
        <v>0</v>
      </c>
      <c r="O33" s="48">
        <f t="shared" si="5"/>
        <v>6.9855894974883954</v>
      </c>
      <c r="P33" s="44">
        <v>6.9855894974884016</v>
      </c>
      <c r="Q33" s="49">
        <f t="shared" si="6"/>
        <v>0</v>
      </c>
      <c r="R33" s="48">
        <f t="shared" si="7"/>
        <v>1.382314056901192</v>
      </c>
      <c r="S33" s="50">
        <f t="shared" si="8"/>
        <v>5.0535473198821173</v>
      </c>
      <c r="T33" s="45">
        <v>1.2251620000000001</v>
      </c>
      <c r="U33" s="45">
        <v>0.16029509803921571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</row>
    <row r="34" spans="1:35" x14ac:dyDescent="0.3">
      <c r="A34" s="15" t="s">
        <v>156</v>
      </c>
      <c r="B34" s="15" t="s">
        <v>277</v>
      </c>
      <c r="C34" s="42">
        <v>1</v>
      </c>
      <c r="D34" s="43">
        <v>1.67</v>
      </c>
      <c r="E34" s="44">
        <v>0.65400000000000003</v>
      </c>
      <c r="F34" s="42">
        <v>1</v>
      </c>
      <c r="G34" s="45">
        <v>3.9733328278402397E-2</v>
      </c>
      <c r="H34" s="46">
        <v>1.49E-2</v>
      </c>
      <c r="I34" s="47">
        <v>2026</v>
      </c>
      <c r="J34" s="8">
        <f t="shared" si="0"/>
        <v>2026</v>
      </c>
      <c r="K34" s="8">
        <f t="shared" si="1"/>
        <v>2027</v>
      </c>
      <c r="L34" s="8">
        <f t="shared" si="2"/>
        <v>2066</v>
      </c>
      <c r="M34" s="8">
        <f t="shared" si="3"/>
        <v>40</v>
      </c>
      <c r="N34" s="8">
        <f t="shared" si="4"/>
        <v>0</v>
      </c>
      <c r="O34" s="48">
        <f t="shared" si="5"/>
        <v>1.445606832593765</v>
      </c>
      <c r="P34" s="44">
        <v>1.445606832593763</v>
      </c>
      <c r="Q34" s="49">
        <f t="shared" si="6"/>
        <v>1.9984014443252818E-15</v>
      </c>
      <c r="R34" s="48">
        <f t="shared" si="7"/>
        <v>0.65400000000000003</v>
      </c>
      <c r="S34" s="50">
        <f t="shared" si="8"/>
        <v>2.2104080009078975</v>
      </c>
      <c r="T34" s="45">
        <v>0.65400000000000003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</row>
    <row r="35" spans="1:35" x14ac:dyDescent="0.3">
      <c r="A35" s="15" t="s">
        <v>157</v>
      </c>
      <c r="B35" s="15" t="s">
        <v>277</v>
      </c>
      <c r="C35" s="42">
        <v>1</v>
      </c>
      <c r="D35" s="43">
        <v>1.4</v>
      </c>
      <c r="E35" s="44">
        <v>1.2198382352941179</v>
      </c>
      <c r="F35" s="42">
        <v>2</v>
      </c>
      <c r="G35" s="45">
        <v>6.2980831298727391E-2</v>
      </c>
      <c r="H35" s="46">
        <v>2.12E-2</v>
      </c>
      <c r="I35" s="47">
        <v>2035</v>
      </c>
      <c r="J35" s="8">
        <f t="shared" si="0"/>
        <v>2036</v>
      </c>
      <c r="K35" s="8">
        <f t="shared" si="1"/>
        <v>2037</v>
      </c>
      <c r="L35" s="8">
        <f t="shared" si="2"/>
        <v>2076</v>
      </c>
      <c r="M35" s="8">
        <f t="shared" si="3"/>
        <v>40</v>
      </c>
      <c r="N35" s="8">
        <f t="shared" si="4"/>
        <v>0</v>
      </c>
      <c r="O35" s="48">
        <f t="shared" si="5"/>
        <v>2.6822350356400593</v>
      </c>
      <c r="P35" s="44">
        <v>2.682235035640061</v>
      </c>
      <c r="Q35" s="49">
        <f t="shared" si="6"/>
        <v>0</v>
      </c>
      <c r="R35" s="48">
        <f t="shared" si="7"/>
        <v>1.0154461866194935</v>
      </c>
      <c r="S35" s="50">
        <f t="shared" si="8"/>
        <v>2.6414349386346578</v>
      </c>
      <c r="T35" s="45">
        <v>0.89924999999999999</v>
      </c>
      <c r="U35" s="45">
        <v>0.32058823529411767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</row>
    <row r="36" spans="1:35" x14ac:dyDescent="0.3">
      <c r="A36" s="15" t="s">
        <v>158</v>
      </c>
      <c r="B36" s="15" t="s">
        <v>277</v>
      </c>
      <c r="C36" s="42">
        <v>1</v>
      </c>
      <c r="D36" s="43">
        <v>2.94</v>
      </c>
      <c r="E36" s="44">
        <v>0.32058823529411767</v>
      </c>
      <c r="F36" s="42">
        <v>1</v>
      </c>
      <c r="G36" s="45">
        <v>3.4289064558677647E-2</v>
      </c>
      <c r="H36" s="46">
        <v>1.5299999999999999E-2</v>
      </c>
      <c r="I36" s="47">
        <v>2026</v>
      </c>
      <c r="J36" s="8">
        <f t="shared" si="0"/>
        <v>2026</v>
      </c>
      <c r="K36" s="8">
        <f t="shared" si="1"/>
        <v>2027</v>
      </c>
      <c r="L36" s="8">
        <f t="shared" si="2"/>
        <v>2066</v>
      </c>
      <c r="M36" s="8">
        <f t="shared" si="3"/>
        <v>40</v>
      </c>
      <c r="N36" s="8">
        <f t="shared" si="4"/>
        <v>0</v>
      </c>
      <c r="O36" s="48">
        <f t="shared" si="5"/>
        <v>1.2573837576532021</v>
      </c>
      <c r="P36" s="44">
        <v>1.2573837576532041</v>
      </c>
      <c r="Q36" s="49">
        <f t="shared" si="6"/>
        <v>-1.9984014443252818E-15</v>
      </c>
      <c r="R36" s="48">
        <f t="shared" si="7"/>
        <v>0.32058823529411767</v>
      </c>
      <c r="S36" s="50">
        <f t="shared" si="8"/>
        <v>3.9221144734136577</v>
      </c>
      <c r="T36" s="45">
        <v>0.32058823529411767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</row>
    <row r="37" spans="1:35" x14ac:dyDescent="0.3">
      <c r="A37" s="15" t="s">
        <v>159</v>
      </c>
      <c r="B37" s="15" t="s">
        <v>277</v>
      </c>
      <c r="C37" s="42">
        <v>1</v>
      </c>
      <c r="D37" s="43">
        <v>4.41</v>
      </c>
      <c r="E37" s="44">
        <v>0.32379411764705879</v>
      </c>
      <c r="F37" s="42">
        <v>2</v>
      </c>
      <c r="G37" s="45">
        <v>5.2419540775045792E-2</v>
      </c>
      <c r="H37" s="46">
        <v>2.1700000000000001E-2</v>
      </c>
      <c r="I37" s="47">
        <v>2038</v>
      </c>
      <c r="J37" s="8">
        <f t="shared" si="0"/>
        <v>2039</v>
      </c>
      <c r="K37" s="8">
        <f t="shared" si="1"/>
        <v>2040</v>
      </c>
      <c r="L37" s="8">
        <f t="shared" si="2"/>
        <v>2079</v>
      </c>
      <c r="M37" s="8">
        <f t="shared" si="3"/>
        <v>40</v>
      </c>
      <c r="N37" s="8">
        <f t="shared" si="4"/>
        <v>0</v>
      </c>
      <c r="O37" s="48">
        <f t="shared" si="5"/>
        <v>2.2972544110511044</v>
      </c>
      <c r="P37" s="44">
        <v>2.2972544110511</v>
      </c>
      <c r="Q37" s="49">
        <f t="shared" si="6"/>
        <v>4.4408920985006262E-15</v>
      </c>
      <c r="R37" s="48">
        <f t="shared" si="7"/>
        <v>0.25283120072778609</v>
      </c>
      <c r="S37" s="50">
        <f t="shared" si="8"/>
        <v>9.0861191357647044</v>
      </c>
      <c r="T37" s="45">
        <v>0.16350000000000001</v>
      </c>
      <c r="U37" s="45">
        <v>0.16029411764705881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</row>
    <row r="38" spans="1:35" x14ac:dyDescent="0.3">
      <c r="A38" s="15" t="s">
        <v>160</v>
      </c>
      <c r="B38" s="15" t="s">
        <v>278</v>
      </c>
      <c r="C38" s="42">
        <v>1</v>
      </c>
      <c r="D38" s="43">
        <v>7</v>
      </c>
      <c r="E38" s="44">
        <v>0.32379411764705879</v>
      </c>
      <c r="F38" s="42">
        <v>2</v>
      </c>
      <c r="G38" s="45">
        <v>8.3205620277850459E-2</v>
      </c>
      <c r="H38" s="46">
        <v>-0.02</v>
      </c>
      <c r="I38" s="47">
        <v>2026</v>
      </c>
      <c r="J38" s="8">
        <f t="shared" si="0"/>
        <v>2027</v>
      </c>
      <c r="K38" s="8">
        <f t="shared" si="1"/>
        <v>2028</v>
      </c>
      <c r="L38" s="8">
        <f t="shared" si="2"/>
        <v>2067</v>
      </c>
      <c r="M38" s="8">
        <f t="shared" si="3"/>
        <v>40</v>
      </c>
      <c r="N38" s="8">
        <f t="shared" si="4"/>
        <v>0</v>
      </c>
      <c r="O38" s="48">
        <f t="shared" si="5"/>
        <v>1.5693717809777397</v>
      </c>
      <c r="P38" s="44">
        <v>1.5693717809777401</v>
      </c>
      <c r="Q38" s="49">
        <f t="shared" si="6"/>
        <v>0</v>
      </c>
      <c r="R38" s="48">
        <f t="shared" si="7"/>
        <v>0.32065109573241057</v>
      </c>
      <c r="S38" s="50">
        <f t="shared" si="8"/>
        <v>4.8943284519052765</v>
      </c>
      <c r="T38" s="45">
        <v>0.16350000000000001</v>
      </c>
      <c r="U38" s="45">
        <v>0.16029411764705881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</row>
    <row r="39" spans="1:35" x14ac:dyDescent="0.3">
      <c r="A39" s="15" t="s">
        <v>161</v>
      </c>
      <c r="B39" s="15" t="s">
        <v>277</v>
      </c>
      <c r="C39" s="42">
        <v>1</v>
      </c>
      <c r="D39" s="43">
        <v>2.08</v>
      </c>
      <c r="E39" s="44">
        <v>0.32379411764705879</v>
      </c>
      <c r="F39" s="42">
        <v>2</v>
      </c>
      <c r="G39" s="45">
        <v>2.472395573970413E-2</v>
      </c>
      <c r="H39" s="46">
        <v>1.7999999999999999E-2</v>
      </c>
      <c r="I39" s="47">
        <v>2034</v>
      </c>
      <c r="J39" s="8">
        <f t="shared" si="0"/>
        <v>2035</v>
      </c>
      <c r="K39" s="8">
        <f t="shared" si="1"/>
        <v>2036</v>
      </c>
      <c r="L39" s="8">
        <f t="shared" si="2"/>
        <v>2075</v>
      </c>
      <c r="M39" s="8">
        <f t="shared" si="3"/>
        <v>40</v>
      </c>
      <c r="N39" s="8">
        <f t="shared" si="4"/>
        <v>0</v>
      </c>
      <c r="O39" s="48">
        <f t="shared" si="5"/>
        <v>0.95547176928864741</v>
      </c>
      <c r="P39" s="44">
        <v>0.95547176928864763</v>
      </c>
      <c r="Q39" s="49">
        <f t="shared" si="6"/>
        <v>0</v>
      </c>
      <c r="R39" s="48">
        <f t="shared" si="7"/>
        <v>0.27367262271917103</v>
      </c>
      <c r="S39" s="50">
        <f t="shared" si="8"/>
        <v>3.4912946709656962</v>
      </c>
      <c r="T39" s="45">
        <v>0.16350000000000001</v>
      </c>
      <c r="U39" s="45">
        <v>0.16029411764705881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</row>
    <row r="40" spans="1:35" x14ac:dyDescent="0.3">
      <c r="A40" s="15" t="s">
        <v>162</v>
      </c>
      <c r="B40" s="15" t="s">
        <v>277</v>
      </c>
      <c r="C40" s="42">
        <v>4</v>
      </c>
      <c r="D40" s="43">
        <v>3.3</v>
      </c>
      <c r="E40" s="44">
        <v>15.455841599384851</v>
      </c>
      <c r="F40" s="42">
        <v>3</v>
      </c>
      <c r="G40" s="45">
        <v>1.8637615028381149</v>
      </c>
      <c r="H40" s="46">
        <v>1.44E-2</v>
      </c>
      <c r="I40" s="47">
        <v>2026</v>
      </c>
      <c r="J40" s="8">
        <f t="shared" si="0"/>
        <v>2028</v>
      </c>
      <c r="K40" s="8">
        <f t="shared" si="1"/>
        <v>2029</v>
      </c>
      <c r="L40" s="8">
        <f t="shared" si="2"/>
        <v>2068</v>
      </c>
      <c r="M40" s="8">
        <f t="shared" si="3"/>
        <v>40</v>
      </c>
      <c r="N40" s="8">
        <f t="shared" si="4"/>
        <v>0</v>
      </c>
      <c r="O40" s="48">
        <f t="shared" si="5"/>
        <v>66.588523466885547</v>
      </c>
      <c r="P40" s="44">
        <v>66.588523466885448</v>
      </c>
      <c r="Q40" s="49">
        <f t="shared" si="6"/>
        <v>0</v>
      </c>
      <c r="R40" s="48">
        <f t="shared" si="7"/>
        <v>14.953359928847643</v>
      </c>
      <c r="S40" s="50">
        <f t="shared" si="8"/>
        <v>4.4530810322049863</v>
      </c>
      <c r="T40" s="45">
        <v>1.744</v>
      </c>
      <c r="U40" s="45">
        <v>1.5588235294117641</v>
      </c>
      <c r="V40" s="45">
        <v>12.15301806997309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</row>
    <row r="41" spans="1:35" x14ac:dyDescent="0.3">
      <c r="A41" s="15" t="s">
        <v>163</v>
      </c>
      <c r="B41" s="15" t="s">
        <v>277</v>
      </c>
      <c r="C41" s="42">
        <v>3</v>
      </c>
      <c r="D41" s="43">
        <v>3.38</v>
      </c>
      <c r="E41" s="44">
        <v>8.9736750000000001</v>
      </c>
      <c r="F41" s="42">
        <v>2</v>
      </c>
      <c r="G41" s="45">
        <v>1.120863456208409</v>
      </c>
      <c r="H41" s="46">
        <v>0.03</v>
      </c>
      <c r="I41" s="47">
        <v>2043</v>
      </c>
      <c r="J41" s="8">
        <f t="shared" si="0"/>
        <v>2044</v>
      </c>
      <c r="K41" s="8">
        <f t="shared" si="1"/>
        <v>2045</v>
      </c>
      <c r="L41" s="8">
        <f t="shared" si="2"/>
        <v>2084</v>
      </c>
      <c r="M41" s="8">
        <f t="shared" si="3"/>
        <v>40</v>
      </c>
      <c r="N41" s="8">
        <f t="shared" si="4"/>
        <v>0</v>
      </c>
      <c r="O41" s="48">
        <f t="shared" si="5"/>
        <v>69.481946161614147</v>
      </c>
      <c r="P41" s="44">
        <v>69.481946161614303</v>
      </c>
      <c r="Q41" s="49">
        <f t="shared" si="6"/>
        <v>-1.5631940186722204E-13</v>
      </c>
      <c r="R41" s="48">
        <f t="shared" si="7"/>
        <v>6.3886808843253862</v>
      </c>
      <c r="S41" s="50">
        <f t="shared" si="8"/>
        <v>10.875789137016993</v>
      </c>
      <c r="T41" s="45">
        <v>7.5467250000000003</v>
      </c>
      <c r="U41" s="45">
        <v>1.4269499999999999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</row>
    <row r="42" spans="1:35" x14ac:dyDescent="0.3">
      <c r="A42" s="15" t="s">
        <v>164</v>
      </c>
      <c r="B42" s="15" t="s">
        <v>277</v>
      </c>
      <c r="C42" s="42">
        <v>3</v>
      </c>
      <c r="D42" s="43">
        <v>1.84</v>
      </c>
      <c r="E42" s="44">
        <v>8.6772549019607847</v>
      </c>
      <c r="F42" s="42">
        <v>2</v>
      </c>
      <c r="G42" s="45">
        <v>0.58900578244406065</v>
      </c>
      <c r="H42" s="46">
        <v>2.0199999999999999E-2</v>
      </c>
      <c r="I42" s="47">
        <v>2034</v>
      </c>
      <c r="J42" s="8">
        <f t="shared" si="0"/>
        <v>2035</v>
      </c>
      <c r="K42" s="8">
        <f t="shared" si="1"/>
        <v>2036</v>
      </c>
      <c r="L42" s="8">
        <f t="shared" si="2"/>
        <v>2075</v>
      </c>
      <c r="M42" s="8">
        <f t="shared" si="3"/>
        <v>40</v>
      </c>
      <c r="N42" s="8">
        <f t="shared" si="4"/>
        <v>0</v>
      </c>
      <c r="O42" s="48">
        <f t="shared" si="5"/>
        <v>24.269694408220033</v>
      </c>
      <c r="P42" s="44">
        <v>24.26969440822003</v>
      </c>
      <c r="Q42" s="49">
        <f t="shared" si="6"/>
        <v>0</v>
      </c>
      <c r="R42" s="48">
        <f t="shared" si="7"/>
        <v>7.3701863213111656</v>
      </c>
      <c r="S42" s="50">
        <f t="shared" si="8"/>
        <v>3.2929553406327488</v>
      </c>
      <c r="T42" s="45">
        <v>6.54</v>
      </c>
      <c r="U42" s="45">
        <v>2.1372549019607838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</row>
    <row r="43" spans="1:35" x14ac:dyDescent="0.3">
      <c r="A43" s="15" t="s">
        <v>165</v>
      </c>
      <c r="B43" s="15" t="s">
        <v>277</v>
      </c>
      <c r="C43" s="42">
        <v>5</v>
      </c>
      <c r="D43" s="43">
        <v>1.95</v>
      </c>
      <c r="E43" s="44">
        <v>81.978948519046213</v>
      </c>
      <c r="F43" s="42">
        <v>4</v>
      </c>
      <c r="G43" s="45">
        <v>5.9459782639006296</v>
      </c>
      <c r="H43" s="46">
        <v>1.18E-2</v>
      </c>
      <c r="I43" s="47">
        <v>2026</v>
      </c>
      <c r="J43" s="8">
        <f t="shared" si="0"/>
        <v>2029</v>
      </c>
      <c r="K43" s="8">
        <f t="shared" si="1"/>
        <v>2030</v>
      </c>
      <c r="L43" s="8">
        <f t="shared" si="2"/>
        <v>2069</v>
      </c>
      <c r="M43" s="8">
        <f t="shared" si="3"/>
        <v>40</v>
      </c>
      <c r="N43" s="8">
        <f t="shared" si="4"/>
        <v>0</v>
      </c>
      <c r="O43" s="48">
        <f t="shared" si="5"/>
        <v>199.58505148845046</v>
      </c>
      <c r="P43" s="44">
        <v>199.58505148845049</v>
      </c>
      <c r="Q43" s="49">
        <f t="shared" si="6"/>
        <v>0</v>
      </c>
      <c r="R43" s="48">
        <f t="shared" si="7"/>
        <v>79.246808197394515</v>
      </c>
      <c r="S43" s="50">
        <f t="shared" si="8"/>
        <v>2.5185247964978914</v>
      </c>
      <c r="T43" s="45">
        <v>2</v>
      </c>
      <c r="U43" s="45">
        <v>39.2156862745098</v>
      </c>
      <c r="V43" s="45">
        <v>20.583429450211462</v>
      </c>
      <c r="W43" s="45">
        <v>20.179832794324959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</row>
    <row r="44" spans="1:35" x14ac:dyDescent="0.3">
      <c r="A44" s="15" t="s">
        <v>166</v>
      </c>
      <c r="B44" s="15" t="s">
        <v>277</v>
      </c>
      <c r="C44" s="42">
        <v>4</v>
      </c>
      <c r="D44" s="43">
        <v>1</v>
      </c>
      <c r="E44" s="44">
        <v>19.834257117647059</v>
      </c>
      <c r="F44" s="42">
        <v>2</v>
      </c>
      <c r="G44" s="45">
        <v>0.73430633530350509</v>
      </c>
      <c r="H44" s="46">
        <v>1.09E-2</v>
      </c>
      <c r="I44" s="47">
        <v>2026</v>
      </c>
      <c r="J44" s="8">
        <f t="shared" si="0"/>
        <v>2027</v>
      </c>
      <c r="K44" s="8">
        <f t="shared" si="1"/>
        <v>2028</v>
      </c>
      <c r="L44" s="8">
        <f t="shared" si="2"/>
        <v>2067</v>
      </c>
      <c r="M44" s="8">
        <f t="shared" si="3"/>
        <v>40</v>
      </c>
      <c r="N44" s="8">
        <f t="shared" si="4"/>
        <v>0</v>
      </c>
      <c r="O44" s="48">
        <f t="shared" si="5"/>
        <v>24.527799864894718</v>
      </c>
      <c r="P44" s="44">
        <v>24.527799864894721</v>
      </c>
      <c r="Q44" s="49">
        <f t="shared" si="6"/>
        <v>0</v>
      </c>
      <c r="R44" s="48">
        <f t="shared" si="7"/>
        <v>19.808672919261824</v>
      </c>
      <c r="S44" s="50">
        <f t="shared" si="8"/>
        <v>1.2382353913797044</v>
      </c>
      <c r="T44" s="45">
        <v>18.529463</v>
      </c>
      <c r="U44" s="45">
        <v>1.304794117647059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45">
        <v>0</v>
      </c>
      <c r="AI44" s="45">
        <v>0</v>
      </c>
    </row>
    <row r="45" spans="1:35" x14ac:dyDescent="0.3">
      <c r="A45" s="15" t="s">
        <v>167</v>
      </c>
      <c r="B45" s="15" t="s">
        <v>277</v>
      </c>
      <c r="C45" s="42">
        <v>4</v>
      </c>
      <c r="D45" s="43">
        <v>1</v>
      </c>
      <c r="E45" s="44">
        <v>25.716807568627448</v>
      </c>
      <c r="F45" s="42">
        <v>2</v>
      </c>
      <c r="G45" s="45">
        <v>0.93856239719028034</v>
      </c>
      <c r="H45" s="46">
        <v>1.2200000000000001E-2</v>
      </c>
      <c r="I45" s="47">
        <v>2026</v>
      </c>
      <c r="J45" s="8">
        <f t="shared" si="0"/>
        <v>2027</v>
      </c>
      <c r="K45" s="8">
        <f t="shared" si="1"/>
        <v>2028</v>
      </c>
      <c r="L45" s="8">
        <f t="shared" si="2"/>
        <v>2067</v>
      </c>
      <c r="M45" s="8">
        <f t="shared" si="3"/>
        <v>40</v>
      </c>
      <c r="N45" s="8">
        <f t="shared" si="4"/>
        <v>0</v>
      </c>
      <c r="O45" s="48">
        <f t="shared" si="5"/>
        <v>32.188112371840631</v>
      </c>
      <c r="P45" s="44">
        <v>32.188112371840617</v>
      </c>
      <c r="Q45" s="49">
        <f t="shared" si="6"/>
        <v>0</v>
      </c>
      <c r="R45" s="48">
        <f t="shared" si="7"/>
        <v>25.318691459438678</v>
      </c>
      <c r="S45" s="50">
        <f t="shared" si="8"/>
        <v>1.2713181652143033</v>
      </c>
      <c r="T45" s="45">
        <v>5.4128860000000003</v>
      </c>
      <c r="U45" s="45">
        <v>20.303921568627452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0</v>
      </c>
      <c r="AI45" s="45">
        <v>0</v>
      </c>
    </row>
    <row r="46" spans="1:35" x14ac:dyDescent="0.3">
      <c r="A46" s="15" t="s">
        <v>168</v>
      </c>
      <c r="B46" s="15" t="s">
        <v>277</v>
      </c>
      <c r="C46" s="42">
        <v>2</v>
      </c>
      <c r="D46" s="43">
        <v>2.15</v>
      </c>
      <c r="E46" s="44">
        <v>1.4044049999999999</v>
      </c>
      <c r="F46" s="42">
        <v>2</v>
      </c>
      <c r="G46" s="45">
        <v>0.11084509877107809</v>
      </c>
      <c r="H46" s="46">
        <v>2.2499999999999999E-2</v>
      </c>
      <c r="I46" s="47">
        <v>2036</v>
      </c>
      <c r="J46" s="8">
        <f t="shared" si="0"/>
        <v>2037</v>
      </c>
      <c r="K46" s="8">
        <f t="shared" si="1"/>
        <v>2038</v>
      </c>
      <c r="L46" s="8">
        <f t="shared" si="2"/>
        <v>2077</v>
      </c>
      <c r="M46" s="8">
        <f t="shared" si="3"/>
        <v>40</v>
      </c>
      <c r="N46" s="8">
        <f t="shared" si="4"/>
        <v>0</v>
      </c>
      <c r="O46" s="48">
        <f t="shared" si="5"/>
        <v>4.9364949608075355</v>
      </c>
      <c r="P46" s="44">
        <v>4.9364949608075417</v>
      </c>
      <c r="Q46" s="49">
        <f t="shared" si="6"/>
        <v>0</v>
      </c>
      <c r="R46" s="48">
        <f t="shared" si="7"/>
        <v>1.1409179765275748</v>
      </c>
      <c r="S46" s="50">
        <f t="shared" si="8"/>
        <v>4.326774634432474</v>
      </c>
      <c r="T46" s="45">
        <v>0.70915499999999998</v>
      </c>
      <c r="U46" s="45">
        <v>0.69525000000000003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</row>
    <row r="47" spans="1:35" x14ac:dyDescent="0.3">
      <c r="A47" s="15" t="s">
        <v>169</v>
      </c>
      <c r="B47" s="15" t="s">
        <v>277</v>
      </c>
      <c r="C47" s="42">
        <v>1</v>
      </c>
      <c r="D47" s="43">
        <v>1</v>
      </c>
      <c r="E47" s="44">
        <v>5.45E-2</v>
      </c>
      <c r="F47" s="42">
        <v>1</v>
      </c>
      <c r="G47" s="45">
        <v>1.9827010118963271E-3</v>
      </c>
      <c r="H47" s="46">
        <v>2.58E-2</v>
      </c>
      <c r="I47" s="47">
        <v>2037</v>
      </c>
      <c r="J47" s="8">
        <f t="shared" si="0"/>
        <v>2037</v>
      </c>
      <c r="K47" s="8">
        <f t="shared" si="1"/>
        <v>2038</v>
      </c>
      <c r="L47" s="8">
        <f t="shared" si="2"/>
        <v>2077</v>
      </c>
      <c r="M47" s="8">
        <f t="shared" si="3"/>
        <v>40</v>
      </c>
      <c r="N47" s="8">
        <f t="shared" si="4"/>
        <v>0</v>
      </c>
      <c r="O47" s="48">
        <f t="shared" si="5"/>
        <v>9.8021152369454717E-2</v>
      </c>
      <c r="P47" s="44">
        <v>9.8021152369454675E-2</v>
      </c>
      <c r="Q47" s="49">
        <f t="shared" si="6"/>
        <v>0</v>
      </c>
      <c r="R47" s="48">
        <f t="shared" si="7"/>
        <v>4.3832335630584265E-2</v>
      </c>
      <c r="S47" s="50">
        <f t="shared" si="8"/>
        <v>2.2362749089067453</v>
      </c>
      <c r="T47" s="45">
        <v>5.45E-2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45">
        <v>0</v>
      </c>
      <c r="AI47" s="45">
        <v>0</v>
      </c>
    </row>
    <row r="48" spans="1:35" x14ac:dyDescent="0.3">
      <c r="A48" s="15" t="s">
        <v>170</v>
      </c>
      <c r="B48" s="15" t="s">
        <v>277</v>
      </c>
      <c r="C48" s="42">
        <v>1</v>
      </c>
      <c r="D48" s="43">
        <v>1.52</v>
      </c>
      <c r="E48" s="44">
        <v>3.8150000000000003E-2</v>
      </c>
      <c r="F48" s="42">
        <v>1</v>
      </c>
      <c r="G48" s="45">
        <v>2.1095938766576929E-3</v>
      </c>
      <c r="H48" s="46">
        <v>1.84E-2</v>
      </c>
      <c r="I48" s="47">
        <v>2035</v>
      </c>
      <c r="J48" s="8">
        <f t="shared" si="0"/>
        <v>2035</v>
      </c>
      <c r="K48" s="8">
        <f t="shared" si="1"/>
        <v>2036</v>
      </c>
      <c r="L48" s="8">
        <f t="shared" si="2"/>
        <v>2075</v>
      </c>
      <c r="M48" s="8">
        <f t="shared" si="3"/>
        <v>40</v>
      </c>
      <c r="N48" s="8">
        <f t="shared" si="4"/>
        <v>0</v>
      </c>
      <c r="O48" s="48">
        <f t="shared" si="5"/>
        <v>8.2479423006778865E-2</v>
      </c>
      <c r="P48" s="44">
        <v>8.247942300677874E-2</v>
      </c>
      <c r="Q48" s="49">
        <f t="shared" si="6"/>
        <v>1.2490009027033011E-16</v>
      </c>
      <c r="R48" s="48">
        <f t="shared" si="7"/>
        <v>3.1922213393041909E-2</v>
      </c>
      <c r="S48" s="50">
        <f t="shared" si="8"/>
        <v>2.5837626605414812</v>
      </c>
      <c r="T48" s="45">
        <v>3.8150000000000003E-2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</row>
    <row r="49" spans="1:35" x14ac:dyDescent="0.3">
      <c r="A49" s="15" t="s">
        <v>171</v>
      </c>
      <c r="B49" s="15" t="s">
        <v>277</v>
      </c>
      <c r="C49" s="42">
        <v>1</v>
      </c>
      <c r="D49" s="43">
        <v>1</v>
      </c>
      <c r="E49" s="44">
        <v>3.27E-2</v>
      </c>
      <c r="F49" s="42">
        <v>1</v>
      </c>
      <c r="G49" s="45">
        <v>1.1896206071377959E-3</v>
      </c>
      <c r="H49" s="46">
        <v>1.1299999999999999E-2</v>
      </c>
      <c r="I49" s="47">
        <v>2031</v>
      </c>
      <c r="J49" s="8">
        <f t="shared" si="0"/>
        <v>2031</v>
      </c>
      <c r="K49" s="8">
        <f t="shared" si="1"/>
        <v>2032</v>
      </c>
      <c r="L49" s="8">
        <f t="shared" si="2"/>
        <v>2071</v>
      </c>
      <c r="M49" s="8">
        <f t="shared" si="3"/>
        <v>40</v>
      </c>
      <c r="N49" s="8">
        <f t="shared" si="4"/>
        <v>0</v>
      </c>
      <c r="O49" s="48">
        <f t="shared" si="5"/>
        <v>3.8944387340863251E-2</v>
      </c>
      <c r="P49" s="44">
        <v>3.8944387340863293E-2</v>
      </c>
      <c r="Q49" s="49">
        <f t="shared" si="6"/>
        <v>0</v>
      </c>
      <c r="R49" s="48">
        <f t="shared" si="7"/>
        <v>2.9617397481438244E-2</v>
      </c>
      <c r="S49" s="50">
        <f t="shared" si="8"/>
        <v>1.3149159160682635</v>
      </c>
      <c r="T49" s="45">
        <v>3.27E-2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5">
        <v>0</v>
      </c>
      <c r="AH49" s="45">
        <v>0</v>
      </c>
      <c r="AI49" s="45">
        <v>0</v>
      </c>
    </row>
    <row r="50" spans="1:35" x14ac:dyDescent="0.3">
      <c r="A50" s="15" t="s">
        <v>172</v>
      </c>
      <c r="B50" s="15" t="s">
        <v>277</v>
      </c>
      <c r="C50" s="42">
        <v>2</v>
      </c>
      <c r="D50" s="43">
        <v>1.58</v>
      </c>
      <c r="E50" s="44">
        <v>2.8349570710115941</v>
      </c>
      <c r="F50" s="42">
        <v>2</v>
      </c>
      <c r="G50" s="45">
        <v>0.16472886716410709</v>
      </c>
      <c r="H50" s="46">
        <v>1.7600000000000001E-2</v>
      </c>
      <c r="I50" s="47">
        <v>2033</v>
      </c>
      <c r="J50" s="8">
        <f t="shared" si="0"/>
        <v>2034</v>
      </c>
      <c r="K50" s="8">
        <f t="shared" si="1"/>
        <v>2035</v>
      </c>
      <c r="L50" s="8">
        <f t="shared" si="2"/>
        <v>2074</v>
      </c>
      <c r="M50" s="8">
        <f t="shared" si="3"/>
        <v>40</v>
      </c>
      <c r="N50" s="8">
        <f t="shared" si="4"/>
        <v>0</v>
      </c>
      <c r="O50" s="48">
        <f t="shared" si="5"/>
        <v>6.2927345826298673</v>
      </c>
      <c r="P50" s="44">
        <v>6.2927345826298717</v>
      </c>
      <c r="Q50" s="49">
        <f t="shared" si="6"/>
        <v>0</v>
      </c>
      <c r="R50" s="48">
        <f t="shared" si="7"/>
        <v>2.4484403519862181</v>
      </c>
      <c r="S50" s="50">
        <f t="shared" si="8"/>
        <v>2.5700991970358151</v>
      </c>
      <c r="T50" s="45">
        <v>1.689051810877459</v>
      </c>
      <c r="U50" s="45">
        <v>1.145905260134134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5">
        <v>0</v>
      </c>
      <c r="AH50" s="45">
        <v>0</v>
      </c>
      <c r="AI50" s="45">
        <v>0</v>
      </c>
    </row>
    <row r="51" spans="1:35" x14ac:dyDescent="0.3">
      <c r="A51" s="15" t="s">
        <v>173</v>
      </c>
      <c r="B51" s="15" t="s">
        <v>277</v>
      </c>
      <c r="C51" s="42">
        <v>1</v>
      </c>
      <c r="D51" s="43">
        <v>7</v>
      </c>
      <c r="E51" s="44">
        <v>1.006</v>
      </c>
      <c r="F51" s="42">
        <v>2</v>
      </c>
      <c r="G51" s="45">
        <v>0.25748490235329041</v>
      </c>
      <c r="H51" s="46">
        <v>2.9899999999999999E-2</v>
      </c>
      <c r="I51" s="47">
        <v>2043</v>
      </c>
      <c r="J51" s="8">
        <f t="shared" si="0"/>
        <v>2044</v>
      </c>
      <c r="K51" s="8">
        <f t="shared" si="1"/>
        <v>2045</v>
      </c>
      <c r="L51" s="8">
        <f t="shared" si="2"/>
        <v>2084</v>
      </c>
      <c r="M51" s="8">
        <f t="shared" si="3"/>
        <v>40</v>
      </c>
      <c r="N51" s="8">
        <f t="shared" si="4"/>
        <v>0</v>
      </c>
      <c r="O51" s="48">
        <f t="shared" si="5"/>
        <v>15.899035839511072</v>
      </c>
      <c r="P51" s="44">
        <v>15.89903583951105</v>
      </c>
      <c r="Q51" s="49">
        <f t="shared" si="6"/>
        <v>2.1316282072803006E-14</v>
      </c>
      <c r="R51" s="48">
        <f t="shared" si="7"/>
        <v>0.7086453065902063</v>
      </c>
      <c r="S51" s="50">
        <f t="shared" si="8"/>
        <v>22.435816185691792</v>
      </c>
      <c r="T51" s="45">
        <v>0.30599999999999999</v>
      </c>
      <c r="U51" s="45">
        <v>0.7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</row>
    <row r="52" spans="1:35" x14ac:dyDescent="0.3">
      <c r="A52" s="15" t="s">
        <v>174</v>
      </c>
      <c r="B52" s="15" t="s">
        <v>277</v>
      </c>
      <c r="C52" s="42">
        <v>4</v>
      </c>
      <c r="D52" s="43">
        <v>3.32</v>
      </c>
      <c r="E52" s="44">
        <v>21.83713936824558</v>
      </c>
      <c r="F52" s="42">
        <v>8</v>
      </c>
      <c r="G52" s="45">
        <v>2.7611007066820372</v>
      </c>
      <c r="H52" s="46">
        <v>2.06E-2</v>
      </c>
      <c r="I52" s="47">
        <v>2032</v>
      </c>
      <c r="J52" s="8">
        <f t="shared" si="0"/>
        <v>2039</v>
      </c>
      <c r="K52" s="8">
        <f t="shared" si="1"/>
        <v>2040</v>
      </c>
      <c r="L52" s="8">
        <f t="shared" si="2"/>
        <v>2079</v>
      </c>
      <c r="M52" s="8">
        <f t="shared" si="3"/>
        <v>40</v>
      </c>
      <c r="N52" s="8">
        <f t="shared" si="4"/>
        <v>0</v>
      </c>
      <c r="O52" s="48">
        <f t="shared" si="5"/>
        <v>116.64331914778319</v>
      </c>
      <c r="P52" s="44">
        <v>116.6433191477832</v>
      </c>
      <c r="Q52" s="49">
        <f t="shared" si="6"/>
        <v>0</v>
      </c>
      <c r="R52" s="48">
        <f t="shared" si="7"/>
        <v>17.83782793222332</v>
      </c>
      <c r="S52" s="50">
        <f t="shared" si="8"/>
        <v>6.5390987956034552</v>
      </c>
      <c r="T52" s="45">
        <v>0.27500000000000002</v>
      </c>
      <c r="U52" s="45">
        <v>2.450980392156862</v>
      </c>
      <c r="V52" s="45">
        <v>2.402921953094963</v>
      </c>
      <c r="W52" s="45">
        <v>2.3558058363676109</v>
      </c>
      <c r="X52" s="45">
        <v>3.6953817041060568</v>
      </c>
      <c r="Y52" s="45">
        <v>3.6229232393196629</v>
      </c>
      <c r="Z52" s="45">
        <v>3.5518855287447679</v>
      </c>
      <c r="AA52" s="45">
        <v>3.4822407144556542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5">
        <v>0</v>
      </c>
      <c r="AH52" s="45">
        <v>0</v>
      </c>
      <c r="AI52" s="45">
        <v>0</v>
      </c>
    </row>
    <row r="53" spans="1:35" x14ac:dyDescent="0.3">
      <c r="A53" s="15" t="s">
        <v>175</v>
      </c>
      <c r="B53" s="15" t="s">
        <v>277</v>
      </c>
      <c r="C53" s="42">
        <v>5</v>
      </c>
      <c r="D53" s="43">
        <v>2.1800000000000002</v>
      </c>
      <c r="E53" s="44">
        <v>52.075214674444112</v>
      </c>
      <c r="F53" s="42">
        <v>5</v>
      </c>
      <c r="G53" s="45">
        <v>4.2990494521558889</v>
      </c>
      <c r="H53" s="46">
        <v>2.9399999999999999E-2</v>
      </c>
      <c r="I53" s="47">
        <v>2040</v>
      </c>
      <c r="J53" s="8">
        <f t="shared" si="0"/>
        <v>2044</v>
      </c>
      <c r="K53" s="8">
        <f t="shared" si="1"/>
        <v>2045</v>
      </c>
      <c r="L53" s="8">
        <f t="shared" si="2"/>
        <v>2084</v>
      </c>
      <c r="M53" s="8">
        <f t="shared" si="3"/>
        <v>40</v>
      </c>
      <c r="N53" s="8">
        <f t="shared" si="4"/>
        <v>0</v>
      </c>
      <c r="O53" s="48">
        <f t="shared" si="5"/>
        <v>260.31301773895837</v>
      </c>
      <c r="P53" s="44">
        <v>260.31301773895819</v>
      </c>
      <c r="Q53" s="49">
        <f t="shared" si="6"/>
        <v>0</v>
      </c>
      <c r="R53" s="48">
        <f t="shared" si="7"/>
        <v>38.131566655206548</v>
      </c>
      <c r="S53" s="50">
        <f t="shared" si="8"/>
        <v>6.8267065996202598</v>
      </c>
      <c r="T53" s="45">
        <v>12.352051914285839</v>
      </c>
      <c r="U53" s="45">
        <v>7.6884717060807448</v>
      </c>
      <c r="V53" s="45">
        <v>14.482631265921571</v>
      </c>
      <c r="W53" s="45">
        <v>15.60758580017275</v>
      </c>
      <c r="X53" s="45">
        <v>1.9444739879831969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45">
        <v>0</v>
      </c>
      <c r="AI53" s="45">
        <v>0</v>
      </c>
    </row>
    <row r="54" spans="1:35" x14ac:dyDescent="0.3">
      <c r="A54" s="15" t="s">
        <v>176</v>
      </c>
      <c r="B54" s="15" t="s">
        <v>277</v>
      </c>
      <c r="C54" s="42">
        <v>2</v>
      </c>
      <c r="D54" s="43">
        <v>1.1299999999999999</v>
      </c>
      <c r="E54" s="44">
        <v>3.056</v>
      </c>
      <c r="F54" s="42">
        <v>2</v>
      </c>
      <c r="G54" s="45">
        <v>0.1261730536150158</v>
      </c>
      <c r="H54" s="46">
        <v>2.7199999999999998E-2</v>
      </c>
      <c r="I54" s="47">
        <v>2038</v>
      </c>
      <c r="J54" s="8">
        <f t="shared" si="0"/>
        <v>2039</v>
      </c>
      <c r="K54" s="8">
        <f t="shared" si="1"/>
        <v>2040</v>
      </c>
      <c r="L54" s="8">
        <f t="shared" si="2"/>
        <v>2079</v>
      </c>
      <c r="M54" s="8">
        <f t="shared" si="3"/>
        <v>40</v>
      </c>
      <c r="N54" s="8">
        <f t="shared" si="4"/>
        <v>0</v>
      </c>
      <c r="O54" s="48">
        <f t="shared" si="5"/>
        <v>6.654672843833592</v>
      </c>
      <c r="P54" s="44">
        <v>6.6546728438335929</v>
      </c>
      <c r="Q54" s="49">
        <f t="shared" si="6"/>
        <v>0</v>
      </c>
      <c r="R54" s="48">
        <f t="shared" si="7"/>
        <v>2.3750032874539548</v>
      </c>
      <c r="S54" s="50">
        <f t="shared" si="8"/>
        <v>2.8019636347398569</v>
      </c>
      <c r="T54" s="45">
        <v>0.81599999999999995</v>
      </c>
      <c r="U54" s="45">
        <v>2.2400000000000002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45">
        <v>0</v>
      </c>
      <c r="AH54" s="45">
        <v>0</v>
      </c>
      <c r="AI54" s="45">
        <v>0</v>
      </c>
    </row>
    <row r="55" spans="1:35" x14ac:dyDescent="0.3">
      <c r="A55" s="15" t="s">
        <v>177</v>
      </c>
      <c r="B55" s="15" t="s">
        <v>277</v>
      </c>
      <c r="C55" s="42">
        <v>4</v>
      </c>
      <c r="D55" s="43">
        <v>1.85</v>
      </c>
      <c r="E55" s="44">
        <v>25.84105745098039</v>
      </c>
      <c r="F55" s="42">
        <v>2</v>
      </c>
      <c r="G55" s="45">
        <v>1.756069835490772</v>
      </c>
      <c r="H55" s="46">
        <v>1.0200000000000001E-2</v>
      </c>
      <c r="I55" s="47">
        <v>2026</v>
      </c>
      <c r="J55" s="8">
        <f t="shared" si="0"/>
        <v>2027</v>
      </c>
      <c r="K55" s="8">
        <f t="shared" si="1"/>
        <v>2028</v>
      </c>
      <c r="L55" s="8">
        <f t="shared" si="2"/>
        <v>2067</v>
      </c>
      <c r="M55" s="8">
        <f t="shared" si="3"/>
        <v>40</v>
      </c>
      <c r="N55" s="8">
        <f t="shared" si="4"/>
        <v>0</v>
      </c>
      <c r="O55" s="48">
        <f t="shared" si="5"/>
        <v>57.835010243328867</v>
      </c>
      <c r="P55" s="44">
        <v>57.835010243328817</v>
      </c>
      <c r="Q55" s="49">
        <f t="shared" si="6"/>
        <v>0</v>
      </c>
      <c r="R55" s="48">
        <f t="shared" si="7"/>
        <v>25.606378481353325</v>
      </c>
      <c r="S55" s="50">
        <f t="shared" si="8"/>
        <v>2.2586173318278715</v>
      </c>
      <c r="T55" s="45">
        <v>13.87243</v>
      </c>
      <c r="U55" s="45">
        <v>11.96862745098039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45">
        <v>0</v>
      </c>
      <c r="AI55" s="45">
        <v>0</v>
      </c>
    </row>
    <row r="56" spans="1:35" x14ac:dyDescent="0.3">
      <c r="A56" s="15" t="s">
        <v>178</v>
      </c>
      <c r="B56" s="15" t="s">
        <v>277</v>
      </c>
      <c r="C56" s="42">
        <v>1</v>
      </c>
      <c r="D56" s="43">
        <v>5.43</v>
      </c>
      <c r="E56" s="44">
        <v>5.3249999999999999E-2</v>
      </c>
      <c r="F56" s="42">
        <v>1</v>
      </c>
      <c r="G56" s="45">
        <v>1.0519138363987039E-2</v>
      </c>
      <c r="H56" s="46">
        <v>2.4400000000000002E-2</v>
      </c>
      <c r="I56" s="47">
        <v>2042</v>
      </c>
      <c r="J56" s="8">
        <f t="shared" ref="J56:J87" si="9">I56+F56-1</f>
        <v>2042</v>
      </c>
      <c r="K56" s="8">
        <f t="shared" ref="K56:K87" si="10">I56+F56</f>
        <v>2043</v>
      </c>
      <c r="L56" s="8">
        <f t="shared" ref="L56:L87" si="11">K56+$B$9-1</f>
        <v>2082</v>
      </c>
      <c r="M56" s="8">
        <f t="shared" ref="M56:M87" si="12">MAX(0,MIN(L56,2085)-K56+1)</f>
        <v>40</v>
      </c>
      <c r="N56" s="8">
        <f t="shared" ref="N56:N87" si="13">$B$9-M56</f>
        <v>0</v>
      </c>
      <c r="O56" s="48">
        <f t="shared" ref="O56:O87" si="14">SUMPRODUCT(C267:BJ267,$C$129:$BJ$129)</f>
        <v>0.51625002518298635</v>
      </c>
      <c r="P56" s="44">
        <v>0.51625002518298724</v>
      </c>
      <c r="Q56" s="49">
        <f t="shared" ref="Q56:Q87" si="15">O56-P56</f>
        <v>-8.8817841970012523E-16</v>
      </c>
      <c r="R56" s="48">
        <f t="shared" ref="R56:R87" si="16">SUMPRODUCT(C164:BJ164,$C$129:$BJ$129)</f>
        <v>3.8789739580282971E-2</v>
      </c>
      <c r="S56" s="50">
        <f t="shared" ref="S56:S87" si="17">IF(R56=0,0,O56/R56)</f>
        <v>13.308932484955351</v>
      </c>
      <c r="T56" s="45">
        <v>5.3249999999999999E-2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</row>
    <row r="57" spans="1:35" x14ac:dyDescent="0.3">
      <c r="A57" s="15" t="s">
        <v>179</v>
      </c>
      <c r="B57" s="15" t="s">
        <v>277</v>
      </c>
      <c r="C57" s="42">
        <v>2</v>
      </c>
      <c r="D57" s="43">
        <v>1.19</v>
      </c>
      <c r="E57" s="44">
        <v>4.2647690968858134</v>
      </c>
      <c r="F57" s="42">
        <v>4</v>
      </c>
      <c r="G57" s="45">
        <v>0.18831518439406331</v>
      </c>
      <c r="H57" s="46">
        <v>2.3599999999999999E-2</v>
      </c>
      <c r="I57" s="47">
        <v>2033</v>
      </c>
      <c r="J57" s="8">
        <f t="shared" si="9"/>
        <v>2036</v>
      </c>
      <c r="K57" s="8">
        <f t="shared" si="10"/>
        <v>2037</v>
      </c>
      <c r="L57" s="8">
        <f t="shared" si="11"/>
        <v>2076</v>
      </c>
      <c r="M57" s="8">
        <f t="shared" si="12"/>
        <v>40</v>
      </c>
      <c r="N57" s="8">
        <f t="shared" si="13"/>
        <v>0</v>
      </c>
      <c r="O57" s="48">
        <f t="shared" si="14"/>
        <v>8.6286083899327064</v>
      </c>
      <c r="P57" s="44">
        <v>8.6286083899327171</v>
      </c>
      <c r="Q57" s="49">
        <f t="shared" si="15"/>
        <v>0</v>
      </c>
      <c r="R57" s="48">
        <f t="shared" si="16"/>
        <v>3.5803892910991189</v>
      </c>
      <c r="S57" s="50">
        <f t="shared" si="17"/>
        <v>2.4099637465075396</v>
      </c>
      <c r="T57" s="45">
        <v>0.33477099999999999</v>
      </c>
      <c r="U57" s="45">
        <v>0.52254999999999996</v>
      </c>
      <c r="V57" s="45">
        <v>2.9051893502499042</v>
      </c>
      <c r="W57" s="45">
        <v>0.50225874663590919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</row>
    <row r="58" spans="1:35" x14ac:dyDescent="0.3">
      <c r="A58" s="15" t="s">
        <v>180</v>
      </c>
      <c r="B58" s="15" t="s">
        <v>277</v>
      </c>
      <c r="C58" s="42">
        <v>3</v>
      </c>
      <c r="D58" s="43">
        <v>1.03</v>
      </c>
      <c r="E58" s="44">
        <v>8.6989920000000005</v>
      </c>
      <c r="F58" s="42">
        <v>1</v>
      </c>
      <c r="G58" s="45">
        <v>0.32596193115787869</v>
      </c>
      <c r="H58" s="46">
        <v>2.07E-2</v>
      </c>
      <c r="I58" s="47">
        <v>2035</v>
      </c>
      <c r="J58" s="8">
        <f t="shared" si="9"/>
        <v>2035</v>
      </c>
      <c r="K58" s="8">
        <f t="shared" si="10"/>
        <v>2036</v>
      </c>
      <c r="L58" s="8">
        <f t="shared" si="11"/>
        <v>2075</v>
      </c>
      <c r="M58" s="8">
        <f t="shared" si="12"/>
        <v>40</v>
      </c>
      <c r="N58" s="8">
        <f t="shared" si="13"/>
        <v>0</v>
      </c>
      <c r="O58" s="48">
        <f t="shared" si="14"/>
        <v>13.629177014790072</v>
      </c>
      <c r="P58" s="44">
        <v>13.62917701479007</v>
      </c>
      <c r="Q58" s="49">
        <f t="shared" si="15"/>
        <v>0</v>
      </c>
      <c r="R58" s="48">
        <f t="shared" si="16"/>
        <v>7.2789273637841267</v>
      </c>
      <c r="S58" s="50">
        <f t="shared" si="17"/>
        <v>1.872415581806907</v>
      </c>
      <c r="T58" s="45">
        <v>8.6989920000000005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</row>
    <row r="59" spans="1:35" x14ac:dyDescent="0.3">
      <c r="A59" s="15" t="s">
        <v>181</v>
      </c>
      <c r="B59" s="15" t="s">
        <v>277</v>
      </c>
      <c r="C59" s="42">
        <v>3</v>
      </c>
      <c r="D59" s="43">
        <v>6.35</v>
      </c>
      <c r="E59" s="44">
        <v>5.6851479773088753</v>
      </c>
      <c r="F59" s="42">
        <v>2</v>
      </c>
      <c r="G59" s="45">
        <v>1.3208728146685369</v>
      </c>
      <c r="H59" s="46">
        <v>1.5299999999999999E-2</v>
      </c>
      <c r="I59" s="47">
        <v>2026</v>
      </c>
      <c r="J59" s="8">
        <f t="shared" si="9"/>
        <v>2027</v>
      </c>
      <c r="K59" s="8">
        <f t="shared" si="10"/>
        <v>2028</v>
      </c>
      <c r="L59" s="8">
        <f t="shared" si="11"/>
        <v>2067</v>
      </c>
      <c r="M59" s="8">
        <f t="shared" si="12"/>
        <v>40</v>
      </c>
      <c r="N59" s="8">
        <f t="shared" si="13"/>
        <v>0</v>
      </c>
      <c r="O59" s="48">
        <f t="shared" si="14"/>
        <v>48.275481329609029</v>
      </c>
      <c r="P59" s="44">
        <v>48.275481329609072</v>
      </c>
      <c r="Q59" s="49">
        <f t="shared" si="15"/>
        <v>0</v>
      </c>
      <c r="R59" s="48">
        <f t="shared" si="16"/>
        <v>5.6113244741624158</v>
      </c>
      <c r="S59" s="50">
        <f t="shared" si="17"/>
        <v>8.6032239896116423</v>
      </c>
      <c r="T59" s="45">
        <v>1.9201493168394219</v>
      </c>
      <c r="U59" s="45">
        <v>3.7649986604694541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</row>
    <row r="60" spans="1:35" x14ac:dyDescent="0.3">
      <c r="A60" s="15" t="s">
        <v>182</v>
      </c>
      <c r="B60" s="15" t="s">
        <v>277</v>
      </c>
      <c r="C60" s="42">
        <v>5</v>
      </c>
      <c r="D60" s="43">
        <v>1.01</v>
      </c>
      <c r="E60" s="44">
        <v>52.287062926216237</v>
      </c>
      <c r="F60" s="42">
        <v>5</v>
      </c>
      <c r="G60" s="45">
        <v>1.9987307834406951</v>
      </c>
      <c r="H60" s="46">
        <v>2.2800000000000001E-2</v>
      </c>
      <c r="I60" s="47">
        <v>2033</v>
      </c>
      <c r="J60" s="8">
        <f t="shared" si="9"/>
        <v>2037</v>
      </c>
      <c r="K60" s="8">
        <f t="shared" si="10"/>
        <v>2038</v>
      </c>
      <c r="L60" s="8">
        <f t="shared" si="11"/>
        <v>2077</v>
      </c>
      <c r="M60" s="8">
        <f t="shared" si="12"/>
        <v>40</v>
      </c>
      <c r="N60" s="8">
        <f t="shared" si="13"/>
        <v>0</v>
      </c>
      <c r="O60" s="48">
        <f t="shared" si="14"/>
        <v>89.858909287838301</v>
      </c>
      <c r="P60" s="44">
        <v>89.858909287838415</v>
      </c>
      <c r="Q60" s="49">
        <f t="shared" si="15"/>
        <v>-1.1368683772161603E-13</v>
      </c>
      <c r="R60" s="48">
        <f t="shared" si="16"/>
        <v>43.95444811139329</v>
      </c>
      <c r="S60" s="50">
        <f t="shared" si="17"/>
        <v>2.0443644079004204</v>
      </c>
      <c r="T60" s="45">
        <v>10.022251000000001</v>
      </c>
      <c r="U60" s="45">
        <v>10.341873529411769</v>
      </c>
      <c r="V60" s="45">
        <v>14.70262014609766</v>
      </c>
      <c r="W60" s="45">
        <v>15.581077413664429</v>
      </c>
      <c r="X60" s="45">
        <v>1.6392408370423881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</row>
    <row r="61" spans="1:35" x14ac:dyDescent="0.3">
      <c r="A61" s="15" t="s">
        <v>183</v>
      </c>
      <c r="B61" s="15" t="s">
        <v>277</v>
      </c>
      <c r="C61" s="42">
        <v>4</v>
      </c>
      <c r="D61" s="43">
        <v>1</v>
      </c>
      <c r="E61" s="44">
        <v>18.906960220146431</v>
      </c>
      <c r="F61" s="42">
        <v>16</v>
      </c>
      <c r="G61" s="45">
        <v>0.7863193587144367</v>
      </c>
      <c r="H61" s="46">
        <v>1.2200000000000001E-2</v>
      </c>
      <c r="I61" s="47">
        <v>2026</v>
      </c>
      <c r="J61" s="8">
        <f t="shared" si="9"/>
        <v>2041</v>
      </c>
      <c r="K61" s="8">
        <f t="shared" si="10"/>
        <v>2042</v>
      </c>
      <c r="L61" s="8">
        <f t="shared" si="11"/>
        <v>2081</v>
      </c>
      <c r="M61" s="8">
        <f t="shared" si="12"/>
        <v>40</v>
      </c>
      <c r="N61" s="8">
        <f t="shared" si="13"/>
        <v>0</v>
      </c>
      <c r="O61" s="48">
        <f t="shared" si="14"/>
        <v>24.957788502114234</v>
      </c>
      <c r="P61" s="44">
        <v>24.957788502114209</v>
      </c>
      <c r="Q61" s="49">
        <f t="shared" si="15"/>
        <v>0</v>
      </c>
      <c r="R61" s="48">
        <f t="shared" si="16"/>
        <v>16.501608597735206</v>
      </c>
      <c r="S61" s="50">
        <f t="shared" si="17"/>
        <v>1.5124457930446618</v>
      </c>
      <c r="T61" s="45">
        <v>1.365196078431373</v>
      </c>
      <c r="U61" s="45">
        <v>1.338427527873894</v>
      </c>
      <c r="V61" s="45">
        <v>1.3121838508567589</v>
      </c>
      <c r="W61" s="45">
        <v>1.286454755741921</v>
      </c>
      <c r="X61" s="45">
        <v>1.261230152688158</v>
      </c>
      <c r="Y61" s="45">
        <v>1.236500149694272</v>
      </c>
      <c r="Z61" s="45">
        <v>1.2122550487198751</v>
      </c>
      <c r="AA61" s="45">
        <v>1.1884853418822301</v>
      </c>
      <c r="AB61" s="45">
        <v>1.165181707727676</v>
      </c>
      <c r="AC61" s="45">
        <v>1.142335007576154</v>
      </c>
      <c r="AD61" s="45">
        <v>1.119936281937405</v>
      </c>
      <c r="AE61" s="45">
        <v>1.097976746997456</v>
      </c>
      <c r="AF61" s="45">
        <v>1.0764477911739769</v>
      </c>
      <c r="AG61" s="45">
        <v>1.0553409717391931</v>
      </c>
      <c r="AH61" s="45">
        <v>1.0346480115090131</v>
      </c>
      <c r="AI61" s="45">
        <v>1.014360795597071</v>
      </c>
    </row>
    <row r="62" spans="1:35" x14ac:dyDescent="0.3">
      <c r="A62" s="15" t="s">
        <v>184</v>
      </c>
      <c r="B62" s="15" t="s">
        <v>277</v>
      </c>
      <c r="C62" s="42">
        <v>1</v>
      </c>
      <c r="D62" s="43">
        <v>1.89</v>
      </c>
      <c r="E62" s="44">
        <v>6.3222E-2</v>
      </c>
      <c r="F62" s="42">
        <v>1</v>
      </c>
      <c r="G62" s="45">
        <v>4.3470112142581117E-3</v>
      </c>
      <c r="H62" s="46">
        <v>1.8700000000000001E-2</v>
      </c>
      <c r="I62" s="47">
        <v>2037</v>
      </c>
      <c r="J62" s="8">
        <f t="shared" si="9"/>
        <v>2037</v>
      </c>
      <c r="K62" s="8">
        <f t="shared" si="10"/>
        <v>2038</v>
      </c>
      <c r="L62" s="8">
        <f t="shared" si="11"/>
        <v>2077</v>
      </c>
      <c r="M62" s="8">
        <f t="shared" si="12"/>
        <v>40</v>
      </c>
      <c r="N62" s="8">
        <f t="shared" si="13"/>
        <v>0</v>
      </c>
      <c r="O62" s="48">
        <f t="shared" si="14"/>
        <v>0.17188332417995847</v>
      </c>
      <c r="P62" s="44">
        <v>0.17188332417995861</v>
      </c>
      <c r="Q62" s="49">
        <f t="shared" si="15"/>
        <v>0</v>
      </c>
      <c r="R62" s="48">
        <f t="shared" si="16"/>
        <v>5.0847117857555933E-2</v>
      </c>
      <c r="S62" s="50">
        <f t="shared" si="17"/>
        <v>3.3803946304582224</v>
      </c>
      <c r="T62" s="45">
        <v>6.3222E-2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</row>
    <row r="63" spans="1:35" x14ac:dyDescent="0.3">
      <c r="A63" s="15" t="s">
        <v>185</v>
      </c>
      <c r="B63" s="15" t="s">
        <v>277</v>
      </c>
      <c r="C63" s="42">
        <v>5</v>
      </c>
      <c r="D63" s="43">
        <v>1.91</v>
      </c>
      <c r="E63" s="44">
        <v>79.104191791618604</v>
      </c>
      <c r="F63" s="42">
        <v>3</v>
      </c>
      <c r="G63" s="45">
        <v>5.5107907914743519</v>
      </c>
      <c r="H63" s="46">
        <v>1.9099999999999999E-2</v>
      </c>
      <c r="I63" s="47">
        <v>2032</v>
      </c>
      <c r="J63" s="8">
        <f t="shared" si="9"/>
        <v>2034</v>
      </c>
      <c r="K63" s="8">
        <f t="shared" si="10"/>
        <v>2035</v>
      </c>
      <c r="L63" s="8">
        <f t="shared" si="11"/>
        <v>2074</v>
      </c>
      <c r="M63" s="8">
        <f t="shared" si="12"/>
        <v>40</v>
      </c>
      <c r="N63" s="8">
        <f t="shared" si="13"/>
        <v>0</v>
      </c>
      <c r="O63" s="48">
        <f t="shared" si="14"/>
        <v>219.56530861067858</v>
      </c>
      <c r="P63" s="44">
        <v>219.56530861067861</v>
      </c>
      <c r="Q63" s="49">
        <f t="shared" si="15"/>
        <v>0</v>
      </c>
      <c r="R63" s="48">
        <f t="shared" si="16"/>
        <v>67.833139238497594</v>
      </c>
      <c r="S63" s="50">
        <f t="shared" si="17"/>
        <v>3.2368442781145514</v>
      </c>
      <c r="T63" s="45">
        <v>2.6953499999999999</v>
      </c>
      <c r="U63" s="45">
        <v>13.2125</v>
      </c>
      <c r="V63" s="45">
        <v>63.196341791618607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</row>
    <row r="64" spans="1:35" x14ac:dyDescent="0.3">
      <c r="A64" s="15" t="s">
        <v>186</v>
      </c>
      <c r="B64" s="15" t="s">
        <v>277</v>
      </c>
      <c r="C64" s="42">
        <v>1</v>
      </c>
      <c r="D64" s="43">
        <v>1.87</v>
      </c>
      <c r="E64" s="44">
        <v>1.149563725490196</v>
      </c>
      <c r="F64" s="42">
        <v>1</v>
      </c>
      <c r="G64" s="45">
        <v>7.8205155458853426E-2</v>
      </c>
      <c r="H64" s="46">
        <v>2.9100000000000001E-2</v>
      </c>
      <c r="I64" s="47">
        <v>2042</v>
      </c>
      <c r="J64" s="8">
        <f t="shared" si="9"/>
        <v>2042</v>
      </c>
      <c r="K64" s="8">
        <f t="shared" si="10"/>
        <v>2043</v>
      </c>
      <c r="L64" s="8">
        <f t="shared" si="11"/>
        <v>2082</v>
      </c>
      <c r="M64" s="8">
        <f t="shared" si="12"/>
        <v>40</v>
      </c>
      <c r="N64" s="8">
        <f t="shared" si="13"/>
        <v>0</v>
      </c>
      <c r="O64" s="48">
        <f t="shared" si="14"/>
        <v>4.5645554627246483</v>
      </c>
      <c r="P64" s="44">
        <v>4.5645554627246403</v>
      </c>
      <c r="Q64" s="49">
        <f t="shared" si="15"/>
        <v>7.9936057773011271E-15</v>
      </c>
      <c r="R64" s="48">
        <f t="shared" si="16"/>
        <v>0.83739488343107238</v>
      </c>
      <c r="S64" s="50">
        <f t="shared" si="17"/>
        <v>5.4508996329452328</v>
      </c>
      <c r="T64" s="45">
        <v>1.149563725490196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</row>
    <row r="65" spans="1:35" x14ac:dyDescent="0.3">
      <c r="A65" s="15" t="s">
        <v>187</v>
      </c>
      <c r="B65" s="15" t="s">
        <v>277</v>
      </c>
      <c r="C65" s="42">
        <v>4</v>
      </c>
      <c r="D65" s="43">
        <v>2.16</v>
      </c>
      <c r="E65" s="44">
        <v>35.82377963377585</v>
      </c>
      <c r="F65" s="42">
        <v>3</v>
      </c>
      <c r="G65" s="45">
        <v>2.833855896561515</v>
      </c>
      <c r="H65" s="46">
        <v>2.75E-2</v>
      </c>
      <c r="I65" s="47">
        <v>2037</v>
      </c>
      <c r="J65" s="8">
        <f t="shared" si="9"/>
        <v>2039</v>
      </c>
      <c r="K65" s="8">
        <f t="shared" si="10"/>
        <v>2040</v>
      </c>
      <c r="L65" s="8">
        <f t="shared" si="11"/>
        <v>2079</v>
      </c>
      <c r="M65" s="8">
        <f t="shared" si="12"/>
        <v>40</v>
      </c>
      <c r="N65" s="8">
        <f t="shared" si="13"/>
        <v>0</v>
      </c>
      <c r="O65" s="48">
        <f t="shared" si="14"/>
        <v>150.99459918484266</v>
      </c>
      <c r="P65" s="44">
        <v>150.99459918484291</v>
      </c>
      <c r="Q65" s="49">
        <f t="shared" si="15"/>
        <v>-2.5579538487363607E-13</v>
      </c>
      <c r="R65" s="48">
        <f t="shared" si="16"/>
        <v>27.937305166827606</v>
      </c>
      <c r="S65" s="50">
        <f t="shared" si="17"/>
        <v>5.4047660747226143</v>
      </c>
      <c r="T65" s="45">
        <v>1.6885235294117651</v>
      </c>
      <c r="U65" s="45">
        <v>12.394360822760479</v>
      </c>
      <c r="V65" s="45">
        <v>21.74089528160361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5">
        <v>0</v>
      </c>
      <c r="AI65" s="45">
        <v>0</v>
      </c>
    </row>
    <row r="66" spans="1:35" x14ac:dyDescent="0.3">
      <c r="A66" s="15" t="s">
        <v>188</v>
      </c>
      <c r="B66" s="15" t="s">
        <v>277</v>
      </c>
      <c r="C66" s="42">
        <v>4</v>
      </c>
      <c r="D66" s="43">
        <v>1.97</v>
      </c>
      <c r="E66" s="44">
        <v>16.347101931949251</v>
      </c>
      <c r="F66" s="42">
        <v>3</v>
      </c>
      <c r="G66" s="45">
        <v>1.1875395984794399</v>
      </c>
      <c r="H66" s="46">
        <v>1.5299999999999999E-2</v>
      </c>
      <c r="I66" s="47">
        <v>2026</v>
      </c>
      <c r="J66" s="8">
        <f t="shared" si="9"/>
        <v>2028</v>
      </c>
      <c r="K66" s="8">
        <f t="shared" si="10"/>
        <v>2029</v>
      </c>
      <c r="L66" s="8">
        <f t="shared" si="11"/>
        <v>2068</v>
      </c>
      <c r="M66" s="8">
        <f t="shared" si="12"/>
        <v>40</v>
      </c>
      <c r="N66" s="8">
        <f t="shared" si="13"/>
        <v>0</v>
      </c>
      <c r="O66" s="48">
        <f t="shared" si="14"/>
        <v>43.263339184120213</v>
      </c>
      <c r="P66" s="44">
        <v>43.263339184120262</v>
      </c>
      <c r="Q66" s="49">
        <f t="shared" si="15"/>
        <v>0</v>
      </c>
      <c r="R66" s="48">
        <f t="shared" si="16"/>
        <v>15.960418096723954</v>
      </c>
      <c r="S66" s="50">
        <f t="shared" si="17"/>
        <v>2.7106645278296608</v>
      </c>
      <c r="T66" s="45">
        <v>2.4808750000000002</v>
      </c>
      <c r="U66" s="45">
        <v>7.8944852941176462</v>
      </c>
      <c r="V66" s="45">
        <v>5.9717416378316033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</row>
    <row r="67" spans="1:35" x14ac:dyDescent="0.3">
      <c r="A67" s="15" t="s">
        <v>189</v>
      </c>
      <c r="B67" s="15" t="s">
        <v>277</v>
      </c>
      <c r="C67" s="42">
        <v>3</v>
      </c>
      <c r="D67" s="43">
        <v>1.49</v>
      </c>
      <c r="E67" s="44">
        <v>10.20019315820123</v>
      </c>
      <c r="F67" s="42">
        <v>4</v>
      </c>
      <c r="G67" s="45">
        <v>0.55780011737751434</v>
      </c>
      <c r="H67" s="46">
        <v>0.02</v>
      </c>
      <c r="I67" s="47">
        <v>2032</v>
      </c>
      <c r="J67" s="8">
        <f t="shared" si="9"/>
        <v>2035</v>
      </c>
      <c r="K67" s="8">
        <f t="shared" si="10"/>
        <v>2036</v>
      </c>
      <c r="L67" s="8">
        <f t="shared" si="11"/>
        <v>2075</v>
      </c>
      <c r="M67" s="8">
        <f t="shared" si="12"/>
        <v>40</v>
      </c>
      <c r="N67" s="8">
        <f t="shared" si="13"/>
        <v>0</v>
      </c>
      <c r="O67" s="48">
        <f t="shared" si="14"/>
        <v>22.849842743686253</v>
      </c>
      <c r="P67" s="44">
        <v>22.849842743686271</v>
      </c>
      <c r="Q67" s="49">
        <f t="shared" si="15"/>
        <v>0</v>
      </c>
      <c r="R67" s="48">
        <f t="shared" si="16"/>
        <v>8.6394157873993596</v>
      </c>
      <c r="S67" s="50">
        <f t="shared" si="17"/>
        <v>2.6448365614041736</v>
      </c>
      <c r="T67" s="45">
        <v>0.4245162117134435</v>
      </c>
      <c r="U67" s="45">
        <v>0</v>
      </c>
      <c r="V67" s="45">
        <v>4.9362329135730416</v>
      </c>
      <c r="W67" s="45">
        <v>4.8394440329147468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</row>
    <row r="68" spans="1:35" x14ac:dyDescent="0.3">
      <c r="A68" s="15" t="s">
        <v>190</v>
      </c>
      <c r="B68" s="15" t="s">
        <v>277</v>
      </c>
      <c r="C68" s="42">
        <v>3</v>
      </c>
      <c r="D68" s="43">
        <v>1.31</v>
      </c>
      <c r="E68" s="44">
        <v>13.727192554145841</v>
      </c>
      <c r="F68" s="42">
        <v>5</v>
      </c>
      <c r="G68" s="45">
        <v>0.66623577946345458</v>
      </c>
      <c r="H68" s="46">
        <v>1.3599999999999999E-2</v>
      </c>
      <c r="I68" s="47">
        <v>2026</v>
      </c>
      <c r="J68" s="8">
        <f t="shared" si="9"/>
        <v>2030</v>
      </c>
      <c r="K68" s="8">
        <f t="shared" si="10"/>
        <v>2031</v>
      </c>
      <c r="L68" s="8">
        <f t="shared" si="11"/>
        <v>2070</v>
      </c>
      <c r="M68" s="8">
        <f t="shared" si="12"/>
        <v>40</v>
      </c>
      <c r="N68" s="8">
        <f t="shared" si="13"/>
        <v>0</v>
      </c>
      <c r="O68" s="48">
        <f t="shared" si="14"/>
        <v>23.175653045281138</v>
      </c>
      <c r="P68" s="44">
        <v>23.17565304528118</v>
      </c>
      <c r="Q68" s="49">
        <f t="shared" si="15"/>
        <v>-4.2632564145606011E-14</v>
      </c>
      <c r="R68" s="48">
        <f t="shared" si="16"/>
        <v>12.975609377603407</v>
      </c>
      <c r="S68" s="50">
        <f t="shared" si="17"/>
        <v>1.786093613860136</v>
      </c>
      <c r="T68" s="45">
        <v>0.29325000000000001</v>
      </c>
      <c r="U68" s="45">
        <v>1.3512500000000001</v>
      </c>
      <c r="V68" s="45">
        <v>2.9411764705882359</v>
      </c>
      <c r="W68" s="45">
        <v>4.6160130718954244</v>
      </c>
      <c r="X68" s="45">
        <v>4.5255030116621811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</row>
    <row r="69" spans="1:35" x14ac:dyDescent="0.3">
      <c r="A69" s="15" t="s">
        <v>191</v>
      </c>
      <c r="B69" s="15" t="s">
        <v>277</v>
      </c>
      <c r="C69" s="42">
        <v>4</v>
      </c>
      <c r="D69" s="43">
        <v>1.17</v>
      </c>
      <c r="E69" s="44">
        <v>32.593137254901961</v>
      </c>
      <c r="F69" s="42">
        <v>1</v>
      </c>
      <c r="G69" s="45">
        <v>1.3873075609709891</v>
      </c>
      <c r="H69" s="46">
        <v>2.8299999999999999E-2</v>
      </c>
      <c r="I69" s="47">
        <v>2038</v>
      </c>
      <c r="J69" s="8">
        <f t="shared" si="9"/>
        <v>2038</v>
      </c>
      <c r="K69" s="8">
        <f t="shared" si="10"/>
        <v>2039</v>
      </c>
      <c r="L69" s="8">
        <f t="shared" si="11"/>
        <v>2078</v>
      </c>
      <c r="M69" s="8">
        <f t="shared" si="12"/>
        <v>40</v>
      </c>
      <c r="N69" s="8">
        <f t="shared" si="13"/>
        <v>0</v>
      </c>
      <c r="O69" s="48">
        <f t="shared" si="14"/>
        <v>75.112187944908726</v>
      </c>
      <c r="P69" s="44">
        <v>75.112187944908641</v>
      </c>
      <c r="Q69" s="49">
        <f t="shared" si="15"/>
        <v>0</v>
      </c>
      <c r="R69" s="48">
        <f t="shared" si="16"/>
        <v>25.699466296286428</v>
      </c>
      <c r="S69" s="50">
        <f t="shared" si="17"/>
        <v>2.9227139224973882</v>
      </c>
      <c r="T69" s="45">
        <v>32.593137254901961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</row>
    <row r="70" spans="1:35" x14ac:dyDescent="0.3">
      <c r="A70" s="15" t="s">
        <v>192</v>
      </c>
      <c r="B70" s="15" t="s">
        <v>277</v>
      </c>
      <c r="C70" s="42">
        <v>4</v>
      </c>
      <c r="D70" s="43">
        <v>2.21</v>
      </c>
      <c r="E70" s="44">
        <v>17.9843137254902</v>
      </c>
      <c r="F70" s="42">
        <v>2</v>
      </c>
      <c r="G70" s="45">
        <v>1.4600495352565841</v>
      </c>
      <c r="H70" s="46">
        <v>2.7400000000000001E-2</v>
      </c>
      <c r="I70" s="47">
        <v>2038</v>
      </c>
      <c r="J70" s="8">
        <f t="shared" si="9"/>
        <v>2039</v>
      </c>
      <c r="K70" s="8">
        <f t="shared" si="10"/>
        <v>2040</v>
      </c>
      <c r="L70" s="8">
        <f t="shared" si="11"/>
        <v>2079</v>
      </c>
      <c r="M70" s="8">
        <f t="shared" si="12"/>
        <v>40</v>
      </c>
      <c r="N70" s="8">
        <f t="shared" si="13"/>
        <v>0</v>
      </c>
      <c r="O70" s="48">
        <f t="shared" si="14"/>
        <v>77.531166278752764</v>
      </c>
      <c r="P70" s="44">
        <v>77.531166278752721</v>
      </c>
      <c r="Q70" s="49">
        <f t="shared" si="15"/>
        <v>0</v>
      </c>
      <c r="R70" s="48">
        <f t="shared" si="16"/>
        <v>14.052427760913108</v>
      </c>
      <c r="S70" s="50">
        <f t="shared" si="17"/>
        <v>5.5172791205805769</v>
      </c>
      <c r="T70" s="45">
        <v>9.6999999999999993</v>
      </c>
      <c r="U70" s="45">
        <v>8.2843137254901968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</row>
    <row r="71" spans="1:35" x14ac:dyDescent="0.3">
      <c r="A71" s="15" t="s">
        <v>193</v>
      </c>
      <c r="B71" s="15" t="s">
        <v>277</v>
      </c>
      <c r="C71" s="42">
        <v>4</v>
      </c>
      <c r="D71" s="43">
        <v>1</v>
      </c>
      <c r="E71" s="44">
        <v>14.980997693194929</v>
      </c>
      <c r="F71" s="42">
        <v>3</v>
      </c>
      <c r="G71" s="45">
        <v>0.55138295473668175</v>
      </c>
      <c r="H71" s="46">
        <v>1.6E-2</v>
      </c>
      <c r="I71" s="47">
        <v>2030</v>
      </c>
      <c r="J71" s="8">
        <f t="shared" si="9"/>
        <v>2032</v>
      </c>
      <c r="K71" s="8">
        <f t="shared" si="10"/>
        <v>2033</v>
      </c>
      <c r="L71" s="8">
        <f t="shared" si="11"/>
        <v>2072</v>
      </c>
      <c r="M71" s="8">
        <f t="shared" si="12"/>
        <v>40</v>
      </c>
      <c r="N71" s="8">
        <f t="shared" si="13"/>
        <v>0</v>
      </c>
      <c r="O71" s="48">
        <f t="shared" si="14"/>
        <v>20.217064218149943</v>
      </c>
      <c r="P71" s="44">
        <v>20.21706421814995</v>
      </c>
      <c r="Q71" s="49">
        <f t="shared" si="15"/>
        <v>0</v>
      </c>
      <c r="R71" s="48">
        <f t="shared" si="16"/>
        <v>13.486990116942051</v>
      </c>
      <c r="S71" s="50">
        <f t="shared" si="17"/>
        <v>1.4990048960407945</v>
      </c>
      <c r="T71" s="45">
        <v>0.57499999999999996</v>
      </c>
      <c r="U71" s="45">
        <v>9.2156862745098049</v>
      </c>
      <c r="V71" s="45">
        <v>5.1903114186851207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</row>
    <row r="72" spans="1:35" x14ac:dyDescent="0.3">
      <c r="A72" s="15" t="s">
        <v>194</v>
      </c>
      <c r="B72" s="15" t="s">
        <v>277</v>
      </c>
      <c r="C72" s="42">
        <v>2</v>
      </c>
      <c r="D72" s="43">
        <v>1</v>
      </c>
      <c r="E72" s="44">
        <v>4.0982568627450986</v>
      </c>
      <c r="F72" s="42">
        <v>3</v>
      </c>
      <c r="G72" s="45">
        <v>0.1496944571515007</v>
      </c>
      <c r="H72" s="46">
        <v>2.2800000000000001E-2</v>
      </c>
      <c r="I72" s="47">
        <v>2033</v>
      </c>
      <c r="J72" s="8">
        <f t="shared" si="9"/>
        <v>2035</v>
      </c>
      <c r="K72" s="8">
        <f t="shared" si="10"/>
        <v>2036</v>
      </c>
      <c r="L72" s="8">
        <f t="shared" si="11"/>
        <v>2075</v>
      </c>
      <c r="M72" s="8">
        <f t="shared" si="12"/>
        <v>40</v>
      </c>
      <c r="N72" s="8">
        <f t="shared" si="13"/>
        <v>0</v>
      </c>
      <c r="O72" s="48">
        <f t="shared" si="14"/>
        <v>6.6578065020647781</v>
      </c>
      <c r="P72" s="44">
        <v>6.657806502064787</v>
      </c>
      <c r="Q72" s="49">
        <f t="shared" si="15"/>
        <v>-8.8817841970012523E-15</v>
      </c>
      <c r="R72" s="48">
        <f t="shared" si="16"/>
        <v>3.4503798375205759</v>
      </c>
      <c r="S72" s="50">
        <f t="shared" si="17"/>
        <v>1.9295865428106147</v>
      </c>
      <c r="T72" s="45">
        <v>5.6099999999999997E-2</v>
      </c>
      <c r="U72" s="45">
        <v>1.1499999999999999</v>
      </c>
      <c r="V72" s="45">
        <v>2.892156862745098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</row>
    <row r="73" spans="1:35" x14ac:dyDescent="0.3">
      <c r="A73" s="15" t="s">
        <v>195</v>
      </c>
      <c r="B73" s="15" t="s">
        <v>277</v>
      </c>
      <c r="C73" s="42">
        <v>2</v>
      </c>
      <c r="D73" s="43">
        <v>1</v>
      </c>
      <c r="E73" s="44">
        <v>1.430745098039216</v>
      </c>
      <c r="F73" s="42">
        <v>3</v>
      </c>
      <c r="G73" s="45">
        <v>5.3017287701062031E-2</v>
      </c>
      <c r="H73" s="46">
        <v>2.2200000000000001E-2</v>
      </c>
      <c r="I73" s="47">
        <v>2034</v>
      </c>
      <c r="J73" s="8">
        <f t="shared" si="9"/>
        <v>2036</v>
      </c>
      <c r="K73" s="8">
        <f t="shared" si="10"/>
        <v>2037</v>
      </c>
      <c r="L73" s="8">
        <f t="shared" si="11"/>
        <v>2076</v>
      </c>
      <c r="M73" s="8">
        <f t="shared" si="12"/>
        <v>40</v>
      </c>
      <c r="N73" s="8">
        <f t="shared" si="13"/>
        <v>0</v>
      </c>
      <c r="O73" s="48">
        <f t="shared" si="14"/>
        <v>2.3276200623147054</v>
      </c>
      <c r="P73" s="44">
        <v>2.3276200623147072</v>
      </c>
      <c r="Q73" s="49">
        <f t="shared" si="15"/>
        <v>0</v>
      </c>
      <c r="R73" s="48">
        <f t="shared" si="16"/>
        <v>1.1980598713860369</v>
      </c>
      <c r="S73" s="50">
        <f t="shared" si="17"/>
        <v>1.9428244930880449</v>
      </c>
      <c r="T73" s="45">
        <v>0.40799999999999997</v>
      </c>
      <c r="U73" s="45">
        <v>0.66</v>
      </c>
      <c r="V73" s="45">
        <v>0.36274509803921567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</row>
    <row r="74" spans="1:35" x14ac:dyDescent="0.3">
      <c r="A74" s="15" t="s">
        <v>196</v>
      </c>
      <c r="B74" s="15" t="s">
        <v>277</v>
      </c>
      <c r="C74" s="42">
        <v>5</v>
      </c>
      <c r="D74" s="43">
        <v>2.79</v>
      </c>
      <c r="E74" s="44">
        <v>440.52706646883632</v>
      </c>
      <c r="F74" s="42">
        <v>9</v>
      </c>
      <c r="G74" s="45">
        <v>48.286799716079912</v>
      </c>
      <c r="H74" s="46">
        <v>1.3100000000000001E-2</v>
      </c>
      <c r="I74" s="47">
        <v>2026</v>
      </c>
      <c r="J74" s="8">
        <f t="shared" si="9"/>
        <v>2034</v>
      </c>
      <c r="K74" s="8">
        <f t="shared" si="10"/>
        <v>2035</v>
      </c>
      <c r="L74" s="8">
        <f t="shared" si="11"/>
        <v>2074</v>
      </c>
      <c r="M74" s="8">
        <f t="shared" si="12"/>
        <v>40</v>
      </c>
      <c r="N74" s="8">
        <f t="shared" si="13"/>
        <v>0</v>
      </c>
      <c r="O74" s="48">
        <f t="shared" si="14"/>
        <v>1628.0284149477768</v>
      </c>
      <c r="P74" s="44">
        <v>1628.0284149477791</v>
      </c>
      <c r="Q74" s="49">
        <f t="shared" si="15"/>
        <v>-2.2737367544323206E-12</v>
      </c>
      <c r="R74" s="48">
        <f t="shared" si="16"/>
        <v>410.58211687854197</v>
      </c>
      <c r="S74" s="50">
        <f t="shared" si="17"/>
        <v>3.9651712727404997</v>
      </c>
      <c r="T74" s="45">
        <v>38.285617000000002</v>
      </c>
      <c r="U74" s="45">
        <v>60.71757058823529</v>
      </c>
      <c r="V74" s="45">
        <v>69.299691464821223</v>
      </c>
      <c r="W74" s="45">
        <v>66.232339937128245</v>
      </c>
      <c r="X74" s="45">
        <v>56.797080936693533</v>
      </c>
      <c r="Y74" s="45">
        <v>39.163724135657539</v>
      </c>
      <c r="Z74" s="45">
        <v>37.085806883251493</v>
      </c>
      <c r="AA74" s="45">
        <v>36.078342550238368</v>
      </c>
      <c r="AB74" s="45">
        <v>36.866892972810561</v>
      </c>
      <c r="AC74" s="45">
        <v>0</v>
      </c>
      <c r="AD74" s="45">
        <v>0</v>
      </c>
      <c r="AE74" s="45">
        <v>0</v>
      </c>
      <c r="AF74" s="45">
        <v>0</v>
      </c>
      <c r="AG74" s="45">
        <v>0</v>
      </c>
      <c r="AH74" s="45">
        <v>0</v>
      </c>
      <c r="AI74" s="45">
        <v>0</v>
      </c>
    </row>
    <row r="75" spans="1:35" x14ac:dyDescent="0.3">
      <c r="A75" s="15" t="s">
        <v>197</v>
      </c>
      <c r="B75" s="15" t="s">
        <v>277</v>
      </c>
      <c r="C75" s="42">
        <v>5</v>
      </c>
      <c r="D75" s="43">
        <v>2.08</v>
      </c>
      <c r="E75" s="44">
        <v>425.52253660723892</v>
      </c>
      <c r="F75" s="42">
        <v>9</v>
      </c>
      <c r="G75" s="45">
        <v>32.263830046878986</v>
      </c>
      <c r="H75" s="46">
        <v>2.53E-2</v>
      </c>
      <c r="I75" s="47">
        <v>2033</v>
      </c>
      <c r="J75" s="8">
        <f t="shared" si="9"/>
        <v>2041</v>
      </c>
      <c r="K75" s="8">
        <f t="shared" si="10"/>
        <v>2042</v>
      </c>
      <c r="L75" s="8">
        <f t="shared" si="11"/>
        <v>2081</v>
      </c>
      <c r="M75" s="8">
        <f t="shared" si="12"/>
        <v>40</v>
      </c>
      <c r="N75" s="8">
        <f t="shared" si="13"/>
        <v>0</v>
      </c>
      <c r="O75" s="48">
        <f t="shared" si="14"/>
        <v>1622.654152082888</v>
      </c>
      <c r="P75" s="44">
        <v>1622.654152082886</v>
      </c>
      <c r="Q75" s="49">
        <f t="shared" si="15"/>
        <v>2.0463630789890885E-12</v>
      </c>
      <c r="R75" s="48">
        <f t="shared" si="16"/>
        <v>320.35181877410719</v>
      </c>
      <c r="S75" s="50">
        <f t="shared" si="17"/>
        <v>5.065225345972161</v>
      </c>
      <c r="T75" s="45">
        <v>2.2890000000000001</v>
      </c>
      <c r="U75" s="45">
        <v>0</v>
      </c>
      <c r="V75" s="45">
        <v>2.4096501345636301</v>
      </c>
      <c r="W75" s="45">
        <v>2.36240209270944</v>
      </c>
      <c r="X75" s="45">
        <v>1.8125847258640211</v>
      </c>
      <c r="Y75" s="45">
        <v>3.6528123560440511</v>
      </c>
      <c r="Z75" s="45">
        <v>9.412496651173635</v>
      </c>
      <c r="AA75" s="45">
        <v>196.63778034441779</v>
      </c>
      <c r="AB75" s="45">
        <v>206.9458103024663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</row>
    <row r="76" spans="1:35" x14ac:dyDescent="0.3">
      <c r="A76" s="15" t="s">
        <v>198</v>
      </c>
      <c r="B76" s="15" t="s">
        <v>277</v>
      </c>
      <c r="C76" s="42">
        <v>5</v>
      </c>
      <c r="D76" s="43">
        <v>2.19</v>
      </c>
      <c r="E76" s="44">
        <v>300.06952749801542</v>
      </c>
      <c r="F76" s="42">
        <v>16</v>
      </c>
      <c r="G76" s="45">
        <v>28.127258490020012</v>
      </c>
      <c r="H76" s="46">
        <v>2.0799999999999999E-2</v>
      </c>
      <c r="I76" s="47">
        <v>2029</v>
      </c>
      <c r="J76" s="8">
        <f t="shared" si="9"/>
        <v>2044</v>
      </c>
      <c r="K76" s="8">
        <f t="shared" si="10"/>
        <v>2045</v>
      </c>
      <c r="L76" s="8">
        <f t="shared" si="11"/>
        <v>2084</v>
      </c>
      <c r="M76" s="8">
        <f t="shared" si="12"/>
        <v>40</v>
      </c>
      <c r="N76" s="8">
        <f t="shared" si="13"/>
        <v>0</v>
      </c>
      <c r="O76" s="48">
        <f t="shared" si="14"/>
        <v>1220.7561815789595</v>
      </c>
      <c r="P76" s="44">
        <v>1220.756181578957</v>
      </c>
      <c r="Q76" s="49">
        <f t="shared" si="15"/>
        <v>2.5011104298755527E-12</v>
      </c>
      <c r="R76" s="48">
        <f t="shared" si="16"/>
        <v>253.98618115944055</v>
      </c>
      <c r="S76" s="50">
        <f t="shared" si="17"/>
        <v>4.8063881901221484</v>
      </c>
      <c r="T76" s="45">
        <v>17.781622452902731</v>
      </c>
      <c r="U76" s="45">
        <v>44.760310890984613</v>
      </c>
      <c r="V76" s="45">
        <v>60.881413575147278</v>
      </c>
      <c r="W76" s="45">
        <v>60.865110420570353</v>
      </c>
      <c r="X76" s="45">
        <v>1.687145626153765</v>
      </c>
      <c r="Y76" s="45">
        <v>1.654064339366436</v>
      </c>
      <c r="Z76" s="45">
        <v>1.706980742380223</v>
      </c>
      <c r="AA76" s="45">
        <v>1.6735105317453161</v>
      </c>
      <c r="AB76" s="45">
        <v>0.82034829987515512</v>
      </c>
      <c r="AC76" s="45">
        <v>18.498049899145659</v>
      </c>
      <c r="AD76" s="45">
        <v>17.819945768145431</v>
      </c>
      <c r="AE76" s="45">
        <v>2.164491070224154</v>
      </c>
      <c r="AF76" s="45">
        <v>17.8100630778248</v>
      </c>
      <c r="AG76" s="45">
        <v>17.83235351972445</v>
      </c>
      <c r="AH76" s="45">
        <v>17.04563204091308</v>
      </c>
      <c r="AI76" s="45">
        <v>17.068485242911962</v>
      </c>
    </row>
    <row r="77" spans="1:35" x14ac:dyDescent="0.3">
      <c r="A77" s="15" t="s">
        <v>199</v>
      </c>
      <c r="B77" s="15" t="s">
        <v>277</v>
      </c>
      <c r="C77" s="42">
        <v>5</v>
      </c>
      <c r="D77" s="43">
        <v>1.57</v>
      </c>
      <c r="E77" s="44">
        <v>330.73302623723112</v>
      </c>
      <c r="F77" s="42">
        <v>8</v>
      </c>
      <c r="G77" s="45">
        <v>19.20741116243936</v>
      </c>
      <c r="H77" s="46">
        <v>2.5600000000000001E-2</v>
      </c>
      <c r="I77" s="47">
        <v>2032</v>
      </c>
      <c r="J77" s="8">
        <f t="shared" si="9"/>
        <v>2039</v>
      </c>
      <c r="K77" s="8">
        <f t="shared" si="10"/>
        <v>2040</v>
      </c>
      <c r="L77" s="8">
        <f t="shared" si="11"/>
        <v>2079</v>
      </c>
      <c r="M77" s="8">
        <f t="shared" si="12"/>
        <v>40</v>
      </c>
      <c r="N77" s="8">
        <f t="shared" si="13"/>
        <v>0</v>
      </c>
      <c r="O77" s="48">
        <f t="shared" si="14"/>
        <v>959.61841149826932</v>
      </c>
      <c r="P77" s="44">
        <v>959.6184114982683</v>
      </c>
      <c r="Q77" s="49">
        <f t="shared" si="15"/>
        <v>1.0231815394945443E-12</v>
      </c>
      <c r="R77" s="48">
        <f t="shared" si="16"/>
        <v>262.40190743539023</v>
      </c>
      <c r="S77" s="50">
        <f t="shared" si="17"/>
        <v>3.6570557770604273</v>
      </c>
      <c r="T77" s="45">
        <v>9.0525000000000002</v>
      </c>
      <c r="U77" s="45">
        <v>0</v>
      </c>
      <c r="V77" s="45">
        <v>1.257208765859285</v>
      </c>
      <c r="W77" s="45">
        <v>0</v>
      </c>
      <c r="X77" s="45">
        <v>30.71324118825147</v>
      </c>
      <c r="Y77" s="45">
        <v>85.076200698133832</v>
      </c>
      <c r="Z77" s="45">
        <v>95.90090927610872</v>
      </c>
      <c r="AA77" s="45">
        <v>108.73296630887781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</row>
    <row r="78" spans="1:35" x14ac:dyDescent="0.3">
      <c r="A78" s="15" t="s">
        <v>200</v>
      </c>
      <c r="B78" s="15" t="s">
        <v>277</v>
      </c>
      <c r="C78" s="42">
        <v>5</v>
      </c>
      <c r="D78" s="43">
        <v>2.4</v>
      </c>
      <c r="E78" s="44">
        <v>249.2695662745098</v>
      </c>
      <c r="F78" s="42">
        <v>3</v>
      </c>
      <c r="G78" s="45">
        <v>22.119607656705629</v>
      </c>
      <c r="H78" s="46">
        <v>2.06E-2</v>
      </c>
      <c r="I78" s="47">
        <v>2035</v>
      </c>
      <c r="J78" s="8">
        <f t="shared" si="9"/>
        <v>2037</v>
      </c>
      <c r="K78" s="8">
        <f t="shared" si="10"/>
        <v>2038</v>
      </c>
      <c r="L78" s="8">
        <f t="shared" si="11"/>
        <v>2077</v>
      </c>
      <c r="M78" s="8">
        <f t="shared" si="12"/>
        <v>40</v>
      </c>
      <c r="N78" s="8">
        <f t="shared" si="13"/>
        <v>0</v>
      </c>
      <c r="O78" s="48">
        <f t="shared" si="14"/>
        <v>928.0527363678184</v>
      </c>
      <c r="P78" s="44">
        <v>928.05273636781942</v>
      </c>
      <c r="Q78" s="49">
        <f t="shared" si="15"/>
        <v>-1.0231815394945443E-12</v>
      </c>
      <c r="R78" s="48">
        <f t="shared" si="16"/>
        <v>204.18649858196977</v>
      </c>
      <c r="S78" s="50">
        <f t="shared" si="17"/>
        <v>4.5451229283666654</v>
      </c>
      <c r="T78" s="45">
        <v>46.741379999999999</v>
      </c>
      <c r="U78" s="45">
        <v>136.11642156862749</v>
      </c>
      <c r="V78" s="45">
        <v>66.411764705882362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</row>
    <row r="79" spans="1:35" x14ac:dyDescent="0.3">
      <c r="A79" s="15" t="s">
        <v>201</v>
      </c>
      <c r="B79" s="15" t="s">
        <v>277</v>
      </c>
      <c r="C79" s="42">
        <v>5</v>
      </c>
      <c r="D79" s="43">
        <v>2.66</v>
      </c>
      <c r="E79" s="44">
        <v>178.82622585498581</v>
      </c>
      <c r="F79" s="42">
        <v>5</v>
      </c>
      <c r="G79" s="45">
        <v>17.940904867152849</v>
      </c>
      <c r="H79" s="46">
        <v>0.01</v>
      </c>
      <c r="I79" s="47">
        <v>2026</v>
      </c>
      <c r="J79" s="8">
        <f t="shared" si="9"/>
        <v>2030</v>
      </c>
      <c r="K79" s="8">
        <f t="shared" si="10"/>
        <v>2031</v>
      </c>
      <c r="L79" s="8">
        <f t="shared" si="11"/>
        <v>2070</v>
      </c>
      <c r="M79" s="8">
        <f t="shared" si="12"/>
        <v>40</v>
      </c>
      <c r="N79" s="8">
        <f t="shared" si="13"/>
        <v>0</v>
      </c>
      <c r="O79" s="48">
        <f t="shared" si="14"/>
        <v>573.80191621733184</v>
      </c>
      <c r="P79" s="44">
        <v>573.80191621733195</v>
      </c>
      <c r="Q79" s="49">
        <f t="shared" si="15"/>
        <v>0</v>
      </c>
      <c r="R79" s="48">
        <f t="shared" si="16"/>
        <v>172.08135336064419</v>
      </c>
      <c r="S79" s="50">
        <f t="shared" si="17"/>
        <v>3.3344804943204442</v>
      </c>
      <c r="T79" s="45">
        <v>37.162975645512972</v>
      </c>
      <c r="U79" s="45">
        <v>36.434289848542129</v>
      </c>
      <c r="V79" s="45">
        <v>35.773170291305803</v>
      </c>
      <c r="W79" s="45">
        <v>35.071735579711579</v>
      </c>
      <c r="X79" s="45">
        <v>34.384054489913296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</row>
    <row r="80" spans="1:35" x14ac:dyDescent="0.3">
      <c r="A80" s="15" t="s">
        <v>202</v>
      </c>
      <c r="B80" s="15" t="s">
        <v>277</v>
      </c>
      <c r="C80" s="42">
        <v>5</v>
      </c>
      <c r="D80" s="43">
        <v>1.72</v>
      </c>
      <c r="E80" s="44">
        <v>136.4086954109938</v>
      </c>
      <c r="F80" s="42">
        <v>6</v>
      </c>
      <c r="G80" s="45">
        <v>8.8130526433135081</v>
      </c>
      <c r="H80" s="46">
        <v>1.6500000000000001E-2</v>
      </c>
      <c r="I80" s="47">
        <v>2029</v>
      </c>
      <c r="J80" s="8">
        <f t="shared" si="9"/>
        <v>2034</v>
      </c>
      <c r="K80" s="8">
        <f t="shared" si="10"/>
        <v>2035</v>
      </c>
      <c r="L80" s="8">
        <f t="shared" si="11"/>
        <v>2074</v>
      </c>
      <c r="M80" s="8">
        <f t="shared" si="12"/>
        <v>40</v>
      </c>
      <c r="N80" s="8">
        <f t="shared" si="13"/>
        <v>0</v>
      </c>
      <c r="O80" s="48">
        <f t="shared" si="14"/>
        <v>326.47839217255375</v>
      </c>
      <c r="P80" s="44">
        <v>326.47839217255319</v>
      </c>
      <c r="Q80" s="49">
        <f t="shared" si="15"/>
        <v>5.6843418860808015E-13</v>
      </c>
      <c r="R80" s="48">
        <f t="shared" si="16"/>
        <v>120.94692843289457</v>
      </c>
      <c r="S80" s="50">
        <f t="shared" si="17"/>
        <v>2.6993524879277522</v>
      </c>
      <c r="T80" s="45">
        <v>7.2783009999999999</v>
      </c>
      <c r="U80" s="45">
        <v>7.1216107843137264</v>
      </c>
      <c r="V80" s="45">
        <v>10.686274509803919</v>
      </c>
      <c r="W80" s="45">
        <v>57.622068435217223</v>
      </c>
      <c r="X80" s="45">
        <v>48.665483109814467</v>
      </c>
      <c r="Y80" s="45">
        <v>5.0349575718445028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</row>
    <row r="81" spans="1:35" x14ac:dyDescent="0.3">
      <c r="A81" s="15" t="s">
        <v>203</v>
      </c>
      <c r="B81" s="15" t="s">
        <v>277</v>
      </c>
      <c r="C81" s="42">
        <v>5</v>
      </c>
      <c r="D81" s="43">
        <v>4.1900000000000004</v>
      </c>
      <c r="E81" s="44">
        <v>147.0530824718623</v>
      </c>
      <c r="F81" s="42">
        <v>6</v>
      </c>
      <c r="G81" s="45">
        <v>23.08118337197028</v>
      </c>
      <c r="H81" s="46">
        <v>1.04E-2</v>
      </c>
      <c r="I81" s="47">
        <v>2026</v>
      </c>
      <c r="J81" s="8">
        <f t="shared" si="9"/>
        <v>2031</v>
      </c>
      <c r="K81" s="8">
        <f t="shared" si="10"/>
        <v>2032</v>
      </c>
      <c r="L81" s="8">
        <f t="shared" si="11"/>
        <v>2071</v>
      </c>
      <c r="M81" s="8">
        <f t="shared" si="12"/>
        <v>40</v>
      </c>
      <c r="N81" s="8">
        <f t="shared" si="13"/>
        <v>0</v>
      </c>
      <c r="O81" s="48">
        <f t="shared" si="14"/>
        <v>739.29467029423654</v>
      </c>
      <c r="P81" s="44">
        <v>739.29467029423745</v>
      </c>
      <c r="Q81" s="49">
        <f t="shared" si="15"/>
        <v>-9.0949470177292824E-13</v>
      </c>
      <c r="R81" s="48">
        <f t="shared" si="16"/>
        <v>137.98805392350451</v>
      </c>
      <c r="S81" s="50">
        <f t="shared" si="17"/>
        <v>5.357671546727329</v>
      </c>
      <c r="T81" s="45">
        <v>4.5780000000000003</v>
      </c>
      <c r="U81" s="45">
        <v>11.73725490196078</v>
      </c>
      <c r="V81" s="45">
        <v>31.534986543637061</v>
      </c>
      <c r="W81" s="45">
        <v>31.738358549878999</v>
      </c>
      <c r="X81" s="45">
        <v>32.022330156931027</v>
      </c>
      <c r="Y81" s="45">
        <v>35.442152319454443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</row>
    <row r="82" spans="1:35" x14ac:dyDescent="0.3">
      <c r="A82" s="15" t="s">
        <v>204</v>
      </c>
      <c r="B82" s="15" t="s">
        <v>277</v>
      </c>
      <c r="C82" s="42">
        <v>5</v>
      </c>
      <c r="D82" s="43">
        <v>1.87</v>
      </c>
      <c r="E82" s="44">
        <v>128.03975833972339</v>
      </c>
      <c r="F82" s="42">
        <v>3</v>
      </c>
      <c r="G82" s="45">
        <v>8.8692900090621567</v>
      </c>
      <c r="H82" s="46">
        <v>2.86E-2</v>
      </c>
      <c r="I82" s="47">
        <v>2042</v>
      </c>
      <c r="J82" s="8">
        <f t="shared" si="9"/>
        <v>2044</v>
      </c>
      <c r="K82" s="8">
        <f t="shared" si="10"/>
        <v>2045</v>
      </c>
      <c r="L82" s="8">
        <f t="shared" si="11"/>
        <v>2084</v>
      </c>
      <c r="M82" s="8">
        <f t="shared" si="12"/>
        <v>40</v>
      </c>
      <c r="N82" s="8">
        <f t="shared" si="13"/>
        <v>0</v>
      </c>
      <c r="O82" s="48">
        <f t="shared" si="14"/>
        <v>520.52194181059986</v>
      </c>
      <c r="P82" s="44">
        <v>520.52194181060042</v>
      </c>
      <c r="Q82" s="49">
        <f t="shared" si="15"/>
        <v>0</v>
      </c>
      <c r="R82" s="48">
        <f t="shared" si="16"/>
        <v>91.475942109477614</v>
      </c>
      <c r="S82" s="50">
        <f t="shared" si="17"/>
        <v>5.6902605188547142</v>
      </c>
      <c r="T82" s="45">
        <v>43.475078871835947</v>
      </c>
      <c r="U82" s="45">
        <v>42.70097676101247</v>
      </c>
      <c r="V82" s="45">
        <v>41.863702706874967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</row>
    <row r="83" spans="1:35" x14ac:dyDescent="0.3">
      <c r="A83" s="15" t="s">
        <v>205</v>
      </c>
      <c r="B83" s="15" t="s">
        <v>277</v>
      </c>
      <c r="C83" s="42">
        <v>5</v>
      </c>
      <c r="D83" s="43">
        <v>3.05</v>
      </c>
      <c r="E83" s="44">
        <v>94.762110726643598</v>
      </c>
      <c r="F83" s="42">
        <v>2</v>
      </c>
      <c r="G83" s="45">
        <v>10.557342149920469</v>
      </c>
      <c r="H83" s="46">
        <v>2.76E-2</v>
      </c>
      <c r="I83" s="47">
        <v>2042</v>
      </c>
      <c r="J83" s="8">
        <f t="shared" si="9"/>
        <v>2043</v>
      </c>
      <c r="K83" s="8">
        <f t="shared" si="10"/>
        <v>2044</v>
      </c>
      <c r="L83" s="8">
        <f t="shared" si="11"/>
        <v>2083</v>
      </c>
      <c r="M83" s="8">
        <f t="shared" si="12"/>
        <v>40</v>
      </c>
      <c r="N83" s="8">
        <f t="shared" si="13"/>
        <v>0</v>
      </c>
      <c r="O83" s="48">
        <f t="shared" si="14"/>
        <v>589.33159859902514</v>
      </c>
      <c r="P83" s="44">
        <v>589.33159859902491</v>
      </c>
      <c r="Q83" s="49">
        <f t="shared" si="15"/>
        <v>0</v>
      </c>
      <c r="R83" s="48">
        <f t="shared" si="16"/>
        <v>68.01897999454637</v>
      </c>
      <c r="S83" s="50">
        <f t="shared" si="17"/>
        <v>8.6642228190760378</v>
      </c>
      <c r="T83" s="45">
        <v>24.044117647058819</v>
      </c>
      <c r="U83" s="45">
        <v>70.717993079584772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</row>
    <row r="84" spans="1:35" x14ac:dyDescent="0.3">
      <c r="A84" s="15" t="s">
        <v>206</v>
      </c>
      <c r="B84" s="15" t="s">
        <v>277</v>
      </c>
      <c r="C84" s="42">
        <v>5</v>
      </c>
      <c r="D84" s="43">
        <v>2.92</v>
      </c>
      <c r="E84" s="44">
        <v>104.79906144695479</v>
      </c>
      <c r="F84" s="42">
        <v>4</v>
      </c>
      <c r="G84" s="45">
        <v>11.35574368993499</v>
      </c>
      <c r="H84" s="46">
        <v>2.6599999999999999E-2</v>
      </c>
      <c r="I84" s="47">
        <v>2041</v>
      </c>
      <c r="J84" s="8">
        <f t="shared" si="9"/>
        <v>2044</v>
      </c>
      <c r="K84" s="8">
        <f t="shared" si="10"/>
        <v>2045</v>
      </c>
      <c r="L84" s="8">
        <f t="shared" si="11"/>
        <v>2084</v>
      </c>
      <c r="M84" s="8">
        <f t="shared" si="12"/>
        <v>40</v>
      </c>
      <c r="N84" s="8">
        <f t="shared" si="13"/>
        <v>0</v>
      </c>
      <c r="O84" s="48">
        <f t="shared" si="14"/>
        <v>616.50865772134159</v>
      </c>
      <c r="P84" s="44">
        <v>616.50865772134193</v>
      </c>
      <c r="Q84" s="49">
        <f t="shared" si="15"/>
        <v>0</v>
      </c>
      <c r="R84" s="48">
        <f t="shared" si="16"/>
        <v>75.097110495557033</v>
      </c>
      <c r="S84" s="50">
        <f t="shared" si="17"/>
        <v>8.209485739904947</v>
      </c>
      <c r="T84" s="45">
        <v>5.3</v>
      </c>
      <c r="U84" s="45">
        <v>37.254901960784309</v>
      </c>
      <c r="V84" s="45">
        <v>31.43021914648212</v>
      </c>
      <c r="W84" s="45">
        <v>30.813940339688351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</row>
    <row r="85" spans="1:35" x14ac:dyDescent="0.3">
      <c r="A85" s="15" t="s">
        <v>207</v>
      </c>
      <c r="B85" s="15" t="s">
        <v>277</v>
      </c>
      <c r="C85" s="42">
        <v>5</v>
      </c>
      <c r="D85" s="43">
        <v>1</v>
      </c>
      <c r="E85" s="44">
        <v>74.022864350519669</v>
      </c>
      <c r="F85" s="42">
        <v>5</v>
      </c>
      <c r="G85" s="45">
        <v>2.7107279630580252</v>
      </c>
      <c r="H85" s="46">
        <v>1.6199999999999999E-2</v>
      </c>
      <c r="I85" s="47">
        <v>2029</v>
      </c>
      <c r="J85" s="8">
        <f t="shared" si="9"/>
        <v>2033</v>
      </c>
      <c r="K85" s="8">
        <f t="shared" si="10"/>
        <v>2034</v>
      </c>
      <c r="L85" s="8">
        <f t="shared" si="11"/>
        <v>2073</v>
      </c>
      <c r="M85" s="8">
        <f t="shared" si="12"/>
        <v>40</v>
      </c>
      <c r="N85" s="8">
        <f t="shared" si="13"/>
        <v>0</v>
      </c>
      <c r="O85" s="48">
        <f t="shared" si="14"/>
        <v>99.738214315228447</v>
      </c>
      <c r="P85" s="44">
        <v>99.73821431522849</v>
      </c>
      <c r="Q85" s="49">
        <f t="shared" si="15"/>
        <v>0</v>
      </c>
      <c r="R85" s="48">
        <f t="shared" si="16"/>
        <v>65.171321413138259</v>
      </c>
      <c r="S85" s="50">
        <f t="shared" si="17"/>
        <v>1.5304003686370191</v>
      </c>
      <c r="T85" s="45">
        <v>0.32700000000000001</v>
      </c>
      <c r="U85" s="45">
        <v>0.64117647058823535</v>
      </c>
      <c r="V85" s="45">
        <v>2.17128027681661</v>
      </c>
      <c r="W85" s="45">
        <v>34.228916480086838</v>
      </c>
      <c r="X85" s="45">
        <v>36.654491123027981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</row>
    <row r="86" spans="1:35" x14ac:dyDescent="0.3">
      <c r="A86" s="15" t="s">
        <v>208</v>
      </c>
      <c r="B86" s="15" t="s">
        <v>277</v>
      </c>
      <c r="C86" s="42">
        <v>5</v>
      </c>
      <c r="D86" s="43">
        <v>1.53</v>
      </c>
      <c r="E86" s="44">
        <v>70.521533933192913</v>
      </c>
      <c r="F86" s="42">
        <v>8</v>
      </c>
      <c r="G86" s="45">
        <v>4.0241551917247209</v>
      </c>
      <c r="H86" s="46">
        <v>1.12E-2</v>
      </c>
      <c r="I86" s="47">
        <v>2026</v>
      </c>
      <c r="J86" s="8">
        <f t="shared" si="9"/>
        <v>2033</v>
      </c>
      <c r="K86" s="8">
        <f t="shared" si="10"/>
        <v>2034</v>
      </c>
      <c r="L86" s="8">
        <f t="shared" si="11"/>
        <v>2073</v>
      </c>
      <c r="M86" s="8">
        <f t="shared" si="12"/>
        <v>40</v>
      </c>
      <c r="N86" s="8">
        <f t="shared" si="13"/>
        <v>0</v>
      </c>
      <c r="O86" s="48">
        <f t="shared" si="14"/>
        <v>129.64437600047279</v>
      </c>
      <c r="P86" s="44">
        <v>129.6443760004729</v>
      </c>
      <c r="Q86" s="49">
        <f t="shared" si="15"/>
        <v>0</v>
      </c>
      <c r="R86" s="48">
        <f t="shared" si="16"/>
        <v>63.530478679652518</v>
      </c>
      <c r="S86" s="50">
        <f t="shared" si="17"/>
        <v>2.0406642401388857</v>
      </c>
      <c r="T86" s="45">
        <v>0.54500000000000004</v>
      </c>
      <c r="U86" s="45">
        <v>1.816666666666666</v>
      </c>
      <c r="V86" s="45">
        <v>4.7145328719723194</v>
      </c>
      <c r="W86" s="45">
        <v>4.7248041854188809</v>
      </c>
      <c r="X86" s="45">
        <v>5.9412499347765131</v>
      </c>
      <c r="Y86" s="45">
        <v>12.143132967389681</v>
      </c>
      <c r="Z86" s="45">
        <v>20.519242699558529</v>
      </c>
      <c r="AA86" s="45">
        <v>20.116904607410319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</row>
    <row r="87" spans="1:35" x14ac:dyDescent="0.3">
      <c r="A87" s="15" t="s">
        <v>209</v>
      </c>
      <c r="B87" s="15" t="s">
        <v>277</v>
      </c>
      <c r="C87" s="42">
        <v>5</v>
      </c>
      <c r="D87" s="43">
        <v>1.1599999999999999</v>
      </c>
      <c r="E87" s="44">
        <v>60.444938437638022</v>
      </c>
      <c r="F87" s="42">
        <v>7</v>
      </c>
      <c r="G87" s="45">
        <v>2.610699194211024</v>
      </c>
      <c r="H87" s="46">
        <v>2.76E-2</v>
      </c>
      <c r="I87" s="47">
        <v>2033</v>
      </c>
      <c r="J87" s="8">
        <f t="shared" si="9"/>
        <v>2039</v>
      </c>
      <c r="K87" s="8">
        <f t="shared" si="10"/>
        <v>2040</v>
      </c>
      <c r="L87" s="8">
        <f t="shared" si="11"/>
        <v>2079</v>
      </c>
      <c r="M87" s="8">
        <f t="shared" si="12"/>
        <v>40</v>
      </c>
      <c r="N87" s="8">
        <f t="shared" si="13"/>
        <v>0</v>
      </c>
      <c r="O87" s="48">
        <f t="shared" si="14"/>
        <v>139.57762909392704</v>
      </c>
      <c r="P87" s="44">
        <v>139.5776290939269</v>
      </c>
      <c r="Q87" s="49">
        <f t="shared" si="15"/>
        <v>0</v>
      </c>
      <c r="R87" s="48">
        <f t="shared" si="16"/>
        <v>48.191525800895299</v>
      </c>
      <c r="S87" s="50">
        <f t="shared" si="17"/>
        <v>2.8963106432984942</v>
      </c>
      <c r="T87" s="45">
        <v>0.64117647058823535</v>
      </c>
      <c r="U87" s="45">
        <v>3.5620915032679741</v>
      </c>
      <c r="V87" s="45">
        <v>3.594959706296974</v>
      </c>
      <c r="W87" s="45">
        <v>1.8125847258640211</v>
      </c>
      <c r="X87" s="45">
        <v>17.281343851554791</v>
      </c>
      <c r="Y87" s="45">
        <v>16.94249397211254</v>
      </c>
      <c r="Z87" s="45">
        <v>16.61028820795347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</row>
    <row r="88" spans="1:35" x14ac:dyDescent="0.3">
      <c r="A88" s="15" t="s">
        <v>210</v>
      </c>
      <c r="B88" s="15" t="s">
        <v>277</v>
      </c>
      <c r="C88" s="42">
        <v>4</v>
      </c>
      <c r="D88" s="43">
        <v>1.18</v>
      </c>
      <c r="E88" s="44">
        <v>41.607442045278972</v>
      </c>
      <c r="F88" s="42">
        <v>6</v>
      </c>
      <c r="G88" s="45">
        <v>1.8709632301200541</v>
      </c>
      <c r="H88" s="46">
        <v>2.8899999999999999E-2</v>
      </c>
      <c r="I88" s="47">
        <v>2034</v>
      </c>
      <c r="J88" s="8">
        <f t="shared" ref="J88:J119" si="18">I88+F88-1</f>
        <v>2039</v>
      </c>
      <c r="K88" s="8">
        <f t="shared" ref="K88:K123" si="19">I88+F88</f>
        <v>2040</v>
      </c>
      <c r="L88" s="8">
        <f t="shared" ref="L88:L119" si="20">K88+$B$9-1</f>
        <v>2079</v>
      </c>
      <c r="M88" s="8">
        <f t="shared" ref="M88:M119" si="21">MAX(0,MIN(L88,2085)-K88+1)</f>
        <v>40</v>
      </c>
      <c r="N88" s="8">
        <f t="shared" ref="N88:N119" si="22">$B$9-M88</f>
        <v>0</v>
      </c>
      <c r="O88" s="48">
        <f t="shared" ref="O88:O119" si="23">SUMPRODUCT(C299:BJ299,$C$129:$BJ$129)</f>
        <v>104.55393033980459</v>
      </c>
      <c r="P88" s="44">
        <v>104.5539303398045</v>
      </c>
      <c r="Q88" s="49">
        <f t="shared" ref="Q88:Q119" si="24">O88-P88</f>
        <v>0</v>
      </c>
      <c r="R88" s="48">
        <f t="shared" ref="R88:R119" si="25">SUMPRODUCT(C196:BJ196,$C$129:$BJ$129)</f>
        <v>33.898408770285542</v>
      </c>
      <c r="S88" s="50">
        <f t="shared" ref="S88:S119" si="26">IF(R88=0,0,O88/R88)</f>
        <v>3.0843315109071971</v>
      </c>
      <c r="T88" s="45">
        <v>7.4971164936562857</v>
      </c>
      <c r="U88" s="45">
        <v>7.5385786763763551</v>
      </c>
      <c r="V88" s="45">
        <v>7.4831479508147654</v>
      </c>
      <c r="W88" s="45">
        <v>6.3401156688094114</v>
      </c>
      <c r="X88" s="45">
        <v>6.3933939517405829</v>
      </c>
      <c r="Y88" s="45">
        <v>6.355089303881571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</row>
    <row r="89" spans="1:35" x14ac:dyDescent="0.3">
      <c r="A89" s="15" t="s">
        <v>211</v>
      </c>
      <c r="B89" s="15" t="s">
        <v>277</v>
      </c>
      <c r="C89" s="42">
        <v>5</v>
      </c>
      <c r="D89" s="43">
        <v>2.92</v>
      </c>
      <c r="E89" s="44">
        <v>46.943104959630922</v>
      </c>
      <c r="F89" s="42">
        <v>3</v>
      </c>
      <c r="G89" s="45">
        <v>5.0433154943691987</v>
      </c>
      <c r="H89" s="46">
        <v>1.17E-2</v>
      </c>
      <c r="I89" s="47">
        <v>2026</v>
      </c>
      <c r="J89" s="8">
        <f t="shared" si="18"/>
        <v>2028</v>
      </c>
      <c r="K89" s="8">
        <f t="shared" si="19"/>
        <v>2029</v>
      </c>
      <c r="L89" s="8">
        <f t="shared" si="20"/>
        <v>2068</v>
      </c>
      <c r="M89" s="8">
        <f t="shared" si="21"/>
        <v>40</v>
      </c>
      <c r="N89" s="8">
        <f t="shared" si="22"/>
        <v>0</v>
      </c>
      <c r="O89" s="48">
        <f t="shared" si="23"/>
        <v>170.04630233112465</v>
      </c>
      <c r="P89" s="44">
        <v>170.04630233112471</v>
      </c>
      <c r="Q89" s="49">
        <f t="shared" si="24"/>
        <v>0</v>
      </c>
      <c r="R89" s="48">
        <f t="shared" si="25"/>
        <v>45.729418160081273</v>
      </c>
      <c r="S89" s="50">
        <f t="shared" si="26"/>
        <v>3.7185319466750553</v>
      </c>
      <c r="T89" s="45">
        <v>4.766</v>
      </c>
      <c r="U89" s="45">
        <v>22.06176470588235</v>
      </c>
      <c r="V89" s="45">
        <v>20.11534025374856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</row>
    <row r="90" spans="1:35" x14ac:dyDescent="0.3">
      <c r="A90" s="15" t="s">
        <v>212</v>
      </c>
      <c r="B90" s="15" t="s">
        <v>277</v>
      </c>
      <c r="C90" s="42">
        <v>4</v>
      </c>
      <c r="D90" s="43">
        <v>1</v>
      </c>
      <c r="E90" s="44">
        <v>37.825933487120338</v>
      </c>
      <c r="F90" s="42">
        <v>3</v>
      </c>
      <c r="G90" s="45">
        <v>1.3889306744452981</v>
      </c>
      <c r="H90" s="46">
        <v>1.9699999999999999E-2</v>
      </c>
      <c r="I90" s="47">
        <v>2033</v>
      </c>
      <c r="J90" s="8">
        <f t="shared" si="18"/>
        <v>2035</v>
      </c>
      <c r="K90" s="8">
        <f t="shared" si="19"/>
        <v>2036</v>
      </c>
      <c r="L90" s="8">
        <f t="shared" si="20"/>
        <v>2075</v>
      </c>
      <c r="M90" s="8">
        <f t="shared" si="21"/>
        <v>40</v>
      </c>
      <c r="N90" s="8">
        <f t="shared" si="22"/>
        <v>0</v>
      </c>
      <c r="O90" s="48">
        <f t="shared" si="23"/>
        <v>56.399891496559476</v>
      </c>
      <c r="P90" s="44">
        <v>56.39989149655954</v>
      </c>
      <c r="Q90" s="49">
        <f t="shared" si="24"/>
        <v>-6.3948846218409017E-14</v>
      </c>
      <c r="R90" s="48">
        <f t="shared" si="25"/>
        <v>32.014133896552686</v>
      </c>
      <c r="S90" s="50">
        <f t="shared" si="26"/>
        <v>1.7617184859288877</v>
      </c>
      <c r="T90" s="45">
        <v>1.853</v>
      </c>
      <c r="U90" s="45">
        <v>17.952941176470588</v>
      </c>
      <c r="V90" s="45">
        <v>18.019992310649751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</row>
    <row r="91" spans="1:35" x14ac:dyDescent="0.3">
      <c r="A91" s="15" t="s">
        <v>213</v>
      </c>
      <c r="B91" s="15" t="s">
        <v>277</v>
      </c>
      <c r="C91" s="42">
        <v>4</v>
      </c>
      <c r="D91" s="43">
        <v>2.5299999999999998</v>
      </c>
      <c r="E91" s="44">
        <v>27.53500125861034</v>
      </c>
      <c r="F91" s="42">
        <v>5</v>
      </c>
      <c r="G91" s="45">
        <v>2.540766236271681</v>
      </c>
      <c r="H91" s="46">
        <v>1.14E-2</v>
      </c>
      <c r="I91" s="47">
        <v>2026</v>
      </c>
      <c r="J91" s="8">
        <f t="shared" si="18"/>
        <v>2030</v>
      </c>
      <c r="K91" s="8">
        <f t="shared" si="19"/>
        <v>2031</v>
      </c>
      <c r="L91" s="8">
        <f t="shared" si="20"/>
        <v>2070</v>
      </c>
      <c r="M91" s="8">
        <f t="shared" si="21"/>
        <v>40</v>
      </c>
      <c r="N91" s="8">
        <f t="shared" si="22"/>
        <v>0</v>
      </c>
      <c r="O91" s="48">
        <f t="shared" si="23"/>
        <v>83.945860100196768</v>
      </c>
      <c r="P91" s="44">
        <v>83.945860100196782</v>
      </c>
      <c r="Q91" s="49">
        <f t="shared" si="24"/>
        <v>0</v>
      </c>
      <c r="R91" s="48">
        <f t="shared" si="25"/>
        <v>25.622133791853503</v>
      </c>
      <c r="S91" s="50">
        <f t="shared" si="26"/>
        <v>3.2763024649760886</v>
      </c>
      <c r="T91" s="45">
        <v>2.4167796344853612</v>
      </c>
      <c r="U91" s="45">
        <v>0</v>
      </c>
      <c r="V91" s="45">
        <v>0</v>
      </c>
      <c r="W91" s="45">
        <v>0</v>
      </c>
      <c r="X91" s="45">
        <v>25.118221624124981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</row>
    <row r="92" spans="1:35" x14ac:dyDescent="0.3">
      <c r="A92" s="15" t="s">
        <v>214</v>
      </c>
      <c r="B92" s="15" t="s">
        <v>277</v>
      </c>
      <c r="C92" s="42">
        <v>4</v>
      </c>
      <c r="D92" s="43">
        <v>1</v>
      </c>
      <c r="E92" s="44">
        <v>27.53500125861034</v>
      </c>
      <c r="F92" s="42">
        <v>5</v>
      </c>
      <c r="G92" s="45">
        <v>1.0042554293563959</v>
      </c>
      <c r="H92" s="46">
        <v>2.52E-2</v>
      </c>
      <c r="I92" s="47">
        <v>2031</v>
      </c>
      <c r="J92" s="8">
        <f t="shared" si="18"/>
        <v>2035</v>
      </c>
      <c r="K92" s="8">
        <f t="shared" si="19"/>
        <v>2036</v>
      </c>
      <c r="L92" s="8">
        <f t="shared" si="20"/>
        <v>2075</v>
      </c>
      <c r="M92" s="8">
        <f t="shared" si="21"/>
        <v>40</v>
      </c>
      <c r="N92" s="8">
        <f t="shared" si="22"/>
        <v>0</v>
      </c>
      <c r="O92" s="48">
        <f t="shared" si="23"/>
        <v>47.957673330781226</v>
      </c>
      <c r="P92" s="44">
        <v>47.957673330781283</v>
      </c>
      <c r="Q92" s="49">
        <f t="shared" si="24"/>
        <v>-5.6843418860808015E-14</v>
      </c>
      <c r="R92" s="48">
        <f t="shared" si="25"/>
        <v>23.206755988865922</v>
      </c>
      <c r="S92" s="50">
        <f t="shared" si="26"/>
        <v>2.0665393023389496</v>
      </c>
      <c r="T92" s="45">
        <v>2.4167796344853612</v>
      </c>
      <c r="U92" s="45">
        <v>0</v>
      </c>
      <c r="V92" s="45">
        <v>0</v>
      </c>
      <c r="W92" s="45">
        <v>0</v>
      </c>
      <c r="X92" s="45">
        <v>25.118221624124981</v>
      </c>
      <c r="Y92" s="45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0</v>
      </c>
      <c r="AH92" s="45">
        <v>0</v>
      </c>
      <c r="AI92" s="45">
        <v>0</v>
      </c>
    </row>
    <row r="93" spans="1:35" x14ac:dyDescent="0.3">
      <c r="A93" s="15" t="s">
        <v>215</v>
      </c>
      <c r="B93" s="15" t="s">
        <v>277</v>
      </c>
      <c r="C93" s="42">
        <v>4</v>
      </c>
      <c r="D93" s="43">
        <v>1</v>
      </c>
      <c r="E93" s="44">
        <v>30.37038674654859</v>
      </c>
      <c r="F93" s="42">
        <v>6</v>
      </c>
      <c r="G93" s="45">
        <v>1.1308889094869781</v>
      </c>
      <c r="H93" s="46">
        <v>2.53E-2</v>
      </c>
      <c r="I93" s="47">
        <v>2032</v>
      </c>
      <c r="J93" s="8">
        <f t="shared" si="18"/>
        <v>2037</v>
      </c>
      <c r="K93" s="8">
        <f t="shared" si="19"/>
        <v>2038</v>
      </c>
      <c r="L93" s="8">
        <f t="shared" si="20"/>
        <v>2077</v>
      </c>
      <c r="M93" s="8">
        <f t="shared" si="21"/>
        <v>40</v>
      </c>
      <c r="N93" s="8">
        <f t="shared" si="22"/>
        <v>0</v>
      </c>
      <c r="O93" s="48">
        <f t="shared" si="23"/>
        <v>55.027558820745618</v>
      </c>
      <c r="P93" s="44">
        <v>55.027558820745547</v>
      </c>
      <c r="Q93" s="49">
        <f t="shared" si="24"/>
        <v>7.1054273576010019E-14</v>
      </c>
      <c r="R93" s="48">
        <f t="shared" si="25"/>
        <v>25.154538610100602</v>
      </c>
      <c r="S93" s="50">
        <f t="shared" si="26"/>
        <v>2.1875797315817094</v>
      </c>
      <c r="T93" s="45">
        <v>0.54500000000000004</v>
      </c>
      <c r="U93" s="45">
        <v>0.21372549019607839</v>
      </c>
      <c r="V93" s="45">
        <v>2.9248366013071889</v>
      </c>
      <c r="W93" s="45">
        <v>10.67368508341437</v>
      </c>
      <c r="X93" s="45">
        <v>11.07690665805791</v>
      </c>
      <c r="Y93" s="45">
        <v>4.9362329135730416</v>
      </c>
      <c r="Z93" s="45">
        <v>0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0</v>
      </c>
      <c r="AH93" s="45">
        <v>0</v>
      </c>
      <c r="AI93" s="45">
        <v>0</v>
      </c>
    </row>
    <row r="94" spans="1:35" x14ac:dyDescent="0.3">
      <c r="A94" s="15" t="s">
        <v>216</v>
      </c>
      <c r="B94" s="15" t="s">
        <v>277</v>
      </c>
      <c r="C94" s="42">
        <v>4</v>
      </c>
      <c r="D94" s="43">
        <v>1</v>
      </c>
      <c r="E94" s="44">
        <v>22.667925192798538</v>
      </c>
      <c r="F94" s="42">
        <v>4</v>
      </c>
      <c r="G94" s="45">
        <v>0.85314524515548984</v>
      </c>
      <c r="H94" s="46">
        <v>1.26E-2</v>
      </c>
      <c r="I94" s="47">
        <v>2026</v>
      </c>
      <c r="J94" s="8">
        <f t="shared" si="18"/>
        <v>2029</v>
      </c>
      <c r="K94" s="8">
        <f t="shared" si="19"/>
        <v>2030</v>
      </c>
      <c r="L94" s="8">
        <f t="shared" si="20"/>
        <v>2069</v>
      </c>
      <c r="M94" s="8">
        <f t="shared" si="21"/>
        <v>40</v>
      </c>
      <c r="N94" s="8">
        <f t="shared" si="22"/>
        <v>0</v>
      </c>
      <c r="O94" s="48">
        <f t="shared" si="23"/>
        <v>29.154125449184836</v>
      </c>
      <c r="P94" s="44">
        <v>29.15412544918486</v>
      </c>
      <c r="Q94" s="49">
        <f t="shared" si="24"/>
        <v>0</v>
      </c>
      <c r="R94" s="48">
        <f t="shared" si="25"/>
        <v>22.172570682735341</v>
      </c>
      <c r="S94" s="50">
        <f t="shared" si="26"/>
        <v>1.3148734924040937</v>
      </c>
      <c r="T94" s="45">
        <v>9.8724658271460832</v>
      </c>
      <c r="U94" s="45">
        <v>4.2622626344937213</v>
      </c>
      <c r="V94" s="45">
        <v>4.2657448752081777</v>
      </c>
      <c r="W94" s="45">
        <v>4.267451855950557</v>
      </c>
      <c r="X94" s="45">
        <v>0</v>
      </c>
      <c r="Y94" s="45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0</v>
      </c>
      <c r="AH94" s="45">
        <v>0</v>
      </c>
      <c r="AI94" s="45">
        <v>0</v>
      </c>
    </row>
    <row r="95" spans="1:35" x14ac:dyDescent="0.3">
      <c r="A95" s="15" t="s">
        <v>217</v>
      </c>
      <c r="B95" s="15" t="s">
        <v>277</v>
      </c>
      <c r="C95" s="42">
        <v>4</v>
      </c>
      <c r="D95" s="43">
        <v>1.7</v>
      </c>
      <c r="E95" s="44">
        <v>21.708014225297958</v>
      </c>
      <c r="F95" s="42">
        <v>3</v>
      </c>
      <c r="G95" s="45">
        <v>1.3542448334721069</v>
      </c>
      <c r="H95" s="46">
        <v>1.95E-2</v>
      </c>
      <c r="I95" s="47">
        <v>2033</v>
      </c>
      <c r="J95" s="8">
        <f t="shared" si="18"/>
        <v>2035</v>
      </c>
      <c r="K95" s="8">
        <f t="shared" si="19"/>
        <v>2036</v>
      </c>
      <c r="L95" s="8">
        <f t="shared" si="20"/>
        <v>2075</v>
      </c>
      <c r="M95" s="8">
        <f t="shared" si="21"/>
        <v>40</v>
      </c>
      <c r="N95" s="8">
        <f t="shared" si="22"/>
        <v>0</v>
      </c>
      <c r="O95" s="48">
        <f t="shared" si="23"/>
        <v>54.671266767641306</v>
      </c>
      <c r="P95" s="44">
        <v>54.671266767641278</v>
      </c>
      <c r="Q95" s="49">
        <f t="shared" si="24"/>
        <v>0</v>
      </c>
      <c r="R95" s="48">
        <f t="shared" si="25"/>
        <v>18.361554821473408</v>
      </c>
      <c r="S95" s="50">
        <f t="shared" si="26"/>
        <v>2.9774856922086217</v>
      </c>
      <c r="T95" s="45">
        <v>0.54500000000000004</v>
      </c>
      <c r="U95" s="45">
        <v>10.686274509803919</v>
      </c>
      <c r="V95" s="45">
        <v>10.476739715494039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</row>
    <row r="96" spans="1:35" x14ac:dyDescent="0.3">
      <c r="A96" s="15" t="s">
        <v>218</v>
      </c>
      <c r="B96" s="15" t="s">
        <v>277</v>
      </c>
      <c r="C96" s="42">
        <v>4</v>
      </c>
      <c r="D96" s="43">
        <v>2.56</v>
      </c>
      <c r="E96" s="44">
        <v>18.792150992863871</v>
      </c>
      <c r="F96" s="42">
        <v>2</v>
      </c>
      <c r="G96" s="45">
        <v>1.7660464676758429</v>
      </c>
      <c r="H96" s="46">
        <v>2.1000000000000001E-2</v>
      </c>
      <c r="I96" s="47">
        <v>2034</v>
      </c>
      <c r="J96" s="8">
        <f t="shared" si="18"/>
        <v>2035</v>
      </c>
      <c r="K96" s="8">
        <f t="shared" si="19"/>
        <v>2036</v>
      </c>
      <c r="L96" s="8">
        <f t="shared" si="20"/>
        <v>2075</v>
      </c>
      <c r="M96" s="8">
        <f t="shared" si="21"/>
        <v>40</v>
      </c>
      <c r="N96" s="8">
        <f t="shared" si="22"/>
        <v>0</v>
      </c>
      <c r="O96" s="48">
        <f t="shared" si="23"/>
        <v>74.4946225787495</v>
      </c>
      <c r="P96" s="44">
        <v>74.494622578749585</v>
      </c>
      <c r="Q96" s="49">
        <f t="shared" si="24"/>
        <v>0</v>
      </c>
      <c r="R96" s="48">
        <f t="shared" si="25"/>
        <v>15.883232487742653</v>
      </c>
      <c r="S96" s="50">
        <f t="shared" si="26"/>
        <v>4.6901424276348154</v>
      </c>
      <c r="T96" s="45">
        <v>9.4891059468916605</v>
      </c>
      <c r="U96" s="45">
        <v>9.3030450459722154</v>
      </c>
      <c r="V96" s="45">
        <v>0</v>
      </c>
      <c r="W96" s="45">
        <v>0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</row>
    <row r="97" spans="1:35" x14ac:dyDescent="0.3">
      <c r="A97" s="15" t="s">
        <v>219</v>
      </c>
      <c r="B97" s="15" t="s">
        <v>277</v>
      </c>
      <c r="C97" s="42">
        <v>3</v>
      </c>
      <c r="D97" s="43">
        <v>2.4</v>
      </c>
      <c r="E97" s="44">
        <v>13.06352362143585</v>
      </c>
      <c r="F97" s="42">
        <v>2</v>
      </c>
      <c r="G97" s="45">
        <v>1.155087062918825</v>
      </c>
      <c r="H97" s="46">
        <v>1.5299999999999999E-2</v>
      </c>
      <c r="I97" s="47">
        <v>2026</v>
      </c>
      <c r="J97" s="8">
        <f t="shared" si="18"/>
        <v>2027</v>
      </c>
      <c r="K97" s="8">
        <f t="shared" si="19"/>
        <v>2028</v>
      </c>
      <c r="L97" s="8">
        <f t="shared" si="20"/>
        <v>2067</v>
      </c>
      <c r="M97" s="8">
        <f t="shared" si="21"/>
        <v>40</v>
      </c>
      <c r="N97" s="8">
        <f t="shared" si="22"/>
        <v>0</v>
      </c>
      <c r="O97" s="48">
        <f t="shared" si="23"/>
        <v>42.216315848701768</v>
      </c>
      <c r="P97" s="44">
        <v>42.216315848701832</v>
      </c>
      <c r="Q97" s="49">
        <f t="shared" si="24"/>
        <v>-6.3948846218409017E-14</v>
      </c>
      <c r="R97" s="48">
        <f t="shared" si="25"/>
        <v>12.983195115912071</v>
      </c>
      <c r="S97" s="50">
        <f t="shared" si="26"/>
        <v>3.2516122165461323</v>
      </c>
      <c r="T97" s="45">
        <v>8.9667698397233107</v>
      </c>
      <c r="U97" s="45">
        <v>4.0967537817125352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</row>
    <row r="98" spans="1:35" x14ac:dyDescent="0.3">
      <c r="A98" s="15" t="s">
        <v>220</v>
      </c>
      <c r="B98" s="15" t="s">
        <v>277</v>
      </c>
      <c r="C98" s="42">
        <v>4</v>
      </c>
      <c r="D98" s="43">
        <v>3.2</v>
      </c>
      <c r="E98" s="44">
        <v>16.21399452876566</v>
      </c>
      <c r="F98" s="42">
        <v>4</v>
      </c>
      <c r="G98" s="45">
        <v>1.9121951881315249</v>
      </c>
      <c r="H98" s="46">
        <v>2.7400000000000001E-2</v>
      </c>
      <c r="I98" s="47">
        <v>2040</v>
      </c>
      <c r="J98" s="8">
        <f t="shared" si="18"/>
        <v>2043</v>
      </c>
      <c r="K98" s="8">
        <f t="shared" si="19"/>
        <v>2044</v>
      </c>
      <c r="L98" s="8">
        <f t="shared" si="20"/>
        <v>2083</v>
      </c>
      <c r="M98" s="8">
        <f t="shared" si="21"/>
        <v>40</v>
      </c>
      <c r="N98" s="8">
        <f t="shared" si="22"/>
        <v>0</v>
      </c>
      <c r="O98" s="48">
        <f t="shared" si="23"/>
        <v>105.93552478035025</v>
      </c>
      <c r="P98" s="44">
        <v>105.93552478035021</v>
      </c>
      <c r="Q98" s="49">
        <f t="shared" si="24"/>
        <v>0</v>
      </c>
      <c r="R98" s="48">
        <f t="shared" si="25"/>
        <v>11.76990375076852</v>
      </c>
      <c r="S98" s="50">
        <f t="shared" si="26"/>
        <v>9.0005429970855246</v>
      </c>
      <c r="T98" s="45">
        <v>1.0686274509803919</v>
      </c>
      <c r="U98" s="45">
        <v>0.94290657439446368</v>
      </c>
      <c r="V98" s="45">
        <v>8.1605114171774051</v>
      </c>
      <c r="W98" s="45">
        <v>6.0419490862134024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</row>
    <row r="99" spans="1:35" x14ac:dyDescent="0.3">
      <c r="A99" s="15" t="s">
        <v>221</v>
      </c>
      <c r="B99" s="15" t="s">
        <v>277</v>
      </c>
      <c r="C99" s="42">
        <v>3</v>
      </c>
      <c r="D99" s="43">
        <v>1.63</v>
      </c>
      <c r="E99" s="44">
        <v>13.67299115724721</v>
      </c>
      <c r="F99" s="42">
        <v>3</v>
      </c>
      <c r="G99" s="45">
        <v>0.8207903290451386</v>
      </c>
      <c r="H99" s="46">
        <v>1.8499999999999999E-2</v>
      </c>
      <c r="I99" s="47">
        <v>2033</v>
      </c>
      <c r="J99" s="8">
        <f t="shared" si="18"/>
        <v>2035</v>
      </c>
      <c r="K99" s="8">
        <f t="shared" si="19"/>
        <v>2036</v>
      </c>
      <c r="L99" s="8">
        <f t="shared" si="20"/>
        <v>2075</v>
      </c>
      <c r="M99" s="8">
        <f t="shared" si="21"/>
        <v>40</v>
      </c>
      <c r="N99" s="8">
        <f t="shared" si="22"/>
        <v>0</v>
      </c>
      <c r="O99" s="48">
        <f t="shared" si="23"/>
        <v>32.184132312385039</v>
      </c>
      <c r="P99" s="44">
        <v>32.184132312384968</v>
      </c>
      <c r="Q99" s="49">
        <f t="shared" si="24"/>
        <v>7.1054273576010019E-14</v>
      </c>
      <c r="R99" s="48">
        <f t="shared" si="25"/>
        <v>11.606621284167161</v>
      </c>
      <c r="S99" s="50">
        <f t="shared" si="26"/>
        <v>2.772911386045489</v>
      </c>
      <c r="T99" s="45">
        <v>1.95</v>
      </c>
      <c r="U99" s="45">
        <v>5.9607843137254903</v>
      </c>
      <c r="V99" s="45">
        <v>5.7622068435217226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</row>
    <row r="100" spans="1:35" x14ac:dyDescent="0.3">
      <c r="A100" s="15" t="s">
        <v>222</v>
      </c>
      <c r="B100" s="15" t="s">
        <v>277</v>
      </c>
      <c r="C100" s="42">
        <v>3</v>
      </c>
      <c r="D100" s="43">
        <v>1</v>
      </c>
      <c r="E100" s="44">
        <v>13.67299115724721</v>
      </c>
      <c r="F100" s="42">
        <v>3</v>
      </c>
      <c r="G100" s="45">
        <v>0.50355234910744695</v>
      </c>
      <c r="H100" s="46">
        <v>1.4200000000000001E-2</v>
      </c>
      <c r="I100" s="47">
        <v>2026</v>
      </c>
      <c r="J100" s="8">
        <f t="shared" si="18"/>
        <v>2028</v>
      </c>
      <c r="K100" s="8">
        <f t="shared" si="19"/>
        <v>2029</v>
      </c>
      <c r="L100" s="8">
        <f t="shared" si="20"/>
        <v>2068</v>
      </c>
      <c r="M100" s="8">
        <f t="shared" si="21"/>
        <v>40</v>
      </c>
      <c r="N100" s="8">
        <f t="shared" si="22"/>
        <v>0</v>
      </c>
      <c r="O100" s="48">
        <f t="shared" si="23"/>
        <v>17.913409092816799</v>
      </c>
      <c r="P100" s="44">
        <v>17.913409092816799</v>
      </c>
      <c r="Q100" s="49">
        <f t="shared" si="24"/>
        <v>0</v>
      </c>
      <c r="R100" s="48">
        <f t="shared" si="25"/>
        <v>13.332359518955904</v>
      </c>
      <c r="S100" s="50">
        <f t="shared" si="26"/>
        <v>1.3436038135145976</v>
      </c>
      <c r="T100" s="45">
        <v>1.95</v>
      </c>
      <c r="U100" s="45">
        <v>5.9607843137254903</v>
      </c>
      <c r="V100" s="45">
        <v>5.7622068435217226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0</v>
      </c>
    </row>
    <row r="101" spans="1:35" x14ac:dyDescent="0.3">
      <c r="A101" s="15" t="s">
        <v>223</v>
      </c>
      <c r="B101" s="15" t="s">
        <v>277</v>
      </c>
      <c r="C101" s="42">
        <v>3</v>
      </c>
      <c r="D101" s="43">
        <v>1.67</v>
      </c>
      <c r="E101" s="44">
        <v>11.881</v>
      </c>
      <c r="F101" s="42">
        <v>1</v>
      </c>
      <c r="G101" s="45">
        <v>0.72182213039097687</v>
      </c>
      <c r="H101" s="46">
        <v>2.0799999999999999E-2</v>
      </c>
      <c r="I101" s="47">
        <v>2035</v>
      </c>
      <c r="J101" s="8">
        <f t="shared" si="18"/>
        <v>2035</v>
      </c>
      <c r="K101" s="8">
        <f t="shared" si="19"/>
        <v>2036</v>
      </c>
      <c r="L101" s="8">
        <f t="shared" si="20"/>
        <v>2075</v>
      </c>
      <c r="M101" s="8">
        <f t="shared" si="21"/>
        <v>40</v>
      </c>
      <c r="N101" s="8">
        <f t="shared" si="22"/>
        <v>0</v>
      </c>
      <c r="O101" s="48">
        <f t="shared" si="23"/>
        <v>30.269542383792864</v>
      </c>
      <c r="P101" s="44">
        <v>30.269542383792832</v>
      </c>
      <c r="Q101" s="49">
        <f t="shared" si="24"/>
        <v>3.1974423109204508E-14</v>
      </c>
      <c r="R101" s="48">
        <f t="shared" si="25"/>
        <v>9.9414893138330509</v>
      </c>
      <c r="S101" s="50">
        <f t="shared" si="26"/>
        <v>3.0447693930198581</v>
      </c>
      <c r="T101" s="45">
        <v>11.881</v>
      </c>
      <c r="U101" s="45">
        <v>0</v>
      </c>
      <c r="V101" s="45">
        <v>0</v>
      </c>
      <c r="W101" s="45">
        <v>0</v>
      </c>
      <c r="X101" s="45">
        <v>0</v>
      </c>
      <c r="Y101" s="45">
        <v>0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0</v>
      </c>
      <c r="AF101" s="45">
        <v>0</v>
      </c>
      <c r="AG101" s="45">
        <v>0</v>
      </c>
      <c r="AH101" s="45">
        <v>0</v>
      </c>
      <c r="AI101" s="45">
        <v>0</v>
      </c>
    </row>
    <row r="102" spans="1:35" x14ac:dyDescent="0.3">
      <c r="A102" s="15" t="s">
        <v>224</v>
      </c>
      <c r="B102" s="15" t="s">
        <v>277</v>
      </c>
      <c r="C102" s="42">
        <v>3</v>
      </c>
      <c r="D102" s="43">
        <v>2.94</v>
      </c>
      <c r="E102" s="44">
        <v>11.06142560553633</v>
      </c>
      <c r="F102" s="42">
        <v>3</v>
      </c>
      <c r="G102" s="45">
        <v>1.2043315653866939</v>
      </c>
      <c r="H102" s="46">
        <v>2.46E-2</v>
      </c>
      <c r="I102" s="47">
        <v>2041</v>
      </c>
      <c r="J102" s="8">
        <f t="shared" si="18"/>
        <v>2043</v>
      </c>
      <c r="K102" s="8">
        <f t="shared" si="19"/>
        <v>2044</v>
      </c>
      <c r="L102" s="8">
        <f t="shared" si="20"/>
        <v>2083</v>
      </c>
      <c r="M102" s="8">
        <f t="shared" si="21"/>
        <v>40</v>
      </c>
      <c r="N102" s="8">
        <f t="shared" si="22"/>
        <v>0</v>
      </c>
      <c r="O102" s="48">
        <f t="shared" si="23"/>
        <v>60.017609479251881</v>
      </c>
      <c r="P102" s="44">
        <v>60.017609479251782</v>
      </c>
      <c r="Q102" s="49">
        <f t="shared" si="24"/>
        <v>9.9475983006414026E-14</v>
      </c>
      <c r="R102" s="48">
        <f t="shared" si="25"/>
        <v>8.0585805712277239</v>
      </c>
      <c r="S102" s="50">
        <f t="shared" si="26"/>
        <v>7.4476651252378314</v>
      </c>
      <c r="T102" s="45">
        <v>0.218</v>
      </c>
      <c r="U102" s="45">
        <v>10.686274509803919</v>
      </c>
      <c r="V102" s="45">
        <v>0.1571510957324106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0</v>
      </c>
      <c r="AH102" s="45">
        <v>0</v>
      </c>
      <c r="AI102" s="45">
        <v>0</v>
      </c>
    </row>
    <row r="103" spans="1:35" x14ac:dyDescent="0.3">
      <c r="A103" s="15" t="s">
        <v>225</v>
      </c>
      <c r="B103" s="15" t="s">
        <v>277</v>
      </c>
      <c r="C103" s="42">
        <v>3</v>
      </c>
      <c r="D103" s="43">
        <v>2.4900000000000002</v>
      </c>
      <c r="E103" s="44">
        <v>9.6976119186998293</v>
      </c>
      <c r="F103" s="42">
        <v>4</v>
      </c>
      <c r="G103" s="45">
        <v>0.87750413069423461</v>
      </c>
      <c r="H103" s="46">
        <v>1.4E-2</v>
      </c>
      <c r="I103" s="47">
        <v>2026</v>
      </c>
      <c r="J103" s="8">
        <f t="shared" si="18"/>
        <v>2029</v>
      </c>
      <c r="K103" s="8">
        <f t="shared" si="19"/>
        <v>2030</v>
      </c>
      <c r="L103" s="8">
        <f t="shared" si="20"/>
        <v>2069</v>
      </c>
      <c r="M103" s="8">
        <f t="shared" si="21"/>
        <v>40</v>
      </c>
      <c r="N103" s="8">
        <f t="shared" si="22"/>
        <v>0</v>
      </c>
      <c r="O103" s="48">
        <f t="shared" si="23"/>
        <v>30.94571259033885</v>
      </c>
      <c r="P103" s="44">
        <v>30.945712590338811</v>
      </c>
      <c r="Q103" s="49">
        <f t="shared" si="24"/>
        <v>3.907985046680551E-14</v>
      </c>
      <c r="R103" s="48">
        <f t="shared" si="25"/>
        <v>9.158891111290103</v>
      </c>
      <c r="S103" s="50">
        <f t="shared" si="26"/>
        <v>3.3787619280889016</v>
      </c>
      <c r="T103" s="45">
        <v>0.32058823529411767</v>
      </c>
      <c r="U103" s="45">
        <v>0</v>
      </c>
      <c r="V103" s="45">
        <v>0.1127017512118265</v>
      </c>
      <c r="W103" s="45">
        <v>9.2643219321938854</v>
      </c>
      <c r="X103" s="45">
        <v>0</v>
      </c>
      <c r="Y103" s="45">
        <v>0</v>
      </c>
      <c r="Z103" s="45">
        <v>0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0</v>
      </c>
      <c r="AH103" s="45">
        <v>0</v>
      </c>
      <c r="AI103" s="45">
        <v>0</v>
      </c>
    </row>
    <row r="104" spans="1:35" x14ac:dyDescent="0.3">
      <c r="A104" s="15" t="s">
        <v>226</v>
      </c>
      <c r="B104" s="15" t="s">
        <v>277</v>
      </c>
      <c r="C104" s="42">
        <v>3</v>
      </c>
      <c r="D104" s="43">
        <v>1</v>
      </c>
      <c r="E104" s="44">
        <v>12.409649055512171</v>
      </c>
      <c r="F104" s="42">
        <v>4</v>
      </c>
      <c r="G104" s="45">
        <v>0.45993344210028858</v>
      </c>
      <c r="H104" s="46">
        <v>1.6199999999999999E-2</v>
      </c>
      <c r="I104" s="47">
        <v>2030</v>
      </c>
      <c r="J104" s="8">
        <f t="shared" si="18"/>
        <v>2033</v>
      </c>
      <c r="K104" s="8">
        <f t="shared" si="19"/>
        <v>2034</v>
      </c>
      <c r="L104" s="8">
        <f t="shared" si="20"/>
        <v>2073</v>
      </c>
      <c r="M104" s="8">
        <f t="shared" si="21"/>
        <v>40</v>
      </c>
      <c r="N104" s="8">
        <f t="shared" si="22"/>
        <v>0</v>
      </c>
      <c r="O104" s="48">
        <f t="shared" si="23"/>
        <v>16.922738409792007</v>
      </c>
      <c r="P104" s="44">
        <v>16.922738409792011</v>
      </c>
      <c r="Q104" s="49">
        <f t="shared" si="24"/>
        <v>0</v>
      </c>
      <c r="R104" s="48">
        <f t="shared" si="25"/>
        <v>11.043007698306489</v>
      </c>
      <c r="S104" s="50">
        <f t="shared" si="26"/>
        <v>1.5324392477229922</v>
      </c>
      <c r="T104" s="45">
        <v>0.64117647058823535</v>
      </c>
      <c r="U104" s="45">
        <v>2.2904652056901189</v>
      </c>
      <c r="V104" s="45">
        <v>7.175784577575743</v>
      </c>
      <c r="W104" s="45">
        <v>2.3022228016580728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</row>
    <row r="105" spans="1:35" x14ac:dyDescent="0.3">
      <c r="A105" s="15" t="s">
        <v>227</v>
      </c>
      <c r="B105" s="15" t="s">
        <v>277</v>
      </c>
      <c r="C105" s="42">
        <v>3</v>
      </c>
      <c r="D105" s="43">
        <v>1.33</v>
      </c>
      <c r="E105" s="44">
        <v>8.2256236894674402</v>
      </c>
      <c r="F105" s="42">
        <v>5</v>
      </c>
      <c r="G105" s="45">
        <v>0.40923047446590599</v>
      </c>
      <c r="H105" s="46">
        <v>2.9899999999999999E-2</v>
      </c>
      <c r="I105" s="47">
        <v>2035</v>
      </c>
      <c r="J105" s="8">
        <f t="shared" si="18"/>
        <v>2039</v>
      </c>
      <c r="K105" s="8">
        <f t="shared" si="19"/>
        <v>2040</v>
      </c>
      <c r="L105" s="8">
        <f t="shared" si="20"/>
        <v>2079</v>
      </c>
      <c r="M105" s="8">
        <f t="shared" si="21"/>
        <v>40</v>
      </c>
      <c r="N105" s="8">
        <f t="shared" si="22"/>
        <v>0</v>
      </c>
      <c r="O105" s="48">
        <f t="shared" si="23"/>
        <v>23.66306779030716</v>
      </c>
      <c r="P105" s="44">
        <v>23.663067790307139</v>
      </c>
      <c r="Q105" s="49">
        <f t="shared" si="24"/>
        <v>0</v>
      </c>
      <c r="R105" s="48">
        <f t="shared" si="25"/>
        <v>6.5687976933365304</v>
      </c>
      <c r="S105" s="50">
        <f t="shared" si="26"/>
        <v>3.6023438222661763</v>
      </c>
      <c r="T105" s="45">
        <v>0.69063823529411761</v>
      </c>
      <c r="U105" s="45">
        <v>1.492351980007689</v>
      </c>
      <c r="V105" s="45">
        <v>2.5494992499114209</v>
      </c>
      <c r="W105" s="45">
        <v>1.02710547698435</v>
      </c>
      <c r="X105" s="45">
        <v>2.466028747269863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</row>
    <row r="106" spans="1:35" x14ac:dyDescent="0.3">
      <c r="A106" s="15" t="s">
        <v>228</v>
      </c>
      <c r="B106" s="15" t="s">
        <v>277</v>
      </c>
      <c r="C106" s="42">
        <v>3</v>
      </c>
      <c r="D106" s="43">
        <v>1.43</v>
      </c>
      <c r="E106" s="44">
        <v>6.308087308727413</v>
      </c>
      <c r="F106" s="42">
        <v>3</v>
      </c>
      <c r="G106" s="45">
        <v>0.32858139973606387</v>
      </c>
      <c r="H106" s="46">
        <v>2.3E-2</v>
      </c>
      <c r="I106" s="47">
        <v>2033</v>
      </c>
      <c r="J106" s="8">
        <f t="shared" si="18"/>
        <v>2035</v>
      </c>
      <c r="K106" s="8">
        <f t="shared" si="19"/>
        <v>2036</v>
      </c>
      <c r="L106" s="8">
        <f t="shared" si="20"/>
        <v>2075</v>
      </c>
      <c r="M106" s="8">
        <f t="shared" si="21"/>
        <v>40</v>
      </c>
      <c r="N106" s="8">
        <f t="shared" si="22"/>
        <v>0</v>
      </c>
      <c r="O106" s="48">
        <f t="shared" si="23"/>
        <v>14.700529010272914</v>
      </c>
      <c r="P106" s="44">
        <v>14.70052901027292</v>
      </c>
      <c r="Q106" s="49">
        <f t="shared" si="24"/>
        <v>0</v>
      </c>
      <c r="R106" s="48">
        <f t="shared" si="25"/>
        <v>5.2962457134543124</v>
      </c>
      <c r="S106" s="50">
        <f t="shared" si="26"/>
        <v>2.775650867732296</v>
      </c>
      <c r="T106" s="45">
        <v>1.09E-3</v>
      </c>
      <c r="U106" s="45">
        <v>1.0686274509803919</v>
      </c>
      <c r="V106" s="45">
        <v>5.2383698577470206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</row>
    <row r="107" spans="1:35" x14ac:dyDescent="0.3">
      <c r="A107" s="15" t="s">
        <v>229</v>
      </c>
      <c r="B107" s="15" t="s">
        <v>277</v>
      </c>
      <c r="C107" s="42">
        <v>3</v>
      </c>
      <c r="D107" s="43">
        <v>1.48</v>
      </c>
      <c r="E107" s="44">
        <v>5.6237160820498904</v>
      </c>
      <c r="F107" s="42">
        <v>4</v>
      </c>
      <c r="G107" s="45">
        <v>0.30682569203849269</v>
      </c>
      <c r="H107" s="46">
        <v>1.8800000000000001E-2</v>
      </c>
      <c r="I107" s="47">
        <v>2032</v>
      </c>
      <c r="J107" s="8">
        <f t="shared" si="18"/>
        <v>2035</v>
      </c>
      <c r="K107" s="8">
        <f t="shared" si="19"/>
        <v>2036</v>
      </c>
      <c r="L107" s="8">
        <f t="shared" si="20"/>
        <v>2075</v>
      </c>
      <c r="M107" s="8">
        <f t="shared" si="21"/>
        <v>40</v>
      </c>
      <c r="N107" s="8">
        <f t="shared" si="22"/>
        <v>0</v>
      </c>
      <c r="O107" s="48">
        <f t="shared" si="23"/>
        <v>12.136470067895125</v>
      </c>
      <c r="P107" s="44">
        <v>12.13647006789513</v>
      </c>
      <c r="Q107" s="49">
        <f t="shared" si="24"/>
        <v>0</v>
      </c>
      <c r="R107" s="48">
        <f t="shared" si="25"/>
        <v>4.7843401602560318</v>
      </c>
      <c r="S107" s="50">
        <f t="shared" si="26"/>
        <v>2.5367071866490463</v>
      </c>
      <c r="T107" s="45">
        <v>0.16200000000000001</v>
      </c>
      <c r="U107" s="45">
        <v>0.58039215686274503</v>
      </c>
      <c r="V107" s="45">
        <v>3.0324875048058439</v>
      </c>
      <c r="W107" s="45">
        <v>1.848836420381301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</row>
    <row r="108" spans="1:35" x14ac:dyDescent="0.3">
      <c r="A108" s="15" t="s">
        <v>230</v>
      </c>
      <c r="B108" s="15" t="s">
        <v>277</v>
      </c>
      <c r="C108" s="42">
        <v>3</v>
      </c>
      <c r="D108" s="43">
        <v>1</v>
      </c>
      <c r="E108" s="44">
        <v>5.2549019607843137</v>
      </c>
      <c r="F108" s="42">
        <v>2</v>
      </c>
      <c r="G108" s="45">
        <v>0.1931599037366914</v>
      </c>
      <c r="H108" s="46">
        <v>2.0400000000000001E-2</v>
      </c>
      <c r="I108" s="47">
        <v>2034</v>
      </c>
      <c r="J108" s="8">
        <f t="shared" si="18"/>
        <v>2035</v>
      </c>
      <c r="K108" s="8">
        <f t="shared" si="19"/>
        <v>2036</v>
      </c>
      <c r="L108" s="8">
        <f t="shared" si="20"/>
        <v>2075</v>
      </c>
      <c r="M108" s="8">
        <f t="shared" si="21"/>
        <v>40</v>
      </c>
      <c r="N108" s="8">
        <f t="shared" si="22"/>
        <v>0</v>
      </c>
      <c r="O108" s="48">
        <f t="shared" si="23"/>
        <v>8.0057793681484171</v>
      </c>
      <c r="P108" s="44">
        <v>8.0057793681484046</v>
      </c>
      <c r="Q108" s="49">
        <f t="shared" si="24"/>
        <v>0</v>
      </c>
      <c r="R108" s="48">
        <f t="shared" si="25"/>
        <v>4.4472722032831911</v>
      </c>
      <c r="S108" s="50">
        <f t="shared" si="26"/>
        <v>1.8001550168748754</v>
      </c>
      <c r="T108" s="45">
        <v>3</v>
      </c>
      <c r="U108" s="45">
        <v>2.2549019607843142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</row>
    <row r="109" spans="1:35" x14ac:dyDescent="0.3">
      <c r="A109" s="15" t="s">
        <v>231</v>
      </c>
      <c r="B109" s="15" t="s">
        <v>277</v>
      </c>
      <c r="C109" s="42">
        <v>2</v>
      </c>
      <c r="D109" s="43">
        <v>1.5</v>
      </c>
      <c r="E109" s="44">
        <v>3.5977124183006528</v>
      </c>
      <c r="F109" s="42">
        <v>2</v>
      </c>
      <c r="G109" s="45">
        <v>0.19810861970916771</v>
      </c>
      <c r="H109" s="46">
        <v>1.24E-2</v>
      </c>
      <c r="I109" s="47">
        <v>2026</v>
      </c>
      <c r="J109" s="8">
        <f t="shared" si="18"/>
        <v>2027</v>
      </c>
      <c r="K109" s="8">
        <f t="shared" si="19"/>
        <v>2028</v>
      </c>
      <c r="L109" s="8">
        <f t="shared" si="20"/>
        <v>2067</v>
      </c>
      <c r="M109" s="8">
        <f t="shared" si="21"/>
        <v>40</v>
      </c>
      <c r="N109" s="8">
        <f t="shared" si="22"/>
        <v>0</v>
      </c>
      <c r="O109" s="48">
        <f t="shared" si="23"/>
        <v>6.8218887481205925</v>
      </c>
      <c r="P109" s="44">
        <v>6.8218887481205988</v>
      </c>
      <c r="Q109" s="49">
        <f t="shared" si="24"/>
        <v>0</v>
      </c>
      <c r="R109" s="48">
        <f t="shared" si="25"/>
        <v>3.5627899525823397</v>
      </c>
      <c r="S109" s="50">
        <f t="shared" si="26"/>
        <v>1.9147602971025646</v>
      </c>
      <c r="T109" s="45">
        <v>1.816666666666666</v>
      </c>
      <c r="U109" s="45">
        <v>1.781045751633987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</row>
    <row r="110" spans="1:35" x14ac:dyDescent="0.3">
      <c r="A110" s="15" t="s">
        <v>232</v>
      </c>
      <c r="B110" s="15" t="s">
        <v>277</v>
      </c>
      <c r="C110" s="42">
        <v>2</v>
      </c>
      <c r="D110" s="43">
        <v>1</v>
      </c>
      <c r="E110" s="44">
        <v>3.597</v>
      </c>
      <c r="F110" s="42">
        <v>1</v>
      </c>
      <c r="G110" s="45">
        <v>0.13085826678515761</v>
      </c>
      <c r="H110" s="46">
        <v>1.4500000000000001E-2</v>
      </c>
      <c r="I110" s="47">
        <v>2026</v>
      </c>
      <c r="J110" s="8">
        <f t="shared" si="18"/>
        <v>2026</v>
      </c>
      <c r="K110" s="8">
        <f t="shared" si="19"/>
        <v>2027</v>
      </c>
      <c r="L110" s="8">
        <f t="shared" si="20"/>
        <v>2066</v>
      </c>
      <c r="M110" s="8">
        <f t="shared" si="21"/>
        <v>40</v>
      </c>
      <c r="N110" s="8">
        <f t="shared" si="22"/>
        <v>0</v>
      </c>
      <c r="O110" s="48">
        <f t="shared" si="23"/>
        <v>4.7237526078782164</v>
      </c>
      <c r="P110" s="44">
        <v>4.7237526078782102</v>
      </c>
      <c r="Q110" s="49">
        <f t="shared" si="24"/>
        <v>0</v>
      </c>
      <c r="R110" s="48">
        <f t="shared" si="25"/>
        <v>3.597</v>
      </c>
      <c r="S110" s="50">
        <f t="shared" si="26"/>
        <v>1.3132478754179084</v>
      </c>
      <c r="T110" s="45">
        <v>3.597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</row>
    <row r="111" spans="1:35" x14ac:dyDescent="0.3">
      <c r="A111" s="15" t="s">
        <v>233</v>
      </c>
      <c r="B111" s="15" t="s">
        <v>277</v>
      </c>
      <c r="C111" s="42">
        <v>2</v>
      </c>
      <c r="D111" s="43">
        <v>1</v>
      </c>
      <c r="E111" s="44">
        <v>3.3626563078832858</v>
      </c>
      <c r="F111" s="42">
        <v>6</v>
      </c>
      <c r="G111" s="45">
        <v>0.12686622602917241</v>
      </c>
      <c r="H111" s="46">
        <v>1.6799999999999999E-2</v>
      </c>
      <c r="I111" s="47">
        <v>2030</v>
      </c>
      <c r="J111" s="8">
        <f t="shared" si="18"/>
        <v>2035</v>
      </c>
      <c r="K111" s="8">
        <f t="shared" si="19"/>
        <v>2036</v>
      </c>
      <c r="L111" s="8">
        <f t="shared" si="20"/>
        <v>2075</v>
      </c>
      <c r="M111" s="8">
        <f t="shared" si="21"/>
        <v>40</v>
      </c>
      <c r="N111" s="8">
        <f t="shared" si="22"/>
        <v>0</v>
      </c>
      <c r="O111" s="48">
        <f t="shared" si="23"/>
        <v>4.7353029412985537</v>
      </c>
      <c r="P111" s="44">
        <v>4.7353029412985546</v>
      </c>
      <c r="Q111" s="49">
        <f t="shared" si="24"/>
        <v>0</v>
      </c>
      <c r="R111" s="48">
        <f t="shared" si="25"/>
        <v>2.9359102498103775</v>
      </c>
      <c r="S111" s="50">
        <f t="shared" si="26"/>
        <v>1.6128909055051646</v>
      </c>
      <c r="T111" s="45">
        <v>0.11586399999999999</v>
      </c>
      <c r="U111" s="45">
        <v>0.63033921568627449</v>
      </c>
      <c r="V111" s="45">
        <v>0.8165090349865437</v>
      </c>
      <c r="W111" s="45">
        <v>0.50225874663590919</v>
      </c>
      <c r="X111" s="45">
        <v>0.58703170829661966</v>
      </c>
      <c r="Y111" s="45">
        <v>0.71065360227793883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</row>
    <row r="112" spans="1:35" x14ac:dyDescent="0.3">
      <c r="A112" s="15" t="s">
        <v>234</v>
      </c>
      <c r="B112" s="15" t="s">
        <v>277</v>
      </c>
      <c r="C112" s="42">
        <v>2</v>
      </c>
      <c r="D112" s="43">
        <v>2.65</v>
      </c>
      <c r="E112" s="44">
        <v>2.8233730000000001</v>
      </c>
      <c r="F112" s="42">
        <v>1</v>
      </c>
      <c r="G112" s="45">
        <v>0.27219168689469792</v>
      </c>
      <c r="H112" s="46">
        <v>2.18E-2</v>
      </c>
      <c r="I112" s="47">
        <v>2037</v>
      </c>
      <c r="J112" s="8">
        <f t="shared" si="18"/>
        <v>2037</v>
      </c>
      <c r="K112" s="8">
        <f t="shared" si="19"/>
        <v>2038</v>
      </c>
      <c r="L112" s="8">
        <f t="shared" si="20"/>
        <v>2077</v>
      </c>
      <c r="M112" s="8">
        <f t="shared" si="21"/>
        <v>40</v>
      </c>
      <c r="N112" s="8">
        <f t="shared" si="22"/>
        <v>0</v>
      </c>
      <c r="O112" s="48">
        <f t="shared" si="23"/>
        <v>11.858082373886914</v>
      </c>
      <c r="P112" s="44">
        <v>11.858082373886891</v>
      </c>
      <c r="Q112" s="49">
        <f t="shared" si="24"/>
        <v>2.3092638912203256E-14</v>
      </c>
      <c r="R112" s="48">
        <f t="shared" si="25"/>
        <v>2.2707345494739375</v>
      </c>
      <c r="S112" s="50">
        <f t="shared" si="26"/>
        <v>5.2221350032455724</v>
      </c>
      <c r="T112" s="45">
        <v>2.8233730000000001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0</v>
      </c>
      <c r="AI112" s="45">
        <v>0</v>
      </c>
    </row>
    <row r="113" spans="1:62" x14ac:dyDescent="0.3">
      <c r="A113" s="15" t="s">
        <v>235</v>
      </c>
      <c r="B113" s="15" t="s">
        <v>277</v>
      </c>
      <c r="C113" s="42">
        <v>2</v>
      </c>
      <c r="D113" s="43">
        <v>1</v>
      </c>
      <c r="E113" s="44">
        <v>1.7251178588928839</v>
      </c>
      <c r="F113" s="42">
        <v>3</v>
      </c>
      <c r="G113" s="45">
        <v>6.3891432487557437E-2</v>
      </c>
      <c r="H113" s="46">
        <v>1.46E-2</v>
      </c>
      <c r="I113" s="47">
        <v>2031</v>
      </c>
      <c r="J113" s="8">
        <f t="shared" si="18"/>
        <v>2033</v>
      </c>
      <c r="K113" s="8">
        <f t="shared" si="19"/>
        <v>2034</v>
      </c>
      <c r="L113" s="8">
        <f t="shared" si="20"/>
        <v>2073</v>
      </c>
      <c r="M113" s="8">
        <f t="shared" si="21"/>
        <v>40</v>
      </c>
      <c r="N113" s="8">
        <f t="shared" si="22"/>
        <v>0</v>
      </c>
      <c r="O113" s="48">
        <f t="shared" si="23"/>
        <v>2.2523279696856529</v>
      </c>
      <c r="P113" s="44">
        <v>2.2523279696856551</v>
      </c>
      <c r="Q113" s="49">
        <f t="shared" si="24"/>
        <v>0</v>
      </c>
      <c r="R113" s="48">
        <f t="shared" si="25"/>
        <v>1.5321601287831592</v>
      </c>
      <c r="S113" s="50">
        <f t="shared" si="26"/>
        <v>1.4700343178062274</v>
      </c>
      <c r="T113" s="45">
        <v>0.51287450980392157</v>
      </c>
      <c r="U113" s="45">
        <v>0.70661956939638604</v>
      </c>
      <c r="V113" s="45">
        <v>0.50562377969257677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</row>
    <row r="114" spans="1:62" x14ac:dyDescent="0.3">
      <c r="A114" s="15" t="s">
        <v>236</v>
      </c>
      <c r="B114" s="15" t="s">
        <v>277</v>
      </c>
      <c r="C114" s="42">
        <v>2</v>
      </c>
      <c r="D114" s="43">
        <v>1.36</v>
      </c>
      <c r="E114" s="44">
        <v>1.3199078431372551</v>
      </c>
      <c r="F114" s="42">
        <v>3</v>
      </c>
      <c r="G114" s="45">
        <v>6.6228288230541679E-2</v>
      </c>
      <c r="H114" s="46">
        <v>1.44E-2</v>
      </c>
      <c r="I114" s="47">
        <v>2026</v>
      </c>
      <c r="J114" s="8">
        <f t="shared" si="18"/>
        <v>2028</v>
      </c>
      <c r="K114" s="8">
        <f t="shared" si="19"/>
        <v>2029</v>
      </c>
      <c r="L114" s="8">
        <f t="shared" si="20"/>
        <v>2068</v>
      </c>
      <c r="M114" s="8">
        <f t="shared" si="21"/>
        <v>40</v>
      </c>
      <c r="N114" s="8">
        <f t="shared" si="22"/>
        <v>0</v>
      </c>
      <c r="O114" s="48">
        <f t="shared" si="23"/>
        <v>2.3662061472433678</v>
      </c>
      <c r="P114" s="44">
        <v>2.3662061472433651</v>
      </c>
      <c r="Q114" s="49">
        <f t="shared" si="24"/>
        <v>0</v>
      </c>
      <c r="R114" s="48">
        <f t="shared" si="25"/>
        <v>1.2893386804471885</v>
      </c>
      <c r="S114" s="50">
        <f t="shared" si="26"/>
        <v>1.8352091526662981</v>
      </c>
      <c r="T114" s="45">
        <v>0.27029999999999998</v>
      </c>
      <c r="U114" s="45">
        <v>0.53</v>
      </c>
      <c r="V114" s="45">
        <v>0.51960784313725494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0</v>
      </c>
      <c r="AH114" s="45">
        <v>0</v>
      </c>
      <c r="AI114" s="45">
        <v>0</v>
      </c>
    </row>
    <row r="115" spans="1:62" x14ac:dyDescent="0.3">
      <c r="A115" s="15" t="s">
        <v>237</v>
      </c>
      <c r="B115" s="15" t="s">
        <v>277</v>
      </c>
      <c r="C115" s="42">
        <v>1</v>
      </c>
      <c r="D115" s="43">
        <v>1.32</v>
      </c>
      <c r="E115" s="44">
        <v>1.2043759999999999</v>
      </c>
      <c r="F115" s="42">
        <v>1</v>
      </c>
      <c r="G115" s="45">
        <v>5.7835800336749003E-2</v>
      </c>
      <c r="H115" s="46">
        <v>1.14E-2</v>
      </c>
      <c r="I115" s="47">
        <v>2026</v>
      </c>
      <c r="J115" s="8">
        <f t="shared" si="18"/>
        <v>2026</v>
      </c>
      <c r="K115" s="8">
        <f t="shared" si="19"/>
        <v>2027</v>
      </c>
      <c r="L115" s="8">
        <f t="shared" si="20"/>
        <v>2066</v>
      </c>
      <c r="M115" s="8">
        <f t="shared" si="21"/>
        <v>40</v>
      </c>
      <c r="N115" s="8">
        <f t="shared" si="22"/>
        <v>0</v>
      </c>
      <c r="O115" s="48">
        <f t="shared" si="23"/>
        <v>1.9657242309966367</v>
      </c>
      <c r="P115" s="44">
        <v>1.9657242309966361</v>
      </c>
      <c r="Q115" s="49">
        <f t="shared" si="24"/>
        <v>0</v>
      </c>
      <c r="R115" s="48">
        <f t="shared" si="25"/>
        <v>1.2043759999999999</v>
      </c>
      <c r="S115" s="50">
        <f t="shared" si="26"/>
        <v>1.6321516129486446</v>
      </c>
      <c r="T115" s="45">
        <v>1.2043759999999999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</row>
    <row r="116" spans="1:62" x14ac:dyDescent="0.3">
      <c r="A116" s="15" t="s">
        <v>238</v>
      </c>
      <c r="B116" s="15" t="s">
        <v>277</v>
      </c>
      <c r="C116" s="42">
        <v>2</v>
      </c>
      <c r="D116" s="43">
        <v>1</v>
      </c>
      <c r="E116" s="44">
        <v>1.2762487058823531</v>
      </c>
      <c r="F116" s="42">
        <v>2</v>
      </c>
      <c r="G116" s="45">
        <v>4.7265933196042102E-2</v>
      </c>
      <c r="H116" s="46">
        <v>2.2599999999999999E-2</v>
      </c>
      <c r="I116" s="47">
        <v>2035</v>
      </c>
      <c r="J116" s="8">
        <f t="shared" si="18"/>
        <v>2036</v>
      </c>
      <c r="K116" s="8">
        <f t="shared" si="19"/>
        <v>2037</v>
      </c>
      <c r="L116" s="8">
        <f t="shared" si="20"/>
        <v>2076</v>
      </c>
      <c r="M116" s="8">
        <f t="shared" si="21"/>
        <v>40</v>
      </c>
      <c r="N116" s="8">
        <f t="shared" si="22"/>
        <v>0</v>
      </c>
      <c r="O116" s="48">
        <f t="shared" si="23"/>
        <v>2.1005708569653265</v>
      </c>
      <c r="P116" s="44">
        <v>2.1005708569653252</v>
      </c>
      <c r="Q116" s="49">
        <f t="shared" si="24"/>
        <v>0</v>
      </c>
      <c r="R116" s="48">
        <f t="shared" si="25"/>
        <v>1.0669026572639653</v>
      </c>
      <c r="S116" s="50">
        <f t="shared" si="26"/>
        <v>1.9688495877891685</v>
      </c>
      <c r="T116" s="45">
        <v>1.2149840000000001</v>
      </c>
      <c r="U116" s="45">
        <v>6.1264705882352943E-2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</row>
    <row r="117" spans="1:62" x14ac:dyDescent="0.3">
      <c r="A117" s="15" t="s">
        <v>239</v>
      </c>
      <c r="B117" s="15" t="s">
        <v>277</v>
      </c>
      <c r="C117" s="42">
        <v>1</v>
      </c>
      <c r="D117" s="43">
        <v>1.47</v>
      </c>
      <c r="E117" s="44">
        <v>1.0588235294117641</v>
      </c>
      <c r="F117" s="42">
        <v>1</v>
      </c>
      <c r="G117" s="45">
        <v>5.6624143307908069E-2</v>
      </c>
      <c r="H117" s="46">
        <v>1.46E-2</v>
      </c>
      <c r="I117" s="47">
        <v>2026</v>
      </c>
      <c r="J117" s="8">
        <f t="shared" si="18"/>
        <v>2026</v>
      </c>
      <c r="K117" s="8">
        <f t="shared" si="19"/>
        <v>2027</v>
      </c>
      <c r="L117" s="8">
        <f t="shared" si="20"/>
        <v>2066</v>
      </c>
      <c r="M117" s="8">
        <f t="shared" si="21"/>
        <v>40</v>
      </c>
      <c r="N117" s="8">
        <f t="shared" si="22"/>
        <v>0</v>
      </c>
      <c r="O117" s="48">
        <f t="shared" si="23"/>
        <v>2.0480437037375938</v>
      </c>
      <c r="P117" s="44">
        <v>2.0480437037375951</v>
      </c>
      <c r="Q117" s="49">
        <f t="shared" si="24"/>
        <v>0</v>
      </c>
      <c r="R117" s="48">
        <f t="shared" si="25"/>
        <v>1.0588235294117641</v>
      </c>
      <c r="S117" s="50">
        <f t="shared" si="26"/>
        <v>1.9342634979743953</v>
      </c>
      <c r="T117" s="45">
        <v>1.0588235294117641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</row>
    <row r="118" spans="1:62" x14ac:dyDescent="0.3">
      <c r="A118" s="15" t="s">
        <v>240</v>
      </c>
      <c r="B118" s="15" t="s">
        <v>277</v>
      </c>
      <c r="C118" s="42">
        <v>1</v>
      </c>
      <c r="D118" s="43">
        <v>1.96</v>
      </c>
      <c r="E118" s="44">
        <v>0.84528292156862739</v>
      </c>
      <c r="F118" s="42">
        <v>2</v>
      </c>
      <c r="G118" s="45">
        <v>6.1019663287427868E-2</v>
      </c>
      <c r="H118" s="46">
        <v>2.81E-2</v>
      </c>
      <c r="I118" s="47">
        <v>2042</v>
      </c>
      <c r="J118" s="8">
        <f t="shared" si="18"/>
        <v>2043</v>
      </c>
      <c r="K118" s="8">
        <f t="shared" si="19"/>
        <v>2044</v>
      </c>
      <c r="L118" s="8">
        <f t="shared" si="20"/>
        <v>2083</v>
      </c>
      <c r="M118" s="8">
        <f t="shared" si="21"/>
        <v>40</v>
      </c>
      <c r="N118" s="8">
        <f t="shared" si="22"/>
        <v>0</v>
      </c>
      <c r="O118" s="48">
        <f t="shared" si="23"/>
        <v>3.4715308263474625</v>
      </c>
      <c r="P118" s="44">
        <v>3.471530826347466</v>
      </c>
      <c r="Q118" s="49">
        <f t="shared" si="24"/>
        <v>-3.5527136788005009E-15</v>
      </c>
      <c r="R118" s="48">
        <f t="shared" si="25"/>
        <v>0.61177129159818655</v>
      </c>
      <c r="S118" s="50">
        <f t="shared" si="26"/>
        <v>5.6745566096742825</v>
      </c>
      <c r="T118" s="45">
        <v>0.56722899999999998</v>
      </c>
      <c r="U118" s="45">
        <v>0.2780539215686274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</row>
    <row r="119" spans="1:62" x14ac:dyDescent="0.3">
      <c r="A119" s="15" t="s">
        <v>241</v>
      </c>
      <c r="B119" s="15" t="s">
        <v>277</v>
      </c>
      <c r="C119" s="42">
        <v>1</v>
      </c>
      <c r="D119" s="43">
        <v>1.97</v>
      </c>
      <c r="E119" s="44">
        <v>0.79345245098039219</v>
      </c>
      <c r="F119" s="42">
        <v>2</v>
      </c>
      <c r="G119" s="45">
        <v>5.7876591321406538E-2</v>
      </c>
      <c r="H119" s="46">
        <v>2.7199999999999998E-2</v>
      </c>
      <c r="I119" s="47">
        <v>2039</v>
      </c>
      <c r="J119" s="8">
        <f t="shared" si="18"/>
        <v>2040</v>
      </c>
      <c r="K119" s="8">
        <f t="shared" si="19"/>
        <v>2041</v>
      </c>
      <c r="L119" s="8">
        <f t="shared" si="20"/>
        <v>2080</v>
      </c>
      <c r="M119" s="8">
        <f t="shared" si="21"/>
        <v>40</v>
      </c>
      <c r="N119" s="8">
        <f t="shared" si="22"/>
        <v>0</v>
      </c>
      <c r="O119" s="48">
        <f t="shared" si="23"/>
        <v>3.083895819654713</v>
      </c>
      <c r="P119" s="44">
        <v>3.083895819654713</v>
      </c>
      <c r="Q119" s="49">
        <f t="shared" si="24"/>
        <v>0</v>
      </c>
      <c r="R119" s="48">
        <f t="shared" si="25"/>
        <v>0.61265021735092018</v>
      </c>
      <c r="S119" s="50">
        <f t="shared" si="26"/>
        <v>5.0336974219798361</v>
      </c>
      <c r="T119" s="45">
        <v>0.74632500000000002</v>
      </c>
      <c r="U119" s="45">
        <v>4.7127450980392151E-2</v>
      </c>
      <c r="V119" s="45">
        <v>0</v>
      </c>
      <c r="W119" s="45">
        <v>0</v>
      </c>
      <c r="X119" s="45">
        <v>0</v>
      </c>
      <c r="Y119" s="45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0</v>
      </c>
      <c r="AH119" s="45">
        <v>0</v>
      </c>
      <c r="AI119" s="45">
        <v>0</v>
      </c>
    </row>
    <row r="120" spans="1:62" x14ac:dyDescent="0.3">
      <c r="A120" s="15" t="s">
        <v>242</v>
      </c>
      <c r="B120" s="15" t="s">
        <v>277</v>
      </c>
      <c r="C120" s="42">
        <v>1</v>
      </c>
      <c r="D120" s="43">
        <v>1</v>
      </c>
      <c r="E120" s="44">
        <v>0.35637153960392309</v>
      </c>
      <c r="F120" s="42">
        <v>3</v>
      </c>
      <c r="G120" s="45">
        <v>1.310564840975025E-2</v>
      </c>
      <c r="H120" s="46">
        <v>1.14E-2</v>
      </c>
      <c r="I120" s="47">
        <v>2032</v>
      </c>
      <c r="J120" s="8">
        <f t="shared" ref="J120:J151" si="27">I120+F120-1</f>
        <v>2034</v>
      </c>
      <c r="K120" s="8">
        <f t="shared" si="19"/>
        <v>2035</v>
      </c>
      <c r="L120" s="8">
        <f t="shared" ref="L120:L151" si="28">K120+$B$9-1</f>
        <v>2074</v>
      </c>
      <c r="M120" s="8">
        <f t="shared" ref="M120:M151" si="29">MAX(0,MIN(L120,2085)-K120+1)</f>
        <v>40</v>
      </c>
      <c r="N120" s="8">
        <f t="shared" ref="N120:N151" si="30">$B$9-M120</f>
        <v>0</v>
      </c>
      <c r="O120" s="48">
        <f t="shared" ref="O120:O151" si="31">SUMPRODUCT(C331:BJ331,$C$129:$BJ$129)</f>
        <v>0.42173567735902384</v>
      </c>
      <c r="P120" s="44">
        <v>0.4217356773590239</v>
      </c>
      <c r="Q120" s="49">
        <f t="shared" ref="Q120:Q151" si="32">O120-P120</f>
        <v>0</v>
      </c>
      <c r="R120" s="48">
        <f t="shared" ref="R120:R151" si="33">SUMPRODUCT(C228:BJ228,$C$129:$BJ$129)</f>
        <v>0.30811998793360917</v>
      </c>
      <c r="S120" s="50">
        <f t="shared" ref="S120:S151" si="34">IF(R120=0,0,O120/R120)</f>
        <v>1.368738458635457</v>
      </c>
      <c r="T120" s="45">
        <v>3.5511764705882347E-2</v>
      </c>
      <c r="U120" s="45">
        <v>0.16027297193387161</v>
      </c>
      <c r="V120" s="45">
        <v>0.16058680296416911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</row>
    <row r="121" spans="1:62" x14ac:dyDescent="0.3">
      <c r="A121" s="15" t="s">
        <v>243</v>
      </c>
      <c r="B121" s="15" t="s">
        <v>277</v>
      </c>
      <c r="C121" s="42">
        <v>1</v>
      </c>
      <c r="D121" s="43">
        <v>4.76</v>
      </c>
      <c r="E121" s="44">
        <v>0.05</v>
      </c>
      <c r="F121" s="42">
        <v>1</v>
      </c>
      <c r="G121" s="45">
        <v>8.658400749198639E-3</v>
      </c>
      <c r="H121" s="46">
        <v>1.4800000000000001E-2</v>
      </c>
      <c r="I121" s="47">
        <v>2026</v>
      </c>
      <c r="J121" s="8">
        <f t="shared" si="27"/>
        <v>2026</v>
      </c>
      <c r="K121" s="8">
        <f t="shared" si="19"/>
        <v>2027</v>
      </c>
      <c r="L121" s="8">
        <f t="shared" si="28"/>
        <v>2066</v>
      </c>
      <c r="M121" s="8">
        <f t="shared" si="29"/>
        <v>40</v>
      </c>
      <c r="N121" s="8">
        <f t="shared" si="30"/>
        <v>0</v>
      </c>
      <c r="O121" s="48">
        <f t="shared" si="31"/>
        <v>0.31439808462039015</v>
      </c>
      <c r="P121" s="44">
        <v>0.31439808462039032</v>
      </c>
      <c r="Q121" s="49">
        <f t="shared" si="32"/>
        <v>0</v>
      </c>
      <c r="R121" s="48">
        <f t="shared" si="33"/>
        <v>0.05</v>
      </c>
      <c r="S121" s="50">
        <f t="shared" si="34"/>
        <v>6.2879616924078023</v>
      </c>
      <c r="T121" s="45">
        <v>0.05</v>
      </c>
      <c r="U121" s="45">
        <v>0</v>
      </c>
      <c r="V121" s="45">
        <v>0</v>
      </c>
      <c r="W121" s="45">
        <v>0</v>
      </c>
      <c r="X121" s="45">
        <v>0</v>
      </c>
      <c r="Y121" s="45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0</v>
      </c>
      <c r="AH121" s="45">
        <v>0</v>
      </c>
      <c r="AI121" s="45">
        <v>0</v>
      </c>
    </row>
    <row r="122" spans="1:62" x14ac:dyDescent="0.3">
      <c r="A122" s="15" t="s">
        <v>244</v>
      </c>
      <c r="B122" s="15" t="s">
        <v>277</v>
      </c>
      <c r="C122" s="42">
        <v>1</v>
      </c>
      <c r="D122" s="43">
        <v>2.1</v>
      </c>
      <c r="E122" s="44">
        <v>4.2979235294117638E-2</v>
      </c>
      <c r="F122" s="42">
        <v>2</v>
      </c>
      <c r="G122" s="45">
        <v>3.324218465488399E-3</v>
      </c>
      <c r="H122" s="46">
        <v>2.3400000000000001E-2</v>
      </c>
      <c r="I122" s="47">
        <v>2036</v>
      </c>
      <c r="J122" s="8">
        <f t="shared" si="27"/>
        <v>2037</v>
      </c>
      <c r="K122" s="8">
        <f t="shared" si="19"/>
        <v>2038</v>
      </c>
      <c r="L122" s="8">
        <f t="shared" si="28"/>
        <v>2077</v>
      </c>
      <c r="M122" s="8">
        <f t="shared" si="29"/>
        <v>40</v>
      </c>
      <c r="N122" s="8">
        <f t="shared" si="30"/>
        <v>0</v>
      </c>
      <c r="O122" s="48">
        <f t="shared" si="31"/>
        <v>0.15230604351377891</v>
      </c>
      <c r="P122" s="44">
        <v>0.15230604351377891</v>
      </c>
      <c r="Q122" s="49">
        <f t="shared" si="32"/>
        <v>0</v>
      </c>
      <c r="R122" s="48">
        <f t="shared" si="33"/>
        <v>3.5030525401762408E-2</v>
      </c>
      <c r="S122" s="50">
        <f t="shared" si="34"/>
        <v>4.3478092825326646</v>
      </c>
      <c r="T122" s="45">
        <v>2.8840999999999999E-2</v>
      </c>
      <c r="U122" s="45">
        <v>1.4138235294117649E-2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</row>
    <row r="123" spans="1:62" x14ac:dyDescent="0.3">
      <c r="A123" s="15" t="s">
        <v>245</v>
      </c>
      <c r="B123" s="15" t="s">
        <v>277</v>
      </c>
      <c r="C123" s="42">
        <v>3</v>
      </c>
      <c r="D123" s="43">
        <v>1</v>
      </c>
      <c r="E123" s="44">
        <v>9.0115145876670919</v>
      </c>
      <c r="F123" s="42">
        <v>3</v>
      </c>
      <c r="G123" s="45">
        <v>0.33086379817855699</v>
      </c>
      <c r="H123" s="46">
        <v>1.43E-2</v>
      </c>
      <c r="I123" s="47">
        <v>2029</v>
      </c>
      <c r="J123" s="8">
        <f t="shared" si="27"/>
        <v>2031</v>
      </c>
      <c r="K123" s="8">
        <f t="shared" si="19"/>
        <v>2032</v>
      </c>
      <c r="L123" s="8">
        <f t="shared" si="28"/>
        <v>2071</v>
      </c>
      <c r="M123" s="8">
        <f t="shared" si="29"/>
        <v>40</v>
      </c>
      <c r="N123" s="8">
        <f t="shared" si="30"/>
        <v>0</v>
      </c>
      <c r="O123" s="48">
        <f t="shared" si="31"/>
        <v>11.655937214875584</v>
      </c>
      <c r="P123" s="44">
        <v>11.655937214875591</v>
      </c>
      <c r="Q123" s="49">
        <f t="shared" si="32"/>
        <v>0</v>
      </c>
      <c r="R123" s="48">
        <f t="shared" si="33"/>
        <v>8.2548868667576656</v>
      </c>
      <c r="S123" s="50">
        <f t="shared" si="34"/>
        <v>1.4120044772283808</v>
      </c>
      <c r="T123" s="45">
        <v>0.56036139946174557</v>
      </c>
      <c r="U123" s="45">
        <v>3.9954466984794679</v>
      </c>
      <c r="V123" s="45">
        <v>4.4557064897258787</v>
      </c>
      <c r="W123" s="45">
        <v>0</v>
      </c>
      <c r="X123" s="45">
        <v>0</v>
      </c>
      <c r="Y123" s="45">
        <v>0</v>
      </c>
      <c r="Z123" s="45">
        <v>0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0</v>
      </c>
      <c r="AH123" s="45">
        <v>0</v>
      </c>
      <c r="AI123" s="45">
        <v>0</v>
      </c>
    </row>
    <row r="124" spans="1:62" x14ac:dyDescent="0.3">
      <c r="A124" s="4" t="s">
        <v>246</v>
      </c>
      <c r="E124" s="41">
        <f>SUM(E24:E123)</f>
        <v>3829.6469357140063</v>
      </c>
      <c r="O124" s="41">
        <f>SUM(O24:O123)</f>
        <v>13627.302927003886</v>
      </c>
      <c r="P124" s="41">
        <f>SUM(P24:P123)</f>
        <v>13627.302927003884</v>
      </c>
      <c r="Q124" s="41">
        <f>SUM(Q24:Q123)</f>
        <v>1.8131329770909588E-13</v>
      </c>
      <c r="R124" s="41">
        <f>SUM(R24:R123)</f>
        <v>3238.9895016105065</v>
      </c>
      <c r="S124" s="51">
        <f t="shared" si="34"/>
        <v>4.2072698661814281</v>
      </c>
    </row>
    <row r="127" spans="1:62" x14ac:dyDescent="0.3">
      <c r="A127" s="4" t="s">
        <v>247</v>
      </c>
      <c r="C127" s="52">
        <v>2026</v>
      </c>
      <c r="D127" s="52">
        <v>2027</v>
      </c>
      <c r="E127" s="52">
        <v>2028</v>
      </c>
      <c r="F127" s="52">
        <v>2029</v>
      </c>
      <c r="G127" s="52">
        <v>2030</v>
      </c>
      <c r="H127" s="52">
        <v>2031</v>
      </c>
      <c r="I127" s="52">
        <v>2032</v>
      </c>
      <c r="J127" s="52">
        <v>2033</v>
      </c>
      <c r="K127" s="52">
        <v>2034</v>
      </c>
      <c r="L127" s="52">
        <v>2035</v>
      </c>
      <c r="M127" s="52">
        <v>2036</v>
      </c>
      <c r="N127" s="52">
        <v>2037</v>
      </c>
      <c r="O127" s="52">
        <v>2038</v>
      </c>
      <c r="P127" s="52">
        <v>2039</v>
      </c>
      <c r="Q127" s="52">
        <v>2040</v>
      </c>
      <c r="R127" s="52">
        <v>2041</v>
      </c>
      <c r="S127" s="52">
        <v>2042</v>
      </c>
      <c r="T127" s="52">
        <v>2043</v>
      </c>
      <c r="U127" s="52">
        <v>2044</v>
      </c>
      <c r="V127" s="52">
        <v>2045</v>
      </c>
      <c r="W127" s="52">
        <v>2046</v>
      </c>
      <c r="X127" s="52">
        <v>2047</v>
      </c>
      <c r="Y127" s="52">
        <v>2048</v>
      </c>
      <c r="Z127" s="52">
        <v>2049</v>
      </c>
      <c r="AA127" s="52">
        <v>2050</v>
      </c>
      <c r="AB127" s="52">
        <v>2051</v>
      </c>
      <c r="AC127" s="52">
        <v>2052</v>
      </c>
      <c r="AD127" s="52">
        <v>2053</v>
      </c>
      <c r="AE127" s="52">
        <v>2054</v>
      </c>
      <c r="AF127" s="52">
        <v>2055</v>
      </c>
      <c r="AG127" s="52">
        <v>2056</v>
      </c>
      <c r="AH127" s="52">
        <v>2057</v>
      </c>
      <c r="AI127" s="52">
        <v>2058</v>
      </c>
      <c r="AJ127" s="52">
        <v>2059</v>
      </c>
      <c r="AK127" s="52">
        <v>2060</v>
      </c>
      <c r="AL127" s="52">
        <v>2061</v>
      </c>
      <c r="AM127" s="52">
        <v>2062</v>
      </c>
      <c r="AN127" s="52">
        <v>2063</v>
      </c>
      <c r="AO127" s="52">
        <v>2064</v>
      </c>
      <c r="AP127" s="52">
        <v>2065</v>
      </c>
      <c r="AQ127" s="52">
        <v>2066</v>
      </c>
      <c r="AR127" s="52">
        <v>2067</v>
      </c>
      <c r="AS127" s="52">
        <v>2068</v>
      </c>
      <c r="AT127" s="52">
        <v>2069</v>
      </c>
      <c r="AU127" s="52">
        <v>2070</v>
      </c>
      <c r="AV127" s="52">
        <v>2071</v>
      </c>
      <c r="AW127" s="52">
        <v>2072</v>
      </c>
      <c r="AX127" s="52">
        <v>2073</v>
      </c>
      <c r="AY127" s="52">
        <v>2074</v>
      </c>
      <c r="AZ127" s="52">
        <v>2075</v>
      </c>
      <c r="BA127" s="52">
        <v>2076</v>
      </c>
      <c r="BB127" s="52">
        <v>2077</v>
      </c>
      <c r="BC127" s="52">
        <v>2078</v>
      </c>
      <c r="BD127" s="52">
        <v>2079</v>
      </c>
      <c r="BE127" s="52">
        <v>2080</v>
      </c>
      <c r="BF127" s="52">
        <v>2081</v>
      </c>
      <c r="BG127" s="52">
        <v>2082</v>
      </c>
      <c r="BH127" s="52">
        <v>2083</v>
      </c>
      <c r="BI127" s="52">
        <v>2084</v>
      </c>
      <c r="BJ127" s="52">
        <v>2085</v>
      </c>
    </row>
    <row r="128" spans="1:62" x14ac:dyDescent="0.3">
      <c r="A128" s="28" t="s">
        <v>248</v>
      </c>
      <c r="C128" s="53">
        <f t="shared" ref="C128:AH128" si="35">C127-$B$5</f>
        <v>0</v>
      </c>
      <c r="D128" s="53">
        <f t="shared" si="35"/>
        <v>1</v>
      </c>
      <c r="E128" s="53">
        <f t="shared" si="35"/>
        <v>2</v>
      </c>
      <c r="F128" s="53">
        <f t="shared" si="35"/>
        <v>3</v>
      </c>
      <c r="G128" s="53">
        <f t="shared" si="35"/>
        <v>4</v>
      </c>
      <c r="H128" s="53">
        <f t="shared" si="35"/>
        <v>5</v>
      </c>
      <c r="I128" s="53">
        <f t="shared" si="35"/>
        <v>6</v>
      </c>
      <c r="J128" s="53">
        <f t="shared" si="35"/>
        <v>7</v>
      </c>
      <c r="K128" s="53">
        <f t="shared" si="35"/>
        <v>8</v>
      </c>
      <c r="L128" s="53">
        <f t="shared" si="35"/>
        <v>9</v>
      </c>
      <c r="M128" s="53">
        <f t="shared" si="35"/>
        <v>10</v>
      </c>
      <c r="N128" s="53">
        <f t="shared" si="35"/>
        <v>11</v>
      </c>
      <c r="O128" s="53">
        <f t="shared" si="35"/>
        <v>12</v>
      </c>
      <c r="P128" s="53">
        <f t="shared" si="35"/>
        <v>13</v>
      </c>
      <c r="Q128" s="53">
        <f t="shared" si="35"/>
        <v>14</v>
      </c>
      <c r="R128" s="53">
        <f t="shared" si="35"/>
        <v>15</v>
      </c>
      <c r="S128" s="53">
        <f t="shared" si="35"/>
        <v>16</v>
      </c>
      <c r="T128" s="53">
        <f t="shared" si="35"/>
        <v>17</v>
      </c>
      <c r="U128" s="53">
        <f t="shared" si="35"/>
        <v>18</v>
      </c>
      <c r="V128" s="53">
        <f t="shared" si="35"/>
        <v>19</v>
      </c>
      <c r="W128" s="53">
        <f t="shared" si="35"/>
        <v>20</v>
      </c>
      <c r="X128" s="53">
        <f t="shared" si="35"/>
        <v>21</v>
      </c>
      <c r="Y128" s="53">
        <f t="shared" si="35"/>
        <v>22</v>
      </c>
      <c r="Z128" s="53">
        <f t="shared" si="35"/>
        <v>23</v>
      </c>
      <c r="AA128" s="53">
        <f t="shared" si="35"/>
        <v>24</v>
      </c>
      <c r="AB128" s="53">
        <f t="shared" si="35"/>
        <v>25</v>
      </c>
      <c r="AC128" s="53">
        <f t="shared" si="35"/>
        <v>26</v>
      </c>
      <c r="AD128" s="53">
        <f t="shared" si="35"/>
        <v>27</v>
      </c>
      <c r="AE128" s="53">
        <f t="shared" si="35"/>
        <v>28</v>
      </c>
      <c r="AF128" s="53">
        <f t="shared" si="35"/>
        <v>29</v>
      </c>
      <c r="AG128" s="53">
        <f t="shared" si="35"/>
        <v>30</v>
      </c>
      <c r="AH128" s="53">
        <f t="shared" si="35"/>
        <v>31</v>
      </c>
      <c r="AI128" s="53">
        <f t="shared" ref="AI128:BN128" si="36">AI127-$B$5</f>
        <v>32</v>
      </c>
      <c r="AJ128" s="53">
        <f t="shared" si="36"/>
        <v>33</v>
      </c>
      <c r="AK128" s="53">
        <f t="shared" si="36"/>
        <v>34</v>
      </c>
      <c r="AL128" s="53">
        <f t="shared" si="36"/>
        <v>35</v>
      </c>
      <c r="AM128" s="53">
        <f t="shared" si="36"/>
        <v>36</v>
      </c>
      <c r="AN128" s="53">
        <f t="shared" si="36"/>
        <v>37</v>
      </c>
      <c r="AO128" s="53">
        <f t="shared" si="36"/>
        <v>38</v>
      </c>
      <c r="AP128" s="53">
        <f t="shared" si="36"/>
        <v>39</v>
      </c>
      <c r="AQ128" s="53">
        <f t="shared" si="36"/>
        <v>40</v>
      </c>
      <c r="AR128" s="53">
        <f t="shared" si="36"/>
        <v>41</v>
      </c>
      <c r="AS128" s="53">
        <f t="shared" si="36"/>
        <v>42</v>
      </c>
      <c r="AT128" s="53">
        <f t="shared" si="36"/>
        <v>43</v>
      </c>
      <c r="AU128" s="53">
        <f t="shared" si="36"/>
        <v>44</v>
      </c>
      <c r="AV128" s="53">
        <f t="shared" si="36"/>
        <v>45</v>
      </c>
      <c r="AW128" s="53">
        <f t="shared" si="36"/>
        <v>46</v>
      </c>
      <c r="AX128" s="53">
        <f t="shared" si="36"/>
        <v>47</v>
      </c>
      <c r="AY128" s="53">
        <f t="shared" si="36"/>
        <v>48</v>
      </c>
      <c r="AZ128" s="53">
        <f t="shared" si="36"/>
        <v>49</v>
      </c>
      <c r="BA128" s="53">
        <f t="shared" si="36"/>
        <v>50</v>
      </c>
      <c r="BB128" s="53">
        <f t="shared" si="36"/>
        <v>51</v>
      </c>
      <c r="BC128" s="53">
        <f t="shared" si="36"/>
        <v>52</v>
      </c>
      <c r="BD128" s="53">
        <f t="shared" si="36"/>
        <v>53</v>
      </c>
      <c r="BE128" s="53">
        <f t="shared" si="36"/>
        <v>54</v>
      </c>
      <c r="BF128" s="53">
        <f t="shared" si="36"/>
        <v>55</v>
      </c>
      <c r="BG128" s="53">
        <f t="shared" si="36"/>
        <v>56</v>
      </c>
      <c r="BH128" s="53">
        <f t="shared" si="36"/>
        <v>57</v>
      </c>
      <c r="BI128" s="53">
        <f t="shared" si="36"/>
        <v>58</v>
      </c>
      <c r="BJ128" s="53">
        <f t="shared" si="36"/>
        <v>59</v>
      </c>
    </row>
    <row r="129" spans="1:62" x14ac:dyDescent="0.3">
      <c r="A129" s="28" t="s">
        <v>249</v>
      </c>
      <c r="C129" s="54">
        <v>1</v>
      </c>
      <c r="D129" s="54">
        <f t="shared" ref="D129:AI129" si="37">C129/(1+IF(D128&lt;=$B$7,$B$6,$B$8))</f>
        <v>0.98039215686274506</v>
      </c>
      <c r="E129" s="54">
        <f t="shared" si="37"/>
        <v>0.96116878123798533</v>
      </c>
      <c r="F129" s="54">
        <f t="shared" si="37"/>
        <v>0.94232233454704439</v>
      </c>
      <c r="G129" s="54">
        <f t="shared" si="37"/>
        <v>0.92384542602651409</v>
      </c>
      <c r="H129" s="54">
        <f t="shared" si="37"/>
        <v>0.90573080982991572</v>
      </c>
      <c r="I129" s="54">
        <f t="shared" si="37"/>
        <v>0.88797138218619187</v>
      </c>
      <c r="J129" s="54">
        <f t="shared" si="37"/>
        <v>0.87056017861391355</v>
      </c>
      <c r="K129" s="54">
        <f t="shared" si="37"/>
        <v>0.85349037119011129</v>
      </c>
      <c r="L129" s="54">
        <f t="shared" si="37"/>
        <v>0.83675526587265814</v>
      </c>
      <c r="M129" s="54">
        <f t="shared" si="37"/>
        <v>0.82034829987515501</v>
      </c>
      <c r="N129" s="54">
        <f t="shared" si="37"/>
        <v>0.80426303909328922</v>
      </c>
      <c r="O129" s="54">
        <f t="shared" si="37"/>
        <v>0.7884931755816561</v>
      </c>
      <c r="P129" s="54">
        <f t="shared" si="37"/>
        <v>0.77303252508005504</v>
      </c>
      <c r="Q129" s="54">
        <f t="shared" si="37"/>
        <v>0.75787502458828926</v>
      </c>
      <c r="R129" s="54">
        <f t="shared" si="37"/>
        <v>0.74301472998851892</v>
      </c>
      <c r="S129" s="54">
        <f t="shared" si="37"/>
        <v>0.72844581371423422</v>
      </c>
      <c r="T129" s="54">
        <f t="shared" si="37"/>
        <v>0.71416256246493548</v>
      </c>
      <c r="U129" s="54">
        <f t="shared" si="37"/>
        <v>0.70015937496562297</v>
      </c>
      <c r="V129" s="54">
        <f t="shared" si="37"/>
        <v>0.68643075977021861</v>
      </c>
      <c r="W129" s="54">
        <f t="shared" si="37"/>
        <v>0.67297133310805746</v>
      </c>
      <c r="X129" s="54">
        <f t="shared" si="37"/>
        <v>0.65977581677260533</v>
      </c>
      <c r="Y129" s="54">
        <f t="shared" si="37"/>
        <v>0.64683903605157389</v>
      </c>
      <c r="Z129" s="54">
        <f t="shared" si="37"/>
        <v>0.63415591769762147</v>
      </c>
      <c r="AA129" s="54">
        <f t="shared" si="37"/>
        <v>0.62172148793884452</v>
      </c>
      <c r="AB129" s="54">
        <f t="shared" si="37"/>
        <v>0.60953087052827892</v>
      </c>
      <c r="AC129" s="54">
        <f t="shared" si="37"/>
        <v>0.59757928483164602</v>
      </c>
      <c r="AD129" s="54">
        <f t="shared" si="37"/>
        <v>0.58586204395259411</v>
      </c>
      <c r="AE129" s="54">
        <f t="shared" si="37"/>
        <v>0.57437455289470007</v>
      </c>
      <c r="AF129" s="54">
        <f t="shared" si="37"/>
        <v>0.56311230675950985</v>
      </c>
      <c r="AG129" s="54">
        <f t="shared" si="37"/>
        <v>0.55207088897991163</v>
      </c>
      <c r="AH129" s="54">
        <f t="shared" si="37"/>
        <v>0.54391220589153866</v>
      </c>
      <c r="AI129" s="54">
        <f t="shared" si="37"/>
        <v>0.53587409447442236</v>
      </c>
      <c r="AJ129" s="54">
        <f t="shared" ref="AJ129:BO129" si="38">AI129/(1+IF(AJ128&lt;=$B$7,$B$6,$B$8))</f>
        <v>0.52795477288120429</v>
      </c>
      <c r="AK129" s="54">
        <f t="shared" si="38"/>
        <v>0.5201524855972457</v>
      </c>
      <c r="AL129" s="54">
        <f t="shared" si="38"/>
        <v>0.51246550305147365</v>
      </c>
      <c r="AM129" s="54">
        <f t="shared" si="38"/>
        <v>0.504892121232979</v>
      </c>
      <c r="AN129" s="54">
        <f t="shared" si="38"/>
        <v>0.49743066131327984</v>
      </c>
      <c r="AO129" s="54">
        <f t="shared" si="38"/>
        <v>0.4900794692741674</v>
      </c>
      <c r="AP129" s="54">
        <f t="shared" si="38"/>
        <v>0.48283691554105168</v>
      </c>
      <c r="AQ129" s="54">
        <f t="shared" si="38"/>
        <v>0.47570139462172584</v>
      </c>
      <c r="AR129" s="54">
        <f t="shared" si="38"/>
        <v>0.46867132475046885</v>
      </c>
      <c r="AS129" s="54">
        <f t="shared" si="38"/>
        <v>0.46174514753740781</v>
      </c>
      <c r="AT129" s="54">
        <f t="shared" si="38"/>
        <v>0.45492132762306192</v>
      </c>
      <c r="AU129" s="54">
        <f t="shared" si="38"/>
        <v>0.4481983523379921</v>
      </c>
      <c r="AV129" s="54">
        <f t="shared" si="38"/>
        <v>0.44157473136747993</v>
      </c>
      <c r="AW129" s="54">
        <f t="shared" si="38"/>
        <v>0.43504899642116251</v>
      </c>
      <c r="AX129" s="54">
        <f t="shared" si="38"/>
        <v>0.42861970090754931</v>
      </c>
      <c r="AY129" s="54">
        <f t="shared" si="38"/>
        <v>0.42228541961334909</v>
      </c>
      <c r="AZ129" s="54">
        <f t="shared" si="38"/>
        <v>0.41604474838753608</v>
      </c>
      <c r="BA129" s="54">
        <f t="shared" si="38"/>
        <v>0.40989630383008485</v>
      </c>
      <c r="BB129" s="54">
        <f t="shared" si="38"/>
        <v>0.40383872298530532</v>
      </c>
      <c r="BC129" s="54">
        <f t="shared" si="38"/>
        <v>0.39787066303970969</v>
      </c>
      <c r="BD129" s="54">
        <f t="shared" si="38"/>
        <v>0.39199080102434458</v>
      </c>
      <c r="BE129" s="54">
        <f t="shared" si="38"/>
        <v>0.38619783352152182</v>
      </c>
      <c r="BF129" s="54">
        <f t="shared" si="38"/>
        <v>0.38049047637588362</v>
      </c>
      <c r="BG129" s="54">
        <f t="shared" si="38"/>
        <v>0.37486746440973762</v>
      </c>
      <c r="BH129" s="54">
        <f t="shared" si="38"/>
        <v>0.36932755114259869</v>
      </c>
      <c r="BI129" s="54">
        <f t="shared" si="38"/>
        <v>0.36386950851487559</v>
      </c>
      <c r="BJ129" s="54">
        <f t="shared" si="38"/>
        <v>0.358492126615641</v>
      </c>
    </row>
    <row r="131" spans="1:62" x14ac:dyDescent="0.3">
      <c r="A131" s="4" t="s">
        <v>250</v>
      </c>
    </row>
    <row r="132" spans="1:62" x14ac:dyDescent="0.3">
      <c r="A132" s="53" t="str">
        <f t="shared" ref="A132:A163" si="39">A24</f>
        <v>project 1</v>
      </c>
      <c r="C132" s="55">
        <f t="shared" ref="C132:AH132" si="40">IF(AND(C$127&gt;=$I24,C$127&lt;$I24+$F24),INDEX($T24:$AI24,C$127-$I24+1),0)</f>
        <v>0</v>
      </c>
      <c r="D132" s="55">
        <f t="shared" si="40"/>
        <v>0</v>
      </c>
      <c r="E132" s="55">
        <f t="shared" si="40"/>
        <v>0</v>
      </c>
      <c r="F132" s="55">
        <f t="shared" si="40"/>
        <v>0</v>
      </c>
      <c r="G132" s="55">
        <f t="shared" si="40"/>
        <v>0</v>
      </c>
      <c r="H132" s="55">
        <f t="shared" si="40"/>
        <v>0</v>
      </c>
      <c r="I132" s="55">
        <f t="shared" si="40"/>
        <v>0</v>
      </c>
      <c r="J132" s="55">
        <f t="shared" si="40"/>
        <v>0</v>
      </c>
      <c r="K132" s="55">
        <f t="shared" si="40"/>
        <v>0</v>
      </c>
      <c r="L132" s="55">
        <f t="shared" si="40"/>
        <v>0</v>
      </c>
      <c r="M132" s="55">
        <f t="shared" si="40"/>
        <v>0</v>
      </c>
      <c r="N132" s="55">
        <f t="shared" si="40"/>
        <v>0</v>
      </c>
      <c r="O132" s="55">
        <f t="shared" si="40"/>
        <v>0</v>
      </c>
      <c r="P132" s="55">
        <f t="shared" si="40"/>
        <v>0.65026099999999998</v>
      </c>
      <c r="Q132" s="55">
        <f t="shared" si="40"/>
        <v>2.338245098039216</v>
      </c>
      <c r="R132" s="55">
        <f t="shared" si="40"/>
        <v>9.1310880430603625</v>
      </c>
      <c r="S132" s="55">
        <f t="shared" si="40"/>
        <v>13.55277853163564</v>
      </c>
      <c r="T132" s="55">
        <f t="shared" si="40"/>
        <v>10.14545890802062</v>
      </c>
      <c r="U132" s="55">
        <f t="shared" si="40"/>
        <v>0.51172069866851577</v>
      </c>
      <c r="V132" s="55">
        <f t="shared" si="40"/>
        <v>0</v>
      </c>
      <c r="W132" s="55">
        <f t="shared" si="40"/>
        <v>0</v>
      </c>
      <c r="X132" s="55">
        <f t="shared" si="40"/>
        <v>0</v>
      </c>
      <c r="Y132" s="55">
        <f t="shared" si="40"/>
        <v>0</v>
      </c>
      <c r="Z132" s="55">
        <f t="shared" si="40"/>
        <v>0</v>
      </c>
      <c r="AA132" s="55">
        <f t="shared" si="40"/>
        <v>0</v>
      </c>
      <c r="AB132" s="55">
        <f t="shared" si="40"/>
        <v>0</v>
      </c>
      <c r="AC132" s="55">
        <f t="shared" si="40"/>
        <v>0</v>
      </c>
      <c r="AD132" s="55">
        <f t="shared" si="40"/>
        <v>0</v>
      </c>
      <c r="AE132" s="55">
        <f t="shared" si="40"/>
        <v>0</v>
      </c>
      <c r="AF132" s="55">
        <f t="shared" si="40"/>
        <v>0</v>
      </c>
      <c r="AG132" s="55">
        <f t="shared" si="40"/>
        <v>0</v>
      </c>
      <c r="AH132" s="55">
        <f t="shared" si="40"/>
        <v>0</v>
      </c>
      <c r="AI132" s="55">
        <f t="shared" ref="AI132:BJ132" si="41">IF(AND(AI$127&gt;=$I24,AI$127&lt;$I24+$F24),INDEX($T24:$AI24,AI$127-$I24+1),0)</f>
        <v>0</v>
      </c>
      <c r="AJ132" s="55">
        <f t="shared" si="41"/>
        <v>0</v>
      </c>
      <c r="AK132" s="55">
        <f t="shared" si="41"/>
        <v>0</v>
      </c>
      <c r="AL132" s="55">
        <f t="shared" si="41"/>
        <v>0</v>
      </c>
      <c r="AM132" s="55">
        <f t="shared" si="41"/>
        <v>0</v>
      </c>
      <c r="AN132" s="55">
        <f t="shared" si="41"/>
        <v>0</v>
      </c>
      <c r="AO132" s="55">
        <f t="shared" si="41"/>
        <v>0</v>
      </c>
      <c r="AP132" s="55">
        <f t="shared" si="41"/>
        <v>0</v>
      </c>
      <c r="AQ132" s="55">
        <f t="shared" si="41"/>
        <v>0</v>
      </c>
      <c r="AR132" s="55">
        <f t="shared" si="41"/>
        <v>0</v>
      </c>
      <c r="AS132" s="55">
        <f t="shared" si="41"/>
        <v>0</v>
      </c>
      <c r="AT132" s="55">
        <f t="shared" si="41"/>
        <v>0</v>
      </c>
      <c r="AU132" s="55">
        <f t="shared" si="41"/>
        <v>0</v>
      </c>
      <c r="AV132" s="55">
        <f t="shared" si="41"/>
        <v>0</v>
      </c>
      <c r="AW132" s="55">
        <f t="shared" si="41"/>
        <v>0</v>
      </c>
      <c r="AX132" s="55">
        <f t="shared" si="41"/>
        <v>0</v>
      </c>
      <c r="AY132" s="55">
        <f t="shared" si="41"/>
        <v>0</v>
      </c>
      <c r="AZ132" s="55">
        <f t="shared" si="41"/>
        <v>0</v>
      </c>
      <c r="BA132" s="55">
        <f t="shared" si="41"/>
        <v>0</v>
      </c>
      <c r="BB132" s="55">
        <f t="shared" si="41"/>
        <v>0</v>
      </c>
      <c r="BC132" s="55">
        <f t="shared" si="41"/>
        <v>0</v>
      </c>
      <c r="BD132" s="55">
        <f t="shared" si="41"/>
        <v>0</v>
      </c>
      <c r="BE132" s="55">
        <f t="shared" si="41"/>
        <v>0</v>
      </c>
      <c r="BF132" s="55">
        <f t="shared" si="41"/>
        <v>0</v>
      </c>
      <c r="BG132" s="55">
        <f t="shared" si="41"/>
        <v>0</v>
      </c>
      <c r="BH132" s="55">
        <f t="shared" si="41"/>
        <v>0</v>
      </c>
      <c r="BI132" s="55">
        <f t="shared" si="41"/>
        <v>0</v>
      </c>
      <c r="BJ132" s="55">
        <f t="shared" si="41"/>
        <v>0</v>
      </c>
    </row>
    <row r="133" spans="1:62" x14ac:dyDescent="0.3">
      <c r="A133" s="53" t="str">
        <f t="shared" si="39"/>
        <v>project 4</v>
      </c>
      <c r="C133" s="55">
        <f t="shared" ref="C133:AH133" si="42">IF(AND(C$127&gt;=$I25,C$127&lt;$I25+$F25),INDEX($T25:$AI25,C$127-$I25+1),0)</f>
        <v>1.4237390000000001</v>
      </c>
      <c r="D133" s="55">
        <f t="shared" si="42"/>
        <v>0.25980392156862742</v>
      </c>
      <c r="E133" s="55">
        <f t="shared" si="42"/>
        <v>0</v>
      </c>
      <c r="F133" s="55">
        <f t="shared" si="42"/>
        <v>0</v>
      </c>
      <c r="G133" s="55">
        <f t="shared" si="42"/>
        <v>0</v>
      </c>
      <c r="H133" s="55">
        <f t="shared" si="42"/>
        <v>0</v>
      </c>
      <c r="I133" s="55">
        <f t="shared" si="42"/>
        <v>0</v>
      </c>
      <c r="J133" s="55">
        <f t="shared" si="42"/>
        <v>0</v>
      </c>
      <c r="K133" s="55">
        <f t="shared" si="42"/>
        <v>0</v>
      </c>
      <c r="L133" s="55">
        <f t="shared" si="42"/>
        <v>0</v>
      </c>
      <c r="M133" s="55">
        <f t="shared" si="42"/>
        <v>0</v>
      </c>
      <c r="N133" s="55">
        <f t="shared" si="42"/>
        <v>0</v>
      </c>
      <c r="O133" s="55">
        <f t="shared" si="42"/>
        <v>0</v>
      </c>
      <c r="P133" s="55">
        <f t="shared" si="42"/>
        <v>0</v>
      </c>
      <c r="Q133" s="55">
        <f t="shared" si="42"/>
        <v>0</v>
      </c>
      <c r="R133" s="55">
        <f t="shared" si="42"/>
        <v>0</v>
      </c>
      <c r="S133" s="55">
        <f t="shared" si="42"/>
        <v>0</v>
      </c>
      <c r="T133" s="55">
        <f t="shared" si="42"/>
        <v>0</v>
      </c>
      <c r="U133" s="55">
        <f t="shared" si="42"/>
        <v>0</v>
      </c>
      <c r="V133" s="55">
        <f t="shared" si="42"/>
        <v>0</v>
      </c>
      <c r="W133" s="55">
        <f t="shared" si="42"/>
        <v>0</v>
      </c>
      <c r="X133" s="55">
        <f t="shared" si="42"/>
        <v>0</v>
      </c>
      <c r="Y133" s="55">
        <f t="shared" si="42"/>
        <v>0</v>
      </c>
      <c r="Z133" s="55">
        <f t="shared" si="42"/>
        <v>0</v>
      </c>
      <c r="AA133" s="55">
        <f t="shared" si="42"/>
        <v>0</v>
      </c>
      <c r="AB133" s="55">
        <f t="shared" si="42"/>
        <v>0</v>
      </c>
      <c r="AC133" s="55">
        <f t="shared" si="42"/>
        <v>0</v>
      </c>
      <c r="AD133" s="55">
        <f t="shared" si="42"/>
        <v>0</v>
      </c>
      <c r="AE133" s="55">
        <f t="shared" si="42"/>
        <v>0</v>
      </c>
      <c r="AF133" s="55">
        <f t="shared" si="42"/>
        <v>0</v>
      </c>
      <c r="AG133" s="55">
        <f t="shared" si="42"/>
        <v>0</v>
      </c>
      <c r="AH133" s="55">
        <f t="shared" si="42"/>
        <v>0</v>
      </c>
      <c r="AI133" s="55">
        <f t="shared" ref="AI133:BJ133" si="43">IF(AND(AI$127&gt;=$I25,AI$127&lt;$I25+$F25),INDEX($T25:$AI25,AI$127-$I25+1),0)</f>
        <v>0</v>
      </c>
      <c r="AJ133" s="55">
        <f t="shared" si="43"/>
        <v>0</v>
      </c>
      <c r="AK133" s="55">
        <f t="shared" si="43"/>
        <v>0</v>
      </c>
      <c r="AL133" s="55">
        <f t="shared" si="43"/>
        <v>0</v>
      </c>
      <c r="AM133" s="55">
        <f t="shared" si="43"/>
        <v>0</v>
      </c>
      <c r="AN133" s="55">
        <f t="shared" si="43"/>
        <v>0</v>
      </c>
      <c r="AO133" s="55">
        <f t="shared" si="43"/>
        <v>0</v>
      </c>
      <c r="AP133" s="55">
        <f t="shared" si="43"/>
        <v>0</v>
      </c>
      <c r="AQ133" s="55">
        <f t="shared" si="43"/>
        <v>0</v>
      </c>
      <c r="AR133" s="55">
        <f t="shared" si="43"/>
        <v>0</v>
      </c>
      <c r="AS133" s="55">
        <f t="shared" si="43"/>
        <v>0</v>
      </c>
      <c r="AT133" s="55">
        <f t="shared" si="43"/>
        <v>0</v>
      </c>
      <c r="AU133" s="55">
        <f t="shared" si="43"/>
        <v>0</v>
      </c>
      <c r="AV133" s="55">
        <f t="shared" si="43"/>
        <v>0</v>
      </c>
      <c r="AW133" s="55">
        <f t="shared" si="43"/>
        <v>0</v>
      </c>
      <c r="AX133" s="55">
        <f t="shared" si="43"/>
        <v>0</v>
      </c>
      <c r="AY133" s="55">
        <f t="shared" si="43"/>
        <v>0</v>
      </c>
      <c r="AZ133" s="55">
        <f t="shared" si="43"/>
        <v>0</v>
      </c>
      <c r="BA133" s="55">
        <f t="shared" si="43"/>
        <v>0</v>
      </c>
      <c r="BB133" s="55">
        <f t="shared" si="43"/>
        <v>0</v>
      </c>
      <c r="BC133" s="55">
        <f t="shared" si="43"/>
        <v>0</v>
      </c>
      <c r="BD133" s="55">
        <f t="shared" si="43"/>
        <v>0</v>
      </c>
      <c r="BE133" s="55">
        <f t="shared" si="43"/>
        <v>0</v>
      </c>
      <c r="BF133" s="55">
        <f t="shared" si="43"/>
        <v>0</v>
      </c>
      <c r="BG133" s="55">
        <f t="shared" si="43"/>
        <v>0</v>
      </c>
      <c r="BH133" s="55">
        <f t="shared" si="43"/>
        <v>0</v>
      </c>
      <c r="BI133" s="55">
        <f t="shared" si="43"/>
        <v>0</v>
      </c>
      <c r="BJ133" s="55">
        <f t="shared" si="43"/>
        <v>0</v>
      </c>
    </row>
    <row r="134" spans="1:62" x14ac:dyDescent="0.3">
      <c r="A134" s="53" t="str">
        <f t="shared" si="39"/>
        <v>project 7</v>
      </c>
      <c r="C134" s="55">
        <f t="shared" ref="C134:AH134" si="44">IF(AND(C$127&gt;=$I26,C$127&lt;$I26+$F26),INDEX($T26:$AI26,C$127-$I26+1),0)</f>
        <v>0</v>
      </c>
      <c r="D134" s="55">
        <f t="shared" si="44"/>
        <v>0</v>
      </c>
      <c r="E134" s="55">
        <f t="shared" si="44"/>
        <v>0</v>
      </c>
      <c r="F134" s="55">
        <f t="shared" si="44"/>
        <v>0</v>
      </c>
      <c r="G134" s="55">
        <f t="shared" si="44"/>
        <v>0</v>
      </c>
      <c r="H134" s="55">
        <f t="shared" si="44"/>
        <v>0</v>
      </c>
      <c r="I134" s="55">
        <f t="shared" si="44"/>
        <v>0</v>
      </c>
      <c r="J134" s="55">
        <f t="shared" si="44"/>
        <v>0</v>
      </c>
      <c r="K134" s="55">
        <f t="shared" si="44"/>
        <v>0</v>
      </c>
      <c r="L134" s="55">
        <f t="shared" si="44"/>
        <v>0</v>
      </c>
      <c r="M134" s="55">
        <f t="shared" si="44"/>
        <v>0</v>
      </c>
      <c r="N134" s="55">
        <f t="shared" si="44"/>
        <v>0</v>
      </c>
      <c r="O134" s="55">
        <f t="shared" si="44"/>
        <v>7.63</v>
      </c>
      <c r="P134" s="55">
        <f t="shared" si="44"/>
        <v>0</v>
      </c>
      <c r="Q134" s="55">
        <f t="shared" si="44"/>
        <v>0</v>
      </c>
      <c r="R134" s="55">
        <f t="shared" si="44"/>
        <v>0</v>
      </c>
      <c r="S134" s="55">
        <f t="shared" si="44"/>
        <v>0</v>
      </c>
      <c r="T134" s="55">
        <f t="shared" si="44"/>
        <v>0</v>
      </c>
      <c r="U134" s="55">
        <f t="shared" si="44"/>
        <v>0</v>
      </c>
      <c r="V134" s="55">
        <f t="shared" si="44"/>
        <v>0</v>
      </c>
      <c r="W134" s="55">
        <f t="shared" si="44"/>
        <v>0</v>
      </c>
      <c r="X134" s="55">
        <f t="shared" si="44"/>
        <v>0</v>
      </c>
      <c r="Y134" s="55">
        <f t="shared" si="44"/>
        <v>0</v>
      </c>
      <c r="Z134" s="55">
        <f t="shared" si="44"/>
        <v>0</v>
      </c>
      <c r="AA134" s="55">
        <f t="shared" si="44"/>
        <v>0</v>
      </c>
      <c r="AB134" s="55">
        <f t="shared" si="44"/>
        <v>0</v>
      </c>
      <c r="AC134" s="55">
        <f t="shared" si="44"/>
        <v>0</v>
      </c>
      <c r="AD134" s="55">
        <f t="shared" si="44"/>
        <v>0</v>
      </c>
      <c r="AE134" s="55">
        <f t="shared" si="44"/>
        <v>0</v>
      </c>
      <c r="AF134" s="55">
        <f t="shared" si="44"/>
        <v>0</v>
      </c>
      <c r="AG134" s="55">
        <f t="shared" si="44"/>
        <v>0</v>
      </c>
      <c r="AH134" s="55">
        <f t="shared" si="44"/>
        <v>0</v>
      </c>
      <c r="AI134" s="55">
        <f t="shared" ref="AI134:BJ134" si="45">IF(AND(AI$127&gt;=$I26,AI$127&lt;$I26+$F26),INDEX($T26:$AI26,AI$127-$I26+1),0)</f>
        <v>0</v>
      </c>
      <c r="AJ134" s="55">
        <f t="shared" si="45"/>
        <v>0</v>
      </c>
      <c r="AK134" s="55">
        <f t="shared" si="45"/>
        <v>0</v>
      </c>
      <c r="AL134" s="55">
        <f t="shared" si="45"/>
        <v>0</v>
      </c>
      <c r="AM134" s="55">
        <f t="shared" si="45"/>
        <v>0</v>
      </c>
      <c r="AN134" s="55">
        <f t="shared" si="45"/>
        <v>0</v>
      </c>
      <c r="AO134" s="55">
        <f t="shared" si="45"/>
        <v>0</v>
      </c>
      <c r="AP134" s="55">
        <f t="shared" si="45"/>
        <v>0</v>
      </c>
      <c r="AQ134" s="55">
        <f t="shared" si="45"/>
        <v>0</v>
      </c>
      <c r="AR134" s="55">
        <f t="shared" si="45"/>
        <v>0</v>
      </c>
      <c r="AS134" s="55">
        <f t="shared" si="45"/>
        <v>0</v>
      </c>
      <c r="AT134" s="55">
        <f t="shared" si="45"/>
        <v>0</v>
      </c>
      <c r="AU134" s="55">
        <f t="shared" si="45"/>
        <v>0</v>
      </c>
      <c r="AV134" s="55">
        <f t="shared" si="45"/>
        <v>0</v>
      </c>
      <c r="AW134" s="55">
        <f t="shared" si="45"/>
        <v>0</v>
      </c>
      <c r="AX134" s="55">
        <f t="shared" si="45"/>
        <v>0</v>
      </c>
      <c r="AY134" s="55">
        <f t="shared" si="45"/>
        <v>0</v>
      </c>
      <c r="AZ134" s="55">
        <f t="shared" si="45"/>
        <v>0</v>
      </c>
      <c r="BA134" s="55">
        <f t="shared" si="45"/>
        <v>0</v>
      </c>
      <c r="BB134" s="55">
        <f t="shared" si="45"/>
        <v>0</v>
      </c>
      <c r="BC134" s="55">
        <f t="shared" si="45"/>
        <v>0</v>
      </c>
      <c r="BD134" s="55">
        <f t="shared" si="45"/>
        <v>0</v>
      </c>
      <c r="BE134" s="55">
        <f t="shared" si="45"/>
        <v>0</v>
      </c>
      <c r="BF134" s="55">
        <f t="shared" si="45"/>
        <v>0</v>
      </c>
      <c r="BG134" s="55">
        <f t="shared" si="45"/>
        <v>0</v>
      </c>
      <c r="BH134" s="55">
        <f t="shared" si="45"/>
        <v>0</v>
      </c>
      <c r="BI134" s="55">
        <f t="shared" si="45"/>
        <v>0</v>
      </c>
      <c r="BJ134" s="55">
        <f t="shared" si="45"/>
        <v>0</v>
      </c>
    </row>
    <row r="135" spans="1:62" x14ac:dyDescent="0.3">
      <c r="A135" s="53" t="str">
        <f t="shared" si="39"/>
        <v>project 8</v>
      </c>
      <c r="C135" s="55">
        <f t="shared" ref="C135:AH135" si="46">IF(AND(C$127&gt;=$I27,C$127&lt;$I27+$F27),INDEX($T27:$AI27,C$127-$I27+1),0)</f>
        <v>0</v>
      </c>
      <c r="D135" s="55">
        <f t="shared" si="46"/>
        <v>0</v>
      </c>
      <c r="E135" s="55">
        <f t="shared" si="46"/>
        <v>0</v>
      </c>
      <c r="F135" s="55">
        <f t="shared" si="46"/>
        <v>0</v>
      </c>
      <c r="G135" s="55">
        <f t="shared" si="46"/>
        <v>0</v>
      </c>
      <c r="H135" s="55">
        <f t="shared" si="46"/>
        <v>0</v>
      </c>
      <c r="I135" s="55">
        <f t="shared" si="46"/>
        <v>0</v>
      </c>
      <c r="J135" s="55">
        <f t="shared" si="46"/>
        <v>0</v>
      </c>
      <c r="K135" s="55">
        <f t="shared" si="46"/>
        <v>0</v>
      </c>
      <c r="L135" s="55">
        <f t="shared" si="46"/>
        <v>0</v>
      </c>
      <c r="M135" s="55">
        <f t="shared" si="46"/>
        <v>0</v>
      </c>
      <c r="N135" s="55">
        <f t="shared" si="46"/>
        <v>5.45</v>
      </c>
      <c r="O135" s="55">
        <f t="shared" si="46"/>
        <v>0</v>
      </c>
      <c r="P135" s="55">
        <f t="shared" si="46"/>
        <v>0</v>
      </c>
      <c r="Q135" s="55">
        <f t="shared" si="46"/>
        <v>0</v>
      </c>
      <c r="R135" s="55">
        <f t="shared" si="46"/>
        <v>0</v>
      </c>
      <c r="S135" s="55">
        <f t="shared" si="46"/>
        <v>0</v>
      </c>
      <c r="T135" s="55">
        <f t="shared" si="46"/>
        <v>0</v>
      </c>
      <c r="U135" s="55">
        <f t="shared" si="46"/>
        <v>0</v>
      </c>
      <c r="V135" s="55">
        <f t="shared" si="46"/>
        <v>0</v>
      </c>
      <c r="W135" s="55">
        <f t="shared" si="46"/>
        <v>0</v>
      </c>
      <c r="X135" s="55">
        <f t="shared" si="46"/>
        <v>0</v>
      </c>
      <c r="Y135" s="55">
        <f t="shared" si="46"/>
        <v>0</v>
      </c>
      <c r="Z135" s="55">
        <f t="shared" si="46"/>
        <v>0</v>
      </c>
      <c r="AA135" s="55">
        <f t="shared" si="46"/>
        <v>0</v>
      </c>
      <c r="AB135" s="55">
        <f t="shared" si="46"/>
        <v>0</v>
      </c>
      <c r="AC135" s="55">
        <f t="shared" si="46"/>
        <v>0</v>
      </c>
      <c r="AD135" s="55">
        <f t="shared" si="46"/>
        <v>0</v>
      </c>
      <c r="AE135" s="55">
        <f t="shared" si="46"/>
        <v>0</v>
      </c>
      <c r="AF135" s="55">
        <f t="shared" si="46"/>
        <v>0</v>
      </c>
      <c r="AG135" s="55">
        <f t="shared" si="46"/>
        <v>0</v>
      </c>
      <c r="AH135" s="55">
        <f t="shared" si="46"/>
        <v>0</v>
      </c>
      <c r="AI135" s="55">
        <f t="shared" ref="AI135:BJ135" si="47">IF(AND(AI$127&gt;=$I27,AI$127&lt;$I27+$F27),INDEX($T27:$AI27,AI$127-$I27+1),0)</f>
        <v>0</v>
      </c>
      <c r="AJ135" s="55">
        <f t="shared" si="47"/>
        <v>0</v>
      </c>
      <c r="AK135" s="55">
        <f t="shared" si="47"/>
        <v>0</v>
      </c>
      <c r="AL135" s="55">
        <f t="shared" si="47"/>
        <v>0</v>
      </c>
      <c r="AM135" s="55">
        <f t="shared" si="47"/>
        <v>0</v>
      </c>
      <c r="AN135" s="55">
        <f t="shared" si="47"/>
        <v>0</v>
      </c>
      <c r="AO135" s="55">
        <f t="shared" si="47"/>
        <v>0</v>
      </c>
      <c r="AP135" s="55">
        <f t="shared" si="47"/>
        <v>0</v>
      </c>
      <c r="AQ135" s="55">
        <f t="shared" si="47"/>
        <v>0</v>
      </c>
      <c r="AR135" s="55">
        <f t="shared" si="47"/>
        <v>0</v>
      </c>
      <c r="AS135" s="55">
        <f t="shared" si="47"/>
        <v>0</v>
      </c>
      <c r="AT135" s="55">
        <f t="shared" si="47"/>
        <v>0</v>
      </c>
      <c r="AU135" s="55">
        <f t="shared" si="47"/>
        <v>0</v>
      </c>
      <c r="AV135" s="55">
        <f t="shared" si="47"/>
        <v>0</v>
      </c>
      <c r="AW135" s="55">
        <f t="shared" si="47"/>
        <v>0</v>
      </c>
      <c r="AX135" s="55">
        <f t="shared" si="47"/>
        <v>0</v>
      </c>
      <c r="AY135" s="55">
        <f t="shared" si="47"/>
        <v>0</v>
      </c>
      <c r="AZ135" s="55">
        <f t="shared" si="47"/>
        <v>0</v>
      </c>
      <c r="BA135" s="55">
        <f t="shared" si="47"/>
        <v>0</v>
      </c>
      <c r="BB135" s="55">
        <f t="shared" si="47"/>
        <v>0</v>
      </c>
      <c r="BC135" s="55">
        <f t="shared" si="47"/>
        <v>0</v>
      </c>
      <c r="BD135" s="55">
        <f t="shared" si="47"/>
        <v>0</v>
      </c>
      <c r="BE135" s="55">
        <f t="shared" si="47"/>
        <v>0</v>
      </c>
      <c r="BF135" s="55">
        <f t="shared" si="47"/>
        <v>0</v>
      </c>
      <c r="BG135" s="55">
        <f t="shared" si="47"/>
        <v>0</v>
      </c>
      <c r="BH135" s="55">
        <f t="shared" si="47"/>
        <v>0</v>
      </c>
      <c r="BI135" s="55">
        <f t="shared" si="47"/>
        <v>0</v>
      </c>
      <c r="BJ135" s="55">
        <f t="shared" si="47"/>
        <v>0</v>
      </c>
    </row>
    <row r="136" spans="1:62" x14ac:dyDescent="0.3">
      <c r="A136" s="53" t="str">
        <f t="shared" si="39"/>
        <v>project 9</v>
      </c>
      <c r="C136" s="55">
        <f t="shared" ref="C136:AH136" si="48">IF(AND(C$127&gt;=$I28,C$127&lt;$I28+$F28),INDEX($T28:$AI28,C$127-$I28+1),0)</f>
        <v>4.3600000000000003</v>
      </c>
      <c r="D136" s="55">
        <f t="shared" si="48"/>
        <v>0</v>
      </c>
      <c r="E136" s="55">
        <f t="shared" si="48"/>
        <v>0</v>
      </c>
      <c r="F136" s="55">
        <f t="shared" si="48"/>
        <v>0</v>
      </c>
      <c r="G136" s="55">
        <f t="shared" si="48"/>
        <v>0</v>
      </c>
      <c r="H136" s="55">
        <f t="shared" si="48"/>
        <v>0</v>
      </c>
      <c r="I136" s="55">
        <f t="shared" si="48"/>
        <v>0</v>
      </c>
      <c r="J136" s="55">
        <f t="shared" si="48"/>
        <v>0</v>
      </c>
      <c r="K136" s="55">
        <f t="shared" si="48"/>
        <v>0</v>
      </c>
      <c r="L136" s="55">
        <f t="shared" si="48"/>
        <v>0</v>
      </c>
      <c r="M136" s="55">
        <f t="shared" si="48"/>
        <v>0</v>
      </c>
      <c r="N136" s="55">
        <f t="shared" si="48"/>
        <v>0</v>
      </c>
      <c r="O136" s="55">
        <f t="shared" si="48"/>
        <v>0</v>
      </c>
      <c r="P136" s="55">
        <f t="shared" si="48"/>
        <v>0</v>
      </c>
      <c r="Q136" s="55">
        <f t="shared" si="48"/>
        <v>0</v>
      </c>
      <c r="R136" s="55">
        <f t="shared" si="48"/>
        <v>0</v>
      </c>
      <c r="S136" s="55">
        <f t="shared" si="48"/>
        <v>0</v>
      </c>
      <c r="T136" s="55">
        <f t="shared" si="48"/>
        <v>0</v>
      </c>
      <c r="U136" s="55">
        <f t="shared" si="48"/>
        <v>0</v>
      </c>
      <c r="V136" s="55">
        <f t="shared" si="48"/>
        <v>0</v>
      </c>
      <c r="W136" s="55">
        <f t="shared" si="48"/>
        <v>0</v>
      </c>
      <c r="X136" s="55">
        <f t="shared" si="48"/>
        <v>0</v>
      </c>
      <c r="Y136" s="55">
        <f t="shared" si="48"/>
        <v>0</v>
      </c>
      <c r="Z136" s="55">
        <f t="shared" si="48"/>
        <v>0</v>
      </c>
      <c r="AA136" s="55">
        <f t="shared" si="48"/>
        <v>0</v>
      </c>
      <c r="AB136" s="55">
        <f t="shared" si="48"/>
        <v>0</v>
      </c>
      <c r="AC136" s="55">
        <f t="shared" si="48"/>
        <v>0</v>
      </c>
      <c r="AD136" s="55">
        <f t="shared" si="48"/>
        <v>0</v>
      </c>
      <c r="AE136" s="55">
        <f t="shared" si="48"/>
        <v>0</v>
      </c>
      <c r="AF136" s="55">
        <f t="shared" si="48"/>
        <v>0</v>
      </c>
      <c r="AG136" s="55">
        <f t="shared" si="48"/>
        <v>0</v>
      </c>
      <c r="AH136" s="55">
        <f t="shared" si="48"/>
        <v>0</v>
      </c>
      <c r="AI136" s="55">
        <f t="shared" ref="AI136:BJ136" si="49">IF(AND(AI$127&gt;=$I28,AI$127&lt;$I28+$F28),INDEX($T28:$AI28,AI$127-$I28+1),0)</f>
        <v>0</v>
      </c>
      <c r="AJ136" s="55">
        <f t="shared" si="49"/>
        <v>0</v>
      </c>
      <c r="AK136" s="55">
        <f t="shared" si="49"/>
        <v>0</v>
      </c>
      <c r="AL136" s="55">
        <f t="shared" si="49"/>
        <v>0</v>
      </c>
      <c r="AM136" s="55">
        <f t="shared" si="49"/>
        <v>0</v>
      </c>
      <c r="AN136" s="55">
        <f t="shared" si="49"/>
        <v>0</v>
      </c>
      <c r="AO136" s="55">
        <f t="shared" si="49"/>
        <v>0</v>
      </c>
      <c r="AP136" s="55">
        <f t="shared" si="49"/>
        <v>0</v>
      </c>
      <c r="AQ136" s="55">
        <f t="shared" si="49"/>
        <v>0</v>
      </c>
      <c r="AR136" s="55">
        <f t="shared" si="49"/>
        <v>0</v>
      </c>
      <c r="AS136" s="55">
        <f t="shared" si="49"/>
        <v>0</v>
      </c>
      <c r="AT136" s="55">
        <f t="shared" si="49"/>
        <v>0</v>
      </c>
      <c r="AU136" s="55">
        <f t="shared" si="49"/>
        <v>0</v>
      </c>
      <c r="AV136" s="55">
        <f t="shared" si="49"/>
        <v>0</v>
      </c>
      <c r="AW136" s="55">
        <f t="shared" si="49"/>
        <v>0</v>
      </c>
      <c r="AX136" s="55">
        <f t="shared" si="49"/>
        <v>0</v>
      </c>
      <c r="AY136" s="55">
        <f t="shared" si="49"/>
        <v>0</v>
      </c>
      <c r="AZ136" s="55">
        <f t="shared" si="49"/>
        <v>0</v>
      </c>
      <c r="BA136" s="55">
        <f t="shared" si="49"/>
        <v>0</v>
      </c>
      <c r="BB136" s="55">
        <f t="shared" si="49"/>
        <v>0</v>
      </c>
      <c r="BC136" s="55">
        <f t="shared" si="49"/>
        <v>0</v>
      </c>
      <c r="BD136" s="55">
        <f t="shared" si="49"/>
        <v>0</v>
      </c>
      <c r="BE136" s="55">
        <f t="shared" si="49"/>
        <v>0</v>
      </c>
      <c r="BF136" s="55">
        <f t="shared" si="49"/>
        <v>0</v>
      </c>
      <c r="BG136" s="55">
        <f t="shared" si="49"/>
        <v>0</v>
      </c>
      <c r="BH136" s="55">
        <f t="shared" si="49"/>
        <v>0</v>
      </c>
      <c r="BI136" s="55">
        <f t="shared" si="49"/>
        <v>0</v>
      </c>
      <c r="BJ136" s="55">
        <f t="shared" si="49"/>
        <v>0</v>
      </c>
    </row>
    <row r="137" spans="1:62" x14ac:dyDescent="0.3">
      <c r="A137" s="53" t="str">
        <f t="shared" si="39"/>
        <v>project 12</v>
      </c>
      <c r="C137" s="55">
        <f t="shared" ref="C137:AH137" si="50">IF(AND(C$127&gt;=$I29,C$127&lt;$I29+$F29),INDEX($T29:$AI29,C$127-$I29+1),0)</f>
        <v>0</v>
      </c>
      <c r="D137" s="55">
        <f t="shared" si="50"/>
        <v>0</v>
      </c>
      <c r="E137" s="55">
        <f t="shared" si="50"/>
        <v>0</v>
      </c>
      <c r="F137" s="55">
        <f t="shared" si="50"/>
        <v>0</v>
      </c>
      <c r="G137" s="55">
        <f t="shared" si="50"/>
        <v>0</v>
      </c>
      <c r="H137" s="55">
        <f t="shared" si="50"/>
        <v>0</v>
      </c>
      <c r="I137" s="55">
        <f t="shared" si="50"/>
        <v>0</v>
      </c>
      <c r="J137" s="55">
        <f t="shared" si="50"/>
        <v>0</v>
      </c>
      <c r="K137" s="55">
        <f t="shared" si="50"/>
        <v>0</v>
      </c>
      <c r="L137" s="55">
        <f t="shared" si="50"/>
        <v>0</v>
      </c>
      <c r="M137" s="55">
        <f t="shared" si="50"/>
        <v>0</v>
      </c>
      <c r="N137" s="55">
        <f t="shared" si="50"/>
        <v>2.2890000000000001</v>
      </c>
      <c r="O137" s="55">
        <f t="shared" si="50"/>
        <v>0.69460784313725488</v>
      </c>
      <c r="P137" s="55">
        <f t="shared" si="50"/>
        <v>0</v>
      </c>
      <c r="Q137" s="55">
        <f t="shared" si="50"/>
        <v>0</v>
      </c>
      <c r="R137" s="55">
        <f t="shared" si="50"/>
        <v>0</v>
      </c>
      <c r="S137" s="55">
        <f t="shared" si="50"/>
        <v>0</v>
      </c>
      <c r="T137" s="55">
        <f t="shared" si="50"/>
        <v>0</v>
      </c>
      <c r="U137" s="55">
        <f t="shared" si="50"/>
        <v>0</v>
      </c>
      <c r="V137" s="55">
        <f t="shared" si="50"/>
        <v>0</v>
      </c>
      <c r="W137" s="55">
        <f t="shared" si="50"/>
        <v>0</v>
      </c>
      <c r="X137" s="55">
        <f t="shared" si="50"/>
        <v>0</v>
      </c>
      <c r="Y137" s="55">
        <f t="shared" si="50"/>
        <v>0</v>
      </c>
      <c r="Z137" s="55">
        <f t="shared" si="50"/>
        <v>0</v>
      </c>
      <c r="AA137" s="55">
        <f t="shared" si="50"/>
        <v>0</v>
      </c>
      <c r="AB137" s="55">
        <f t="shared" si="50"/>
        <v>0</v>
      </c>
      <c r="AC137" s="55">
        <f t="shared" si="50"/>
        <v>0</v>
      </c>
      <c r="AD137" s="55">
        <f t="shared" si="50"/>
        <v>0</v>
      </c>
      <c r="AE137" s="55">
        <f t="shared" si="50"/>
        <v>0</v>
      </c>
      <c r="AF137" s="55">
        <f t="shared" si="50"/>
        <v>0</v>
      </c>
      <c r="AG137" s="55">
        <f t="shared" si="50"/>
        <v>0</v>
      </c>
      <c r="AH137" s="55">
        <f t="shared" si="50"/>
        <v>0</v>
      </c>
      <c r="AI137" s="55">
        <f t="shared" ref="AI137:BJ137" si="51">IF(AND(AI$127&gt;=$I29,AI$127&lt;$I29+$F29),INDEX($T29:$AI29,AI$127-$I29+1),0)</f>
        <v>0</v>
      </c>
      <c r="AJ137" s="55">
        <f t="shared" si="51"/>
        <v>0</v>
      </c>
      <c r="AK137" s="55">
        <f t="shared" si="51"/>
        <v>0</v>
      </c>
      <c r="AL137" s="55">
        <f t="shared" si="51"/>
        <v>0</v>
      </c>
      <c r="AM137" s="55">
        <f t="shared" si="51"/>
        <v>0</v>
      </c>
      <c r="AN137" s="55">
        <f t="shared" si="51"/>
        <v>0</v>
      </c>
      <c r="AO137" s="55">
        <f t="shared" si="51"/>
        <v>0</v>
      </c>
      <c r="AP137" s="55">
        <f t="shared" si="51"/>
        <v>0</v>
      </c>
      <c r="AQ137" s="55">
        <f t="shared" si="51"/>
        <v>0</v>
      </c>
      <c r="AR137" s="55">
        <f t="shared" si="51"/>
        <v>0</v>
      </c>
      <c r="AS137" s="55">
        <f t="shared" si="51"/>
        <v>0</v>
      </c>
      <c r="AT137" s="55">
        <f t="shared" si="51"/>
        <v>0</v>
      </c>
      <c r="AU137" s="55">
        <f t="shared" si="51"/>
        <v>0</v>
      </c>
      <c r="AV137" s="55">
        <f t="shared" si="51"/>
        <v>0</v>
      </c>
      <c r="AW137" s="55">
        <f t="shared" si="51"/>
        <v>0</v>
      </c>
      <c r="AX137" s="55">
        <f t="shared" si="51"/>
        <v>0</v>
      </c>
      <c r="AY137" s="55">
        <f t="shared" si="51"/>
        <v>0</v>
      </c>
      <c r="AZ137" s="55">
        <f t="shared" si="51"/>
        <v>0</v>
      </c>
      <c r="BA137" s="55">
        <f t="shared" si="51"/>
        <v>0</v>
      </c>
      <c r="BB137" s="55">
        <f t="shared" si="51"/>
        <v>0</v>
      </c>
      <c r="BC137" s="55">
        <f t="shared" si="51"/>
        <v>0</v>
      </c>
      <c r="BD137" s="55">
        <f t="shared" si="51"/>
        <v>0</v>
      </c>
      <c r="BE137" s="55">
        <f t="shared" si="51"/>
        <v>0</v>
      </c>
      <c r="BF137" s="55">
        <f t="shared" si="51"/>
        <v>0</v>
      </c>
      <c r="BG137" s="55">
        <f t="shared" si="51"/>
        <v>0</v>
      </c>
      <c r="BH137" s="55">
        <f t="shared" si="51"/>
        <v>0</v>
      </c>
      <c r="BI137" s="55">
        <f t="shared" si="51"/>
        <v>0</v>
      </c>
      <c r="BJ137" s="55">
        <f t="shared" si="51"/>
        <v>0</v>
      </c>
    </row>
    <row r="138" spans="1:62" x14ac:dyDescent="0.3">
      <c r="A138" s="53" t="str">
        <f t="shared" si="39"/>
        <v>project 16</v>
      </c>
      <c r="C138" s="55">
        <f t="shared" ref="C138:AH138" si="52">IF(AND(C$127&gt;=$I30,C$127&lt;$I30+$F30),INDEX($T30:$AI30,C$127-$I30+1),0)</f>
        <v>2.4198</v>
      </c>
      <c r="D138" s="55">
        <f t="shared" si="52"/>
        <v>0</v>
      </c>
      <c r="E138" s="55">
        <f t="shared" si="52"/>
        <v>0</v>
      </c>
      <c r="F138" s="55">
        <f t="shared" si="52"/>
        <v>0</v>
      </c>
      <c r="G138" s="55">
        <f t="shared" si="52"/>
        <v>0</v>
      </c>
      <c r="H138" s="55">
        <f t="shared" si="52"/>
        <v>0</v>
      </c>
      <c r="I138" s="55">
        <f t="shared" si="52"/>
        <v>0</v>
      </c>
      <c r="J138" s="55">
        <f t="shared" si="52"/>
        <v>0</v>
      </c>
      <c r="K138" s="55">
        <f t="shared" si="52"/>
        <v>0</v>
      </c>
      <c r="L138" s="55">
        <f t="shared" si="52"/>
        <v>0</v>
      </c>
      <c r="M138" s="55">
        <f t="shared" si="52"/>
        <v>0</v>
      </c>
      <c r="N138" s="55">
        <f t="shared" si="52"/>
        <v>0</v>
      </c>
      <c r="O138" s="55">
        <f t="shared" si="52"/>
        <v>0</v>
      </c>
      <c r="P138" s="55">
        <f t="shared" si="52"/>
        <v>0</v>
      </c>
      <c r="Q138" s="55">
        <f t="shared" si="52"/>
        <v>0</v>
      </c>
      <c r="R138" s="55">
        <f t="shared" si="52"/>
        <v>0</v>
      </c>
      <c r="S138" s="55">
        <f t="shared" si="52"/>
        <v>0</v>
      </c>
      <c r="T138" s="55">
        <f t="shared" si="52"/>
        <v>0</v>
      </c>
      <c r="U138" s="55">
        <f t="shared" si="52"/>
        <v>0</v>
      </c>
      <c r="V138" s="55">
        <f t="shared" si="52"/>
        <v>0</v>
      </c>
      <c r="W138" s="55">
        <f t="shared" si="52"/>
        <v>0</v>
      </c>
      <c r="X138" s="55">
        <f t="shared" si="52"/>
        <v>0</v>
      </c>
      <c r="Y138" s="55">
        <f t="shared" si="52"/>
        <v>0</v>
      </c>
      <c r="Z138" s="55">
        <f t="shared" si="52"/>
        <v>0</v>
      </c>
      <c r="AA138" s="55">
        <f t="shared" si="52"/>
        <v>0</v>
      </c>
      <c r="AB138" s="55">
        <f t="shared" si="52"/>
        <v>0</v>
      </c>
      <c r="AC138" s="55">
        <f t="shared" si="52"/>
        <v>0</v>
      </c>
      <c r="AD138" s="55">
        <f t="shared" si="52"/>
        <v>0</v>
      </c>
      <c r="AE138" s="55">
        <f t="shared" si="52"/>
        <v>0</v>
      </c>
      <c r="AF138" s="55">
        <f t="shared" si="52"/>
        <v>0</v>
      </c>
      <c r="AG138" s="55">
        <f t="shared" si="52"/>
        <v>0</v>
      </c>
      <c r="AH138" s="55">
        <f t="shared" si="52"/>
        <v>0</v>
      </c>
      <c r="AI138" s="55">
        <f t="shared" ref="AI138:BJ138" si="53">IF(AND(AI$127&gt;=$I30,AI$127&lt;$I30+$F30),INDEX($T30:$AI30,AI$127-$I30+1),0)</f>
        <v>0</v>
      </c>
      <c r="AJ138" s="55">
        <f t="shared" si="53"/>
        <v>0</v>
      </c>
      <c r="AK138" s="55">
        <f t="shared" si="53"/>
        <v>0</v>
      </c>
      <c r="AL138" s="55">
        <f t="shared" si="53"/>
        <v>0</v>
      </c>
      <c r="AM138" s="55">
        <f t="shared" si="53"/>
        <v>0</v>
      </c>
      <c r="AN138" s="55">
        <f t="shared" si="53"/>
        <v>0</v>
      </c>
      <c r="AO138" s="55">
        <f t="shared" si="53"/>
        <v>0</v>
      </c>
      <c r="AP138" s="55">
        <f t="shared" si="53"/>
        <v>0</v>
      </c>
      <c r="AQ138" s="55">
        <f t="shared" si="53"/>
        <v>0</v>
      </c>
      <c r="AR138" s="55">
        <f t="shared" si="53"/>
        <v>0</v>
      </c>
      <c r="AS138" s="55">
        <f t="shared" si="53"/>
        <v>0</v>
      </c>
      <c r="AT138" s="55">
        <f t="shared" si="53"/>
        <v>0</v>
      </c>
      <c r="AU138" s="55">
        <f t="shared" si="53"/>
        <v>0</v>
      </c>
      <c r="AV138" s="55">
        <f t="shared" si="53"/>
        <v>0</v>
      </c>
      <c r="AW138" s="55">
        <f t="shared" si="53"/>
        <v>0</v>
      </c>
      <c r="AX138" s="55">
        <f t="shared" si="53"/>
        <v>0</v>
      </c>
      <c r="AY138" s="55">
        <f t="shared" si="53"/>
        <v>0</v>
      </c>
      <c r="AZ138" s="55">
        <f t="shared" si="53"/>
        <v>0</v>
      </c>
      <c r="BA138" s="55">
        <f t="shared" si="53"/>
        <v>0</v>
      </c>
      <c r="BB138" s="55">
        <f t="shared" si="53"/>
        <v>0</v>
      </c>
      <c r="BC138" s="55">
        <f t="shared" si="53"/>
        <v>0</v>
      </c>
      <c r="BD138" s="55">
        <f t="shared" si="53"/>
        <v>0</v>
      </c>
      <c r="BE138" s="55">
        <f t="shared" si="53"/>
        <v>0</v>
      </c>
      <c r="BF138" s="55">
        <f t="shared" si="53"/>
        <v>0</v>
      </c>
      <c r="BG138" s="55">
        <f t="shared" si="53"/>
        <v>0</v>
      </c>
      <c r="BH138" s="55">
        <f t="shared" si="53"/>
        <v>0</v>
      </c>
      <c r="BI138" s="55">
        <f t="shared" si="53"/>
        <v>0</v>
      </c>
      <c r="BJ138" s="55">
        <f t="shared" si="53"/>
        <v>0</v>
      </c>
    </row>
    <row r="139" spans="1:62" x14ac:dyDescent="0.3">
      <c r="A139" s="53" t="str">
        <f t="shared" si="39"/>
        <v>project 19</v>
      </c>
      <c r="C139" s="55">
        <f t="shared" ref="C139:AH139" si="54">IF(AND(C$127&gt;=$I31,C$127&lt;$I31+$F31),INDEX($T31:$AI31,C$127-$I31+1),0)</f>
        <v>0</v>
      </c>
      <c r="D139" s="55">
        <f t="shared" si="54"/>
        <v>0</v>
      </c>
      <c r="E139" s="55">
        <f t="shared" si="54"/>
        <v>0</v>
      </c>
      <c r="F139" s="55">
        <f t="shared" si="54"/>
        <v>0</v>
      </c>
      <c r="G139" s="55">
        <f t="shared" si="54"/>
        <v>0</v>
      </c>
      <c r="H139" s="55">
        <f t="shared" si="54"/>
        <v>0</v>
      </c>
      <c r="I139" s="55">
        <f t="shared" si="54"/>
        <v>0</v>
      </c>
      <c r="J139" s="55">
        <f t="shared" si="54"/>
        <v>0</v>
      </c>
      <c r="K139" s="55">
        <f t="shared" si="54"/>
        <v>0</v>
      </c>
      <c r="L139" s="55">
        <f t="shared" si="54"/>
        <v>0</v>
      </c>
      <c r="M139" s="55">
        <f t="shared" si="54"/>
        <v>0</v>
      </c>
      <c r="N139" s="55">
        <f t="shared" si="54"/>
        <v>0</v>
      </c>
      <c r="O139" s="55">
        <f t="shared" si="54"/>
        <v>0</v>
      </c>
      <c r="P139" s="55">
        <f t="shared" si="54"/>
        <v>0</v>
      </c>
      <c r="Q139" s="55">
        <f t="shared" si="54"/>
        <v>0</v>
      </c>
      <c r="R139" s="55">
        <f t="shared" si="54"/>
        <v>0</v>
      </c>
      <c r="S139" s="55">
        <f t="shared" si="54"/>
        <v>2.0710000000000002</v>
      </c>
      <c r="T139" s="55">
        <f t="shared" si="54"/>
        <v>0</v>
      </c>
      <c r="U139" s="55">
        <f t="shared" si="54"/>
        <v>0</v>
      </c>
      <c r="V139" s="55">
        <f t="shared" si="54"/>
        <v>0</v>
      </c>
      <c r="W139" s="55">
        <f t="shared" si="54"/>
        <v>0</v>
      </c>
      <c r="X139" s="55">
        <f t="shared" si="54"/>
        <v>0</v>
      </c>
      <c r="Y139" s="55">
        <f t="shared" si="54"/>
        <v>0</v>
      </c>
      <c r="Z139" s="55">
        <f t="shared" si="54"/>
        <v>0</v>
      </c>
      <c r="AA139" s="55">
        <f t="shared" si="54"/>
        <v>0</v>
      </c>
      <c r="AB139" s="55">
        <f t="shared" si="54"/>
        <v>0</v>
      </c>
      <c r="AC139" s="55">
        <f t="shared" si="54"/>
        <v>0</v>
      </c>
      <c r="AD139" s="55">
        <f t="shared" si="54"/>
        <v>0</v>
      </c>
      <c r="AE139" s="55">
        <f t="shared" si="54"/>
        <v>0</v>
      </c>
      <c r="AF139" s="55">
        <f t="shared" si="54"/>
        <v>0</v>
      </c>
      <c r="AG139" s="55">
        <f t="shared" si="54"/>
        <v>0</v>
      </c>
      <c r="AH139" s="55">
        <f t="shared" si="54"/>
        <v>0</v>
      </c>
      <c r="AI139" s="55">
        <f t="shared" ref="AI139:BJ139" si="55">IF(AND(AI$127&gt;=$I31,AI$127&lt;$I31+$F31),INDEX($T31:$AI31,AI$127-$I31+1),0)</f>
        <v>0</v>
      </c>
      <c r="AJ139" s="55">
        <f t="shared" si="55"/>
        <v>0</v>
      </c>
      <c r="AK139" s="55">
        <f t="shared" si="55"/>
        <v>0</v>
      </c>
      <c r="AL139" s="55">
        <f t="shared" si="55"/>
        <v>0</v>
      </c>
      <c r="AM139" s="55">
        <f t="shared" si="55"/>
        <v>0</v>
      </c>
      <c r="AN139" s="55">
        <f t="shared" si="55"/>
        <v>0</v>
      </c>
      <c r="AO139" s="55">
        <f t="shared" si="55"/>
        <v>0</v>
      </c>
      <c r="AP139" s="55">
        <f t="shared" si="55"/>
        <v>0</v>
      </c>
      <c r="AQ139" s="55">
        <f t="shared" si="55"/>
        <v>0</v>
      </c>
      <c r="AR139" s="55">
        <f t="shared" si="55"/>
        <v>0</v>
      </c>
      <c r="AS139" s="55">
        <f t="shared" si="55"/>
        <v>0</v>
      </c>
      <c r="AT139" s="55">
        <f t="shared" si="55"/>
        <v>0</v>
      </c>
      <c r="AU139" s="55">
        <f t="shared" si="55"/>
        <v>0</v>
      </c>
      <c r="AV139" s="55">
        <f t="shared" si="55"/>
        <v>0</v>
      </c>
      <c r="AW139" s="55">
        <f t="shared" si="55"/>
        <v>0</v>
      </c>
      <c r="AX139" s="55">
        <f t="shared" si="55"/>
        <v>0</v>
      </c>
      <c r="AY139" s="55">
        <f t="shared" si="55"/>
        <v>0</v>
      </c>
      <c r="AZ139" s="55">
        <f t="shared" si="55"/>
        <v>0</v>
      </c>
      <c r="BA139" s="55">
        <f t="shared" si="55"/>
        <v>0</v>
      </c>
      <c r="BB139" s="55">
        <f t="shared" si="55"/>
        <v>0</v>
      </c>
      <c r="BC139" s="55">
        <f t="shared" si="55"/>
        <v>0</v>
      </c>
      <c r="BD139" s="55">
        <f t="shared" si="55"/>
        <v>0</v>
      </c>
      <c r="BE139" s="55">
        <f t="shared" si="55"/>
        <v>0</v>
      </c>
      <c r="BF139" s="55">
        <f t="shared" si="55"/>
        <v>0</v>
      </c>
      <c r="BG139" s="55">
        <f t="shared" si="55"/>
        <v>0</v>
      </c>
      <c r="BH139" s="55">
        <f t="shared" si="55"/>
        <v>0</v>
      </c>
      <c r="BI139" s="55">
        <f t="shared" si="55"/>
        <v>0</v>
      </c>
      <c r="BJ139" s="55">
        <f t="shared" si="55"/>
        <v>0</v>
      </c>
    </row>
    <row r="140" spans="1:62" x14ac:dyDescent="0.3">
      <c r="A140" s="53" t="str">
        <f t="shared" si="39"/>
        <v>project 20</v>
      </c>
      <c r="C140" s="55">
        <f t="shared" ref="C140:AH140" si="56">IF(AND(C$127&gt;=$I32,C$127&lt;$I32+$F32),INDEX($T32:$AI32,C$127-$I32+1),0)</f>
        <v>0</v>
      </c>
      <c r="D140" s="55">
        <f t="shared" si="56"/>
        <v>0</v>
      </c>
      <c r="E140" s="55">
        <f t="shared" si="56"/>
        <v>0</v>
      </c>
      <c r="F140" s="55">
        <f t="shared" si="56"/>
        <v>0</v>
      </c>
      <c r="G140" s="55">
        <f t="shared" si="56"/>
        <v>0</v>
      </c>
      <c r="H140" s="55">
        <f t="shared" si="56"/>
        <v>0</v>
      </c>
      <c r="I140" s="55">
        <f t="shared" si="56"/>
        <v>0</v>
      </c>
      <c r="J140" s="55">
        <f t="shared" si="56"/>
        <v>0</v>
      </c>
      <c r="K140" s="55">
        <f t="shared" si="56"/>
        <v>0</v>
      </c>
      <c r="L140" s="55">
        <f t="shared" si="56"/>
        <v>1.6568000000000001</v>
      </c>
      <c r="M140" s="55">
        <f t="shared" si="56"/>
        <v>0.16029411764705881</v>
      </c>
      <c r="N140" s="55">
        <f t="shared" si="56"/>
        <v>0</v>
      </c>
      <c r="O140" s="55">
        <f t="shared" si="56"/>
        <v>0</v>
      </c>
      <c r="P140" s="55">
        <f t="shared" si="56"/>
        <v>0</v>
      </c>
      <c r="Q140" s="55">
        <f t="shared" si="56"/>
        <v>0</v>
      </c>
      <c r="R140" s="55">
        <f t="shared" si="56"/>
        <v>0</v>
      </c>
      <c r="S140" s="55">
        <f t="shared" si="56"/>
        <v>0</v>
      </c>
      <c r="T140" s="55">
        <f t="shared" si="56"/>
        <v>0</v>
      </c>
      <c r="U140" s="55">
        <f t="shared" si="56"/>
        <v>0</v>
      </c>
      <c r="V140" s="55">
        <f t="shared" si="56"/>
        <v>0</v>
      </c>
      <c r="W140" s="55">
        <f t="shared" si="56"/>
        <v>0</v>
      </c>
      <c r="X140" s="55">
        <f t="shared" si="56"/>
        <v>0</v>
      </c>
      <c r="Y140" s="55">
        <f t="shared" si="56"/>
        <v>0</v>
      </c>
      <c r="Z140" s="55">
        <f t="shared" si="56"/>
        <v>0</v>
      </c>
      <c r="AA140" s="55">
        <f t="shared" si="56"/>
        <v>0</v>
      </c>
      <c r="AB140" s="55">
        <f t="shared" si="56"/>
        <v>0</v>
      </c>
      <c r="AC140" s="55">
        <f t="shared" si="56"/>
        <v>0</v>
      </c>
      <c r="AD140" s="55">
        <f t="shared" si="56"/>
        <v>0</v>
      </c>
      <c r="AE140" s="55">
        <f t="shared" si="56"/>
        <v>0</v>
      </c>
      <c r="AF140" s="55">
        <f t="shared" si="56"/>
        <v>0</v>
      </c>
      <c r="AG140" s="55">
        <f t="shared" si="56"/>
        <v>0</v>
      </c>
      <c r="AH140" s="55">
        <f t="shared" si="56"/>
        <v>0</v>
      </c>
      <c r="AI140" s="55">
        <f t="shared" ref="AI140:BJ140" si="57">IF(AND(AI$127&gt;=$I32,AI$127&lt;$I32+$F32),INDEX($T32:$AI32,AI$127-$I32+1),0)</f>
        <v>0</v>
      </c>
      <c r="AJ140" s="55">
        <f t="shared" si="57"/>
        <v>0</v>
      </c>
      <c r="AK140" s="55">
        <f t="shared" si="57"/>
        <v>0</v>
      </c>
      <c r="AL140" s="55">
        <f t="shared" si="57"/>
        <v>0</v>
      </c>
      <c r="AM140" s="55">
        <f t="shared" si="57"/>
        <v>0</v>
      </c>
      <c r="AN140" s="55">
        <f t="shared" si="57"/>
        <v>0</v>
      </c>
      <c r="AO140" s="55">
        <f t="shared" si="57"/>
        <v>0</v>
      </c>
      <c r="AP140" s="55">
        <f t="shared" si="57"/>
        <v>0</v>
      </c>
      <c r="AQ140" s="55">
        <f t="shared" si="57"/>
        <v>0</v>
      </c>
      <c r="AR140" s="55">
        <f t="shared" si="57"/>
        <v>0</v>
      </c>
      <c r="AS140" s="55">
        <f t="shared" si="57"/>
        <v>0</v>
      </c>
      <c r="AT140" s="55">
        <f t="shared" si="57"/>
        <v>0</v>
      </c>
      <c r="AU140" s="55">
        <f t="shared" si="57"/>
        <v>0</v>
      </c>
      <c r="AV140" s="55">
        <f t="shared" si="57"/>
        <v>0</v>
      </c>
      <c r="AW140" s="55">
        <f t="shared" si="57"/>
        <v>0</v>
      </c>
      <c r="AX140" s="55">
        <f t="shared" si="57"/>
        <v>0</v>
      </c>
      <c r="AY140" s="55">
        <f t="shared" si="57"/>
        <v>0</v>
      </c>
      <c r="AZ140" s="55">
        <f t="shared" si="57"/>
        <v>0</v>
      </c>
      <c r="BA140" s="55">
        <f t="shared" si="57"/>
        <v>0</v>
      </c>
      <c r="BB140" s="55">
        <f t="shared" si="57"/>
        <v>0</v>
      </c>
      <c r="BC140" s="55">
        <f t="shared" si="57"/>
        <v>0</v>
      </c>
      <c r="BD140" s="55">
        <f t="shared" si="57"/>
        <v>0</v>
      </c>
      <c r="BE140" s="55">
        <f t="shared" si="57"/>
        <v>0</v>
      </c>
      <c r="BF140" s="55">
        <f t="shared" si="57"/>
        <v>0</v>
      </c>
      <c r="BG140" s="55">
        <f t="shared" si="57"/>
        <v>0</v>
      </c>
      <c r="BH140" s="55">
        <f t="shared" si="57"/>
        <v>0</v>
      </c>
      <c r="BI140" s="55">
        <f t="shared" si="57"/>
        <v>0</v>
      </c>
      <c r="BJ140" s="55">
        <f t="shared" si="57"/>
        <v>0</v>
      </c>
    </row>
    <row r="141" spans="1:62" x14ac:dyDescent="0.3">
      <c r="A141" s="53" t="str">
        <f t="shared" si="39"/>
        <v>project 22</v>
      </c>
      <c r="C141" s="55">
        <f t="shared" ref="C141:AH141" si="58">IF(AND(C$127&gt;=$I33,C$127&lt;$I33+$F33),INDEX($T33:$AI33,C$127-$I33+1),0)</f>
        <v>1.2251620000000001</v>
      </c>
      <c r="D141" s="55">
        <f t="shared" si="58"/>
        <v>0.16029509803921571</v>
      </c>
      <c r="E141" s="55">
        <f t="shared" si="58"/>
        <v>0</v>
      </c>
      <c r="F141" s="55">
        <f t="shared" si="58"/>
        <v>0</v>
      </c>
      <c r="G141" s="55">
        <f t="shared" si="58"/>
        <v>0</v>
      </c>
      <c r="H141" s="55">
        <f t="shared" si="58"/>
        <v>0</v>
      </c>
      <c r="I141" s="55">
        <f t="shared" si="58"/>
        <v>0</v>
      </c>
      <c r="J141" s="55">
        <f t="shared" si="58"/>
        <v>0</v>
      </c>
      <c r="K141" s="55">
        <f t="shared" si="58"/>
        <v>0</v>
      </c>
      <c r="L141" s="55">
        <f t="shared" si="58"/>
        <v>0</v>
      </c>
      <c r="M141" s="55">
        <f t="shared" si="58"/>
        <v>0</v>
      </c>
      <c r="N141" s="55">
        <f t="shared" si="58"/>
        <v>0</v>
      </c>
      <c r="O141" s="55">
        <f t="shared" si="58"/>
        <v>0</v>
      </c>
      <c r="P141" s="55">
        <f t="shared" si="58"/>
        <v>0</v>
      </c>
      <c r="Q141" s="55">
        <f t="shared" si="58"/>
        <v>0</v>
      </c>
      <c r="R141" s="55">
        <f t="shared" si="58"/>
        <v>0</v>
      </c>
      <c r="S141" s="55">
        <f t="shared" si="58"/>
        <v>0</v>
      </c>
      <c r="T141" s="55">
        <f t="shared" si="58"/>
        <v>0</v>
      </c>
      <c r="U141" s="55">
        <f t="shared" si="58"/>
        <v>0</v>
      </c>
      <c r="V141" s="55">
        <f t="shared" si="58"/>
        <v>0</v>
      </c>
      <c r="W141" s="55">
        <f t="shared" si="58"/>
        <v>0</v>
      </c>
      <c r="X141" s="55">
        <f t="shared" si="58"/>
        <v>0</v>
      </c>
      <c r="Y141" s="55">
        <f t="shared" si="58"/>
        <v>0</v>
      </c>
      <c r="Z141" s="55">
        <f t="shared" si="58"/>
        <v>0</v>
      </c>
      <c r="AA141" s="55">
        <f t="shared" si="58"/>
        <v>0</v>
      </c>
      <c r="AB141" s="55">
        <f t="shared" si="58"/>
        <v>0</v>
      </c>
      <c r="AC141" s="55">
        <f t="shared" si="58"/>
        <v>0</v>
      </c>
      <c r="AD141" s="55">
        <f t="shared" si="58"/>
        <v>0</v>
      </c>
      <c r="AE141" s="55">
        <f t="shared" si="58"/>
        <v>0</v>
      </c>
      <c r="AF141" s="55">
        <f t="shared" si="58"/>
        <v>0</v>
      </c>
      <c r="AG141" s="55">
        <f t="shared" si="58"/>
        <v>0</v>
      </c>
      <c r="AH141" s="55">
        <f t="shared" si="58"/>
        <v>0</v>
      </c>
      <c r="AI141" s="55">
        <f t="shared" ref="AI141:BJ141" si="59">IF(AND(AI$127&gt;=$I33,AI$127&lt;$I33+$F33),INDEX($T33:$AI33,AI$127-$I33+1),0)</f>
        <v>0</v>
      </c>
      <c r="AJ141" s="55">
        <f t="shared" si="59"/>
        <v>0</v>
      </c>
      <c r="AK141" s="55">
        <f t="shared" si="59"/>
        <v>0</v>
      </c>
      <c r="AL141" s="55">
        <f t="shared" si="59"/>
        <v>0</v>
      </c>
      <c r="AM141" s="55">
        <f t="shared" si="59"/>
        <v>0</v>
      </c>
      <c r="AN141" s="55">
        <f t="shared" si="59"/>
        <v>0</v>
      </c>
      <c r="AO141" s="55">
        <f t="shared" si="59"/>
        <v>0</v>
      </c>
      <c r="AP141" s="55">
        <f t="shared" si="59"/>
        <v>0</v>
      </c>
      <c r="AQ141" s="55">
        <f t="shared" si="59"/>
        <v>0</v>
      </c>
      <c r="AR141" s="55">
        <f t="shared" si="59"/>
        <v>0</v>
      </c>
      <c r="AS141" s="55">
        <f t="shared" si="59"/>
        <v>0</v>
      </c>
      <c r="AT141" s="55">
        <f t="shared" si="59"/>
        <v>0</v>
      </c>
      <c r="AU141" s="55">
        <f t="shared" si="59"/>
        <v>0</v>
      </c>
      <c r="AV141" s="55">
        <f t="shared" si="59"/>
        <v>0</v>
      </c>
      <c r="AW141" s="55">
        <f t="shared" si="59"/>
        <v>0</v>
      </c>
      <c r="AX141" s="55">
        <f t="shared" si="59"/>
        <v>0</v>
      </c>
      <c r="AY141" s="55">
        <f t="shared" si="59"/>
        <v>0</v>
      </c>
      <c r="AZ141" s="55">
        <f t="shared" si="59"/>
        <v>0</v>
      </c>
      <c r="BA141" s="55">
        <f t="shared" si="59"/>
        <v>0</v>
      </c>
      <c r="BB141" s="55">
        <f t="shared" si="59"/>
        <v>0</v>
      </c>
      <c r="BC141" s="55">
        <f t="shared" si="59"/>
        <v>0</v>
      </c>
      <c r="BD141" s="55">
        <f t="shared" si="59"/>
        <v>0</v>
      </c>
      <c r="BE141" s="55">
        <f t="shared" si="59"/>
        <v>0</v>
      </c>
      <c r="BF141" s="55">
        <f t="shared" si="59"/>
        <v>0</v>
      </c>
      <c r="BG141" s="55">
        <f t="shared" si="59"/>
        <v>0</v>
      </c>
      <c r="BH141" s="55">
        <f t="shared" si="59"/>
        <v>0</v>
      </c>
      <c r="BI141" s="55">
        <f t="shared" si="59"/>
        <v>0</v>
      </c>
      <c r="BJ141" s="55">
        <f t="shared" si="59"/>
        <v>0</v>
      </c>
    </row>
    <row r="142" spans="1:62" x14ac:dyDescent="0.3">
      <c r="A142" s="53" t="str">
        <f t="shared" si="39"/>
        <v>project 23</v>
      </c>
      <c r="C142" s="55">
        <f t="shared" ref="C142:AH142" si="60">IF(AND(C$127&gt;=$I34,C$127&lt;$I34+$F34),INDEX($T34:$AI34,C$127-$I34+1),0)</f>
        <v>0.65400000000000003</v>
      </c>
      <c r="D142" s="55">
        <f t="shared" si="60"/>
        <v>0</v>
      </c>
      <c r="E142" s="55">
        <f t="shared" si="60"/>
        <v>0</v>
      </c>
      <c r="F142" s="55">
        <f t="shared" si="60"/>
        <v>0</v>
      </c>
      <c r="G142" s="55">
        <f t="shared" si="60"/>
        <v>0</v>
      </c>
      <c r="H142" s="55">
        <f t="shared" si="60"/>
        <v>0</v>
      </c>
      <c r="I142" s="55">
        <f t="shared" si="60"/>
        <v>0</v>
      </c>
      <c r="J142" s="55">
        <f t="shared" si="60"/>
        <v>0</v>
      </c>
      <c r="K142" s="55">
        <f t="shared" si="60"/>
        <v>0</v>
      </c>
      <c r="L142" s="55">
        <f t="shared" si="60"/>
        <v>0</v>
      </c>
      <c r="M142" s="55">
        <f t="shared" si="60"/>
        <v>0</v>
      </c>
      <c r="N142" s="55">
        <f t="shared" si="60"/>
        <v>0</v>
      </c>
      <c r="O142" s="55">
        <f t="shared" si="60"/>
        <v>0</v>
      </c>
      <c r="P142" s="55">
        <f t="shared" si="60"/>
        <v>0</v>
      </c>
      <c r="Q142" s="55">
        <f t="shared" si="60"/>
        <v>0</v>
      </c>
      <c r="R142" s="55">
        <f t="shared" si="60"/>
        <v>0</v>
      </c>
      <c r="S142" s="55">
        <f t="shared" si="60"/>
        <v>0</v>
      </c>
      <c r="T142" s="55">
        <f t="shared" si="60"/>
        <v>0</v>
      </c>
      <c r="U142" s="55">
        <f t="shared" si="60"/>
        <v>0</v>
      </c>
      <c r="V142" s="55">
        <f t="shared" si="60"/>
        <v>0</v>
      </c>
      <c r="W142" s="55">
        <f t="shared" si="60"/>
        <v>0</v>
      </c>
      <c r="X142" s="55">
        <f t="shared" si="60"/>
        <v>0</v>
      </c>
      <c r="Y142" s="55">
        <f t="shared" si="60"/>
        <v>0</v>
      </c>
      <c r="Z142" s="55">
        <f t="shared" si="60"/>
        <v>0</v>
      </c>
      <c r="AA142" s="55">
        <f t="shared" si="60"/>
        <v>0</v>
      </c>
      <c r="AB142" s="55">
        <f t="shared" si="60"/>
        <v>0</v>
      </c>
      <c r="AC142" s="55">
        <f t="shared" si="60"/>
        <v>0</v>
      </c>
      <c r="AD142" s="55">
        <f t="shared" si="60"/>
        <v>0</v>
      </c>
      <c r="AE142" s="55">
        <f t="shared" si="60"/>
        <v>0</v>
      </c>
      <c r="AF142" s="55">
        <f t="shared" si="60"/>
        <v>0</v>
      </c>
      <c r="AG142" s="55">
        <f t="shared" si="60"/>
        <v>0</v>
      </c>
      <c r="AH142" s="55">
        <f t="shared" si="60"/>
        <v>0</v>
      </c>
      <c r="AI142" s="55">
        <f t="shared" ref="AI142:BJ142" si="61">IF(AND(AI$127&gt;=$I34,AI$127&lt;$I34+$F34),INDEX($T34:$AI34,AI$127-$I34+1),0)</f>
        <v>0</v>
      </c>
      <c r="AJ142" s="55">
        <f t="shared" si="61"/>
        <v>0</v>
      </c>
      <c r="AK142" s="55">
        <f t="shared" si="61"/>
        <v>0</v>
      </c>
      <c r="AL142" s="55">
        <f t="shared" si="61"/>
        <v>0</v>
      </c>
      <c r="AM142" s="55">
        <f t="shared" si="61"/>
        <v>0</v>
      </c>
      <c r="AN142" s="55">
        <f t="shared" si="61"/>
        <v>0</v>
      </c>
      <c r="AO142" s="55">
        <f t="shared" si="61"/>
        <v>0</v>
      </c>
      <c r="AP142" s="55">
        <f t="shared" si="61"/>
        <v>0</v>
      </c>
      <c r="AQ142" s="55">
        <f t="shared" si="61"/>
        <v>0</v>
      </c>
      <c r="AR142" s="55">
        <f t="shared" si="61"/>
        <v>0</v>
      </c>
      <c r="AS142" s="55">
        <f t="shared" si="61"/>
        <v>0</v>
      </c>
      <c r="AT142" s="55">
        <f t="shared" si="61"/>
        <v>0</v>
      </c>
      <c r="AU142" s="55">
        <f t="shared" si="61"/>
        <v>0</v>
      </c>
      <c r="AV142" s="55">
        <f t="shared" si="61"/>
        <v>0</v>
      </c>
      <c r="AW142" s="55">
        <f t="shared" si="61"/>
        <v>0</v>
      </c>
      <c r="AX142" s="55">
        <f t="shared" si="61"/>
        <v>0</v>
      </c>
      <c r="AY142" s="55">
        <f t="shared" si="61"/>
        <v>0</v>
      </c>
      <c r="AZ142" s="55">
        <f t="shared" si="61"/>
        <v>0</v>
      </c>
      <c r="BA142" s="55">
        <f t="shared" si="61"/>
        <v>0</v>
      </c>
      <c r="BB142" s="55">
        <f t="shared" si="61"/>
        <v>0</v>
      </c>
      <c r="BC142" s="55">
        <f t="shared" si="61"/>
        <v>0</v>
      </c>
      <c r="BD142" s="55">
        <f t="shared" si="61"/>
        <v>0</v>
      </c>
      <c r="BE142" s="55">
        <f t="shared" si="61"/>
        <v>0</v>
      </c>
      <c r="BF142" s="55">
        <f t="shared" si="61"/>
        <v>0</v>
      </c>
      <c r="BG142" s="55">
        <f t="shared" si="61"/>
        <v>0</v>
      </c>
      <c r="BH142" s="55">
        <f t="shared" si="61"/>
        <v>0</v>
      </c>
      <c r="BI142" s="55">
        <f t="shared" si="61"/>
        <v>0</v>
      </c>
      <c r="BJ142" s="55">
        <f t="shared" si="61"/>
        <v>0</v>
      </c>
    </row>
    <row r="143" spans="1:62" x14ac:dyDescent="0.3">
      <c r="A143" s="53" t="str">
        <f t="shared" si="39"/>
        <v>project 24</v>
      </c>
      <c r="C143" s="55">
        <f t="shared" ref="C143:AH143" si="62">IF(AND(C$127&gt;=$I35,C$127&lt;$I35+$F35),INDEX($T35:$AI35,C$127-$I35+1),0)</f>
        <v>0</v>
      </c>
      <c r="D143" s="55">
        <f t="shared" si="62"/>
        <v>0</v>
      </c>
      <c r="E143" s="55">
        <f t="shared" si="62"/>
        <v>0</v>
      </c>
      <c r="F143" s="55">
        <f t="shared" si="62"/>
        <v>0</v>
      </c>
      <c r="G143" s="55">
        <f t="shared" si="62"/>
        <v>0</v>
      </c>
      <c r="H143" s="55">
        <f t="shared" si="62"/>
        <v>0</v>
      </c>
      <c r="I143" s="55">
        <f t="shared" si="62"/>
        <v>0</v>
      </c>
      <c r="J143" s="55">
        <f t="shared" si="62"/>
        <v>0</v>
      </c>
      <c r="K143" s="55">
        <f t="shared" si="62"/>
        <v>0</v>
      </c>
      <c r="L143" s="55">
        <f t="shared" si="62"/>
        <v>0.89924999999999999</v>
      </c>
      <c r="M143" s="55">
        <f t="shared" si="62"/>
        <v>0.32058823529411767</v>
      </c>
      <c r="N143" s="55">
        <f t="shared" si="62"/>
        <v>0</v>
      </c>
      <c r="O143" s="55">
        <f t="shared" si="62"/>
        <v>0</v>
      </c>
      <c r="P143" s="55">
        <f t="shared" si="62"/>
        <v>0</v>
      </c>
      <c r="Q143" s="55">
        <f t="shared" si="62"/>
        <v>0</v>
      </c>
      <c r="R143" s="55">
        <f t="shared" si="62"/>
        <v>0</v>
      </c>
      <c r="S143" s="55">
        <f t="shared" si="62"/>
        <v>0</v>
      </c>
      <c r="T143" s="55">
        <f t="shared" si="62"/>
        <v>0</v>
      </c>
      <c r="U143" s="55">
        <f t="shared" si="62"/>
        <v>0</v>
      </c>
      <c r="V143" s="55">
        <f t="shared" si="62"/>
        <v>0</v>
      </c>
      <c r="W143" s="55">
        <f t="shared" si="62"/>
        <v>0</v>
      </c>
      <c r="X143" s="55">
        <f t="shared" si="62"/>
        <v>0</v>
      </c>
      <c r="Y143" s="55">
        <f t="shared" si="62"/>
        <v>0</v>
      </c>
      <c r="Z143" s="55">
        <f t="shared" si="62"/>
        <v>0</v>
      </c>
      <c r="AA143" s="55">
        <f t="shared" si="62"/>
        <v>0</v>
      </c>
      <c r="AB143" s="55">
        <f t="shared" si="62"/>
        <v>0</v>
      </c>
      <c r="AC143" s="55">
        <f t="shared" si="62"/>
        <v>0</v>
      </c>
      <c r="AD143" s="55">
        <f t="shared" si="62"/>
        <v>0</v>
      </c>
      <c r="AE143" s="55">
        <f t="shared" si="62"/>
        <v>0</v>
      </c>
      <c r="AF143" s="55">
        <f t="shared" si="62"/>
        <v>0</v>
      </c>
      <c r="AG143" s="55">
        <f t="shared" si="62"/>
        <v>0</v>
      </c>
      <c r="AH143" s="55">
        <f t="shared" si="62"/>
        <v>0</v>
      </c>
      <c r="AI143" s="55">
        <f t="shared" ref="AI143:BJ143" si="63">IF(AND(AI$127&gt;=$I35,AI$127&lt;$I35+$F35),INDEX($T35:$AI35,AI$127-$I35+1),0)</f>
        <v>0</v>
      </c>
      <c r="AJ143" s="55">
        <f t="shared" si="63"/>
        <v>0</v>
      </c>
      <c r="AK143" s="55">
        <f t="shared" si="63"/>
        <v>0</v>
      </c>
      <c r="AL143" s="55">
        <f t="shared" si="63"/>
        <v>0</v>
      </c>
      <c r="AM143" s="55">
        <f t="shared" si="63"/>
        <v>0</v>
      </c>
      <c r="AN143" s="55">
        <f t="shared" si="63"/>
        <v>0</v>
      </c>
      <c r="AO143" s="55">
        <f t="shared" si="63"/>
        <v>0</v>
      </c>
      <c r="AP143" s="55">
        <f t="shared" si="63"/>
        <v>0</v>
      </c>
      <c r="AQ143" s="55">
        <f t="shared" si="63"/>
        <v>0</v>
      </c>
      <c r="AR143" s="55">
        <f t="shared" si="63"/>
        <v>0</v>
      </c>
      <c r="AS143" s="55">
        <f t="shared" si="63"/>
        <v>0</v>
      </c>
      <c r="AT143" s="55">
        <f t="shared" si="63"/>
        <v>0</v>
      </c>
      <c r="AU143" s="55">
        <f t="shared" si="63"/>
        <v>0</v>
      </c>
      <c r="AV143" s="55">
        <f t="shared" si="63"/>
        <v>0</v>
      </c>
      <c r="AW143" s="55">
        <f t="shared" si="63"/>
        <v>0</v>
      </c>
      <c r="AX143" s="55">
        <f t="shared" si="63"/>
        <v>0</v>
      </c>
      <c r="AY143" s="55">
        <f t="shared" si="63"/>
        <v>0</v>
      </c>
      <c r="AZ143" s="55">
        <f t="shared" si="63"/>
        <v>0</v>
      </c>
      <c r="BA143" s="55">
        <f t="shared" si="63"/>
        <v>0</v>
      </c>
      <c r="BB143" s="55">
        <f t="shared" si="63"/>
        <v>0</v>
      </c>
      <c r="BC143" s="55">
        <f t="shared" si="63"/>
        <v>0</v>
      </c>
      <c r="BD143" s="55">
        <f t="shared" si="63"/>
        <v>0</v>
      </c>
      <c r="BE143" s="55">
        <f t="shared" si="63"/>
        <v>0</v>
      </c>
      <c r="BF143" s="55">
        <f t="shared" si="63"/>
        <v>0</v>
      </c>
      <c r="BG143" s="55">
        <f t="shared" si="63"/>
        <v>0</v>
      </c>
      <c r="BH143" s="55">
        <f t="shared" si="63"/>
        <v>0</v>
      </c>
      <c r="BI143" s="55">
        <f t="shared" si="63"/>
        <v>0</v>
      </c>
      <c r="BJ143" s="55">
        <f t="shared" si="63"/>
        <v>0</v>
      </c>
    </row>
    <row r="144" spans="1:62" x14ac:dyDescent="0.3">
      <c r="A144" s="53" t="str">
        <f t="shared" si="39"/>
        <v>project 26</v>
      </c>
      <c r="C144" s="55">
        <f t="shared" ref="C144:AH144" si="64">IF(AND(C$127&gt;=$I36,C$127&lt;$I36+$F36),INDEX($T36:$AI36,C$127-$I36+1),0)</f>
        <v>0.32058823529411767</v>
      </c>
      <c r="D144" s="55">
        <f t="shared" si="64"/>
        <v>0</v>
      </c>
      <c r="E144" s="55">
        <f t="shared" si="64"/>
        <v>0</v>
      </c>
      <c r="F144" s="55">
        <f t="shared" si="64"/>
        <v>0</v>
      </c>
      <c r="G144" s="55">
        <f t="shared" si="64"/>
        <v>0</v>
      </c>
      <c r="H144" s="55">
        <f t="shared" si="64"/>
        <v>0</v>
      </c>
      <c r="I144" s="55">
        <f t="shared" si="64"/>
        <v>0</v>
      </c>
      <c r="J144" s="55">
        <f t="shared" si="64"/>
        <v>0</v>
      </c>
      <c r="K144" s="55">
        <f t="shared" si="64"/>
        <v>0</v>
      </c>
      <c r="L144" s="55">
        <f t="shared" si="64"/>
        <v>0</v>
      </c>
      <c r="M144" s="55">
        <f t="shared" si="64"/>
        <v>0</v>
      </c>
      <c r="N144" s="55">
        <f t="shared" si="64"/>
        <v>0</v>
      </c>
      <c r="O144" s="55">
        <f t="shared" si="64"/>
        <v>0</v>
      </c>
      <c r="P144" s="55">
        <f t="shared" si="64"/>
        <v>0</v>
      </c>
      <c r="Q144" s="55">
        <f t="shared" si="64"/>
        <v>0</v>
      </c>
      <c r="R144" s="55">
        <f t="shared" si="64"/>
        <v>0</v>
      </c>
      <c r="S144" s="55">
        <f t="shared" si="64"/>
        <v>0</v>
      </c>
      <c r="T144" s="55">
        <f t="shared" si="64"/>
        <v>0</v>
      </c>
      <c r="U144" s="55">
        <f t="shared" si="64"/>
        <v>0</v>
      </c>
      <c r="V144" s="55">
        <f t="shared" si="64"/>
        <v>0</v>
      </c>
      <c r="W144" s="55">
        <f t="shared" si="64"/>
        <v>0</v>
      </c>
      <c r="X144" s="55">
        <f t="shared" si="64"/>
        <v>0</v>
      </c>
      <c r="Y144" s="55">
        <f t="shared" si="64"/>
        <v>0</v>
      </c>
      <c r="Z144" s="55">
        <f t="shared" si="64"/>
        <v>0</v>
      </c>
      <c r="AA144" s="55">
        <f t="shared" si="64"/>
        <v>0</v>
      </c>
      <c r="AB144" s="55">
        <f t="shared" si="64"/>
        <v>0</v>
      </c>
      <c r="AC144" s="55">
        <f t="shared" si="64"/>
        <v>0</v>
      </c>
      <c r="AD144" s="55">
        <f t="shared" si="64"/>
        <v>0</v>
      </c>
      <c r="AE144" s="55">
        <f t="shared" si="64"/>
        <v>0</v>
      </c>
      <c r="AF144" s="55">
        <f t="shared" si="64"/>
        <v>0</v>
      </c>
      <c r="AG144" s="55">
        <f t="shared" si="64"/>
        <v>0</v>
      </c>
      <c r="AH144" s="55">
        <f t="shared" si="64"/>
        <v>0</v>
      </c>
      <c r="AI144" s="55">
        <f t="shared" ref="AI144:BJ144" si="65">IF(AND(AI$127&gt;=$I36,AI$127&lt;$I36+$F36),INDEX($T36:$AI36,AI$127-$I36+1),0)</f>
        <v>0</v>
      </c>
      <c r="AJ144" s="55">
        <f t="shared" si="65"/>
        <v>0</v>
      </c>
      <c r="AK144" s="55">
        <f t="shared" si="65"/>
        <v>0</v>
      </c>
      <c r="AL144" s="55">
        <f t="shared" si="65"/>
        <v>0</v>
      </c>
      <c r="AM144" s="55">
        <f t="shared" si="65"/>
        <v>0</v>
      </c>
      <c r="AN144" s="55">
        <f t="shared" si="65"/>
        <v>0</v>
      </c>
      <c r="AO144" s="55">
        <f t="shared" si="65"/>
        <v>0</v>
      </c>
      <c r="AP144" s="55">
        <f t="shared" si="65"/>
        <v>0</v>
      </c>
      <c r="AQ144" s="55">
        <f t="shared" si="65"/>
        <v>0</v>
      </c>
      <c r="AR144" s="55">
        <f t="shared" si="65"/>
        <v>0</v>
      </c>
      <c r="AS144" s="55">
        <f t="shared" si="65"/>
        <v>0</v>
      </c>
      <c r="AT144" s="55">
        <f t="shared" si="65"/>
        <v>0</v>
      </c>
      <c r="AU144" s="55">
        <f t="shared" si="65"/>
        <v>0</v>
      </c>
      <c r="AV144" s="55">
        <f t="shared" si="65"/>
        <v>0</v>
      </c>
      <c r="AW144" s="55">
        <f t="shared" si="65"/>
        <v>0</v>
      </c>
      <c r="AX144" s="55">
        <f t="shared" si="65"/>
        <v>0</v>
      </c>
      <c r="AY144" s="55">
        <f t="shared" si="65"/>
        <v>0</v>
      </c>
      <c r="AZ144" s="55">
        <f t="shared" si="65"/>
        <v>0</v>
      </c>
      <c r="BA144" s="55">
        <f t="shared" si="65"/>
        <v>0</v>
      </c>
      <c r="BB144" s="55">
        <f t="shared" si="65"/>
        <v>0</v>
      </c>
      <c r="BC144" s="55">
        <f t="shared" si="65"/>
        <v>0</v>
      </c>
      <c r="BD144" s="55">
        <f t="shared" si="65"/>
        <v>0</v>
      </c>
      <c r="BE144" s="55">
        <f t="shared" si="65"/>
        <v>0</v>
      </c>
      <c r="BF144" s="55">
        <f t="shared" si="65"/>
        <v>0</v>
      </c>
      <c r="BG144" s="55">
        <f t="shared" si="65"/>
        <v>0</v>
      </c>
      <c r="BH144" s="55">
        <f t="shared" si="65"/>
        <v>0</v>
      </c>
      <c r="BI144" s="55">
        <f t="shared" si="65"/>
        <v>0</v>
      </c>
      <c r="BJ144" s="55">
        <f t="shared" si="65"/>
        <v>0</v>
      </c>
    </row>
    <row r="145" spans="1:62" x14ac:dyDescent="0.3">
      <c r="A145" s="53" t="str">
        <f t="shared" si="39"/>
        <v>project 27</v>
      </c>
      <c r="C145" s="55">
        <f t="shared" ref="C145:AH145" si="66">IF(AND(C$127&gt;=$I37,C$127&lt;$I37+$F37),INDEX($T37:$AI37,C$127-$I37+1),0)</f>
        <v>0</v>
      </c>
      <c r="D145" s="55">
        <f t="shared" si="66"/>
        <v>0</v>
      </c>
      <c r="E145" s="55">
        <f t="shared" si="66"/>
        <v>0</v>
      </c>
      <c r="F145" s="55">
        <f t="shared" si="66"/>
        <v>0</v>
      </c>
      <c r="G145" s="55">
        <f t="shared" si="66"/>
        <v>0</v>
      </c>
      <c r="H145" s="55">
        <f t="shared" si="66"/>
        <v>0</v>
      </c>
      <c r="I145" s="55">
        <f t="shared" si="66"/>
        <v>0</v>
      </c>
      <c r="J145" s="55">
        <f t="shared" si="66"/>
        <v>0</v>
      </c>
      <c r="K145" s="55">
        <f t="shared" si="66"/>
        <v>0</v>
      </c>
      <c r="L145" s="55">
        <f t="shared" si="66"/>
        <v>0</v>
      </c>
      <c r="M145" s="55">
        <f t="shared" si="66"/>
        <v>0</v>
      </c>
      <c r="N145" s="55">
        <f t="shared" si="66"/>
        <v>0</v>
      </c>
      <c r="O145" s="55">
        <f t="shared" si="66"/>
        <v>0.16350000000000001</v>
      </c>
      <c r="P145" s="55">
        <f t="shared" si="66"/>
        <v>0.16029411764705881</v>
      </c>
      <c r="Q145" s="55">
        <f t="shared" si="66"/>
        <v>0</v>
      </c>
      <c r="R145" s="55">
        <f t="shared" si="66"/>
        <v>0</v>
      </c>
      <c r="S145" s="55">
        <f t="shared" si="66"/>
        <v>0</v>
      </c>
      <c r="T145" s="55">
        <f t="shared" si="66"/>
        <v>0</v>
      </c>
      <c r="U145" s="55">
        <f t="shared" si="66"/>
        <v>0</v>
      </c>
      <c r="V145" s="55">
        <f t="shared" si="66"/>
        <v>0</v>
      </c>
      <c r="W145" s="55">
        <f t="shared" si="66"/>
        <v>0</v>
      </c>
      <c r="X145" s="55">
        <f t="shared" si="66"/>
        <v>0</v>
      </c>
      <c r="Y145" s="55">
        <f t="shared" si="66"/>
        <v>0</v>
      </c>
      <c r="Z145" s="55">
        <f t="shared" si="66"/>
        <v>0</v>
      </c>
      <c r="AA145" s="55">
        <f t="shared" si="66"/>
        <v>0</v>
      </c>
      <c r="AB145" s="55">
        <f t="shared" si="66"/>
        <v>0</v>
      </c>
      <c r="AC145" s="55">
        <f t="shared" si="66"/>
        <v>0</v>
      </c>
      <c r="AD145" s="55">
        <f t="shared" si="66"/>
        <v>0</v>
      </c>
      <c r="AE145" s="55">
        <f t="shared" si="66"/>
        <v>0</v>
      </c>
      <c r="AF145" s="55">
        <f t="shared" si="66"/>
        <v>0</v>
      </c>
      <c r="AG145" s="55">
        <f t="shared" si="66"/>
        <v>0</v>
      </c>
      <c r="AH145" s="55">
        <f t="shared" si="66"/>
        <v>0</v>
      </c>
      <c r="AI145" s="55">
        <f t="shared" ref="AI145:BJ145" si="67">IF(AND(AI$127&gt;=$I37,AI$127&lt;$I37+$F37),INDEX($T37:$AI37,AI$127-$I37+1),0)</f>
        <v>0</v>
      </c>
      <c r="AJ145" s="55">
        <f t="shared" si="67"/>
        <v>0</v>
      </c>
      <c r="AK145" s="55">
        <f t="shared" si="67"/>
        <v>0</v>
      </c>
      <c r="AL145" s="55">
        <f t="shared" si="67"/>
        <v>0</v>
      </c>
      <c r="AM145" s="55">
        <f t="shared" si="67"/>
        <v>0</v>
      </c>
      <c r="AN145" s="55">
        <f t="shared" si="67"/>
        <v>0</v>
      </c>
      <c r="AO145" s="55">
        <f t="shared" si="67"/>
        <v>0</v>
      </c>
      <c r="AP145" s="55">
        <f t="shared" si="67"/>
        <v>0</v>
      </c>
      <c r="AQ145" s="55">
        <f t="shared" si="67"/>
        <v>0</v>
      </c>
      <c r="AR145" s="55">
        <f t="shared" si="67"/>
        <v>0</v>
      </c>
      <c r="AS145" s="55">
        <f t="shared" si="67"/>
        <v>0</v>
      </c>
      <c r="AT145" s="55">
        <f t="shared" si="67"/>
        <v>0</v>
      </c>
      <c r="AU145" s="55">
        <f t="shared" si="67"/>
        <v>0</v>
      </c>
      <c r="AV145" s="55">
        <f t="shared" si="67"/>
        <v>0</v>
      </c>
      <c r="AW145" s="55">
        <f t="shared" si="67"/>
        <v>0</v>
      </c>
      <c r="AX145" s="55">
        <f t="shared" si="67"/>
        <v>0</v>
      </c>
      <c r="AY145" s="55">
        <f t="shared" si="67"/>
        <v>0</v>
      </c>
      <c r="AZ145" s="55">
        <f t="shared" si="67"/>
        <v>0</v>
      </c>
      <c r="BA145" s="55">
        <f t="shared" si="67"/>
        <v>0</v>
      </c>
      <c r="BB145" s="55">
        <f t="shared" si="67"/>
        <v>0</v>
      </c>
      <c r="BC145" s="55">
        <f t="shared" si="67"/>
        <v>0</v>
      </c>
      <c r="BD145" s="55">
        <f t="shared" si="67"/>
        <v>0</v>
      </c>
      <c r="BE145" s="55">
        <f t="shared" si="67"/>
        <v>0</v>
      </c>
      <c r="BF145" s="55">
        <f t="shared" si="67"/>
        <v>0</v>
      </c>
      <c r="BG145" s="55">
        <f t="shared" si="67"/>
        <v>0</v>
      </c>
      <c r="BH145" s="55">
        <f t="shared" si="67"/>
        <v>0</v>
      </c>
      <c r="BI145" s="55">
        <f t="shared" si="67"/>
        <v>0</v>
      </c>
      <c r="BJ145" s="55">
        <f t="shared" si="67"/>
        <v>0</v>
      </c>
    </row>
    <row r="146" spans="1:62" x14ac:dyDescent="0.3">
      <c r="A146" s="53" t="str">
        <f t="shared" si="39"/>
        <v>project 28</v>
      </c>
      <c r="C146" s="55">
        <f t="shared" ref="C146:AH146" si="68">IF(AND(C$127&gt;=$I38,C$127&lt;$I38+$F38),INDEX($T38:$AI38,C$127-$I38+1),0)</f>
        <v>0.16350000000000001</v>
      </c>
      <c r="D146" s="55">
        <f t="shared" si="68"/>
        <v>0.16029411764705881</v>
      </c>
      <c r="E146" s="55">
        <f t="shared" si="68"/>
        <v>0</v>
      </c>
      <c r="F146" s="55">
        <f t="shared" si="68"/>
        <v>0</v>
      </c>
      <c r="G146" s="55">
        <f t="shared" si="68"/>
        <v>0</v>
      </c>
      <c r="H146" s="55">
        <f t="shared" si="68"/>
        <v>0</v>
      </c>
      <c r="I146" s="55">
        <f t="shared" si="68"/>
        <v>0</v>
      </c>
      <c r="J146" s="55">
        <f t="shared" si="68"/>
        <v>0</v>
      </c>
      <c r="K146" s="55">
        <f t="shared" si="68"/>
        <v>0</v>
      </c>
      <c r="L146" s="55">
        <f t="shared" si="68"/>
        <v>0</v>
      </c>
      <c r="M146" s="55">
        <f t="shared" si="68"/>
        <v>0</v>
      </c>
      <c r="N146" s="55">
        <f t="shared" si="68"/>
        <v>0</v>
      </c>
      <c r="O146" s="55">
        <f t="shared" si="68"/>
        <v>0</v>
      </c>
      <c r="P146" s="55">
        <f t="shared" si="68"/>
        <v>0</v>
      </c>
      <c r="Q146" s="55">
        <f t="shared" si="68"/>
        <v>0</v>
      </c>
      <c r="R146" s="55">
        <f t="shared" si="68"/>
        <v>0</v>
      </c>
      <c r="S146" s="55">
        <f t="shared" si="68"/>
        <v>0</v>
      </c>
      <c r="T146" s="55">
        <f t="shared" si="68"/>
        <v>0</v>
      </c>
      <c r="U146" s="55">
        <f t="shared" si="68"/>
        <v>0</v>
      </c>
      <c r="V146" s="55">
        <f t="shared" si="68"/>
        <v>0</v>
      </c>
      <c r="W146" s="55">
        <f t="shared" si="68"/>
        <v>0</v>
      </c>
      <c r="X146" s="55">
        <f t="shared" si="68"/>
        <v>0</v>
      </c>
      <c r="Y146" s="55">
        <f t="shared" si="68"/>
        <v>0</v>
      </c>
      <c r="Z146" s="55">
        <f t="shared" si="68"/>
        <v>0</v>
      </c>
      <c r="AA146" s="55">
        <f t="shared" si="68"/>
        <v>0</v>
      </c>
      <c r="AB146" s="55">
        <f t="shared" si="68"/>
        <v>0</v>
      </c>
      <c r="AC146" s="55">
        <f t="shared" si="68"/>
        <v>0</v>
      </c>
      <c r="AD146" s="55">
        <f t="shared" si="68"/>
        <v>0</v>
      </c>
      <c r="AE146" s="55">
        <f t="shared" si="68"/>
        <v>0</v>
      </c>
      <c r="AF146" s="55">
        <f t="shared" si="68"/>
        <v>0</v>
      </c>
      <c r="AG146" s="55">
        <f t="shared" si="68"/>
        <v>0</v>
      </c>
      <c r="AH146" s="55">
        <f t="shared" si="68"/>
        <v>0</v>
      </c>
      <c r="AI146" s="55">
        <f t="shared" ref="AI146:BJ146" si="69">IF(AND(AI$127&gt;=$I38,AI$127&lt;$I38+$F38),INDEX($T38:$AI38,AI$127-$I38+1),0)</f>
        <v>0</v>
      </c>
      <c r="AJ146" s="55">
        <f t="shared" si="69"/>
        <v>0</v>
      </c>
      <c r="AK146" s="55">
        <f t="shared" si="69"/>
        <v>0</v>
      </c>
      <c r="AL146" s="55">
        <f t="shared" si="69"/>
        <v>0</v>
      </c>
      <c r="AM146" s="55">
        <f t="shared" si="69"/>
        <v>0</v>
      </c>
      <c r="AN146" s="55">
        <f t="shared" si="69"/>
        <v>0</v>
      </c>
      <c r="AO146" s="55">
        <f t="shared" si="69"/>
        <v>0</v>
      </c>
      <c r="AP146" s="55">
        <f t="shared" si="69"/>
        <v>0</v>
      </c>
      <c r="AQ146" s="55">
        <f t="shared" si="69"/>
        <v>0</v>
      </c>
      <c r="AR146" s="55">
        <f t="shared" si="69"/>
        <v>0</v>
      </c>
      <c r="AS146" s="55">
        <f t="shared" si="69"/>
        <v>0</v>
      </c>
      <c r="AT146" s="55">
        <f t="shared" si="69"/>
        <v>0</v>
      </c>
      <c r="AU146" s="55">
        <f t="shared" si="69"/>
        <v>0</v>
      </c>
      <c r="AV146" s="55">
        <f t="shared" si="69"/>
        <v>0</v>
      </c>
      <c r="AW146" s="55">
        <f t="shared" si="69"/>
        <v>0</v>
      </c>
      <c r="AX146" s="55">
        <f t="shared" si="69"/>
        <v>0</v>
      </c>
      <c r="AY146" s="55">
        <f t="shared" si="69"/>
        <v>0</v>
      </c>
      <c r="AZ146" s="55">
        <f t="shared" si="69"/>
        <v>0</v>
      </c>
      <c r="BA146" s="55">
        <f t="shared" si="69"/>
        <v>0</v>
      </c>
      <c r="BB146" s="55">
        <f t="shared" si="69"/>
        <v>0</v>
      </c>
      <c r="BC146" s="55">
        <f t="shared" si="69"/>
        <v>0</v>
      </c>
      <c r="BD146" s="55">
        <f t="shared" si="69"/>
        <v>0</v>
      </c>
      <c r="BE146" s="55">
        <f t="shared" si="69"/>
        <v>0</v>
      </c>
      <c r="BF146" s="55">
        <f t="shared" si="69"/>
        <v>0</v>
      </c>
      <c r="BG146" s="55">
        <f t="shared" si="69"/>
        <v>0</v>
      </c>
      <c r="BH146" s="55">
        <f t="shared" si="69"/>
        <v>0</v>
      </c>
      <c r="BI146" s="55">
        <f t="shared" si="69"/>
        <v>0</v>
      </c>
      <c r="BJ146" s="55">
        <f t="shared" si="69"/>
        <v>0</v>
      </c>
    </row>
    <row r="147" spans="1:62" x14ac:dyDescent="0.3">
      <c r="A147" s="53" t="str">
        <f t="shared" si="39"/>
        <v>project 29</v>
      </c>
      <c r="C147" s="55">
        <f t="shared" ref="C147:AH147" si="70">IF(AND(C$127&gt;=$I39,C$127&lt;$I39+$F39),INDEX($T39:$AI39,C$127-$I39+1),0)</f>
        <v>0</v>
      </c>
      <c r="D147" s="55">
        <f t="shared" si="70"/>
        <v>0</v>
      </c>
      <c r="E147" s="55">
        <f t="shared" si="70"/>
        <v>0</v>
      </c>
      <c r="F147" s="55">
        <f t="shared" si="70"/>
        <v>0</v>
      </c>
      <c r="G147" s="55">
        <f t="shared" si="70"/>
        <v>0</v>
      </c>
      <c r="H147" s="55">
        <f t="shared" si="70"/>
        <v>0</v>
      </c>
      <c r="I147" s="55">
        <f t="shared" si="70"/>
        <v>0</v>
      </c>
      <c r="J147" s="55">
        <f t="shared" si="70"/>
        <v>0</v>
      </c>
      <c r="K147" s="55">
        <f t="shared" si="70"/>
        <v>0.16350000000000001</v>
      </c>
      <c r="L147" s="55">
        <f t="shared" si="70"/>
        <v>0.16029411764705881</v>
      </c>
      <c r="M147" s="55">
        <f t="shared" si="70"/>
        <v>0</v>
      </c>
      <c r="N147" s="55">
        <f t="shared" si="70"/>
        <v>0</v>
      </c>
      <c r="O147" s="55">
        <f t="shared" si="70"/>
        <v>0</v>
      </c>
      <c r="P147" s="55">
        <f t="shared" si="70"/>
        <v>0</v>
      </c>
      <c r="Q147" s="55">
        <f t="shared" si="70"/>
        <v>0</v>
      </c>
      <c r="R147" s="55">
        <f t="shared" si="70"/>
        <v>0</v>
      </c>
      <c r="S147" s="55">
        <f t="shared" si="70"/>
        <v>0</v>
      </c>
      <c r="T147" s="55">
        <f t="shared" si="70"/>
        <v>0</v>
      </c>
      <c r="U147" s="55">
        <f t="shared" si="70"/>
        <v>0</v>
      </c>
      <c r="V147" s="55">
        <f t="shared" si="70"/>
        <v>0</v>
      </c>
      <c r="W147" s="55">
        <f t="shared" si="70"/>
        <v>0</v>
      </c>
      <c r="X147" s="55">
        <f t="shared" si="70"/>
        <v>0</v>
      </c>
      <c r="Y147" s="55">
        <f t="shared" si="70"/>
        <v>0</v>
      </c>
      <c r="Z147" s="55">
        <f t="shared" si="70"/>
        <v>0</v>
      </c>
      <c r="AA147" s="55">
        <f t="shared" si="70"/>
        <v>0</v>
      </c>
      <c r="AB147" s="55">
        <f t="shared" si="70"/>
        <v>0</v>
      </c>
      <c r="AC147" s="55">
        <f t="shared" si="70"/>
        <v>0</v>
      </c>
      <c r="AD147" s="55">
        <f t="shared" si="70"/>
        <v>0</v>
      </c>
      <c r="AE147" s="55">
        <f t="shared" si="70"/>
        <v>0</v>
      </c>
      <c r="AF147" s="55">
        <f t="shared" si="70"/>
        <v>0</v>
      </c>
      <c r="AG147" s="55">
        <f t="shared" si="70"/>
        <v>0</v>
      </c>
      <c r="AH147" s="55">
        <f t="shared" si="70"/>
        <v>0</v>
      </c>
      <c r="AI147" s="55">
        <f t="shared" ref="AI147:BJ147" si="71">IF(AND(AI$127&gt;=$I39,AI$127&lt;$I39+$F39),INDEX($T39:$AI39,AI$127-$I39+1),0)</f>
        <v>0</v>
      </c>
      <c r="AJ147" s="55">
        <f t="shared" si="71"/>
        <v>0</v>
      </c>
      <c r="AK147" s="55">
        <f t="shared" si="71"/>
        <v>0</v>
      </c>
      <c r="AL147" s="55">
        <f t="shared" si="71"/>
        <v>0</v>
      </c>
      <c r="AM147" s="55">
        <f t="shared" si="71"/>
        <v>0</v>
      </c>
      <c r="AN147" s="55">
        <f t="shared" si="71"/>
        <v>0</v>
      </c>
      <c r="AO147" s="55">
        <f t="shared" si="71"/>
        <v>0</v>
      </c>
      <c r="AP147" s="55">
        <f t="shared" si="71"/>
        <v>0</v>
      </c>
      <c r="AQ147" s="55">
        <f t="shared" si="71"/>
        <v>0</v>
      </c>
      <c r="AR147" s="55">
        <f t="shared" si="71"/>
        <v>0</v>
      </c>
      <c r="AS147" s="55">
        <f t="shared" si="71"/>
        <v>0</v>
      </c>
      <c r="AT147" s="55">
        <f t="shared" si="71"/>
        <v>0</v>
      </c>
      <c r="AU147" s="55">
        <f t="shared" si="71"/>
        <v>0</v>
      </c>
      <c r="AV147" s="55">
        <f t="shared" si="71"/>
        <v>0</v>
      </c>
      <c r="AW147" s="55">
        <f t="shared" si="71"/>
        <v>0</v>
      </c>
      <c r="AX147" s="55">
        <f t="shared" si="71"/>
        <v>0</v>
      </c>
      <c r="AY147" s="55">
        <f t="shared" si="71"/>
        <v>0</v>
      </c>
      <c r="AZ147" s="55">
        <f t="shared" si="71"/>
        <v>0</v>
      </c>
      <c r="BA147" s="55">
        <f t="shared" si="71"/>
        <v>0</v>
      </c>
      <c r="BB147" s="55">
        <f t="shared" si="71"/>
        <v>0</v>
      </c>
      <c r="BC147" s="55">
        <f t="shared" si="71"/>
        <v>0</v>
      </c>
      <c r="BD147" s="55">
        <f t="shared" si="71"/>
        <v>0</v>
      </c>
      <c r="BE147" s="55">
        <f t="shared" si="71"/>
        <v>0</v>
      </c>
      <c r="BF147" s="55">
        <f t="shared" si="71"/>
        <v>0</v>
      </c>
      <c r="BG147" s="55">
        <f t="shared" si="71"/>
        <v>0</v>
      </c>
      <c r="BH147" s="55">
        <f t="shared" si="71"/>
        <v>0</v>
      </c>
      <c r="BI147" s="55">
        <f t="shared" si="71"/>
        <v>0</v>
      </c>
      <c r="BJ147" s="55">
        <f t="shared" si="71"/>
        <v>0</v>
      </c>
    </row>
    <row r="148" spans="1:62" x14ac:dyDescent="0.3">
      <c r="A148" s="53" t="str">
        <f t="shared" si="39"/>
        <v>project 32</v>
      </c>
      <c r="C148" s="55">
        <f t="shared" ref="C148:AH148" si="72">IF(AND(C$127&gt;=$I40,C$127&lt;$I40+$F40),INDEX($T40:$AI40,C$127-$I40+1),0)</f>
        <v>1.744</v>
      </c>
      <c r="D148" s="55">
        <f t="shared" si="72"/>
        <v>1.5588235294117641</v>
      </c>
      <c r="E148" s="55">
        <f t="shared" si="72"/>
        <v>12.15301806997309</v>
      </c>
      <c r="F148" s="55">
        <f t="shared" si="72"/>
        <v>0</v>
      </c>
      <c r="G148" s="55">
        <f t="shared" si="72"/>
        <v>0</v>
      </c>
      <c r="H148" s="55">
        <f t="shared" si="72"/>
        <v>0</v>
      </c>
      <c r="I148" s="55">
        <f t="shared" si="72"/>
        <v>0</v>
      </c>
      <c r="J148" s="55">
        <f t="shared" si="72"/>
        <v>0</v>
      </c>
      <c r="K148" s="55">
        <f t="shared" si="72"/>
        <v>0</v>
      </c>
      <c r="L148" s="55">
        <f t="shared" si="72"/>
        <v>0</v>
      </c>
      <c r="M148" s="55">
        <f t="shared" si="72"/>
        <v>0</v>
      </c>
      <c r="N148" s="55">
        <f t="shared" si="72"/>
        <v>0</v>
      </c>
      <c r="O148" s="55">
        <f t="shared" si="72"/>
        <v>0</v>
      </c>
      <c r="P148" s="55">
        <f t="shared" si="72"/>
        <v>0</v>
      </c>
      <c r="Q148" s="55">
        <f t="shared" si="72"/>
        <v>0</v>
      </c>
      <c r="R148" s="55">
        <f t="shared" si="72"/>
        <v>0</v>
      </c>
      <c r="S148" s="55">
        <f t="shared" si="72"/>
        <v>0</v>
      </c>
      <c r="T148" s="55">
        <f t="shared" si="72"/>
        <v>0</v>
      </c>
      <c r="U148" s="55">
        <f t="shared" si="72"/>
        <v>0</v>
      </c>
      <c r="V148" s="55">
        <f t="shared" si="72"/>
        <v>0</v>
      </c>
      <c r="W148" s="55">
        <f t="shared" si="72"/>
        <v>0</v>
      </c>
      <c r="X148" s="55">
        <f t="shared" si="72"/>
        <v>0</v>
      </c>
      <c r="Y148" s="55">
        <f t="shared" si="72"/>
        <v>0</v>
      </c>
      <c r="Z148" s="55">
        <f t="shared" si="72"/>
        <v>0</v>
      </c>
      <c r="AA148" s="55">
        <f t="shared" si="72"/>
        <v>0</v>
      </c>
      <c r="AB148" s="55">
        <f t="shared" si="72"/>
        <v>0</v>
      </c>
      <c r="AC148" s="55">
        <f t="shared" si="72"/>
        <v>0</v>
      </c>
      <c r="AD148" s="55">
        <f t="shared" si="72"/>
        <v>0</v>
      </c>
      <c r="AE148" s="55">
        <f t="shared" si="72"/>
        <v>0</v>
      </c>
      <c r="AF148" s="55">
        <f t="shared" si="72"/>
        <v>0</v>
      </c>
      <c r="AG148" s="55">
        <f t="shared" si="72"/>
        <v>0</v>
      </c>
      <c r="AH148" s="55">
        <f t="shared" si="72"/>
        <v>0</v>
      </c>
      <c r="AI148" s="55">
        <f t="shared" ref="AI148:BJ148" si="73">IF(AND(AI$127&gt;=$I40,AI$127&lt;$I40+$F40),INDEX($T40:$AI40,AI$127-$I40+1),0)</f>
        <v>0</v>
      </c>
      <c r="AJ148" s="55">
        <f t="shared" si="73"/>
        <v>0</v>
      </c>
      <c r="AK148" s="55">
        <f t="shared" si="73"/>
        <v>0</v>
      </c>
      <c r="AL148" s="55">
        <f t="shared" si="73"/>
        <v>0</v>
      </c>
      <c r="AM148" s="55">
        <f t="shared" si="73"/>
        <v>0</v>
      </c>
      <c r="AN148" s="55">
        <f t="shared" si="73"/>
        <v>0</v>
      </c>
      <c r="AO148" s="55">
        <f t="shared" si="73"/>
        <v>0</v>
      </c>
      <c r="AP148" s="55">
        <f t="shared" si="73"/>
        <v>0</v>
      </c>
      <c r="AQ148" s="55">
        <f t="shared" si="73"/>
        <v>0</v>
      </c>
      <c r="AR148" s="55">
        <f t="shared" si="73"/>
        <v>0</v>
      </c>
      <c r="AS148" s="55">
        <f t="shared" si="73"/>
        <v>0</v>
      </c>
      <c r="AT148" s="55">
        <f t="shared" si="73"/>
        <v>0</v>
      </c>
      <c r="AU148" s="55">
        <f t="shared" si="73"/>
        <v>0</v>
      </c>
      <c r="AV148" s="55">
        <f t="shared" si="73"/>
        <v>0</v>
      </c>
      <c r="AW148" s="55">
        <f t="shared" si="73"/>
        <v>0</v>
      </c>
      <c r="AX148" s="55">
        <f t="shared" si="73"/>
        <v>0</v>
      </c>
      <c r="AY148" s="55">
        <f t="shared" si="73"/>
        <v>0</v>
      </c>
      <c r="AZ148" s="55">
        <f t="shared" si="73"/>
        <v>0</v>
      </c>
      <c r="BA148" s="55">
        <f t="shared" si="73"/>
        <v>0</v>
      </c>
      <c r="BB148" s="55">
        <f t="shared" si="73"/>
        <v>0</v>
      </c>
      <c r="BC148" s="55">
        <f t="shared" si="73"/>
        <v>0</v>
      </c>
      <c r="BD148" s="55">
        <f t="shared" si="73"/>
        <v>0</v>
      </c>
      <c r="BE148" s="55">
        <f t="shared" si="73"/>
        <v>0</v>
      </c>
      <c r="BF148" s="55">
        <f t="shared" si="73"/>
        <v>0</v>
      </c>
      <c r="BG148" s="55">
        <f t="shared" si="73"/>
        <v>0</v>
      </c>
      <c r="BH148" s="55">
        <f t="shared" si="73"/>
        <v>0</v>
      </c>
      <c r="BI148" s="55">
        <f t="shared" si="73"/>
        <v>0</v>
      </c>
      <c r="BJ148" s="55">
        <f t="shared" si="73"/>
        <v>0</v>
      </c>
    </row>
    <row r="149" spans="1:62" x14ac:dyDescent="0.3">
      <c r="A149" s="53" t="str">
        <f t="shared" si="39"/>
        <v>project 33</v>
      </c>
      <c r="C149" s="55">
        <f t="shared" ref="C149:AH149" si="74">IF(AND(C$127&gt;=$I41,C$127&lt;$I41+$F41),INDEX($T41:$AI41,C$127-$I41+1),0)</f>
        <v>0</v>
      </c>
      <c r="D149" s="55">
        <f t="shared" si="74"/>
        <v>0</v>
      </c>
      <c r="E149" s="55">
        <f t="shared" si="74"/>
        <v>0</v>
      </c>
      <c r="F149" s="55">
        <f t="shared" si="74"/>
        <v>0</v>
      </c>
      <c r="G149" s="55">
        <f t="shared" si="74"/>
        <v>0</v>
      </c>
      <c r="H149" s="55">
        <f t="shared" si="74"/>
        <v>0</v>
      </c>
      <c r="I149" s="55">
        <f t="shared" si="74"/>
        <v>0</v>
      </c>
      <c r="J149" s="55">
        <f t="shared" si="74"/>
        <v>0</v>
      </c>
      <c r="K149" s="55">
        <f t="shared" si="74"/>
        <v>0</v>
      </c>
      <c r="L149" s="55">
        <f t="shared" si="74"/>
        <v>0</v>
      </c>
      <c r="M149" s="55">
        <f t="shared" si="74"/>
        <v>0</v>
      </c>
      <c r="N149" s="55">
        <f t="shared" si="74"/>
        <v>0</v>
      </c>
      <c r="O149" s="55">
        <f t="shared" si="74"/>
        <v>0</v>
      </c>
      <c r="P149" s="55">
        <f t="shared" si="74"/>
        <v>0</v>
      </c>
      <c r="Q149" s="55">
        <f t="shared" si="74"/>
        <v>0</v>
      </c>
      <c r="R149" s="55">
        <f t="shared" si="74"/>
        <v>0</v>
      </c>
      <c r="S149" s="55">
        <f t="shared" si="74"/>
        <v>0</v>
      </c>
      <c r="T149" s="55">
        <f t="shared" si="74"/>
        <v>7.5467250000000003</v>
      </c>
      <c r="U149" s="55">
        <f t="shared" si="74"/>
        <v>1.4269499999999999</v>
      </c>
      <c r="V149" s="55">
        <f t="shared" si="74"/>
        <v>0</v>
      </c>
      <c r="W149" s="55">
        <f t="shared" si="74"/>
        <v>0</v>
      </c>
      <c r="X149" s="55">
        <f t="shared" si="74"/>
        <v>0</v>
      </c>
      <c r="Y149" s="55">
        <f t="shared" si="74"/>
        <v>0</v>
      </c>
      <c r="Z149" s="55">
        <f t="shared" si="74"/>
        <v>0</v>
      </c>
      <c r="AA149" s="55">
        <f t="shared" si="74"/>
        <v>0</v>
      </c>
      <c r="AB149" s="55">
        <f t="shared" si="74"/>
        <v>0</v>
      </c>
      <c r="AC149" s="55">
        <f t="shared" si="74"/>
        <v>0</v>
      </c>
      <c r="AD149" s="55">
        <f t="shared" si="74"/>
        <v>0</v>
      </c>
      <c r="AE149" s="55">
        <f t="shared" si="74"/>
        <v>0</v>
      </c>
      <c r="AF149" s="55">
        <f t="shared" si="74"/>
        <v>0</v>
      </c>
      <c r="AG149" s="55">
        <f t="shared" si="74"/>
        <v>0</v>
      </c>
      <c r="AH149" s="55">
        <f t="shared" si="74"/>
        <v>0</v>
      </c>
      <c r="AI149" s="55">
        <f t="shared" ref="AI149:BJ149" si="75">IF(AND(AI$127&gt;=$I41,AI$127&lt;$I41+$F41),INDEX($T41:$AI41,AI$127-$I41+1),0)</f>
        <v>0</v>
      </c>
      <c r="AJ149" s="55">
        <f t="shared" si="75"/>
        <v>0</v>
      </c>
      <c r="AK149" s="55">
        <f t="shared" si="75"/>
        <v>0</v>
      </c>
      <c r="AL149" s="55">
        <f t="shared" si="75"/>
        <v>0</v>
      </c>
      <c r="AM149" s="55">
        <f t="shared" si="75"/>
        <v>0</v>
      </c>
      <c r="AN149" s="55">
        <f t="shared" si="75"/>
        <v>0</v>
      </c>
      <c r="AO149" s="55">
        <f t="shared" si="75"/>
        <v>0</v>
      </c>
      <c r="AP149" s="55">
        <f t="shared" si="75"/>
        <v>0</v>
      </c>
      <c r="AQ149" s="55">
        <f t="shared" si="75"/>
        <v>0</v>
      </c>
      <c r="AR149" s="55">
        <f t="shared" si="75"/>
        <v>0</v>
      </c>
      <c r="AS149" s="55">
        <f t="shared" si="75"/>
        <v>0</v>
      </c>
      <c r="AT149" s="55">
        <f t="shared" si="75"/>
        <v>0</v>
      </c>
      <c r="AU149" s="55">
        <f t="shared" si="75"/>
        <v>0</v>
      </c>
      <c r="AV149" s="55">
        <f t="shared" si="75"/>
        <v>0</v>
      </c>
      <c r="AW149" s="55">
        <f t="shared" si="75"/>
        <v>0</v>
      </c>
      <c r="AX149" s="55">
        <f t="shared" si="75"/>
        <v>0</v>
      </c>
      <c r="AY149" s="55">
        <f t="shared" si="75"/>
        <v>0</v>
      </c>
      <c r="AZ149" s="55">
        <f t="shared" si="75"/>
        <v>0</v>
      </c>
      <c r="BA149" s="55">
        <f t="shared" si="75"/>
        <v>0</v>
      </c>
      <c r="BB149" s="55">
        <f t="shared" si="75"/>
        <v>0</v>
      </c>
      <c r="BC149" s="55">
        <f t="shared" si="75"/>
        <v>0</v>
      </c>
      <c r="BD149" s="55">
        <f t="shared" si="75"/>
        <v>0</v>
      </c>
      <c r="BE149" s="55">
        <f t="shared" si="75"/>
        <v>0</v>
      </c>
      <c r="BF149" s="55">
        <f t="shared" si="75"/>
        <v>0</v>
      </c>
      <c r="BG149" s="55">
        <f t="shared" si="75"/>
        <v>0</v>
      </c>
      <c r="BH149" s="55">
        <f t="shared" si="75"/>
        <v>0</v>
      </c>
      <c r="BI149" s="55">
        <f t="shared" si="75"/>
        <v>0</v>
      </c>
      <c r="BJ149" s="55">
        <f t="shared" si="75"/>
        <v>0</v>
      </c>
    </row>
    <row r="150" spans="1:62" x14ac:dyDescent="0.3">
      <c r="A150" s="53" t="str">
        <f t="shared" si="39"/>
        <v>project 37</v>
      </c>
      <c r="C150" s="55">
        <f t="shared" ref="C150:AH150" si="76">IF(AND(C$127&gt;=$I42,C$127&lt;$I42+$F42),INDEX($T42:$AI42,C$127-$I42+1),0)</f>
        <v>0</v>
      </c>
      <c r="D150" s="55">
        <f t="shared" si="76"/>
        <v>0</v>
      </c>
      <c r="E150" s="55">
        <f t="shared" si="76"/>
        <v>0</v>
      </c>
      <c r="F150" s="55">
        <f t="shared" si="76"/>
        <v>0</v>
      </c>
      <c r="G150" s="55">
        <f t="shared" si="76"/>
        <v>0</v>
      </c>
      <c r="H150" s="55">
        <f t="shared" si="76"/>
        <v>0</v>
      </c>
      <c r="I150" s="55">
        <f t="shared" si="76"/>
        <v>0</v>
      </c>
      <c r="J150" s="55">
        <f t="shared" si="76"/>
        <v>0</v>
      </c>
      <c r="K150" s="55">
        <f t="shared" si="76"/>
        <v>6.54</v>
      </c>
      <c r="L150" s="55">
        <f t="shared" si="76"/>
        <v>2.1372549019607838</v>
      </c>
      <c r="M150" s="55">
        <f t="shared" si="76"/>
        <v>0</v>
      </c>
      <c r="N150" s="55">
        <f t="shared" si="76"/>
        <v>0</v>
      </c>
      <c r="O150" s="55">
        <f t="shared" si="76"/>
        <v>0</v>
      </c>
      <c r="P150" s="55">
        <f t="shared" si="76"/>
        <v>0</v>
      </c>
      <c r="Q150" s="55">
        <f t="shared" si="76"/>
        <v>0</v>
      </c>
      <c r="R150" s="55">
        <f t="shared" si="76"/>
        <v>0</v>
      </c>
      <c r="S150" s="55">
        <f t="shared" si="76"/>
        <v>0</v>
      </c>
      <c r="T150" s="55">
        <f t="shared" si="76"/>
        <v>0</v>
      </c>
      <c r="U150" s="55">
        <f t="shared" si="76"/>
        <v>0</v>
      </c>
      <c r="V150" s="55">
        <f t="shared" si="76"/>
        <v>0</v>
      </c>
      <c r="W150" s="55">
        <f t="shared" si="76"/>
        <v>0</v>
      </c>
      <c r="X150" s="55">
        <f t="shared" si="76"/>
        <v>0</v>
      </c>
      <c r="Y150" s="55">
        <f t="shared" si="76"/>
        <v>0</v>
      </c>
      <c r="Z150" s="55">
        <f t="shared" si="76"/>
        <v>0</v>
      </c>
      <c r="AA150" s="55">
        <f t="shared" si="76"/>
        <v>0</v>
      </c>
      <c r="AB150" s="55">
        <f t="shared" si="76"/>
        <v>0</v>
      </c>
      <c r="AC150" s="55">
        <f t="shared" si="76"/>
        <v>0</v>
      </c>
      <c r="AD150" s="55">
        <f t="shared" si="76"/>
        <v>0</v>
      </c>
      <c r="AE150" s="55">
        <f t="shared" si="76"/>
        <v>0</v>
      </c>
      <c r="AF150" s="55">
        <f t="shared" si="76"/>
        <v>0</v>
      </c>
      <c r="AG150" s="55">
        <f t="shared" si="76"/>
        <v>0</v>
      </c>
      <c r="AH150" s="55">
        <f t="shared" si="76"/>
        <v>0</v>
      </c>
      <c r="AI150" s="55">
        <f t="shared" ref="AI150:BJ150" si="77">IF(AND(AI$127&gt;=$I42,AI$127&lt;$I42+$F42),INDEX($T42:$AI42,AI$127-$I42+1),0)</f>
        <v>0</v>
      </c>
      <c r="AJ150" s="55">
        <f t="shared" si="77"/>
        <v>0</v>
      </c>
      <c r="AK150" s="55">
        <f t="shared" si="77"/>
        <v>0</v>
      </c>
      <c r="AL150" s="55">
        <f t="shared" si="77"/>
        <v>0</v>
      </c>
      <c r="AM150" s="55">
        <f t="shared" si="77"/>
        <v>0</v>
      </c>
      <c r="AN150" s="55">
        <f t="shared" si="77"/>
        <v>0</v>
      </c>
      <c r="AO150" s="55">
        <f t="shared" si="77"/>
        <v>0</v>
      </c>
      <c r="AP150" s="55">
        <f t="shared" si="77"/>
        <v>0</v>
      </c>
      <c r="AQ150" s="55">
        <f t="shared" si="77"/>
        <v>0</v>
      </c>
      <c r="AR150" s="55">
        <f t="shared" si="77"/>
        <v>0</v>
      </c>
      <c r="AS150" s="55">
        <f t="shared" si="77"/>
        <v>0</v>
      </c>
      <c r="AT150" s="55">
        <f t="shared" si="77"/>
        <v>0</v>
      </c>
      <c r="AU150" s="55">
        <f t="shared" si="77"/>
        <v>0</v>
      </c>
      <c r="AV150" s="55">
        <f t="shared" si="77"/>
        <v>0</v>
      </c>
      <c r="AW150" s="55">
        <f t="shared" si="77"/>
        <v>0</v>
      </c>
      <c r="AX150" s="55">
        <f t="shared" si="77"/>
        <v>0</v>
      </c>
      <c r="AY150" s="55">
        <f t="shared" si="77"/>
        <v>0</v>
      </c>
      <c r="AZ150" s="55">
        <f t="shared" si="77"/>
        <v>0</v>
      </c>
      <c r="BA150" s="55">
        <f t="shared" si="77"/>
        <v>0</v>
      </c>
      <c r="BB150" s="55">
        <f t="shared" si="77"/>
        <v>0</v>
      </c>
      <c r="BC150" s="55">
        <f t="shared" si="77"/>
        <v>0</v>
      </c>
      <c r="BD150" s="55">
        <f t="shared" si="77"/>
        <v>0</v>
      </c>
      <c r="BE150" s="55">
        <f t="shared" si="77"/>
        <v>0</v>
      </c>
      <c r="BF150" s="55">
        <f t="shared" si="77"/>
        <v>0</v>
      </c>
      <c r="BG150" s="55">
        <f t="shared" si="77"/>
        <v>0</v>
      </c>
      <c r="BH150" s="55">
        <f t="shared" si="77"/>
        <v>0</v>
      </c>
      <c r="BI150" s="55">
        <f t="shared" si="77"/>
        <v>0</v>
      </c>
      <c r="BJ150" s="55">
        <f t="shared" si="77"/>
        <v>0</v>
      </c>
    </row>
    <row r="151" spans="1:62" x14ac:dyDescent="0.3">
      <c r="A151" s="53" t="str">
        <f t="shared" si="39"/>
        <v>project 38</v>
      </c>
      <c r="C151" s="55">
        <f t="shared" ref="C151:AH151" si="78">IF(AND(C$127&gt;=$I43,C$127&lt;$I43+$F43),INDEX($T43:$AI43,C$127-$I43+1),0)</f>
        <v>2</v>
      </c>
      <c r="D151" s="55">
        <f t="shared" si="78"/>
        <v>39.2156862745098</v>
      </c>
      <c r="E151" s="55">
        <f t="shared" si="78"/>
        <v>20.583429450211462</v>
      </c>
      <c r="F151" s="55">
        <f t="shared" si="78"/>
        <v>20.179832794324959</v>
      </c>
      <c r="G151" s="55">
        <f t="shared" si="78"/>
        <v>0</v>
      </c>
      <c r="H151" s="55">
        <f t="shared" si="78"/>
        <v>0</v>
      </c>
      <c r="I151" s="55">
        <f t="shared" si="78"/>
        <v>0</v>
      </c>
      <c r="J151" s="55">
        <f t="shared" si="78"/>
        <v>0</v>
      </c>
      <c r="K151" s="55">
        <f t="shared" si="78"/>
        <v>0</v>
      </c>
      <c r="L151" s="55">
        <f t="shared" si="78"/>
        <v>0</v>
      </c>
      <c r="M151" s="55">
        <f t="shared" si="78"/>
        <v>0</v>
      </c>
      <c r="N151" s="55">
        <f t="shared" si="78"/>
        <v>0</v>
      </c>
      <c r="O151" s="55">
        <f t="shared" si="78"/>
        <v>0</v>
      </c>
      <c r="P151" s="55">
        <f t="shared" si="78"/>
        <v>0</v>
      </c>
      <c r="Q151" s="55">
        <f t="shared" si="78"/>
        <v>0</v>
      </c>
      <c r="R151" s="55">
        <f t="shared" si="78"/>
        <v>0</v>
      </c>
      <c r="S151" s="55">
        <f t="shared" si="78"/>
        <v>0</v>
      </c>
      <c r="T151" s="55">
        <f t="shared" si="78"/>
        <v>0</v>
      </c>
      <c r="U151" s="55">
        <f t="shared" si="78"/>
        <v>0</v>
      </c>
      <c r="V151" s="55">
        <f t="shared" si="78"/>
        <v>0</v>
      </c>
      <c r="W151" s="55">
        <f t="shared" si="78"/>
        <v>0</v>
      </c>
      <c r="X151" s="55">
        <f t="shared" si="78"/>
        <v>0</v>
      </c>
      <c r="Y151" s="55">
        <f t="shared" si="78"/>
        <v>0</v>
      </c>
      <c r="Z151" s="55">
        <f t="shared" si="78"/>
        <v>0</v>
      </c>
      <c r="AA151" s="55">
        <f t="shared" si="78"/>
        <v>0</v>
      </c>
      <c r="AB151" s="55">
        <f t="shared" si="78"/>
        <v>0</v>
      </c>
      <c r="AC151" s="55">
        <f t="shared" si="78"/>
        <v>0</v>
      </c>
      <c r="AD151" s="55">
        <f t="shared" si="78"/>
        <v>0</v>
      </c>
      <c r="AE151" s="55">
        <f t="shared" si="78"/>
        <v>0</v>
      </c>
      <c r="AF151" s="55">
        <f t="shared" si="78"/>
        <v>0</v>
      </c>
      <c r="AG151" s="55">
        <f t="shared" si="78"/>
        <v>0</v>
      </c>
      <c r="AH151" s="55">
        <f t="shared" si="78"/>
        <v>0</v>
      </c>
      <c r="AI151" s="55">
        <f t="shared" ref="AI151:BJ151" si="79">IF(AND(AI$127&gt;=$I43,AI$127&lt;$I43+$F43),INDEX($T43:$AI43,AI$127-$I43+1),0)</f>
        <v>0</v>
      </c>
      <c r="AJ151" s="55">
        <f t="shared" si="79"/>
        <v>0</v>
      </c>
      <c r="AK151" s="55">
        <f t="shared" si="79"/>
        <v>0</v>
      </c>
      <c r="AL151" s="55">
        <f t="shared" si="79"/>
        <v>0</v>
      </c>
      <c r="AM151" s="55">
        <f t="shared" si="79"/>
        <v>0</v>
      </c>
      <c r="AN151" s="55">
        <f t="shared" si="79"/>
        <v>0</v>
      </c>
      <c r="AO151" s="55">
        <f t="shared" si="79"/>
        <v>0</v>
      </c>
      <c r="AP151" s="55">
        <f t="shared" si="79"/>
        <v>0</v>
      </c>
      <c r="AQ151" s="55">
        <f t="shared" si="79"/>
        <v>0</v>
      </c>
      <c r="AR151" s="55">
        <f t="shared" si="79"/>
        <v>0</v>
      </c>
      <c r="AS151" s="55">
        <f t="shared" si="79"/>
        <v>0</v>
      </c>
      <c r="AT151" s="55">
        <f t="shared" si="79"/>
        <v>0</v>
      </c>
      <c r="AU151" s="55">
        <f t="shared" si="79"/>
        <v>0</v>
      </c>
      <c r="AV151" s="55">
        <f t="shared" si="79"/>
        <v>0</v>
      </c>
      <c r="AW151" s="55">
        <f t="shared" si="79"/>
        <v>0</v>
      </c>
      <c r="AX151" s="55">
        <f t="shared" si="79"/>
        <v>0</v>
      </c>
      <c r="AY151" s="55">
        <f t="shared" si="79"/>
        <v>0</v>
      </c>
      <c r="AZ151" s="55">
        <f t="shared" si="79"/>
        <v>0</v>
      </c>
      <c r="BA151" s="55">
        <f t="shared" si="79"/>
        <v>0</v>
      </c>
      <c r="BB151" s="55">
        <f t="shared" si="79"/>
        <v>0</v>
      </c>
      <c r="BC151" s="55">
        <f t="shared" si="79"/>
        <v>0</v>
      </c>
      <c r="BD151" s="55">
        <f t="shared" si="79"/>
        <v>0</v>
      </c>
      <c r="BE151" s="55">
        <f t="shared" si="79"/>
        <v>0</v>
      </c>
      <c r="BF151" s="55">
        <f t="shared" si="79"/>
        <v>0</v>
      </c>
      <c r="BG151" s="55">
        <f t="shared" si="79"/>
        <v>0</v>
      </c>
      <c r="BH151" s="55">
        <f t="shared" si="79"/>
        <v>0</v>
      </c>
      <c r="BI151" s="55">
        <f t="shared" si="79"/>
        <v>0</v>
      </c>
      <c r="BJ151" s="55">
        <f t="shared" si="79"/>
        <v>0</v>
      </c>
    </row>
    <row r="152" spans="1:62" x14ac:dyDescent="0.3">
      <c r="A152" s="53" t="str">
        <f t="shared" si="39"/>
        <v>project 39</v>
      </c>
      <c r="C152" s="55">
        <f t="shared" ref="C152:AH152" si="80">IF(AND(C$127&gt;=$I44,C$127&lt;$I44+$F44),INDEX($T44:$AI44,C$127-$I44+1),0)</f>
        <v>18.529463</v>
      </c>
      <c r="D152" s="55">
        <f t="shared" si="80"/>
        <v>1.304794117647059</v>
      </c>
      <c r="E152" s="55">
        <f t="shared" si="80"/>
        <v>0</v>
      </c>
      <c r="F152" s="55">
        <f t="shared" si="80"/>
        <v>0</v>
      </c>
      <c r="G152" s="55">
        <f t="shared" si="80"/>
        <v>0</v>
      </c>
      <c r="H152" s="55">
        <f t="shared" si="80"/>
        <v>0</v>
      </c>
      <c r="I152" s="55">
        <f t="shared" si="80"/>
        <v>0</v>
      </c>
      <c r="J152" s="55">
        <f t="shared" si="80"/>
        <v>0</v>
      </c>
      <c r="K152" s="55">
        <f t="shared" si="80"/>
        <v>0</v>
      </c>
      <c r="L152" s="55">
        <f t="shared" si="80"/>
        <v>0</v>
      </c>
      <c r="M152" s="55">
        <f t="shared" si="80"/>
        <v>0</v>
      </c>
      <c r="N152" s="55">
        <f t="shared" si="80"/>
        <v>0</v>
      </c>
      <c r="O152" s="55">
        <f t="shared" si="80"/>
        <v>0</v>
      </c>
      <c r="P152" s="55">
        <f t="shared" si="80"/>
        <v>0</v>
      </c>
      <c r="Q152" s="55">
        <f t="shared" si="80"/>
        <v>0</v>
      </c>
      <c r="R152" s="55">
        <f t="shared" si="80"/>
        <v>0</v>
      </c>
      <c r="S152" s="55">
        <f t="shared" si="80"/>
        <v>0</v>
      </c>
      <c r="T152" s="55">
        <f t="shared" si="80"/>
        <v>0</v>
      </c>
      <c r="U152" s="55">
        <f t="shared" si="80"/>
        <v>0</v>
      </c>
      <c r="V152" s="55">
        <f t="shared" si="80"/>
        <v>0</v>
      </c>
      <c r="W152" s="55">
        <f t="shared" si="80"/>
        <v>0</v>
      </c>
      <c r="X152" s="55">
        <f t="shared" si="80"/>
        <v>0</v>
      </c>
      <c r="Y152" s="55">
        <f t="shared" si="80"/>
        <v>0</v>
      </c>
      <c r="Z152" s="55">
        <f t="shared" si="80"/>
        <v>0</v>
      </c>
      <c r="AA152" s="55">
        <f t="shared" si="80"/>
        <v>0</v>
      </c>
      <c r="AB152" s="55">
        <f t="shared" si="80"/>
        <v>0</v>
      </c>
      <c r="AC152" s="55">
        <f t="shared" si="80"/>
        <v>0</v>
      </c>
      <c r="AD152" s="55">
        <f t="shared" si="80"/>
        <v>0</v>
      </c>
      <c r="AE152" s="55">
        <f t="shared" si="80"/>
        <v>0</v>
      </c>
      <c r="AF152" s="55">
        <f t="shared" si="80"/>
        <v>0</v>
      </c>
      <c r="AG152" s="55">
        <f t="shared" si="80"/>
        <v>0</v>
      </c>
      <c r="AH152" s="55">
        <f t="shared" si="80"/>
        <v>0</v>
      </c>
      <c r="AI152" s="55">
        <f t="shared" ref="AI152:BJ152" si="81">IF(AND(AI$127&gt;=$I44,AI$127&lt;$I44+$F44),INDEX($T44:$AI44,AI$127-$I44+1),0)</f>
        <v>0</v>
      </c>
      <c r="AJ152" s="55">
        <f t="shared" si="81"/>
        <v>0</v>
      </c>
      <c r="AK152" s="55">
        <f t="shared" si="81"/>
        <v>0</v>
      </c>
      <c r="AL152" s="55">
        <f t="shared" si="81"/>
        <v>0</v>
      </c>
      <c r="AM152" s="55">
        <f t="shared" si="81"/>
        <v>0</v>
      </c>
      <c r="AN152" s="55">
        <f t="shared" si="81"/>
        <v>0</v>
      </c>
      <c r="AO152" s="55">
        <f t="shared" si="81"/>
        <v>0</v>
      </c>
      <c r="AP152" s="55">
        <f t="shared" si="81"/>
        <v>0</v>
      </c>
      <c r="AQ152" s="55">
        <f t="shared" si="81"/>
        <v>0</v>
      </c>
      <c r="AR152" s="55">
        <f t="shared" si="81"/>
        <v>0</v>
      </c>
      <c r="AS152" s="55">
        <f t="shared" si="81"/>
        <v>0</v>
      </c>
      <c r="AT152" s="55">
        <f t="shared" si="81"/>
        <v>0</v>
      </c>
      <c r="AU152" s="55">
        <f t="shared" si="81"/>
        <v>0</v>
      </c>
      <c r="AV152" s="55">
        <f t="shared" si="81"/>
        <v>0</v>
      </c>
      <c r="AW152" s="55">
        <f t="shared" si="81"/>
        <v>0</v>
      </c>
      <c r="AX152" s="55">
        <f t="shared" si="81"/>
        <v>0</v>
      </c>
      <c r="AY152" s="55">
        <f t="shared" si="81"/>
        <v>0</v>
      </c>
      <c r="AZ152" s="55">
        <f t="shared" si="81"/>
        <v>0</v>
      </c>
      <c r="BA152" s="55">
        <f t="shared" si="81"/>
        <v>0</v>
      </c>
      <c r="BB152" s="55">
        <f t="shared" si="81"/>
        <v>0</v>
      </c>
      <c r="BC152" s="55">
        <f t="shared" si="81"/>
        <v>0</v>
      </c>
      <c r="BD152" s="55">
        <f t="shared" si="81"/>
        <v>0</v>
      </c>
      <c r="BE152" s="55">
        <f t="shared" si="81"/>
        <v>0</v>
      </c>
      <c r="BF152" s="55">
        <f t="shared" si="81"/>
        <v>0</v>
      </c>
      <c r="BG152" s="55">
        <f t="shared" si="81"/>
        <v>0</v>
      </c>
      <c r="BH152" s="55">
        <f t="shared" si="81"/>
        <v>0</v>
      </c>
      <c r="BI152" s="55">
        <f t="shared" si="81"/>
        <v>0</v>
      </c>
      <c r="BJ152" s="55">
        <f t="shared" si="81"/>
        <v>0</v>
      </c>
    </row>
    <row r="153" spans="1:62" x14ac:dyDescent="0.3">
      <c r="A153" s="53" t="str">
        <f t="shared" si="39"/>
        <v>project 40</v>
      </c>
      <c r="C153" s="55">
        <f t="shared" ref="C153:AH153" si="82">IF(AND(C$127&gt;=$I45,C$127&lt;$I45+$F45),INDEX($T45:$AI45,C$127-$I45+1),0)</f>
        <v>5.4128860000000003</v>
      </c>
      <c r="D153" s="55">
        <f t="shared" si="82"/>
        <v>20.303921568627452</v>
      </c>
      <c r="E153" s="55">
        <f t="shared" si="82"/>
        <v>0</v>
      </c>
      <c r="F153" s="55">
        <f t="shared" si="82"/>
        <v>0</v>
      </c>
      <c r="G153" s="55">
        <f t="shared" si="82"/>
        <v>0</v>
      </c>
      <c r="H153" s="55">
        <f t="shared" si="82"/>
        <v>0</v>
      </c>
      <c r="I153" s="55">
        <f t="shared" si="82"/>
        <v>0</v>
      </c>
      <c r="J153" s="55">
        <f t="shared" si="82"/>
        <v>0</v>
      </c>
      <c r="K153" s="55">
        <f t="shared" si="82"/>
        <v>0</v>
      </c>
      <c r="L153" s="55">
        <f t="shared" si="82"/>
        <v>0</v>
      </c>
      <c r="M153" s="55">
        <f t="shared" si="82"/>
        <v>0</v>
      </c>
      <c r="N153" s="55">
        <f t="shared" si="82"/>
        <v>0</v>
      </c>
      <c r="O153" s="55">
        <f t="shared" si="82"/>
        <v>0</v>
      </c>
      <c r="P153" s="55">
        <f t="shared" si="82"/>
        <v>0</v>
      </c>
      <c r="Q153" s="55">
        <f t="shared" si="82"/>
        <v>0</v>
      </c>
      <c r="R153" s="55">
        <f t="shared" si="82"/>
        <v>0</v>
      </c>
      <c r="S153" s="55">
        <f t="shared" si="82"/>
        <v>0</v>
      </c>
      <c r="T153" s="55">
        <f t="shared" si="82"/>
        <v>0</v>
      </c>
      <c r="U153" s="55">
        <f t="shared" si="82"/>
        <v>0</v>
      </c>
      <c r="V153" s="55">
        <f t="shared" si="82"/>
        <v>0</v>
      </c>
      <c r="W153" s="55">
        <f t="shared" si="82"/>
        <v>0</v>
      </c>
      <c r="X153" s="55">
        <f t="shared" si="82"/>
        <v>0</v>
      </c>
      <c r="Y153" s="55">
        <f t="shared" si="82"/>
        <v>0</v>
      </c>
      <c r="Z153" s="55">
        <f t="shared" si="82"/>
        <v>0</v>
      </c>
      <c r="AA153" s="55">
        <f t="shared" si="82"/>
        <v>0</v>
      </c>
      <c r="AB153" s="55">
        <f t="shared" si="82"/>
        <v>0</v>
      </c>
      <c r="AC153" s="55">
        <f t="shared" si="82"/>
        <v>0</v>
      </c>
      <c r="AD153" s="55">
        <f t="shared" si="82"/>
        <v>0</v>
      </c>
      <c r="AE153" s="55">
        <f t="shared" si="82"/>
        <v>0</v>
      </c>
      <c r="AF153" s="55">
        <f t="shared" si="82"/>
        <v>0</v>
      </c>
      <c r="AG153" s="55">
        <f t="shared" si="82"/>
        <v>0</v>
      </c>
      <c r="AH153" s="55">
        <f t="shared" si="82"/>
        <v>0</v>
      </c>
      <c r="AI153" s="55">
        <f t="shared" ref="AI153:BJ153" si="83">IF(AND(AI$127&gt;=$I45,AI$127&lt;$I45+$F45),INDEX($T45:$AI45,AI$127-$I45+1),0)</f>
        <v>0</v>
      </c>
      <c r="AJ153" s="55">
        <f t="shared" si="83"/>
        <v>0</v>
      </c>
      <c r="AK153" s="55">
        <f t="shared" si="83"/>
        <v>0</v>
      </c>
      <c r="AL153" s="55">
        <f t="shared" si="83"/>
        <v>0</v>
      </c>
      <c r="AM153" s="55">
        <f t="shared" si="83"/>
        <v>0</v>
      </c>
      <c r="AN153" s="55">
        <f t="shared" si="83"/>
        <v>0</v>
      </c>
      <c r="AO153" s="55">
        <f t="shared" si="83"/>
        <v>0</v>
      </c>
      <c r="AP153" s="55">
        <f t="shared" si="83"/>
        <v>0</v>
      </c>
      <c r="AQ153" s="55">
        <f t="shared" si="83"/>
        <v>0</v>
      </c>
      <c r="AR153" s="55">
        <f t="shared" si="83"/>
        <v>0</v>
      </c>
      <c r="AS153" s="55">
        <f t="shared" si="83"/>
        <v>0</v>
      </c>
      <c r="AT153" s="55">
        <f t="shared" si="83"/>
        <v>0</v>
      </c>
      <c r="AU153" s="55">
        <f t="shared" si="83"/>
        <v>0</v>
      </c>
      <c r="AV153" s="55">
        <f t="shared" si="83"/>
        <v>0</v>
      </c>
      <c r="AW153" s="55">
        <f t="shared" si="83"/>
        <v>0</v>
      </c>
      <c r="AX153" s="55">
        <f t="shared" si="83"/>
        <v>0</v>
      </c>
      <c r="AY153" s="55">
        <f t="shared" si="83"/>
        <v>0</v>
      </c>
      <c r="AZ153" s="55">
        <f t="shared" si="83"/>
        <v>0</v>
      </c>
      <c r="BA153" s="55">
        <f t="shared" si="83"/>
        <v>0</v>
      </c>
      <c r="BB153" s="55">
        <f t="shared" si="83"/>
        <v>0</v>
      </c>
      <c r="BC153" s="55">
        <f t="shared" si="83"/>
        <v>0</v>
      </c>
      <c r="BD153" s="55">
        <f t="shared" si="83"/>
        <v>0</v>
      </c>
      <c r="BE153" s="55">
        <f t="shared" si="83"/>
        <v>0</v>
      </c>
      <c r="BF153" s="55">
        <f t="shared" si="83"/>
        <v>0</v>
      </c>
      <c r="BG153" s="55">
        <f t="shared" si="83"/>
        <v>0</v>
      </c>
      <c r="BH153" s="55">
        <f t="shared" si="83"/>
        <v>0</v>
      </c>
      <c r="BI153" s="55">
        <f t="shared" si="83"/>
        <v>0</v>
      </c>
      <c r="BJ153" s="55">
        <f t="shared" si="83"/>
        <v>0</v>
      </c>
    </row>
    <row r="154" spans="1:62" x14ac:dyDescent="0.3">
      <c r="A154" s="53" t="str">
        <f t="shared" si="39"/>
        <v>project 41</v>
      </c>
      <c r="C154" s="55">
        <f t="shared" ref="C154:AH154" si="84">IF(AND(C$127&gt;=$I46,C$127&lt;$I46+$F46),INDEX($T46:$AI46,C$127-$I46+1),0)</f>
        <v>0</v>
      </c>
      <c r="D154" s="55">
        <f t="shared" si="84"/>
        <v>0</v>
      </c>
      <c r="E154" s="55">
        <f t="shared" si="84"/>
        <v>0</v>
      </c>
      <c r="F154" s="55">
        <f t="shared" si="84"/>
        <v>0</v>
      </c>
      <c r="G154" s="55">
        <f t="shared" si="84"/>
        <v>0</v>
      </c>
      <c r="H154" s="55">
        <f t="shared" si="84"/>
        <v>0</v>
      </c>
      <c r="I154" s="55">
        <f t="shared" si="84"/>
        <v>0</v>
      </c>
      <c r="J154" s="55">
        <f t="shared" si="84"/>
        <v>0</v>
      </c>
      <c r="K154" s="55">
        <f t="shared" si="84"/>
        <v>0</v>
      </c>
      <c r="L154" s="55">
        <f t="shared" si="84"/>
        <v>0</v>
      </c>
      <c r="M154" s="55">
        <f t="shared" si="84"/>
        <v>0.70915499999999998</v>
      </c>
      <c r="N154" s="55">
        <f t="shared" si="84"/>
        <v>0.69525000000000003</v>
      </c>
      <c r="O154" s="55">
        <f t="shared" si="84"/>
        <v>0</v>
      </c>
      <c r="P154" s="55">
        <f t="shared" si="84"/>
        <v>0</v>
      </c>
      <c r="Q154" s="55">
        <f t="shared" si="84"/>
        <v>0</v>
      </c>
      <c r="R154" s="55">
        <f t="shared" si="84"/>
        <v>0</v>
      </c>
      <c r="S154" s="55">
        <f t="shared" si="84"/>
        <v>0</v>
      </c>
      <c r="T154" s="55">
        <f t="shared" si="84"/>
        <v>0</v>
      </c>
      <c r="U154" s="55">
        <f t="shared" si="84"/>
        <v>0</v>
      </c>
      <c r="V154" s="55">
        <f t="shared" si="84"/>
        <v>0</v>
      </c>
      <c r="W154" s="55">
        <f t="shared" si="84"/>
        <v>0</v>
      </c>
      <c r="X154" s="55">
        <f t="shared" si="84"/>
        <v>0</v>
      </c>
      <c r="Y154" s="55">
        <f t="shared" si="84"/>
        <v>0</v>
      </c>
      <c r="Z154" s="55">
        <f t="shared" si="84"/>
        <v>0</v>
      </c>
      <c r="AA154" s="55">
        <f t="shared" si="84"/>
        <v>0</v>
      </c>
      <c r="AB154" s="55">
        <f t="shared" si="84"/>
        <v>0</v>
      </c>
      <c r="AC154" s="55">
        <f t="shared" si="84"/>
        <v>0</v>
      </c>
      <c r="AD154" s="55">
        <f t="shared" si="84"/>
        <v>0</v>
      </c>
      <c r="AE154" s="55">
        <f t="shared" si="84"/>
        <v>0</v>
      </c>
      <c r="AF154" s="55">
        <f t="shared" si="84"/>
        <v>0</v>
      </c>
      <c r="AG154" s="55">
        <f t="shared" si="84"/>
        <v>0</v>
      </c>
      <c r="AH154" s="55">
        <f t="shared" si="84"/>
        <v>0</v>
      </c>
      <c r="AI154" s="55">
        <f t="shared" ref="AI154:BJ154" si="85">IF(AND(AI$127&gt;=$I46,AI$127&lt;$I46+$F46),INDEX($T46:$AI46,AI$127-$I46+1),0)</f>
        <v>0</v>
      </c>
      <c r="AJ154" s="55">
        <f t="shared" si="85"/>
        <v>0</v>
      </c>
      <c r="AK154" s="55">
        <f t="shared" si="85"/>
        <v>0</v>
      </c>
      <c r="AL154" s="55">
        <f t="shared" si="85"/>
        <v>0</v>
      </c>
      <c r="AM154" s="55">
        <f t="shared" si="85"/>
        <v>0</v>
      </c>
      <c r="AN154" s="55">
        <f t="shared" si="85"/>
        <v>0</v>
      </c>
      <c r="AO154" s="55">
        <f t="shared" si="85"/>
        <v>0</v>
      </c>
      <c r="AP154" s="55">
        <f t="shared" si="85"/>
        <v>0</v>
      </c>
      <c r="AQ154" s="55">
        <f t="shared" si="85"/>
        <v>0</v>
      </c>
      <c r="AR154" s="55">
        <f t="shared" si="85"/>
        <v>0</v>
      </c>
      <c r="AS154" s="55">
        <f t="shared" si="85"/>
        <v>0</v>
      </c>
      <c r="AT154" s="55">
        <f t="shared" si="85"/>
        <v>0</v>
      </c>
      <c r="AU154" s="55">
        <f t="shared" si="85"/>
        <v>0</v>
      </c>
      <c r="AV154" s="55">
        <f t="shared" si="85"/>
        <v>0</v>
      </c>
      <c r="AW154" s="55">
        <f t="shared" si="85"/>
        <v>0</v>
      </c>
      <c r="AX154" s="55">
        <f t="shared" si="85"/>
        <v>0</v>
      </c>
      <c r="AY154" s="55">
        <f t="shared" si="85"/>
        <v>0</v>
      </c>
      <c r="AZ154" s="55">
        <f t="shared" si="85"/>
        <v>0</v>
      </c>
      <c r="BA154" s="55">
        <f t="shared" si="85"/>
        <v>0</v>
      </c>
      <c r="BB154" s="55">
        <f t="shared" si="85"/>
        <v>0</v>
      </c>
      <c r="BC154" s="55">
        <f t="shared" si="85"/>
        <v>0</v>
      </c>
      <c r="BD154" s="55">
        <f t="shared" si="85"/>
        <v>0</v>
      </c>
      <c r="BE154" s="55">
        <f t="shared" si="85"/>
        <v>0</v>
      </c>
      <c r="BF154" s="55">
        <f t="shared" si="85"/>
        <v>0</v>
      </c>
      <c r="BG154" s="55">
        <f t="shared" si="85"/>
        <v>0</v>
      </c>
      <c r="BH154" s="55">
        <f t="shared" si="85"/>
        <v>0</v>
      </c>
      <c r="BI154" s="55">
        <f t="shared" si="85"/>
        <v>0</v>
      </c>
      <c r="BJ154" s="55">
        <f t="shared" si="85"/>
        <v>0</v>
      </c>
    </row>
    <row r="155" spans="1:62" x14ac:dyDescent="0.3">
      <c r="A155" s="53" t="str">
        <f t="shared" si="39"/>
        <v>project 42</v>
      </c>
      <c r="C155" s="55">
        <f t="shared" ref="C155:AH155" si="86">IF(AND(C$127&gt;=$I47,C$127&lt;$I47+$F47),INDEX($T47:$AI47,C$127-$I47+1),0)</f>
        <v>0</v>
      </c>
      <c r="D155" s="55">
        <f t="shared" si="86"/>
        <v>0</v>
      </c>
      <c r="E155" s="55">
        <f t="shared" si="86"/>
        <v>0</v>
      </c>
      <c r="F155" s="55">
        <f t="shared" si="86"/>
        <v>0</v>
      </c>
      <c r="G155" s="55">
        <f t="shared" si="86"/>
        <v>0</v>
      </c>
      <c r="H155" s="55">
        <f t="shared" si="86"/>
        <v>0</v>
      </c>
      <c r="I155" s="55">
        <f t="shared" si="86"/>
        <v>0</v>
      </c>
      <c r="J155" s="55">
        <f t="shared" si="86"/>
        <v>0</v>
      </c>
      <c r="K155" s="55">
        <f t="shared" si="86"/>
        <v>0</v>
      </c>
      <c r="L155" s="55">
        <f t="shared" si="86"/>
        <v>0</v>
      </c>
      <c r="M155" s="55">
        <f t="shared" si="86"/>
        <v>0</v>
      </c>
      <c r="N155" s="55">
        <f t="shared" si="86"/>
        <v>5.45E-2</v>
      </c>
      <c r="O155" s="55">
        <f t="shared" si="86"/>
        <v>0</v>
      </c>
      <c r="P155" s="55">
        <f t="shared" si="86"/>
        <v>0</v>
      </c>
      <c r="Q155" s="55">
        <f t="shared" si="86"/>
        <v>0</v>
      </c>
      <c r="R155" s="55">
        <f t="shared" si="86"/>
        <v>0</v>
      </c>
      <c r="S155" s="55">
        <f t="shared" si="86"/>
        <v>0</v>
      </c>
      <c r="T155" s="55">
        <f t="shared" si="86"/>
        <v>0</v>
      </c>
      <c r="U155" s="55">
        <f t="shared" si="86"/>
        <v>0</v>
      </c>
      <c r="V155" s="55">
        <f t="shared" si="86"/>
        <v>0</v>
      </c>
      <c r="W155" s="55">
        <f t="shared" si="86"/>
        <v>0</v>
      </c>
      <c r="X155" s="55">
        <f t="shared" si="86"/>
        <v>0</v>
      </c>
      <c r="Y155" s="55">
        <f t="shared" si="86"/>
        <v>0</v>
      </c>
      <c r="Z155" s="55">
        <f t="shared" si="86"/>
        <v>0</v>
      </c>
      <c r="AA155" s="55">
        <f t="shared" si="86"/>
        <v>0</v>
      </c>
      <c r="AB155" s="55">
        <f t="shared" si="86"/>
        <v>0</v>
      </c>
      <c r="AC155" s="55">
        <f t="shared" si="86"/>
        <v>0</v>
      </c>
      <c r="AD155" s="55">
        <f t="shared" si="86"/>
        <v>0</v>
      </c>
      <c r="AE155" s="55">
        <f t="shared" si="86"/>
        <v>0</v>
      </c>
      <c r="AF155" s="55">
        <f t="shared" si="86"/>
        <v>0</v>
      </c>
      <c r="AG155" s="55">
        <f t="shared" si="86"/>
        <v>0</v>
      </c>
      <c r="AH155" s="55">
        <f t="shared" si="86"/>
        <v>0</v>
      </c>
      <c r="AI155" s="55">
        <f t="shared" ref="AI155:BJ155" si="87">IF(AND(AI$127&gt;=$I47,AI$127&lt;$I47+$F47),INDEX($T47:$AI47,AI$127-$I47+1),0)</f>
        <v>0</v>
      </c>
      <c r="AJ155" s="55">
        <f t="shared" si="87"/>
        <v>0</v>
      </c>
      <c r="AK155" s="55">
        <f t="shared" si="87"/>
        <v>0</v>
      </c>
      <c r="AL155" s="55">
        <f t="shared" si="87"/>
        <v>0</v>
      </c>
      <c r="AM155" s="55">
        <f t="shared" si="87"/>
        <v>0</v>
      </c>
      <c r="AN155" s="55">
        <f t="shared" si="87"/>
        <v>0</v>
      </c>
      <c r="AO155" s="55">
        <f t="shared" si="87"/>
        <v>0</v>
      </c>
      <c r="AP155" s="55">
        <f t="shared" si="87"/>
        <v>0</v>
      </c>
      <c r="AQ155" s="55">
        <f t="shared" si="87"/>
        <v>0</v>
      </c>
      <c r="AR155" s="55">
        <f t="shared" si="87"/>
        <v>0</v>
      </c>
      <c r="AS155" s="55">
        <f t="shared" si="87"/>
        <v>0</v>
      </c>
      <c r="AT155" s="55">
        <f t="shared" si="87"/>
        <v>0</v>
      </c>
      <c r="AU155" s="55">
        <f t="shared" si="87"/>
        <v>0</v>
      </c>
      <c r="AV155" s="55">
        <f t="shared" si="87"/>
        <v>0</v>
      </c>
      <c r="AW155" s="55">
        <f t="shared" si="87"/>
        <v>0</v>
      </c>
      <c r="AX155" s="55">
        <f t="shared" si="87"/>
        <v>0</v>
      </c>
      <c r="AY155" s="55">
        <f t="shared" si="87"/>
        <v>0</v>
      </c>
      <c r="AZ155" s="55">
        <f t="shared" si="87"/>
        <v>0</v>
      </c>
      <c r="BA155" s="55">
        <f t="shared" si="87"/>
        <v>0</v>
      </c>
      <c r="BB155" s="55">
        <f t="shared" si="87"/>
        <v>0</v>
      </c>
      <c r="BC155" s="55">
        <f t="shared" si="87"/>
        <v>0</v>
      </c>
      <c r="BD155" s="55">
        <f t="shared" si="87"/>
        <v>0</v>
      </c>
      <c r="BE155" s="55">
        <f t="shared" si="87"/>
        <v>0</v>
      </c>
      <c r="BF155" s="55">
        <f t="shared" si="87"/>
        <v>0</v>
      </c>
      <c r="BG155" s="55">
        <f t="shared" si="87"/>
        <v>0</v>
      </c>
      <c r="BH155" s="55">
        <f t="shared" si="87"/>
        <v>0</v>
      </c>
      <c r="BI155" s="55">
        <f t="shared" si="87"/>
        <v>0</v>
      </c>
      <c r="BJ155" s="55">
        <f t="shared" si="87"/>
        <v>0</v>
      </c>
    </row>
    <row r="156" spans="1:62" x14ac:dyDescent="0.3">
      <c r="A156" s="53" t="str">
        <f t="shared" si="39"/>
        <v>project 43</v>
      </c>
      <c r="C156" s="55">
        <f t="shared" ref="C156:AH156" si="88">IF(AND(C$127&gt;=$I48,C$127&lt;$I48+$F48),INDEX($T48:$AI48,C$127-$I48+1),0)</f>
        <v>0</v>
      </c>
      <c r="D156" s="55">
        <f t="shared" si="88"/>
        <v>0</v>
      </c>
      <c r="E156" s="55">
        <f t="shared" si="88"/>
        <v>0</v>
      </c>
      <c r="F156" s="55">
        <f t="shared" si="88"/>
        <v>0</v>
      </c>
      <c r="G156" s="55">
        <f t="shared" si="88"/>
        <v>0</v>
      </c>
      <c r="H156" s="55">
        <f t="shared" si="88"/>
        <v>0</v>
      </c>
      <c r="I156" s="55">
        <f t="shared" si="88"/>
        <v>0</v>
      </c>
      <c r="J156" s="55">
        <f t="shared" si="88"/>
        <v>0</v>
      </c>
      <c r="K156" s="55">
        <f t="shared" si="88"/>
        <v>0</v>
      </c>
      <c r="L156" s="55">
        <f t="shared" si="88"/>
        <v>3.8150000000000003E-2</v>
      </c>
      <c r="M156" s="55">
        <f t="shared" si="88"/>
        <v>0</v>
      </c>
      <c r="N156" s="55">
        <f t="shared" si="88"/>
        <v>0</v>
      </c>
      <c r="O156" s="55">
        <f t="shared" si="88"/>
        <v>0</v>
      </c>
      <c r="P156" s="55">
        <f t="shared" si="88"/>
        <v>0</v>
      </c>
      <c r="Q156" s="55">
        <f t="shared" si="88"/>
        <v>0</v>
      </c>
      <c r="R156" s="55">
        <f t="shared" si="88"/>
        <v>0</v>
      </c>
      <c r="S156" s="55">
        <f t="shared" si="88"/>
        <v>0</v>
      </c>
      <c r="T156" s="55">
        <f t="shared" si="88"/>
        <v>0</v>
      </c>
      <c r="U156" s="55">
        <f t="shared" si="88"/>
        <v>0</v>
      </c>
      <c r="V156" s="55">
        <f t="shared" si="88"/>
        <v>0</v>
      </c>
      <c r="W156" s="55">
        <f t="shared" si="88"/>
        <v>0</v>
      </c>
      <c r="X156" s="55">
        <f t="shared" si="88"/>
        <v>0</v>
      </c>
      <c r="Y156" s="55">
        <f t="shared" si="88"/>
        <v>0</v>
      </c>
      <c r="Z156" s="55">
        <f t="shared" si="88"/>
        <v>0</v>
      </c>
      <c r="AA156" s="55">
        <f t="shared" si="88"/>
        <v>0</v>
      </c>
      <c r="AB156" s="55">
        <f t="shared" si="88"/>
        <v>0</v>
      </c>
      <c r="AC156" s="55">
        <f t="shared" si="88"/>
        <v>0</v>
      </c>
      <c r="AD156" s="55">
        <f t="shared" si="88"/>
        <v>0</v>
      </c>
      <c r="AE156" s="55">
        <f t="shared" si="88"/>
        <v>0</v>
      </c>
      <c r="AF156" s="55">
        <f t="shared" si="88"/>
        <v>0</v>
      </c>
      <c r="AG156" s="55">
        <f t="shared" si="88"/>
        <v>0</v>
      </c>
      <c r="AH156" s="55">
        <f t="shared" si="88"/>
        <v>0</v>
      </c>
      <c r="AI156" s="55">
        <f t="shared" ref="AI156:BJ156" si="89">IF(AND(AI$127&gt;=$I48,AI$127&lt;$I48+$F48),INDEX($T48:$AI48,AI$127-$I48+1),0)</f>
        <v>0</v>
      </c>
      <c r="AJ156" s="55">
        <f t="shared" si="89"/>
        <v>0</v>
      </c>
      <c r="AK156" s="55">
        <f t="shared" si="89"/>
        <v>0</v>
      </c>
      <c r="AL156" s="55">
        <f t="shared" si="89"/>
        <v>0</v>
      </c>
      <c r="AM156" s="55">
        <f t="shared" si="89"/>
        <v>0</v>
      </c>
      <c r="AN156" s="55">
        <f t="shared" si="89"/>
        <v>0</v>
      </c>
      <c r="AO156" s="55">
        <f t="shared" si="89"/>
        <v>0</v>
      </c>
      <c r="AP156" s="55">
        <f t="shared" si="89"/>
        <v>0</v>
      </c>
      <c r="AQ156" s="55">
        <f t="shared" si="89"/>
        <v>0</v>
      </c>
      <c r="AR156" s="55">
        <f t="shared" si="89"/>
        <v>0</v>
      </c>
      <c r="AS156" s="55">
        <f t="shared" si="89"/>
        <v>0</v>
      </c>
      <c r="AT156" s="55">
        <f t="shared" si="89"/>
        <v>0</v>
      </c>
      <c r="AU156" s="55">
        <f t="shared" si="89"/>
        <v>0</v>
      </c>
      <c r="AV156" s="55">
        <f t="shared" si="89"/>
        <v>0</v>
      </c>
      <c r="AW156" s="55">
        <f t="shared" si="89"/>
        <v>0</v>
      </c>
      <c r="AX156" s="55">
        <f t="shared" si="89"/>
        <v>0</v>
      </c>
      <c r="AY156" s="55">
        <f t="shared" si="89"/>
        <v>0</v>
      </c>
      <c r="AZ156" s="55">
        <f t="shared" si="89"/>
        <v>0</v>
      </c>
      <c r="BA156" s="55">
        <f t="shared" si="89"/>
        <v>0</v>
      </c>
      <c r="BB156" s="55">
        <f t="shared" si="89"/>
        <v>0</v>
      </c>
      <c r="BC156" s="55">
        <f t="shared" si="89"/>
        <v>0</v>
      </c>
      <c r="BD156" s="55">
        <f t="shared" si="89"/>
        <v>0</v>
      </c>
      <c r="BE156" s="55">
        <f t="shared" si="89"/>
        <v>0</v>
      </c>
      <c r="BF156" s="55">
        <f t="shared" si="89"/>
        <v>0</v>
      </c>
      <c r="BG156" s="55">
        <f t="shared" si="89"/>
        <v>0</v>
      </c>
      <c r="BH156" s="55">
        <f t="shared" si="89"/>
        <v>0</v>
      </c>
      <c r="BI156" s="55">
        <f t="shared" si="89"/>
        <v>0</v>
      </c>
      <c r="BJ156" s="55">
        <f t="shared" si="89"/>
        <v>0</v>
      </c>
    </row>
    <row r="157" spans="1:62" x14ac:dyDescent="0.3">
      <c r="A157" s="53" t="str">
        <f t="shared" si="39"/>
        <v>project 44</v>
      </c>
      <c r="C157" s="55">
        <f t="shared" ref="C157:AH157" si="90">IF(AND(C$127&gt;=$I49,C$127&lt;$I49+$F49),INDEX($T49:$AI49,C$127-$I49+1),0)</f>
        <v>0</v>
      </c>
      <c r="D157" s="55">
        <f t="shared" si="90"/>
        <v>0</v>
      </c>
      <c r="E157" s="55">
        <f t="shared" si="90"/>
        <v>0</v>
      </c>
      <c r="F157" s="55">
        <f t="shared" si="90"/>
        <v>0</v>
      </c>
      <c r="G157" s="55">
        <f t="shared" si="90"/>
        <v>0</v>
      </c>
      <c r="H157" s="55">
        <f t="shared" si="90"/>
        <v>3.27E-2</v>
      </c>
      <c r="I157" s="55">
        <f t="shared" si="90"/>
        <v>0</v>
      </c>
      <c r="J157" s="55">
        <f t="shared" si="90"/>
        <v>0</v>
      </c>
      <c r="K157" s="55">
        <f t="shared" si="90"/>
        <v>0</v>
      </c>
      <c r="L157" s="55">
        <f t="shared" si="90"/>
        <v>0</v>
      </c>
      <c r="M157" s="55">
        <f t="shared" si="90"/>
        <v>0</v>
      </c>
      <c r="N157" s="55">
        <f t="shared" si="90"/>
        <v>0</v>
      </c>
      <c r="O157" s="55">
        <f t="shared" si="90"/>
        <v>0</v>
      </c>
      <c r="P157" s="55">
        <f t="shared" si="90"/>
        <v>0</v>
      </c>
      <c r="Q157" s="55">
        <f t="shared" si="90"/>
        <v>0</v>
      </c>
      <c r="R157" s="55">
        <f t="shared" si="90"/>
        <v>0</v>
      </c>
      <c r="S157" s="55">
        <f t="shared" si="90"/>
        <v>0</v>
      </c>
      <c r="T157" s="55">
        <f t="shared" si="90"/>
        <v>0</v>
      </c>
      <c r="U157" s="55">
        <f t="shared" si="90"/>
        <v>0</v>
      </c>
      <c r="V157" s="55">
        <f t="shared" si="90"/>
        <v>0</v>
      </c>
      <c r="W157" s="55">
        <f t="shared" si="90"/>
        <v>0</v>
      </c>
      <c r="X157" s="55">
        <f t="shared" si="90"/>
        <v>0</v>
      </c>
      <c r="Y157" s="55">
        <f t="shared" si="90"/>
        <v>0</v>
      </c>
      <c r="Z157" s="55">
        <f t="shared" si="90"/>
        <v>0</v>
      </c>
      <c r="AA157" s="55">
        <f t="shared" si="90"/>
        <v>0</v>
      </c>
      <c r="AB157" s="55">
        <f t="shared" si="90"/>
        <v>0</v>
      </c>
      <c r="AC157" s="55">
        <f t="shared" si="90"/>
        <v>0</v>
      </c>
      <c r="AD157" s="55">
        <f t="shared" si="90"/>
        <v>0</v>
      </c>
      <c r="AE157" s="55">
        <f t="shared" si="90"/>
        <v>0</v>
      </c>
      <c r="AF157" s="55">
        <f t="shared" si="90"/>
        <v>0</v>
      </c>
      <c r="AG157" s="55">
        <f t="shared" si="90"/>
        <v>0</v>
      </c>
      <c r="AH157" s="55">
        <f t="shared" si="90"/>
        <v>0</v>
      </c>
      <c r="AI157" s="55">
        <f t="shared" ref="AI157:BJ157" si="91">IF(AND(AI$127&gt;=$I49,AI$127&lt;$I49+$F49),INDEX($T49:$AI49,AI$127-$I49+1),0)</f>
        <v>0</v>
      </c>
      <c r="AJ157" s="55">
        <f t="shared" si="91"/>
        <v>0</v>
      </c>
      <c r="AK157" s="55">
        <f t="shared" si="91"/>
        <v>0</v>
      </c>
      <c r="AL157" s="55">
        <f t="shared" si="91"/>
        <v>0</v>
      </c>
      <c r="AM157" s="55">
        <f t="shared" si="91"/>
        <v>0</v>
      </c>
      <c r="AN157" s="55">
        <f t="shared" si="91"/>
        <v>0</v>
      </c>
      <c r="AO157" s="55">
        <f t="shared" si="91"/>
        <v>0</v>
      </c>
      <c r="AP157" s="55">
        <f t="shared" si="91"/>
        <v>0</v>
      </c>
      <c r="AQ157" s="55">
        <f t="shared" si="91"/>
        <v>0</v>
      </c>
      <c r="AR157" s="55">
        <f t="shared" si="91"/>
        <v>0</v>
      </c>
      <c r="AS157" s="55">
        <f t="shared" si="91"/>
        <v>0</v>
      </c>
      <c r="AT157" s="55">
        <f t="shared" si="91"/>
        <v>0</v>
      </c>
      <c r="AU157" s="55">
        <f t="shared" si="91"/>
        <v>0</v>
      </c>
      <c r="AV157" s="55">
        <f t="shared" si="91"/>
        <v>0</v>
      </c>
      <c r="AW157" s="55">
        <f t="shared" si="91"/>
        <v>0</v>
      </c>
      <c r="AX157" s="55">
        <f t="shared" si="91"/>
        <v>0</v>
      </c>
      <c r="AY157" s="55">
        <f t="shared" si="91"/>
        <v>0</v>
      </c>
      <c r="AZ157" s="55">
        <f t="shared" si="91"/>
        <v>0</v>
      </c>
      <c r="BA157" s="55">
        <f t="shared" si="91"/>
        <v>0</v>
      </c>
      <c r="BB157" s="55">
        <f t="shared" si="91"/>
        <v>0</v>
      </c>
      <c r="BC157" s="55">
        <f t="shared" si="91"/>
        <v>0</v>
      </c>
      <c r="BD157" s="55">
        <f t="shared" si="91"/>
        <v>0</v>
      </c>
      <c r="BE157" s="55">
        <f t="shared" si="91"/>
        <v>0</v>
      </c>
      <c r="BF157" s="55">
        <f t="shared" si="91"/>
        <v>0</v>
      </c>
      <c r="BG157" s="55">
        <f t="shared" si="91"/>
        <v>0</v>
      </c>
      <c r="BH157" s="55">
        <f t="shared" si="91"/>
        <v>0</v>
      </c>
      <c r="BI157" s="55">
        <f t="shared" si="91"/>
        <v>0</v>
      </c>
      <c r="BJ157" s="55">
        <f t="shared" si="91"/>
        <v>0</v>
      </c>
    </row>
    <row r="158" spans="1:62" x14ac:dyDescent="0.3">
      <c r="A158" s="53" t="str">
        <f t="shared" si="39"/>
        <v>project 47</v>
      </c>
      <c r="C158" s="55">
        <f t="shared" ref="C158:AH158" si="92">IF(AND(C$127&gt;=$I50,C$127&lt;$I50+$F50),INDEX($T50:$AI50,C$127-$I50+1),0)</f>
        <v>0</v>
      </c>
      <c r="D158" s="55">
        <f t="shared" si="92"/>
        <v>0</v>
      </c>
      <c r="E158" s="55">
        <f t="shared" si="92"/>
        <v>0</v>
      </c>
      <c r="F158" s="55">
        <f t="shared" si="92"/>
        <v>0</v>
      </c>
      <c r="G158" s="55">
        <f t="shared" si="92"/>
        <v>0</v>
      </c>
      <c r="H158" s="55">
        <f t="shared" si="92"/>
        <v>0</v>
      </c>
      <c r="I158" s="55">
        <f t="shared" si="92"/>
        <v>0</v>
      </c>
      <c r="J158" s="55">
        <f t="shared" si="92"/>
        <v>1.689051810877459</v>
      </c>
      <c r="K158" s="55">
        <f t="shared" si="92"/>
        <v>1.145905260134134</v>
      </c>
      <c r="L158" s="55">
        <f t="shared" si="92"/>
        <v>0</v>
      </c>
      <c r="M158" s="55">
        <f t="shared" si="92"/>
        <v>0</v>
      </c>
      <c r="N158" s="55">
        <f t="shared" si="92"/>
        <v>0</v>
      </c>
      <c r="O158" s="55">
        <f t="shared" si="92"/>
        <v>0</v>
      </c>
      <c r="P158" s="55">
        <f t="shared" si="92"/>
        <v>0</v>
      </c>
      <c r="Q158" s="55">
        <f t="shared" si="92"/>
        <v>0</v>
      </c>
      <c r="R158" s="55">
        <f t="shared" si="92"/>
        <v>0</v>
      </c>
      <c r="S158" s="55">
        <f t="shared" si="92"/>
        <v>0</v>
      </c>
      <c r="T158" s="55">
        <f t="shared" si="92"/>
        <v>0</v>
      </c>
      <c r="U158" s="55">
        <f t="shared" si="92"/>
        <v>0</v>
      </c>
      <c r="V158" s="55">
        <f t="shared" si="92"/>
        <v>0</v>
      </c>
      <c r="W158" s="55">
        <f t="shared" si="92"/>
        <v>0</v>
      </c>
      <c r="X158" s="55">
        <f t="shared" si="92"/>
        <v>0</v>
      </c>
      <c r="Y158" s="55">
        <f t="shared" si="92"/>
        <v>0</v>
      </c>
      <c r="Z158" s="55">
        <f t="shared" si="92"/>
        <v>0</v>
      </c>
      <c r="AA158" s="55">
        <f t="shared" si="92"/>
        <v>0</v>
      </c>
      <c r="AB158" s="55">
        <f t="shared" si="92"/>
        <v>0</v>
      </c>
      <c r="AC158" s="55">
        <f t="shared" si="92"/>
        <v>0</v>
      </c>
      <c r="AD158" s="55">
        <f t="shared" si="92"/>
        <v>0</v>
      </c>
      <c r="AE158" s="55">
        <f t="shared" si="92"/>
        <v>0</v>
      </c>
      <c r="AF158" s="55">
        <f t="shared" si="92"/>
        <v>0</v>
      </c>
      <c r="AG158" s="55">
        <f t="shared" si="92"/>
        <v>0</v>
      </c>
      <c r="AH158" s="55">
        <f t="shared" si="92"/>
        <v>0</v>
      </c>
      <c r="AI158" s="55">
        <f t="shared" ref="AI158:BJ158" si="93">IF(AND(AI$127&gt;=$I50,AI$127&lt;$I50+$F50),INDEX($T50:$AI50,AI$127-$I50+1),0)</f>
        <v>0</v>
      </c>
      <c r="AJ158" s="55">
        <f t="shared" si="93"/>
        <v>0</v>
      </c>
      <c r="AK158" s="55">
        <f t="shared" si="93"/>
        <v>0</v>
      </c>
      <c r="AL158" s="55">
        <f t="shared" si="93"/>
        <v>0</v>
      </c>
      <c r="AM158" s="55">
        <f t="shared" si="93"/>
        <v>0</v>
      </c>
      <c r="AN158" s="55">
        <f t="shared" si="93"/>
        <v>0</v>
      </c>
      <c r="AO158" s="55">
        <f t="shared" si="93"/>
        <v>0</v>
      </c>
      <c r="AP158" s="55">
        <f t="shared" si="93"/>
        <v>0</v>
      </c>
      <c r="AQ158" s="55">
        <f t="shared" si="93"/>
        <v>0</v>
      </c>
      <c r="AR158" s="55">
        <f t="shared" si="93"/>
        <v>0</v>
      </c>
      <c r="AS158" s="55">
        <f t="shared" si="93"/>
        <v>0</v>
      </c>
      <c r="AT158" s="55">
        <f t="shared" si="93"/>
        <v>0</v>
      </c>
      <c r="AU158" s="55">
        <f t="shared" si="93"/>
        <v>0</v>
      </c>
      <c r="AV158" s="55">
        <f t="shared" si="93"/>
        <v>0</v>
      </c>
      <c r="AW158" s="55">
        <f t="shared" si="93"/>
        <v>0</v>
      </c>
      <c r="AX158" s="55">
        <f t="shared" si="93"/>
        <v>0</v>
      </c>
      <c r="AY158" s="55">
        <f t="shared" si="93"/>
        <v>0</v>
      </c>
      <c r="AZ158" s="55">
        <f t="shared" si="93"/>
        <v>0</v>
      </c>
      <c r="BA158" s="55">
        <f t="shared" si="93"/>
        <v>0</v>
      </c>
      <c r="BB158" s="55">
        <f t="shared" si="93"/>
        <v>0</v>
      </c>
      <c r="BC158" s="55">
        <f t="shared" si="93"/>
        <v>0</v>
      </c>
      <c r="BD158" s="55">
        <f t="shared" si="93"/>
        <v>0</v>
      </c>
      <c r="BE158" s="55">
        <f t="shared" si="93"/>
        <v>0</v>
      </c>
      <c r="BF158" s="55">
        <f t="shared" si="93"/>
        <v>0</v>
      </c>
      <c r="BG158" s="55">
        <f t="shared" si="93"/>
        <v>0</v>
      </c>
      <c r="BH158" s="55">
        <f t="shared" si="93"/>
        <v>0</v>
      </c>
      <c r="BI158" s="55">
        <f t="shared" si="93"/>
        <v>0</v>
      </c>
      <c r="BJ158" s="55">
        <f t="shared" si="93"/>
        <v>0</v>
      </c>
    </row>
    <row r="159" spans="1:62" x14ac:dyDescent="0.3">
      <c r="A159" s="53" t="str">
        <f t="shared" si="39"/>
        <v>project 48</v>
      </c>
      <c r="C159" s="55">
        <f t="shared" ref="C159:AH159" si="94">IF(AND(C$127&gt;=$I51,C$127&lt;$I51+$F51),INDEX($T51:$AI51,C$127-$I51+1),0)</f>
        <v>0</v>
      </c>
      <c r="D159" s="55">
        <f t="shared" si="94"/>
        <v>0</v>
      </c>
      <c r="E159" s="55">
        <f t="shared" si="94"/>
        <v>0</v>
      </c>
      <c r="F159" s="55">
        <f t="shared" si="94"/>
        <v>0</v>
      </c>
      <c r="G159" s="55">
        <f t="shared" si="94"/>
        <v>0</v>
      </c>
      <c r="H159" s="55">
        <f t="shared" si="94"/>
        <v>0</v>
      </c>
      <c r="I159" s="55">
        <f t="shared" si="94"/>
        <v>0</v>
      </c>
      <c r="J159" s="55">
        <f t="shared" si="94"/>
        <v>0</v>
      </c>
      <c r="K159" s="55">
        <f t="shared" si="94"/>
        <v>0</v>
      </c>
      <c r="L159" s="55">
        <f t="shared" si="94"/>
        <v>0</v>
      </c>
      <c r="M159" s="55">
        <f t="shared" si="94"/>
        <v>0</v>
      </c>
      <c r="N159" s="55">
        <f t="shared" si="94"/>
        <v>0</v>
      </c>
      <c r="O159" s="55">
        <f t="shared" si="94"/>
        <v>0</v>
      </c>
      <c r="P159" s="55">
        <f t="shared" si="94"/>
        <v>0</v>
      </c>
      <c r="Q159" s="55">
        <f t="shared" si="94"/>
        <v>0</v>
      </c>
      <c r="R159" s="55">
        <f t="shared" si="94"/>
        <v>0</v>
      </c>
      <c r="S159" s="55">
        <f t="shared" si="94"/>
        <v>0</v>
      </c>
      <c r="T159" s="55">
        <f t="shared" si="94"/>
        <v>0.30599999999999999</v>
      </c>
      <c r="U159" s="55">
        <f t="shared" si="94"/>
        <v>0.7</v>
      </c>
      <c r="V159" s="55">
        <f t="shared" si="94"/>
        <v>0</v>
      </c>
      <c r="W159" s="55">
        <f t="shared" si="94"/>
        <v>0</v>
      </c>
      <c r="X159" s="55">
        <f t="shared" si="94"/>
        <v>0</v>
      </c>
      <c r="Y159" s="55">
        <f t="shared" si="94"/>
        <v>0</v>
      </c>
      <c r="Z159" s="55">
        <f t="shared" si="94"/>
        <v>0</v>
      </c>
      <c r="AA159" s="55">
        <f t="shared" si="94"/>
        <v>0</v>
      </c>
      <c r="AB159" s="55">
        <f t="shared" si="94"/>
        <v>0</v>
      </c>
      <c r="AC159" s="55">
        <f t="shared" si="94"/>
        <v>0</v>
      </c>
      <c r="AD159" s="55">
        <f t="shared" si="94"/>
        <v>0</v>
      </c>
      <c r="AE159" s="55">
        <f t="shared" si="94"/>
        <v>0</v>
      </c>
      <c r="AF159" s="55">
        <f t="shared" si="94"/>
        <v>0</v>
      </c>
      <c r="AG159" s="55">
        <f t="shared" si="94"/>
        <v>0</v>
      </c>
      <c r="AH159" s="55">
        <f t="shared" si="94"/>
        <v>0</v>
      </c>
      <c r="AI159" s="55">
        <f t="shared" ref="AI159:BJ159" si="95">IF(AND(AI$127&gt;=$I51,AI$127&lt;$I51+$F51),INDEX($T51:$AI51,AI$127-$I51+1),0)</f>
        <v>0</v>
      </c>
      <c r="AJ159" s="55">
        <f t="shared" si="95"/>
        <v>0</v>
      </c>
      <c r="AK159" s="55">
        <f t="shared" si="95"/>
        <v>0</v>
      </c>
      <c r="AL159" s="55">
        <f t="shared" si="95"/>
        <v>0</v>
      </c>
      <c r="AM159" s="55">
        <f t="shared" si="95"/>
        <v>0</v>
      </c>
      <c r="AN159" s="55">
        <f t="shared" si="95"/>
        <v>0</v>
      </c>
      <c r="AO159" s="55">
        <f t="shared" si="95"/>
        <v>0</v>
      </c>
      <c r="AP159" s="55">
        <f t="shared" si="95"/>
        <v>0</v>
      </c>
      <c r="AQ159" s="55">
        <f t="shared" si="95"/>
        <v>0</v>
      </c>
      <c r="AR159" s="55">
        <f t="shared" si="95"/>
        <v>0</v>
      </c>
      <c r="AS159" s="55">
        <f t="shared" si="95"/>
        <v>0</v>
      </c>
      <c r="AT159" s="55">
        <f t="shared" si="95"/>
        <v>0</v>
      </c>
      <c r="AU159" s="55">
        <f t="shared" si="95"/>
        <v>0</v>
      </c>
      <c r="AV159" s="55">
        <f t="shared" si="95"/>
        <v>0</v>
      </c>
      <c r="AW159" s="55">
        <f t="shared" si="95"/>
        <v>0</v>
      </c>
      <c r="AX159" s="55">
        <f t="shared" si="95"/>
        <v>0</v>
      </c>
      <c r="AY159" s="55">
        <f t="shared" si="95"/>
        <v>0</v>
      </c>
      <c r="AZ159" s="55">
        <f t="shared" si="95"/>
        <v>0</v>
      </c>
      <c r="BA159" s="55">
        <f t="shared" si="95"/>
        <v>0</v>
      </c>
      <c r="BB159" s="55">
        <f t="shared" si="95"/>
        <v>0</v>
      </c>
      <c r="BC159" s="55">
        <f t="shared" si="95"/>
        <v>0</v>
      </c>
      <c r="BD159" s="55">
        <f t="shared" si="95"/>
        <v>0</v>
      </c>
      <c r="BE159" s="55">
        <f t="shared" si="95"/>
        <v>0</v>
      </c>
      <c r="BF159" s="55">
        <f t="shared" si="95"/>
        <v>0</v>
      </c>
      <c r="BG159" s="55">
        <f t="shared" si="95"/>
        <v>0</v>
      </c>
      <c r="BH159" s="55">
        <f t="shared" si="95"/>
        <v>0</v>
      </c>
      <c r="BI159" s="55">
        <f t="shared" si="95"/>
        <v>0</v>
      </c>
      <c r="BJ159" s="55">
        <f t="shared" si="95"/>
        <v>0</v>
      </c>
    </row>
    <row r="160" spans="1:62" x14ac:dyDescent="0.3">
      <c r="A160" s="53" t="str">
        <f t="shared" si="39"/>
        <v>project 50</v>
      </c>
      <c r="C160" s="55">
        <f t="shared" ref="C160:AH160" si="96">IF(AND(C$127&gt;=$I52,C$127&lt;$I52+$F52),INDEX($T52:$AI52,C$127-$I52+1),0)</f>
        <v>0</v>
      </c>
      <c r="D160" s="55">
        <f t="shared" si="96"/>
        <v>0</v>
      </c>
      <c r="E160" s="55">
        <f t="shared" si="96"/>
        <v>0</v>
      </c>
      <c r="F160" s="55">
        <f t="shared" si="96"/>
        <v>0</v>
      </c>
      <c r="G160" s="55">
        <f t="shared" si="96"/>
        <v>0</v>
      </c>
      <c r="H160" s="55">
        <f t="shared" si="96"/>
        <v>0</v>
      </c>
      <c r="I160" s="55">
        <f t="shared" si="96"/>
        <v>0.27500000000000002</v>
      </c>
      <c r="J160" s="55">
        <f t="shared" si="96"/>
        <v>2.450980392156862</v>
      </c>
      <c r="K160" s="55">
        <f t="shared" si="96"/>
        <v>2.402921953094963</v>
      </c>
      <c r="L160" s="55">
        <f t="shared" si="96"/>
        <v>2.3558058363676109</v>
      </c>
      <c r="M160" s="55">
        <f t="shared" si="96"/>
        <v>3.6953817041060568</v>
      </c>
      <c r="N160" s="55">
        <f t="shared" si="96"/>
        <v>3.6229232393196629</v>
      </c>
      <c r="O160" s="55">
        <f t="shared" si="96"/>
        <v>3.5518855287447679</v>
      </c>
      <c r="P160" s="55">
        <f t="shared" si="96"/>
        <v>3.4822407144556542</v>
      </c>
      <c r="Q160" s="55">
        <f t="shared" si="96"/>
        <v>0</v>
      </c>
      <c r="R160" s="55">
        <f t="shared" si="96"/>
        <v>0</v>
      </c>
      <c r="S160" s="55">
        <f t="shared" si="96"/>
        <v>0</v>
      </c>
      <c r="T160" s="55">
        <f t="shared" si="96"/>
        <v>0</v>
      </c>
      <c r="U160" s="55">
        <f t="shared" si="96"/>
        <v>0</v>
      </c>
      <c r="V160" s="55">
        <f t="shared" si="96"/>
        <v>0</v>
      </c>
      <c r="W160" s="55">
        <f t="shared" si="96"/>
        <v>0</v>
      </c>
      <c r="X160" s="55">
        <f t="shared" si="96"/>
        <v>0</v>
      </c>
      <c r="Y160" s="55">
        <f t="shared" si="96"/>
        <v>0</v>
      </c>
      <c r="Z160" s="55">
        <f t="shared" si="96"/>
        <v>0</v>
      </c>
      <c r="AA160" s="55">
        <f t="shared" si="96"/>
        <v>0</v>
      </c>
      <c r="AB160" s="55">
        <f t="shared" si="96"/>
        <v>0</v>
      </c>
      <c r="AC160" s="55">
        <f t="shared" si="96"/>
        <v>0</v>
      </c>
      <c r="AD160" s="55">
        <f t="shared" si="96"/>
        <v>0</v>
      </c>
      <c r="AE160" s="55">
        <f t="shared" si="96"/>
        <v>0</v>
      </c>
      <c r="AF160" s="55">
        <f t="shared" si="96"/>
        <v>0</v>
      </c>
      <c r="AG160" s="55">
        <f t="shared" si="96"/>
        <v>0</v>
      </c>
      <c r="AH160" s="55">
        <f t="shared" si="96"/>
        <v>0</v>
      </c>
      <c r="AI160" s="55">
        <f t="shared" ref="AI160:BJ160" si="97">IF(AND(AI$127&gt;=$I52,AI$127&lt;$I52+$F52),INDEX($T52:$AI52,AI$127-$I52+1),0)</f>
        <v>0</v>
      </c>
      <c r="AJ160" s="55">
        <f t="shared" si="97"/>
        <v>0</v>
      </c>
      <c r="AK160" s="55">
        <f t="shared" si="97"/>
        <v>0</v>
      </c>
      <c r="AL160" s="55">
        <f t="shared" si="97"/>
        <v>0</v>
      </c>
      <c r="AM160" s="55">
        <f t="shared" si="97"/>
        <v>0</v>
      </c>
      <c r="AN160" s="55">
        <f t="shared" si="97"/>
        <v>0</v>
      </c>
      <c r="AO160" s="55">
        <f t="shared" si="97"/>
        <v>0</v>
      </c>
      <c r="AP160" s="55">
        <f t="shared" si="97"/>
        <v>0</v>
      </c>
      <c r="AQ160" s="55">
        <f t="shared" si="97"/>
        <v>0</v>
      </c>
      <c r="AR160" s="55">
        <f t="shared" si="97"/>
        <v>0</v>
      </c>
      <c r="AS160" s="55">
        <f t="shared" si="97"/>
        <v>0</v>
      </c>
      <c r="AT160" s="55">
        <f t="shared" si="97"/>
        <v>0</v>
      </c>
      <c r="AU160" s="55">
        <f t="shared" si="97"/>
        <v>0</v>
      </c>
      <c r="AV160" s="55">
        <f t="shared" si="97"/>
        <v>0</v>
      </c>
      <c r="AW160" s="55">
        <f t="shared" si="97"/>
        <v>0</v>
      </c>
      <c r="AX160" s="55">
        <f t="shared" si="97"/>
        <v>0</v>
      </c>
      <c r="AY160" s="55">
        <f t="shared" si="97"/>
        <v>0</v>
      </c>
      <c r="AZ160" s="55">
        <f t="shared" si="97"/>
        <v>0</v>
      </c>
      <c r="BA160" s="55">
        <f t="shared" si="97"/>
        <v>0</v>
      </c>
      <c r="BB160" s="55">
        <f t="shared" si="97"/>
        <v>0</v>
      </c>
      <c r="BC160" s="55">
        <f t="shared" si="97"/>
        <v>0</v>
      </c>
      <c r="BD160" s="55">
        <f t="shared" si="97"/>
        <v>0</v>
      </c>
      <c r="BE160" s="55">
        <f t="shared" si="97"/>
        <v>0</v>
      </c>
      <c r="BF160" s="55">
        <f t="shared" si="97"/>
        <v>0</v>
      </c>
      <c r="BG160" s="55">
        <f t="shared" si="97"/>
        <v>0</v>
      </c>
      <c r="BH160" s="55">
        <f t="shared" si="97"/>
        <v>0</v>
      </c>
      <c r="BI160" s="55">
        <f t="shared" si="97"/>
        <v>0</v>
      </c>
      <c r="BJ160" s="55">
        <f t="shared" si="97"/>
        <v>0</v>
      </c>
    </row>
    <row r="161" spans="1:62" x14ac:dyDescent="0.3">
      <c r="A161" s="53" t="str">
        <f t="shared" si="39"/>
        <v>project 51</v>
      </c>
      <c r="C161" s="55">
        <f t="shared" ref="C161:AH161" si="98">IF(AND(C$127&gt;=$I53,C$127&lt;$I53+$F53),INDEX($T53:$AI53,C$127-$I53+1),0)</f>
        <v>0</v>
      </c>
      <c r="D161" s="55">
        <f t="shared" si="98"/>
        <v>0</v>
      </c>
      <c r="E161" s="55">
        <f t="shared" si="98"/>
        <v>0</v>
      </c>
      <c r="F161" s="55">
        <f t="shared" si="98"/>
        <v>0</v>
      </c>
      <c r="G161" s="55">
        <f t="shared" si="98"/>
        <v>0</v>
      </c>
      <c r="H161" s="55">
        <f t="shared" si="98"/>
        <v>0</v>
      </c>
      <c r="I161" s="55">
        <f t="shared" si="98"/>
        <v>0</v>
      </c>
      <c r="J161" s="55">
        <f t="shared" si="98"/>
        <v>0</v>
      </c>
      <c r="K161" s="55">
        <f t="shared" si="98"/>
        <v>0</v>
      </c>
      <c r="L161" s="55">
        <f t="shared" si="98"/>
        <v>0</v>
      </c>
      <c r="M161" s="55">
        <f t="shared" si="98"/>
        <v>0</v>
      </c>
      <c r="N161" s="55">
        <f t="shared" si="98"/>
        <v>0</v>
      </c>
      <c r="O161" s="55">
        <f t="shared" si="98"/>
        <v>0</v>
      </c>
      <c r="P161" s="55">
        <f t="shared" si="98"/>
        <v>0</v>
      </c>
      <c r="Q161" s="55">
        <f t="shared" si="98"/>
        <v>12.352051914285839</v>
      </c>
      <c r="R161" s="55">
        <f t="shared" si="98"/>
        <v>7.6884717060807448</v>
      </c>
      <c r="S161" s="55">
        <f t="shared" si="98"/>
        <v>14.482631265921571</v>
      </c>
      <c r="T161" s="55">
        <f t="shared" si="98"/>
        <v>15.60758580017275</v>
      </c>
      <c r="U161" s="55">
        <f t="shared" si="98"/>
        <v>1.9444739879831969</v>
      </c>
      <c r="V161" s="55">
        <f t="shared" si="98"/>
        <v>0</v>
      </c>
      <c r="W161" s="55">
        <f t="shared" si="98"/>
        <v>0</v>
      </c>
      <c r="X161" s="55">
        <f t="shared" si="98"/>
        <v>0</v>
      </c>
      <c r="Y161" s="55">
        <f t="shared" si="98"/>
        <v>0</v>
      </c>
      <c r="Z161" s="55">
        <f t="shared" si="98"/>
        <v>0</v>
      </c>
      <c r="AA161" s="55">
        <f t="shared" si="98"/>
        <v>0</v>
      </c>
      <c r="AB161" s="55">
        <f t="shared" si="98"/>
        <v>0</v>
      </c>
      <c r="AC161" s="55">
        <f t="shared" si="98"/>
        <v>0</v>
      </c>
      <c r="AD161" s="55">
        <f t="shared" si="98"/>
        <v>0</v>
      </c>
      <c r="AE161" s="55">
        <f t="shared" si="98"/>
        <v>0</v>
      </c>
      <c r="AF161" s="55">
        <f t="shared" si="98"/>
        <v>0</v>
      </c>
      <c r="AG161" s="55">
        <f t="shared" si="98"/>
        <v>0</v>
      </c>
      <c r="AH161" s="55">
        <f t="shared" si="98"/>
        <v>0</v>
      </c>
      <c r="AI161" s="55">
        <f t="shared" ref="AI161:BJ161" si="99">IF(AND(AI$127&gt;=$I53,AI$127&lt;$I53+$F53),INDEX($T53:$AI53,AI$127-$I53+1),0)</f>
        <v>0</v>
      </c>
      <c r="AJ161" s="55">
        <f t="shared" si="99"/>
        <v>0</v>
      </c>
      <c r="AK161" s="55">
        <f t="shared" si="99"/>
        <v>0</v>
      </c>
      <c r="AL161" s="55">
        <f t="shared" si="99"/>
        <v>0</v>
      </c>
      <c r="AM161" s="55">
        <f t="shared" si="99"/>
        <v>0</v>
      </c>
      <c r="AN161" s="55">
        <f t="shared" si="99"/>
        <v>0</v>
      </c>
      <c r="AO161" s="55">
        <f t="shared" si="99"/>
        <v>0</v>
      </c>
      <c r="AP161" s="55">
        <f t="shared" si="99"/>
        <v>0</v>
      </c>
      <c r="AQ161" s="55">
        <f t="shared" si="99"/>
        <v>0</v>
      </c>
      <c r="AR161" s="55">
        <f t="shared" si="99"/>
        <v>0</v>
      </c>
      <c r="AS161" s="55">
        <f t="shared" si="99"/>
        <v>0</v>
      </c>
      <c r="AT161" s="55">
        <f t="shared" si="99"/>
        <v>0</v>
      </c>
      <c r="AU161" s="55">
        <f t="shared" si="99"/>
        <v>0</v>
      </c>
      <c r="AV161" s="55">
        <f t="shared" si="99"/>
        <v>0</v>
      </c>
      <c r="AW161" s="55">
        <f t="shared" si="99"/>
        <v>0</v>
      </c>
      <c r="AX161" s="55">
        <f t="shared" si="99"/>
        <v>0</v>
      </c>
      <c r="AY161" s="55">
        <f t="shared" si="99"/>
        <v>0</v>
      </c>
      <c r="AZ161" s="55">
        <f t="shared" si="99"/>
        <v>0</v>
      </c>
      <c r="BA161" s="55">
        <f t="shared" si="99"/>
        <v>0</v>
      </c>
      <c r="BB161" s="55">
        <f t="shared" si="99"/>
        <v>0</v>
      </c>
      <c r="BC161" s="55">
        <f t="shared" si="99"/>
        <v>0</v>
      </c>
      <c r="BD161" s="55">
        <f t="shared" si="99"/>
        <v>0</v>
      </c>
      <c r="BE161" s="55">
        <f t="shared" si="99"/>
        <v>0</v>
      </c>
      <c r="BF161" s="55">
        <f t="shared" si="99"/>
        <v>0</v>
      </c>
      <c r="BG161" s="55">
        <f t="shared" si="99"/>
        <v>0</v>
      </c>
      <c r="BH161" s="55">
        <f t="shared" si="99"/>
        <v>0</v>
      </c>
      <c r="BI161" s="55">
        <f t="shared" si="99"/>
        <v>0</v>
      </c>
      <c r="BJ161" s="55">
        <f t="shared" si="99"/>
        <v>0</v>
      </c>
    </row>
    <row r="162" spans="1:62" x14ac:dyDescent="0.3">
      <c r="A162" s="53" t="str">
        <f t="shared" si="39"/>
        <v>project 53</v>
      </c>
      <c r="C162" s="55">
        <f t="shared" ref="C162:AH162" si="100">IF(AND(C$127&gt;=$I54,C$127&lt;$I54+$F54),INDEX($T54:$AI54,C$127-$I54+1),0)</f>
        <v>0</v>
      </c>
      <c r="D162" s="55">
        <f t="shared" si="100"/>
        <v>0</v>
      </c>
      <c r="E162" s="55">
        <f t="shared" si="100"/>
        <v>0</v>
      </c>
      <c r="F162" s="55">
        <f t="shared" si="100"/>
        <v>0</v>
      </c>
      <c r="G162" s="55">
        <f t="shared" si="100"/>
        <v>0</v>
      </c>
      <c r="H162" s="55">
        <f t="shared" si="100"/>
        <v>0</v>
      </c>
      <c r="I162" s="55">
        <f t="shared" si="100"/>
        <v>0</v>
      </c>
      <c r="J162" s="55">
        <f t="shared" si="100"/>
        <v>0</v>
      </c>
      <c r="K162" s="55">
        <f t="shared" si="100"/>
        <v>0</v>
      </c>
      <c r="L162" s="55">
        <f t="shared" si="100"/>
        <v>0</v>
      </c>
      <c r="M162" s="55">
        <f t="shared" si="100"/>
        <v>0</v>
      </c>
      <c r="N162" s="55">
        <f t="shared" si="100"/>
        <v>0</v>
      </c>
      <c r="O162" s="55">
        <f t="shared" si="100"/>
        <v>0.81599999999999995</v>
      </c>
      <c r="P162" s="55">
        <f t="shared" si="100"/>
        <v>2.2400000000000002</v>
      </c>
      <c r="Q162" s="55">
        <f t="shared" si="100"/>
        <v>0</v>
      </c>
      <c r="R162" s="55">
        <f t="shared" si="100"/>
        <v>0</v>
      </c>
      <c r="S162" s="55">
        <f t="shared" si="100"/>
        <v>0</v>
      </c>
      <c r="T162" s="55">
        <f t="shared" si="100"/>
        <v>0</v>
      </c>
      <c r="U162" s="55">
        <f t="shared" si="100"/>
        <v>0</v>
      </c>
      <c r="V162" s="55">
        <f t="shared" si="100"/>
        <v>0</v>
      </c>
      <c r="W162" s="55">
        <f t="shared" si="100"/>
        <v>0</v>
      </c>
      <c r="X162" s="55">
        <f t="shared" si="100"/>
        <v>0</v>
      </c>
      <c r="Y162" s="55">
        <f t="shared" si="100"/>
        <v>0</v>
      </c>
      <c r="Z162" s="55">
        <f t="shared" si="100"/>
        <v>0</v>
      </c>
      <c r="AA162" s="55">
        <f t="shared" si="100"/>
        <v>0</v>
      </c>
      <c r="AB162" s="55">
        <f t="shared" si="100"/>
        <v>0</v>
      </c>
      <c r="AC162" s="55">
        <f t="shared" si="100"/>
        <v>0</v>
      </c>
      <c r="AD162" s="55">
        <f t="shared" si="100"/>
        <v>0</v>
      </c>
      <c r="AE162" s="55">
        <f t="shared" si="100"/>
        <v>0</v>
      </c>
      <c r="AF162" s="55">
        <f t="shared" si="100"/>
        <v>0</v>
      </c>
      <c r="AG162" s="55">
        <f t="shared" si="100"/>
        <v>0</v>
      </c>
      <c r="AH162" s="55">
        <f t="shared" si="100"/>
        <v>0</v>
      </c>
      <c r="AI162" s="55">
        <f t="shared" ref="AI162:BJ162" si="101">IF(AND(AI$127&gt;=$I54,AI$127&lt;$I54+$F54),INDEX($T54:$AI54,AI$127-$I54+1),0)</f>
        <v>0</v>
      </c>
      <c r="AJ162" s="55">
        <f t="shared" si="101"/>
        <v>0</v>
      </c>
      <c r="AK162" s="55">
        <f t="shared" si="101"/>
        <v>0</v>
      </c>
      <c r="AL162" s="55">
        <f t="shared" si="101"/>
        <v>0</v>
      </c>
      <c r="AM162" s="55">
        <f t="shared" si="101"/>
        <v>0</v>
      </c>
      <c r="AN162" s="55">
        <f t="shared" si="101"/>
        <v>0</v>
      </c>
      <c r="AO162" s="55">
        <f t="shared" si="101"/>
        <v>0</v>
      </c>
      <c r="AP162" s="55">
        <f t="shared" si="101"/>
        <v>0</v>
      </c>
      <c r="AQ162" s="55">
        <f t="shared" si="101"/>
        <v>0</v>
      </c>
      <c r="AR162" s="55">
        <f t="shared" si="101"/>
        <v>0</v>
      </c>
      <c r="AS162" s="55">
        <f t="shared" si="101"/>
        <v>0</v>
      </c>
      <c r="AT162" s="55">
        <f t="shared" si="101"/>
        <v>0</v>
      </c>
      <c r="AU162" s="55">
        <f t="shared" si="101"/>
        <v>0</v>
      </c>
      <c r="AV162" s="55">
        <f t="shared" si="101"/>
        <v>0</v>
      </c>
      <c r="AW162" s="55">
        <f t="shared" si="101"/>
        <v>0</v>
      </c>
      <c r="AX162" s="55">
        <f t="shared" si="101"/>
        <v>0</v>
      </c>
      <c r="AY162" s="55">
        <f t="shared" si="101"/>
        <v>0</v>
      </c>
      <c r="AZ162" s="55">
        <f t="shared" si="101"/>
        <v>0</v>
      </c>
      <c r="BA162" s="55">
        <f t="shared" si="101"/>
        <v>0</v>
      </c>
      <c r="BB162" s="55">
        <f t="shared" si="101"/>
        <v>0</v>
      </c>
      <c r="BC162" s="55">
        <f t="shared" si="101"/>
        <v>0</v>
      </c>
      <c r="BD162" s="55">
        <f t="shared" si="101"/>
        <v>0</v>
      </c>
      <c r="BE162" s="55">
        <f t="shared" si="101"/>
        <v>0</v>
      </c>
      <c r="BF162" s="55">
        <f t="shared" si="101"/>
        <v>0</v>
      </c>
      <c r="BG162" s="55">
        <f t="shared" si="101"/>
        <v>0</v>
      </c>
      <c r="BH162" s="55">
        <f t="shared" si="101"/>
        <v>0</v>
      </c>
      <c r="BI162" s="55">
        <f t="shared" si="101"/>
        <v>0</v>
      </c>
      <c r="BJ162" s="55">
        <f t="shared" si="101"/>
        <v>0</v>
      </c>
    </row>
    <row r="163" spans="1:62" x14ac:dyDescent="0.3">
      <c r="A163" s="53" t="str">
        <f t="shared" si="39"/>
        <v>project 55</v>
      </c>
      <c r="C163" s="55">
        <f t="shared" ref="C163:AH163" si="102">IF(AND(C$127&gt;=$I55,C$127&lt;$I55+$F55),INDEX($T55:$AI55,C$127-$I55+1),0)</f>
        <v>13.87243</v>
      </c>
      <c r="D163" s="55">
        <f t="shared" si="102"/>
        <v>11.96862745098039</v>
      </c>
      <c r="E163" s="55">
        <f t="shared" si="102"/>
        <v>0</v>
      </c>
      <c r="F163" s="55">
        <f t="shared" si="102"/>
        <v>0</v>
      </c>
      <c r="G163" s="55">
        <f t="shared" si="102"/>
        <v>0</v>
      </c>
      <c r="H163" s="55">
        <f t="shared" si="102"/>
        <v>0</v>
      </c>
      <c r="I163" s="55">
        <f t="shared" si="102"/>
        <v>0</v>
      </c>
      <c r="J163" s="55">
        <f t="shared" si="102"/>
        <v>0</v>
      </c>
      <c r="K163" s="55">
        <f t="shared" si="102"/>
        <v>0</v>
      </c>
      <c r="L163" s="55">
        <f t="shared" si="102"/>
        <v>0</v>
      </c>
      <c r="M163" s="55">
        <f t="shared" si="102"/>
        <v>0</v>
      </c>
      <c r="N163" s="55">
        <f t="shared" si="102"/>
        <v>0</v>
      </c>
      <c r="O163" s="55">
        <f t="shared" si="102"/>
        <v>0</v>
      </c>
      <c r="P163" s="55">
        <f t="shared" si="102"/>
        <v>0</v>
      </c>
      <c r="Q163" s="55">
        <f t="shared" si="102"/>
        <v>0</v>
      </c>
      <c r="R163" s="55">
        <f t="shared" si="102"/>
        <v>0</v>
      </c>
      <c r="S163" s="55">
        <f t="shared" si="102"/>
        <v>0</v>
      </c>
      <c r="T163" s="55">
        <f t="shared" si="102"/>
        <v>0</v>
      </c>
      <c r="U163" s="55">
        <f t="shared" si="102"/>
        <v>0</v>
      </c>
      <c r="V163" s="55">
        <f t="shared" si="102"/>
        <v>0</v>
      </c>
      <c r="W163" s="55">
        <f t="shared" si="102"/>
        <v>0</v>
      </c>
      <c r="X163" s="55">
        <f t="shared" si="102"/>
        <v>0</v>
      </c>
      <c r="Y163" s="55">
        <f t="shared" si="102"/>
        <v>0</v>
      </c>
      <c r="Z163" s="55">
        <f t="shared" si="102"/>
        <v>0</v>
      </c>
      <c r="AA163" s="55">
        <f t="shared" si="102"/>
        <v>0</v>
      </c>
      <c r="AB163" s="55">
        <f t="shared" si="102"/>
        <v>0</v>
      </c>
      <c r="AC163" s="55">
        <f t="shared" si="102"/>
        <v>0</v>
      </c>
      <c r="AD163" s="55">
        <f t="shared" si="102"/>
        <v>0</v>
      </c>
      <c r="AE163" s="55">
        <f t="shared" si="102"/>
        <v>0</v>
      </c>
      <c r="AF163" s="55">
        <f t="shared" si="102"/>
        <v>0</v>
      </c>
      <c r="AG163" s="55">
        <f t="shared" si="102"/>
        <v>0</v>
      </c>
      <c r="AH163" s="55">
        <f t="shared" si="102"/>
        <v>0</v>
      </c>
      <c r="AI163" s="55">
        <f t="shared" ref="AI163:BJ163" si="103">IF(AND(AI$127&gt;=$I55,AI$127&lt;$I55+$F55),INDEX($T55:$AI55,AI$127-$I55+1),0)</f>
        <v>0</v>
      </c>
      <c r="AJ163" s="55">
        <f t="shared" si="103"/>
        <v>0</v>
      </c>
      <c r="AK163" s="55">
        <f t="shared" si="103"/>
        <v>0</v>
      </c>
      <c r="AL163" s="55">
        <f t="shared" si="103"/>
        <v>0</v>
      </c>
      <c r="AM163" s="55">
        <f t="shared" si="103"/>
        <v>0</v>
      </c>
      <c r="AN163" s="55">
        <f t="shared" si="103"/>
        <v>0</v>
      </c>
      <c r="AO163" s="55">
        <f t="shared" si="103"/>
        <v>0</v>
      </c>
      <c r="AP163" s="55">
        <f t="shared" si="103"/>
        <v>0</v>
      </c>
      <c r="AQ163" s="55">
        <f t="shared" si="103"/>
        <v>0</v>
      </c>
      <c r="AR163" s="55">
        <f t="shared" si="103"/>
        <v>0</v>
      </c>
      <c r="AS163" s="55">
        <f t="shared" si="103"/>
        <v>0</v>
      </c>
      <c r="AT163" s="55">
        <f t="shared" si="103"/>
        <v>0</v>
      </c>
      <c r="AU163" s="55">
        <f t="shared" si="103"/>
        <v>0</v>
      </c>
      <c r="AV163" s="55">
        <f t="shared" si="103"/>
        <v>0</v>
      </c>
      <c r="AW163" s="55">
        <f t="shared" si="103"/>
        <v>0</v>
      </c>
      <c r="AX163" s="55">
        <f t="shared" si="103"/>
        <v>0</v>
      </c>
      <c r="AY163" s="55">
        <f t="shared" si="103"/>
        <v>0</v>
      </c>
      <c r="AZ163" s="55">
        <f t="shared" si="103"/>
        <v>0</v>
      </c>
      <c r="BA163" s="55">
        <f t="shared" si="103"/>
        <v>0</v>
      </c>
      <c r="BB163" s="55">
        <f t="shared" si="103"/>
        <v>0</v>
      </c>
      <c r="BC163" s="55">
        <f t="shared" si="103"/>
        <v>0</v>
      </c>
      <c r="BD163" s="55">
        <f t="shared" si="103"/>
        <v>0</v>
      </c>
      <c r="BE163" s="55">
        <f t="shared" si="103"/>
        <v>0</v>
      </c>
      <c r="BF163" s="55">
        <f t="shared" si="103"/>
        <v>0</v>
      </c>
      <c r="BG163" s="55">
        <f t="shared" si="103"/>
        <v>0</v>
      </c>
      <c r="BH163" s="55">
        <f t="shared" si="103"/>
        <v>0</v>
      </c>
      <c r="BI163" s="55">
        <f t="shared" si="103"/>
        <v>0</v>
      </c>
      <c r="BJ163" s="55">
        <f t="shared" si="103"/>
        <v>0</v>
      </c>
    </row>
    <row r="164" spans="1:62" x14ac:dyDescent="0.3">
      <c r="A164" s="53" t="str">
        <f t="shared" ref="A164:A195" si="104">A56</f>
        <v>project 56</v>
      </c>
      <c r="C164" s="55">
        <f t="shared" ref="C164:AH164" si="105">IF(AND(C$127&gt;=$I56,C$127&lt;$I56+$F56),INDEX($T56:$AI56,C$127-$I56+1),0)</f>
        <v>0</v>
      </c>
      <c r="D164" s="55">
        <f t="shared" si="105"/>
        <v>0</v>
      </c>
      <c r="E164" s="55">
        <f t="shared" si="105"/>
        <v>0</v>
      </c>
      <c r="F164" s="55">
        <f t="shared" si="105"/>
        <v>0</v>
      </c>
      <c r="G164" s="55">
        <f t="shared" si="105"/>
        <v>0</v>
      </c>
      <c r="H164" s="55">
        <f t="shared" si="105"/>
        <v>0</v>
      </c>
      <c r="I164" s="55">
        <f t="shared" si="105"/>
        <v>0</v>
      </c>
      <c r="J164" s="55">
        <f t="shared" si="105"/>
        <v>0</v>
      </c>
      <c r="K164" s="55">
        <f t="shared" si="105"/>
        <v>0</v>
      </c>
      <c r="L164" s="55">
        <f t="shared" si="105"/>
        <v>0</v>
      </c>
      <c r="M164" s="55">
        <f t="shared" si="105"/>
        <v>0</v>
      </c>
      <c r="N164" s="55">
        <f t="shared" si="105"/>
        <v>0</v>
      </c>
      <c r="O164" s="55">
        <f t="shared" si="105"/>
        <v>0</v>
      </c>
      <c r="P164" s="55">
        <f t="shared" si="105"/>
        <v>0</v>
      </c>
      <c r="Q164" s="55">
        <f t="shared" si="105"/>
        <v>0</v>
      </c>
      <c r="R164" s="55">
        <f t="shared" si="105"/>
        <v>0</v>
      </c>
      <c r="S164" s="55">
        <f t="shared" si="105"/>
        <v>5.3249999999999999E-2</v>
      </c>
      <c r="T164" s="55">
        <f t="shared" si="105"/>
        <v>0</v>
      </c>
      <c r="U164" s="55">
        <f t="shared" si="105"/>
        <v>0</v>
      </c>
      <c r="V164" s="55">
        <f t="shared" si="105"/>
        <v>0</v>
      </c>
      <c r="W164" s="55">
        <f t="shared" si="105"/>
        <v>0</v>
      </c>
      <c r="X164" s="55">
        <f t="shared" si="105"/>
        <v>0</v>
      </c>
      <c r="Y164" s="55">
        <f t="shared" si="105"/>
        <v>0</v>
      </c>
      <c r="Z164" s="55">
        <f t="shared" si="105"/>
        <v>0</v>
      </c>
      <c r="AA164" s="55">
        <f t="shared" si="105"/>
        <v>0</v>
      </c>
      <c r="AB164" s="55">
        <f t="shared" si="105"/>
        <v>0</v>
      </c>
      <c r="AC164" s="55">
        <f t="shared" si="105"/>
        <v>0</v>
      </c>
      <c r="AD164" s="55">
        <f t="shared" si="105"/>
        <v>0</v>
      </c>
      <c r="AE164" s="55">
        <f t="shared" si="105"/>
        <v>0</v>
      </c>
      <c r="AF164" s="55">
        <f t="shared" si="105"/>
        <v>0</v>
      </c>
      <c r="AG164" s="55">
        <f t="shared" si="105"/>
        <v>0</v>
      </c>
      <c r="AH164" s="55">
        <f t="shared" si="105"/>
        <v>0</v>
      </c>
      <c r="AI164" s="55">
        <f t="shared" ref="AI164:BJ164" si="106">IF(AND(AI$127&gt;=$I56,AI$127&lt;$I56+$F56),INDEX($T56:$AI56,AI$127-$I56+1),0)</f>
        <v>0</v>
      </c>
      <c r="AJ164" s="55">
        <f t="shared" si="106"/>
        <v>0</v>
      </c>
      <c r="AK164" s="55">
        <f t="shared" si="106"/>
        <v>0</v>
      </c>
      <c r="AL164" s="55">
        <f t="shared" si="106"/>
        <v>0</v>
      </c>
      <c r="AM164" s="55">
        <f t="shared" si="106"/>
        <v>0</v>
      </c>
      <c r="AN164" s="55">
        <f t="shared" si="106"/>
        <v>0</v>
      </c>
      <c r="AO164" s="55">
        <f t="shared" si="106"/>
        <v>0</v>
      </c>
      <c r="AP164" s="55">
        <f t="shared" si="106"/>
        <v>0</v>
      </c>
      <c r="AQ164" s="55">
        <f t="shared" si="106"/>
        <v>0</v>
      </c>
      <c r="AR164" s="55">
        <f t="shared" si="106"/>
        <v>0</v>
      </c>
      <c r="AS164" s="55">
        <f t="shared" si="106"/>
        <v>0</v>
      </c>
      <c r="AT164" s="55">
        <f t="shared" si="106"/>
        <v>0</v>
      </c>
      <c r="AU164" s="55">
        <f t="shared" si="106"/>
        <v>0</v>
      </c>
      <c r="AV164" s="55">
        <f t="shared" si="106"/>
        <v>0</v>
      </c>
      <c r="AW164" s="55">
        <f t="shared" si="106"/>
        <v>0</v>
      </c>
      <c r="AX164" s="55">
        <f t="shared" si="106"/>
        <v>0</v>
      </c>
      <c r="AY164" s="55">
        <f t="shared" si="106"/>
        <v>0</v>
      </c>
      <c r="AZ164" s="55">
        <f t="shared" si="106"/>
        <v>0</v>
      </c>
      <c r="BA164" s="55">
        <f t="shared" si="106"/>
        <v>0</v>
      </c>
      <c r="BB164" s="55">
        <f t="shared" si="106"/>
        <v>0</v>
      </c>
      <c r="BC164" s="55">
        <f t="shared" si="106"/>
        <v>0</v>
      </c>
      <c r="BD164" s="55">
        <f t="shared" si="106"/>
        <v>0</v>
      </c>
      <c r="BE164" s="55">
        <f t="shared" si="106"/>
        <v>0</v>
      </c>
      <c r="BF164" s="55">
        <f t="shared" si="106"/>
        <v>0</v>
      </c>
      <c r="BG164" s="55">
        <f t="shared" si="106"/>
        <v>0</v>
      </c>
      <c r="BH164" s="55">
        <f t="shared" si="106"/>
        <v>0</v>
      </c>
      <c r="BI164" s="55">
        <f t="shared" si="106"/>
        <v>0</v>
      </c>
      <c r="BJ164" s="55">
        <f t="shared" si="106"/>
        <v>0</v>
      </c>
    </row>
    <row r="165" spans="1:62" x14ac:dyDescent="0.3">
      <c r="A165" s="53" t="str">
        <f t="shared" si="104"/>
        <v>project 58</v>
      </c>
      <c r="C165" s="55">
        <f t="shared" ref="C165:AH165" si="107">IF(AND(C$127&gt;=$I57,C$127&lt;$I57+$F57),INDEX($T57:$AI57,C$127-$I57+1),0)</f>
        <v>0</v>
      </c>
      <c r="D165" s="55">
        <f t="shared" si="107"/>
        <v>0</v>
      </c>
      <c r="E165" s="55">
        <f t="shared" si="107"/>
        <v>0</v>
      </c>
      <c r="F165" s="55">
        <f t="shared" si="107"/>
        <v>0</v>
      </c>
      <c r="G165" s="55">
        <f t="shared" si="107"/>
        <v>0</v>
      </c>
      <c r="H165" s="55">
        <f t="shared" si="107"/>
        <v>0</v>
      </c>
      <c r="I165" s="55">
        <f t="shared" si="107"/>
        <v>0</v>
      </c>
      <c r="J165" s="55">
        <f t="shared" si="107"/>
        <v>0.33477099999999999</v>
      </c>
      <c r="K165" s="55">
        <f t="shared" si="107"/>
        <v>0.52254999999999996</v>
      </c>
      <c r="L165" s="55">
        <f t="shared" si="107"/>
        <v>2.9051893502499042</v>
      </c>
      <c r="M165" s="55">
        <f t="shared" si="107"/>
        <v>0.50225874663590919</v>
      </c>
      <c r="N165" s="55">
        <f t="shared" si="107"/>
        <v>0</v>
      </c>
      <c r="O165" s="55">
        <f t="shared" si="107"/>
        <v>0</v>
      </c>
      <c r="P165" s="55">
        <f t="shared" si="107"/>
        <v>0</v>
      </c>
      <c r="Q165" s="55">
        <f t="shared" si="107"/>
        <v>0</v>
      </c>
      <c r="R165" s="55">
        <f t="shared" si="107"/>
        <v>0</v>
      </c>
      <c r="S165" s="55">
        <f t="shared" si="107"/>
        <v>0</v>
      </c>
      <c r="T165" s="55">
        <f t="shared" si="107"/>
        <v>0</v>
      </c>
      <c r="U165" s="55">
        <f t="shared" si="107"/>
        <v>0</v>
      </c>
      <c r="V165" s="55">
        <f t="shared" si="107"/>
        <v>0</v>
      </c>
      <c r="W165" s="55">
        <f t="shared" si="107"/>
        <v>0</v>
      </c>
      <c r="X165" s="55">
        <f t="shared" si="107"/>
        <v>0</v>
      </c>
      <c r="Y165" s="55">
        <f t="shared" si="107"/>
        <v>0</v>
      </c>
      <c r="Z165" s="55">
        <f t="shared" si="107"/>
        <v>0</v>
      </c>
      <c r="AA165" s="55">
        <f t="shared" si="107"/>
        <v>0</v>
      </c>
      <c r="AB165" s="55">
        <f t="shared" si="107"/>
        <v>0</v>
      </c>
      <c r="AC165" s="55">
        <f t="shared" si="107"/>
        <v>0</v>
      </c>
      <c r="AD165" s="55">
        <f t="shared" si="107"/>
        <v>0</v>
      </c>
      <c r="AE165" s="55">
        <f t="shared" si="107"/>
        <v>0</v>
      </c>
      <c r="AF165" s="55">
        <f t="shared" si="107"/>
        <v>0</v>
      </c>
      <c r="AG165" s="55">
        <f t="shared" si="107"/>
        <v>0</v>
      </c>
      <c r="AH165" s="55">
        <f t="shared" si="107"/>
        <v>0</v>
      </c>
      <c r="AI165" s="55">
        <f t="shared" ref="AI165:BJ165" si="108">IF(AND(AI$127&gt;=$I57,AI$127&lt;$I57+$F57),INDEX($T57:$AI57,AI$127-$I57+1),0)</f>
        <v>0</v>
      </c>
      <c r="AJ165" s="55">
        <f t="shared" si="108"/>
        <v>0</v>
      </c>
      <c r="AK165" s="55">
        <f t="shared" si="108"/>
        <v>0</v>
      </c>
      <c r="AL165" s="55">
        <f t="shared" si="108"/>
        <v>0</v>
      </c>
      <c r="AM165" s="55">
        <f t="shared" si="108"/>
        <v>0</v>
      </c>
      <c r="AN165" s="55">
        <f t="shared" si="108"/>
        <v>0</v>
      </c>
      <c r="AO165" s="55">
        <f t="shared" si="108"/>
        <v>0</v>
      </c>
      <c r="AP165" s="55">
        <f t="shared" si="108"/>
        <v>0</v>
      </c>
      <c r="AQ165" s="55">
        <f t="shared" si="108"/>
        <v>0</v>
      </c>
      <c r="AR165" s="55">
        <f t="shared" si="108"/>
        <v>0</v>
      </c>
      <c r="AS165" s="55">
        <f t="shared" si="108"/>
        <v>0</v>
      </c>
      <c r="AT165" s="55">
        <f t="shared" si="108"/>
        <v>0</v>
      </c>
      <c r="AU165" s="55">
        <f t="shared" si="108"/>
        <v>0</v>
      </c>
      <c r="AV165" s="55">
        <f t="shared" si="108"/>
        <v>0</v>
      </c>
      <c r="AW165" s="55">
        <f t="shared" si="108"/>
        <v>0</v>
      </c>
      <c r="AX165" s="55">
        <f t="shared" si="108"/>
        <v>0</v>
      </c>
      <c r="AY165" s="55">
        <f t="shared" si="108"/>
        <v>0</v>
      </c>
      <c r="AZ165" s="55">
        <f t="shared" si="108"/>
        <v>0</v>
      </c>
      <c r="BA165" s="55">
        <f t="shared" si="108"/>
        <v>0</v>
      </c>
      <c r="BB165" s="55">
        <f t="shared" si="108"/>
        <v>0</v>
      </c>
      <c r="BC165" s="55">
        <f t="shared" si="108"/>
        <v>0</v>
      </c>
      <c r="BD165" s="55">
        <f t="shared" si="108"/>
        <v>0</v>
      </c>
      <c r="BE165" s="55">
        <f t="shared" si="108"/>
        <v>0</v>
      </c>
      <c r="BF165" s="55">
        <f t="shared" si="108"/>
        <v>0</v>
      </c>
      <c r="BG165" s="55">
        <f t="shared" si="108"/>
        <v>0</v>
      </c>
      <c r="BH165" s="55">
        <f t="shared" si="108"/>
        <v>0</v>
      </c>
      <c r="BI165" s="55">
        <f t="shared" si="108"/>
        <v>0</v>
      </c>
      <c r="BJ165" s="55">
        <f t="shared" si="108"/>
        <v>0</v>
      </c>
    </row>
    <row r="166" spans="1:62" x14ac:dyDescent="0.3">
      <c r="A166" s="53" t="str">
        <f t="shared" si="104"/>
        <v>project 61</v>
      </c>
      <c r="C166" s="55">
        <f t="shared" ref="C166:AH166" si="109">IF(AND(C$127&gt;=$I58,C$127&lt;$I58+$F58),INDEX($T58:$AI58,C$127-$I58+1),0)</f>
        <v>0</v>
      </c>
      <c r="D166" s="55">
        <f t="shared" si="109"/>
        <v>0</v>
      </c>
      <c r="E166" s="55">
        <f t="shared" si="109"/>
        <v>0</v>
      </c>
      <c r="F166" s="55">
        <f t="shared" si="109"/>
        <v>0</v>
      </c>
      <c r="G166" s="55">
        <f t="shared" si="109"/>
        <v>0</v>
      </c>
      <c r="H166" s="55">
        <f t="shared" si="109"/>
        <v>0</v>
      </c>
      <c r="I166" s="55">
        <f t="shared" si="109"/>
        <v>0</v>
      </c>
      <c r="J166" s="55">
        <f t="shared" si="109"/>
        <v>0</v>
      </c>
      <c r="K166" s="55">
        <f t="shared" si="109"/>
        <v>0</v>
      </c>
      <c r="L166" s="55">
        <f t="shared" si="109"/>
        <v>8.6989920000000005</v>
      </c>
      <c r="M166" s="55">
        <f t="shared" si="109"/>
        <v>0</v>
      </c>
      <c r="N166" s="55">
        <f t="shared" si="109"/>
        <v>0</v>
      </c>
      <c r="O166" s="55">
        <f t="shared" si="109"/>
        <v>0</v>
      </c>
      <c r="P166" s="55">
        <f t="shared" si="109"/>
        <v>0</v>
      </c>
      <c r="Q166" s="55">
        <f t="shared" si="109"/>
        <v>0</v>
      </c>
      <c r="R166" s="55">
        <f t="shared" si="109"/>
        <v>0</v>
      </c>
      <c r="S166" s="55">
        <f t="shared" si="109"/>
        <v>0</v>
      </c>
      <c r="T166" s="55">
        <f t="shared" si="109"/>
        <v>0</v>
      </c>
      <c r="U166" s="55">
        <f t="shared" si="109"/>
        <v>0</v>
      </c>
      <c r="V166" s="55">
        <f t="shared" si="109"/>
        <v>0</v>
      </c>
      <c r="W166" s="55">
        <f t="shared" si="109"/>
        <v>0</v>
      </c>
      <c r="X166" s="55">
        <f t="shared" si="109"/>
        <v>0</v>
      </c>
      <c r="Y166" s="55">
        <f t="shared" si="109"/>
        <v>0</v>
      </c>
      <c r="Z166" s="55">
        <f t="shared" si="109"/>
        <v>0</v>
      </c>
      <c r="AA166" s="55">
        <f t="shared" si="109"/>
        <v>0</v>
      </c>
      <c r="AB166" s="55">
        <f t="shared" si="109"/>
        <v>0</v>
      </c>
      <c r="AC166" s="55">
        <f t="shared" si="109"/>
        <v>0</v>
      </c>
      <c r="AD166" s="55">
        <f t="shared" si="109"/>
        <v>0</v>
      </c>
      <c r="AE166" s="55">
        <f t="shared" si="109"/>
        <v>0</v>
      </c>
      <c r="AF166" s="55">
        <f t="shared" si="109"/>
        <v>0</v>
      </c>
      <c r="AG166" s="55">
        <f t="shared" si="109"/>
        <v>0</v>
      </c>
      <c r="AH166" s="55">
        <f t="shared" si="109"/>
        <v>0</v>
      </c>
      <c r="AI166" s="55">
        <f t="shared" ref="AI166:BJ166" si="110">IF(AND(AI$127&gt;=$I58,AI$127&lt;$I58+$F58),INDEX($T58:$AI58,AI$127-$I58+1),0)</f>
        <v>0</v>
      </c>
      <c r="AJ166" s="55">
        <f t="shared" si="110"/>
        <v>0</v>
      </c>
      <c r="AK166" s="55">
        <f t="shared" si="110"/>
        <v>0</v>
      </c>
      <c r="AL166" s="55">
        <f t="shared" si="110"/>
        <v>0</v>
      </c>
      <c r="AM166" s="55">
        <f t="shared" si="110"/>
        <v>0</v>
      </c>
      <c r="AN166" s="55">
        <f t="shared" si="110"/>
        <v>0</v>
      </c>
      <c r="AO166" s="55">
        <f t="shared" si="110"/>
        <v>0</v>
      </c>
      <c r="AP166" s="55">
        <f t="shared" si="110"/>
        <v>0</v>
      </c>
      <c r="AQ166" s="55">
        <f t="shared" si="110"/>
        <v>0</v>
      </c>
      <c r="AR166" s="55">
        <f t="shared" si="110"/>
        <v>0</v>
      </c>
      <c r="AS166" s="55">
        <f t="shared" si="110"/>
        <v>0</v>
      </c>
      <c r="AT166" s="55">
        <f t="shared" si="110"/>
        <v>0</v>
      </c>
      <c r="AU166" s="55">
        <f t="shared" si="110"/>
        <v>0</v>
      </c>
      <c r="AV166" s="55">
        <f t="shared" si="110"/>
        <v>0</v>
      </c>
      <c r="AW166" s="55">
        <f t="shared" si="110"/>
        <v>0</v>
      </c>
      <c r="AX166" s="55">
        <f t="shared" si="110"/>
        <v>0</v>
      </c>
      <c r="AY166" s="55">
        <f t="shared" si="110"/>
        <v>0</v>
      </c>
      <c r="AZ166" s="55">
        <f t="shared" si="110"/>
        <v>0</v>
      </c>
      <c r="BA166" s="55">
        <f t="shared" si="110"/>
        <v>0</v>
      </c>
      <c r="BB166" s="55">
        <f t="shared" si="110"/>
        <v>0</v>
      </c>
      <c r="BC166" s="55">
        <f t="shared" si="110"/>
        <v>0</v>
      </c>
      <c r="BD166" s="55">
        <f t="shared" si="110"/>
        <v>0</v>
      </c>
      <c r="BE166" s="55">
        <f t="shared" si="110"/>
        <v>0</v>
      </c>
      <c r="BF166" s="55">
        <f t="shared" si="110"/>
        <v>0</v>
      </c>
      <c r="BG166" s="55">
        <f t="shared" si="110"/>
        <v>0</v>
      </c>
      <c r="BH166" s="55">
        <f t="shared" si="110"/>
        <v>0</v>
      </c>
      <c r="BI166" s="55">
        <f t="shared" si="110"/>
        <v>0</v>
      </c>
      <c r="BJ166" s="55">
        <f t="shared" si="110"/>
        <v>0</v>
      </c>
    </row>
    <row r="167" spans="1:62" x14ac:dyDescent="0.3">
      <c r="A167" s="53" t="str">
        <f t="shared" si="104"/>
        <v>project 64</v>
      </c>
      <c r="C167" s="55">
        <f t="shared" ref="C167:AH167" si="111">IF(AND(C$127&gt;=$I59,C$127&lt;$I59+$F59),INDEX($T59:$AI59,C$127-$I59+1),0)</f>
        <v>1.9201493168394219</v>
      </c>
      <c r="D167" s="55">
        <f t="shared" si="111"/>
        <v>3.7649986604694541</v>
      </c>
      <c r="E167" s="55">
        <f t="shared" si="111"/>
        <v>0</v>
      </c>
      <c r="F167" s="55">
        <f t="shared" si="111"/>
        <v>0</v>
      </c>
      <c r="G167" s="55">
        <f t="shared" si="111"/>
        <v>0</v>
      </c>
      <c r="H167" s="55">
        <f t="shared" si="111"/>
        <v>0</v>
      </c>
      <c r="I167" s="55">
        <f t="shared" si="111"/>
        <v>0</v>
      </c>
      <c r="J167" s="55">
        <f t="shared" si="111"/>
        <v>0</v>
      </c>
      <c r="K167" s="55">
        <f t="shared" si="111"/>
        <v>0</v>
      </c>
      <c r="L167" s="55">
        <f t="shared" si="111"/>
        <v>0</v>
      </c>
      <c r="M167" s="55">
        <f t="shared" si="111"/>
        <v>0</v>
      </c>
      <c r="N167" s="55">
        <f t="shared" si="111"/>
        <v>0</v>
      </c>
      <c r="O167" s="55">
        <f t="shared" si="111"/>
        <v>0</v>
      </c>
      <c r="P167" s="55">
        <f t="shared" si="111"/>
        <v>0</v>
      </c>
      <c r="Q167" s="55">
        <f t="shared" si="111"/>
        <v>0</v>
      </c>
      <c r="R167" s="55">
        <f t="shared" si="111"/>
        <v>0</v>
      </c>
      <c r="S167" s="55">
        <f t="shared" si="111"/>
        <v>0</v>
      </c>
      <c r="T167" s="55">
        <f t="shared" si="111"/>
        <v>0</v>
      </c>
      <c r="U167" s="55">
        <f t="shared" si="111"/>
        <v>0</v>
      </c>
      <c r="V167" s="55">
        <f t="shared" si="111"/>
        <v>0</v>
      </c>
      <c r="W167" s="55">
        <f t="shared" si="111"/>
        <v>0</v>
      </c>
      <c r="X167" s="55">
        <f t="shared" si="111"/>
        <v>0</v>
      </c>
      <c r="Y167" s="55">
        <f t="shared" si="111"/>
        <v>0</v>
      </c>
      <c r="Z167" s="55">
        <f t="shared" si="111"/>
        <v>0</v>
      </c>
      <c r="AA167" s="55">
        <f t="shared" si="111"/>
        <v>0</v>
      </c>
      <c r="AB167" s="55">
        <f t="shared" si="111"/>
        <v>0</v>
      </c>
      <c r="AC167" s="55">
        <f t="shared" si="111"/>
        <v>0</v>
      </c>
      <c r="AD167" s="55">
        <f t="shared" si="111"/>
        <v>0</v>
      </c>
      <c r="AE167" s="55">
        <f t="shared" si="111"/>
        <v>0</v>
      </c>
      <c r="AF167" s="55">
        <f t="shared" si="111"/>
        <v>0</v>
      </c>
      <c r="AG167" s="55">
        <f t="shared" si="111"/>
        <v>0</v>
      </c>
      <c r="AH167" s="55">
        <f t="shared" si="111"/>
        <v>0</v>
      </c>
      <c r="AI167" s="55">
        <f t="shared" ref="AI167:BJ167" si="112">IF(AND(AI$127&gt;=$I59,AI$127&lt;$I59+$F59),INDEX($T59:$AI59,AI$127-$I59+1),0)</f>
        <v>0</v>
      </c>
      <c r="AJ167" s="55">
        <f t="shared" si="112"/>
        <v>0</v>
      </c>
      <c r="AK167" s="55">
        <f t="shared" si="112"/>
        <v>0</v>
      </c>
      <c r="AL167" s="55">
        <f t="shared" si="112"/>
        <v>0</v>
      </c>
      <c r="AM167" s="55">
        <f t="shared" si="112"/>
        <v>0</v>
      </c>
      <c r="AN167" s="55">
        <f t="shared" si="112"/>
        <v>0</v>
      </c>
      <c r="AO167" s="55">
        <f t="shared" si="112"/>
        <v>0</v>
      </c>
      <c r="AP167" s="55">
        <f t="shared" si="112"/>
        <v>0</v>
      </c>
      <c r="AQ167" s="55">
        <f t="shared" si="112"/>
        <v>0</v>
      </c>
      <c r="AR167" s="55">
        <f t="shared" si="112"/>
        <v>0</v>
      </c>
      <c r="AS167" s="55">
        <f t="shared" si="112"/>
        <v>0</v>
      </c>
      <c r="AT167" s="55">
        <f t="shared" si="112"/>
        <v>0</v>
      </c>
      <c r="AU167" s="55">
        <f t="shared" si="112"/>
        <v>0</v>
      </c>
      <c r="AV167" s="55">
        <f t="shared" si="112"/>
        <v>0</v>
      </c>
      <c r="AW167" s="55">
        <f t="shared" si="112"/>
        <v>0</v>
      </c>
      <c r="AX167" s="55">
        <f t="shared" si="112"/>
        <v>0</v>
      </c>
      <c r="AY167" s="55">
        <f t="shared" si="112"/>
        <v>0</v>
      </c>
      <c r="AZ167" s="55">
        <f t="shared" si="112"/>
        <v>0</v>
      </c>
      <c r="BA167" s="55">
        <f t="shared" si="112"/>
        <v>0</v>
      </c>
      <c r="BB167" s="55">
        <f t="shared" si="112"/>
        <v>0</v>
      </c>
      <c r="BC167" s="55">
        <f t="shared" si="112"/>
        <v>0</v>
      </c>
      <c r="BD167" s="55">
        <f t="shared" si="112"/>
        <v>0</v>
      </c>
      <c r="BE167" s="55">
        <f t="shared" si="112"/>
        <v>0</v>
      </c>
      <c r="BF167" s="55">
        <f t="shared" si="112"/>
        <v>0</v>
      </c>
      <c r="BG167" s="55">
        <f t="shared" si="112"/>
        <v>0</v>
      </c>
      <c r="BH167" s="55">
        <f t="shared" si="112"/>
        <v>0</v>
      </c>
      <c r="BI167" s="55">
        <f t="shared" si="112"/>
        <v>0</v>
      </c>
      <c r="BJ167" s="55">
        <f t="shared" si="112"/>
        <v>0</v>
      </c>
    </row>
    <row r="168" spans="1:62" x14ac:dyDescent="0.3">
      <c r="A168" s="53" t="str">
        <f t="shared" si="104"/>
        <v>project 74</v>
      </c>
      <c r="C168" s="55">
        <f t="shared" ref="C168:AH168" si="113">IF(AND(C$127&gt;=$I60,C$127&lt;$I60+$F60),INDEX($T60:$AI60,C$127-$I60+1),0)</f>
        <v>0</v>
      </c>
      <c r="D168" s="55">
        <f t="shared" si="113"/>
        <v>0</v>
      </c>
      <c r="E168" s="55">
        <f t="shared" si="113"/>
        <v>0</v>
      </c>
      <c r="F168" s="55">
        <f t="shared" si="113"/>
        <v>0</v>
      </c>
      <c r="G168" s="55">
        <f t="shared" si="113"/>
        <v>0</v>
      </c>
      <c r="H168" s="55">
        <f t="shared" si="113"/>
        <v>0</v>
      </c>
      <c r="I168" s="55">
        <f t="shared" si="113"/>
        <v>0</v>
      </c>
      <c r="J168" s="55">
        <f t="shared" si="113"/>
        <v>10.022251000000001</v>
      </c>
      <c r="K168" s="55">
        <f t="shared" si="113"/>
        <v>10.341873529411769</v>
      </c>
      <c r="L168" s="55">
        <f t="shared" si="113"/>
        <v>14.70262014609766</v>
      </c>
      <c r="M168" s="55">
        <f t="shared" si="113"/>
        <v>15.581077413664429</v>
      </c>
      <c r="N168" s="55">
        <f t="shared" si="113"/>
        <v>1.6392408370423881</v>
      </c>
      <c r="O168" s="55">
        <f t="shared" si="113"/>
        <v>0</v>
      </c>
      <c r="P168" s="55">
        <f t="shared" si="113"/>
        <v>0</v>
      </c>
      <c r="Q168" s="55">
        <f t="shared" si="113"/>
        <v>0</v>
      </c>
      <c r="R168" s="55">
        <f t="shared" si="113"/>
        <v>0</v>
      </c>
      <c r="S168" s="55">
        <f t="shared" si="113"/>
        <v>0</v>
      </c>
      <c r="T168" s="55">
        <f t="shared" si="113"/>
        <v>0</v>
      </c>
      <c r="U168" s="55">
        <f t="shared" si="113"/>
        <v>0</v>
      </c>
      <c r="V168" s="55">
        <f t="shared" si="113"/>
        <v>0</v>
      </c>
      <c r="W168" s="55">
        <f t="shared" si="113"/>
        <v>0</v>
      </c>
      <c r="X168" s="55">
        <f t="shared" si="113"/>
        <v>0</v>
      </c>
      <c r="Y168" s="55">
        <f t="shared" si="113"/>
        <v>0</v>
      </c>
      <c r="Z168" s="55">
        <f t="shared" si="113"/>
        <v>0</v>
      </c>
      <c r="AA168" s="55">
        <f t="shared" si="113"/>
        <v>0</v>
      </c>
      <c r="AB168" s="55">
        <f t="shared" si="113"/>
        <v>0</v>
      </c>
      <c r="AC168" s="55">
        <f t="shared" si="113"/>
        <v>0</v>
      </c>
      <c r="AD168" s="55">
        <f t="shared" si="113"/>
        <v>0</v>
      </c>
      <c r="AE168" s="55">
        <f t="shared" si="113"/>
        <v>0</v>
      </c>
      <c r="AF168" s="55">
        <f t="shared" si="113"/>
        <v>0</v>
      </c>
      <c r="AG168" s="55">
        <f t="shared" si="113"/>
        <v>0</v>
      </c>
      <c r="AH168" s="55">
        <f t="shared" si="113"/>
        <v>0</v>
      </c>
      <c r="AI168" s="55">
        <f t="shared" ref="AI168:BJ168" si="114">IF(AND(AI$127&gt;=$I60,AI$127&lt;$I60+$F60),INDEX($T60:$AI60,AI$127-$I60+1),0)</f>
        <v>0</v>
      </c>
      <c r="AJ168" s="55">
        <f t="shared" si="114"/>
        <v>0</v>
      </c>
      <c r="AK168" s="55">
        <f t="shared" si="114"/>
        <v>0</v>
      </c>
      <c r="AL168" s="55">
        <f t="shared" si="114"/>
        <v>0</v>
      </c>
      <c r="AM168" s="55">
        <f t="shared" si="114"/>
        <v>0</v>
      </c>
      <c r="AN168" s="55">
        <f t="shared" si="114"/>
        <v>0</v>
      </c>
      <c r="AO168" s="55">
        <f t="shared" si="114"/>
        <v>0</v>
      </c>
      <c r="AP168" s="55">
        <f t="shared" si="114"/>
        <v>0</v>
      </c>
      <c r="AQ168" s="55">
        <f t="shared" si="114"/>
        <v>0</v>
      </c>
      <c r="AR168" s="55">
        <f t="shared" si="114"/>
        <v>0</v>
      </c>
      <c r="AS168" s="55">
        <f t="shared" si="114"/>
        <v>0</v>
      </c>
      <c r="AT168" s="55">
        <f t="shared" si="114"/>
        <v>0</v>
      </c>
      <c r="AU168" s="55">
        <f t="shared" si="114"/>
        <v>0</v>
      </c>
      <c r="AV168" s="55">
        <f t="shared" si="114"/>
        <v>0</v>
      </c>
      <c r="AW168" s="55">
        <f t="shared" si="114"/>
        <v>0</v>
      </c>
      <c r="AX168" s="55">
        <f t="shared" si="114"/>
        <v>0</v>
      </c>
      <c r="AY168" s="55">
        <f t="shared" si="114"/>
        <v>0</v>
      </c>
      <c r="AZ168" s="55">
        <f t="shared" si="114"/>
        <v>0</v>
      </c>
      <c r="BA168" s="55">
        <f t="shared" si="114"/>
        <v>0</v>
      </c>
      <c r="BB168" s="55">
        <f t="shared" si="114"/>
        <v>0</v>
      </c>
      <c r="BC168" s="55">
        <f t="shared" si="114"/>
        <v>0</v>
      </c>
      <c r="BD168" s="55">
        <f t="shared" si="114"/>
        <v>0</v>
      </c>
      <c r="BE168" s="55">
        <f t="shared" si="114"/>
        <v>0</v>
      </c>
      <c r="BF168" s="55">
        <f t="shared" si="114"/>
        <v>0</v>
      </c>
      <c r="BG168" s="55">
        <f t="shared" si="114"/>
        <v>0</v>
      </c>
      <c r="BH168" s="55">
        <f t="shared" si="114"/>
        <v>0</v>
      </c>
      <c r="BI168" s="55">
        <f t="shared" si="114"/>
        <v>0</v>
      </c>
      <c r="BJ168" s="55">
        <f t="shared" si="114"/>
        <v>0</v>
      </c>
    </row>
    <row r="169" spans="1:62" x14ac:dyDescent="0.3">
      <c r="A169" s="53" t="str">
        <f t="shared" si="104"/>
        <v>project 75</v>
      </c>
      <c r="C169" s="55">
        <f t="shared" ref="C169:AH169" si="115">IF(AND(C$127&gt;=$I61,C$127&lt;$I61+$F61),INDEX($T61:$AI61,C$127-$I61+1),0)</f>
        <v>1.365196078431373</v>
      </c>
      <c r="D169" s="55">
        <f t="shared" si="115"/>
        <v>1.338427527873894</v>
      </c>
      <c r="E169" s="55">
        <f t="shared" si="115"/>
        <v>1.3121838508567589</v>
      </c>
      <c r="F169" s="55">
        <f t="shared" si="115"/>
        <v>1.286454755741921</v>
      </c>
      <c r="G169" s="55">
        <f t="shared" si="115"/>
        <v>1.261230152688158</v>
      </c>
      <c r="H169" s="55">
        <f t="shared" si="115"/>
        <v>1.236500149694272</v>
      </c>
      <c r="I169" s="55">
        <f t="shared" si="115"/>
        <v>1.2122550487198751</v>
      </c>
      <c r="J169" s="55">
        <f t="shared" si="115"/>
        <v>1.1884853418822301</v>
      </c>
      <c r="K169" s="55">
        <f t="shared" si="115"/>
        <v>1.165181707727676</v>
      </c>
      <c r="L169" s="55">
        <f t="shared" si="115"/>
        <v>1.142335007576154</v>
      </c>
      <c r="M169" s="55">
        <f t="shared" si="115"/>
        <v>1.119936281937405</v>
      </c>
      <c r="N169" s="55">
        <f t="shared" si="115"/>
        <v>1.097976746997456</v>
      </c>
      <c r="O169" s="55">
        <f t="shared" si="115"/>
        <v>1.0764477911739769</v>
      </c>
      <c r="P169" s="55">
        <f t="shared" si="115"/>
        <v>1.0553409717391931</v>
      </c>
      <c r="Q169" s="55">
        <f t="shared" si="115"/>
        <v>1.0346480115090131</v>
      </c>
      <c r="R169" s="55">
        <f t="shared" si="115"/>
        <v>1.014360795597071</v>
      </c>
      <c r="S169" s="55">
        <f t="shared" si="115"/>
        <v>0</v>
      </c>
      <c r="T169" s="55">
        <f t="shared" si="115"/>
        <v>0</v>
      </c>
      <c r="U169" s="55">
        <f t="shared" si="115"/>
        <v>0</v>
      </c>
      <c r="V169" s="55">
        <f t="shared" si="115"/>
        <v>0</v>
      </c>
      <c r="W169" s="55">
        <f t="shared" si="115"/>
        <v>0</v>
      </c>
      <c r="X169" s="55">
        <f t="shared" si="115"/>
        <v>0</v>
      </c>
      <c r="Y169" s="55">
        <f t="shared" si="115"/>
        <v>0</v>
      </c>
      <c r="Z169" s="55">
        <f t="shared" si="115"/>
        <v>0</v>
      </c>
      <c r="AA169" s="55">
        <f t="shared" si="115"/>
        <v>0</v>
      </c>
      <c r="AB169" s="55">
        <f t="shared" si="115"/>
        <v>0</v>
      </c>
      <c r="AC169" s="55">
        <f t="shared" si="115"/>
        <v>0</v>
      </c>
      <c r="AD169" s="55">
        <f t="shared" si="115"/>
        <v>0</v>
      </c>
      <c r="AE169" s="55">
        <f t="shared" si="115"/>
        <v>0</v>
      </c>
      <c r="AF169" s="55">
        <f t="shared" si="115"/>
        <v>0</v>
      </c>
      <c r="AG169" s="55">
        <f t="shared" si="115"/>
        <v>0</v>
      </c>
      <c r="AH169" s="55">
        <f t="shared" si="115"/>
        <v>0</v>
      </c>
      <c r="AI169" s="55">
        <f t="shared" ref="AI169:BJ169" si="116">IF(AND(AI$127&gt;=$I61,AI$127&lt;$I61+$F61),INDEX($T61:$AI61,AI$127-$I61+1),0)</f>
        <v>0</v>
      </c>
      <c r="AJ169" s="55">
        <f t="shared" si="116"/>
        <v>0</v>
      </c>
      <c r="AK169" s="55">
        <f t="shared" si="116"/>
        <v>0</v>
      </c>
      <c r="AL169" s="55">
        <f t="shared" si="116"/>
        <v>0</v>
      </c>
      <c r="AM169" s="55">
        <f t="shared" si="116"/>
        <v>0</v>
      </c>
      <c r="AN169" s="55">
        <f t="shared" si="116"/>
        <v>0</v>
      </c>
      <c r="AO169" s="55">
        <f t="shared" si="116"/>
        <v>0</v>
      </c>
      <c r="AP169" s="55">
        <f t="shared" si="116"/>
        <v>0</v>
      </c>
      <c r="AQ169" s="55">
        <f t="shared" si="116"/>
        <v>0</v>
      </c>
      <c r="AR169" s="55">
        <f t="shared" si="116"/>
        <v>0</v>
      </c>
      <c r="AS169" s="55">
        <f t="shared" si="116"/>
        <v>0</v>
      </c>
      <c r="AT169" s="55">
        <f t="shared" si="116"/>
        <v>0</v>
      </c>
      <c r="AU169" s="55">
        <f t="shared" si="116"/>
        <v>0</v>
      </c>
      <c r="AV169" s="55">
        <f t="shared" si="116"/>
        <v>0</v>
      </c>
      <c r="AW169" s="55">
        <f t="shared" si="116"/>
        <v>0</v>
      </c>
      <c r="AX169" s="55">
        <f t="shared" si="116"/>
        <v>0</v>
      </c>
      <c r="AY169" s="55">
        <f t="shared" si="116"/>
        <v>0</v>
      </c>
      <c r="AZ169" s="55">
        <f t="shared" si="116"/>
        <v>0</v>
      </c>
      <c r="BA169" s="55">
        <f t="shared" si="116"/>
        <v>0</v>
      </c>
      <c r="BB169" s="55">
        <f t="shared" si="116"/>
        <v>0</v>
      </c>
      <c r="BC169" s="55">
        <f t="shared" si="116"/>
        <v>0</v>
      </c>
      <c r="BD169" s="55">
        <f t="shared" si="116"/>
        <v>0</v>
      </c>
      <c r="BE169" s="55">
        <f t="shared" si="116"/>
        <v>0</v>
      </c>
      <c r="BF169" s="55">
        <f t="shared" si="116"/>
        <v>0</v>
      </c>
      <c r="BG169" s="55">
        <f t="shared" si="116"/>
        <v>0</v>
      </c>
      <c r="BH169" s="55">
        <f t="shared" si="116"/>
        <v>0</v>
      </c>
      <c r="BI169" s="55">
        <f t="shared" si="116"/>
        <v>0</v>
      </c>
      <c r="BJ169" s="55">
        <f t="shared" si="116"/>
        <v>0</v>
      </c>
    </row>
    <row r="170" spans="1:62" x14ac:dyDescent="0.3">
      <c r="A170" s="53" t="str">
        <f t="shared" si="104"/>
        <v>project 77</v>
      </c>
      <c r="C170" s="55">
        <f t="shared" ref="C170:AH170" si="117">IF(AND(C$127&gt;=$I62,C$127&lt;$I62+$F62),INDEX($T62:$AI62,C$127-$I62+1),0)</f>
        <v>0</v>
      </c>
      <c r="D170" s="55">
        <f t="shared" si="117"/>
        <v>0</v>
      </c>
      <c r="E170" s="55">
        <f t="shared" si="117"/>
        <v>0</v>
      </c>
      <c r="F170" s="55">
        <f t="shared" si="117"/>
        <v>0</v>
      </c>
      <c r="G170" s="55">
        <f t="shared" si="117"/>
        <v>0</v>
      </c>
      <c r="H170" s="55">
        <f t="shared" si="117"/>
        <v>0</v>
      </c>
      <c r="I170" s="55">
        <f t="shared" si="117"/>
        <v>0</v>
      </c>
      <c r="J170" s="55">
        <f t="shared" si="117"/>
        <v>0</v>
      </c>
      <c r="K170" s="55">
        <f t="shared" si="117"/>
        <v>0</v>
      </c>
      <c r="L170" s="55">
        <f t="shared" si="117"/>
        <v>0</v>
      </c>
      <c r="M170" s="55">
        <f t="shared" si="117"/>
        <v>0</v>
      </c>
      <c r="N170" s="55">
        <f t="shared" si="117"/>
        <v>6.3222E-2</v>
      </c>
      <c r="O170" s="55">
        <f t="shared" si="117"/>
        <v>0</v>
      </c>
      <c r="P170" s="55">
        <f t="shared" si="117"/>
        <v>0</v>
      </c>
      <c r="Q170" s="55">
        <f t="shared" si="117"/>
        <v>0</v>
      </c>
      <c r="R170" s="55">
        <f t="shared" si="117"/>
        <v>0</v>
      </c>
      <c r="S170" s="55">
        <f t="shared" si="117"/>
        <v>0</v>
      </c>
      <c r="T170" s="55">
        <f t="shared" si="117"/>
        <v>0</v>
      </c>
      <c r="U170" s="55">
        <f t="shared" si="117"/>
        <v>0</v>
      </c>
      <c r="V170" s="55">
        <f t="shared" si="117"/>
        <v>0</v>
      </c>
      <c r="W170" s="55">
        <f t="shared" si="117"/>
        <v>0</v>
      </c>
      <c r="X170" s="55">
        <f t="shared" si="117"/>
        <v>0</v>
      </c>
      <c r="Y170" s="55">
        <f t="shared" si="117"/>
        <v>0</v>
      </c>
      <c r="Z170" s="55">
        <f t="shared" si="117"/>
        <v>0</v>
      </c>
      <c r="AA170" s="55">
        <f t="shared" si="117"/>
        <v>0</v>
      </c>
      <c r="AB170" s="55">
        <f t="shared" si="117"/>
        <v>0</v>
      </c>
      <c r="AC170" s="55">
        <f t="shared" si="117"/>
        <v>0</v>
      </c>
      <c r="AD170" s="55">
        <f t="shared" si="117"/>
        <v>0</v>
      </c>
      <c r="AE170" s="55">
        <f t="shared" si="117"/>
        <v>0</v>
      </c>
      <c r="AF170" s="55">
        <f t="shared" si="117"/>
        <v>0</v>
      </c>
      <c r="AG170" s="55">
        <f t="shared" si="117"/>
        <v>0</v>
      </c>
      <c r="AH170" s="55">
        <f t="shared" si="117"/>
        <v>0</v>
      </c>
      <c r="AI170" s="55">
        <f t="shared" ref="AI170:BJ170" si="118">IF(AND(AI$127&gt;=$I62,AI$127&lt;$I62+$F62),INDEX($T62:$AI62,AI$127-$I62+1),0)</f>
        <v>0</v>
      </c>
      <c r="AJ170" s="55">
        <f t="shared" si="118"/>
        <v>0</v>
      </c>
      <c r="AK170" s="55">
        <f t="shared" si="118"/>
        <v>0</v>
      </c>
      <c r="AL170" s="55">
        <f t="shared" si="118"/>
        <v>0</v>
      </c>
      <c r="AM170" s="55">
        <f t="shared" si="118"/>
        <v>0</v>
      </c>
      <c r="AN170" s="55">
        <f t="shared" si="118"/>
        <v>0</v>
      </c>
      <c r="AO170" s="55">
        <f t="shared" si="118"/>
        <v>0</v>
      </c>
      <c r="AP170" s="55">
        <f t="shared" si="118"/>
        <v>0</v>
      </c>
      <c r="AQ170" s="55">
        <f t="shared" si="118"/>
        <v>0</v>
      </c>
      <c r="AR170" s="55">
        <f t="shared" si="118"/>
        <v>0</v>
      </c>
      <c r="AS170" s="55">
        <f t="shared" si="118"/>
        <v>0</v>
      </c>
      <c r="AT170" s="55">
        <f t="shared" si="118"/>
        <v>0</v>
      </c>
      <c r="AU170" s="55">
        <f t="shared" si="118"/>
        <v>0</v>
      </c>
      <c r="AV170" s="55">
        <f t="shared" si="118"/>
        <v>0</v>
      </c>
      <c r="AW170" s="55">
        <f t="shared" si="118"/>
        <v>0</v>
      </c>
      <c r="AX170" s="55">
        <f t="shared" si="118"/>
        <v>0</v>
      </c>
      <c r="AY170" s="55">
        <f t="shared" si="118"/>
        <v>0</v>
      </c>
      <c r="AZ170" s="55">
        <f t="shared" si="118"/>
        <v>0</v>
      </c>
      <c r="BA170" s="55">
        <f t="shared" si="118"/>
        <v>0</v>
      </c>
      <c r="BB170" s="55">
        <f t="shared" si="118"/>
        <v>0</v>
      </c>
      <c r="BC170" s="55">
        <f t="shared" si="118"/>
        <v>0</v>
      </c>
      <c r="BD170" s="55">
        <f t="shared" si="118"/>
        <v>0</v>
      </c>
      <c r="BE170" s="55">
        <f t="shared" si="118"/>
        <v>0</v>
      </c>
      <c r="BF170" s="55">
        <f t="shared" si="118"/>
        <v>0</v>
      </c>
      <c r="BG170" s="55">
        <f t="shared" si="118"/>
        <v>0</v>
      </c>
      <c r="BH170" s="55">
        <f t="shared" si="118"/>
        <v>0</v>
      </c>
      <c r="BI170" s="55">
        <f t="shared" si="118"/>
        <v>0</v>
      </c>
      <c r="BJ170" s="55">
        <f t="shared" si="118"/>
        <v>0</v>
      </c>
    </row>
    <row r="171" spans="1:62" x14ac:dyDescent="0.3">
      <c r="A171" s="53" t="str">
        <f t="shared" si="104"/>
        <v>project 78</v>
      </c>
      <c r="C171" s="55">
        <f t="shared" ref="C171:AH171" si="119">IF(AND(C$127&gt;=$I63,C$127&lt;$I63+$F63),INDEX($T63:$AI63,C$127-$I63+1),0)</f>
        <v>0</v>
      </c>
      <c r="D171" s="55">
        <f t="shared" si="119"/>
        <v>0</v>
      </c>
      <c r="E171" s="55">
        <f t="shared" si="119"/>
        <v>0</v>
      </c>
      <c r="F171" s="55">
        <f t="shared" si="119"/>
        <v>0</v>
      </c>
      <c r="G171" s="55">
        <f t="shared" si="119"/>
        <v>0</v>
      </c>
      <c r="H171" s="55">
        <f t="shared" si="119"/>
        <v>0</v>
      </c>
      <c r="I171" s="55">
        <f t="shared" si="119"/>
        <v>2.6953499999999999</v>
      </c>
      <c r="J171" s="55">
        <f t="shared" si="119"/>
        <v>13.2125</v>
      </c>
      <c r="K171" s="55">
        <f t="shared" si="119"/>
        <v>63.196341791618607</v>
      </c>
      <c r="L171" s="55">
        <f t="shared" si="119"/>
        <v>0</v>
      </c>
      <c r="M171" s="55">
        <f t="shared" si="119"/>
        <v>0</v>
      </c>
      <c r="N171" s="55">
        <f t="shared" si="119"/>
        <v>0</v>
      </c>
      <c r="O171" s="55">
        <f t="shared" si="119"/>
        <v>0</v>
      </c>
      <c r="P171" s="55">
        <f t="shared" si="119"/>
        <v>0</v>
      </c>
      <c r="Q171" s="55">
        <f t="shared" si="119"/>
        <v>0</v>
      </c>
      <c r="R171" s="55">
        <f t="shared" si="119"/>
        <v>0</v>
      </c>
      <c r="S171" s="55">
        <f t="shared" si="119"/>
        <v>0</v>
      </c>
      <c r="T171" s="55">
        <f t="shared" si="119"/>
        <v>0</v>
      </c>
      <c r="U171" s="55">
        <f t="shared" si="119"/>
        <v>0</v>
      </c>
      <c r="V171" s="55">
        <f t="shared" si="119"/>
        <v>0</v>
      </c>
      <c r="W171" s="55">
        <f t="shared" si="119"/>
        <v>0</v>
      </c>
      <c r="X171" s="55">
        <f t="shared" si="119"/>
        <v>0</v>
      </c>
      <c r="Y171" s="55">
        <f t="shared" si="119"/>
        <v>0</v>
      </c>
      <c r="Z171" s="55">
        <f t="shared" si="119"/>
        <v>0</v>
      </c>
      <c r="AA171" s="55">
        <f t="shared" si="119"/>
        <v>0</v>
      </c>
      <c r="AB171" s="55">
        <f t="shared" si="119"/>
        <v>0</v>
      </c>
      <c r="AC171" s="55">
        <f t="shared" si="119"/>
        <v>0</v>
      </c>
      <c r="AD171" s="55">
        <f t="shared" si="119"/>
        <v>0</v>
      </c>
      <c r="AE171" s="55">
        <f t="shared" si="119"/>
        <v>0</v>
      </c>
      <c r="AF171" s="55">
        <f t="shared" si="119"/>
        <v>0</v>
      </c>
      <c r="AG171" s="55">
        <f t="shared" si="119"/>
        <v>0</v>
      </c>
      <c r="AH171" s="55">
        <f t="shared" si="119"/>
        <v>0</v>
      </c>
      <c r="AI171" s="55">
        <f t="shared" ref="AI171:BJ171" si="120">IF(AND(AI$127&gt;=$I63,AI$127&lt;$I63+$F63),INDEX($T63:$AI63,AI$127-$I63+1),0)</f>
        <v>0</v>
      </c>
      <c r="AJ171" s="55">
        <f t="shared" si="120"/>
        <v>0</v>
      </c>
      <c r="AK171" s="55">
        <f t="shared" si="120"/>
        <v>0</v>
      </c>
      <c r="AL171" s="55">
        <f t="shared" si="120"/>
        <v>0</v>
      </c>
      <c r="AM171" s="55">
        <f t="shared" si="120"/>
        <v>0</v>
      </c>
      <c r="AN171" s="55">
        <f t="shared" si="120"/>
        <v>0</v>
      </c>
      <c r="AO171" s="55">
        <f t="shared" si="120"/>
        <v>0</v>
      </c>
      <c r="AP171" s="55">
        <f t="shared" si="120"/>
        <v>0</v>
      </c>
      <c r="AQ171" s="55">
        <f t="shared" si="120"/>
        <v>0</v>
      </c>
      <c r="AR171" s="55">
        <f t="shared" si="120"/>
        <v>0</v>
      </c>
      <c r="AS171" s="55">
        <f t="shared" si="120"/>
        <v>0</v>
      </c>
      <c r="AT171" s="55">
        <f t="shared" si="120"/>
        <v>0</v>
      </c>
      <c r="AU171" s="55">
        <f t="shared" si="120"/>
        <v>0</v>
      </c>
      <c r="AV171" s="55">
        <f t="shared" si="120"/>
        <v>0</v>
      </c>
      <c r="AW171" s="55">
        <f t="shared" si="120"/>
        <v>0</v>
      </c>
      <c r="AX171" s="55">
        <f t="shared" si="120"/>
        <v>0</v>
      </c>
      <c r="AY171" s="55">
        <f t="shared" si="120"/>
        <v>0</v>
      </c>
      <c r="AZ171" s="55">
        <f t="shared" si="120"/>
        <v>0</v>
      </c>
      <c r="BA171" s="55">
        <f t="shared" si="120"/>
        <v>0</v>
      </c>
      <c r="BB171" s="55">
        <f t="shared" si="120"/>
        <v>0</v>
      </c>
      <c r="BC171" s="55">
        <f t="shared" si="120"/>
        <v>0</v>
      </c>
      <c r="BD171" s="55">
        <f t="shared" si="120"/>
        <v>0</v>
      </c>
      <c r="BE171" s="55">
        <f t="shared" si="120"/>
        <v>0</v>
      </c>
      <c r="BF171" s="55">
        <f t="shared" si="120"/>
        <v>0</v>
      </c>
      <c r="BG171" s="55">
        <f t="shared" si="120"/>
        <v>0</v>
      </c>
      <c r="BH171" s="55">
        <f t="shared" si="120"/>
        <v>0</v>
      </c>
      <c r="BI171" s="55">
        <f t="shared" si="120"/>
        <v>0</v>
      </c>
      <c r="BJ171" s="55">
        <f t="shared" si="120"/>
        <v>0</v>
      </c>
    </row>
    <row r="172" spans="1:62" x14ac:dyDescent="0.3">
      <c r="A172" s="53" t="str">
        <f t="shared" si="104"/>
        <v>project 84</v>
      </c>
      <c r="C172" s="55">
        <f t="shared" ref="C172:AH172" si="121">IF(AND(C$127&gt;=$I64,C$127&lt;$I64+$F64),INDEX($T64:$AI64,C$127-$I64+1),0)</f>
        <v>0</v>
      </c>
      <c r="D172" s="55">
        <f t="shared" si="121"/>
        <v>0</v>
      </c>
      <c r="E172" s="55">
        <f t="shared" si="121"/>
        <v>0</v>
      </c>
      <c r="F172" s="55">
        <f t="shared" si="121"/>
        <v>0</v>
      </c>
      <c r="G172" s="55">
        <f t="shared" si="121"/>
        <v>0</v>
      </c>
      <c r="H172" s="55">
        <f t="shared" si="121"/>
        <v>0</v>
      </c>
      <c r="I172" s="55">
        <f t="shared" si="121"/>
        <v>0</v>
      </c>
      <c r="J172" s="55">
        <f t="shared" si="121"/>
        <v>0</v>
      </c>
      <c r="K172" s="55">
        <f t="shared" si="121"/>
        <v>0</v>
      </c>
      <c r="L172" s="55">
        <f t="shared" si="121"/>
        <v>0</v>
      </c>
      <c r="M172" s="55">
        <f t="shared" si="121"/>
        <v>0</v>
      </c>
      <c r="N172" s="55">
        <f t="shared" si="121"/>
        <v>0</v>
      </c>
      <c r="O172" s="55">
        <f t="shared" si="121"/>
        <v>0</v>
      </c>
      <c r="P172" s="55">
        <f t="shared" si="121"/>
        <v>0</v>
      </c>
      <c r="Q172" s="55">
        <f t="shared" si="121"/>
        <v>0</v>
      </c>
      <c r="R172" s="55">
        <f t="shared" si="121"/>
        <v>0</v>
      </c>
      <c r="S172" s="55">
        <f t="shared" si="121"/>
        <v>1.149563725490196</v>
      </c>
      <c r="T172" s="55">
        <f t="shared" si="121"/>
        <v>0</v>
      </c>
      <c r="U172" s="55">
        <f t="shared" si="121"/>
        <v>0</v>
      </c>
      <c r="V172" s="55">
        <f t="shared" si="121"/>
        <v>0</v>
      </c>
      <c r="W172" s="55">
        <f t="shared" si="121"/>
        <v>0</v>
      </c>
      <c r="X172" s="55">
        <f t="shared" si="121"/>
        <v>0</v>
      </c>
      <c r="Y172" s="55">
        <f t="shared" si="121"/>
        <v>0</v>
      </c>
      <c r="Z172" s="55">
        <f t="shared" si="121"/>
        <v>0</v>
      </c>
      <c r="AA172" s="55">
        <f t="shared" si="121"/>
        <v>0</v>
      </c>
      <c r="AB172" s="55">
        <f t="shared" si="121"/>
        <v>0</v>
      </c>
      <c r="AC172" s="55">
        <f t="shared" si="121"/>
        <v>0</v>
      </c>
      <c r="AD172" s="55">
        <f t="shared" si="121"/>
        <v>0</v>
      </c>
      <c r="AE172" s="55">
        <f t="shared" si="121"/>
        <v>0</v>
      </c>
      <c r="AF172" s="55">
        <f t="shared" si="121"/>
        <v>0</v>
      </c>
      <c r="AG172" s="55">
        <f t="shared" si="121"/>
        <v>0</v>
      </c>
      <c r="AH172" s="55">
        <f t="shared" si="121"/>
        <v>0</v>
      </c>
      <c r="AI172" s="55">
        <f t="shared" ref="AI172:BJ172" si="122">IF(AND(AI$127&gt;=$I64,AI$127&lt;$I64+$F64),INDEX($T64:$AI64,AI$127-$I64+1),0)</f>
        <v>0</v>
      </c>
      <c r="AJ172" s="55">
        <f t="shared" si="122"/>
        <v>0</v>
      </c>
      <c r="AK172" s="55">
        <f t="shared" si="122"/>
        <v>0</v>
      </c>
      <c r="AL172" s="55">
        <f t="shared" si="122"/>
        <v>0</v>
      </c>
      <c r="AM172" s="55">
        <f t="shared" si="122"/>
        <v>0</v>
      </c>
      <c r="AN172" s="55">
        <f t="shared" si="122"/>
        <v>0</v>
      </c>
      <c r="AO172" s="55">
        <f t="shared" si="122"/>
        <v>0</v>
      </c>
      <c r="AP172" s="55">
        <f t="shared" si="122"/>
        <v>0</v>
      </c>
      <c r="AQ172" s="55">
        <f t="shared" si="122"/>
        <v>0</v>
      </c>
      <c r="AR172" s="55">
        <f t="shared" si="122"/>
        <v>0</v>
      </c>
      <c r="AS172" s="55">
        <f t="shared" si="122"/>
        <v>0</v>
      </c>
      <c r="AT172" s="55">
        <f t="shared" si="122"/>
        <v>0</v>
      </c>
      <c r="AU172" s="55">
        <f t="shared" si="122"/>
        <v>0</v>
      </c>
      <c r="AV172" s="55">
        <f t="shared" si="122"/>
        <v>0</v>
      </c>
      <c r="AW172" s="55">
        <f t="shared" si="122"/>
        <v>0</v>
      </c>
      <c r="AX172" s="55">
        <f t="shared" si="122"/>
        <v>0</v>
      </c>
      <c r="AY172" s="55">
        <f t="shared" si="122"/>
        <v>0</v>
      </c>
      <c r="AZ172" s="55">
        <f t="shared" si="122"/>
        <v>0</v>
      </c>
      <c r="BA172" s="55">
        <f t="shared" si="122"/>
        <v>0</v>
      </c>
      <c r="BB172" s="55">
        <f t="shared" si="122"/>
        <v>0</v>
      </c>
      <c r="BC172" s="55">
        <f t="shared" si="122"/>
        <v>0</v>
      </c>
      <c r="BD172" s="55">
        <f t="shared" si="122"/>
        <v>0</v>
      </c>
      <c r="BE172" s="55">
        <f t="shared" si="122"/>
        <v>0</v>
      </c>
      <c r="BF172" s="55">
        <f t="shared" si="122"/>
        <v>0</v>
      </c>
      <c r="BG172" s="55">
        <f t="shared" si="122"/>
        <v>0</v>
      </c>
      <c r="BH172" s="55">
        <f t="shared" si="122"/>
        <v>0</v>
      </c>
      <c r="BI172" s="55">
        <f t="shared" si="122"/>
        <v>0</v>
      </c>
      <c r="BJ172" s="55">
        <f t="shared" si="122"/>
        <v>0</v>
      </c>
    </row>
    <row r="173" spans="1:62" x14ac:dyDescent="0.3">
      <c r="A173" s="53" t="str">
        <f t="shared" si="104"/>
        <v>project 87</v>
      </c>
      <c r="C173" s="55">
        <f t="shared" ref="C173:AH173" si="123">IF(AND(C$127&gt;=$I65,C$127&lt;$I65+$F65),INDEX($T65:$AI65,C$127-$I65+1),0)</f>
        <v>0</v>
      </c>
      <c r="D173" s="55">
        <f t="shared" si="123"/>
        <v>0</v>
      </c>
      <c r="E173" s="55">
        <f t="shared" si="123"/>
        <v>0</v>
      </c>
      <c r="F173" s="55">
        <f t="shared" si="123"/>
        <v>0</v>
      </c>
      <c r="G173" s="55">
        <f t="shared" si="123"/>
        <v>0</v>
      </c>
      <c r="H173" s="55">
        <f t="shared" si="123"/>
        <v>0</v>
      </c>
      <c r="I173" s="55">
        <f t="shared" si="123"/>
        <v>0</v>
      </c>
      <c r="J173" s="55">
        <f t="shared" si="123"/>
        <v>0</v>
      </c>
      <c r="K173" s="55">
        <f t="shared" si="123"/>
        <v>0</v>
      </c>
      <c r="L173" s="55">
        <f t="shared" si="123"/>
        <v>0</v>
      </c>
      <c r="M173" s="55">
        <f t="shared" si="123"/>
        <v>0</v>
      </c>
      <c r="N173" s="55">
        <f t="shared" si="123"/>
        <v>1.6885235294117651</v>
      </c>
      <c r="O173" s="55">
        <f t="shared" si="123"/>
        <v>12.394360822760479</v>
      </c>
      <c r="P173" s="55">
        <f t="shared" si="123"/>
        <v>21.74089528160361</v>
      </c>
      <c r="Q173" s="55">
        <f t="shared" si="123"/>
        <v>0</v>
      </c>
      <c r="R173" s="55">
        <f t="shared" si="123"/>
        <v>0</v>
      </c>
      <c r="S173" s="55">
        <f t="shared" si="123"/>
        <v>0</v>
      </c>
      <c r="T173" s="55">
        <f t="shared" si="123"/>
        <v>0</v>
      </c>
      <c r="U173" s="55">
        <f t="shared" si="123"/>
        <v>0</v>
      </c>
      <c r="V173" s="55">
        <f t="shared" si="123"/>
        <v>0</v>
      </c>
      <c r="W173" s="55">
        <f t="shared" si="123"/>
        <v>0</v>
      </c>
      <c r="X173" s="55">
        <f t="shared" si="123"/>
        <v>0</v>
      </c>
      <c r="Y173" s="55">
        <f t="shared" si="123"/>
        <v>0</v>
      </c>
      <c r="Z173" s="55">
        <f t="shared" si="123"/>
        <v>0</v>
      </c>
      <c r="AA173" s="55">
        <f t="shared" si="123"/>
        <v>0</v>
      </c>
      <c r="AB173" s="55">
        <f t="shared" si="123"/>
        <v>0</v>
      </c>
      <c r="AC173" s="55">
        <f t="shared" si="123"/>
        <v>0</v>
      </c>
      <c r="AD173" s="55">
        <f t="shared" si="123"/>
        <v>0</v>
      </c>
      <c r="AE173" s="55">
        <f t="shared" si="123"/>
        <v>0</v>
      </c>
      <c r="AF173" s="55">
        <f t="shared" si="123"/>
        <v>0</v>
      </c>
      <c r="AG173" s="55">
        <f t="shared" si="123"/>
        <v>0</v>
      </c>
      <c r="AH173" s="55">
        <f t="shared" si="123"/>
        <v>0</v>
      </c>
      <c r="AI173" s="55">
        <f t="shared" ref="AI173:BJ173" si="124">IF(AND(AI$127&gt;=$I65,AI$127&lt;$I65+$F65),INDEX($T65:$AI65,AI$127-$I65+1),0)</f>
        <v>0</v>
      </c>
      <c r="AJ173" s="55">
        <f t="shared" si="124"/>
        <v>0</v>
      </c>
      <c r="AK173" s="55">
        <f t="shared" si="124"/>
        <v>0</v>
      </c>
      <c r="AL173" s="55">
        <f t="shared" si="124"/>
        <v>0</v>
      </c>
      <c r="AM173" s="55">
        <f t="shared" si="124"/>
        <v>0</v>
      </c>
      <c r="AN173" s="55">
        <f t="shared" si="124"/>
        <v>0</v>
      </c>
      <c r="AO173" s="55">
        <f t="shared" si="124"/>
        <v>0</v>
      </c>
      <c r="AP173" s="55">
        <f t="shared" si="124"/>
        <v>0</v>
      </c>
      <c r="AQ173" s="55">
        <f t="shared" si="124"/>
        <v>0</v>
      </c>
      <c r="AR173" s="55">
        <f t="shared" si="124"/>
        <v>0</v>
      </c>
      <c r="AS173" s="55">
        <f t="shared" si="124"/>
        <v>0</v>
      </c>
      <c r="AT173" s="55">
        <f t="shared" si="124"/>
        <v>0</v>
      </c>
      <c r="AU173" s="55">
        <f t="shared" si="124"/>
        <v>0</v>
      </c>
      <c r="AV173" s="55">
        <f t="shared" si="124"/>
        <v>0</v>
      </c>
      <c r="AW173" s="55">
        <f t="shared" si="124"/>
        <v>0</v>
      </c>
      <c r="AX173" s="55">
        <f t="shared" si="124"/>
        <v>0</v>
      </c>
      <c r="AY173" s="55">
        <f t="shared" si="124"/>
        <v>0</v>
      </c>
      <c r="AZ173" s="55">
        <f t="shared" si="124"/>
        <v>0</v>
      </c>
      <c r="BA173" s="55">
        <f t="shared" si="124"/>
        <v>0</v>
      </c>
      <c r="BB173" s="55">
        <f t="shared" si="124"/>
        <v>0</v>
      </c>
      <c r="BC173" s="55">
        <f t="shared" si="124"/>
        <v>0</v>
      </c>
      <c r="BD173" s="55">
        <f t="shared" si="124"/>
        <v>0</v>
      </c>
      <c r="BE173" s="55">
        <f t="shared" si="124"/>
        <v>0</v>
      </c>
      <c r="BF173" s="55">
        <f t="shared" si="124"/>
        <v>0</v>
      </c>
      <c r="BG173" s="55">
        <f t="shared" si="124"/>
        <v>0</v>
      </c>
      <c r="BH173" s="55">
        <f t="shared" si="124"/>
        <v>0</v>
      </c>
      <c r="BI173" s="55">
        <f t="shared" si="124"/>
        <v>0</v>
      </c>
      <c r="BJ173" s="55">
        <f t="shared" si="124"/>
        <v>0</v>
      </c>
    </row>
    <row r="174" spans="1:62" x14ac:dyDescent="0.3">
      <c r="A174" s="53" t="str">
        <f t="shared" si="104"/>
        <v>project 90</v>
      </c>
      <c r="C174" s="55">
        <f t="shared" ref="C174:AH174" si="125">IF(AND(C$127&gt;=$I66,C$127&lt;$I66+$F66),INDEX($T66:$AI66,C$127-$I66+1),0)</f>
        <v>2.4808750000000002</v>
      </c>
      <c r="D174" s="55">
        <f t="shared" si="125"/>
        <v>7.8944852941176462</v>
      </c>
      <c r="E174" s="55">
        <f t="shared" si="125"/>
        <v>5.9717416378316033</v>
      </c>
      <c r="F174" s="55">
        <f t="shared" si="125"/>
        <v>0</v>
      </c>
      <c r="G174" s="55">
        <f t="shared" si="125"/>
        <v>0</v>
      </c>
      <c r="H174" s="55">
        <f t="shared" si="125"/>
        <v>0</v>
      </c>
      <c r="I174" s="55">
        <f t="shared" si="125"/>
        <v>0</v>
      </c>
      <c r="J174" s="55">
        <f t="shared" si="125"/>
        <v>0</v>
      </c>
      <c r="K174" s="55">
        <f t="shared" si="125"/>
        <v>0</v>
      </c>
      <c r="L174" s="55">
        <f t="shared" si="125"/>
        <v>0</v>
      </c>
      <c r="M174" s="55">
        <f t="shared" si="125"/>
        <v>0</v>
      </c>
      <c r="N174" s="55">
        <f t="shared" si="125"/>
        <v>0</v>
      </c>
      <c r="O174" s="55">
        <f t="shared" si="125"/>
        <v>0</v>
      </c>
      <c r="P174" s="55">
        <f t="shared" si="125"/>
        <v>0</v>
      </c>
      <c r="Q174" s="55">
        <f t="shared" si="125"/>
        <v>0</v>
      </c>
      <c r="R174" s="55">
        <f t="shared" si="125"/>
        <v>0</v>
      </c>
      <c r="S174" s="55">
        <f t="shared" si="125"/>
        <v>0</v>
      </c>
      <c r="T174" s="55">
        <f t="shared" si="125"/>
        <v>0</v>
      </c>
      <c r="U174" s="55">
        <f t="shared" si="125"/>
        <v>0</v>
      </c>
      <c r="V174" s="55">
        <f t="shared" si="125"/>
        <v>0</v>
      </c>
      <c r="W174" s="55">
        <f t="shared" si="125"/>
        <v>0</v>
      </c>
      <c r="X174" s="55">
        <f t="shared" si="125"/>
        <v>0</v>
      </c>
      <c r="Y174" s="55">
        <f t="shared" si="125"/>
        <v>0</v>
      </c>
      <c r="Z174" s="55">
        <f t="shared" si="125"/>
        <v>0</v>
      </c>
      <c r="AA174" s="55">
        <f t="shared" si="125"/>
        <v>0</v>
      </c>
      <c r="AB174" s="55">
        <f t="shared" si="125"/>
        <v>0</v>
      </c>
      <c r="AC174" s="55">
        <f t="shared" si="125"/>
        <v>0</v>
      </c>
      <c r="AD174" s="55">
        <f t="shared" si="125"/>
        <v>0</v>
      </c>
      <c r="AE174" s="55">
        <f t="shared" si="125"/>
        <v>0</v>
      </c>
      <c r="AF174" s="55">
        <f t="shared" si="125"/>
        <v>0</v>
      </c>
      <c r="AG174" s="55">
        <f t="shared" si="125"/>
        <v>0</v>
      </c>
      <c r="AH174" s="55">
        <f t="shared" si="125"/>
        <v>0</v>
      </c>
      <c r="AI174" s="55">
        <f t="shared" ref="AI174:BJ174" si="126">IF(AND(AI$127&gt;=$I66,AI$127&lt;$I66+$F66),INDEX($T66:$AI66,AI$127-$I66+1),0)</f>
        <v>0</v>
      </c>
      <c r="AJ174" s="55">
        <f t="shared" si="126"/>
        <v>0</v>
      </c>
      <c r="AK174" s="55">
        <f t="shared" si="126"/>
        <v>0</v>
      </c>
      <c r="AL174" s="55">
        <f t="shared" si="126"/>
        <v>0</v>
      </c>
      <c r="AM174" s="55">
        <f t="shared" si="126"/>
        <v>0</v>
      </c>
      <c r="AN174" s="55">
        <f t="shared" si="126"/>
        <v>0</v>
      </c>
      <c r="AO174" s="55">
        <f t="shared" si="126"/>
        <v>0</v>
      </c>
      <c r="AP174" s="55">
        <f t="shared" si="126"/>
        <v>0</v>
      </c>
      <c r="AQ174" s="55">
        <f t="shared" si="126"/>
        <v>0</v>
      </c>
      <c r="AR174" s="55">
        <f t="shared" si="126"/>
        <v>0</v>
      </c>
      <c r="AS174" s="55">
        <f t="shared" si="126"/>
        <v>0</v>
      </c>
      <c r="AT174" s="55">
        <f t="shared" si="126"/>
        <v>0</v>
      </c>
      <c r="AU174" s="55">
        <f t="shared" si="126"/>
        <v>0</v>
      </c>
      <c r="AV174" s="55">
        <f t="shared" si="126"/>
        <v>0</v>
      </c>
      <c r="AW174" s="55">
        <f t="shared" si="126"/>
        <v>0</v>
      </c>
      <c r="AX174" s="55">
        <f t="shared" si="126"/>
        <v>0</v>
      </c>
      <c r="AY174" s="55">
        <f t="shared" si="126"/>
        <v>0</v>
      </c>
      <c r="AZ174" s="55">
        <f t="shared" si="126"/>
        <v>0</v>
      </c>
      <c r="BA174" s="55">
        <f t="shared" si="126"/>
        <v>0</v>
      </c>
      <c r="BB174" s="55">
        <f t="shared" si="126"/>
        <v>0</v>
      </c>
      <c r="BC174" s="55">
        <f t="shared" si="126"/>
        <v>0</v>
      </c>
      <c r="BD174" s="55">
        <f t="shared" si="126"/>
        <v>0</v>
      </c>
      <c r="BE174" s="55">
        <f t="shared" si="126"/>
        <v>0</v>
      </c>
      <c r="BF174" s="55">
        <f t="shared" si="126"/>
        <v>0</v>
      </c>
      <c r="BG174" s="55">
        <f t="shared" si="126"/>
        <v>0</v>
      </c>
      <c r="BH174" s="55">
        <f t="shared" si="126"/>
        <v>0</v>
      </c>
      <c r="BI174" s="55">
        <f t="shared" si="126"/>
        <v>0</v>
      </c>
      <c r="BJ174" s="55">
        <f t="shared" si="126"/>
        <v>0</v>
      </c>
    </row>
    <row r="175" spans="1:62" x14ac:dyDescent="0.3">
      <c r="A175" s="53" t="str">
        <f t="shared" si="104"/>
        <v>project 91</v>
      </c>
      <c r="C175" s="55">
        <f t="shared" ref="C175:AH175" si="127">IF(AND(C$127&gt;=$I67,C$127&lt;$I67+$F67),INDEX($T67:$AI67,C$127-$I67+1),0)</f>
        <v>0</v>
      </c>
      <c r="D175" s="55">
        <f t="shared" si="127"/>
        <v>0</v>
      </c>
      <c r="E175" s="55">
        <f t="shared" si="127"/>
        <v>0</v>
      </c>
      <c r="F175" s="55">
        <f t="shared" si="127"/>
        <v>0</v>
      </c>
      <c r="G175" s="55">
        <f t="shared" si="127"/>
        <v>0</v>
      </c>
      <c r="H175" s="55">
        <f t="shared" si="127"/>
        <v>0</v>
      </c>
      <c r="I175" s="55">
        <f t="shared" si="127"/>
        <v>0.4245162117134435</v>
      </c>
      <c r="J175" s="55">
        <f t="shared" si="127"/>
        <v>0</v>
      </c>
      <c r="K175" s="55">
        <f t="shared" si="127"/>
        <v>4.9362329135730416</v>
      </c>
      <c r="L175" s="55">
        <f t="shared" si="127"/>
        <v>4.8394440329147468</v>
      </c>
      <c r="M175" s="55">
        <f t="shared" si="127"/>
        <v>0</v>
      </c>
      <c r="N175" s="55">
        <f t="shared" si="127"/>
        <v>0</v>
      </c>
      <c r="O175" s="55">
        <f t="shared" si="127"/>
        <v>0</v>
      </c>
      <c r="P175" s="55">
        <f t="shared" si="127"/>
        <v>0</v>
      </c>
      <c r="Q175" s="55">
        <f t="shared" si="127"/>
        <v>0</v>
      </c>
      <c r="R175" s="55">
        <f t="shared" si="127"/>
        <v>0</v>
      </c>
      <c r="S175" s="55">
        <f t="shared" si="127"/>
        <v>0</v>
      </c>
      <c r="T175" s="55">
        <f t="shared" si="127"/>
        <v>0</v>
      </c>
      <c r="U175" s="55">
        <f t="shared" si="127"/>
        <v>0</v>
      </c>
      <c r="V175" s="55">
        <f t="shared" si="127"/>
        <v>0</v>
      </c>
      <c r="W175" s="55">
        <f t="shared" si="127"/>
        <v>0</v>
      </c>
      <c r="X175" s="55">
        <f t="shared" si="127"/>
        <v>0</v>
      </c>
      <c r="Y175" s="55">
        <f t="shared" si="127"/>
        <v>0</v>
      </c>
      <c r="Z175" s="55">
        <f t="shared" si="127"/>
        <v>0</v>
      </c>
      <c r="AA175" s="55">
        <f t="shared" si="127"/>
        <v>0</v>
      </c>
      <c r="AB175" s="55">
        <f t="shared" si="127"/>
        <v>0</v>
      </c>
      <c r="AC175" s="55">
        <f t="shared" si="127"/>
        <v>0</v>
      </c>
      <c r="AD175" s="55">
        <f t="shared" si="127"/>
        <v>0</v>
      </c>
      <c r="AE175" s="55">
        <f t="shared" si="127"/>
        <v>0</v>
      </c>
      <c r="AF175" s="55">
        <f t="shared" si="127"/>
        <v>0</v>
      </c>
      <c r="AG175" s="55">
        <f t="shared" si="127"/>
        <v>0</v>
      </c>
      <c r="AH175" s="55">
        <f t="shared" si="127"/>
        <v>0</v>
      </c>
      <c r="AI175" s="55">
        <f t="shared" ref="AI175:BJ175" si="128">IF(AND(AI$127&gt;=$I67,AI$127&lt;$I67+$F67),INDEX($T67:$AI67,AI$127-$I67+1),0)</f>
        <v>0</v>
      </c>
      <c r="AJ175" s="55">
        <f t="shared" si="128"/>
        <v>0</v>
      </c>
      <c r="AK175" s="55">
        <f t="shared" si="128"/>
        <v>0</v>
      </c>
      <c r="AL175" s="55">
        <f t="shared" si="128"/>
        <v>0</v>
      </c>
      <c r="AM175" s="55">
        <f t="shared" si="128"/>
        <v>0</v>
      </c>
      <c r="AN175" s="55">
        <f t="shared" si="128"/>
        <v>0</v>
      </c>
      <c r="AO175" s="55">
        <f t="shared" si="128"/>
        <v>0</v>
      </c>
      <c r="AP175" s="55">
        <f t="shared" si="128"/>
        <v>0</v>
      </c>
      <c r="AQ175" s="55">
        <f t="shared" si="128"/>
        <v>0</v>
      </c>
      <c r="AR175" s="55">
        <f t="shared" si="128"/>
        <v>0</v>
      </c>
      <c r="AS175" s="55">
        <f t="shared" si="128"/>
        <v>0</v>
      </c>
      <c r="AT175" s="55">
        <f t="shared" si="128"/>
        <v>0</v>
      </c>
      <c r="AU175" s="55">
        <f t="shared" si="128"/>
        <v>0</v>
      </c>
      <c r="AV175" s="55">
        <f t="shared" si="128"/>
        <v>0</v>
      </c>
      <c r="AW175" s="55">
        <f t="shared" si="128"/>
        <v>0</v>
      </c>
      <c r="AX175" s="55">
        <f t="shared" si="128"/>
        <v>0</v>
      </c>
      <c r="AY175" s="55">
        <f t="shared" si="128"/>
        <v>0</v>
      </c>
      <c r="AZ175" s="55">
        <f t="shared" si="128"/>
        <v>0</v>
      </c>
      <c r="BA175" s="55">
        <f t="shared" si="128"/>
        <v>0</v>
      </c>
      <c r="BB175" s="55">
        <f t="shared" si="128"/>
        <v>0</v>
      </c>
      <c r="BC175" s="55">
        <f t="shared" si="128"/>
        <v>0</v>
      </c>
      <c r="BD175" s="55">
        <f t="shared" si="128"/>
        <v>0</v>
      </c>
      <c r="BE175" s="55">
        <f t="shared" si="128"/>
        <v>0</v>
      </c>
      <c r="BF175" s="55">
        <f t="shared" si="128"/>
        <v>0</v>
      </c>
      <c r="BG175" s="55">
        <f t="shared" si="128"/>
        <v>0</v>
      </c>
      <c r="BH175" s="55">
        <f t="shared" si="128"/>
        <v>0</v>
      </c>
      <c r="BI175" s="55">
        <f t="shared" si="128"/>
        <v>0</v>
      </c>
      <c r="BJ175" s="55">
        <f t="shared" si="128"/>
        <v>0</v>
      </c>
    </row>
    <row r="176" spans="1:62" x14ac:dyDescent="0.3">
      <c r="A176" s="53" t="str">
        <f t="shared" si="104"/>
        <v>project 92</v>
      </c>
      <c r="C176" s="55">
        <f t="shared" ref="C176:AH176" si="129">IF(AND(C$127&gt;=$I68,C$127&lt;$I68+$F68),INDEX($T68:$AI68,C$127-$I68+1),0)</f>
        <v>0.29325000000000001</v>
      </c>
      <c r="D176" s="55">
        <f t="shared" si="129"/>
        <v>1.3512500000000001</v>
      </c>
      <c r="E176" s="55">
        <f t="shared" si="129"/>
        <v>2.9411764705882359</v>
      </c>
      <c r="F176" s="55">
        <f t="shared" si="129"/>
        <v>4.6160130718954244</v>
      </c>
      <c r="G176" s="55">
        <f t="shared" si="129"/>
        <v>4.5255030116621811</v>
      </c>
      <c r="H176" s="55">
        <f t="shared" si="129"/>
        <v>0</v>
      </c>
      <c r="I176" s="55">
        <f t="shared" si="129"/>
        <v>0</v>
      </c>
      <c r="J176" s="55">
        <f t="shared" si="129"/>
        <v>0</v>
      </c>
      <c r="K176" s="55">
        <f t="shared" si="129"/>
        <v>0</v>
      </c>
      <c r="L176" s="55">
        <f t="shared" si="129"/>
        <v>0</v>
      </c>
      <c r="M176" s="55">
        <f t="shared" si="129"/>
        <v>0</v>
      </c>
      <c r="N176" s="55">
        <f t="shared" si="129"/>
        <v>0</v>
      </c>
      <c r="O176" s="55">
        <f t="shared" si="129"/>
        <v>0</v>
      </c>
      <c r="P176" s="55">
        <f t="shared" si="129"/>
        <v>0</v>
      </c>
      <c r="Q176" s="55">
        <f t="shared" si="129"/>
        <v>0</v>
      </c>
      <c r="R176" s="55">
        <f t="shared" si="129"/>
        <v>0</v>
      </c>
      <c r="S176" s="55">
        <f t="shared" si="129"/>
        <v>0</v>
      </c>
      <c r="T176" s="55">
        <f t="shared" si="129"/>
        <v>0</v>
      </c>
      <c r="U176" s="55">
        <f t="shared" si="129"/>
        <v>0</v>
      </c>
      <c r="V176" s="55">
        <f t="shared" si="129"/>
        <v>0</v>
      </c>
      <c r="W176" s="55">
        <f t="shared" si="129"/>
        <v>0</v>
      </c>
      <c r="X176" s="55">
        <f t="shared" si="129"/>
        <v>0</v>
      </c>
      <c r="Y176" s="55">
        <f t="shared" si="129"/>
        <v>0</v>
      </c>
      <c r="Z176" s="55">
        <f t="shared" si="129"/>
        <v>0</v>
      </c>
      <c r="AA176" s="55">
        <f t="shared" si="129"/>
        <v>0</v>
      </c>
      <c r="AB176" s="55">
        <f t="shared" si="129"/>
        <v>0</v>
      </c>
      <c r="AC176" s="55">
        <f t="shared" si="129"/>
        <v>0</v>
      </c>
      <c r="AD176" s="55">
        <f t="shared" si="129"/>
        <v>0</v>
      </c>
      <c r="AE176" s="55">
        <f t="shared" si="129"/>
        <v>0</v>
      </c>
      <c r="AF176" s="55">
        <f t="shared" si="129"/>
        <v>0</v>
      </c>
      <c r="AG176" s="55">
        <f t="shared" si="129"/>
        <v>0</v>
      </c>
      <c r="AH176" s="55">
        <f t="shared" si="129"/>
        <v>0</v>
      </c>
      <c r="AI176" s="55">
        <f t="shared" ref="AI176:BJ176" si="130">IF(AND(AI$127&gt;=$I68,AI$127&lt;$I68+$F68),INDEX($T68:$AI68,AI$127-$I68+1),0)</f>
        <v>0</v>
      </c>
      <c r="AJ176" s="55">
        <f t="shared" si="130"/>
        <v>0</v>
      </c>
      <c r="AK176" s="55">
        <f t="shared" si="130"/>
        <v>0</v>
      </c>
      <c r="AL176" s="55">
        <f t="shared" si="130"/>
        <v>0</v>
      </c>
      <c r="AM176" s="55">
        <f t="shared" si="130"/>
        <v>0</v>
      </c>
      <c r="AN176" s="55">
        <f t="shared" si="130"/>
        <v>0</v>
      </c>
      <c r="AO176" s="55">
        <f t="shared" si="130"/>
        <v>0</v>
      </c>
      <c r="AP176" s="55">
        <f t="shared" si="130"/>
        <v>0</v>
      </c>
      <c r="AQ176" s="55">
        <f t="shared" si="130"/>
        <v>0</v>
      </c>
      <c r="AR176" s="55">
        <f t="shared" si="130"/>
        <v>0</v>
      </c>
      <c r="AS176" s="55">
        <f t="shared" si="130"/>
        <v>0</v>
      </c>
      <c r="AT176" s="55">
        <f t="shared" si="130"/>
        <v>0</v>
      </c>
      <c r="AU176" s="55">
        <f t="shared" si="130"/>
        <v>0</v>
      </c>
      <c r="AV176" s="55">
        <f t="shared" si="130"/>
        <v>0</v>
      </c>
      <c r="AW176" s="55">
        <f t="shared" si="130"/>
        <v>0</v>
      </c>
      <c r="AX176" s="55">
        <f t="shared" si="130"/>
        <v>0</v>
      </c>
      <c r="AY176" s="55">
        <f t="shared" si="130"/>
        <v>0</v>
      </c>
      <c r="AZ176" s="55">
        <f t="shared" si="130"/>
        <v>0</v>
      </c>
      <c r="BA176" s="55">
        <f t="shared" si="130"/>
        <v>0</v>
      </c>
      <c r="BB176" s="55">
        <f t="shared" si="130"/>
        <v>0</v>
      </c>
      <c r="BC176" s="55">
        <f t="shared" si="130"/>
        <v>0</v>
      </c>
      <c r="BD176" s="55">
        <f t="shared" si="130"/>
        <v>0</v>
      </c>
      <c r="BE176" s="55">
        <f t="shared" si="130"/>
        <v>0</v>
      </c>
      <c r="BF176" s="55">
        <f t="shared" si="130"/>
        <v>0</v>
      </c>
      <c r="BG176" s="55">
        <f t="shared" si="130"/>
        <v>0</v>
      </c>
      <c r="BH176" s="55">
        <f t="shared" si="130"/>
        <v>0</v>
      </c>
      <c r="BI176" s="55">
        <f t="shared" si="130"/>
        <v>0</v>
      </c>
      <c r="BJ176" s="55">
        <f t="shared" si="130"/>
        <v>0</v>
      </c>
    </row>
    <row r="177" spans="1:62" x14ac:dyDescent="0.3">
      <c r="A177" s="53" t="str">
        <f t="shared" si="104"/>
        <v>project 98</v>
      </c>
      <c r="C177" s="55">
        <f t="shared" ref="C177:AH177" si="131">IF(AND(C$127&gt;=$I69,C$127&lt;$I69+$F69),INDEX($T69:$AI69,C$127-$I69+1),0)</f>
        <v>0</v>
      </c>
      <c r="D177" s="55">
        <f t="shared" si="131"/>
        <v>0</v>
      </c>
      <c r="E177" s="55">
        <f t="shared" si="131"/>
        <v>0</v>
      </c>
      <c r="F177" s="55">
        <f t="shared" si="131"/>
        <v>0</v>
      </c>
      <c r="G177" s="55">
        <f t="shared" si="131"/>
        <v>0</v>
      </c>
      <c r="H177" s="55">
        <f t="shared" si="131"/>
        <v>0</v>
      </c>
      <c r="I177" s="55">
        <f t="shared" si="131"/>
        <v>0</v>
      </c>
      <c r="J177" s="55">
        <f t="shared" si="131"/>
        <v>0</v>
      </c>
      <c r="K177" s="55">
        <f t="shared" si="131"/>
        <v>0</v>
      </c>
      <c r="L177" s="55">
        <f t="shared" si="131"/>
        <v>0</v>
      </c>
      <c r="M177" s="55">
        <f t="shared" si="131"/>
        <v>0</v>
      </c>
      <c r="N177" s="55">
        <f t="shared" si="131"/>
        <v>0</v>
      </c>
      <c r="O177" s="55">
        <f t="shared" si="131"/>
        <v>32.593137254901961</v>
      </c>
      <c r="P177" s="55">
        <f t="shared" si="131"/>
        <v>0</v>
      </c>
      <c r="Q177" s="55">
        <f t="shared" si="131"/>
        <v>0</v>
      </c>
      <c r="R177" s="55">
        <f t="shared" si="131"/>
        <v>0</v>
      </c>
      <c r="S177" s="55">
        <f t="shared" si="131"/>
        <v>0</v>
      </c>
      <c r="T177" s="55">
        <f t="shared" si="131"/>
        <v>0</v>
      </c>
      <c r="U177" s="55">
        <f t="shared" si="131"/>
        <v>0</v>
      </c>
      <c r="V177" s="55">
        <f t="shared" si="131"/>
        <v>0</v>
      </c>
      <c r="W177" s="55">
        <f t="shared" si="131"/>
        <v>0</v>
      </c>
      <c r="X177" s="55">
        <f t="shared" si="131"/>
        <v>0</v>
      </c>
      <c r="Y177" s="55">
        <f t="shared" si="131"/>
        <v>0</v>
      </c>
      <c r="Z177" s="55">
        <f t="shared" si="131"/>
        <v>0</v>
      </c>
      <c r="AA177" s="55">
        <f t="shared" si="131"/>
        <v>0</v>
      </c>
      <c r="AB177" s="55">
        <f t="shared" si="131"/>
        <v>0</v>
      </c>
      <c r="AC177" s="55">
        <f t="shared" si="131"/>
        <v>0</v>
      </c>
      <c r="AD177" s="55">
        <f t="shared" si="131"/>
        <v>0</v>
      </c>
      <c r="AE177" s="55">
        <f t="shared" si="131"/>
        <v>0</v>
      </c>
      <c r="AF177" s="55">
        <f t="shared" si="131"/>
        <v>0</v>
      </c>
      <c r="AG177" s="55">
        <f t="shared" si="131"/>
        <v>0</v>
      </c>
      <c r="AH177" s="55">
        <f t="shared" si="131"/>
        <v>0</v>
      </c>
      <c r="AI177" s="55">
        <f t="shared" ref="AI177:BJ177" si="132">IF(AND(AI$127&gt;=$I69,AI$127&lt;$I69+$F69),INDEX($T69:$AI69,AI$127-$I69+1),0)</f>
        <v>0</v>
      </c>
      <c r="AJ177" s="55">
        <f t="shared" si="132"/>
        <v>0</v>
      </c>
      <c r="AK177" s="55">
        <f t="shared" si="132"/>
        <v>0</v>
      </c>
      <c r="AL177" s="55">
        <f t="shared" si="132"/>
        <v>0</v>
      </c>
      <c r="AM177" s="55">
        <f t="shared" si="132"/>
        <v>0</v>
      </c>
      <c r="AN177" s="55">
        <f t="shared" si="132"/>
        <v>0</v>
      </c>
      <c r="AO177" s="55">
        <f t="shared" si="132"/>
        <v>0</v>
      </c>
      <c r="AP177" s="55">
        <f t="shared" si="132"/>
        <v>0</v>
      </c>
      <c r="AQ177" s="55">
        <f t="shared" si="132"/>
        <v>0</v>
      </c>
      <c r="AR177" s="55">
        <f t="shared" si="132"/>
        <v>0</v>
      </c>
      <c r="AS177" s="55">
        <f t="shared" si="132"/>
        <v>0</v>
      </c>
      <c r="AT177" s="55">
        <f t="shared" si="132"/>
        <v>0</v>
      </c>
      <c r="AU177" s="55">
        <f t="shared" si="132"/>
        <v>0</v>
      </c>
      <c r="AV177" s="55">
        <f t="shared" si="132"/>
        <v>0</v>
      </c>
      <c r="AW177" s="55">
        <f t="shared" si="132"/>
        <v>0</v>
      </c>
      <c r="AX177" s="55">
        <f t="shared" si="132"/>
        <v>0</v>
      </c>
      <c r="AY177" s="55">
        <f t="shared" si="132"/>
        <v>0</v>
      </c>
      <c r="AZ177" s="55">
        <f t="shared" si="132"/>
        <v>0</v>
      </c>
      <c r="BA177" s="55">
        <f t="shared" si="132"/>
        <v>0</v>
      </c>
      <c r="BB177" s="55">
        <f t="shared" si="132"/>
        <v>0</v>
      </c>
      <c r="BC177" s="55">
        <f t="shared" si="132"/>
        <v>0</v>
      </c>
      <c r="BD177" s="55">
        <f t="shared" si="132"/>
        <v>0</v>
      </c>
      <c r="BE177" s="55">
        <f t="shared" si="132"/>
        <v>0</v>
      </c>
      <c r="BF177" s="55">
        <f t="shared" si="132"/>
        <v>0</v>
      </c>
      <c r="BG177" s="55">
        <f t="shared" si="132"/>
        <v>0</v>
      </c>
      <c r="BH177" s="55">
        <f t="shared" si="132"/>
        <v>0</v>
      </c>
      <c r="BI177" s="55">
        <f t="shared" si="132"/>
        <v>0</v>
      </c>
      <c r="BJ177" s="55">
        <f t="shared" si="132"/>
        <v>0</v>
      </c>
    </row>
    <row r="178" spans="1:62" x14ac:dyDescent="0.3">
      <c r="A178" s="53" t="str">
        <f t="shared" si="104"/>
        <v>project 100</v>
      </c>
      <c r="C178" s="55">
        <f t="shared" ref="C178:AH178" si="133">IF(AND(C$127&gt;=$I70,C$127&lt;$I70+$F70),INDEX($T70:$AI70,C$127-$I70+1),0)</f>
        <v>0</v>
      </c>
      <c r="D178" s="55">
        <f t="shared" si="133"/>
        <v>0</v>
      </c>
      <c r="E178" s="55">
        <f t="shared" si="133"/>
        <v>0</v>
      </c>
      <c r="F178" s="55">
        <f t="shared" si="133"/>
        <v>0</v>
      </c>
      <c r="G178" s="55">
        <f t="shared" si="133"/>
        <v>0</v>
      </c>
      <c r="H178" s="55">
        <f t="shared" si="133"/>
        <v>0</v>
      </c>
      <c r="I178" s="55">
        <f t="shared" si="133"/>
        <v>0</v>
      </c>
      <c r="J178" s="55">
        <f t="shared" si="133"/>
        <v>0</v>
      </c>
      <c r="K178" s="55">
        <f t="shared" si="133"/>
        <v>0</v>
      </c>
      <c r="L178" s="55">
        <f t="shared" si="133"/>
        <v>0</v>
      </c>
      <c r="M178" s="55">
        <f t="shared" si="133"/>
        <v>0</v>
      </c>
      <c r="N178" s="55">
        <f t="shared" si="133"/>
        <v>0</v>
      </c>
      <c r="O178" s="55">
        <f t="shared" si="133"/>
        <v>9.6999999999999993</v>
      </c>
      <c r="P178" s="55">
        <f t="shared" si="133"/>
        <v>8.2843137254901968</v>
      </c>
      <c r="Q178" s="55">
        <f t="shared" si="133"/>
        <v>0</v>
      </c>
      <c r="R178" s="55">
        <f t="shared" si="133"/>
        <v>0</v>
      </c>
      <c r="S178" s="55">
        <f t="shared" si="133"/>
        <v>0</v>
      </c>
      <c r="T178" s="55">
        <f t="shared" si="133"/>
        <v>0</v>
      </c>
      <c r="U178" s="55">
        <f t="shared" si="133"/>
        <v>0</v>
      </c>
      <c r="V178" s="55">
        <f t="shared" si="133"/>
        <v>0</v>
      </c>
      <c r="W178" s="55">
        <f t="shared" si="133"/>
        <v>0</v>
      </c>
      <c r="X178" s="55">
        <f t="shared" si="133"/>
        <v>0</v>
      </c>
      <c r="Y178" s="55">
        <f t="shared" si="133"/>
        <v>0</v>
      </c>
      <c r="Z178" s="55">
        <f t="shared" si="133"/>
        <v>0</v>
      </c>
      <c r="AA178" s="55">
        <f t="shared" si="133"/>
        <v>0</v>
      </c>
      <c r="AB178" s="55">
        <f t="shared" si="133"/>
        <v>0</v>
      </c>
      <c r="AC178" s="55">
        <f t="shared" si="133"/>
        <v>0</v>
      </c>
      <c r="AD178" s="55">
        <f t="shared" si="133"/>
        <v>0</v>
      </c>
      <c r="AE178" s="55">
        <f t="shared" si="133"/>
        <v>0</v>
      </c>
      <c r="AF178" s="55">
        <f t="shared" si="133"/>
        <v>0</v>
      </c>
      <c r="AG178" s="55">
        <f t="shared" si="133"/>
        <v>0</v>
      </c>
      <c r="AH178" s="55">
        <f t="shared" si="133"/>
        <v>0</v>
      </c>
      <c r="AI178" s="55">
        <f t="shared" ref="AI178:BJ178" si="134">IF(AND(AI$127&gt;=$I70,AI$127&lt;$I70+$F70),INDEX($T70:$AI70,AI$127-$I70+1),0)</f>
        <v>0</v>
      </c>
      <c r="AJ178" s="55">
        <f t="shared" si="134"/>
        <v>0</v>
      </c>
      <c r="AK178" s="55">
        <f t="shared" si="134"/>
        <v>0</v>
      </c>
      <c r="AL178" s="55">
        <f t="shared" si="134"/>
        <v>0</v>
      </c>
      <c r="AM178" s="55">
        <f t="shared" si="134"/>
        <v>0</v>
      </c>
      <c r="AN178" s="55">
        <f t="shared" si="134"/>
        <v>0</v>
      </c>
      <c r="AO178" s="55">
        <f t="shared" si="134"/>
        <v>0</v>
      </c>
      <c r="AP178" s="55">
        <f t="shared" si="134"/>
        <v>0</v>
      </c>
      <c r="AQ178" s="55">
        <f t="shared" si="134"/>
        <v>0</v>
      </c>
      <c r="AR178" s="55">
        <f t="shared" si="134"/>
        <v>0</v>
      </c>
      <c r="AS178" s="55">
        <f t="shared" si="134"/>
        <v>0</v>
      </c>
      <c r="AT178" s="55">
        <f t="shared" si="134"/>
        <v>0</v>
      </c>
      <c r="AU178" s="55">
        <f t="shared" si="134"/>
        <v>0</v>
      </c>
      <c r="AV178" s="55">
        <f t="shared" si="134"/>
        <v>0</v>
      </c>
      <c r="AW178" s="55">
        <f t="shared" si="134"/>
        <v>0</v>
      </c>
      <c r="AX178" s="55">
        <f t="shared" si="134"/>
        <v>0</v>
      </c>
      <c r="AY178" s="55">
        <f t="shared" si="134"/>
        <v>0</v>
      </c>
      <c r="AZ178" s="55">
        <f t="shared" si="134"/>
        <v>0</v>
      </c>
      <c r="BA178" s="55">
        <f t="shared" si="134"/>
        <v>0</v>
      </c>
      <c r="BB178" s="55">
        <f t="shared" si="134"/>
        <v>0</v>
      </c>
      <c r="BC178" s="55">
        <f t="shared" si="134"/>
        <v>0</v>
      </c>
      <c r="BD178" s="55">
        <f t="shared" si="134"/>
        <v>0</v>
      </c>
      <c r="BE178" s="55">
        <f t="shared" si="134"/>
        <v>0</v>
      </c>
      <c r="BF178" s="55">
        <f t="shared" si="134"/>
        <v>0</v>
      </c>
      <c r="BG178" s="55">
        <f t="shared" si="134"/>
        <v>0</v>
      </c>
      <c r="BH178" s="55">
        <f t="shared" si="134"/>
        <v>0</v>
      </c>
      <c r="BI178" s="55">
        <f t="shared" si="134"/>
        <v>0</v>
      </c>
      <c r="BJ178" s="55">
        <f t="shared" si="134"/>
        <v>0</v>
      </c>
    </row>
    <row r="179" spans="1:62" x14ac:dyDescent="0.3">
      <c r="A179" s="53" t="str">
        <f t="shared" si="104"/>
        <v>project 101</v>
      </c>
      <c r="C179" s="55">
        <f t="shared" ref="C179:AH179" si="135">IF(AND(C$127&gt;=$I71,C$127&lt;$I71+$F71),INDEX($T71:$AI71,C$127-$I71+1),0)</f>
        <v>0</v>
      </c>
      <c r="D179" s="55">
        <f t="shared" si="135"/>
        <v>0</v>
      </c>
      <c r="E179" s="55">
        <f t="shared" si="135"/>
        <v>0</v>
      </c>
      <c r="F179" s="55">
        <f t="shared" si="135"/>
        <v>0</v>
      </c>
      <c r="G179" s="55">
        <f t="shared" si="135"/>
        <v>0.57499999999999996</v>
      </c>
      <c r="H179" s="55">
        <f t="shared" si="135"/>
        <v>9.2156862745098049</v>
      </c>
      <c r="I179" s="55">
        <f t="shared" si="135"/>
        <v>5.1903114186851207</v>
      </c>
      <c r="J179" s="55">
        <f t="shared" si="135"/>
        <v>0</v>
      </c>
      <c r="K179" s="55">
        <f t="shared" si="135"/>
        <v>0</v>
      </c>
      <c r="L179" s="55">
        <f t="shared" si="135"/>
        <v>0</v>
      </c>
      <c r="M179" s="55">
        <f t="shared" si="135"/>
        <v>0</v>
      </c>
      <c r="N179" s="55">
        <f t="shared" si="135"/>
        <v>0</v>
      </c>
      <c r="O179" s="55">
        <f t="shared" si="135"/>
        <v>0</v>
      </c>
      <c r="P179" s="55">
        <f t="shared" si="135"/>
        <v>0</v>
      </c>
      <c r="Q179" s="55">
        <f t="shared" si="135"/>
        <v>0</v>
      </c>
      <c r="R179" s="55">
        <f t="shared" si="135"/>
        <v>0</v>
      </c>
      <c r="S179" s="55">
        <f t="shared" si="135"/>
        <v>0</v>
      </c>
      <c r="T179" s="55">
        <f t="shared" si="135"/>
        <v>0</v>
      </c>
      <c r="U179" s="55">
        <f t="shared" si="135"/>
        <v>0</v>
      </c>
      <c r="V179" s="55">
        <f t="shared" si="135"/>
        <v>0</v>
      </c>
      <c r="W179" s="55">
        <f t="shared" si="135"/>
        <v>0</v>
      </c>
      <c r="X179" s="55">
        <f t="shared" si="135"/>
        <v>0</v>
      </c>
      <c r="Y179" s="55">
        <f t="shared" si="135"/>
        <v>0</v>
      </c>
      <c r="Z179" s="55">
        <f t="shared" si="135"/>
        <v>0</v>
      </c>
      <c r="AA179" s="55">
        <f t="shared" si="135"/>
        <v>0</v>
      </c>
      <c r="AB179" s="55">
        <f t="shared" si="135"/>
        <v>0</v>
      </c>
      <c r="AC179" s="55">
        <f t="shared" si="135"/>
        <v>0</v>
      </c>
      <c r="AD179" s="55">
        <f t="shared" si="135"/>
        <v>0</v>
      </c>
      <c r="AE179" s="55">
        <f t="shared" si="135"/>
        <v>0</v>
      </c>
      <c r="AF179" s="55">
        <f t="shared" si="135"/>
        <v>0</v>
      </c>
      <c r="AG179" s="55">
        <f t="shared" si="135"/>
        <v>0</v>
      </c>
      <c r="AH179" s="55">
        <f t="shared" si="135"/>
        <v>0</v>
      </c>
      <c r="AI179" s="55">
        <f t="shared" ref="AI179:BJ179" si="136">IF(AND(AI$127&gt;=$I71,AI$127&lt;$I71+$F71),INDEX($T71:$AI71,AI$127-$I71+1),0)</f>
        <v>0</v>
      </c>
      <c r="AJ179" s="55">
        <f t="shared" si="136"/>
        <v>0</v>
      </c>
      <c r="AK179" s="55">
        <f t="shared" si="136"/>
        <v>0</v>
      </c>
      <c r="AL179" s="55">
        <f t="shared" si="136"/>
        <v>0</v>
      </c>
      <c r="AM179" s="55">
        <f t="shared" si="136"/>
        <v>0</v>
      </c>
      <c r="AN179" s="55">
        <f t="shared" si="136"/>
        <v>0</v>
      </c>
      <c r="AO179" s="55">
        <f t="shared" si="136"/>
        <v>0</v>
      </c>
      <c r="AP179" s="55">
        <f t="shared" si="136"/>
        <v>0</v>
      </c>
      <c r="AQ179" s="55">
        <f t="shared" si="136"/>
        <v>0</v>
      </c>
      <c r="AR179" s="55">
        <f t="shared" si="136"/>
        <v>0</v>
      </c>
      <c r="AS179" s="55">
        <f t="shared" si="136"/>
        <v>0</v>
      </c>
      <c r="AT179" s="55">
        <f t="shared" si="136"/>
        <v>0</v>
      </c>
      <c r="AU179" s="55">
        <f t="shared" si="136"/>
        <v>0</v>
      </c>
      <c r="AV179" s="55">
        <f t="shared" si="136"/>
        <v>0</v>
      </c>
      <c r="AW179" s="55">
        <f t="shared" si="136"/>
        <v>0</v>
      </c>
      <c r="AX179" s="55">
        <f t="shared" si="136"/>
        <v>0</v>
      </c>
      <c r="AY179" s="55">
        <f t="shared" si="136"/>
        <v>0</v>
      </c>
      <c r="AZ179" s="55">
        <f t="shared" si="136"/>
        <v>0</v>
      </c>
      <c r="BA179" s="55">
        <f t="shared" si="136"/>
        <v>0</v>
      </c>
      <c r="BB179" s="55">
        <f t="shared" si="136"/>
        <v>0</v>
      </c>
      <c r="BC179" s="55">
        <f t="shared" si="136"/>
        <v>0</v>
      </c>
      <c r="BD179" s="55">
        <f t="shared" si="136"/>
        <v>0</v>
      </c>
      <c r="BE179" s="55">
        <f t="shared" si="136"/>
        <v>0</v>
      </c>
      <c r="BF179" s="55">
        <f t="shared" si="136"/>
        <v>0</v>
      </c>
      <c r="BG179" s="55">
        <f t="shared" si="136"/>
        <v>0</v>
      </c>
      <c r="BH179" s="55">
        <f t="shared" si="136"/>
        <v>0</v>
      </c>
      <c r="BI179" s="55">
        <f t="shared" si="136"/>
        <v>0</v>
      </c>
      <c r="BJ179" s="55">
        <f t="shared" si="136"/>
        <v>0</v>
      </c>
    </row>
    <row r="180" spans="1:62" x14ac:dyDescent="0.3">
      <c r="A180" s="53" t="str">
        <f t="shared" si="104"/>
        <v>project 103</v>
      </c>
      <c r="C180" s="55">
        <f t="shared" ref="C180:AH180" si="137">IF(AND(C$127&gt;=$I72,C$127&lt;$I72+$F72),INDEX($T72:$AI72,C$127-$I72+1),0)</f>
        <v>0</v>
      </c>
      <c r="D180" s="55">
        <f t="shared" si="137"/>
        <v>0</v>
      </c>
      <c r="E180" s="55">
        <f t="shared" si="137"/>
        <v>0</v>
      </c>
      <c r="F180" s="55">
        <f t="shared" si="137"/>
        <v>0</v>
      </c>
      <c r="G180" s="55">
        <f t="shared" si="137"/>
        <v>0</v>
      </c>
      <c r="H180" s="55">
        <f t="shared" si="137"/>
        <v>0</v>
      </c>
      <c r="I180" s="55">
        <f t="shared" si="137"/>
        <v>0</v>
      </c>
      <c r="J180" s="55">
        <f t="shared" si="137"/>
        <v>5.6099999999999997E-2</v>
      </c>
      <c r="K180" s="55">
        <f t="shared" si="137"/>
        <v>1.1499999999999999</v>
      </c>
      <c r="L180" s="55">
        <f t="shared" si="137"/>
        <v>2.892156862745098</v>
      </c>
      <c r="M180" s="55">
        <f t="shared" si="137"/>
        <v>0</v>
      </c>
      <c r="N180" s="55">
        <f t="shared" si="137"/>
        <v>0</v>
      </c>
      <c r="O180" s="55">
        <f t="shared" si="137"/>
        <v>0</v>
      </c>
      <c r="P180" s="55">
        <f t="shared" si="137"/>
        <v>0</v>
      </c>
      <c r="Q180" s="55">
        <f t="shared" si="137"/>
        <v>0</v>
      </c>
      <c r="R180" s="55">
        <f t="shared" si="137"/>
        <v>0</v>
      </c>
      <c r="S180" s="55">
        <f t="shared" si="137"/>
        <v>0</v>
      </c>
      <c r="T180" s="55">
        <f t="shared" si="137"/>
        <v>0</v>
      </c>
      <c r="U180" s="55">
        <f t="shared" si="137"/>
        <v>0</v>
      </c>
      <c r="V180" s="55">
        <f t="shared" si="137"/>
        <v>0</v>
      </c>
      <c r="W180" s="55">
        <f t="shared" si="137"/>
        <v>0</v>
      </c>
      <c r="X180" s="55">
        <f t="shared" si="137"/>
        <v>0</v>
      </c>
      <c r="Y180" s="55">
        <f t="shared" si="137"/>
        <v>0</v>
      </c>
      <c r="Z180" s="55">
        <f t="shared" si="137"/>
        <v>0</v>
      </c>
      <c r="AA180" s="55">
        <f t="shared" si="137"/>
        <v>0</v>
      </c>
      <c r="AB180" s="55">
        <f t="shared" si="137"/>
        <v>0</v>
      </c>
      <c r="AC180" s="55">
        <f t="shared" si="137"/>
        <v>0</v>
      </c>
      <c r="AD180" s="55">
        <f t="shared" si="137"/>
        <v>0</v>
      </c>
      <c r="AE180" s="55">
        <f t="shared" si="137"/>
        <v>0</v>
      </c>
      <c r="AF180" s="55">
        <f t="shared" si="137"/>
        <v>0</v>
      </c>
      <c r="AG180" s="55">
        <f t="shared" si="137"/>
        <v>0</v>
      </c>
      <c r="AH180" s="55">
        <f t="shared" si="137"/>
        <v>0</v>
      </c>
      <c r="AI180" s="55">
        <f t="shared" ref="AI180:BJ180" si="138">IF(AND(AI$127&gt;=$I72,AI$127&lt;$I72+$F72),INDEX($T72:$AI72,AI$127-$I72+1),0)</f>
        <v>0</v>
      </c>
      <c r="AJ180" s="55">
        <f t="shared" si="138"/>
        <v>0</v>
      </c>
      <c r="AK180" s="55">
        <f t="shared" si="138"/>
        <v>0</v>
      </c>
      <c r="AL180" s="55">
        <f t="shared" si="138"/>
        <v>0</v>
      </c>
      <c r="AM180" s="55">
        <f t="shared" si="138"/>
        <v>0</v>
      </c>
      <c r="AN180" s="55">
        <f t="shared" si="138"/>
        <v>0</v>
      </c>
      <c r="AO180" s="55">
        <f t="shared" si="138"/>
        <v>0</v>
      </c>
      <c r="AP180" s="55">
        <f t="shared" si="138"/>
        <v>0</v>
      </c>
      <c r="AQ180" s="55">
        <f t="shared" si="138"/>
        <v>0</v>
      </c>
      <c r="AR180" s="55">
        <f t="shared" si="138"/>
        <v>0</v>
      </c>
      <c r="AS180" s="55">
        <f t="shared" si="138"/>
        <v>0</v>
      </c>
      <c r="AT180" s="55">
        <f t="shared" si="138"/>
        <v>0</v>
      </c>
      <c r="AU180" s="55">
        <f t="shared" si="138"/>
        <v>0</v>
      </c>
      <c r="AV180" s="55">
        <f t="shared" si="138"/>
        <v>0</v>
      </c>
      <c r="AW180" s="55">
        <f t="shared" si="138"/>
        <v>0</v>
      </c>
      <c r="AX180" s="55">
        <f t="shared" si="138"/>
        <v>0</v>
      </c>
      <c r="AY180" s="55">
        <f t="shared" si="138"/>
        <v>0</v>
      </c>
      <c r="AZ180" s="55">
        <f t="shared" si="138"/>
        <v>0</v>
      </c>
      <c r="BA180" s="55">
        <f t="shared" si="138"/>
        <v>0</v>
      </c>
      <c r="BB180" s="55">
        <f t="shared" si="138"/>
        <v>0</v>
      </c>
      <c r="BC180" s="55">
        <f t="shared" si="138"/>
        <v>0</v>
      </c>
      <c r="BD180" s="55">
        <f t="shared" si="138"/>
        <v>0</v>
      </c>
      <c r="BE180" s="55">
        <f t="shared" si="138"/>
        <v>0</v>
      </c>
      <c r="BF180" s="55">
        <f t="shared" si="138"/>
        <v>0</v>
      </c>
      <c r="BG180" s="55">
        <f t="shared" si="138"/>
        <v>0</v>
      </c>
      <c r="BH180" s="55">
        <f t="shared" si="138"/>
        <v>0</v>
      </c>
      <c r="BI180" s="55">
        <f t="shared" si="138"/>
        <v>0</v>
      </c>
      <c r="BJ180" s="55">
        <f t="shared" si="138"/>
        <v>0</v>
      </c>
    </row>
    <row r="181" spans="1:62" x14ac:dyDescent="0.3">
      <c r="A181" s="53" t="str">
        <f t="shared" si="104"/>
        <v>project 104</v>
      </c>
      <c r="C181" s="55">
        <f t="shared" ref="C181:AH181" si="139">IF(AND(C$127&gt;=$I73,C$127&lt;$I73+$F73),INDEX($T73:$AI73,C$127-$I73+1),0)</f>
        <v>0</v>
      </c>
      <c r="D181" s="55">
        <f t="shared" si="139"/>
        <v>0</v>
      </c>
      <c r="E181" s="55">
        <f t="shared" si="139"/>
        <v>0</v>
      </c>
      <c r="F181" s="55">
        <f t="shared" si="139"/>
        <v>0</v>
      </c>
      <c r="G181" s="55">
        <f t="shared" si="139"/>
        <v>0</v>
      </c>
      <c r="H181" s="55">
        <f t="shared" si="139"/>
        <v>0</v>
      </c>
      <c r="I181" s="55">
        <f t="shared" si="139"/>
        <v>0</v>
      </c>
      <c r="J181" s="55">
        <f t="shared" si="139"/>
        <v>0</v>
      </c>
      <c r="K181" s="55">
        <f t="shared" si="139"/>
        <v>0.40799999999999997</v>
      </c>
      <c r="L181" s="55">
        <f t="shared" si="139"/>
        <v>0.66</v>
      </c>
      <c r="M181" s="55">
        <f t="shared" si="139"/>
        <v>0.36274509803921567</v>
      </c>
      <c r="N181" s="55">
        <f t="shared" si="139"/>
        <v>0</v>
      </c>
      <c r="O181" s="55">
        <f t="shared" si="139"/>
        <v>0</v>
      </c>
      <c r="P181" s="55">
        <f t="shared" si="139"/>
        <v>0</v>
      </c>
      <c r="Q181" s="55">
        <f t="shared" si="139"/>
        <v>0</v>
      </c>
      <c r="R181" s="55">
        <f t="shared" si="139"/>
        <v>0</v>
      </c>
      <c r="S181" s="55">
        <f t="shared" si="139"/>
        <v>0</v>
      </c>
      <c r="T181" s="55">
        <f t="shared" si="139"/>
        <v>0</v>
      </c>
      <c r="U181" s="55">
        <f t="shared" si="139"/>
        <v>0</v>
      </c>
      <c r="V181" s="55">
        <f t="shared" si="139"/>
        <v>0</v>
      </c>
      <c r="W181" s="55">
        <f t="shared" si="139"/>
        <v>0</v>
      </c>
      <c r="X181" s="55">
        <f t="shared" si="139"/>
        <v>0</v>
      </c>
      <c r="Y181" s="55">
        <f t="shared" si="139"/>
        <v>0</v>
      </c>
      <c r="Z181" s="55">
        <f t="shared" si="139"/>
        <v>0</v>
      </c>
      <c r="AA181" s="55">
        <f t="shared" si="139"/>
        <v>0</v>
      </c>
      <c r="AB181" s="55">
        <f t="shared" si="139"/>
        <v>0</v>
      </c>
      <c r="AC181" s="55">
        <f t="shared" si="139"/>
        <v>0</v>
      </c>
      <c r="AD181" s="55">
        <f t="shared" si="139"/>
        <v>0</v>
      </c>
      <c r="AE181" s="55">
        <f t="shared" si="139"/>
        <v>0</v>
      </c>
      <c r="AF181" s="55">
        <f t="shared" si="139"/>
        <v>0</v>
      </c>
      <c r="AG181" s="55">
        <f t="shared" si="139"/>
        <v>0</v>
      </c>
      <c r="AH181" s="55">
        <f t="shared" si="139"/>
        <v>0</v>
      </c>
      <c r="AI181" s="55">
        <f t="shared" ref="AI181:BJ181" si="140">IF(AND(AI$127&gt;=$I73,AI$127&lt;$I73+$F73),INDEX($T73:$AI73,AI$127-$I73+1),0)</f>
        <v>0</v>
      </c>
      <c r="AJ181" s="55">
        <f t="shared" si="140"/>
        <v>0</v>
      </c>
      <c r="AK181" s="55">
        <f t="shared" si="140"/>
        <v>0</v>
      </c>
      <c r="AL181" s="55">
        <f t="shared" si="140"/>
        <v>0</v>
      </c>
      <c r="AM181" s="55">
        <f t="shared" si="140"/>
        <v>0</v>
      </c>
      <c r="AN181" s="55">
        <f t="shared" si="140"/>
        <v>0</v>
      </c>
      <c r="AO181" s="55">
        <f t="shared" si="140"/>
        <v>0</v>
      </c>
      <c r="AP181" s="55">
        <f t="shared" si="140"/>
        <v>0</v>
      </c>
      <c r="AQ181" s="55">
        <f t="shared" si="140"/>
        <v>0</v>
      </c>
      <c r="AR181" s="55">
        <f t="shared" si="140"/>
        <v>0</v>
      </c>
      <c r="AS181" s="55">
        <f t="shared" si="140"/>
        <v>0</v>
      </c>
      <c r="AT181" s="55">
        <f t="shared" si="140"/>
        <v>0</v>
      </c>
      <c r="AU181" s="55">
        <f t="shared" si="140"/>
        <v>0</v>
      </c>
      <c r="AV181" s="55">
        <f t="shared" si="140"/>
        <v>0</v>
      </c>
      <c r="AW181" s="55">
        <f t="shared" si="140"/>
        <v>0</v>
      </c>
      <c r="AX181" s="55">
        <f t="shared" si="140"/>
        <v>0</v>
      </c>
      <c r="AY181" s="55">
        <f t="shared" si="140"/>
        <v>0</v>
      </c>
      <c r="AZ181" s="55">
        <f t="shared" si="140"/>
        <v>0</v>
      </c>
      <c r="BA181" s="55">
        <f t="shared" si="140"/>
        <v>0</v>
      </c>
      <c r="BB181" s="55">
        <f t="shared" si="140"/>
        <v>0</v>
      </c>
      <c r="BC181" s="55">
        <f t="shared" si="140"/>
        <v>0</v>
      </c>
      <c r="BD181" s="55">
        <f t="shared" si="140"/>
        <v>0</v>
      </c>
      <c r="BE181" s="55">
        <f t="shared" si="140"/>
        <v>0</v>
      </c>
      <c r="BF181" s="55">
        <f t="shared" si="140"/>
        <v>0</v>
      </c>
      <c r="BG181" s="55">
        <f t="shared" si="140"/>
        <v>0</v>
      </c>
      <c r="BH181" s="55">
        <f t="shared" si="140"/>
        <v>0</v>
      </c>
      <c r="BI181" s="55">
        <f t="shared" si="140"/>
        <v>0</v>
      </c>
      <c r="BJ181" s="55">
        <f t="shared" si="140"/>
        <v>0</v>
      </c>
    </row>
    <row r="182" spans="1:62" x14ac:dyDescent="0.3">
      <c r="A182" s="53" t="str">
        <f t="shared" si="104"/>
        <v>project 106</v>
      </c>
      <c r="C182" s="55">
        <f t="shared" ref="C182:AH182" si="141">IF(AND(C$127&gt;=$I74,C$127&lt;$I74+$F74),INDEX($T74:$AI74,C$127-$I74+1),0)</f>
        <v>38.285617000000002</v>
      </c>
      <c r="D182" s="55">
        <f t="shared" si="141"/>
        <v>60.71757058823529</v>
      </c>
      <c r="E182" s="55">
        <f t="shared" si="141"/>
        <v>69.299691464821223</v>
      </c>
      <c r="F182" s="55">
        <f t="shared" si="141"/>
        <v>66.232339937128245</v>
      </c>
      <c r="G182" s="55">
        <f t="shared" si="141"/>
        <v>56.797080936693533</v>
      </c>
      <c r="H182" s="55">
        <f t="shared" si="141"/>
        <v>39.163724135657539</v>
      </c>
      <c r="I182" s="55">
        <f t="shared" si="141"/>
        <v>37.085806883251493</v>
      </c>
      <c r="J182" s="55">
        <f t="shared" si="141"/>
        <v>36.078342550238368</v>
      </c>
      <c r="K182" s="55">
        <f t="shared" si="141"/>
        <v>36.866892972810561</v>
      </c>
      <c r="L182" s="55">
        <f t="shared" si="141"/>
        <v>0</v>
      </c>
      <c r="M182" s="55">
        <f t="shared" si="141"/>
        <v>0</v>
      </c>
      <c r="N182" s="55">
        <f t="shared" si="141"/>
        <v>0</v>
      </c>
      <c r="O182" s="55">
        <f t="shared" si="141"/>
        <v>0</v>
      </c>
      <c r="P182" s="55">
        <f t="shared" si="141"/>
        <v>0</v>
      </c>
      <c r="Q182" s="55">
        <f t="shared" si="141"/>
        <v>0</v>
      </c>
      <c r="R182" s="55">
        <f t="shared" si="141"/>
        <v>0</v>
      </c>
      <c r="S182" s="55">
        <f t="shared" si="141"/>
        <v>0</v>
      </c>
      <c r="T182" s="55">
        <f t="shared" si="141"/>
        <v>0</v>
      </c>
      <c r="U182" s="55">
        <f t="shared" si="141"/>
        <v>0</v>
      </c>
      <c r="V182" s="55">
        <f t="shared" si="141"/>
        <v>0</v>
      </c>
      <c r="W182" s="55">
        <f t="shared" si="141"/>
        <v>0</v>
      </c>
      <c r="X182" s="55">
        <f t="shared" si="141"/>
        <v>0</v>
      </c>
      <c r="Y182" s="55">
        <f t="shared" si="141"/>
        <v>0</v>
      </c>
      <c r="Z182" s="55">
        <f t="shared" si="141"/>
        <v>0</v>
      </c>
      <c r="AA182" s="55">
        <f t="shared" si="141"/>
        <v>0</v>
      </c>
      <c r="AB182" s="55">
        <f t="shared" si="141"/>
        <v>0</v>
      </c>
      <c r="AC182" s="55">
        <f t="shared" si="141"/>
        <v>0</v>
      </c>
      <c r="AD182" s="55">
        <f t="shared" si="141"/>
        <v>0</v>
      </c>
      <c r="AE182" s="55">
        <f t="shared" si="141"/>
        <v>0</v>
      </c>
      <c r="AF182" s="55">
        <f t="shared" si="141"/>
        <v>0</v>
      </c>
      <c r="AG182" s="55">
        <f t="shared" si="141"/>
        <v>0</v>
      </c>
      <c r="AH182" s="55">
        <f t="shared" si="141"/>
        <v>0</v>
      </c>
      <c r="AI182" s="55">
        <f t="shared" ref="AI182:BJ182" si="142">IF(AND(AI$127&gt;=$I74,AI$127&lt;$I74+$F74),INDEX($T74:$AI74,AI$127-$I74+1),0)</f>
        <v>0</v>
      </c>
      <c r="AJ182" s="55">
        <f t="shared" si="142"/>
        <v>0</v>
      </c>
      <c r="AK182" s="55">
        <f t="shared" si="142"/>
        <v>0</v>
      </c>
      <c r="AL182" s="55">
        <f t="shared" si="142"/>
        <v>0</v>
      </c>
      <c r="AM182" s="55">
        <f t="shared" si="142"/>
        <v>0</v>
      </c>
      <c r="AN182" s="55">
        <f t="shared" si="142"/>
        <v>0</v>
      </c>
      <c r="AO182" s="55">
        <f t="shared" si="142"/>
        <v>0</v>
      </c>
      <c r="AP182" s="55">
        <f t="shared" si="142"/>
        <v>0</v>
      </c>
      <c r="AQ182" s="55">
        <f t="shared" si="142"/>
        <v>0</v>
      </c>
      <c r="AR182" s="55">
        <f t="shared" si="142"/>
        <v>0</v>
      </c>
      <c r="AS182" s="55">
        <f t="shared" si="142"/>
        <v>0</v>
      </c>
      <c r="AT182" s="55">
        <f t="shared" si="142"/>
        <v>0</v>
      </c>
      <c r="AU182" s="55">
        <f t="shared" si="142"/>
        <v>0</v>
      </c>
      <c r="AV182" s="55">
        <f t="shared" si="142"/>
        <v>0</v>
      </c>
      <c r="AW182" s="55">
        <f t="shared" si="142"/>
        <v>0</v>
      </c>
      <c r="AX182" s="55">
        <f t="shared" si="142"/>
        <v>0</v>
      </c>
      <c r="AY182" s="55">
        <f t="shared" si="142"/>
        <v>0</v>
      </c>
      <c r="AZ182" s="55">
        <f t="shared" si="142"/>
        <v>0</v>
      </c>
      <c r="BA182" s="55">
        <f t="shared" si="142"/>
        <v>0</v>
      </c>
      <c r="BB182" s="55">
        <f t="shared" si="142"/>
        <v>0</v>
      </c>
      <c r="BC182" s="55">
        <f t="shared" si="142"/>
        <v>0</v>
      </c>
      <c r="BD182" s="55">
        <f t="shared" si="142"/>
        <v>0</v>
      </c>
      <c r="BE182" s="55">
        <f t="shared" si="142"/>
        <v>0</v>
      </c>
      <c r="BF182" s="55">
        <f t="shared" si="142"/>
        <v>0</v>
      </c>
      <c r="BG182" s="55">
        <f t="shared" si="142"/>
        <v>0</v>
      </c>
      <c r="BH182" s="55">
        <f t="shared" si="142"/>
        <v>0</v>
      </c>
      <c r="BI182" s="55">
        <f t="shared" si="142"/>
        <v>0</v>
      </c>
      <c r="BJ182" s="55">
        <f t="shared" si="142"/>
        <v>0</v>
      </c>
    </row>
    <row r="183" spans="1:62" x14ac:dyDescent="0.3">
      <c r="A183" s="53" t="str">
        <f t="shared" si="104"/>
        <v>project 107</v>
      </c>
      <c r="C183" s="55">
        <f t="shared" ref="C183:AH183" si="143">IF(AND(C$127&gt;=$I75,C$127&lt;$I75+$F75),INDEX($T75:$AI75,C$127-$I75+1),0)</f>
        <v>0</v>
      </c>
      <c r="D183" s="55">
        <f t="shared" si="143"/>
        <v>0</v>
      </c>
      <c r="E183" s="55">
        <f t="shared" si="143"/>
        <v>0</v>
      </c>
      <c r="F183" s="55">
        <f t="shared" si="143"/>
        <v>0</v>
      </c>
      <c r="G183" s="55">
        <f t="shared" si="143"/>
        <v>0</v>
      </c>
      <c r="H183" s="55">
        <f t="shared" si="143"/>
        <v>0</v>
      </c>
      <c r="I183" s="55">
        <f t="shared" si="143"/>
        <v>0</v>
      </c>
      <c r="J183" s="55">
        <f t="shared" si="143"/>
        <v>2.2890000000000001</v>
      </c>
      <c r="K183" s="55">
        <f t="shared" si="143"/>
        <v>0</v>
      </c>
      <c r="L183" s="55">
        <f t="shared" si="143"/>
        <v>2.4096501345636301</v>
      </c>
      <c r="M183" s="55">
        <f t="shared" si="143"/>
        <v>2.36240209270944</v>
      </c>
      <c r="N183" s="55">
        <f t="shared" si="143"/>
        <v>1.8125847258640211</v>
      </c>
      <c r="O183" s="55">
        <f t="shared" si="143"/>
        <v>3.6528123560440511</v>
      </c>
      <c r="P183" s="55">
        <f t="shared" si="143"/>
        <v>9.412496651173635</v>
      </c>
      <c r="Q183" s="55">
        <f t="shared" si="143"/>
        <v>196.63778034441779</v>
      </c>
      <c r="R183" s="55">
        <f t="shared" si="143"/>
        <v>206.9458103024663</v>
      </c>
      <c r="S183" s="55">
        <f t="shared" si="143"/>
        <v>0</v>
      </c>
      <c r="T183" s="55">
        <f t="shared" si="143"/>
        <v>0</v>
      </c>
      <c r="U183" s="55">
        <f t="shared" si="143"/>
        <v>0</v>
      </c>
      <c r="V183" s="55">
        <f t="shared" si="143"/>
        <v>0</v>
      </c>
      <c r="W183" s="55">
        <f t="shared" si="143"/>
        <v>0</v>
      </c>
      <c r="X183" s="55">
        <f t="shared" si="143"/>
        <v>0</v>
      </c>
      <c r="Y183" s="55">
        <f t="shared" si="143"/>
        <v>0</v>
      </c>
      <c r="Z183" s="55">
        <f t="shared" si="143"/>
        <v>0</v>
      </c>
      <c r="AA183" s="55">
        <f t="shared" si="143"/>
        <v>0</v>
      </c>
      <c r="AB183" s="55">
        <f t="shared" si="143"/>
        <v>0</v>
      </c>
      <c r="AC183" s="55">
        <f t="shared" si="143"/>
        <v>0</v>
      </c>
      <c r="AD183" s="55">
        <f t="shared" si="143"/>
        <v>0</v>
      </c>
      <c r="AE183" s="55">
        <f t="shared" si="143"/>
        <v>0</v>
      </c>
      <c r="AF183" s="55">
        <f t="shared" si="143"/>
        <v>0</v>
      </c>
      <c r="AG183" s="55">
        <f t="shared" si="143"/>
        <v>0</v>
      </c>
      <c r="AH183" s="55">
        <f t="shared" si="143"/>
        <v>0</v>
      </c>
      <c r="AI183" s="55">
        <f t="shared" ref="AI183:BJ183" si="144">IF(AND(AI$127&gt;=$I75,AI$127&lt;$I75+$F75),INDEX($T75:$AI75,AI$127-$I75+1),0)</f>
        <v>0</v>
      </c>
      <c r="AJ183" s="55">
        <f t="shared" si="144"/>
        <v>0</v>
      </c>
      <c r="AK183" s="55">
        <f t="shared" si="144"/>
        <v>0</v>
      </c>
      <c r="AL183" s="55">
        <f t="shared" si="144"/>
        <v>0</v>
      </c>
      <c r="AM183" s="55">
        <f t="shared" si="144"/>
        <v>0</v>
      </c>
      <c r="AN183" s="55">
        <f t="shared" si="144"/>
        <v>0</v>
      </c>
      <c r="AO183" s="55">
        <f t="shared" si="144"/>
        <v>0</v>
      </c>
      <c r="AP183" s="55">
        <f t="shared" si="144"/>
        <v>0</v>
      </c>
      <c r="AQ183" s="55">
        <f t="shared" si="144"/>
        <v>0</v>
      </c>
      <c r="AR183" s="55">
        <f t="shared" si="144"/>
        <v>0</v>
      </c>
      <c r="AS183" s="55">
        <f t="shared" si="144"/>
        <v>0</v>
      </c>
      <c r="AT183" s="55">
        <f t="shared" si="144"/>
        <v>0</v>
      </c>
      <c r="AU183" s="55">
        <f t="shared" si="144"/>
        <v>0</v>
      </c>
      <c r="AV183" s="55">
        <f t="shared" si="144"/>
        <v>0</v>
      </c>
      <c r="AW183" s="55">
        <f t="shared" si="144"/>
        <v>0</v>
      </c>
      <c r="AX183" s="55">
        <f t="shared" si="144"/>
        <v>0</v>
      </c>
      <c r="AY183" s="55">
        <f t="shared" si="144"/>
        <v>0</v>
      </c>
      <c r="AZ183" s="55">
        <f t="shared" si="144"/>
        <v>0</v>
      </c>
      <c r="BA183" s="55">
        <f t="shared" si="144"/>
        <v>0</v>
      </c>
      <c r="BB183" s="55">
        <f t="shared" si="144"/>
        <v>0</v>
      </c>
      <c r="BC183" s="55">
        <f t="shared" si="144"/>
        <v>0</v>
      </c>
      <c r="BD183" s="55">
        <f t="shared" si="144"/>
        <v>0</v>
      </c>
      <c r="BE183" s="55">
        <f t="shared" si="144"/>
        <v>0</v>
      </c>
      <c r="BF183" s="55">
        <f t="shared" si="144"/>
        <v>0</v>
      </c>
      <c r="BG183" s="55">
        <f t="shared" si="144"/>
        <v>0</v>
      </c>
      <c r="BH183" s="55">
        <f t="shared" si="144"/>
        <v>0</v>
      </c>
      <c r="BI183" s="55">
        <f t="shared" si="144"/>
        <v>0</v>
      </c>
      <c r="BJ183" s="55">
        <f t="shared" si="144"/>
        <v>0</v>
      </c>
    </row>
    <row r="184" spans="1:62" x14ac:dyDescent="0.3">
      <c r="A184" s="53" t="str">
        <f t="shared" si="104"/>
        <v>project 108</v>
      </c>
      <c r="C184" s="55">
        <f t="shared" ref="C184:AH184" si="145">IF(AND(C$127&gt;=$I76,C$127&lt;$I76+$F76),INDEX($T76:$AI76,C$127-$I76+1),0)</f>
        <v>0</v>
      </c>
      <c r="D184" s="55">
        <f t="shared" si="145"/>
        <v>0</v>
      </c>
      <c r="E184" s="55">
        <f t="shared" si="145"/>
        <v>0</v>
      </c>
      <c r="F184" s="55">
        <f t="shared" si="145"/>
        <v>17.781622452902731</v>
      </c>
      <c r="G184" s="55">
        <f t="shared" si="145"/>
        <v>44.760310890984613</v>
      </c>
      <c r="H184" s="55">
        <f t="shared" si="145"/>
        <v>60.881413575147278</v>
      </c>
      <c r="I184" s="55">
        <f t="shared" si="145"/>
        <v>60.865110420570353</v>
      </c>
      <c r="J184" s="55">
        <f t="shared" si="145"/>
        <v>1.687145626153765</v>
      </c>
      <c r="K184" s="55">
        <f t="shared" si="145"/>
        <v>1.654064339366436</v>
      </c>
      <c r="L184" s="55">
        <f t="shared" si="145"/>
        <v>1.706980742380223</v>
      </c>
      <c r="M184" s="55">
        <f t="shared" si="145"/>
        <v>1.6735105317453161</v>
      </c>
      <c r="N184" s="55">
        <f t="shared" si="145"/>
        <v>0.82034829987515512</v>
      </c>
      <c r="O184" s="55">
        <f t="shared" si="145"/>
        <v>18.498049899145659</v>
      </c>
      <c r="P184" s="55">
        <f t="shared" si="145"/>
        <v>17.819945768145431</v>
      </c>
      <c r="Q184" s="55">
        <f t="shared" si="145"/>
        <v>2.164491070224154</v>
      </c>
      <c r="R184" s="55">
        <f t="shared" si="145"/>
        <v>17.8100630778248</v>
      </c>
      <c r="S184" s="55">
        <f t="shared" si="145"/>
        <v>17.83235351972445</v>
      </c>
      <c r="T184" s="55">
        <f t="shared" si="145"/>
        <v>17.04563204091308</v>
      </c>
      <c r="U184" s="55">
        <f t="shared" si="145"/>
        <v>17.068485242911962</v>
      </c>
      <c r="V184" s="55">
        <f t="shared" si="145"/>
        <v>0</v>
      </c>
      <c r="W184" s="55">
        <f t="shared" si="145"/>
        <v>0</v>
      </c>
      <c r="X184" s="55">
        <f t="shared" si="145"/>
        <v>0</v>
      </c>
      <c r="Y184" s="55">
        <f t="shared" si="145"/>
        <v>0</v>
      </c>
      <c r="Z184" s="55">
        <f t="shared" si="145"/>
        <v>0</v>
      </c>
      <c r="AA184" s="55">
        <f t="shared" si="145"/>
        <v>0</v>
      </c>
      <c r="AB184" s="55">
        <f t="shared" si="145"/>
        <v>0</v>
      </c>
      <c r="AC184" s="55">
        <f t="shared" si="145"/>
        <v>0</v>
      </c>
      <c r="AD184" s="55">
        <f t="shared" si="145"/>
        <v>0</v>
      </c>
      <c r="AE184" s="55">
        <f t="shared" si="145"/>
        <v>0</v>
      </c>
      <c r="AF184" s="55">
        <f t="shared" si="145"/>
        <v>0</v>
      </c>
      <c r="AG184" s="55">
        <f t="shared" si="145"/>
        <v>0</v>
      </c>
      <c r="AH184" s="55">
        <f t="shared" si="145"/>
        <v>0</v>
      </c>
      <c r="AI184" s="55">
        <f t="shared" ref="AI184:BJ184" si="146">IF(AND(AI$127&gt;=$I76,AI$127&lt;$I76+$F76),INDEX($T76:$AI76,AI$127-$I76+1),0)</f>
        <v>0</v>
      </c>
      <c r="AJ184" s="55">
        <f t="shared" si="146"/>
        <v>0</v>
      </c>
      <c r="AK184" s="55">
        <f t="shared" si="146"/>
        <v>0</v>
      </c>
      <c r="AL184" s="55">
        <f t="shared" si="146"/>
        <v>0</v>
      </c>
      <c r="AM184" s="55">
        <f t="shared" si="146"/>
        <v>0</v>
      </c>
      <c r="AN184" s="55">
        <f t="shared" si="146"/>
        <v>0</v>
      </c>
      <c r="AO184" s="55">
        <f t="shared" si="146"/>
        <v>0</v>
      </c>
      <c r="AP184" s="55">
        <f t="shared" si="146"/>
        <v>0</v>
      </c>
      <c r="AQ184" s="55">
        <f t="shared" si="146"/>
        <v>0</v>
      </c>
      <c r="AR184" s="55">
        <f t="shared" si="146"/>
        <v>0</v>
      </c>
      <c r="AS184" s="55">
        <f t="shared" si="146"/>
        <v>0</v>
      </c>
      <c r="AT184" s="55">
        <f t="shared" si="146"/>
        <v>0</v>
      </c>
      <c r="AU184" s="55">
        <f t="shared" si="146"/>
        <v>0</v>
      </c>
      <c r="AV184" s="55">
        <f t="shared" si="146"/>
        <v>0</v>
      </c>
      <c r="AW184" s="55">
        <f t="shared" si="146"/>
        <v>0</v>
      </c>
      <c r="AX184" s="55">
        <f t="shared" si="146"/>
        <v>0</v>
      </c>
      <c r="AY184" s="55">
        <f t="shared" si="146"/>
        <v>0</v>
      </c>
      <c r="AZ184" s="55">
        <f t="shared" si="146"/>
        <v>0</v>
      </c>
      <c r="BA184" s="55">
        <f t="shared" si="146"/>
        <v>0</v>
      </c>
      <c r="BB184" s="55">
        <f t="shared" si="146"/>
        <v>0</v>
      </c>
      <c r="BC184" s="55">
        <f t="shared" si="146"/>
        <v>0</v>
      </c>
      <c r="BD184" s="55">
        <f t="shared" si="146"/>
        <v>0</v>
      </c>
      <c r="BE184" s="55">
        <f t="shared" si="146"/>
        <v>0</v>
      </c>
      <c r="BF184" s="55">
        <f t="shared" si="146"/>
        <v>0</v>
      </c>
      <c r="BG184" s="55">
        <f t="shared" si="146"/>
        <v>0</v>
      </c>
      <c r="BH184" s="55">
        <f t="shared" si="146"/>
        <v>0</v>
      </c>
      <c r="BI184" s="55">
        <f t="shared" si="146"/>
        <v>0</v>
      </c>
      <c r="BJ184" s="55">
        <f t="shared" si="146"/>
        <v>0</v>
      </c>
    </row>
    <row r="185" spans="1:62" x14ac:dyDescent="0.3">
      <c r="A185" s="53" t="str">
        <f t="shared" si="104"/>
        <v>project 110</v>
      </c>
      <c r="C185" s="55">
        <f t="shared" ref="C185:AH185" si="147">IF(AND(C$127&gt;=$I77,C$127&lt;$I77+$F77),INDEX($T77:$AI77,C$127-$I77+1),0)</f>
        <v>0</v>
      </c>
      <c r="D185" s="55">
        <f t="shared" si="147"/>
        <v>0</v>
      </c>
      <c r="E185" s="55">
        <f t="shared" si="147"/>
        <v>0</v>
      </c>
      <c r="F185" s="55">
        <f t="shared" si="147"/>
        <v>0</v>
      </c>
      <c r="G185" s="55">
        <f t="shared" si="147"/>
        <v>0</v>
      </c>
      <c r="H185" s="55">
        <f t="shared" si="147"/>
        <v>0</v>
      </c>
      <c r="I185" s="55">
        <f t="shared" si="147"/>
        <v>9.0525000000000002</v>
      </c>
      <c r="J185" s="55">
        <f t="shared" si="147"/>
        <v>0</v>
      </c>
      <c r="K185" s="55">
        <f t="shared" si="147"/>
        <v>1.257208765859285</v>
      </c>
      <c r="L185" s="55">
        <f t="shared" si="147"/>
        <v>0</v>
      </c>
      <c r="M185" s="55">
        <f t="shared" si="147"/>
        <v>30.71324118825147</v>
      </c>
      <c r="N185" s="55">
        <f t="shared" si="147"/>
        <v>85.076200698133832</v>
      </c>
      <c r="O185" s="55">
        <f t="shared" si="147"/>
        <v>95.90090927610872</v>
      </c>
      <c r="P185" s="55">
        <f t="shared" si="147"/>
        <v>108.73296630887781</v>
      </c>
      <c r="Q185" s="55">
        <f t="shared" si="147"/>
        <v>0</v>
      </c>
      <c r="R185" s="55">
        <f t="shared" si="147"/>
        <v>0</v>
      </c>
      <c r="S185" s="55">
        <f t="shared" si="147"/>
        <v>0</v>
      </c>
      <c r="T185" s="55">
        <f t="shared" si="147"/>
        <v>0</v>
      </c>
      <c r="U185" s="55">
        <f t="shared" si="147"/>
        <v>0</v>
      </c>
      <c r="V185" s="55">
        <f t="shared" si="147"/>
        <v>0</v>
      </c>
      <c r="W185" s="55">
        <f t="shared" si="147"/>
        <v>0</v>
      </c>
      <c r="X185" s="55">
        <f t="shared" si="147"/>
        <v>0</v>
      </c>
      <c r="Y185" s="55">
        <f t="shared" si="147"/>
        <v>0</v>
      </c>
      <c r="Z185" s="55">
        <f t="shared" si="147"/>
        <v>0</v>
      </c>
      <c r="AA185" s="55">
        <f t="shared" si="147"/>
        <v>0</v>
      </c>
      <c r="AB185" s="55">
        <f t="shared" si="147"/>
        <v>0</v>
      </c>
      <c r="AC185" s="55">
        <f t="shared" si="147"/>
        <v>0</v>
      </c>
      <c r="AD185" s="55">
        <f t="shared" si="147"/>
        <v>0</v>
      </c>
      <c r="AE185" s="55">
        <f t="shared" si="147"/>
        <v>0</v>
      </c>
      <c r="AF185" s="55">
        <f t="shared" si="147"/>
        <v>0</v>
      </c>
      <c r="AG185" s="55">
        <f t="shared" si="147"/>
        <v>0</v>
      </c>
      <c r="AH185" s="55">
        <f t="shared" si="147"/>
        <v>0</v>
      </c>
      <c r="AI185" s="55">
        <f t="shared" ref="AI185:BJ185" si="148">IF(AND(AI$127&gt;=$I77,AI$127&lt;$I77+$F77),INDEX($T77:$AI77,AI$127-$I77+1),0)</f>
        <v>0</v>
      </c>
      <c r="AJ185" s="55">
        <f t="shared" si="148"/>
        <v>0</v>
      </c>
      <c r="AK185" s="55">
        <f t="shared" si="148"/>
        <v>0</v>
      </c>
      <c r="AL185" s="55">
        <f t="shared" si="148"/>
        <v>0</v>
      </c>
      <c r="AM185" s="55">
        <f t="shared" si="148"/>
        <v>0</v>
      </c>
      <c r="AN185" s="55">
        <f t="shared" si="148"/>
        <v>0</v>
      </c>
      <c r="AO185" s="55">
        <f t="shared" si="148"/>
        <v>0</v>
      </c>
      <c r="AP185" s="55">
        <f t="shared" si="148"/>
        <v>0</v>
      </c>
      <c r="AQ185" s="55">
        <f t="shared" si="148"/>
        <v>0</v>
      </c>
      <c r="AR185" s="55">
        <f t="shared" si="148"/>
        <v>0</v>
      </c>
      <c r="AS185" s="55">
        <f t="shared" si="148"/>
        <v>0</v>
      </c>
      <c r="AT185" s="55">
        <f t="shared" si="148"/>
        <v>0</v>
      </c>
      <c r="AU185" s="55">
        <f t="shared" si="148"/>
        <v>0</v>
      </c>
      <c r="AV185" s="55">
        <f t="shared" si="148"/>
        <v>0</v>
      </c>
      <c r="AW185" s="55">
        <f t="shared" si="148"/>
        <v>0</v>
      </c>
      <c r="AX185" s="55">
        <f t="shared" si="148"/>
        <v>0</v>
      </c>
      <c r="AY185" s="55">
        <f t="shared" si="148"/>
        <v>0</v>
      </c>
      <c r="AZ185" s="55">
        <f t="shared" si="148"/>
        <v>0</v>
      </c>
      <c r="BA185" s="55">
        <f t="shared" si="148"/>
        <v>0</v>
      </c>
      <c r="BB185" s="55">
        <f t="shared" si="148"/>
        <v>0</v>
      </c>
      <c r="BC185" s="55">
        <f t="shared" si="148"/>
        <v>0</v>
      </c>
      <c r="BD185" s="55">
        <f t="shared" si="148"/>
        <v>0</v>
      </c>
      <c r="BE185" s="55">
        <f t="shared" si="148"/>
        <v>0</v>
      </c>
      <c r="BF185" s="55">
        <f t="shared" si="148"/>
        <v>0</v>
      </c>
      <c r="BG185" s="55">
        <f t="shared" si="148"/>
        <v>0</v>
      </c>
      <c r="BH185" s="55">
        <f t="shared" si="148"/>
        <v>0</v>
      </c>
      <c r="BI185" s="55">
        <f t="shared" si="148"/>
        <v>0</v>
      </c>
      <c r="BJ185" s="55">
        <f t="shared" si="148"/>
        <v>0</v>
      </c>
    </row>
    <row r="186" spans="1:62" x14ac:dyDescent="0.3">
      <c r="A186" s="53" t="str">
        <f t="shared" si="104"/>
        <v>project 112</v>
      </c>
      <c r="C186" s="55">
        <f t="shared" ref="C186:AH186" si="149">IF(AND(C$127&gt;=$I78,C$127&lt;$I78+$F78),INDEX($T78:$AI78,C$127-$I78+1),0)</f>
        <v>0</v>
      </c>
      <c r="D186" s="55">
        <f t="shared" si="149"/>
        <v>0</v>
      </c>
      <c r="E186" s="55">
        <f t="shared" si="149"/>
        <v>0</v>
      </c>
      <c r="F186" s="55">
        <f t="shared" si="149"/>
        <v>0</v>
      </c>
      <c r="G186" s="55">
        <f t="shared" si="149"/>
        <v>0</v>
      </c>
      <c r="H186" s="55">
        <f t="shared" si="149"/>
        <v>0</v>
      </c>
      <c r="I186" s="55">
        <f t="shared" si="149"/>
        <v>0</v>
      </c>
      <c r="J186" s="55">
        <f t="shared" si="149"/>
        <v>0</v>
      </c>
      <c r="K186" s="55">
        <f t="shared" si="149"/>
        <v>0</v>
      </c>
      <c r="L186" s="55">
        <f t="shared" si="149"/>
        <v>46.741379999999999</v>
      </c>
      <c r="M186" s="55">
        <f t="shared" si="149"/>
        <v>136.11642156862749</v>
      </c>
      <c r="N186" s="55">
        <f t="shared" si="149"/>
        <v>66.411764705882362</v>
      </c>
      <c r="O186" s="55">
        <f t="shared" si="149"/>
        <v>0</v>
      </c>
      <c r="P186" s="55">
        <f t="shared" si="149"/>
        <v>0</v>
      </c>
      <c r="Q186" s="55">
        <f t="shared" si="149"/>
        <v>0</v>
      </c>
      <c r="R186" s="55">
        <f t="shared" si="149"/>
        <v>0</v>
      </c>
      <c r="S186" s="55">
        <f t="shared" si="149"/>
        <v>0</v>
      </c>
      <c r="T186" s="55">
        <f t="shared" si="149"/>
        <v>0</v>
      </c>
      <c r="U186" s="55">
        <f t="shared" si="149"/>
        <v>0</v>
      </c>
      <c r="V186" s="55">
        <f t="shared" si="149"/>
        <v>0</v>
      </c>
      <c r="W186" s="55">
        <f t="shared" si="149"/>
        <v>0</v>
      </c>
      <c r="X186" s="55">
        <f t="shared" si="149"/>
        <v>0</v>
      </c>
      <c r="Y186" s="55">
        <f t="shared" si="149"/>
        <v>0</v>
      </c>
      <c r="Z186" s="55">
        <f t="shared" si="149"/>
        <v>0</v>
      </c>
      <c r="AA186" s="55">
        <f t="shared" si="149"/>
        <v>0</v>
      </c>
      <c r="AB186" s="55">
        <f t="shared" si="149"/>
        <v>0</v>
      </c>
      <c r="AC186" s="55">
        <f t="shared" si="149"/>
        <v>0</v>
      </c>
      <c r="AD186" s="55">
        <f t="shared" si="149"/>
        <v>0</v>
      </c>
      <c r="AE186" s="55">
        <f t="shared" si="149"/>
        <v>0</v>
      </c>
      <c r="AF186" s="55">
        <f t="shared" si="149"/>
        <v>0</v>
      </c>
      <c r="AG186" s="55">
        <f t="shared" si="149"/>
        <v>0</v>
      </c>
      <c r="AH186" s="55">
        <f t="shared" si="149"/>
        <v>0</v>
      </c>
      <c r="AI186" s="55">
        <f t="shared" ref="AI186:BJ186" si="150">IF(AND(AI$127&gt;=$I78,AI$127&lt;$I78+$F78),INDEX($T78:$AI78,AI$127-$I78+1),0)</f>
        <v>0</v>
      </c>
      <c r="AJ186" s="55">
        <f t="shared" si="150"/>
        <v>0</v>
      </c>
      <c r="AK186" s="55">
        <f t="shared" si="150"/>
        <v>0</v>
      </c>
      <c r="AL186" s="55">
        <f t="shared" si="150"/>
        <v>0</v>
      </c>
      <c r="AM186" s="55">
        <f t="shared" si="150"/>
        <v>0</v>
      </c>
      <c r="AN186" s="55">
        <f t="shared" si="150"/>
        <v>0</v>
      </c>
      <c r="AO186" s="55">
        <f t="shared" si="150"/>
        <v>0</v>
      </c>
      <c r="AP186" s="55">
        <f t="shared" si="150"/>
        <v>0</v>
      </c>
      <c r="AQ186" s="55">
        <f t="shared" si="150"/>
        <v>0</v>
      </c>
      <c r="AR186" s="55">
        <f t="shared" si="150"/>
        <v>0</v>
      </c>
      <c r="AS186" s="55">
        <f t="shared" si="150"/>
        <v>0</v>
      </c>
      <c r="AT186" s="55">
        <f t="shared" si="150"/>
        <v>0</v>
      </c>
      <c r="AU186" s="55">
        <f t="shared" si="150"/>
        <v>0</v>
      </c>
      <c r="AV186" s="55">
        <f t="shared" si="150"/>
        <v>0</v>
      </c>
      <c r="AW186" s="55">
        <f t="shared" si="150"/>
        <v>0</v>
      </c>
      <c r="AX186" s="55">
        <f t="shared" si="150"/>
        <v>0</v>
      </c>
      <c r="AY186" s="55">
        <f t="shared" si="150"/>
        <v>0</v>
      </c>
      <c r="AZ186" s="55">
        <f t="shared" si="150"/>
        <v>0</v>
      </c>
      <c r="BA186" s="55">
        <f t="shared" si="150"/>
        <v>0</v>
      </c>
      <c r="BB186" s="55">
        <f t="shared" si="150"/>
        <v>0</v>
      </c>
      <c r="BC186" s="55">
        <f t="shared" si="150"/>
        <v>0</v>
      </c>
      <c r="BD186" s="55">
        <f t="shared" si="150"/>
        <v>0</v>
      </c>
      <c r="BE186" s="55">
        <f t="shared" si="150"/>
        <v>0</v>
      </c>
      <c r="BF186" s="55">
        <f t="shared" si="150"/>
        <v>0</v>
      </c>
      <c r="BG186" s="55">
        <f t="shared" si="150"/>
        <v>0</v>
      </c>
      <c r="BH186" s="55">
        <f t="shared" si="150"/>
        <v>0</v>
      </c>
      <c r="BI186" s="55">
        <f t="shared" si="150"/>
        <v>0</v>
      </c>
      <c r="BJ186" s="55">
        <f t="shared" si="150"/>
        <v>0</v>
      </c>
    </row>
    <row r="187" spans="1:62" x14ac:dyDescent="0.3">
      <c r="A187" s="53" t="str">
        <f t="shared" si="104"/>
        <v>project 116</v>
      </c>
      <c r="C187" s="55">
        <f t="shared" ref="C187:AH187" si="151">IF(AND(C$127&gt;=$I79,C$127&lt;$I79+$F79),INDEX($T79:$AI79,C$127-$I79+1),0)</f>
        <v>37.162975645512972</v>
      </c>
      <c r="D187" s="55">
        <f t="shared" si="151"/>
        <v>36.434289848542129</v>
      </c>
      <c r="E187" s="55">
        <f t="shared" si="151"/>
        <v>35.773170291305803</v>
      </c>
      <c r="F187" s="55">
        <f t="shared" si="151"/>
        <v>35.071735579711579</v>
      </c>
      <c r="G187" s="55">
        <f t="shared" si="151"/>
        <v>34.384054489913296</v>
      </c>
      <c r="H187" s="55">
        <f t="shared" si="151"/>
        <v>0</v>
      </c>
      <c r="I187" s="55">
        <f t="shared" si="151"/>
        <v>0</v>
      </c>
      <c r="J187" s="55">
        <f t="shared" si="151"/>
        <v>0</v>
      </c>
      <c r="K187" s="55">
        <f t="shared" si="151"/>
        <v>0</v>
      </c>
      <c r="L187" s="55">
        <f t="shared" si="151"/>
        <v>0</v>
      </c>
      <c r="M187" s="55">
        <f t="shared" si="151"/>
        <v>0</v>
      </c>
      <c r="N187" s="55">
        <f t="shared" si="151"/>
        <v>0</v>
      </c>
      <c r="O187" s="55">
        <f t="shared" si="151"/>
        <v>0</v>
      </c>
      <c r="P187" s="55">
        <f t="shared" si="151"/>
        <v>0</v>
      </c>
      <c r="Q187" s="55">
        <f t="shared" si="151"/>
        <v>0</v>
      </c>
      <c r="R187" s="55">
        <f t="shared" si="151"/>
        <v>0</v>
      </c>
      <c r="S187" s="55">
        <f t="shared" si="151"/>
        <v>0</v>
      </c>
      <c r="T187" s="55">
        <f t="shared" si="151"/>
        <v>0</v>
      </c>
      <c r="U187" s="55">
        <f t="shared" si="151"/>
        <v>0</v>
      </c>
      <c r="V187" s="55">
        <f t="shared" si="151"/>
        <v>0</v>
      </c>
      <c r="W187" s="55">
        <f t="shared" si="151"/>
        <v>0</v>
      </c>
      <c r="X187" s="55">
        <f t="shared" si="151"/>
        <v>0</v>
      </c>
      <c r="Y187" s="55">
        <f t="shared" si="151"/>
        <v>0</v>
      </c>
      <c r="Z187" s="55">
        <f t="shared" si="151"/>
        <v>0</v>
      </c>
      <c r="AA187" s="55">
        <f t="shared" si="151"/>
        <v>0</v>
      </c>
      <c r="AB187" s="55">
        <f t="shared" si="151"/>
        <v>0</v>
      </c>
      <c r="AC187" s="55">
        <f t="shared" si="151"/>
        <v>0</v>
      </c>
      <c r="AD187" s="55">
        <f t="shared" si="151"/>
        <v>0</v>
      </c>
      <c r="AE187" s="55">
        <f t="shared" si="151"/>
        <v>0</v>
      </c>
      <c r="AF187" s="55">
        <f t="shared" si="151"/>
        <v>0</v>
      </c>
      <c r="AG187" s="55">
        <f t="shared" si="151"/>
        <v>0</v>
      </c>
      <c r="AH187" s="55">
        <f t="shared" si="151"/>
        <v>0</v>
      </c>
      <c r="AI187" s="55">
        <f t="shared" ref="AI187:BJ187" si="152">IF(AND(AI$127&gt;=$I79,AI$127&lt;$I79+$F79),INDEX($T79:$AI79,AI$127-$I79+1),0)</f>
        <v>0</v>
      </c>
      <c r="AJ187" s="55">
        <f t="shared" si="152"/>
        <v>0</v>
      </c>
      <c r="AK187" s="55">
        <f t="shared" si="152"/>
        <v>0</v>
      </c>
      <c r="AL187" s="55">
        <f t="shared" si="152"/>
        <v>0</v>
      </c>
      <c r="AM187" s="55">
        <f t="shared" si="152"/>
        <v>0</v>
      </c>
      <c r="AN187" s="55">
        <f t="shared" si="152"/>
        <v>0</v>
      </c>
      <c r="AO187" s="55">
        <f t="shared" si="152"/>
        <v>0</v>
      </c>
      <c r="AP187" s="55">
        <f t="shared" si="152"/>
        <v>0</v>
      </c>
      <c r="AQ187" s="55">
        <f t="shared" si="152"/>
        <v>0</v>
      </c>
      <c r="AR187" s="55">
        <f t="shared" si="152"/>
        <v>0</v>
      </c>
      <c r="AS187" s="55">
        <f t="shared" si="152"/>
        <v>0</v>
      </c>
      <c r="AT187" s="55">
        <f t="shared" si="152"/>
        <v>0</v>
      </c>
      <c r="AU187" s="55">
        <f t="shared" si="152"/>
        <v>0</v>
      </c>
      <c r="AV187" s="55">
        <f t="shared" si="152"/>
        <v>0</v>
      </c>
      <c r="AW187" s="55">
        <f t="shared" si="152"/>
        <v>0</v>
      </c>
      <c r="AX187" s="55">
        <f t="shared" si="152"/>
        <v>0</v>
      </c>
      <c r="AY187" s="55">
        <f t="shared" si="152"/>
        <v>0</v>
      </c>
      <c r="AZ187" s="55">
        <f t="shared" si="152"/>
        <v>0</v>
      </c>
      <c r="BA187" s="55">
        <f t="shared" si="152"/>
        <v>0</v>
      </c>
      <c r="BB187" s="55">
        <f t="shared" si="152"/>
        <v>0</v>
      </c>
      <c r="BC187" s="55">
        <f t="shared" si="152"/>
        <v>0</v>
      </c>
      <c r="BD187" s="55">
        <f t="shared" si="152"/>
        <v>0</v>
      </c>
      <c r="BE187" s="55">
        <f t="shared" si="152"/>
        <v>0</v>
      </c>
      <c r="BF187" s="55">
        <f t="shared" si="152"/>
        <v>0</v>
      </c>
      <c r="BG187" s="55">
        <f t="shared" si="152"/>
        <v>0</v>
      </c>
      <c r="BH187" s="55">
        <f t="shared" si="152"/>
        <v>0</v>
      </c>
      <c r="BI187" s="55">
        <f t="shared" si="152"/>
        <v>0</v>
      </c>
      <c r="BJ187" s="55">
        <f t="shared" si="152"/>
        <v>0</v>
      </c>
    </row>
    <row r="188" spans="1:62" x14ac:dyDescent="0.3">
      <c r="A188" s="53" t="str">
        <f t="shared" si="104"/>
        <v>project 119</v>
      </c>
      <c r="C188" s="55">
        <f t="shared" ref="C188:AH188" si="153">IF(AND(C$127&gt;=$I80,C$127&lt;$I80+$F80),INDEX($T80:$AI80,C$127-$I80+1),0)</f>
        <v>0</v>
      </c>
      <c r="D188" s="55">
        <f t="shared" si="153"/>
        <v>0</v>
      </c>
      <c r="E188" s="55">
        <f t="shared" si="153"/>
        <v>0</v>
      </c>
      <c r="F188" s="55">
        <f t="shared" si="153"/>
        <v>7.2783009999999999</v>
      </c>
      <c r="G188" s="55">
        <f t="shared" si="153"/>
        <v>7.1216107843137264</v>
      </c>
      <c r="H188" s="55">
        <f t="shared" si="153"/>
        <v>10.686274509803919</v>
      </c>
      <c r="I188" s="55">
        <f t="shared" si="153"/>
        <v>57.622068435217223</v>
      </c>
      <c r="J188" s="55">
        <f t="shared" si="153"/>
        <v>48.665483109814467</v>
      </c>
      <c r="K188" s="55">
        <f t="shared" si="153"/>
        <v>5.0349575718445028</v>
      </c>
      <c r="L188" s="55">
        <f t="shared" si="153"/>
        <v>0</v>
      </c>
      <c r="M188" s="55">
        <f t="shared" si="153"/>
        <v>0</v>
      </c>
      <c r="N188" s="55">
        <f t="shared" si="153"/>
        <v>0</v>
      </c>
      <c r="O188" s="55">
        <f t="shared" si="153"/>
        <v>0</v>
      </c>
      <c r="P188" s="55">
        <f t="shared" si="153"/>
        <v>0</v>
      </c>
      <c r="Q188" s="55">
        <f t="shared" si="153"/>
        <v>0</v>
      </c>
      <c r="R188" s="55">
        <f t="shared" si="153"/>
        <v>0</v>
      </c>
      <c r="S188" s="55">
        <f t="shared" si="153"/>
        <v>0</v>
      </c>
      <c r="T188" s="55">
        <f t="shared" si="153"/>
        <v>0</v>
      </c>
      <c r="U188" s="55">
        <f t="shared" si="153"/>
        <v>0</v>
      </c>
      <c r="V188" s="55">
        <f t="shared" si="153"/>
        <v>0</v>
      </c>
      <c r="W188" s="55">
        <f t="shared" si="153"/>
        <v>0</v>
      </c>
      <c r="X188" s="55">
        <f t="shared" si="153"/>
        <v>0</v>
      </c>
      <c r="Y188" s="55">
        <f t="shared" si="153"/>
        <v>0</v>
      </c>
      <c r="Z188" s="55">
        <f t="shared" si="153"/>
        <v>0</v>
      </c>
      <c r="AA188" s="55">
        <f t="shared" si="153"/>
        <v>0</v>
      </c>
      <c r="AB188" s="55">
        <f t="shared" si="153"/>
        <v>0</v>
      </c>
      <c r="AC188" s="55">
        <f t="shared" si="153"/>
        <v>0</v>
      </c>
      <c r="AD188" s="55">
        <f t="shared" si="153"/>
        <v>0</v>
      </c>
      <c r="AE188" s="55">
        <f t="shared" si="153"/>
        <v>0</v>
      </c>
      <c r="AF188" s="55">
        <f t="shared" si="153"/>
        <v>0</v>
      </c>
      <c r="AG188" s="55">
        <f t="shared" si="153"/>
        <v>0</v>
      </c>
      <c r="AH188" s="55">
        <f t="shared" si="153"/>
        <v>0</v>
      </c>
      <c r="AI188" s="55">
        <f t="shared" ref="AI188:BJ188" si="154">IF(AND(AI$127&gt;=$I80,AI$127&lt;$I80+$F80),INDEX($T80:$AI80,AI$127-$I80+1),0)</f>
        <v>0</v>
      </c>
      <c r="AJ188" s="55">
        <f t="shared" si="154"/>
        <v>0</v>
      </c>
      <c r="AK188" s="55">
        <f t="shared" si="154"/>
        <v>0</v>
      </c>
      <c r="AL188" s="55">
        <f t="shared" si="154"/>
        <v>0</v>
      </c>
      <c r="AM188" s="55">
        <f t="shared" si="154"/>
        <v>0</v>
      </c>
      <c r="AN188" s="55">
        <f t="shared" si="154"/>
        <v>0</v>
      </c>
      <c r="AO188" s="55">
        <f t="shared" si="154"/>
        <v>0</v>
      </c>
      <c r="AP188" s="55">
        <f t="shared" si="154"/>
        <v>0</v>
      </c>
      <c r="AQ188" s="55">
        <f t="shared" si="154"/>
        <v>0</v>
      </c>
      <c r="AR188" s="55">
        <f t="shared" si="154"/>
        <v>0</v>
      </c>
      <c r="AS188" s="55">
        <f t="shared" si="154"/>
        <v>0</v>
      </c>
      <c r="AT188" s="55">
        <f t="shared" si="154"/>
        <v>0</v>
      </c>
      <c r="AU188" s="55">
        <f t="shared" si="154"/>
        <v>0</v>
      </c>
      <c r="AV188" s="55">
        <f t="shared" si="154"/>
        <v>0</v>
      </c>
      <c r="AW188" s="55">
        <f t="shared" si="154"/>
        <v>0</v>
      </c>
      <c r="AX188" s="55">
        <f t="shared" si="154"/>
        <v>0</v>
      </c>
      <c r="AY188" s="55">
        <f t="shared" si="154"/>
        <v>0</v>
      </c>
      <c r="AZ188" s="55">
        <f t="shared" si="154"/>
        <v>0</v>
      </c>
      <c r="BA188" s="55">
        <f t="shared" si="154"/>
        <v>0</v>
      </c>
      <c r="BB188" s="55">
        <f t="shared" si="154"/>
        <v>0</v>
      </c>
      <c r="BC188" s="55">
        <f t="shared" si="154"/>
        <v>0</v>
      </c>
      <c r="BD188" s="55">
        <f t="shared" si="154"/>
        <v>0</v>
      </c>
      <c r="BE188" s="55">
        <f t="shared" si="154"/>
        <v>0</v>
      </c>
      <c r="BF188" s="55">
        <f t="shared" si="154"/>
        <v>0</v>
      </c>
      <c r="BG188" s="55">
        <f t="shared" si="154"/>
        <v>0</v>
      </c>
      <c r="BH188" s="55">
        <f t="shared" si="154"/>
        <v>0</v>
      </c>
      <c r="BI188" s="55">
        <f t="shared" si="154"/>
        <v>0</v>
      </c>
      <c r="BJ188" s="55">
        <f t="shared" si="154"/>
        <v>0</v>
      </c>
    </row>
    <row r="189" spans="1:62" x14ac:dyDescent="0.3">
      <c r="A189" s="53" t="str">
        <f t="shared" si="104"/>
        <v>project 120</v>
      </c>
      <c r="C189" s="55">
        <f t="shared" ref="C189:AH189" si="155">IF(AND(C$127&gt;=$I81,C$127&lt;$I81+$F81),INDEX($T81:$AI81,C$127-$I81+1),0)</f>
        <v>4.5780000000000003</v>
      </c>
      <c r="D189" s="55">
        <f t="shared" si="155"/>
        <v>11.73725490196078</v>
      </c>
      <c r="E189" s="55">
        <f t="shared" si="155"/>
        <v>31.534986543637061</v>
      </c>
      <c r="F189" s="55">
        <f t="shared" si="155"/>
        <v>31.738358549878999</v>
      </c>
      <c r="G189" s="55">
        <f t="shared" si="155"/>
        <v>32.022330156931027</v>
      </c>
      <c r="H189" s="55">
        <f t="shared" si="155"/>
        <v>35.442152319454443</v>
      </c>
      <c r="I189" s="55">
        <f t="shared" si="155"/>
        <v>0</v>
      </c>
      <c r="J189" s="55">
        <f t="shared" si="155"/>
        <v>0</v>
      </c>
      <c r="K189" s="55">
        <f t="shared" si="155"/>
        <v>0</v>
      </c>
      <c r="L189" s="55">
        <f t="shared" si="155"/>
        <v>0</v>
      </c>
      <c r="M189" s="55">
        <f t="shared" si="155"/>
        <v>0</v>
      </c>
      <c r="N189" s="55">
        <f t="shared" si="155"/>
        <v>0</v>
      </c>
      <c r="O189" s="55">
        <f t="shared" si="155"/>
        <v>0</v>
      </c>
      <c r="P189" s="55">
        <f t="shared" si="155"/>
        <v>0</v>
      </c>
      <c r="Q189" s="55">
        <f t="shared" si="155"/>
        <v>0</v>
      </c>
      <c r="R189" s="55">
        <f t="shared" si="155"/>
        <v>0</v>
      </c>
      <c r="S189" s="55">
        <f t="shared" si="155"/>
        <v>0</v>
      </c>
      <c r="T189" s="55">
        <f t="shared" si="155"/>
        <v>0</v>
      </c>
      <c r="U189" s="55">
        <f t="shared" si="155"/>
        <v>0</v>
      </c>
      <c r="V189" s="55">
        <f t="shared" si="155"/>
        <v>0</v>
      </c>
      <c r="W189" s="55">
        <f t="shared" si="155"/>
        <v>0</v>
      </c>
      <c r="X189" s="55">
        <f t="shared" si="155"/>
        <v>0</v>
      </c>
      <c r="Y189" s="55">
        <f t="shared" si="155"/>
        <v>0</v>
      </c>
      <c r="Z189" s="55">
        <f t="shared" si="155"/>
        <v>0</v>
      </c>
      <c r="AA189" s="55">
        <f t="shared" si="155"/>
        <v>0</v>
      </c>
      <c r="AB189" s="55">
        <f t="shared" si="155"/>
        <v>0</v>
      </c>
      <c r="AC189" s="55">
        <f t="shared" si="155"/>
        <v>0</v>
      </c>
      <c r="AD189" s="55">
        <f t="shared" si="155"/>
        <v>0</v>
      </c>
      <c r="AE189" s="55">
        <f t="shared" si="155"/>
        <v>0</v>
      </c>
      <c r="AF189" s="55">
        <f t="shared" si="155"/>
        <v>0</v>
      </c>
      <c r="AG189" s="55">
        <f t="shared" si="155"/>
        <v>0</v>
      </c>
      <c r="AH189" s="55">
        <f t="shared" si="155"/>
        <v>0</v>
      </c>
      <c r="AI189" s="55">
        <f t="shared" ref="AI189:BJ189" si="156">IF(AND(AI$127&gt;=$I81,AI$127&lt;$I81+$F81),INDEX($T81:$AI81,AI$127-$I81+1),0)</f>
        <v>0</v>
      </c>
      <c r="AJ189" s="55">
        <f t="shared" si="156"/>
        <v>0</v>
      </c>
      <c r="AK189" s="55">
        <f t="shared" si="156"/>
        <v>0</v>
      </c>
      <c r="AL189" s="55">
        <f t="shared" si="156"/>
        <v>0</v>
      </c>
      <c r="AM189" s="55">
        <f t="shared" si="156"/>
        <v>0</v>
      </c>
      <c r="AN189" s="55">
        <f t="shared" si="156"/>
        <v>0</v>
      </c>
      <c r="AO189" s="55">
        <f t="shared" si="156"/>
        <v>0</v>
      </c>
      <c r="AP189" s="55">
        <f t="shared" si="156"/>
        <v>0</v>
      </c>
      <c r="AQ189" s="55">
        <f t="shared" si="156"/>
        <v>0</v>
      </c>
      <c r="AR189" s="55">
        <f t="shared" si="156"/>
        <v>0</v>
      </c>
      <c r="AS189" s="55">
        <f t="shared" si="156"/>
        <v>0</v>
      </c>
      <c r="AT189" s="55">
        <f t="shared" si="156"/>
        <v>0</v>
      </c>
      <c r="AU189" s="55">
        <f t="shared" si="156"/>
        <v>0</v>
      </c>
      <c r="AV189" s="55">
        <f t="shared" si="156"/>
        <v>0</v>
      </c>
      <c r="AW189" s="55">
        <f t="shared" si="156"/>
        <v>0</v>
      </c>
      <c r="AX189" s="55">
        <f t="shared" si="156"/>
        <v>0</v>
      </c>
      <c r="AY189" s="55">
        <f t="shared" si="156"/>
        <v>0</v>
      </c>
      <c r="AZ189" s="55">
        <f t="shared" si="156"/>
        <v>0</v>
      </c>
      <c r="BA189" s="55">
        <f t="shared" si="156"/>
        <v>0</v>
      </c>
      <c r="BB189" s="55">
        <f t="shared" si="156"/>
        <v>0</v>
      </c>
      <c r="BC189" s="55">
        <f t="shared" si="156"/>
        <v>0</v>
      </c>
      <c r="BD189" s="55">
        <f t="shared" si="156"/>
        <v>0</v>
      </c>
      <c r="BE189" s="55">
        <f t="shared" si="156"/>
        <v>0</v>
      </c>
      <c r="BF189" s="55">
        <f t="shared" si="156"/>
        <v>0</v>
      </c>
      <c r="BG189" s="55">
        <f t="shared" si="156"/>
        <v>0</v>
      </c>
      <c r="BH189" s="55">
        <f t="shared" si="156"/>
        <v>0</v>
      </c>
      <c r="BI189" s="55">
        <f t="shared" si="156"/>
        <v>0</v>
      </c>
      <c r="BJ189" s="55">
        <f t="shared" si="156"/>
        <v>0</v>
      </c>
    </row>
    <row r="190" spans="1:62" x14ac:dyDescent="0.3">
      <c r="A190" s="53" t="str">
        <f t="shared" si="104"/>
        <v>project 121</v>
      </c>
      <c r="C190" s="55">
        <f t="shared" ref="C190:AH190" si="157">IF(AND(C$127&gt;=$I82,C$127&lt;$I82+$F82),INDEX($T82:$AI82,C$127-$I82+1),0)</f>
        <v>0</v>
      </c>
      <c r="D190" s="55">
        <f t="shared" si="157"/>
        <v>0</v>
      </c>
      <c r="E190" s="55">
        <f t="shared" si="157"/>
        <v>0</v>
      </c>
      <c r="F190" s="55">
        <f t="shared" si="157"/>
        <v>0</v>
      </c>
      <c r="G190" s="55">
        <f t="shared" si="157"/>
        <v>0</v>
      </c>
      <c r="H190" s="55">
        <f t="shared" si="157"/>
        <v>0</v>
      </c>
      <c r="I190" s="55">
        <f t="shared" si="157"/>
        <v>0</v>
      </c>
      <c r="J190" s="55">
        <f t="shared" si="157"/>
        <v>0</v>
      </c>
      <c r="K190" s="55">
        <f t="shared" si="157"/>
        <v>0</v>
      </c>
      <c r="L190" s="55">
        <f t="shared" si="157"/>
        <v>0</v>
      </c>
      <c r="M190" s="55">
        <f t="shared" si="157"/>
        <v>0</v>
      </c>
      <c r="N190" s="55">
        <f t="shared" si="157"/>
        <v>0</v>
      </c>
      <c r="O190" s="55">
        <f t="shared" si="157"/>
        <v>0</v>
      </c>
      <c r="P190" s="55">
        <f t="shared" si="157"/>
        <v>0</v>
      </c>
      <c r="Q190" s="55">
        <f t="shared" si="157"/>
        <v>0</v>
      </c>
      <c r="R190" s="55">
        <f t="shared" si="157"/>
        <v>0</v>
      </c>
      <c r="S190" s="55">
        <f t="shared" si="157"/>
        <v>43.475078871835947</v>
      </c>
      <c r="T190" s="55">
        <f t="shared" si="157"/>
        <v>42.70097676101247</v>
      </c>
      <c r="U190" s="55">
        <f t="shared" si="157"/>
        <v>41.863702706874967</v>
      </c>
      <c r="V190" s="55">
        <f t="shared" si="157"/>
        <v>0</v>
      </c>
      <c r="W190" s="55">
        <f t="shared" si="157"/>
        <v>0</v>
      </c>
      <c r="X190" s="55">
        <f t="shared" si="157"/>
        <v>0</v>
      </c>
      <c r="Y190" s="55">
        <f t="shared" si="157"/>
        <v>0</v>
      </c>
      <c r="Z190" s="55">
        <f t="shared" si="157"/>
        <v>0</v>
      </c>
      <c r="AA190" s="55">
        <f t="shared" si="157"/>
        <v>0</v>
      </c>
      <c r="AB190" s="55">
        <f t="shared" si="157"/>
        <v>0</v>
      </c>
      <c r="AC190" s="55">
        <f t="shared" si="157"/>
        <v>0</v>
      </c>
      <c r="AD190" s="55">
        <f t="shared" si="157"/>
        <v>0</v>
      </c>
      <c r="AE190" s="55">
        <f t="shared" si="157"/>
        <v>0</v>
      </c>
      <c r="AF190" s="55">
        <f t="shared" si="157"/>
        <v>0</v>
      </c>
      <c r="AG190" s="55">
        <f t="shared" si="157"/>
        <v>0</v>
      </c>
      <c r="AH190" s="55">
        <f t="shared" si="157"/>
        <v>0</v>
      </c>
      <c r="AI190" s="55">
        <f t="shared" ref="AI190:BJ190" si="158">IF(AND(AI$127&gt;=$I82,AI$127&lt;$I82+$F82),INDEX($T82:$AI82,AI$127-$I82+1),0)</f>
        <v>0</v>
      </c>
      <c r="AJ190" s="55">
        <f t="shared" si="158"/>
        <v>0</v>
      </c>
      <c r="AK190" s="55">
        <f t="shared" si="158"/>
        <v>0</v>
      </c>
      <c r="AL190" s="55">
        <f t="shared" si="158"/>
        <v>0</v>
      </c>
      <c r="AM190" s="55">
        <f t="shared" si="158"/>
        <v>0</v>
      </c>
      <c r="AN190" s="55">
        <f t="shared" si="158"/>
        <v>0</v>
      </c>
      <c r="AO190" s="55">
        <f t="shared" si="158"/>
        <v>0</v>
      </c>
      <c r="AP190" s="55">
        <f t="shared" si="158"/>
        <v>0</v>
      </c>
      <c r="AQ190" s="55">
        <f t="shared" si="158"/>
        <v>0</v>
      </c>
      <c r="AR190" s="55">
        <f t="shared" si="158"/>
        <v>0</v>
      </c>
      <c r="AS190" s="55">
        <f t="shared" si="158"/>
        <v>0</v>
      </c>
      <c r="AT190" s="55">
        <f t="shared" si="158"/>
        <v>0</v>
      </c>
      <c r="AU190" s="55">
        <f t="shared" si="158"/>
        <v>0</v>
      </c>
      <c r="AV190" s="55">
        <f t="shared" si="158"/>
        <v>0</v>
      </c>
      <c r="AW190" s="55">
        <f t="shared" si="158"/>
        <v>0</v>
      </c>
      <c r="AX190" s="55">
        <f t="shared" si="158"/>
        <v>0</v>
      </c>
      <c r="AY190" s="55">
        <f t="shared" si="158"/>
        <v>0</v>
      </c>
      <c r="AZ190" s="55">
        <f t="shared" si="158"/>
        <v>0</v>
      </c>
      <c r="BA190" s="55">
        <f t="shared" si="158"/>
        <v>0</v>
      </c>
      <c r="BB190" s="55">
        <f t="shared" si="158"/>
        <v>0</v>
      </c>
      <c r="BC190" s="55">
        <f t="shared" si="158"/>
        <v>0</v>
      </c>
      <c r="BD190" s="55">
        <f t="shared" si="158"/>
        <v>0</v>
      </c>
      <c r="BE190" s="55">
        <f t="shared" si="158"/>
        <v>0</v>
      </c>
      <c r="BF190" s="55">
        <f t="shared" si="158"/>
        <v>0</v>
      </c>
      <c r="BG190" s="55">
        <f t="shared" si="158"/>
        <v>0</v>
      </c>
      <c r="BH190" s="55">
        <f t="shared" si="158"/>
        <v>0</v>
      </c>
      <c r="BI190" s="55">
        <f t="shared" si="158"/>
        <v>0</v>
      </c>
      <c r="BJ190" s="55">
        <f t="shared" si="158"/>
        <v>0</v>
      </c>
    </row>
    <row r="191" spans="1:62" x14ac:dyDescent="0.3">
      <c r="A191" s="53" t="str">
        <f t="shared" si="104"/>
        <v>project 125</v>
      </c>
      <c r="C191" s="55">
        <f t="shared" ref="C191:AH191" si="159">IF(AND(C$127&gt;=$I83,C$127&lt;$I83+$F83),INDEX($T83:$AI83,C$127-$I83+1),0)</f>
        <v>0</v>
      </c>
      <c r="D191" s="55">
        <f t="shared" si="159"/>
        <v>0</v>
      </c>
      <c r="E191" s="55">
        <f t="shared" si="159"/>
        <v>0</v>
      </c>
      <c r="F191" s="55">
        <f t="shared" si="159"/>
        <v>0</v>
      </c>
      <c r="G191" s="55">
        <f t="shared" si="159"/>
        <v>0</v>
      </c>
      <c r="H191" s="55">
        <f t="shared" si="159"/>
        <v>0</v>
      </c>
      <c r="I191" s="55">
        <f t="shared" si="159"/>
        <v>0</v>
      </c>
      <c r="J191" s="55">
        <f t="shared" si="159"/>
        <v>0</v>
      </c>
      <c r="K191" s="55">
        <f t="shared" si="159"/>
        <v>0</v>
      </c>
      <c r="L191" s="55">
        <f t="shared" si="159"/>
        <v>0</v>
      </c>
      <c r="M191" s="55">
        <f t="shared" si="159"/>
        <v>0</v>
      </c>
      <c r="N191" s="55">
        <f t="shared" si="159"/>
        <v>0</v>
      </c>
      <c r="O191" s="55">
        <f t="shared" si="159"/>
        <v>0</v>
      </c>
      <c r="P191" s="55">
        <f t="shared" si="159"/>
        <v>0</v>
      </c>
      <c r="Q191" s="55">
        <f t="shared" si="159"/>
        <v>0</v>
      </c>
      <c r="R191" s="55">
        <f t="shared" si="159"/>
        <v>0</v>
      </c>
      <c r="S191" s="55">
        <f t="shared" si="159"/>
        <v>24.044117647058819</v>
      </c>
      <c r="T191" s="55">
        <f t="shared" si="159"/>
        <v>70.717993079584772</v>
      </c>
      <c r="U191" s="55">
        <f t="shared" si="159"/>
        <v>0</v>
      </c>
      <c r="V191" s="55">
        <f t="shared" si="159"/>
        <v>0</v>
      </c>
      <c r="W191" s="55">
        <f t="shared" si="159"/>
        <v>0</v>
      </c>
      <c r="X191" s="55">
        <f t="shared" si="159"/>
        <v>0</v>
      </c>
      <c r="Y191" s="55">
        <f t="shared" si="159"/>
        <v>0</v>
      </c>
      <c r="Z191" s="55">
        <f t="shared" si="159"/>
        <v>0</v>
      </c>
      <c r="AA191" s="55">
        <f t="shared" si="159"/>
        <v>0</v>
      </c>
      <c r="AB191" s="55">
        <f t="shared" si="159"/>
        <v>0</v>
      </c>
      <c r="AC191" s="55">
        <f t="shared" si="159"/>
        <v>0</v>
      </c>
      <c r="AD191" s="55">
        <f t="shared" si="159"/>
        <v>0</v>
      </c>
      <c r="AE191" s="55">
        <f t="shared" si="159"/>
        <v>0</v>
      </c>
      <c r="AF191" s="55">
        <f t="shared" si="159"/>
        <v>0</v>
      </c>
      <c r="AG191" s="55">
        <f t="shared" si="159"/>
        <v>0</v>
      </c>
      <c r="AH191" s="55">
        <f t="shared" si="159"/>
        <v>0</v>
      </c>
      <c r="AI191" s="55">
        <f t="shared" ref="AI191:BJ191" si="160">IF(AND(AI$127&gt;=$I83,AI$127&lt;$I83+$F83),INDEX($T83:$AI83,AI$127-$I83+1),0)</f>
        <v>0</v>
      </c>
      <c r="AJ191" s="55">
        <f t="shared" si="160"/>
        <v>0</v>
      </c>
      <c r="AK191" s="55">
        <f t="shared" si="160"/>
        <v>0</v>
      </c>
      <c r="AL191" s="55">
        <f t="shared" si="160"/>
        <v>0</v>
      </c>
      <c r="AM191" s="55">
        <f t="shared" si="160"/>
        <v>0</v>
      </c>
      <c r="AN191" s="55">
        <f t="shared" si="160"/>
        <v>0</v>
      </c>
      <c r="AO191" s="55">
        <f t="shared" si="160"/>
        <v>0</v>
      </c>
      <c r="AP191" s="55">
        <f t="shared" si="160"/>
        <v>0</v>
      </c>
      <c r="AQ191" s="55">
        <f t="shared" si="160"/>
        <v>0</v>
      </c>
      <c r="AR191" s="55">
        <f t="shared" si="160"/>
        <v>0</v>
      </c>
      <c r="AS191" s="55">
        <f t="shared" si="160"/>
        <v>0</v>
      </c>
      <c r="AT191" s="55">
        <f t="shared" si="160"/>
        <v>0</v>
      </c>
      <c r="AU191" s="55">
        <f t="shared" si="160"/>
        <v>0</v>
      </c>
      <c r="AV191" s="55">
        <f t="shared" si="160"/>
        <v>0</v>
      </c>
      <c r="AW191" s="55">
        <f t="shared" si="160"/>
        <v>0</v>
      </c>
      <c r="AX191" s="55">
        <f t="shared" si="160"/>
        <v>0</v>
      </c>
      <c r="AY191" s="55">
        <f t="shared" si="160"/>
        <v>0</v>
      </c>
      <c r="AZ191" s="55">
        <f t="shared" si="160"/>
        <v>0</v>
      </c>
      <c r="BA191" s="55">
        <f t="shared" si="160"/>
        <v>0</v>
      </c>
      <c r="BB191" s="55">
        <f t="shared" si="160"/>
        <v>0</v>
      </c>
      <c r="BC191" s="55">
        <f t="shared" si="160"/>
        <v>0</v>
      </c>
      <c r="BD191" s="55">
        <f t="shared" si="160"/>
        <v>0</v>
      </c>
      <c r="BE191" s="55">
        <f t="shared" si="160"/>
        <v>0</v>
      </c>
      <c r="BF191" s="55">
        <f t="shared" si="160"/>
        <v>0</v>
      </c>
      <c r="BG191" s="55">
        <f t="shared" si="160"/>
        <v>0</v>
      </c>
      <c r="BH191" s="55">
        <f t="shared" si="160"/>
        <v>0</v>
      </c>
      <c r="BI191" s="55">
        <f t="shared" si="160"/>
        <v>0</v>
      </c>
      <c r="BJ191" s="55">
        <f t="shared" si="160"/>
        <v>0</v>
      </c>
    </row>
    <row r="192" spans="1:62" x14ac:dyDescent="0.3">
      <c r="A192" s="53" t="str">
        <f t="shared" si="104"/>
        <v>project 126</v>
      </c>
      <c r="C192" s="55">
        <f t="shared" ref="C192:AH192" si="161">IF(AND(C$127&gt;=$I84,C$127&lt;$I84+$F84),INDEX($T84:$AI84,C$127-$I84+1),0)</f>
        <v>0</v>
      </c>
      <c r="D192" s="55">
        <f t="shared" si="161"/>
        <v>0</v>
      </c>
      <c r="E192" s="55">
        <f t="shared" si="161"/>
        <v>0</v>
      </c>
      <c r="F192" s="55">
        <f t="shared" si="161"/>
        <v>0</v>
      </c>
      <c r="G192" s="55">
        <f t="shared" si="161"/>
        <v>0</v>
      </c>
      <c r="H192" s="55">
        <f t="shared" si="161"/>
        <v>0</v>
      </c>
      <c r="I192" s="55">
        <f t="shared" si="161"/>
        <v>0</v>
      </c>
      <c r="J192" s="55">
        <f t="shared" si="161"/>
        <v>0</v>
      </c>
      <c r="K192" s="55">
        <f t="shared" si="161"/>
        <v>0</v>
      </c>
      <c r="L192" s="55">
        <f t="shared" si="161"/>
        <v>0</v>
      </c>
      <c r="M192" s="55">
        <f t="shared" si="161"/>
        <v>0</v>
      </c>
      <c r="N192" s="55">
        <f t="shared" si="161"/>
        <v>0</v>
      </c>
      <c r="O192" s="55">
        <f t="shared" si="161"/>
        <v>0</v>
      </c>
      <c r="P192" s="55">
        <f t="shared" si="161"/>
        <v>0</v>
      </c>
      <c r="Q192" s="55">
        <f t="shared" si="161"/>
        <v>0</v>
      </c>
      <c r="R192" s="55">
        <f t="shared" si="161"/>
        <v>5.3</v>
      </c>
      <c r="S192" s="55">
        <f t="shared" si="161"/>
        <v>37.254901960784309</v>
      </c>
      <c r="T192" s="55">
        <f t="shared" si="161"/>
        <v>31.43021914648212</v>
      </c>
      <c r="U192" s="55">
        <f t="shared" si="161"/>
        <v>30.813940339688351</v>
      </c>
      <c r="V192" s="55">
        <f t="shared" si="161"/>
        <v>0</v>
      </c>
      <c r="W192" s="55">
        <f t="shared" si="161"/>
        <v>0</v>
      </c>
      <c r="X192" s="55">
        <f t="shared" si="161"/>
        <v>0</v>
      </c>
      <c r="Y192" s="55">
        <f t="shared" si="161"/>
        <v>0</v>
      </c>
      <c r="Z192" s="55">
        <f t="shared" si="161"/>
        <v>0</v>
      </c>
      <c r="AA192" s="55">
        <f t="shared" si="161"/>
        <v>0</v>
      </c>
      <c r="AB192" s="55">
        <f t="shared" si="161"/>
        <v>0</v>
      </c>
      <c r="AC192" s="55">
        <f t="shared" si="161"/>
        <v>0</v>
      </c>
      <c r="AD192" s="55">
        <f t="shared" si="161"/>
        <v>0</v>
      </c>
      <c r="AE192" s="55">
        <f t="shared" si="161"/>
        <v>0</v>
      </c>
      <c r="AF192" s="55">
        <f t="shared" si="161"/>
        <v>0</v>
      </c>
      <c r="AG192" s="55">
        <f t="shared" si="161"/>
        <v>0</v>
      </c>
      <c r="AH192" s="55">
        <f t="shared" si="161"/>
        <v>0</v>
      </c>
      <c r="AI192" s="55">
        <f t="shared" ref="AI192:BJ192" si="162">IF(AND(AI$127&gt;=$I84,AI$127&lt;$I84+$F84),INDEX($T84:$AI84,AI$127-$I84+1),0)</f>
        <v>0</v>
      </c>
      <c r="AJ192" s="55">
        <f t="shared" si="162"/>
        <v>0</v>
      </c>
      <c r="AK192" s="55">
        <f t="shared" si="162"/>
        <v>0</v>
      </c>
      <c r="AL192" s="55">
        <f t="shared" si="162"/>
        <v>0</v>
      </c>
      <c r="AM192" s="55">
        <f t="shared" si="162"/>
        <v>0</v>
      </c>
      <c r="AN192" s="55">
        <f t="shared" si="162"/>
        <v>0</v>
      </c>
      <c r="AO192" s="55">
        <f t="shared" si="162"/>
        <v>0</v>
      </c>
      <c r="AP192" s="55">
        <f t="shared" si="162"/>
        <v>0</v>
      </c>
      <c r="AQ192" s="55">
        <f t="shared" si="162"/>
        <v>0</v>
      </c>
      <c r="AR192" s="55">
        <f t="shared" si="162"/>
        <v>0</v>
      </c>
      <c r="AS192" s="55">
        <f t="shared" si="162"/>
        <v>0</v>
      </c>
      <c r="AT192" s="55">
        <f t="shared" si="162"/>
        <v>0</v>
      </c>
      <c r="AU192" s="55">
        <f t="shared" si="162"/>
        <v>0</v>
      </c>
      <c r="AV192" s="55">
        <f t="shared" si="162"/>
        <v>0</v>
      </c>
      <c r="AW192" s="55">
        <f t="shared" si="162"/>
        <v>0</v>
      </c>
      <c r="AX192" s="55">
        <f t="shared" si="162"/>
        <v>0</v>
      </c>
      <c r="AY192" s="55">
        <f t="shared" si="162"/>
        <v>0</v>
      </c>
      <c r="AZ192" s="55">
        <f t="shared" si="162"/>
        <v>0</v>
      </c>
      <c r="BA192" s="55">
        <f t="shared" si="162"/>
        <v>0</v>
      </c>
      <c r="BB192" s="55">
        <f t="shared" si="162"/>
        <v>0</v>
      </c>
      <c r="BC192" s="55">
        <f t="shared" si="162"/>
        <v>0</v>
      </c>
      <c r="BD192" s="55">
        <f t="shared" si="162"/>
        <v>0</v>
      </c>
      <c r="BE192" s="55">
        <f t="shared" si="162"/>
        <v>0</v>
      </c>
      <c r="BF192" s="55">
        <f t="shared" si="162"/>
        <v>0</v>
      </c>
      <c r="BG192" s="55">
        <f t="shared" si="162"/>
        <v>0</v>
      </c>
      <c r="BH192" s="55">
        <f t="shared" si="162"/>
        <v>0</v>
      </c>
      <c r="BI192" s="55">
        <f t="shared" si="162"/>
        <v>0</v>
      </c>
      <c r="BJ192" s="55">
        <f t="shared" si="162"/>
        <v>0</v>
      </c>
    </row>
    <row r="193" spans="1:62" x14ac:dyDescent="0.3">
      <c r="A193" s="53" t="str">
        <f t="shared" si="104"/>
        <v>project 128</v>
      </c>
      <c r="C193" s="55">
        <f t="shared" ref="C193:AH193" si="163">IF(AND(C$127&gt;=$I85,C$127&lt;$I85+$F85),INDEX($T85:$AI85,C$127-$I85+1),0)</f>
        <v>0</v>
      </c>
      <c r="D193" s="55">
        <f t="shared" si="163"/>
        <v>0</v>
      </c>
      <c r="E193" s="55">
        <f t="shared" si="163"/>
        <v>0</v>
      </c>
      <c r="F193" s="55">
        <f t="shared" si="163"/>
        <v>0.32700000000000001</v>
      </c>
      <c r="G193" s="55">
        <f t="shared" si="163"/>
        <v>0.64117647058823535</v>
      </c>
      <c r="H193" s="55">
        <f t="shared" si="163"/>
        <v>2.17128027681661</v>
      </c>
      <c r="I193" s="55">
        <f t="shared" si="163"/>
        <v>34.228916480086838</v>
      </c>
      <c r="J193" s="55">
        <f t="shared" si="163"/>
        <v>36.654491123027981</v>
      </c>
      <c r="K193" s="55">
        <f t="shared" si="163"/>
        <v>0</v>
      </c>
      <c r="L193" s="55">
        <f t="shared" si="163"/>
        <v>0</v>
      </c>
      <c r="M193" s="55">
        <f t="shared" si="163"/>
        <v>0</v>
      </c>
      <c r="N193" s="55">
        <f t="shared" si="163"/>
        <v>0</v>
      </c>
      <c r="O193" s="55">
        <f t="shared" si="163"/>
        <v>0</v>
      </c>
      <c r="P193" s="55">
        <f t="shared" si="163"/>
        <v>0</v>
      </c>
      <c r="Q193" s="55">
        <f t="shared" si="163"/>
        <v>0</v>
      </c>
      <c r="R193" s="55">
        <f t="shared" si="163"/>
        <v>0</v>
      </c>
      <c r="S193" s="55">
        <f t="shared" si="163"/>
        <v>0</v>
      </c>
      <c r="T193" s="55">
        <f t="shared" si="163"/>
        <v>0</v>
      </c>
      <c r="U193" s="55">
        <f t="shared" si="163"/>
        <v>0</v>
      </c>
      <c r="V193" s="55">
        <f t="shared" si="163"/>
        <v>0</v>
      </c>
      <c r="W193" s="55">
        <f t="shared" si="163"/>
        <v>0</v>
      </c>
      <c r="X193" s="55">
        <f t="shared" si="163"/>
        <v>0</v>
      </c>
      <c r="Y193" s="55">
        <f t="shared" si="163"/>
        <v>0</v>
      </c>
      <c r="Z193" s="55">
        <f t="shared" si="163"/>
        <v>0</v>
      </c>
      <c r="AA193" s="55">
        <f t="shared" si="163"/>
        <v>0</v>
      </c>
      <c r="AB193" s="55">
        <f t="shared" si="163"/>
        <v>0</v>
      </c>
      <c r="AC193" s="55">
        <f t="shared" si="163"/>
        <v>0</v>
      </c>
      <c r="AD193" s="55">
        <f t="shared" si="163"/>
        <v>0</v>
      </c>
      <c r="AE193" s="55">
        <f t="shared" si="163"/>
        <v>0</v>
      </c>
      <c r="AF193" s="55">
        <f t="shared" si="163"/>
        <v>0</v>
      </c>
      <c r="AG193" s="55">
        <f t="shared" si="163"/>
        <v>0</v>
      </c>
      <c r="AH193" s="55">
        <f t="shared" si="163"/>
        <v>0</v>
      </c>
      <c r="AI193" s="55">
        <f t="shared" ref="AI193:BJ193" si="164">IF(AND(AI$127&gt;=$I85,AI$127&lt;$I85+$F85),INDEX($T85:$AI85,AI$127-$I85+1),0)</f>
        <v>0</v>
      </c>
      <c r="AJ193" s="55">
        <f t="shared" si="164"/>
        <v>0</v>
      </c>
      <c r="AK193" s="55">
        <f t="shared" si="164"/>
        <v>0</v>
      </c>
      <c r="AL193" s="55">
        <f t="shared" si="164"/>
        <v>0</v>
      </c>
      <c r="AM193" s="55">
        <f t="shared" si="164"/>
        <v>0</v>
      </c>
      <c r="AN193" s="55">
        <f t="shared" si="164"/>
        <v>0</v>
      </c>
      <c r="AO193" s="55">
        <f t="shared" si="164"/>
        <v>0</v>
      </c>
      <c r="AP193" s="55">
        <f t="shared" si="164"/>
        <v>0</v>
      </c>
      <c r="AQ193" s="55">
        <f t="shared" si="164"/>
        <v>0</v>
      </c>
      <c r="AR193" s="55">
        <f t="shared" si="164"/>
        <v>0</v>
      </c>
      <c r="AS193" s="55">
        <f t="shared" si="164"/>
        <v>0</v>
      </c>
      <c r="AT193" s="55">
        <f t="shared" si="164"/>
        <v>0</v>
      </c>
      <c r="AU193" s="55">
        <f t="shared" si="164"/>
        <v>0</v>
      </c>
      <c r="AV193" s="55">
        <f t="shared" si="164"/>
        <v>0</v>
      </c>
      <c r="AW193" s="55">
        <f t="shared" si="164"/>
        <v>0</v>
      </c>
      <c r="AX193" s="55">
        <f t="shared" si="164"/>
        <v>0</v>
      </c>
      <c r="AY193" s="55">
        <f t="shared" si="164"/>
        <v>0</v>
      </c>
      <c r="AZ193" s="55">
        <f t="shared" si="164"/>
        <v>0</v>
      </c>
      <c r="BA193" s="55">
        <f t="shared" si="164"/>
        <v>0</v>
      </c>
      <c r="BB193" s="55">
        <f t="shared" si="164"/>
        <v>0</v>
      </c>
      <c r="BC193" s="55">
        <f t="shared" si="164"/>
        <v>0</v>
      </c>
      <c r="BD193" s="55">
        <f t="shared" si="164"/>
        <v>0</v>
      </c>
      <c r="BE193" s="55">
        <f t="shared" si="164"/>
        <v>0</v>
      </c>
      <c r="BF193" s="55">
        <f t="shared" si="164"/>
        <v>0</v>
      </c>
      <c r="BG193" s="55">
        <f t="shared" si="164"/>
        <v>0</v>
      </c>
      <c r="BH193" s="55">
        <f t="shared" si="164"/>
        <v>0</v>
      </c>
      <c r="BI193" s="55">
        <f t="shared" si="164"/>
        <v>0</v>
      </c>
      <c r="BJ193" s="55">
        <f t="shared" si="164"/>
        <v>0</v>
      </c>
    </row>
    <row r="194" spans="1:62" x14ac:dyDescent="0.3">
      <c r="A194" s="53" t="str">
        <f t="shared" si="104"/>
        <v>project 130</v>
      </c>
      <c r="C194" s="55">
        <f t="shared" ref="C194:AH194" si="165">IF(AND(C$127&gt;=$I86,C$127&lt;$I86+$F86),INDEX($T86:$AI86,C$127-$I86+1),0)</f>
        <v>0.54500000000000004</v>
      </c>
      <c r="D194" s="55">
        <f t="shared" si="165"/>
        <v>1.816666666666666</v>
      </c>
      <c r="E194" s="55">
        <f t="shared" si="165"/>
        <v>4.7145328719723194</v>
      </c>
      <c r="F194" s="55">
        <f t="shared" si="165"/>
        <v>4.7248041854188809</v>
      </c>
      <c r="G194" s="55">
        <f t="shared" si="165"/>
        <v>5.9412499347765131</v>
      </c>
      <c r="H194" s="55">
        <f t="shared" si="165"/>
        <v>12.143132967389681</v>
      </c>
      <c r="I194" s="55">
        <f t="shared" si="165"/>
        <v>20.519242699558529</v>
      </c>
      <c r="J194" s="55">
        <f t="shared" si="165"/>
        <v>20.116904607410319</v>
      </c>
      <c r="K194" s="55">
        <f t="shared" si="165"/>
        <v>0</v>
      </c>
      <c r="L194" s="55">
        <f t="shared" si="165"/>
        <v>0</v>
      </c>
      <c r="M194" s="55">
        <f t="shared" si="165"/>
        <v>0</v>
      </c>
      <c r="N194" s="55">
        <f t="shared" si="165"/>
        <v>0</v>
      </c>
      <c r="O194" s="55">
        <f t="shared" si="165"/>
        <v>0</v>
      </c>
      <c r="P194" s="55">
        <f t="shared" si="165"/>
        <v>0</v>
      </c>
      <c r="Q194" s="55">
        <f t="shared" si="165"/>
        <v>0</v>
      </c>
      <c r="R194" s="55">
        <f t="shared" si="165"/>
        <v>0</v>
      </c>
      <c r="S194" s="55">
        <f t="shared" si="165"/>
        <v>0</v>
      </c>
      <c r="T194" s="55">
        <f t="shared" si="165"/>
        <v>0</v>
      </c>
      <c r="U194" s="55">
        <f t="shared" si="165"/>
        <v>0</v>
      </c>
      <c r="V194" s="55">
        <f t="shared" si="165"/>
        <v>0</v>
      </c>
      <c r="W194" s="55">
        <f t="shared" si="165"/>
        <v>0</v>
      </c>
      <c r="X194" s="55">
        <f t="shared" si="165"/>
        <v>0</v>
      </c>
      <c r="Y194" s="55">
        <f t="shared" si="165"/>
        <v>0</v>
      </c>
      <c r="Z194" s="55">
        <f t="shared" si="165"/>
        <v>0</v>
      </c>
      <c r="AA194" s="55">
        <f t="shared" si="165"/>
        <v>0</v>
      </c>
      <c r="AB194" s="55">
        <f t="shared" si="165"/>
        <v>0</v>
      </c>
      <c r="AC194" s="55">
        <f t="shared" si="165"/>
        <v>0</v>
      </c>
      <c r="AD194" s="55">
        <f t="shared" si="165"/>
        <v>0</v>
      </c>
      <c r="AE194" s="55">
        <f t="shared" si="165"/>
        <v>0</v>
      </c>
      <c r="AF194" s="55">
        <f t="shared" si="165"/>
        <v>0</v>
      </c>
      <c r="AG194" s="55">
        <f t="shared" si="165"/>
        <v>0</v>
      </c>
      <c r="AH194" s="55">
        <f t="shared" si="165"/>
        <v>0</v>
      </c>
      <c r="AI194" s="55">
        <f t="shared" ref="AI194:BJ194" si="166">IF(AND(AI$127&gt;=$I86,AI$127&lt;$I86+$F86),INDEX($T86:$AI86,AI$127-$I86+1),0)</f>
        <v>0</v>
      </c>
      <c r="AJ194" s="55">
        <f t="shared" si="166"/>
        <v>0</v>
      </c>
      <c r="AK194" s="55">
        <f t="shared" si="166"/>
        <v>0</v>
      </c>
      <c r="AL194" s="55">
        <f t="shared" si="166"/>
        <v>0</v>
      </c>
      <c r="AM194" s="55">
        <f t="shared" si="166"/>
        <v>0</v>
      </c>
      <c r="AN194" s="55">
        <f t="shared" si="166"/>
        <v>0</v>
      </c>
      <c r="AO194" s="55">
        <f t="shared" si="166"/>
        <v>0</v>
      </c>
      <c r="AP194" s="55">
        <f t="shared" si="166"/>
        <v>0</v>
      </c>
      <c r="AQ194" s="55">
        <f t="shared" si="166"/>
        <v>0</v>
      </c>
      <c r="AR194" s="55">
        <f t="shared" si="166"/>
        <v>0</v>
      </c>
      <c r="AS194" s="55">
        <f t="shared" si="166"/>
        <v>0</v>
      </c>
      <c r="AT194" s="55">
        <f t="shared" si="166"/>
        <v>0</v>
      </c>
      <c r="AU194" s="55">
        <f t="shared" si="166"/>
        <v>0</v>
      </c>
      <c r="AV194" s="55">
        <f t="shared" si="166"/>
        <v>0</v>
      </c>
      <c r="AW194" s="55">
        <f t="shared" si="166"/>
        <v>0</v>
      </c>
      <c r="AX194" s="55">
        <f t="shared" si="166"/>
        <v>0</v>
      </c>
      <c r="AY194" s="55">
        <f t="shared" si="166"/>
        <v>0</v>
      </c>
      <c r="AZ194" s="55">
        <f t="shared" si="166"/>
        <v>0</v>
      </c>
      <c r="BA194" s="55">
        <f t="shared" si="166"/>
        <v>0</v>
      </c>
      <c r="BB194" s="55">
        <f t="shared" si="166"/>
        <v>0</v>
      </c>
      <c r="BC194" s="55">
        <f t="shared" si="166"/>
        <v>0</v>
      </c>
      <c r="BD194" s="55">
        <f t="shared" si="166"/>
        <v>0</v>
      </c>
      <c r="BE194" s="55">
        <f t="shared" si="166"/>
        <v>0</v>
      </c>
      <c r="BF194" s="55">
        <f t="shared" si="166"/>
        <v>0</v>
      </c>
      <c r="BG194" s="55">
        <f t="shared" si="166"/>
        <v>0</v>
      </c>
      <c r="BH194" s="55">
        <f t="shared" si="166"/>
        <v>0</v>
      </c>
      <c r="BI194" s="55">
        <f t="shared" si="166"/>
        <v>0</v>
      </c>
      <c r="BJ194" s="55">
        <f t="shared" si="166"/>
        <v>0</v>
      </c>
    </row>
    <row r="195" spans="1:62" x14ac:dyDescent="0.3">
      <c r="A195" s="53" t="str">
        <f t="shared" si="104"/>
        <v>project 133</v>
      </c>
      <c r="C195" s="55">
        <f t="shared" ref="C195:AH195" si="167">IF(AND(C$127&gt;=$I87,C$127&lt;$I87+$F87),INDEX($T87:$AI87,C$127-$I87+1),0)</f>
        <v>0</v>
      </c>
      <c r="D195" s="55">
        <f t="shared" si="167"/>
        <v>0</v>
      </c>
      <c r="E195" s="55">
        <f t="shared" si="167"/>
        <v>0</v>
      </c>
      <c r="F195" s="55">
        <f t="shared" si="167"/>
        <v>0</v>
      </c>
      <c r="G195" s="55">
        <f t="shared" si="167"/>
        <v>0</v>
      </c>
      <c r="H195" s="55">
        <f t="shared" si="167"/>
        <v>0</v>
      </c>
      <c r="I195" s="55">
        <f t="shared" si="167"/>
        <v>0</v>
      </c>
      <c r="J195" s="55">
        <f t="shared" si="167"/>
        <v>0.64117647058823535</v>
      </c>
      <c r="K195" s="55">
        <f t="shared" si="167"/>
        <v>3.5620915032679741</v>
      </c>
      <c r="L195" s="55">
        <f t="shared" si="167"/>
        <v>3.594959706296974</v>
      </c>
      <c r="M195" s="55">
        <f t="shared" si="167"/>
        <v>1.8125847258640211</v>
      </c>
      <c r="N195" s="55">
        <f t="shared" si="167"/>
        <v>17.281343851554791</v>
      </c>
      <c r="O195" s="55">
        <f t="shared" si="167"/>
        <v>16.94249397211254</v>
      </c>
      <c r="P195" s="55">
        <f t="shared" si="167"/>
        <v>16.61028820795347</v>
      </c>
      <c r="Q195" s="55">
        <f t="shared" si="167"/>
        <v>0</v>
      </c>
      <c r="R195" s="55">
        <f t="shared" si="167"/>
        <v>0</v>
      </c>
      <c r="S195" s="55">
        <f t="shared" si="167"/>
        <v>0</v>
      </c>
      <c r="T195" s="55">
        <f t="shared" si="167"/>
        <v>0</v>
      </c>
      <c r="U195" s="55">
        <f t="shared" si="167"/>
        <v>0</v>
      </c>
      <c r="V195" s="55">
        <f t="shared" si="167"/>
        <v>0</v>
      </c>
      <c r="W195" s="55">
        <f t="shared" si="167"/>
        <v>0</v>
      </c>
      <c r="X195" s="55">
        <f t="shared" si="167"/>
        <v>0</v>
      </c>
      <c r="Y195" s="55">
        <f t="shared" si="167"/>
        <v>0</v>
      </c>
      <c r="Z195" s="55">
        <f t="shared" si="167"/>
        <v>0</v>
      </c>
      <c r="AA195" s="55">
        <f t="shared" si="167"/>
        <v>0</v>
      </c>
      <c r="AB195" s="55">
        <f t="shared" si="167"/>
        <v>0</v>
      </c>
      <c r="AC195" s="55">
        <f t="shared" si="167"/>
        <v>0</v>
      </c>
      <c r="AD195" s="55">
        <f t="shared" si="167"/>
        <v>0</v>
      </c>
      <c r="AE195" s="55">
        <f t="shared" si="167"/>
        <v>0</v>
      </c>
      <c r="AF195" s="55">
        <f t="shared" si="167"/>
        <v>0</v>
      </c>
      <c r="AG195" s="55">
        <f t="shared" si="167"/>
        <v>0</v>
      </c>
      <c r="AH195" s="55">
        <f t="shared" si="167"/>
        <v>0</v>
      </c>
      <c r="AI195" s="55">
        <f t="shared" ref="AI195:BJ195" si="168">IF(AND(AI$127&gt;=$I87,AI$127&lt;$I87+$F87),INDEX($T87:$AI87,AI$127-$I87+1),0)</f>
        <v>0</v>
      </c>
      <c r="AJ195" s="55">
        <f t="shared" si="168"/>
        <v>0</v>
      </c>
      <c r="AK195" s="55">
        <f t="shared" si="168"/>
        <v>0</v>
      </c>
      <c r="AL195" s="55">
        <f t="shared" si="168"/>
        <v>0</v>
      </c>
      <c r="AM195" s="55">
        <f t="shared" si="168"/>
        <v>0</v>
      </c>
      <c r="AN195" s="55">
        <f t="shared" si="168"/>
        <v>0</v>
      </c>
      <c r="AO195" s="55">
        <f t="shared" si="168"/>
        <v>0</v>
      </c>
      <c r="AP195" s="55">
        <f t="shared" si="168"/>
        <v>0</v>
      </c>
      <c r="AQ195" s="55">
        <f t="shared" si="168"/>
        <v>0</v>
      </c>
      <c r="AR195" s="55">
        <f t="shared" si="168"/>
        <v>0</v>
      </c>
      <c r="AS195" s="55">
        <f t="shared" si="168"/>
        <v>0</v>
      </c>
      <c r="AT195" s="55">
        <f t="shared" si="168"/>
        <v>0</v>
      </c>
      <c r="AU195" s="55">
        <f t="shared" si="168"/>
        <v>0</v>
      </c>
      <c r="AV195" s="55">
        <f t="shared" si="168"/>
        <v>0</v>
      </c>
      <c r="AW195" s="55">
        <f t="shared" si="168"/>
        <v>0</v>
      </c>
      <c r="AX195" s="55">
        <f t="shared" si="168"/>
        <v>0</v>
      </c>
      <c r="AY195" s="55">
        <f t="shared" si="168"/>
        <v>0</v>
      </c>
      <c r="AZ195" s="55">
        <f t="shared" si="168"/>
        <v>0</v>
      </c>
      <c r="BA195" s="55">
        <f t="shared" si="168"/>
        <v>0</v>
      </c>
      <c r="BB195" s="55">
        <f t="shared" si="168"/>
        <v>0</v>
      </c>
      <c r="BC195" s="55">
        <f t="shared" si="168"/>
        <v>0</v>
      </c>
      <c r="BD195" s="55">
        <f t="shared" si="168"/>
        <v>0</v>
      </c>
      <c r="BE195" s="55">
        <f t="shared" si="168"/>
        <v>0</v>
      </c>
      <c r="BF195" s="55">
        <f t="shared" si="168"/>
        <v>0</v>
      </c>
      <c r="BG195" s="55">
        <f t="shared" si="168"/>
        <v>0</v>
      </c>
      <c r="BH195" s="55">
        <f t="shared" si="168"/>
        <v>0</v>
      </c>
      <c r="BI195" s="55">
        <f t="shared" si="168"/>
        <v>0</v>
      </c>
      <c r="BJ195" s="55">
        <f t="shared" si="168"/>
        <v>0</v>
      </c>
    </row>
    <row r="196" spans="1:62" x14ac:dyDescent="0.3">
      <c r="A196" s="53" t="str">
        <f t="shared" ref="A196:A227" si="169">A88</f>
        <v>project 135</v>
      </c>
      <c r="C196" s="55">
        <f t="shared" ref="C196:AH196" si="170">IF(AND(C$127&gt;=$I88,C$127&lt;$I88+$F88),INDEX($T88:$AI88,C$127-$I88+1),0)</f>
        <v>0</v>
      </c>
      <c r="D196" s="55">
        <f t="shared" si="170"/>
        <v>0</v>
      </c>
      <c r="E196" s="55">
        <f t="shared" si="170"/>
        <v>0</v>
      </c>
      <c r="F196" s="55">
        <f t="shared" si="170"/>
        <v>0</v>
      </c>
      <c r="G196" s="55">
        <f t="shared" si="170"/>
        <v>0</v>
      </c>
      <c r="H196" s="55">
        <f t="shared" si="170"/>
        <v>0</v>
      </c>
      <c r="I196" s="55">
        <f t="shared" si="170"/>
        <v>0</v>
      </c>
      <c r="J196" s="55">
        <f t="shared" si="170"/>
        <v>0</v>
      </c>
      <c r="K196" s="55">
        <f t="shared" si="170"/>
        <v>7.4971164936562857</v>
      </c>
      <c r="L196" s="55">
        <f t="shared" si="170"/>
        <v>7.5385786763763551</v>
      </c>
      <c r="M196" s="55">
        <f t="shared" si="170"/>
        <v>7.4831479508147654</v>
      </c>
      <c r="N196" s="55">
        <f t="shared" si="170"/>
        <v>6.3401156688094114</v>
      </c>
      <c r="O196" s="55">
        <f t="shared" si="170"/>
        <v>6.3933939517405829</v>
      </c>
      <c r="P196" s="55">
        <f t="shared" si="170"/>
        <v>6.355089303881571</v>
      </c>
      <c r="Q196" s="55">
        <f t="shared" si="170"/>
        <v>0</v>
      </c>
      <c r="R196" s="55">
        <f t="shared" si="170"/>
        <v>0</v>
      </c>
      <c r="S196" s="55">
        <f t="shared" si="170"/>
        <v>0</v>
      </c>
      <c r="T196" s="55">
        <f t="shared" si="170"/>
        <v>0</v>
      </c>
      <c r="U196" s="55">
        <f t="shared" si="170"/>
        <v>0</v>
      </c>
      <c r="V196" s="55">
        <f t="shared" si="170"/>
        <v>0</v>
      </c>
      <c r="W196" s="55">
        <f t="shared" si="170"/>
        <v>0</v>
      </c>
      <c r="X196" s="55">
        <f t="shared" si="170"/>
        <v>0</v>
      </c>
      <c r="Y196" s="55">
        <f t="shared" si="170"/>
        <v>0</v>
      </c>
      <c r="Z196" s="55">
        <f t="shared" si="170"/>
        <v>0</v>
      </c>
      <c r="AA196" s="55">
        <f t="shared" si="170"/>
        <v>0</v>
      </c>
      <c r="AB196" s="55">
        <f t="shared" si="170"/>
        <v>0</v>
      </c>
      <c r="AC196" s="55">
        <f t="shared" si="170"/>
        <v>0</v>
      </c>
      <c r="AD196" s="55">
        <f t="shared" si="170"/>
        <v>0</v>
      </c>
      <c r="AE196" s="55">
        <f t="shared" si="170"/>
        <v>0</v>
      </c>
      <c r="AF196" s="55">
        <f t="shared" si="170"/>
        <v>0</v>
      </c>
      <c r="AG196" s="55">
        <f t="shared" si="170"/>
        <v>0</v>
      </c>
      <c r="AH196" s="55">
        <f t="shared" si="170"/>
        <v>0</v>
      </c>
      <c r="AI196" s="55">
        <f t="shared" ref="AI196:BJ196" si="171">IF(AND(AI$127&gt;=$I88,AI$127&lt;$I88+$F88),INDEX($T88:$AI88,AI$127-$I88+1),0)</f>
        <v>0</v>
      </c>
      <c r="AJ196" s="55">
        <f t="shared" si="171"/>
        <v>0</v>
      </c>
      <c r="AK196" s="55">
        <f t="shared" si="171"/>
        <v>0</v>
      </c>
      <c r="AL196" s="55">
        <f t="shared" si="171"/>
        <v>0</v>
      </c>
      <c r="AM196" s="55">
        <f t="shared" si="171"/>
        <v>0</v>
      </c>
      <c r="AN196" s="55">
        <f t="shared" si="171"/>
        <v>0</v>
      </c>
      <c r="AO196" s="55">
        <f t="shared" si="171"/>
        <v>0</v>
      </c>
      <c r="AP196" s="55">
        <f t="shared" si="171"/>
        <v>0</v>
      </c>
      <c r="AQ196" s="55">
        <f t="shared" si="171"/>
        <v>0</v>
      </c>
      <c r="AR196" s="55">
        <f t="shared" si="171"/>
        <v>0</v>
      </c>
      <c r="AS196" s="55">
        <f t="shared" si="171"/>
        <v>0</v>
      </c>
      <c r="AT196" s="55">
        <f t="shared" si="171"/>
        <v>0</v>
      </c>
      <c r="AU196" s="55">
        <f t="shared" si="171"/>
        <v>0</v>
      </c>
      <c r="AV196" s="55">
        <f t="shared" si="171"/>
        <v>0</v>
      </c>
      <c r="AW196" s="55">
        <f t="shared" si="171"/>
        <v>0</v>
      </c>
      <c r="AX196" s="55">
        <f t="shared" si="171"/>
        <v>0</v>
      </c>
      <c r="AY196" s="55">
        <f t="shared" si="171"/>
        <v>0</v>
      </c>
      <c r="AZ196" s="55">
        <f t="shared" si="171"/>
        <v>0</v>
      </c>
      <c r="BA196" s="55">
        <f t="shared" si="171"/>
        <v>0</v>
      </c>
      <c r="BB196" s="55">
        <f t="shared" si="171"/>
        <v>0</v>
      </c>
      <c r="BC196" s="55">
        <f t="shared" si="171"/>
        <v>0</v>
      </c>
      <c r="BD196" s="55">
        <f t="shared" si="171"/>
        <v>0</v>
      </c>
      <c r="BE196" s="55">
        <f t="shared" si="171"/>
        <v>0</v>
      </c>
      <c r="BF196" s="55">
        <f t="shared" si="171"/>
        <v>0</v>
      </c>
      <c r="BG196" s="55">
        <f t="shared" si="171"/>
        <v>0</v>
      </c>
      <c r="BH196" s="55">
        <f t="shared" si="171"/>
        <v>0</v>
      </c>
      <c r="BI196" s="55">
        <f t="shared" si="171"/>
        <v>0</v>
      </c>
      <c r="BJ196" s="55">
        <f t="shared" si="171"/>
        <v>0</v>
      </c>
    </row>
    <row r="197" spans="1:62" x14ac:dyDescent="0.3">
      <c r="A197" s="53" t="str">
        <f t="shared" si="169"/>
        <v>project 137</v>
      </c>
      <c r="C197" s="55">
        <f t="shared" ref="C197:AH197" si="172">IF(AND(C$127&gt;=$I89,C$127&lt;$I89+$F89),INDEX($T89:$AI89,C$127-$I89+1),0)</f>
        <v>4.766</v>
      </c>
      <c r="D197" s="55">
        <f t="shared" si="172"/>
        <v>22.06176470588235</v>
      </c>
      <c r="E197" s="55">
        <f t="shared" si="172"/>
        <v>20.11534025374856</v>
      </c>
      <c r="F197" s="55">
        <f t="shared" si="172"/>
        <v>0</v>
      </c>
      <c r="G197" s="55">
        <f t="shared" si="172"/>
        <v>0</v>
      </c>
      <c r="H197" s="55">
        <f t="shared" si="172"/>
        <v>0</v>
      </c>
      <c r="I197" s="55">
        <f t="shared" si="172"/>
        <v>0</v>
      </c>
      <c r="J197" s="55">
        <f t="shared" si="172"/>
        <v>0</v>
      </c>
      <c r="K197" s="55">
        <f t="shared" si="172"/>
        <v>0</v>
      </c>
      <c r="L197" s="55">
        <f t="shared" si="172"/>
        <v>0</v>
      </c>
      <c r="M197" s="55">
        <f t="shared" si="172"/>
        <v>0</v>
      </c>
      <c r="N197" s="55">
        <f t="shared" si="172"/>
        <v>0</v>
      </c>
      <c r="O197" s="55">
        <f t="shared" si="172"/>
        <v>0</v>
      </c>
      <c r="P197" s="55">
        <f t="shared" si="172"/>
        <v>0</v>
      </c>
      <c r="Q197" s="55">
        <f t="shared" si="172"/>
        <v>0</v>
      </c>
      <c r="R197" s="55">
        <f t="shared" si="172"/>
        <v>0</v>
      </c>
      <c r="S197" s="55">
        <f t="shared" si="172"/>
        <v>0</v>
      </c>
      <c r="T197" s="55">
        <f t="shared" si="172"/>
        <v>0</v>
      </c>
      <c r="U197" s="55">
        <f t="shared" si="172"/>
        <v>0</v>
      </c>
      <c r="V197" s="55">
        <f t="shared" si="172"/>
        <v>0</v>
      </c>
      <c r="W197" s="55">
        <f t="shared" si="172"/>
        <v>0</v>
      </c>
      <c r="X197" s="55">
        <f t="shared" si="172"/>
        <v>0</v>
      </c>
      <c r="Y197" s="55">
        <f t="shared" si="172"/>
        <v>0</v>
      </c>
      <c r="Z197" s="55">
        <f t="shared" si="172"/>
        <v>0</v>
      </c>
      <c r="AA197" s="55">
        <f t="shared" si="172"/>
        <v>0</v>
      </c>
      <c r="AB197" s="55">
        <f t="shared" si="172"/>
        <v>0</v>
      </c>
      <c r="AC197" s="55">
        <f t="shared" si="172"/>
        <v>0</v>
      </c>
      <c r="AD197" s="55">
        <f t="shared" si="172"/>
        <v>0</v>
      </c>
      <c r="AE197" s="55">
        <f t="shared" si="172"/>
        <v>0</v>
      </c>
      <c r="AF197" s="55">
        <f t="shared" si="172"/>
        <v>0</v>
      </c>
      <c r="AG197" s="55">
        <f t="shared" si="172"/>
        <v>0</v>
      </c>
      <c r="AH197" s="55">
        <f t="shared" si="172"/>
        <v>0</v>
      </c>
      <c r="AI197" s="55">
        <f t="shared" ref="AI197:BJ197" si="173">IF(AND(AI$127&gt;=$I89,AI$127&lt;$I89+$F89),INDEX($T89:$AI89,AI$127-$I89+1),0)</f>
        <v>0</v>
      </c>
      <c r="AJ197" s="55">
        <f t="shared" si="173"/>
        <v>0</v>
      </c>
      <c r="AK197" s="55">
        <f t="shared" si="173"/>
        <v>0</v>
      </c>
      <c r="AL197" s="55">
        <f t="shared" si="173"/>
        <v>0</v>
      </c>
      <c r="AM197" s="55">
        <f t="shared" si="173"/>
        <v>0</v>
      </c>
      <c r="AN197" s="55">
        <f t="shared" si="173"/>
        <v>0</v>
      </c>
      <c r="AO197" s="55">
        <f t="shared" si="173"/>
        <v>0</v>
      </c>
      <c r="AP197" s="55">
        <f t="shared" si="173"/>
        <v>0</v>
      </c>
      <c r="AQ197" s="55">
        <f t="shared" si="173"/>
        <v>0</v>
      </c>
      <c r="AR197" s="55">
        <f t="shared" si="173"/>
        <v>0</v>
      </c>
      <c r="AS197" s="55">
        <f t="shared" si="173"/>
        <v>0</v>
      </c>
      <c r="AT197" s="55">
        <f t="shared" si="173"/>
        <v>0</v>
      </c>
      <c r="AU197" s="55">
        <f t="shared" si="173"/>
        <v>0</v>
      </c>
      <c r="AV197" s="55">
        <f t="shared" si="173"/>
        <v>0</v>
      </c>
      <c r="AW197" s="55">
        <f t="shared" si="173"/>
        <v>0</v>
      </c>
      <c r="AX197" s="55">
        <f t="shared" si="173"/>
        <v>0</v>
      </c>
      <c r="AY197" s="55">
        <f t="shared" si="173"/>
        <v>0</v>
      </c>
      <c r="AZ197" s="55">
        <f t="shared" si="173"/>
        <v>0</v>
      </c>
      <c r="BA197" s="55">
        <f t="shared" si="173"/>
        <v>0</v>
      </c>
      <c r="BB197" s="55">
        <f t="shared" si="173"/>
        <v>0</v>
      </c>
      <c r="BC197" s="55">
        <f t="shared" si="173"/>
        <v>0</v>
      </c>
      <c r="BD197" s="55">
        <f t="shared" si="173"/>
        <v>0</v>
      </c>
      <c r="BE197" s="55">
        <f t="shared" si="173"/>
        <v>0</v>
      </c>
      <c r="BF197" s="55">
        <f t="shared" si="173"/>
        <v>0</v>
      </c>
      <c r="BG197" s="55">
        <f t="shared" si="173"/>
        <v>0</v>
      </c>
      <c r="BH197" s="55">
        <f t="shared" si="173"/>
        <v>0</v>
      </c>
      <c r="BI197" s="55">
        <f t="shared" si="173"/>
        <v>0</v>
      </c>
      <c r="BJ197" s="55">
        <f t="shared" si="173"/>
        <v>0</v>
      </c>
    </row>
    <row r="198" spans="1:62" x14ac:dyDescent="0.3">
      <c r="A198" s="53" t="str">
        <f t="shared" si="169"/>
        <v>project 142</v>
      </c>
      <c r="C198" s="55">
        <f t="shared" ref="C198:AH198" si="174">IF(AND(C$127&gt;=$I90,C$127&lt;$I90+$F90),INDEX($T90:$AI90,C$127-$I90+1),0)</f>
        <v>0</v>
      </c>
      <c r="D198" s="55">
        <f t="shared" si="174"/>
        <v>0</v>
      </c>
      <c r="E198" s="55">
        <f t="shared" si="174"/>
        <v>0</v>
      </c>
      <c r="F198" s="55">
        <f t="shared" si="174"/>
        <v>0</v>
      </c>
      <c r="G198" s="55">
        <f t="shared" si="174"/>
        <v>0</v>
      </c>
      <c r="H198" s="55">
        <f t="shared" si="174"/>
        <v>0</v>
      </c>
      <c r="I198" s="55">
        <f t="shared" si="174"/>
        <v>0</v>
      </c>
      <c r="J198" s="55">
        <f t="shared" si="174"/>
        <v>1.853</v>
      </c>
      <c r="K198" s="55">
        <f t="shared" si="174"/>
        <v>17.952941176470588</v>
      </c>
      <c r="L198" s="55">
        <f t="shared" si="174"/>
        <v>18.019992310649751</v>
      </c>
      <c r="M198" s="55">
        <f t="shared" si="174"/>
        <v>0</v>
      </c>
      <c r="N198" s="55">
        <f t="shared" si="174"/>
        <v>0</v>
      </c>
      <c r="O198" s="55">
        <f t="shared" si="174"/>
        <v>0</v>
      </c>
      <c r="P198" s="55">
        <f t="shared" si="174"/>
        <v>0</v>
      </c>
      <c r="Q198" s="55">
        <f t="shared" si="174"/>
        <v>0</v>
      </c>
      <c r="R198" s="55">
        <f t="shared" si="174"/>
        <v>0</v>
      </c>
      <c r="S198" s="55">
        <f t="shared" si="174"/>
        <v>0</v>
      </c>
      <c r="T198" s="55">
        <f t="shared" si="174"/>
        <v>0</v>
      </c>
      <c r="U198" s="55">
        <f t="shared" si="174"/>
        <v>0</v>
      </c>
      <c r="V198" s="55">
        <f t="shared" si="174"/>
        <v>0</v>
      </c>
      <c r="W198" s="55">
        <f t="shared" si="174"/>
        <v>0</v>
      </c>
      <c r="X198" s="55">
        <f t="shared" si="174"/>
        <v>0</v>
      </c>
      <c r="Y198" s="55">
        <f t="shared" si="174"/>
        <v>0</v>
      </c>
      <c r="Z198" s="55">
        <f t="shared" si="174"/>
        <v>0</v>
      </c>
      <c r="AA198" s="55">
        <f t="shared" si="174"/>
        <v>0</v>
      </c>
      <c r="AB198" s="55">
        <f t="shared" si="174"/>
        <v>0</v>
      </c>
      <c r="AC198" s="55">
        <f t="shared" si="174"/>
        <v>0</v>
      </c>
      <c r="AD198" s="55">
        <f t="shared" si="174"/>
        <v>0</v>
      </c>
      <c r="AE198" s="55">
        <f t="shared" si="174"/>
        <v>0</v>
      </c>
      <c r="AF198" s="55">
        <f t="shared" si="174"/>
        <v>0</v>
      </c>
      <c r="AG198" s="55">
        <f t="shared" si="174"/>
        <v>0</v>
      </c>
      <c r="AH198" s="55">
        <f t="shared" si="174"/>
        <v>0</v>
      </c>
      <c r="AI198" s="55">
        <f t="shared" ref="AI198:BJ198" si="175">IF(AND(AI$127&gt;=$I90,AI$127&lt;$I90+$F90),INDEX($T90:$AI90,AI$127-$I90+1),0)</f>
        <v>0</v>
      </c>
      <c r="AJ198" s="55">
        <f t="shared" si="175"/>
        <v>0</v>
      </c>
      <c r="AK198" s="55">
        <f t="shared" si="175"/>
        <v>0</v>
      </c>
      <c r="AL198" s="55">
        <f t="shared" si="175"/>
        <v>0</v>
      </c>
      <c r="AM198" s="55">
        <f t="shared" si="175"/>
        <v>0</v>
      </c>
      <c r="AN198" s="55">
        <f t="shared" si="175"/>
        <v>0</v>
      </c>
      <c r="AO198" s="55">
        <f t="shared" si="175"/>
        <v>0</v>
      </c>
      <c r="AP198" s="55">
        <f t="shared" si="175"/>
        <v>0</v>
      </c>
      <c r="AQ198" s="55">
        <f t="shared" si="175"/>
        <v>0</v>
      </c>
      <c r="AR198" s="55">
        <f t="shared" si="175"/>
        <v>0</v>
      </c>
      <c r="AS198" s="55">
        <f t="shared" si="175"/>
        <v>0</v>
      </c>
      <c r="AT198" s="55">
        <f t="shared" si="175"/>
        <v>0</v>
      </c>
      <c r="AU198" s="55">
        <f t="shared" si="175"/>
        <v>0</v>
      </c>
      <c r="AV198" s="55">
        <f t="shared" si="175"/>
        <v>0</v>
      </c>
      <c r="AW198" s="55">
        <f t="shared" si="175"/>
        <v>0</v>
      </c>
      <c r="AX198" s="55">
        <f t="shared" si="175"/>
        <v>0</v>
      </c>
      <c r="AY198" s="55">
        <f t="shared" si="175"/>
        <v>0</v>
      </c>
      <c r="AZ198" s="55">
        <f t="shared" si="175"/>
        <v>0</v>
      </c>
      <c r="BA198" s="55">
        <f t="shared" si="175"/>
        <v>0</v>
      </c>
      <c r="BB198" s="55">
        <f t="shared" si="175"/>
        <v>0</v>
      </c>
      <c r="BC198" s="55">
        <f t="shared" si="175"/>
        <v>0</v>
      </c>
      <c r="BD198" s="55">
        <f t="shared" si="175"/>
        <v>0</v>
      </c>
      <c r="BE198" s="55">
        <f t="shared" si="175"/>
        <v>0</v>
      </c>
      <c r="BF198" s="55">
        <f t="shared" si="175"/>
        <v>0</v>
      </c>
      <c r="BG198" s="55">
        <f t="shared" si="175"/>
        <v>0</v>
      </c>
      <c r="BH198" s="55">
        <f t="shared" si="175"/>
        <v>0</v>
      </c>
      <c r="BI198" s="55">
        <f t="shared" si="175"/>
        <v>0</v>
      </c>
      <c r="BJ198" s="55">
        <f t="shared" si="175"/>
        <v>0</v>
      </c>
    </row>
    <row r="199" spans="1:62" x14ac:dyDescent="0.3">
      <c r="A199" s="53" t="str">
        <f t="shared" si="169"/>
        <v>project 144</v>
      </c>
      <c r="C199" s="55">
        <f t="shared" ref="C199:AH199" si="176">IF(AND(C$127&gt;=$I91,C$127&lt;$I91+$F91),INDEX($T91:$AI91,C$127-$I91+1),0)</f>
        <v>2.4167796344853612</v>
      </c>
      <c r="D199" s="55">
        <f t="shared" si="176"/>
        <v>0</v>
      </c>
      <c r="E199" s="55">
        <f t="shared" si="176"/>
        <v>0</v>
      </c>
      <c r="F199" s="55">
        <f t="shared" si="176"/>
        <v>0</v>
      </c>
      <c r="G199" s="55">
        <f t="shared" si="176"/>
        <v>25.118221624124981</v>
      </c>
      <c r="H199" s="55">
        <f t="shared" si="176"/>
        <v>0</v>
      </c>
      <c r="I199" s="55">
        <f t="shared" si="176"/>
        <v>0</v>
      </c>
      <c r="J199" s="55">
        <f t="shared" si="176"/>
        <v>0</v>
      </c>
      <c r="K199" s="55">
        <f t="shared" si="176"/>
        <v>0</v>
      </c>
      <c r="L199" s="55">
        <f t="shared" si="176"/>
        <v>0</v>
      </c>
      <c r="M199" s="55">
        <f t="shared" si="176"/>
        <v>0</v>
      </c>
      <c r="N199" s="55">
        <f t="shared" si="176"/>
        <v>0</v>
      </c>
      <c r="O199" s="55">
        <f t="shared" si="176"/>
        <v>0</v>
      </c>
      <c r="P199" s="55">
        <f t="shared" si="176"/>
        <v>0</v>
      </c>
      <c r="Q199" s="55">
        <f t="shared" si="176"/>
        <v>0</v>
      </c>
      <c r="R199" s="55">
        <f t="shared" si="176"/>
        <v>0</v>
      </c>
      <c r="S199" s="55">
        <f t="shared" si="176"/>
        <v>0</v>
      </c>
      <c r="T199" s="55">
        <f t="shared" si="176"/>
        <v>0</v>
      </c>
      <c r="U199" s="55">
        <f t="shared" si="176"/>
        <v>0</v>
      </c>
      <c r="V199" s="55">
        <f t="shared" si="176"/>
        <v>0</v>
      </c>
      <c r="W199" s="55">
        <f t="shared" si="176"/>
        <v>0</v>
      </c>
      <c r="X199" s="55">
        <f t="shared" si="176"/>
        <v>0</v>
      </c>
      <c r="Y199" s="55">
        <f t="shared" si="176"/>
        <v>0</v>
      </c>
      <c r="Z199" s="55">
        <f t="shared" si="176"/>
        <v>0</v>
      </c>
      <c r="AA199" s="55">
        <f t="shared" si="176"/>
        <v>0</v>
      </c>
      <c r="AB199" s="55">
        <f t="shared" si="176"/>
        <v>0</v>
      </c>
      <c r="AC199" s="55">
        <f t="shared" si="176"/>
        <v>0</v>
      </c>
      <c r="AD199" s="55">
        <f t="shared" si="176"/>
        <v>0</v>
      </c>
      <c r="AE199" s="55">
        <f t="shared" si="176"/>
        <v>0</v>
      </c>
      <c r="AF199" s="55">
        <f t="shared" si="176"/>
        <v>0</v>
      </c>
      <c r="AG199" s="55">
        <f t="shared" si="176"/>
        <v>0</v>
      </c>
      <c r="AH199" s="55">
        <f t="shared" si="176"/>
        <v>0</v>
      </c>
      <c r="AI199" s="55">
        <f t="shared" ref="AI199:BJ199" si="177">IF(AND(AI$127&gt;=$I91,AI$127&lt;$I91+$F91),INDEX($T91:$AI91,AI$127-$I91+1),0)</f>
        <v>0</v>
      </c>
      <c r="AJ199" s="55">
        <f t="shared" si="177"/>
        <v>0</v>
      </c>
      <c r="AK199" s="55">
        <f t="shared" si="177"/>
        <v>0</v>
      </c>
      <c r="AL199" s="55">
        <f t="shared" si="177"/>
        <v>0</v>
      </c>
      <c r="AM199" s="55">
        <f t="shared" si="177"/>
        <v>0</v>
      </c>
      <c r="AN199" s="55">
        <f t="shared" si="177"/>
        <v>0</v>
      </c>
      <c r="AO199" s="55">
        <f t="shared" si="177"/>
        <v>0</v>
      </c>
      <c r="AP199" s="55">
        <f t="shared" si="177"/>
        <v>0</v>
      </c>
      <c r="AQ199" s="55">
        <f t="shared" si="177"/>
        <v>0</v>
      </c>
      <c r="AR199" s="55">
        <f t="shared" si="177"/>
        <v>0</v>
      </c>
      <c r="AS199" s="55">
        <f t="shared" si="177"/>
        <v>0</v>
      </c>
      <c r="AT199" s="55">
        <f t="shared" si="177"/>
        <v>0</v>
      </c>
      <c r="AU199" s="55">
        <f t="shared" si="177"/>
        <v>0</v>
      </c>
      <c r="AV199" s="55">
        <f t="shared" si="177"/>
        <v>0</v>
      </c>
      <c r="AW199" s="55">
        <f t="shared" si="177"/>
        <v>0</v>
      </c>
      <c r="AX199" s="55">
        <f t="shared" si="177"/>
        <v>0</v>
      </c>
      <c r="AY199" s="55">
        <f t="shared" si="177"/>
        <v>0</v>
      </c>
      <c r="AZ199" s="55">
        <f t="shared" si="177"/>
        <v>0</v>
      </c>
      <c r="BA199" s="55">
        <f t="shared" si="177"/>
        <v>0</v>
      </c>
      <c r="BB199" s="55">
        <f t="shared" si="177"/>
        <v>0</v>
      </c>
      <c r="BC199" s="55">
        <f t="shared" si="177"/>
        <v>0</v>
      </c>
      <c r="BD199" s="55">
        <f t="shared" si="177"/>
        <v>0</v>
      </c>
      <c r="BE199" s="55">
        <f t="shared" si="177"/>
        <v>0</v>
      </c>
      <c r="BF199" s="55">
        <f t="shared" si="177"/>
        <v>0</v>
      </c>
      <c r="BG199" s="55">
        <f t="shared" si="177"/>
        <v>0</v>
      </c>
      <c r="BH199" s="55">
        <f t="shared" si="177"/>
        <v>0</v>
      </c>
      <c r="BI199" s="55">
        <f t="shared" si="177"/>
        <v>0</v>
      </c>
      <c r="BJ199" s="55">
        <f t="shared" si="177"/>
        <v>0</v>
      </c>
    </row>
    <row r="200" spans="1:62" x14ac:dyDescent="0.3">
      <c r="A200" s="53" t="str">
        <f t="shared" si="169"/>
        <v>project 145</v>
      </c>
      <c r="C200" s="55">
        <f t="shared" ref="C200:AH200" si="178">IF(AND(C$127&gt;=$I92,C$127&lt;$I92+$F92),INDEX($T92:$AI92,C$127-$I92+1),0)</f>
        <v>0</v>
      </c>
      <c r="D200" s="55">
        <f t="shared" si="178"/>
        <v>0</v>
      </c>
      <c r="E200" s="55">
        <f t="shared" si="178"/>
        <v>0</v>
      </c>
      <c r="F200" s="55">
        <f t="shared" si="178"/>
        <v>0</v>
      </c>
      <c r="G200" s="55">
        <f t="shared" si="178"/>
        <v>0</v>
      </c>
      <c r="H200" s="55">
        <f t="shared" si="178"/>
        <v>2.4167796344853612</v>
      </c>
      <c r="I200" s="55">
        <f t="shared" si="178"/>
        <v>0</v>
      </c>
      <c r="J200" s="55">
        <f t="shared" si="178"/>
        <v>0</v>
      </c>
      <c r="K200" s="55">
        <f t="shared" si="178"/>
        <v>0</v>
      </c>
      <c r="L200" s="55">
        <f t="shared" si="178"/>
        <v>25.118221624124981</v>
      </c>
      <c r="M200" s="55">
        <f t="shared" si="178"/>
        <v>0</v>
      </c>
      <c r="N200" s="55">
        <f t="shared" si="178"/>
        <v>0</v>
      </c>
      <c r="O200" s="55">
        <f t="shared" si="178"/>
        <v>0</v>
      </c>
      <c r="P200" s="55">
        <f t="shared" si="178"/>
        <v>0</v>
      </c>
      <c r="Q200" s="55">
        <f t="shared" si="178"/>
        <v>0</v>
      </c>
      <c r="R200" s="55">
        <f t="shared" si="178"/>
        <v>0</v>
      </c>
      <c r="S200" s="55">
        <f t="shared" si="178"/>
        <v>0</v>
      </c>
      <c r="T200" s="55">
        <f t="shared" si="178"/>
        <v>0</v>
      </c>
      <c r="U200" s="55">
        <f t="shared" si="178"/>
        <v>0</v>
      </c>
      <c r="V200" s="55">
        <f t="shared" si="178"/>
        <v>0</v>
      </c>
      <c r="W200" s="55">
        <f t="shared" si="178"/>
        <v>0</v>
      </c>
      <c r="X200" s="55">
        <f t="shared" si="178"/>
        <v>0</v>
      </c>
      <c r="Y200" s="55">
        <f t="shared" si="178"/>
        <v>0</v>
      </c>
      <c r="Z200" s="55">
        <f t="shared" si="178"/>
        <v>0</v>
      </c>
      <c r="AA200" s="55">
        <f t="shared" si="178"/>
        <v>0</v>
      </c>
      <c r="AB200" s="55">
        <f t="shared" si="178"/>
        <v>0</v>
      </c>
      <c r="AC200" s="55">
        <f t="shared" si="178"/>
        <v>0</v>
      </c>
      <c r="AD200" s="55">
        <f t="shared" si="178"/>
        <v>0</v>
      </c>
      <c r="AE200" s="55">
        <f t="shared" si="178"/>
        <v>0</v>
      </c>
      <c r="AF200" s="55">
        <f t="shared" si="178"/>
        <v>0</v>
      </c>
      <c r="AG200" s="55">
        <f t="shared" si="178"/>
        <v>0</v>
      </c>
      <c r="AH200" s="55">
        <f t="shared" si="178"/>
        <v>0</v>
      </c>
      <c r="AI200" s="55">
        <f t="shared" ref="AI200:BJ200" si="179">IF(AND(AI$127&gt;=$I92,AI$127&lt;$I92+$F92),INDEX($T92:$AI92,AI$127-$I92+1),0)</f>
        <v>0</v>
      </c>
      <c r="AJ200" s="55">
        <f t="shared" si="179"/>
        <v>0</v>
      </c>
      <c r="AK200" s="55">
        <f t="shared" si="179"/>
        <v>0</v>
      </c>
      <c r="AL200" s="55">
        <f t="shared" si="179"/>
        <v>0</v>
      </c>
      <c r="AM200" s="55">
        <f t="shared" si="179"/>
        <v>0</v>
      </c>
      <c r="AN200" s="55">
        <f t="shared" si="179"/>
        <v>0</v>
      </c>
      <c r="AO200" s="55">
        <f t="shared" si="179"/>
        <v>0</v>
      </c>
      <c r="AP200" s="55">
        <f t="shared" si="179"/>
        <v>0</v>
      </c>
      <c r="AQ200" s="55">
        <f t="shared" si="179"/>
        <v>0</v>
      </c>
      <c r="AR200" s="55">
        <f t="shared" si="179"/>
        <v>0</v>
      </c>
      <c r="AS200" s="55">
        <f t="shared" si="179"/>
        <v>0</v>
      </c>
      <c r="AT200" s="55">
        <f t="shared" si="179"/>
        <v>0</v>
      </c>
      <c r="AU200" s="55">
        <f t="shared" si="179"/>
        <v>0</v>
      </c>
      <c r="AV200" s="55">
        <f t="shared" si="179"/>
        <v>0</v>
      </c>
      <c r="AW200" s="55">
        <f t="shared" si="179"/>
        <v>0</v>
      </c>
      <c r="AX200" s="55">
        <f t="shared" si="179"/>
        <v>0</v>
      </c>
      <c r="AY200" s="55">
        <f t="shared" si="179"/>
        <v>0</v>
      </c>
      <c r="AZ200" s="55">
        <f t="shared" si="179"/>
        <v>0</v>
      </c>
      <c r="BA200" s="55">
        <f t="shared" si="179"/>
        <v>0</v>
      </c>
      <c r="BB200" s="55">
        <f t="shared" si="179"/>
        <v>0</v>
      </c>
      <c r="BC200" s="55">
        <f t="shared" si="179"/>
        <v>0</v>
      </c>
      <c r="BD200" s="55">
        <f t="shared" si="179"/>
        <v>0</v>
      </c>
      <c r="BE200" s="55">
        <f t="shared" si="179"/>
        <v>0</v>
      </c>
      <c r="BF200" s="55">
        <f t="shared" si="179"/>
        <v>0</v>
      </c>
      <c r="BG200" s="55">
        <f t="shared" si="179"/>
        <v>0</v>
      </c>
      <c r="BH200" s="55">
        <f t="shared" si="179"/>
        <v>0</v>
      </c>
      <c r="BI200" s="55">
        <f t="shared" si="179"/>
        <v>0</v>
      </c>
      <c r="BJ200" s="55">
        <f t="shared" si="179"/>
        <v>0</v>
      </c>
    </row>
    <row r="201" spans="1:62" x14ac:dyDescent="0.3">
      <c r="A201" s="53" t="str">
        <f t="shared" si="169"/>
        <v>project 146</v>
      </c>
      <c r="C201" s="55">
        <f t="shared" ref="C201:AH201" si="180">IF(AND(C$127&gt;=$I93,C$127&lt;$I93+$F93),INDEX($T93:$AI93,C$127-$I93+1),0)</f>
        <v>0</v>
      </c>
      <c r="D201" s="55">
        <f t="shared" si="180"/>
        <v>0</v>
      </c>
      <c r="E201" s="55">
        <f t="shared" si="180"/>
        <v>0</v>
      </c>
      <c r="F201" s="55">
        <f t="shared" si="180"/>
        <v>0</v>
      </c>
      <c r="G201" s="55">
        <f t="shared" si="180"/>
        <v>0</v>
      </c>
      <c r="H201" s="55">
        <f t="shared" si="180"/>
        <v>0</v>
      </c>
      <c r="I201" s="55">
        <f t="shared" si="180"/>
        <v>0.54500000000000004</v>
      </c>
      <c r="J201" s="55">
        <f t="shared" si="180"/>
        <v>0.21372549019607839</v>
      </c>
      <c r="K201" s="55">
        <f t="shared" si="180"/>
        <v>2.9248366013071889</v>
      </c>
      <c r="L201" s="55">
        <f t="shared" si="180"/>
        <v>10.67368508341437</v>
      </c>
      <c r="M201" s="55">
        <f t="shared" si="180"/>
        <v>11.07690665805791</v>
      </c>
      <c r="N201" s="55">
        <f t="shared" si="180"/>
        <v>4.9362329135730416</v>
      </c>
      <c r="O201" s="55">
        <f t="shared" si="180"/>
        <v>0</v>
      </c>
      <c r="P201" s="55">
        <f t="shared" si="180"/>
        <v>0</v>
      </c>
      <c r="Q201" s="55">
        <f t="shared" si="180"/>
        <v>0</v>
      </c>
      <c r="R201" s="55">
        <f t="shared" si="180"/>
        <v>0</v>
      </c>
      <c r="S201" s="55">
        <f t="shared" si="180"/>
        <v>0</v>
      </c>
      <c r="T201" s="55">
        <f t="shared" si="180"/>
        <v>0</v>
      </c>
      <c r="U201" s="55">
        <f t="shared" si="180"/>
        <v>0</v>
      </c>
      <c r="V201" s="55">
        <f t="shared" si="180"/>
        <v>0</v>
      </c>
      <c r="W201" s="55">
        <f t="shared" si="180"/>
        <v>0</v>
      </c>
      <c r="X201" s="55">
        <f t="shared" si="180"/>
        <v>0</v>
      </c>
      <c r="Y201" s="55">
        <f t="shared" si="180"/>
        <v>0</v>
      </c>
      <c r="Z201" s="55">
        <f t="shared" si="180"/>
        <v>0</v>
      </c>
      <c r="AA201" s="55">
        <f t="shared" si="180"/>
        <v>0</v>
      </c>
      <c r="AB201" s="55">
        <f t="shared" si="180"/>
        <v>0</v>
      </c>
      <c r="AC201" s="55">
        <f t="shared" si="180"/>
        <v>0</v>
      </c>
      <c r="AD201" s="55">
        <f t="shared" si="180"/>
        <v>0</v>
      </c>
      <c r="AE201" s="55">
        <f t="shared" si="180"/>
        <v>0</v>
      </c>
      <c r="AF201" s="55">
        <f t="shared" si="180"/>
        <v>0</v>
      </c>
      <c r="AG201" s="55">
        <f t="shared" si="180"/>
        <v>0</v>
      </c>
      <c r="AH201" s="55">
        <f t="shared" si="180"/>
        <v>0</v>
      </c>
      <c r="AI201" s="55">
        <f t="shared" ref="AI201:BJ201" si="181">IF(AND(AI$127&gt;=$I93,AI$127&lt;$I93+$F93),INDEX($T93:$AI93,AI$127-$I93+1),0)</f>
        <v>0</v>
      </c>
      <c r="AJ201" s="55">
        <f t="shared" si="181"/>
        <v>0</v>
      </c>
      <c r="AK201" s="55">
        <f t="shared" si="181"/>
        <v>0</v>
      </c>
      <c r="AL201" s="55">
        <f t="shared" si="181"/>
        <v>0</v>
      </c>
      <c r="AM201" s="55">
        <f t="shared" si="181"/>
        <v>0</v>
      </c>
      <c r="AN201" s="55">
        <f t="shared" si="181"/>
        <v>0</v>
      </c>
      <c r="AO201" s="55">
        <f t="shared" si="181"/>
        <v>0</v>
      </c>
      <c r="AP201" s="55">
        <f t="shared" si="181"/>
        <v>0</v>
      </c>
      <c r="AQ201" s="55">
        <f t="shared" si="181"/>
        <v>0</v>
      </c>
      <c r="AR201" s="55">
        <f t="shared" si="181"/>
        <v>0</v>
      </c>
      <c r="AS201" s="55">
        <f t="shared" si="181"/>
        <v>0</v>
      </c>
      <c r="AT201" s="55">
        <f t="shared" si="181"/>
        <v>0</v>
      </c>
      <c r="AU201" s="55">
        <f t="shared" si="181"/>
        <v>0</v>
      </c>
      <c r="AV201" s="55">
        <f t="shared" si="181"/>
        <v>0</v>
      </c>
      <c r="AW201" s="55">
        <f t="shared" si="181"/>
        <v>0</v>
      </c>
      <c r="AX201" s="55">
        <f t="shared" si="181"/>
        <v>0</v>
      </c>
      <c r="AY201" s="55">
        <f t="shared" si="181"/>
        <v>0</v>
      </c>
      <c r="AZ201" s="55">
        <f t="shared" si="181"/>
        <v>0</v>
      </c>
      <c r="BA201" s="55">
        <f t="shared" si="181"/>
        <v>0</v>
      </c>
      <c r="BB201" s="55">
        <f t="shared" si="181"/>
        <v>0</v>
      </c>
      <c r="BC201" s="55">
        <f t="shared" si="181"/>
        <v>0</v>
      </c>
      <c r="BD201" s="55">
        <f t="shared" si="181"/>
        <v>0</v>
      </c>
      <c r="BE201" s="55">
        <f t="shared" si="181"/>
        <v>0</v>
      </c>
      <c r="BF201" s="55">
        <f t="shared" si="181"/>
        <v>0</v>
      </c>
      <c r="BG201" s="55">
        <f t="shared" si="181"/>
        <v>0</v>
      </c>
      <c r="BH201" s="55">
        <f t="shared" si="181"/>
        <v>0</v>
      </c>
      <c r="BI201" s="55">
        <f t="shared" si="181"/>
        <v>0</v>
      </c>
      <c r="BJ201" s="55">
        <f t="shared" si="181"/>
        <v>0</v>
      </c>
    </row>
    <row r="202" spans="1:62" x14ac:dyDescent="0.3">
      <c r="A202" s="53" t="str">
        <f t="shared" si="169"/>
        <v>project 148</v>
      </c>
      <c r="C202" s="55">
        <f t="shared" ref="C202:AH202" si="182">IF(AND(C$127&gt;=$I94,C$127&lt;$I94+$F94),INDEX($T94:$AI94,C$127-$I94+1),0)</f>
        <v>9.8724658271460832</v>
      </c>
      <c r="D202" s="55">
        <f t="shared" si="182"/>
        <v>4.2622626344937213</v>
      </c>
      <c r="E202" s="55">
        <f t="shared" si="182"/>
        <v>4.2657448752081777</v>
      </c>
      <c r="F202" s="55">
        <f t="shared" si="182"/>
        <v>4.267451855950557</v>
      </c>
      <c r="G202" s="55">
        <f t="shared" si="182"/>
        <v>0</v>
      </c>
      <c r="H202" s="55">
        <f t="shared" si="182"/>
        <v>0</v>
      </c>
      <c r="I202" s="55">
        <f t="shared" si="182"/>
        <v>0</v>
      </c>
      <c r="J202" s="55">
        <f t="shared" si="182"/>
        <v>0</v>
      </c>
      <c r="K202" s="55">
        <f t="shared" si="182"/>
        <v>0</v>
      </c>
      <c r="L202" s="55">
        <f t="shared" si="182"/>
        <v>0</v>
      </c>
      <c r="M202" s="55">
        <f t="shared" si="182"/>
        <v>0</v>
      </c>
      <c r="N202" s="55">
        <f t="shared" si="182"/>
        <v>0</v>
      </c>
      <c r="O202" s="55">
        <f t="shared" si="182"/>
        <v>0</v>
      </c>
      <c r="P202" s="55">
        <f t="shared" si="182"/>
        <v>0</v>
      </c>
      <c r="Q202" s="55">
        <f t="shared" si="182"/>
        <v>0</v>
      </c>
      <c r="R202" s="55">
        <f t="shared" si="182"/>
        <v>0</v>
      </c>
      <c r="S202" s="55">
        <f t="shared" si="182"/>
        <v>0</v>
      </c>
      <c r="T202" s="55">
        <f t="shared" si="182"/>
        <v>0</v>
      </c>
      <c r="U202" s="55">
        <f t="shared" si="182"/>
        <v>0</v>
      </c>
      <c r="V202" s="55">
        <f t="shared" si="182"/>
        <v>0</v>
      </c>
      <c r="W202" s="55">
        <f t="shared" si="182"/>
        <v>0</v>
      </c>
      <c r="X202" s="55">
        <f t="shared" si="182"/>
        <v>0</v>
      </c>
      <c r="Y202" s="55">
        <f t="shared" si="182"/>
        <v>0</v>
      </c>
      <c r="Z202" s="55">
        <f t="shared" si="182"/>
        <v>0</v>
      </c>
      <c r="AA202" s="55">
        <f t="shared" si="182"/>
        <v>0</v>
      </c>
      <c r="AB202" s="55">
        <f t="shared" si="182"/>
        <v>0</v>
      </c>
      <c r="AC202" s="55">
        <f t="shared" si="182"/>
        <v>0</v>
      </c>
      <c r="AD202" s="55">
        <f t="shared" si="182"/>
        <v>0</v>
      </c>
      <c r="AE202" s="55">
        <f t="shared" si="182"/>
        <v>0</v>
      </c>
      <c r="AF202" s="55">
        <f t="shared" si="182"/>
        <v>0</v>
      </c>
      <c r="AG202" s="55">
        <f t="shared" si="182"/>
        <v>0</v>
      </c>
      <c r="AH202" s="55">
        <f t="shared" si="182"/>
        <v>0</v>
      </c>
      <c r="AI202" s="55">
        <f t="shared" ref="AI202:BJ202" si="183">IF(AND(AI$127&gt;=$I94,AI$127&lt;$I94+$F94),INDEX($T94:$AI94,AI$127-$I94+1),0)</f>
        <v>0</v>
      </c>
      <c r="AJ202" s="55">
        <f t="shared" si="183"/>
        <v>0</v>
      </c>
      <c r="AK202" s="55">
        <f t="shared" si="183"/>
        <v>0</v>
      </c>
      <c r="AL202" s="55">
        <f t="shared" si="183"/>
        <v>0</v>
      </c>
      <c r="AM202" s="55">
        <f t="shared" si="183"/>
        <v>0</v>
      </c>
      <c r="AN202" s="55">
        <f t="shared" si="183"/>
        <v>0</v>
      </c>
      <c r="AO202" s="55">
        <f t="shared" si="183"/>
        <v>0</v>
      </c>
      <c r="AP202" s="55">
        <f t="shared" si="183"/>
        <v>0</v>
      </c>
      <c r="AQ202" s="55">
        <f t="shared" si="183"/>
        <v>0</v>
      </c>
      <c r="AR202" s="55">
        <f t="shared" si="183"/>
        <v>0</v>
      </c>
      <c r="AS202" s="55">
        <f t="shared" si="183"/>
        <v>0</v>
      </c>
      <c r="AT202" s="55">
        <f t="shared" si="183"/>
        <v>0</v>
      </c>
      <c r="AU202" s="55">
        <f t="shared" si="183"/>
        <v>0</v>
      </c>
      <c r="AV202" s="55">
        <f t="shared" si="183"/>
        <v>0</v>
      </c>
      <c r="AW202" s="55">
        <f t="shared" si="183"/>
        <v>0</v>
      </c>
      <c r="AX202" s="55">
        <f t="shared" si="183"/>
        <v>0</v>
      </c>
      <c r="AY202" s="55">
        <f t="shared" si="183"/>
        <v>0</v>
      </c>
      <c r="AZ202" s="55">
        <f t="shared" si="183"/>
        <v>0</v>
      </c>
      <c r="BA202" s="55">
        <f t="shared" si="183"/>
        <v>0</v>
      </c>
      <c r="BB202" s="55">
        <f t="shared" si="183"/>
        <v>0</v>
      </c>
      <c r="BC202" s="55">
        <f t="shared" si="183"/>
        <v>0</v>
      </c>
      <c r="BD202" s="55">
        <f t="shared" si="183"/>
        <v>0</v>
      </c>
      <c r="BE202" s="55">
        <f t="shared" si="183"/>
        <v>0</v>
      </c>
      <c r="BF202" s="55">
        <f t="shared" si="183"/>
        <v>0</v>
      </c>
      <c r="BG202" s="55">
        <f t="shared" si="183"/>
        <v>0</v>
      </c>
      <c r="BH202" s="55">
        <f t="shared" si="183"/>
        <v>0</v>
      </c>
      <c r="BI202" s="55">
        <f t="shared" si="183"/>
        <v>0</v>
      </c>
      <c r="BJ202" s="55">
        <f t="shared" si="183"/>
        <v>0</v>
      </c>
    </row>
    <row r="203" spans="1:62" x14ac:dyDescent="0.3">
      <c r="A203" s="53" t="str">
        <f t="shared" si="169"/>
        <v>project 149</v>
      </c>
      <c r="C203" s="55">
        <f t="shared" ref="C203:AH203" si="184">IF(AND(C$127&gt;=$I95,C$127&lt;$I95+$F95),INDEX($T95:$AI95,C$127-$I95+1),0)</f>
        <v>0</v>
      </c>
      <c r="D203" s="55">
        <f t="shared" si="184"/>
        <v>0</v>
      </c>
      <c r="E203" s="55">
        <f t="shared" si="184"/>
        <v>0</v>
      </c>
      <c r="F203" s="55">
        <f t="shared" si="184"/>
        <v>0</v>
      </c>
      <c r="G203" s="55">
        <f t="shared" si="184"/>
        <v>0</v>
      </c>
      <c r="H203" s="55">
        <f t="shared" si="184"/>
        <v>0</v>
      </c>
      <c r="I203" s="55">
        <f t="shared" si="184"/>
        <v>0</v>
      </c>
      <c r="J203" s="55">
        <f t="shared" si="184"/>
        <v>0.54500000000000004</v>
      </c>
      <c r="K203" s="55">
        <f t="shared" si="184"/>
        <v>10.686274509803919</v>
      </c>
      <c r="L203" s="55">
        <f t="shared" si="184"/>
        <v>10.476739715494039</v>
      </c>
      <c r="M203" s="55">
        <f t="shared" si="184"/>
        <v>0</v>
      </c>
      <c r="N203" s="55">
        <f t="shared" si="184"/>
        <v>0</v>
      </c>
      <c r="O203" s="55">
        <f t="shared" si="184"/>
        <v>0</v>
      </c>
      <c r="P203" s="55">
        <f t="shared" si="184"/>
        <v>0</v>
      </c>
      <c r="Q203" s="55">
        <f t="shared" si="184"/>
        <v>0</v>
      </c>
      <c r="R203" s="55">
        <f t="shared" si="184"/>
        <v>0</v>
      </c>
      <c r="S203" s="55">
        <f t="shared" si="184"/>
        <v>0</v>
      </c>
      <c r="T203" s="55">
        <f t="shared" si="184"/>
        <v>0</v>
      </c>
      <c r="U203" s="55">
        <f t="shared" si="184"/>
        <v>0</v>
      </c>
      <c r="V203" s="55">
        <f t="shared" si="184"/>
        <v>0</v>
      </c>
      <c r="W203" s="55">
        <f t="shared" si="184"/>
        <v>0</v>
      </c>
      <c r="X203" s="55">
        <f t="shared" si="184"/>
        <v>0</v>
      </c>
      <c r="Y203" s="55">
        <f t="shared" si="184"/>
        <v>0</v>
      </c>
      <c r="Z203" s="55">
        <f t="shared" si="184"/>
        <v>0</v>
      </c>
      <c r="AA203" s="55">
        <f t="shared" si="184"/>
        <v>0</v>
      </c>
      <c r="AB203" s="55">
        <f t="shared" si="184"/>
        <v>0</v>
      </c>
      <c r="AC203" s="55">
        <f t="shared" si="184"/>
        <v>0</v>
      </c>
      <c r="AD203" s="55">
        <f t="shared" si="184"/>
        <v>0</v>
      </c>
      <c r="AE203" s="55">
        <f t="shared" si="184"/>
        <v>0</v>
      </c>
      <c r="AF203" s="55">
        <f t="shared" si="184"/>
        <v>0</v>
      </c>
      <c r="AG203" s="55">
        <f t="shared" si="184"/>
        <v>0</v>
      </c>
      <c r="AH203" s="55">
        <f t="shared" si="184"/>
        <v>0</v>
      </c>
      <c r="AI203" s="55">
        <f t="shared" ref="AI203:BJ203" si="185">IF(AND(AI$127&gt;=$I95,AI$127&lt;$I95+$F95),INDEX($T95:$AI95,AI$127-$I95+1),0)</f>
        <v>0</v>
      </c>
      <c r="AJ203" s="55">
        <f t="shared" si="185"/>
        <v>0</v>
      </c>
      <c r="AK203" s="55">
        <f t="shared" si="185"/>
        <v>0</v>
      </c>
      <c r="AL203" s="55">
        <f t="shared" si="185"/>
        <v>0</v>
      </c>
      <c r="AM203" s="55">
        <f t="shared" si="185"/>
        <v>0</v>
      </c>
      <c r="AN203" s="55">
        <f t="shared" si="185"/>
        <v>0</v>
      </c>
      <c r="AO203" s="55">
        <f t="shared" si="185"/>
        <v>0</v>
      </c>
      <c r="AP203" s="55">
        <f t="shared" si="185"/>
        <v>0</v>
      </c>
      <c r="AQ203" s="55">
        <f t="shared" si="185"/>
        <v>0</v>
      </c>
      <c r="AR203" s="55">
        <f t="shared" si="185"/>
        <v>0</v>
      </c>
      <c r="AS203" s="55">
        <f t="shared" si="185"/>
        <v>0</v>
      </c>
      <c r="AT203" s="55">
        <f t="shared" si="185"/>
        <v>0</v>
      </c>
      <c r="AU203" s="55">
        <f t="shared" si="185"/>
        <v>0</v>
      </c>
      <c r="AV203" s="55">
        <f t="shared" si="185"/>
        <v>0</v>
      </c>
      <c r="AW203" s="55">
        <f t="shared" si="185"/>
        <v>0</v>
      </c>
      <c r="AX203" s="55">
        <f t="shared" si="185"/>
        <v>0</v>
      </c>
      <c r="AY203" s="55">
        <f t="shared" si="185"/>
        <v>0</v>
      </c>
      <c r="AZ203" s="55">
        <f t="shared" si="185"/>
        <v>0</v>
      </c>
      <c r="BA203" s="55">
        <f t="shared" si="185"/>
        <v>0</v>
      </c>
      <c r="BB203" s="55">
        <f t="shared" si="185"/>
        <v>0</v>
      </c>
      <c r="BC203" s="55">
        <f t="shared" si="185"/>
        <v>0</v>
      </c>
      <c r="BD203" s="55">
        <f t="shared" si="185"/>
        <v>0</v>
      </c>
      <c r="BE203" s="55">
        <f t="shared" si="185"/>
        <v>0</v>
      </c>
      <c r="BF203" s="55">
        <f t="shared" si="185"/>
        <v>0</v>
      </c>
      <c r="BG203" s="55">
        <f t="shared" si="185"/>
        <v>0</v>
      </c>
      <c r="BH203" s="55">
        <f t="shared" si="185"/>
        <v>0</v>
      </c>
      <c r="BI203" s="55">
        <f t="shared" si="185"/>
        <v>0</v>
      </c>
      <c r="BJ203" s="55">
        <f t="shared" si="185"/>
        <v>0</v>
      </c>
    </row>
    <row r="204" spans="1:62" x14ac:dyDescent="0.3">
      <c r="A204" s="53" t="str">
        <f t="shared" si="169"/>
        <v>project 150</v>
      </c>
      <c r="C204" s="55">
        <f t="shared" ref="C204:AH204" si="186">IF(AND(C$127&gt;=$I96,C$127&lt;$I96+$F96),INDEX($T96:$AI96,C$127-$I96+1),0)</f>
        <v>0</v>
      </c>
      <c r="D204" s="55">
        <f t="shared" si="186"/>
        <v>0</v>
      </c>
      <c r="E204" s="55">
        <f t="shared" si="186"/>
        <v>0</v>
      </c>
      <c r="F204" s="55">
        <f t="shared" si="186"/>
        <v>0</v>
      </c>
      <c r="G204" s="55">
        <f t="shared" si="186"/>
        <v>0</v>
      </c>
      <c r="H204" s="55">
        <f t="shared" si="186"/>
        <v>0</v>
      </c>
      <c r="I204" s="55">
        <f t="shared" si="186"/>
        <v>0</v>
      </c>
      <c r="J204" s="55">
        <f t="shared" si="186"/>
        <v>0</v>
      </c>
      <c r="K204" s="55">
        <f t="shared" si="186"/>
        <v>9.4891059468916605</v>
      </c>
      <c r="L204" s="55">
        <f t="shared" si="186"/>
        <v>9.3030450459722154</v>
      </c>
      <c r="M204" s="55">
        <f t="shared" si="186"/>
        <v>0</v>
      </c>
      <c r="N204" s="55">
        <f t="shared" si="186"/>
        <v>0</v>
      </c>
      <c r="O204" s="55">
        <f t="shared" si="186"/>
        <v>0</v>
      </c>
      <c r="P204" s="55">
        <f t="shared" si="186"/>
        <v>0</v>
      </c>
      <c r="Q204" s="55">
        <f t="shared" si="186"/>
        <v>0</v>
      </c>
      <c r="R204" s="55">
        <f t="shared" si="186"/>
        <v>0</v>
      </c>
      <c r="S204" s="55">
        <f t="shared" si="186"/>
        <v>0</v>
      </c>
      <c r="T204" s="55">
        <f t="shared" si="186"/>
        <v>0</v>
      </c>
      <c r="U204" s="55">
        <f t="shared" si="186"/>
        <v>0</v>
      </c>
      <c r="V204" s="55">
        <f t="shared" si="186"/>
        <v>0</v>
      </c>
      <c r="W204" s="55">
        <f t="shared" si="186"/>
        <v>0</v>
      </c>
      <c r="X204" s="55">
        <f t="shared" si="186"/>
        <v>0</v>
      </c>
      <c r="Y204" s="55">
        <f t="shared" si="186"/>
        <v>0</v>
      </c>
      <c r="Z204" s="55">
        <f t="shared" si="186"/>
        <v>0</v>
      </c>
      <c r="AA204" s="55">
        <f t="shared" si="186"/>
        <v>0</v>
      </c>
      <c r="AB204" s="55">
        <f t="shared" si="186"/>
        <v>0</v>
      </c>
      <c r="AC204" s="55">
        <f t="shared" si="186"/>
        <v>0</v>
      </c>
      <c r="AD204" s="55">
        <f t="shared" si="186"/>
        <v>0</v>
      </c>
      <c r="AE204" s="55">
        <f t="shared" si="186"/>
        <v>0</v>
      </c>
      <c r="AF204" s="55">
        <f t="shared" si="186"/>
        <v>0</v>
      </c>
      <c r="AG204" s="55">
        <f t="shared" si="186"/>
        <v>0</v>
      </c>
      <c r="AH204" s="55">
        <f t="shared" si="186"/>
        <v>0</v>
      </c>
      <c r="AI204" s="55">
        <f t="shared" ref="AI204:BJ204" si="187">IF(AND(AI$127&gt;=$I96,AI$127&lt;$I96+$F96),INDEX($T96:$AI96,AI$127-$I96+1),0)</f>
        <v>0</v>
      </c>
      <c r="AJ204" s="55">
        <f t="shared" si="187"/>
        <v>0</v>
      </c>
      <c r="AK204" s="55">
        <f t="shared" si="187"/>
        <v>0</v>
      </c>
      <c r="AL204" s="55">
        <f t="shared" si="187"/>
        <v>0</v>
      </c>
      <c r="AM204" s="55">
        <f t="shared" si="187"/>
        <v>0</v>
      </c>
      <c r="AN204" s="55">
        <f t="shared" si="187"/>
        <v>0</v>
      </c>
      <c r="AO204" s="55">
        <f t="shared" si="187"/>
        <v>0</v>
      </c>
      <c r="AP204" s="55">
        <f t="shared" si="187"/>
        <v>0</v>
      </c>
      <c r="AQ204" s="55">
        <f t="shared" si="187"/>
        <v>0</v>
      </c>
      <c r="AR204" s="55">
        <f t="shared" si="187"/>
        <v>0</v>
      </c>
      <c r="AS204" s="55">
        <f t="shared" si="187"/>
        <v>0</v>
      </c>
      <c r="AT204" s="55">
        <f t="shared" si="187"/>
        <v>0</v>
      </c>
      <c r="AU204" s="55">
        <f t="shared" si="187"/>
        <v>0</v>
      </c>
      <c r="AV204" s="55">
        <f t="shared" si="187"/>
        <v>0</v>
      </c>
      <c r="AW204" s="55">
        <f t="shared" si="187"/>
        <v>0</v>
      </c>
      <c r="AX204" s="55">
        <f t="shared" si="187"/>
        <v>0</v>
      </c>
      <c r="AY204" s="55">
        <f t="shared" si="187"/>
        <v>0</v>
      </c>
      <c r="AZ204" s="55">
        <f t="shared" si="187"/>
        <v>0</v>
      </c>
      <c r="BA204" s="55">
        <f t="shared" si="187"/>
        <v>0</v>
      </c>
      <c r="BB204" s="55">
        <f t="shared" si="187"/>
        <v>0</v>
      </c>
      <c r="BC204" s="55">
        <f t="shared" si="187"/>
        <v>0</v>
      </c>
      <c r="BD204" s="55">
        <f t="shared" si="187"/>
        <v>0</v>
      </c>
      <c r="BE204" s="55">
        <f t="shared" si="187"/>
        <v>0</v>
      </c>
      <c r="BF204" s="55">
        <f t="shared" si="187"/>
        <v>0</v>
      </c>
      <c r="BG204" s="55">
        <f t="shared" si="187"/>
        <v>0</v>
      </c>
      <c r="BH204" s="55">
        <f t="shared" si="187"/>
        <v>0</v>
      </c>
      <c r="BI204" s="55">
        <f t="shared" si="187"/>
        <v>0</v>
      </c>
      <c r="BJ204" s="55">
        <f t="shared" si="187"/>
        <v>0</v>
      </c>
    </row>
    <row r="205" spans="1:62" x14ac:dyDescent="0.3">
      <c r="A205" s="53" t="str">
        <f t="shared" si="169"/>
        <v>project 153</v>
      </c>
      <c r="C205" s="55">
        <f t="shared" ref="C205:AH205" si="188">IF(AND(C$127&gt;=$I97,C$127&lt;$I97+$F97),INDEX($T97:$AI97,C$127-$I97+1),0)</f>
        <v>8.9667698397233107</v>
      </c>
      <c r="D205" s="55">
        <f t="shared" si="188"/>
        <v>4.0967537817125352</v>
      </c>
      <c r="E205" s="55">
        <f t="shared" si="188"/>
        <v>0</v>
      </c>
      <c r="F205" s="55">
        <f t="shared" si="188"/>
        <v>0</v>
      </c>
      <c r="G205" s="55">
        <f t="shared" si="188"/>
        <v>0</v>
      </c>
      <c r="H205" s="55">
        <f t="shared" si="188"/>
        <v>0</v>
      </c>
      <c r="I205" s="55">
        <f t="shared" si="188"/>
        <v>0</v>
      </c>
      <c r="J205" s="55">
        <f t="shared" si="188"/>
        <v>0</v>
      </c>
      <c r="K205" s="55">
        <f t="shared" si="188"/>
        <v>0</v>
      </c>
      <c r="L205" s="55">
        <f t="shared" si="188"/>
        <v>0</v>
      </c>
      <c r="M205" s="55">
        <f t="shared" si="188"/>
        <v>0</v>
      </c>
      <c r="N205" s="55">
        <f t="shared" si="188"/>
        <v>0</v>
      </c>
      <c r="O205" s="55">
        <f t="shared" si="188"/>
        <v>0</v>
      </c>
      <c r="P205" s="55">
        <f t="shared" si="188"/>
        <v>0</v>
      </c>
      <c r="Q205" s="55">
        <f t="shared" si="188"/>
        <v>0</v>
      </c>
      <c r="R205" s="55">
        <f t="shared" si="188"/>
        <v>0</v>
      </c>
      <c r="S205" s="55">
        <f t="shared" si="188"/>
        <v>0</v>
      </c>
      <c r="T205" s="55">
        <f t="shared" si="188"/>
        <v>0</v>
      </c>
      <c r="U205" s="55">
        <f t="shared" si="188"/>
        <v>0</v>
      </c>
      <c r="V205" s="55">
        <f t="shared" si="188"/>
        <v>0</v>
      </c>
      <c r="W205" s="55">
        <f t="shared" si="188"/>
        <v>0</v>
      </c>
      <c r="X205" s="55">
        <f t="shared" si="188"/>
        <v>0</v>
      </c>
      <c r="Y205" s="55">
        <f t="shared" si="188"/>
        <v>0</v>
      </c>
      <c r="Z205" s="55">
        <f t="shared" si="188"/>
        <v>0</v>
      </c>
      <c r="AA205" s="55">
        <f t="shared" si="188"/>
        <v>0</v>
      </c>
      <c r="AB205" s="55">
        <f t="shared" si="188"/>
        <v>0</v>
      </c>
      <c r="AC205" s="55">
        <f t="shared" si="188"/>
        <v>0</v>
      </c>
      <c r="AD205" s="55">
        <f t="shared" si="188"/>
        <v>0</v>
      </c>
      <c r="AE205" s="55">
        <f t="shared" si="188"/>
        <v>0</v>
      </c>
      <c r="AF205" s="55">
        <f t="shared" si="188"/>
        <v>0</v>
      </c>
      <c r="AG205" s="55">
        <f t="shared" si="188"/>
        <v>0</v>
      </c>
      <c r="AH205" s="55">
        <f t="shared" si="188"/>
        <v>0</v>
      </c>
      <c r="AI205" s="55">
        <f t="shared" ref="AI205:BJ205" si="189">IF(AND(AI$127&gt;=$I97,AI$127&lt;$I97+$F97),INDEX($T97:$AI97,AI$127-$I97+1),0)</f>
        <v>0</v>
      </c>
      <c r="AJ205" s="55">
        <f t="shared" si="189"/>
        <v>0</v>
      </c>
      <c r="AK205" s="55">
        <f t="shared" si="189"/>
        <v>0</v>
      </c>
      <c r="AL205" s="55">
        <f t="shared" si="189"/>
        <v>0</v>
      </c>
      <c r="AM205" s="55">
        <f t="shared" si="189"/>
        <v>0</v>
      </c>
      <c r="AN205" s="55">
        <f t="shared" si="189"/>
        <v>0</v>
      </c>
      <c r="AO205" s="55">
        <f t="shared" si="189"/>
        <v>0</v>
      </c>
      <c r="AP205" s="55">
        <f t="shared" si="189"/>
        <v>0</v>
      </c>
      <c r="AQ205" s="55">
        <f t="shared" si="189"/>
        <v>0</v>
      </c>
      <c r="AR205" s="55">
        <f t="shared" si="189"/>
        <v>0</v>
      </c>
      <c r="AS205" s="55">
        <f t="shared" si="189"/>
        <v>0</v>
      </c>
      <c r="AT205" s="55">
        <f t="shared" si="189"/>
        <v>0</v>
      </c>
      <c r="AU205" s="55">
        <f t="shared" si="189"/>
        <v>0</v>
      </c>
      <c r="AV205" s="55">
        <f t="shared" si="189"/>
        <v>0</v>
      </c>
      <c r="AW205" s="55">
        <f t="shared" si="189"/>
        <v>0</v>
      </c>
      <c r="AX205" s="55">
        <f t="shared" si="189"/>
        <v>0</v>
      </c>
      <c r="AY205" s="55">
        <f t="shared" si="189"/>
        <v>0</v>
      </c>
      <c r="AZ205" s="55">
        <f t="shared" si="189"/>
        <v>0</v>
      </c>
      <c r="BA205" s="55">
        <f t="shared" si="189"/>
        <v>0</v>
      </c>
      <c r="BB205" s="55">
        <f t="shared" si="189"/>
        <v>0</v>
      </c>
      <c r="BC205" s="55">
        <f t="shared" si="189"/>
        <v>0</v>
      </c>
      <c r="BD205" s="55">
        <f t="shared" si="189"/>
        <v>0</v>
      </c>
      <c r="BE205" s="55">
        <f t="shared" si="189"/>
        <v>0</v>
      </c>
      <c r="BF205" s="55">
        <f t="shared" si="189"/>
        <v>0</v>
      </c>
      <c r="BG205" s="55">
        <f t="shared" si="189"/>
        <v>0</v>
      </c>
      <c r="BH205" s="55">
        <f t="shared" si="189"/>
        <v>0</v>
      </c>
      <c r="BI205" s="55">
        <f t="shared" si="189"/>
        <v>0</v>
      </c>
      <c r="BJ205" s="55">
        <f t="shared" si="189"/>
        <v>0</v>
      </c>
    </row>
    <row r="206" spans="1:62" x14ac:dyDescent="0.3">
      <c r="A206" s="53" t="str">
        <f t="shared" si="169"/>
        <v>project 156</v>
      </c>
      <c r="C206" s="55">
        <f t="shared" ref="C206:AH206" si="190">IF(AND(C$127&gt;=$I98,C$127&lt;$I98+$F98),INDEX($T98:$AI98,C$127-$I98+1),0)</f>
        <v>0</v>
      </c>
      <c r="D206" s="55">
        <f t="shared" si="190"/>
        <v>0</v>
      </c>
      <c r="E206" s="55">
        <f t="shared" si="190"/>
        <v>0</v>
      </c>
      <c r="F206" s="55">
        <f t="shared" si="190"/>
        <v>0</v>
      </c>
      <c r="G206" s="55">
        <f t="shared" si="190"/>
        <v>0</v>
      </c>
      <c r="H206" s="55">
        <f t="shared" si="190"/>
        <v>0</v>
      </c>
      <c r="I206" s="55">
        <f t="shared" si="190"/>
        <v>0</v>
      </c>
      <c r="J206" s="55">
        <f t="shared" si="190"/>
        <v>0</v>
      </c>
      <c r="K206" s="55">
        <f t="shared" si="190"/>
        <v>0</v>
      </c>
      <c r="L206" s="55">
        <f t="shared" si="190"/>
        <v>0</v>
      </c>
      <c r="M206" s="55">
        <f t="shared" si="190"/>
        <v>0</v>
      </c>
      <c r="N206" s="55">
        <f t="shared" si="190"/>
        <v>0</v>
      </c>
      <c r="O206" s="55">
        <f t="shared" si="190"/>
        <v>0</v>
      </c>
      <c r="P206" s="55">
        <f t="shared" si="190"/>
        <v>0</v>
      </c>
      <c r="Q206" s="55">
        <f t="shared" si="190"/>
        <v>1.0686274509803919</v>
      </c>
      <c r="R206" s="55">
        <f t="shared" si="190"/>
        <v>0.94290657439446368</v>
      </c>
      <c r="S206" s="55">
        <f t="shared" si="190"/>
        <v>8.1605114171774051</v>
      </c>
      <c r="T206" s="55">
        <f t="shared" si="190"/>
        <v>6.0419490862134024</v>
      </c>
      <c r="U206" s="55">
        <f t="shared" si="190"/>
        <v>0</v>
      </c>
      <c r="V206" s="55">
        <f t="shared" si="190"/>
        <v>0</v>
      </c>
      <c r="W206" s="55">
        <f t="shared" si="190"/>
        <v>0</v>
      </c>
      <c r="X206" s="55">
        <f t="shared" si="190"/>
        <v>0</v>
      </c>
      <c r="Y206" s="55">
        <f t="shared" si="190"/>
        <v>0</v>
      </c>
      <c r="Z206" s="55">
        <f t="shared" si="190"/>
        <v>0</v>
      </c>
      <c r="AA206" s="55">
        <f t="shared" si="190"/>
        <v>0</v>
      </c>
      <c r="AB206" s="55">
        <f t="shared" si="190"/>
        <v>0</v>
      </c>
      <c r="AC206" s="55">
        <f t="shared" si="190"/>
        <v>0</v>
      </c>
      <c r="AD206" s="55">
        <f t="shared" si="190"/>
        <v>0</v>
      </c>
      <c r="AE206" s="55">
        <f t="shared" si="190"/>
        <v>0</v>
      </c>
      <c r="AF206" s="55">
        <f t="shared" si="190"/>
        <v>0</v>
      </c>
      <c r="AG206" s="55">
        <f t="shared" si="190"/>
        <v>0</v>
      </c>
      <c r="AH206" s="55">
        <f t="shared" si="190"/>
        <v>0</v>
      </c>
      <c r="AI206" s="55">
        <f t="shared" ref="AI206:BJ206" si="191">IF(AND(AI$127&gt;=$I98,AI$127&lt;$I98+$F98),INDEX($T98:$AI98,AI$127-$I98+1),0)</f>
        <v>0</v>
      </c>
      <c r="AJ206" s="55">
        <f t="shared" si="191"/>
        <v>0</v>
      </c>
      <c r="AK206" s="55">
        <f t="shared" si="191"/>
        <v>0</v>
      </c>
      <c r="AL206" s="55">
        <f t="shared" si="191"/>
        <v>0</v>
      </c>
      <c r="AM206" s="55">
        <f t="shared" si="191"/>
        <v>0</v>
      </c>
      <c r="AN206" s="55">
        <f t="shared" si="191"/>
        <v>0</v>
      </c>
      <c r="AO206" s="55">
        <f t="shared" si="191"/>
        <v>0</v>
      </c>
      <c r="AP206" s="55">
        <f t="shared" si="191"/>
        <v>0</v>
      </c>
      <c r="AQ206" s="55">
        <f t="shared" si="191"/>
        <v>0</v>
      </c>
      <c r="AR206" s="55">
        <f t="shared" si="191"/>
        <v>0</v>
      </c>
      <c r="AS206" s="55">
        <f t="shared" si="191"/>
        <v>0</v>
      </c>
      <c r="AT206" s="55">
        <f t="shared" si="191"/>
        <v>0</v>
      </c>
      <c r="AU206" s="55">
        <f t="shared" si="191"/>
        <v>0</v>
      </c>
      <c r="AV206" s="55">
        <f t="shared" si="191"/>
        <v>0</v>
      </c>
      <c r="AW206" s="55">
        <f t="shared" si="191"/>
        <v>0</v>
      </c>
      <c r="AX206" s="55">
        <f t="shared" si="191"/>
        <v>0</v>
      </c>
      <c r="AY206" s="55">
        <f t="shared" si="191"/>
        <v>0</v>
      </c>
      <c r="AZ206" s="55">
        <f t="shared" si="191"/>
        <v>0</v>
      </c>
      <c r="BA206" s="55">
        <f t="shared" si="191"/>
        <v>0</v>
      </c>
      <c r="BB206" s="55">
        <f t="shared" si="191"/>
        <v>0</v>
      </c>
      <c r="BC206" s="55">
        <f t="shared" si="191"/>
        <v>0</v>
      </c>
      <c r="BD206" s="55">
        <f t="shared" si="191"/>
        <v>0</v>
      </c>
      <c r="BE206" s="55">
        <f t="shared" si="191"/>
        <v>0</v>
      </c>
      <c r="BF206" s="55">
        <f t="shared" si="191"/>
        <v>0</v>
      </c>
      <c r="BG206" s="55">
        <f t="shared" si="191"/>
        <v>0</v>
      </c>
      <c r="BH206" s="55">
        <f t="shared" si="191"/>
        <v>0</v>
      </c>
      <c r="BI206" s="55">
        <f t="shared" si="191"/>
        <v>0</v>
      </c>
      <c r="BJ206" s="55">
        <f t="shared" si="191"/>
        <v>0</v>
      </c>
    </row>
    <row r="207" spans="1:62" x14ac:dyDescent="0.3">
      <c r="A207" s="53" t="str">
        <f t="shared" si="169"/>
        <v>project 157</v>
      </c>
      <c r="C207" s="55">
        <f t="shared" ref="C207:AH207" si="192">IF(AND(C$127&gt;=$I99,C$127&lt;$I99+$F99),INDEX($T99:$AI99,C$127-$I99+1),0)</f>
        <v>0</v>
      </c>
      <c r="D207" s="55">
        <f t="shared" si="192"/>
        <v>0</v>
      </c>
      <c r="E207" s="55">
        <f t="shared" si="192"/>
        <v>0</v>
      </c>
      <c r="F207" s="55">
        <f t="shared" si="192"/>
        <v>0</v>
      </c>
      <c r="G207" s="55">
        <f t="shared" si="192"/>
        <v>0</v>
      </c>
      <c r="H207" s="55">
        <f t="shared" si="192"/>
        <v>0</v>
      </c>
      <c r="I207" s="55">
        <f t="shared" si="192"/>
        <v>0</v>
      </c>
      <c r="J207" s="55">
        <f t="shared" si="192"/>
        <v>1.95</v>
      </c>
      <c r="K207" s="55">
        <f t="shared" si="192"/>
        <v>5.9607843137254903</v>
      </c>
      <c r="L207" s="55">
        <f t="shared" si="192"/>
        <v>5.7622068435217226</v>
      </c>
      <c r="M207" s="55">
        <f t="shared" si="192"/>
        <v>0</v>
      </c>
      <c r="N207" s="55">
        <f t="shared" si="192"/>
        <v>0</v>
      </c>
      <c r="O207" s="55">
        <f t="shared" si="192"/>
        <v>0</v>
      </c>
      <c r="P207" s="55">
        <f t="shared" si="192"/>
        <v>0</v>
      </c>
      <c r="Q207" s="55">
        <f t="shared" si="192"/>
        <v>0</v>
      </c>
      <c r="R207" s="55">
        <f t="shared" si="192"/>
        <v>0</v>
      </c>
      <c r="S207" s="55">
        <f t="shared" si="192"/>
        <v>0</v>
      </c>
      <c r="T207" s="55">
        <f t="shared" si="192"/>
        <v>0</v>
      </c>
      <c r="U207" s="55">
        <f t="shared" si="192"/>
        <v>0</v>
      </c>
      <c r="V207" s="55">
        <f t="shared" si="192"/>
        <v>0</v>
      </c>
      <c r="W207" s="55">
        <f t="shared" si="192"/>
        <v>0</v>
      </c>
      <c r="X207" s="55">
        <f t="shared" si="192"/>
        <v>0</v>
      </c>
      <c r="Y207" s="55">
        <f t="shared" si="192"/>
        <v>0</v>
      </c>
      <c r="Z207" s="55">
        <f t="shared" si="192"/>
        <v>0</v>
      </c>
      <c r="AA207" s="55">
        <f t="shared" si="192"/>
        <v>0</v>
      </c>
      <c r="AB207" s="55">
        <f t="shared" si="192"/>
        <v>0</v>
      </c>
      <c r="AC207" s="55">
        <f t="shared" si="192"/>
        <v>0</v>
      </c>
      <c r="AD207" s="55">
        <f t="shared" si="192"/>
        <v>0</v>
      </c>
      <c r="AE207" s="55">
        <f t="shared" si="192"/>
        <v>0</v>
      </c>
      <c r="AF207" s="55">
        <f t="shared" si="192"/>
        <v>0</v>
      </c>
      <c r="AG207" s="55">
        <f t="shared" si="192"/>
        <v>0</v>
      </c>
      <c r="AH207" s="55">
        <f t="shared" si="192"/>
        <v>0</v>
      </c>
      <c r="AI207" s="55">
        <f t="shared" ref="AI207:BJ207" si="193">IF(AND(AI$127&gt;=$I99,AI$127&lt;$I99+$F99),INDEX($T99:$AI99,AI$127-$I99+1),0)</f>
        <v>0</v>
      </c>
      <c r="AJ207" s="55">
        <f t="shared" si="193"/>
        <v>0</v>
      </c>
      <c r="AK207" s="55">
        <f t="shared" si="193"/>
        <v>0</v>
      </c>
      <c r="AL207" s="55">
        <f t="shared" si="193"/>
        <v>0</v>
      </c>
      <c r="AM207" s="55">
        <f t="shared" si="193"/>
        <v>0</v>
      </c>
      <c r="AN207" s="55">
        <f t="shared" si="193"/>
        <v>0</v>
      </c>
      <c r="AO207" s="55">
        <f t="shared" si="193"/>
        <v>0</v>
      </c>
      <c r="AP207" s="55">
        <f t="shared" si="193"/>
        <v>0</v>
      </c>
      <c r="AQ207" s="55">
        <f t="shared" si="193"/>
        <v>0</v>
      </c>
      <c r="AR207" s="55">
        <f t="shared" si="193"/>
        <v>0</v>
      </c>
      <c r="AS207" s="55">
        <f t="shared" si="193"/>
        <v>0</v>
      </c>
      <c r="AT207" s="55">
        <f t="shared" si="193"/>
        <v>0</v>
      </c>
      <c r="AU207" s="55">
        <f t="shared" si="193"/>
        <v>0</v>
      </c>
      <c r="AV207" s="55">
        <f t="shared" si="193"/>
        <v>0</v>
      </c>
      <c r="AW207" s="55">
        <f t="shared" si="193"/>
        <v>0</v>
      </c>
      <c r="AX207" s="55">
        <f t="shared" si="193"/>
        <v>0</v>
      </c>
      <c r="AY207" s="55">
        <f t="shared" si="193"/>
        <v>0</v>
      </c>
      <c r="AZ207" s="55">
        <f t="shared" si="193"/>
        <v>0</v>
      </c>
      <c r="BA207" s="55">
        <f t="shared" si="193"/>
        <v>0</v>
      </c>
      <c r="BB207" s="55">
        <f t="shared" si="193"/>
        <v>0</v>
      </c>
      <c r="BC207" s="55">
        <f t="shared" si="193"/>
        <v>0</v>
      </c>
      <c r="BD207" s="55">
        <f t="shared" si="193"/>
        <v>0</v>
      </c>
      <c r="BE207" s="55">
        <f t="shared" si="193"/>
        <v>0</v>
      </c>
      <c r="BF207" s="55">
        <f t="shared" si="193"/>
        <v>0</v>
      </c>
      <c r="BG207" s="55">
        <f t="shared" si="193"/>
        <v>0</v>
      </c>
      <c r="BH207" s="55">
        <f t="shared" si="193"/>
        <v>0</v>
      </c>
      <c r="BI207" s="55">
        <f t="shared" si="193"/>
        <v>0</v>
      </c>
      <c r="BJ207" s="55">
        <f t="shared" si="193"/>
        <v>0</v>
      </c>
    </row>
    <row r="208" spans="1:62" x14ac:dyDescent="0.3">
      <c r="A208" s="53" t="str">
        <f t="shared" si="169"/>
        <v>project 158</v>
      </c>
      <c r="C208" s="55">
        <f t="shared" ref="C208:AH208" si="194">IF(AND(C$127&gt;=$I100,C$127&lt;$I100+$F100),INDEX($T100:$AI100,C$127-$I100+1),0)</f>
        <v>1.95</v>
      </c>
      <c r="D208" s="55">
        <f t="shared" si="194"/>
        <v>5.9607843137254903</v>
      </c>
      <c r="E208" s="55">
        <f t="shared" si="194"/>
        <v>5.7622068435217226</v>
      </c>
      <c r="F208" s="55">
        <f t="shared" si="194"/>
        <v>0</v>
      </c>
      <c r="G208" s="55">
        <f t="shared" si="194"/>
        <v>0</v>
      </c>
      <c r="H208" s="55">
        <f t="shared" si="194"/>
        <v>0</v>
      </c>
      <c r="I208" s="55">
        <f t="shared" si="194"/>
        <v>0</v>
      </c>
      <c r="J208" s="55">
        <f t="shared" si="194"/>
        <v>0</v>
      </c>
      <c r="K208" s="55">
        <f t="shared" si="194"/>
        <v>0</v>
      </c>
      <c r="L208" s="55">
        <f t="shared" si="194"/>
        <v>0</v>
      </c>
      <c r="M208" s="55">
        <f t="shared" si="194"/>
        <v>0</v>
      </c>
      <c r="N208" s="55">
        <f t="shared" si="194"/>
        <v>0</v>
      </c>
      <c r="O208" s="55">
        <f t="shared" si="194"/>
        <v>0</v>
      </c>
      <c r="P208" s="55">
        <f t="shared" si="194"/>
        <v>0</v>
      </c>
      <c r="Q208" s="55">
        <f t="shared" si="194"/>
        <v>0</v>
      </c>
      <c r="R208" s="55">
        <f t="shared" si="194"/>
        <v>0</v>
      </c>
      <c r="S208" s="55">
        <f t="shared" si="194"/>
        <v>0</v>
      </c>
      <c r="T208" s="55">
        <f t="shared" si="194"/>
        <v>0</v>
      </c>
      <c r="U208" s="55">
        <f t="shared" si="194"/>
        <v>0</v>
      </c>
      <c r="V208" s="55">
        <f t="shared" si="194"/>
        <v>0</v>
      </c>
      <c r="W208" s="55">
        <f t="shared" si="194"/>
        <v>0</v>
      </c>
      <c r="X208" s="55">
        <f t="shared" si="194"/>
        <v>0</v>
      </c>
      <c r="Y208" s="55">
        <f t="shared" si="194"/>
        <v>0</v>
      </c>
      <c r="Z208" s="55">
        <f t="shared" si="194"/>
        <v>0</v>
      </c>
      <c r="AA208" s="55">
        <f t="shared" si="194"/>
        <v>0</v>
      </c>
      <c r="AB208" s="55">
        <f t="shared" si="194"/>
        <v>0</v>
      </c>
      <c r="AC208" s="55">
        <f t="shared" si="194"/>
        <v>0</v>
      </c>
      <c r="AD208" s="55">
        <f t="shared" si="194"/>
        <v>0</v>
      </c>
      <c r="AE208" s="55">
        <f t="shared" si="194"/>
        <v>0</v>
      </c>
      <c r="AF208" s="55">
        <f t="shared" si="194"/>
        <v>0</v>
      </c>
      <c r="AG208" s="55">
        <f t="shared" si="194"/>
        <v>0</v>
      </c>
      <c r="AH208" s="55">
        <f t="shared" si="194"/>
        <v>0</v>
      </c>
      <c r="AI208" s="55">
        <f t="shared" ref="AI208:BJ208" si="195">IF(AND(AI$127&gt;=$I100,AI$127&lt;$I100+$F100),INDEX($T100:$AI100,AI$127-$I100+1),0)</f>
        <v>0</v>
      </c>
      <c r="AJ208" s="55">
        <f t="shared" si="195"/>
        <v>0</v>
      </c>
      <c r="AK208" s="55">
        <f t="shared" si="195"/>
        <v>0</v>
      </c>
      <c r="AL208" s="55">
        <f t="shared" si="195"/>
        <v>0</v>
      </c>
      <c r="AM208" s="55">
        <f t="shared" si="195"/>
        <v>0</v>
      </c>
      <c r="AN208" s="55">
        <f t="shared" si="195"/>
        <v>0</v>
      </c>
      <c r="AO208" s="55">
        <f t="shared" si="195"/>
        <v>0</v>
      </c>
      <c r="AP208" s="55">
        <f t="shared" si="195"/>
        <v>0</v>
      </c>
      <c r="AQ208" s="55">
        <f t="shared" si="195"/>
        <v>0</v>
      </c>
      <c r="AR208" s="55">
        <f t="shared" si="195"/>
        <v>0</v>
      </c>
      <c r="AS208" s="55">
        <f t="shared" si="195"/>
        <v>0</v>
      </c>
      <c r="AT208" s="55">
        <f t="shared" si="195"/>
        <v>0</v>
      </c>
      <c r="AU208" s="55">
        <f t="shared" si="195"/>
        <v>0</v>
      </c>
      <c r="AV208" s="55">
        <f t="shared" si="195"/>
        <v>0</v>
      </c>
      <c r="AW208" s="55">
        <f t="shared" si="195"/>
        <v>0</v>
      </c>
      <c r="AX208" s="55">
        <f t="shared" si="195"/>
        <v>0</v>
      </c>
      <c r="AY208" s="55">
        <f t="shared" si="195"/>
        <v>0</v>
      </c>
      <c r="AZ208" s="55">
        <f t="shared" si="195"/>
        <v>0</v>
      </c>
      <c r="BA208" s="55">
        <f t="shared" si="195"/>
        <v>0</v>
      </c>
      <c r="BB208" s="55">
        <f t="shared" si="195"/>
        <v>0</v>
      </c>
      <c r="BC208" s="55">
        <f t="shared" si="195"/>
        <v>0</v>
      </c>
      <c r="BD208" s="55">
        <f t="shared" si="195"/>
        <v>0</v>
      </c>
      <c r="BE208" s="55">
        <f t="shared" si="195"/>
        <v>0</v>
      </c>
      <c r="BF208" s="55">
        <f t="shared" si="195"/>
        <v>0</v>
      </c>
      <c r="BG208" s="55">
        <f t="shared" si="195"/>
        <v>0</v>
      </c>
      <c r="BH208" s="55">
        <f t="shared" si="195"/>
        <v>0</v>
      </c>
      <c r="BI208" s="55">
        <f t="shared" si="195"/>
        <v>0</v>
      </c>
      <c r="BJ208" s="55">
        <f t="shared" si="195"/>
        <v>0</v>
      </c>
    </row>
    <row r="209" spans="1:62" x14ac:dyDescent="0.3">
      <c r="A209" s="53" t="str">
        <f t="shared" si="169"/>
        <v>project 161</v>
      </c>
      <c r="C209" s="55">
        <f t="shared" ref="C209:AH209" si="196">IF(AND(C$127&gt;=$I101,C$127&lt;$I101+$F101),INDEX($T101:$AI101,C$127-$I101+1),0)</f>
        <v>0</v>
      </c>
      <c r="D209" s="55">
        <f t="shared" si="196"/>
        <v>0</v>
      </c>
      <c r="E209" s="55">
        <f t="shared" si="196"/>
        <v>0</v>
      </c>
      <c r="F209" s="55">
        <f t="shared" si="196"/>
        <v>0</v>
      </c>
      <c r="G209" s="55">
        <f t="shared" si="196"/>
        <v>0</v>
      </c>
      <c r="H209" s="55">
        <f t="shared" si="196"/>
        <v>0</v>
      </c>
      <c r="I209" s="55">
        <f t="shared" si="196"/>
        <v>0</v>
      </c>
      <c r="J209" s="55">
        <f t="shared" si="196"/>
        <v>0</v>
      </c>
      <c r="K209" s="55">
        <f t="shared" si="196"/>
        <v>0</v>
      </c>
      <c r="L209" s="55">
        <f t="shared" si="196"/>
        <v>11.881</v>
      </c>
      <c r="M209" s="55">
        <f t="shared" si="196"/>
        <v>0</v>
      </c>
      <c r="N209" s="55">
        <f t="shared" si="196"/>
        <v>0</v>
      </c>
      <c r="O209" s="55">
        <f t="shared" si="196"/>
        <v>0</v>
      </c>
      <c r="P209" s="55">
        <f t="shared" si="196"/>
        <v>0</v>
      </c>
      <c r="Q209" s="55">
        <f t="shared" si="196"/>
        <v>0</v>
      </c>
      <c r="R209" s="55">
        <f t="shared" si="196"/>
        <v>0</v>
      </c>
      <c r="S209" s="55">
        <f t="shared" si="196"/>
        <v>0</v>
      </c>
      <c r="T209" s="55">
        <f t="shared" si="196"/>
        <v>0</v>
      </c>
      <c r="U209" s="55">
        <f t="shared" si="196"/>
        <v>0</v>
      </c>
      <c r="V209" s="55">
        <f t="shared" si="196"/>
        <v>0</v>
      </c>
      <c r="W209" s="55">
        <f t="shared" si="196"/>
        <v>0</v>
      </c>
      <c r="X209" s="55">
        <f t="shared" si="196"/>
        <v>0</v>
      </c>
      <c r="Y209" s="55">
        <f t="shared" si="196"/>
        <v>0</v>
      </c>
      <c r="Z209" s="55">
        <f t="shared" si="196"/>
        <v>0</v>
      </c>
      <c r="AA209" s="55">
        <f t="shared" si="196"/>
        <v>0</v>
      </c>
      <c r="AB209" s="55">
        <f t="shared" si="196"/>
        <v>0</v>
      </c>
      <c r="AC209" s="55">
        <f t="shared" si="196"/>
        <v>0</v>
      </c>
      <c r="AD209" s="55">
        <f t="shared" si="196"/>
        <v>0</v>
      </c>
      <c r="AE209" s="55">
        <f t="shared" si="196"/>
        <v>0</v>
      </c>
      <c r="AF209" s="55">
        <f t="shared" si="196"/>
        <v>0</v>
      </c>
      <c r="AG209" s="55">
        <f t="shared" si="196"/>
        <v>0</v>
      </c>
      <c r="AH209" s="55">
        <f t="shared" si="196"/>
        <v>0</v>
      </c>
      <c r="AI209" s="55">
        <f t="shared" ref="AI209:BJ209" si="197">IF(AND(AI$127&gt;=$I101,AI$127&lt;$I101+$F101),INDEX($T101:$AI101,AI$127-$I101+1),0)</f>
        <v>0</v>
      </c>
      <c r="AJ209" s="55">
        <f t="shared" si="197"/>
        <v>0</v>
      </c>
      <c r="AK209" s="55">
        <f t="shared" si="197"/>
        <v>0</v>
      </c>
      <c r="AL209" s="55">
        <f t="shared" si="197"/>
        <v>0</v>
      </c>
      <c r="AM209" s="55">
        <f t="shared" si="197"/>
        <v>0</v>
      </c>
      <c r="AN209" s="55">
        <f t="shared" si="197"/>
        <v>0</v>
      </c>
      <c r="AO209" s="55">
        <f t="shared" si="197"/>
        <v>0</v>
      </c>
      <c r="AP209" s="55">
        <f t="shared" si="197"/>
        <v>0</v>
      </c>
      <c r="AQ209" s="55">
        <f t="shared" si="197"/>
        <v>0</v>
      </c>
      <c r="AR209" s="55">
        <f t="shared" si="197"/>
        <v>0</v>
      </c>
      <c r="AS209" s="55">
        <f t="shared" si="197"/>
        <v>0</v>
      </c>
      <c r="AT209" s="55">
        <f t="shared" si="197"/>
        <v>0</v>
      </c>
      <c r="AU209" s="55">
        <f t="shared" si="197"/>
        <v>0</v>
      </c>
      <c r="AV209" s="55">
        <f t="shared" si="197"/>
        <v>0</v>
      </c>
      <c r="AW209" s="55">
        <f t="shared" si="197"/>
        <v>0</v>
      </c>
      <c r="AX209" s="55">
        <f t="shared" si="197"/>
        <v>0</v>
      </c>
      <c r="AY209" s="55">
        <f t="shared" si="197"/>
        <v>0</v>
      </c>
      <c r="AZ209" s="55">
        <f t="shared" si="197"/>
        <v>0</v>
      </c>
      <c r="BA209" s="55">
        <f t="shared" si="197"/>
        <v>0</v>
      </c>
      <c r="BB209" s="55">
        <f t="shared" si="197"/>
        <v>0</v>
      </c>
      <c r="BC209" s="55">
        <f t="shared" si="197"/>
        <v>0</v>
      </c>
      <c r="BD209" s="55">
        <f t="shared" si="197"/>
        <v>0</v>
      </c>
      <c r="BE209" s="55">
        <f t="shared" si="197"/>
        <v>0</v>
      </c>
      <c r="BF209" s="55">
        <f t="shared" si="197"/>
        <v>0</v>
      </c>
      <c r="BG209" s="55">
        <f t="shared" si="197"/>
        <v>0</v>
      </c>
      <c r="BH209" s="55">
        <f t="shared" si="197"/>
        <v>0</v>
      </c>
      <c r="BI209" s="55">
        <f t="shared" si="197"/>
        <v>0</v>
      </c>
      <c r="BJ209" s="55">
        <f t="shared" si="197"/>
        <v>0</v>
      </c>
    </row>
    <row r="210" spans="1:62" x14ac:dyDescent="0.3">
      <c r="A210" s="53" t="str">
        <f t="shared" si="169"/>
        <v>project 162</v>
      </c>
      <c r="C210" s="55">
        <f t="shared" ref="C210:AH210" si="198">IF(AND(C$127&gt;=$I102,C$127&lt;$I102+$F102),INDEX($T102:$AI102,C$127-$I102+1),0)</f>
        <v>0</v>
      </c>
      <c r="D210" s="55">
        <f t="shared" si="198"/>
        <v>0</v>
      </c>
      <c r="E210" s="55">
        <f t="shared" si="198"/>
        <v>0</v>
      </c>
      <c r="F210" s="55">
        <f t="shared" si="198"/>
        <v>0</v>
      </c>
      <c r="G210" s="55">
        <f t="shared" si="198"/>
        <v>0</v>
      </c>
      <c r="H210" s="55">
        <f t="shared" si="198"/>
        <v>0</v>
      </c>
      <c r="I210" s="55">
        <f t="shared" si="198"/>
        <v>0</v>
      </c>
      <c r="J210" s="55">
        <f t="shared" si="198"/>
        <v>0</v>
      </c>
      <c r="K210" s="55">
        <f t="shared" si="198"/>
        <v>0</v>
      </c>
      <c r="L210" s="55">
        <f t="shared" si="198"/>
        <v>0</v>
      </c>
      <c r="M210" s="55">
        <f t="shared" si="198"/>
        <v>0</v>
      </c>
      <c r="N210" s="55">
        <f t="shared" si="198"/>
        <v>0</v>
      </c>
      <c r="O210" s="55">
        <f t="shared" si="198"/>
        <v>0</v>
      </c>
      <c r="P210" s="55">
        <f t="shared" si="198"/>
        <v>0</v>
      </c>
      <c r="Q210" s="55">
        <f t="shared" si="198"/>
        <v>0</v>
      </c>
      <c r="R210" s="55">
        <f t="shared" si="198"/>
        <v>0.218</v>
      </c>
      <c r="S210" s="55">
        <f t="shared" si="198"/>
        <v>10.686274509803919</v>
      </c>
      <c r="T210" s="55">
        <f t="shared" si="198"/>
        <v>0.1571510957324106</v>
      </c>
      <c r="U210" s="55">
        <f t="shared" si="198"/>
        <v>0</v>
      </c>
      <c r="V210" s="55">
        <f t="shared" si="198"/>
        <v>0</v>
      </c>
      <c r="W210" s="55">
        <f t="shared" si="198"/>
        <v>0</v>
      </c>
      <c r="X210" s="55">
        <f t="shared" si="198"/>
        <v>0</v>
      </c>
      <c r="Y210" s="55">
        <f t="shared" si="198"/>
        <v>0</v>
      </c>
      <c r="Z210" s="55">
        <f t="shared" si="198"/>
        <v>0</v>
      </c>
      <c r="AA210" s="55">
        <f t="shared" si="198"/>
        <v>0</v>
      </c>
      <c r="AB210" s="55">
        <f t="shared" si="198"/>
        <v>0</v>
      </c>
      <c r="AC210" s="55">
        <f t="shared" si="198"/>
        <v>0</v>
      </c>
      <c r="AD210" s="55">
        <f t="shared" si="198"/>
        <v>0</v>
      </c>
      <c r="AE210" s="55">
        <f t="shared" si="198"/>
        <v>0</v>
      </c>
      <c r="AF210" s="55">
        <f t="shared" si="198"/>
        <v>0</v>
      </c>
      <c r="AG210" s="55">
        <f t="shared" si="198"/>
        <v>0</v>
      </c>
      <c r="AH210" s="55">
        <f t="shared" si="198"/>
        <v>0</v>
      </c>
      <c r="AI210" s="55">
        <f t="shared" ref="AI210:BJ210" si="199">IF(AND(AI$127&gt;=$I102,AI$127&lt;$I102+$F102),INDEX($T102:$AI102,AI$127-$I102+1),0)</f>
        <v>0</v>
      </c>
      <c r="AJ210" s="55">
        <f t="shared" si="199"/>
        <v>0</v>
      </c>
      <c r="AK210" s="55">
        <f t="shared" si="199"/>
        <v>0</v>
      </c>
      <c r="AL210" s="55">
        <f t="shared" si="199"/>
        <v>0</v>
      </c>
      <c r="AM210" s="55">
        <f t="shared" si="199"/>
        <v>0</v>
      </c>
      <c r="AN210" s="55">
        <f t="shared" si="199"/>
        <v>0</v>
      </c>
      <c r="AO210" s="55">
        <f t="shared" si="199"/>
        <v>0</v>
      </c>
      <c r="AP210" s="55">
        <f t="shared" si="199"/>
        <v>0</v>
      </c>
      <c r="AQ210" s="55">
        <f t="shared" si="199"/>
        <v>0</v>
      </c>
      <c r="AR210" s="55">
        <f t="shared" si="199"/>
        <v>0</v>
      </c>
      <c r="AS210" s="55">
        <f t="shared" si="199"/>
        <v>0</v>
      </c>
      <c r="AT210" s="55">
        <f t="shared" si="199"/>
        <v>0</v>
      </c>
      <c r="AU210" s="55">
        <f t="shared" si="199"/>
        <v>0</v>
      </c>
      <c r="AV210" s="55">
        <f t="shared" si="199"/>
        <v>0</v>
      </c>
      <c r="AW210" s="55">
        <f t="shared" si="199"/>
        <v>0</v>
      </c>
      <c r="AX210" s="55">
        <f t="shared" si="199"/>
        <v>0</v>
      </c>
      <c r="AY210" s="55">
        <f t="shared" si="199"/>
        <v>0</v>
      </c>
      <c r="AZ210" s="55">
        <f t="shared" si="199"/>
        <v>0</v>
      </c>
      <c r="BA210" s="55">
        <f t="shared" si="199"/>
        <v>0</v>
      </c>
      <c r="BB210" s="55">
        <f t="shared" si="199"/>
        <v>0</v>
      </c>
      <c r="BC210" s="55">
        <f t="shared" si="199"/>
        <v>0</v>
      </c>
      <c r="BD210" s="55">
        <f t="shared" si="199"/>
        <v>0</v>
      </c>
      <c r="BE210" s="55">
        <f t="shared" si="199"/>
        <v>0</v>
      </c>
      <c r="BF210" s="55">
        <f t="shared" si="199"/>
        <v>0</v>
      </c>
      <c r="BG210" s="55">
        <f t="shared" si="199"/>
        <v>0</v>
      </c>
      <c r="BH210" s="55">
        <f t="shared" si="199"/>
        <v>0</v>
      </c>
      <c r="BI210" s="55">
        <f t="shared" si="199"/>
        <v>0</v>
      </c>
      <c r="BJ210" s="55">
        <f t="shared" si="199"/>
        <v>0</v>
      </c>
    </row>
    <row r="211" spans="1:62" x14ac:dyDescent="0.3">
      <c r="A211" s="53" t="str">
        <f t="shared" si="169"/>
        <v>project 166</v>
      </c>
      <c r="C211" s="55">
        <f t="shared" ref="C211:AH211" si="200">IF(AND(C$127&gt;=$I103,C$127&lt;$I103+$F103),INDEX($T103:$AI103,C$127-$I103+1),0)</f>
        <v>0.32058823529411767</v>
      </c>
      <c r="D211" s="55">
        <f t="shared" si="200"/>
        <v>0</v>
      </c>
      <c r="E211" s="55">
        <f t="shared" si="200"/>
        <v>0.1127017512118265</v>
      </c>
      <c r="F211" s="55">
        <f t="shared" si="200"/>
        <v>9.2643219321938854</v>
      </c>
      <c r="G211" s="55">
        <f t="shared" si="200"/>
        <v>0</v>
      </c>
      <c r="H211" s="55">
        <f t="shared" si="200"/>
        <v>0</v>
      </c>
      <c r="I211" s="55">
        <f t="shared" si="200"/>
        <v>0</v>
      </c>
      <c r="J211" s="55">
        <f t="shared" si="200"/>
        <v>0</v>
      </c>
      <c r="K211" s="55">
        <f t="shared" si="200"/>
        <v>0</v>
      </c>
      <c r="L211" s="55">
        <f t="shared" si="200"/>
        <v>0</v>
      </c>
      <c r="M211" s="55">
        <f t="shared" si="200"/>
        <v>0</v>
      </c>
      <c r="N211" s="55">
        <f t="shared" si="200"/>
        <v>0</v>
      </c>
      <c r="O211" s="55">
        <f t="shared" si="200"/>
        <v>0</v>
      </c>
      <c r="P211" s="55">
        <f t="shared" si="200"/>
        <v>0</v>
      </c>
      <c r="Q211" s="55">
        <f t="shared" si="200"/>
        <v>0</v>
      </c>
      <c r="R211" s="55">
        <f t="shared" si="200"/>
        <v>0</v>
      </c>
      <c r="S211" s="55">
        <f t="shared" si="200"/>
        <v>0</v>
      </c>
      <c r="T211" s="55">
        <f t="shared" si="200"/>
        <v>0</v>
      </c>
      <c r="U211" s="55">
        <f t="shared" si="200"/>
        <v>0</v>
      </c>
      <c r="V211" s="55">
        <f t="shared" si="200"/>
        <v>0</v>
      </c>
      <c r="W211" s="55">
        <f t="shared" si="200"/>
        <v>0</v>
      </c>
      <c r="X211" s="55">
        <f t="shared" si="200"/>
        <v>0</v>
      </c>
      <c r="Y211" s="55">
        <f t="shared" si="200"/>
        <v>0</v>
      </c>
      <c r="Z211" s="55">
        <f t="shared" si="200"/>
        <v>0</v>
      </c>
      <c r="AA211" s="55">
        <f t="shared" si="200"/>
        <v>0</v>
      </c>
      <c r="AB211" s="55">
        <f t="shared" si="200"/>
        <v>0</v>
      </c>
      <c r="AC211" s="55">
        <f t="shared" si="200"/>
        <v>0</v>
      </c>
      <c r="AD211" s="55">
        <f t="shared" si="200"/>
        <v>0</v>
      </c>
      <c r="AE211" s="55">
        <f t="shared" si="200"/>
        <v>0</v>
      </c>
      <c r="AF211" s="55">
        <f t="shared" si="200"/>
        <v>0</v>
      </c>
      <c r="AG211" s="55">
        <f t="shared" si="200"/>
        <v>0</v>
      </c>
      <c r="AH211" s="55">
        <f t="shared" si="200"/>
        <v>0</v>
      </c>
      <c r="AI211" s="55">
        <f t="shared" ref="AI211:BJ211" si="201">IF(AND(AI$127&gt;=$I103,AI$127&lt;$I103+$F103),INDEX($T103:$AI103,AI$127-$I103+1),0)</f>
        <v>0</v>
      </c>
      <c r="AJ211" s="55">
        <f t="shared" si="201"/>
        <v>0</v>
      </c>
      <c r="AK211" s="55">
        <f t="shared" si="201"/>
        <v>0</v>
      </c>
      <c r="AL211" s="55">
        <f t="shared" si="201"/>
        <v>0</v>
      </c>
      <c r="AM211" s="55">
        <f t="shared" si="201"/>
        <v>0</v>
      </c>
      <c r="AN211" s="55">
        <f t="shared" si="201"/>
        <v>0</v>
      </c>
      <c r="AO211" s="55">
        <f t="shared" si="201"/>
        <v>0</v>
      </c>
      <c r="AP211" s="55">
        <f t="shared" si="201"/>
        <v>0</v>
      </c>
      <c r="AQ211" s="55">
        <f t="shared" si="201"/>
        <v>0</v>
      </c>
      <c r="AR211" s="55">
        <f t="shared" si="201"/>
        <v>0</v>
      </c>
      <c r="AS211" s="55">
        <f t="shared" si="201"/>
        <v>0</v>
      </c>
      <c r="AT211" s="55">
        <f t="shared" si="201"/>
        <v>0</v>
      </c>
      <c r="AU211" s="55">
        <f t="shared" si="201"/>
        <v>0</v>
      </c>
      <c r="AV211" s="55">
        <f t="shared" si="201"/>
        <v>0</v>
      </c>
      <c r="AW211" s="55">
        <f t="shared" si="201"/>
        <v>0</v>
      </c>
      <c r="AX211" s="55">
        <f t="shared" si="201"/>
        <v>0</v>
      </c>
      <c r="AY211" s="55">
        <f t="shared" si="201"/>
        <v>0</v>
      </c>
      <c r="AZ211" s="55">
        <f t="shared" si="201"/>
        <v>0</v>
      </c>
      <c r="BA211" s="55">
        <f t="shared" si="201"/>
        <v>0</v>
      </c>
      <c r="BB211" s="55">
        <f t="shared" si="201"/>
        <v>0</v>
      </c>
      <c r="BC211" s="55">
        <f t="shared" si="201"/>
        <v>0</v>
      </c>
      <c r="BD211" s="55">
        <f t="shared" si="201"/>
        <v>0</v>
      </c>
      <c r="BE211" s="55">
        <f t="shared" si="201"/>
        <v>0</v>
      </c>
      <c r="BF211" s="55">
        <f t="shared" si="201"/>
        <v>0</v>
      </c>
      <c r="BG211" s="55">
        <f t="shared" si="201"/>
        <v>0</v>
      </c>
      <c r="BH211" s="55">
        <f t="shared" si="201"/>
        <v>0</v>
      </c>
      <c r="BI211" s="55">
        <f t="shared" si="201"/>
        <v>0</v>
      </c>
      <c r="BJ211" s="55">
        <f t="shared" si="201"/>
        <v>0</v>
      </c>
    </row>
    <row r="212" spans="1:62" x14ac:dyDescent="0.3">
      <c r="A212" s="53" t="str">
        <f t="shared" si="169"/>
        <v>project 167</v>
      </c>
      <c r="C212" s="55">
        <f t="shared" ref="C212:AH212" si="202">IF(AND(C$127&gt;=$I104,C$127&lt;$I104+$F104),INDEX($T104:$AI104,C$127-$I104+1),0)</f>
        <v>0</v>
      </c>
      <c r="D212" s="55">
        <f t="shared" si="202"/>
        <v>0</v>
      </c>
      <c r="E212" s="55">
        <f t="shared" si="202"/>
        <v>0</v>
      </c>
      <c r="F212" s="55">
        <f t="shared" si="202"/>
        <v>0</v>
      </c>
      <c r="G212" s="55">
        <f t="shared" si="202"/>
        <v>0.64117647058823535</v>
      </c>
      <c r="H212" s="55">
        <f t="shared" si="202"/>
        <v>2.2904652056901189</v>
      </c>
      <c r="I212" s="55">
        <f t="shared" si="202"/>
        <v>7.175784577575743</v>
      </c>
      <c r="J212" s="55">
        <f t="shared" si="202"/>
        <v>2.3022228016580728</v>
      </c>
      <c r="K212" s="55">
        <f t="shared" si="202"/>
        <v>0</v>
      </c>
      <c r="L212" s="55">
        <f t="shared" si="202"/>
        <v>0</v>
      </c>
      <c r="M212" s="55">
        <f t="shared" si="202"/>
        <v>0</v>
      </c>
      <c r="N212" s="55">
        <f t="shared" si="202"/>
        <v>0</v>
      </c>
      <c r="O212" s="55">
        <f t="shared" si="202"/>
        <v>0</v>
      </c>
      <c r="P212" s="55">
        <f t="shared" si="202"/>
        <v>0</v>
      </c>
      <c r="Q212" s="55">
        <f t="shared" si="202"/>
        <v>0</v>
      </c>
      <c r="R212" s="55">
        <f t="shared" si="202"/>
        <v>0</v>
      </c>
      <c r="S212" s="55">
        <f t="shared" si="202"/>
        <v>0</v>
      </c>
      <c r="T212" s="55">
        <f t="shared" si="202"/>
        <v>0</v>
      </c>
      <c r="U212" s="55">
        <f t="shared" si="202"/>
        <v>0</v>
      </c>
      <c r="V212" s="55">
        <f t="shared" si="202"/>
        <v>0</v>
      </c>
      <c r="W212" s="55">
        <f t="shared" si="202"/>
        <v>0</v>
      </c>
      <c r="X212" s="55">
        <f t="shared" si="202"/>
        <v>0</v>
      </c>
      <c r="Y212" s="55">
        <f t="shared" si="202"/>
        <v>0</v>
      </c>
      <c r="Z212" s="55">
        <f t="shared" si="202"/>
        <v>0</v>
      </c>
      <c r="AA212" s="55">
        <f t="shared" si="202"/>
        <v>0</v>
      </c>
      <c r="AB212" s="55">
        <f t="shared" si="202"/>
        <v>0</v>
      </c>
      <c r="AC212" s="55">
        <f t="shared" si="202"/>
        <v>0</v>
      </c>
      <c r="AD212" s="55">
        <f t="shared" si="202"/>
        <v>0</v>
      </c>
      <c r="AE212" s="55">
        <f t="shared" si="202"/>
        <v>0</v>
      </c>
      <c r="AF212" s="55">
        <f t="shared" si="202"/>
        <v>0</v>
      </c>
      <c r="AG212" s="55">
        <f t="shared" si="202"/>
        <v>0</v>
      </c>
      <c r="AH212" s="55">
        <f t="shared" si="202"/>
        <v>0</v>
      </c>
      <c r="AI212" s="55">
        <f t="shared" ref="AI212:BJ212" si="203">IF(AND(AI$127&gt;=$I104,AI$127&lt;$I104+$F104),INDEX($T104:$AI104,AI$127-$I104+1),0)</f>
        <v>0</v>
      </c>
      <c r="AJ212" s="55">
        <f t="shared" si="203"/>
        <v>0</v>
      </c>
      <c r="AK212" s="55">
        <f t="shared" si="203"/>
        <v>0</v>
      </c>
      <c r="AL212" s="55">
        <f t="shared" si="203"/>
        <v>0</v>
      </c>
      <c r="AM212" s="55">
        <f t="shared" si="203"/>
        <v>0</v>
      </c>
      <c r="AN212" s="55">
        <f t="shared" si="203"/>
        <v>0</v>
      </c>
      <c r="AO212" s="55">
        <f t="shared" si="203"/>
        <v>0</v>
      </c>
      <c r="AP212" s="55">
        <f t="shared" si="203"/>
        <v>0</v>
      </c>
      <c r="AQ212" s="55">
        <f t="shared" si="203"/>
        <v>0</v>
      </c>
      <c r="AR212" s="55">
        <f t="shared" si="203"/>
        <v>0</v>
      </c>
      <c r="AS212" s="55">
        <f t="shared" si="203"/>
        <v>0</v>
      </c>
      <c r="AT212" s="55">
        <f t="shared" si="203"/>
        <v>0</v>
      </c>
      <c r="AU212" s="55">
        <f t="shared" si="203"/>
        <v>0</v>
      </c>
      <c r="AV212" s="55">
        <f t="shared" si="203"/>
        <v>0</v>
      </c>
      <c r="AW212" s="55">
        <f t="shared" si="203"/>
        <v>0</v>
      </c>
      <c r="AX212" s="55">
        <f t="shared" si="203"/>
        <v>0</v>
      </c>
      <c r="AY212" s="55">
        <f t="shared" si="203"/>
        <v>0</v>
      </c>
      <c r="AZ212" s="55">
        <f t="shared" si="203"/>
        <v>0</v>
      </c>
      <c r="BA212" s="55">
        <f t="shared" si="203"/>
        <v>0</v>
      </c>
      <c r="BB212" s="55">
        <f t="shared" si="203"/>
        <v>0</v>
      </c>
      <c r="BC212" s="55">
        <f t="shared" si="203"/>
        <v>0</v>
      </c>
      <c r="BD212" s="55">
        <f t="shared" si="203"/>
        <v>0</v>
      </c>
      <c r="BE212" s="55">
        <f t="shared" si="203"/>
        <v>0</v>
      </c>
      <c r="BF212" s="55">
        <f t="shared" si="203"/>
        <v>0</v>
      </c>
      <c r="BG212" s="55">
        <f t="shared" si="203"/>
        <v>0</v>
      </c>
      <c r="BH212" s="55">
        <f t="shared" si="203"/>
        <v>0</v>
      </c>
      <c r="BI212" s="55">
        <f t="shared" si="203"/>
        <v>0</v>
      </c>
      <c r="BJ212" s="55">
        <f t="shared" si="203"/>
        <v>0</v>
      </c>
    </row>
    <row r="213" spans="1:62" x14ac:dyDescent="0.3">
      <c r="A213" s="53" t="str">
        <f t="shared" si="169"/>
        <v>project 168</v>
      </c>
      <c r="C213" s="55">
        <f t="shared" ref="C213:AH213" si="204">IF(AND(C$127&gt;=$I105,C$127&lt;$I105+$F105),INDEX($T105:$AI105,C$127-$I105+1),0)</f>
        <v>0</v>
      </c>
      <c r="D213" s="55">
        <f t="shared" si="204"/>
        <v>0</v>
      </c>
      <c r="E213" s="55">
        <f t="shared" si="204"/>
        <v>0</v>
      </c>
      <c r="F213" s="55">
        <f t="shared" si="204"/>
        <v>0</v>
      </c>
      <c r="G213" s="55">
        <f t="shared" si="204"/>
        <v>0</v>
      </c>
      <c r="H213" s="55">
        <f t="shared" si="204"/>
        <v>0</v>
      </c>
      <c r="I213" s="55">
        <f t="shared" si="204"/>
        <v>0</v>
      </c>
      <c r="J213" s="55">
        <f t="shared" si="204"/>
        <v>0</v>
      </c>
      <c r="K213" s="55">
        <f t="shared" si="204"/>
        <v>0</v>
      </c>
      <c r="L213" s="55">
        <f t="shared" si="204"/>
        <v>0.69063823529411761</v>
      </c>
      <c r="M213" s="55">
        <f t="shared" si="204"/>
        <v>1.492351980007689</v>
      </c>
      <c r="N213" s="55">
        <f t="shared" si="204"/>
        <v>2.5494992499114209</v>
      </c>
      <c r="O213" s="55">
        <f t="shared" si="204"/>
        <v>1.02710547698435</v>
      </c>
      <c r="P213" s="55">
        <f t="shared" si="204"/>
        <v>2.466028747269863</v>
      </c>
      <c r="Q213" s="55">
        <f t="shared" si="204"/>
        <v>0</v>
      </c>
      <c r="R213" s="55">
        <f t="shared" si="204"/>
        <v>0</v>
      </c>
      <c r="S213" s="55">
        <f t="shared" si="204"/>
        <v>0</v>
      </c>
      <c r="T213" s="55">
        <f t="shared" si="204"/>
        <v>0</v>
      </c>
      <c r="U213" s="55">
        <f t="shared" si="204"/>
        <v>0</v>
      </c>
      <c r="V213" s="55">
        <f t="shared" si="204"/>
        <v>0</v>
      </c>
      <c r="W213" s="55">
        <f t="shared" si="204"/>
        <v>0</v>
      </c>
      <c r="X213" s="55">
        <f t="shared" si="204"/>
        <v>0</v>
      </c>
      <c r="Y213" s="55">
        <f t="shared" si="204"/>
        <v>0</v>
      </c>
      <c r="Z213" s="55">
        <f t="shared" si="204"/>
        <v>0</v>
      </c>
      <c r="AA213" s="55">
        <f t="shared" si="204"/>
        <v>0</v>
      </c>
      <c r="AB213" s="55">
        <f t="shared" si="204"/>
        <v>0</v>
      </c>
      <c r="AC213" s="55">
        <f t="shared" si="204"/>
        <v>0</v>
      </c>
      <c r="AD213" s="55">
        <f t="shared" si="204"/>
        <v>0</v>
      </c>
      <c r="AE213" s="55">
        <f t="shared" si="204"/>
        <v>0</v>
      </c>
      <c r="AF213" s="55">
        <f t="shared" si="204"/>
        <v>0</v>
      </c>
      <c r="AG213" s="55">
        <f t="shared" si="204"/>
        <v>0</v>
      </c>
      <c r="AH213" s="55">
        <f t="shared" si="204"/>
        <v>0</v>
      </c>
      <c r="AI213" s="55">
        <f t="shared" ref="AI213:BJ213" si="205">IF(AND(AI$127&gt;=$I105,AI$127&lt;$I105+$F105),INDEX($T105:$AI105,AI$127-$I105+1),0)</f>
        <v>0</v>
      </c>
      <c r="AJ213" s="55">
        <f t="shared" si="205"/>
        <v>0</v>
      </c>
      <c r="AK213" s="55">
        <f t="shared" si="205"/>
        <v>0</v>
      </c>
      <c r="AL213" s="55">
        <f t="shared" si="205"/>
        <v>0</v>
      </c>
      <c r="AM213" s="55">
        <f t="shared" si="205"/>
        <v>0</v>
      </c>
      <c r="AN213" s="55">
        <f t="shared" si="205"/>
        <v>0</v>
      </c>
      <c r="AO213" s="55">
        <f t="shared" si="205"/>
        <v>0</v>
      </c>
      <c r="AP213" s="55">
        <f t="shared" si="205"/>
        <v>0</v>
      </c>
      <c r="AQ213" s="55">
        <f t="shared" si="205"/>
        <v>0</v>
      </c>
      <c r="AR213" s="55">
        <f t="shared" si="205"/>
        <v>0</v>
      </c>
      <c r="AS213" s="55">
        <f t="shared" si="205"/>
        <v>0</v>
      </c>
      <c r="AT213" s="55">
        <f t="shared" si="205"/>
        <v>0</v>
      </c>
      <c r="AU213" s="55">
        <f t="shared" si="205"/>
        <v>0</v>
      </c>
      <c r="AV213" s="55">
        <f t="shared" si="205"/>
        <v>0</v>
      </c>
      <c r="AW213" s="55">
        <f t="shared" si="205"/>
        <v>0</v>
      </c>
      <c r="AX213" s="55">
        <f t="shared" si="205"/>
        <v>0</v>
      </c>
      <c r="AY213" s="55">
        <f t="shared" si="205"/>
        <v>0</v>
      </c>
      <c r="AZ213" s="55">
        <f t="shared" si="205"/>
        <v>0</v>
      </c>
      <c r="BA213" s="55">
        <f t="shared" si="205"/>
        <v>0</v>
      </c>
      <c r="BB213" s="55">
        <f t="shared" si="205"/>
        <v>0</v>
      </c>
      <c r="BC213" s="55">
        <f t="shared" si="205"/>
        <v>0</v>
      </c>
      <c r="BD213" s="55">
        <f t="shared" si="205"/>
        <v>0</v>
      </c>
      <c r="BE213" s="55">
        <f t="shared" si="205"/>
        <v>0</v>
      </c>
      <c r="BF213" s="55">
        <f t="shared" si="205"/>
        <v>0</v>
      </c>
      <c r="BG213" s="55">
        <f t="shared" si="205"/>
        <v>0</v>
      </c>
      <c r="BH213" s="55">
        <f t="shared" si="205"/>
        <v>0</v>
      </c>
      <c r="BI213" s="55">
        <f t="shared" si="205"/>
        <v>0</v>
      </c>
      <c r="BJ213" s="55">
        <f t="shared" si="205"/>
        <v>0</v>
      </c>
    </row>
    <row r="214" spans="1:62" x14ac:dyDescent="0.3">
      <c r="A214" s="53" t="str">
        <f t="shared" si="169"/>
        <v>project 171</v>
      </c>
      <c r="C214" s="55">
        <f t="shared" ref="C214:AH214" si="206">IF(AND(C$127&gt;=$I106,C$127&lt;$I106+$F106),INDEX($T106:$AI106,C$127-$I106+1),0)</f>
        <v>0</v>
      </c>
      <c r="D214" s="55">
        <f t="shared" si="206"/>
        <v>0</v>
      </c>
      <c r="E214" s="55">
        <f t="shared" si="206"/>
        <v>0</v>
      </c>
      <c r="F214" s="55">
        <f t="shared" si="206"/>
        <v>0</v>
      </c>
      <c r="G214" s="55">
        <f t="shared" si="206"/>
        <v>0</v>
      </c>
      <c r="H214" s="55">
        <f t="shared" si="206"/>
        <v>0</v>
      </c>
      <c r="I214" s="55">
        <f t="shared" si="206"/>
        <v>0</v>
      </c>
      <c r="J214" s="55">
        <f t="shared" si="206"/>
        <v>1.09E-3</v>
      </c>
      <c r="K214" s="55">
        <f t="shared" si="206"/>
        <v>1.0686274509803919</v>
      </c>
      <c r="L214" s="55">
        <f t="shared" si="206"/>
        <v>5.2383698577470206</v>
      </c>
      <c r="M214" s="55">
        <f t="shared" si="206"/>
        <v>0</v>
      </c>
      <c r="N214" s="55">
        <f t="shared" si="206"/>
        <v>0</v>
      </c>
      <c r="O214" s="55">
        <f t="shared" si="206"/>
        <v>0</v>
      </c>
      <c r="P214" s="55">
        <f t="shared" si="206"/>
        <v>0</v>
      </c>
      <c r="Q214" s="55">
        <f t="shared" si="206"/>
        <v>0</v>
      </c>
      <c r="R214" s="55">
        <f t="shared" si="206"/>
        <v>0</v>
      </c>
      <c r="S214" s="55">
        <f t="shared" si="206"/>
        <v>0</v>
      </c>
      <c r="T214" s="55">
        <f t="shared" si="206"/>
        <v>0</v>
      </c>
      <c r="U214" s="55">
        <f t="shared" si="206"/>
        <v>0</v>
      </c>
      <c r="V214" s="55">
        <f t="shared" si="206"/>
        <v>0</v>
      </c>
      <c r="W214" s="55">
        <f t="shared" si="206"/>
        <v>0</v>
      </c>
      <c r="X214" s="55">
        <f t="shared" si="206"/>
        <v>0</v>
      </c>
      <c r="Y214" s="55">
        <f t="shared" si="206"/>
        <v>0</v>
      </c>
      <c r="Z214" s="55">
        <f t="shared" si="206"/>
        <v>0</v>
      </c>
      <c r="AA214" s="55">
        <f t="shared" si="206"/>
        <v>0</v>
      </c>
      <c r="AB214" s="55">
        <f t="shared" si="206"/>
        <v>0</v>
      </c>
      <c r="AC214" s="55">
        <f t="shared" si="206"/>
        <v>0</v>
      </c>
      <c r="AD214" s="55">
        <f t="shared" si="206"/>
        <v>0</v>
      </c>
      <c r="AE214" s="55">
        <f t="shared" si="206"/>
        <v>0</v>
      </c>
      <c r="AF214" s="55">
        <f t="shared" si="206"/>
        <v>0</v>
      </c>
      <c r="AG214" s="55">
        <f t="shared" si="206"/>
        <v>0</v>
      </c>
      <c r="AH214" s="55">
        <f t="shared" si="206"/>
        <v>0</v>
      </c>
      <c r="AI214" s="55">
        <f t="shared" ref="AI214:BJ214" si="207">IF(AND(AI$127&gt;=$I106,AI$127&lt;$I106+$F106),INDEX($T106:$AI106,AI$127-$I106+1),0)</f>
        <v>0</v>
      </c>
      <c r="AJ214" s="55">
        <f t="shared" si="207"/>
        <v>0</v>
      </c>
      <c r="AK214" s="55">
        <f t="shared" si="207"/>
        <v>0</v>
      </c>
      <c r="AL214" s="55">
        <f t="shared" si="207"/>
        <v>0</v>
      </c>
      <c r="AM214" s="55">
        <f t="shared" si="207"/>
        <v>0</v>
      </c>
      <c r="AN214" s="55">
        <f t="shared" si="207"/>
        <v>0</v>
      </c>
      <c r="AO214" s="55">
        <f t="shared" si="207"/>
        <v>0</v>
      </c>
      <c r="AP214" s="55">
        <f t="shared" si="207"/>
        <v>0</v>
      </c>
      <c r="AQ214" s="55">
        <f t="shared" si="207"/>
        <v>0</v>
      </c>
      <c r="AR214" s="55">
        <f t="shared" si="207"/>
        <v>0</v>
      </c>
      <c r="AS214" s="55">
        <f t="shared" si="207"/>
        <v>0</v>
      </c>
      <c r="AT214" s="55">
        <f t="shared" si="207"/>
        <v>0</v>
      </c>
      <c r="AU214" s="55">
        <f t="shared" si="207"/>
        <v>0</v>
      </c>
      <c r="AV214" s="55">
        <f t="shared" si="207"/>
        <v>0</v>
      </c>
      <c r="AW214" s="55">
        <f t="shared" si="207"/>
        <v>0</v>
      </c>
      <c r="AX214" s="55">
        <f t="shared" si="207"/>
        <v>0</v>
      </c>
      <c r="AY214" s="55">
        <f t="shared" si="207"/>
        <v>0</v>
      </c>
      <c r="AZ214" s="55">
        <f t="shared" si="207"/>
        <v>0</v>
      </c>
      <c r="BA214" s="55">
        <f t="shared" si="207"/>
        <v>0</v>
      </c>
      <c r="BB214" s="55">
        <f t="shared" si="207"/>
        <v>0</v>
      </c>
      <c r="BC214" s="55">
        <f t="shared" si="207"/>
        <v>0</v>
      </c>
      <c r="BD214" s="55">
        <f t="shared" si="207"/>
        <v>0</v>
      </c>
      <c r="BE214" s="55">
        <f t="shared" si="207"/>
        <v>0</v>
      </c>
      <c r="BF214" s="55">
        <f t="shared" si="207"/>
        <v>0</v>
      </c>
      <c r="BG214" s="55">
        <f t="shared" si="207"/>
        <v>0</v>
      </c>
      <c r="BH214" s="55">
        <f t="shared" si="207"/>
        <v>0</v>
      </c>
      <c r="BI214" s="55">
        <f t="shared" si="207"/>
        <v>0</v>
      </c>
      <c r="BJ214" s="55">
        <f t="shared" si="207"/>
        <v>0</v>
      </c>
    </row>
    <row r="215" spans="1:62" x14ac:dyDescent="0.3">
      <c r="A215" s="53" t="str">
        <f t="shared" si="169"/>
        <v>project 175</v>
      </c>
      <c r="C215" s="55">
        <f t="shared" ref="C215:AH215" si="208">IF(AND(C$127&gt;=$I107,C$127&lt;$I107+$F107),INDEX($T107:$AI107,C$127-$I107+1),0)</f>
        <v>0</v>
      </c>
      <c r="D215" s="55">
        <f t="shared" si="208"/>
        <v>0</v>
      </c>
      <c r="E215" s="55">
        <f t="shared" si="208"/>
        <v>0</v>
      </c>
      <c r="F215" s="55">
        <f t="shared" si="208"/>
        <v>0</v>
      </c>
      <c r="G215" s="55">
        <f t="shared" si="208"/>
        <v>0</v>
      </c>
      <c r="H215" s="55">
        <f t="shared" si="208"/>
        <v>0</v>
      </c>
      <c r="I215" s="55">
        <f t="shared" si="208"/>
        <v>0.16200000000000001</v>
      </c>
      <c r="J215" s="55">
        <f t="shared" si="208"/>
        <v>0.58039215686274503</v>
      </c>
      <c r="K215" s="55">
        <f t="shared" si="208"/>
        <v>3.0324875048058439</v>
      </c>
      <c r="L215" s="55">
        <f t="shared" si="208"/>
        <v>1.848836420381301</v>
      </c>
      <c r="M215" s="55">
        <f t="shared" si="208"/>
        <v>0</v>
      </c>
      <c r="N215" s="55">
        <f t="shared" si="208"/>
        <v>0</v>
      </c>
      <c r="O215" s="55">
        <f t="shared" si="208"/>
        <v>0</v>
      </c>
      <c r="P215" s="55">
        <f t="shared" si="208"/>
        <v>0</v>
      </c>
      <c r="Q215" s="55">
        <f t="shared" si="208"/>
        <v>0</v>
      </c>
      <c r="R215" s="55">
        <f t="shared" si="208"/>
        <v>0</v>
      </c>
      <c r="S215" s="55">
        <f t="shared" si="208"/>
        <v>0</v>
      </c>
      <c r="T215" s="55">
        <f t="shared" si="208"/>
        <v>0</v>
      </c>
      <c r="U215" s="55">
        <f t="shared" si="208"/>
        <v>0</v>
      </c>
      <c r="V215" s="55">
        <f t="shared" si="208"/>
        <v>0</v>
      </c>
      <c r="W215" s="55">
        <f t="shared" si="208"/>
        <v>0</v>
      </c>
      <c r="X215" s="55">
        <f t="shared" si="208"/>
        <v>0</v>
      </c>
      <c r="Y215" s="55">
        <f t="shared" si="208"/>
        <v>0</v>
      </c>
      <c r="Z215" s="55">
        <f t="shared" si="208"/>
        <v>0</v>
      </c>
      <c r="AA215" s="55">
        <f t="shared" si="208"/>
        <v>0</v>
      </c>
      <c r="AB215" s="55">
        <f t="shared" si="208"/>
        <v>0</v>
      </c>
      <c r="AC215" s="55">
        <f t="shared" si="208"/>
        <v>0</v>
      </c>
      <c r="AD215" s="55">
        <f t="shared" si="208"/>
        <v>0</v>
      </c>
      <c r="AE215" s="55">
        <f t="shared" si="208"/>
        <v>0</v>
      </c>
      <c r="AF215" s="55">
        <f t="shared" si="208"/>
        <v>0</v>
      </c>
      <c r="AG215" s="55">
        <f t="shared" si="208"/>
        <v>0</v>
      </c>
      <c r="AH215" s="55">
        <f t="shared" si="208"/>
        <v>0</v>
      </c>
      <c r="AI215" s="55">
        <f t="shared" ref="AI215:BJ215" si="209">IF(AND(AI$127&gt;=$I107,AI$127&lt;$I107+$F107),INDEX($T107:$AI107,AI$127-$I107+1),0)</f>
        <v>0</v>
      </c>
      <c r="AJ215" s="55">
        <f t="shared" si="209"/>
        <v>0</v>
      </c>
      <c r="AK215" s="55">
        <f t="shared" si="209"/>
        <v>0</v>
      </c>
      <c r="AL215" s="55">
        <f t="shared" si="209"/>
        <v>0</v>
      </c>
      <c r="AM215" s="55">
        <f t="shared" si="209"/>
        <v>0</v>
      </c>
      <c r="AN215" s="55">
        <f t="shared" si="209"/>
        <v>0</v>
      </c>
      <c r="AO215" s="55">
        <f t="shared" si="209"/>
        <v>0</v>
      </c>
      <c r="AP215" s="55">
        <f t="shared" si="209"/>
        <v>0</v>
      </c>
      <c r="AQ215" s="55">
        <f t="shared" si="209"/>
        <v>0</v>
      </c>
      <c r="AR215" s="55">
        <f t="shared" si="209"/>
        <v>0</v>
      </c>
      <c r="AS215" s="55">
        <f t="shared" si="209"/>
        <v>0</v>
      </c>
      <c r="AT215" s="55">
        <f t="shared" si="209"/>
        <v>0</v>
      </c>
      <c r="AU215" s="55">
        <f t="shared" si="209"/>
        <v>0</v>
      </c>
      <c r="AV215" s="55">
        <f t="shared" si="209"/>
        <v>0</v>
      </c>
      <c r="AW215" s="55">
        <f t="shared" si="209"/>
        <v>0</v>
      </c>
      <c r="AX215" s="55">
        <f t="shared" si="209"/>
        <v>0</v>
      </c>
      <c r="AY215" s="55">
        <f t="shared" si="209"/>
        <v>0</v>
      </c>
      <c r="AZ215" s="55">
        <f t="shared" si="209"/>
        <v>0</v>
      </c>
      <c r="BA215" s="55">
        <f t="shared" si="209"/>
        <v>0</v>
      </c>
      <c r="BB215" s="55">
        <f t="shared" si="209"/>
        <v>0</v>
      </c>
      <c r="BC215" s="55">
        <f t="shared" si="209"/>
        <v>0</v>
      </c>
      <c r="BD215" s="55">
        <f t="shared" si="209"/>
        <v>0</v>
      </c>
      <c r="BE215" s="55">
        <f t="shared" si="209"/>
        <v>0</v>
      </c>
      <c r="BF215" s="55">
        <f t="shared" si="209"/>
        <v>0</v>
      </c>
      <c r="BG215" s="55">
        <f t="shared" si="209"/>
        <v>0</v>
      </c>
      <c r="BH215" s="55">
        <f t="shared" si="209"/>
        <v>0</v>
      </c>
      <c r="BI215" s="55">
        <f t="shared" si="209"/>
        <v>0</v>
      </c>
      <c r="BJ215" s="55">
        <f t="shared" si="209"/>
        <v>0</v>
      </c>
    </row>
    <row r="216" spans="1:62" x14ac:dyDescent="0.3">
      <c r="A216" s="53" t="str">
        <f t="shared" si="169"/>
        <v>project 176</v>
      </c>
      <c r="C216" s="55">
        <f t="shared" ref="C216:AH216" si="210">IF(AND(C$127&gt;=$I108,C$127&lt;$I108+$F108),INDEX($T108:$AI108,C$127-$I108+1),0)</f>
        <v>0</v>
      </c>
      <c r="D216" s="55">
        <f t="shared" si="210"/>
        <v>0</v>
      </c>
      <c r="E216" s="55">
        <f t="shared" si="210"/>
        <v>0</v>
      </c>
      <c r="F216" s="55">
        <f t="shared" si="210"/>
        <v>0</v>
      </c>
      <c r="G216" s="55">
        <f t="shared" si="210"/>
        <v>0</v>
      </c>
      <c r="H216" s="55">
        <f t="shared" si="210"/>
        <v>0</v>
      </c>
      <c r="I216" s="55">
        <f t="shared" si="210"/>
        <v>0</v>
      </c>
      <c r="J216" s="55">
        <f t="shared" si="210"/>
        <v>0</v>
      </c>
      <c r="K216" s="55">
        <f t="shared" si="210"/>
        <v>3</v>
      </c>
      <c r="L216" s="55">
        <f t="shared" si="210"/>
        <v>2.2549019607843142</v>
      </c>
      <c r="M216" s="55">
        <f t="shared" si="210"/>
        <v>0</v>
      </c>
      <c r="N216" s="55">
        <f t="shared" si="210"/>
        <v>0</v>
      </c>
      <c r="O216" s="55">
        <f t="shared" si="210"/>
        <v>0</v>
      </c>
      <c r="P216" s="55">
        <f t="shared" si="210"/>
        <v>0</v>
      </c>
      <c r="Q216" s="55">
        <f t="shared" si="210"/>
        <v>0</v>
      </c>
      <c r="R216" s="55">
        <f t="shared" si="210"/>
        <v>0</v>
      </c>
      <c r="S216" s="55">
        <f t="shared" si="210"/>
        <v>0</v>
      </c>
      <c r="T216" s="55">
        <f t="shared" si="210"/>
        <v>0</v>
      </c>
      <c r="U216" s="55">
        <f t="shared" si="210"/>
        <v>0</v>
      </c>
      <c r="V216" s="55">
        <f t="shared" si="210"/>
        <v>0</v>
      </c>
      <c r="W216" s="55">
        <f t="shared" si="210"/>
        <v>0</v>
      </c>
      <c r="X216" s="55">
        <f t="shared" si="210"/>
        <v>0</v>
      </c>
      <c r="Y216" s="55">
        <f t="shared" si="210"/>
        <v>0</v>
      </c>
      <c r="Z216" s="55">
        <f t="shared" si="210"/>
        <v>0</v>
      </c>
      <c r="AA216" s="55">
        <f t="shared" si="210"/>
        <v>0</v>
      </c>
      <c r="AB216" s="55">
        <f t="shared" si="210"/>
        <v>0</v>
      </c>
      <c r="AC216" s="55">
        <f t="shared" si="210"/>
        <v>0</v>
      </c>
      <c r="AD216" s="55">
        <f t="shared" si="210"/>
        <v>0</v>
      </c>
      <c r="AE216" s="55">
        <f t="shared" si="210"/>
        <v>0</v>
      </c>
      <c r="AF216" s="55">
        <f t="shared" si="210"/>
        <v>0</v>
      </c>
      <c r="AG216" s="55">
        <f t="shared" si="210"/>
        <v>0</v>
      </c>
      <c r="AH216" s="55">
        <f t="shared" si="210"/>
        <v>0</v>
      </c>
      <c r="AI216" s="55">
        <f t="shared" ref="AI216:BJ216" si="211">IF(AND(AI$127&gt;=$I108,AI$127&lt;$I108+$F108),INDEX($T108:$AI108,AI$127-$I108+1),0)</f>
        <v>0</v>
      </c>
      <c r="AJ216" s="55">
        <f t="shared" si="211"/>
        <v>0</v>
      </c>
      <c r="AK216" s="55">
        <f t="shared" si="211"/>
        <v>0</v>
      </c>
      <c r="AL216" s="55">
        <f t="shared" si="211"/>
        <v>0</v>
      </c>
      <c r="AM216" s="55">
        <f t="shared" si="211"/>
        <v>0</v>
      </c>
      <c r="AN216" s="55">
        <f t="shared" si="211"/>
        <v>0</v>
      </c>
      <c r="AO216" s="55">
        <f t="shared" si="211"/>
        <v>0</v>
      </c>
      <c r="AP216" s="55">
        <f t="shared" si="211"/>
        <v>0</v>
      </c>
      <c r="AQ216" s="55">
        <f t="shared" si="211"/>
        <v>0</v>
      </c>
      <c r="AR216" s="55">
        <f t="shared" si="211"/>
        <v>0</v>
      </c>
      <c r="AS216" s="55">
        <f t="shared" si="211"/>
        <v>0</v>
      </c>
      <c r="AT216" s="55">
        <f t="shared" si="211"/>
        <v>0</v>
      </c>
      <c r="AU216" s="55">
        <f t="shared" si="211"/>
        <v>0</v>
      </c>
      <c r="AV216" s="55">
        <f t="shared" si="211"/>
        <v>0</v>
      </c>
      <c r="AW216" s="55">
        <f t="shared" si="211"/>
        <v>0</v>
      </c>
      <c r="AX216" s="55">
        <f t="shared" si="211"/>
        <v>0</v>
      </c>
      <c r="AY216" s="55">
        <f t="shared" si="211"/>
        <v>0</v>
      </c>
      <c r="AZ216" s="55">
        <f t="shared" si="211"/>
        <v>0</v>
      </c>
      <c r="BA216" s="55">
        <f t="shared" si="211"/>
        <v>0</v>
      </c>
      <c r="BB216" s="55">
        <f t="shared" si="211"/>
        <v>0</v>
      </c>
      <c r="BC216" s="55">
        <f t="shared" si="211"/>
        <v>0</v>
      </c>
      <c r="BD216" s="55">
        <f t="shared" si="211"/>
        <v>0</v>
      </c>
      <c r="BE216" s="55">
        <f t="shared" si="211"/>
        <v>0</v>
      </c>
      <c r="BF216" s="55">
        <f t="shared" si="211"/>
        <v>0</v>
      </c>
      <c r="BG216" s="55">
        <f t="shared" si="211"/>
        <v>0</v>
      </c>
      <c r="BH216" s="55">
        <f t="shared" si="211"/>
        <v>0</v>
      </c>
      <c r="BI216" s="55">
        <f t="shared" si="211"/>
        <v>0</v>
      </c>
      <c r="BJ216" s="55">
        <f t="shared" si="211"/>
        <v>0</v>
      </c>
    </row>
    <row r="217" spans="1:62" x14ac:dyDescent="0.3">
      <c r="A217" s="53" t="str">
        <f t="shared" si="169"/>
        <v>project 180</v>
      </c>
      <c r="C217" s="55">
        <f t="shared" ref="C217:AH217" si="212">IF(AND(C$127&gt;=$I109,C$127&lt;$I109+$F109),INDEX($T109:$AI109,C$127-$I109+1),0)</f>
        <v>1.816666666666666</v>
      </c>
      <c r="D217" s="55">
        <f t="shared" si="212"/>
        <v>1.781045751633987</v>
      </c>
      <c r="E217" s="55">
        <f t="shared" si="212"/>
        <v>0</v>
      </c>
      <c r="F217" s="55">
        <f t="shared" si="212"/>
        <v>0</v>
      </c>
      <c r="G217" s="55">
        <f t="shared" si="212"/>
        <v>0</v>
      </c>
      <c r="H217" s="55">
        <f t="shared" si="212"/>
        <v>0</v>
      </c>
      <c r="I217" s="55">
        <f t="shared" si="212"/>
        <v>0</v>
      </c>
      <c r="J217" s="55">
        <f t="shared" si="212"/>
        <v>0</v>
      </c>
      <c r="K217" s="55">
        <f t="shared" si="212"/>
        <v>0</v>
      </c>
      <c r="L217" s="55">
        <f t="shared" si="212"/>
        <v>0</v>
      </c>
      <c r="M217" s="55">
        <f t="shared" si="212"/>
        <v>0</v>
      </c>
      <c r="N217" s="55">
        <f t="shared" si="212"/>
        <v>0</v>
      </c>
      <c r="O217" s="55">
        <f t="shared" si="212"/>
        <v>0</v>
      </c>
      <c r="P217" s="55">
        <f t="shared" si="212"/>
        <v>0</v>
      </c>
      <c r="Q217" s="55">
        <f t="shared" si="212"/>
        <v>0</v>
      </c>
      <c r="R217" s="55">
        <f t="shared" si="212"/>
        <v>0</v>
      </c>
      <c r="S217" s="55">
        <f t="shared" si="212"/>
        <v>0</v>
      </c>
      <c r="T217" s="55">
        <f t="shared" si="212"/>
        <v>0</v>
      </c>
      <c r="U217" s="55">
        <f t="shared" si="212"/>
        <v>0</v>
      </c>
      <c r="V217" s="55">
        <f t="shared" si="212"/>
        <v>0</v>
      </c>
      <c r="W217" s="55">
        <f t="shared" si="212"/>
        <v>0</v>
      </c>
      <c r="X217" s="55">
        <f t="shared" si="212"/>
        <v>0</v>
      </c>
      <c r="Y217" s="55">
        <f t="shared" si="212"/>
        <v>0</v>
      </c>
      <c r="Z217" s="55">
        <f t="shared" si="212"/>
        <v>0</v>
      </c>
      <c r="AA217" s="55">
        <f t="shared" si="212"/>
        <v>0</v>
      </c>
      <c r="AB217" s="55">
        <f t="shared" si="212"/>
        <v>0</v>
      </c>
      <c r="AC217" s="55">
        <f t="shared" si="212"/>
        <v>0</v>
      </c>
      <c r="AD217" s="55">
        <f t="shared" si="212"/>
        <v>0</v>
      </c>
      <c r="AE217" s="55">
        <f t="shared" si="212"/>
        <v>0</v>
      </c>
      <c r="AF217" s="55">
        <f t="shared" si="212"/>
        <v>0</v>
      </c>
      <c r="AG217" s="55">
        <f t="shared" si="212"/>
        <v>0</v>
      </c>
      <c r="AH217" s="55">
        <f t="shared" si="212"/>
        <v>0</v>
      </c>
      <c r="AI217" s="55">
        <f t="shared" ref="AI217:BJ217" si="213">IF(AND(AI$127&gt;=$I109,AI$127&lt;$I109+$F109),INDEX($T109:$AI109,AI$127-$I109+1),0)</f>
        <v>0</v>
      </c>
      <c r="AJ217" s="55">
        <f t="shared" si="213"/>
        <v>0</v>
      </c>
      <c r="AK217" s="55">
        <f t="shared" si="213"/>
        <v>0</v>
      </c>
      <c r="AL217" s="55">
        <f t="shared" si="213"/>
        <v>0</v>
      </c>
      <c r="AM217" s="55">
        <f t="shared" si="213"/>
        <v>0</v>
      </c>
      <c r="AN217" s="55">
        <f t="shared" si="213"/>
        <v>0</v>
      </c>
      <c r="AO217" s="55">
        <f t="shared" si="213"/>
        <v>0</v>
      </c>
      <c r="AP217" s="55">
        <f t="shared" si="213"/>
        <v>0</v>
      </c>
      <c r="AQ217" s="55">
        <f t="shared" si="213"/>
        <v>0</v>
      </c>
      <c r="AR217" s="55">
        <f t="shared" si="213"/>
        <v>0</v>
      </c>
      <c r="AS217" s="55">
        <f t="shared" si="213"/>
        <v>0</v>
      </c>
      <c r="AT217" s="55">
        <f t="shared" si="213"/>
        <v>0</v>
      </c>
      <c r="AU217" s="55">
        <f t="shared" si="213"/>
        <v>0</v>
      </c>
      <c r="AV217" s="55">
        <f t="shared" si="213"/>
        <v>0</v>
      </c>
      <c r="AW217" s="55">
        <f t="shared" si="213"/>
        <v>0</v>
      </c>
      <c r="AX217" s="55">
        <f t="shared" si="213"/>
        <v>0</v>
      </c>
      <c r="AY217" s="55">
        <f t="shared" si="213"/>
        <v>0</v>
      </c>
      <c r="AZ217" s="55">
        <f t="shared" si="213"/>
        <v>0</v>
      </c>
      <c r="BA217" s="55">
        <f t="shared" si="213"/>
        <v>0</v>
      </c>
      <c r="BB217" s="55">
        <f t="shared" si="213"/>
        <v>0</v>
      </c>
      <c r="BC217" s="55">
        <f t="shared" si="213"/>
        <v>0</v>
      </c>
      <c r="BD217" s="55">
        <f t="shared" si="213"/>
        <v>0</v>
      </c>
      <c r="BE217" s="55">
        <f t="shared" si="213"/>
        <v>0</v>
      </c>
      <c r="BF217" s="55">
        <f t="shared" si="213"/>
        <v>0</v>
      </c>
      <c r="BG217" s="55">
        <f t="shared" si="213"/>
        <v>0</v>
      </c>
      <c r="BH217" s="55">
        <f t="shared" si="213"/>
        <v>0</v>
      </c>
      <c r="BI217" s="55">
        <f t="shared" si="213"/>
        <v>0</v>
      </c>
      <c r="BJ217" s="55">
        <f t="shared" si="213"/>
        <v>0</v>
      </c>
    </row>
    <row r="218" spans="1:62" x14ac:dyDescent="0.3">
      <c r="A218" s="53" t="str">
        <f t="shared" si="169"/>
        <v>project 181</v>
      </c>
      <c r="C218" s="55">
        <f t="shared" ref="C218:AH218" si="214">IF(AND(C$127&gt;=$I110,C$127&lt;$I110+$F110),INDEX($T110:$AI110,C$127-$I110+1),0)</f>
        <v>3.597</v>
      </c>
      <c r="D218" s="55">
        <f t="shared" si="214"/>
        <v>0</v>
      </c>
      <c r="E218" s="55">
        <f t="shared" si="214"/>
        <v>0</v>
      </c>
      <c r="F218" s="55">
        <f t="shared" si="214"/>
        <v>0</v>
      </c>
      <c r="G218" s="55">
        <f t="shared" si="214"/>
        <v>0</v>
      </c>
      <c r="H218" s="55">
        <f t="shared" si="214"/>
        <v>0</v>
      </c>
      <c r="I218" s="55">
        <f t="shared" si="214"/>
        <v>0</v>
      </c>
      <c r="J218" s="55">
        <f t="shared" si="214"/>
        <v>0</v>
      </c>
      <c r="K218" s="55">
        <f t="shared" si="214"/>
        <v>0</v>
      </c>
      <c r="L218" s="55">
        <f t="shared" si="214"/>
        <v>0</v>
      </c>
      <c r="M218" s="55">
        <f t="shared" si="214"/>
        <v>0</v>
      </c>
      <c r="N218" s="55">
        <f t="shared" si="214"/>
        <v>0</v>
      </c>
      <c r="O218" s="55">
        <f t="shared" si="214"/>
        <v>0</v>
      </c>
      <c r="P218" s="55">
        <f t="shared" si="214"/>
        <v>0</v>
      </c>
      <c r="Q218" s="55">
        <f t="shared" si="214"/>
        <v>0</v>
      </c>
      <c r="R218" s="55">
        <f t="shared" si="214"/>
        <v>0</v>
      </c>
      <c r="S218" s="55">
        <f t="shared" si="214"/>
        <v>0</v>
      </c>
      <c r="T218" s="55">
        <f t="shared" si="214"/>
        <v>0</v>
      </c>
      <c r="U218" s="55">
        <f t="shared" si="214"/>
        <v>0</v>
      </c>
      <c r="V218" s="55">
        <f t="shared" si="214"/>
        <v>0</v>
      </c>
      <c r="W218" s="55">
        <f t="shared" si="214"/>
        <v>0</v>
      </c>
      <c r="X218" s="55">
        <f t="shared" si="214"/>
        <v>0</v>
      </c>
      <c r="Y218" s="55">
        <f t="shared" si="214"/>
        <v>0</v>
      </c>
      <c r="Z218" s="55">
        <f t="shared" si="214"/>
        <v>0</v>
      </c>
      <c r="AA218" s="55">
        <f t="shared" si="214"/>
        <v>0</v>
      </c>
      <c r="AB218" s="55">
        <f t="shared" si="214"/>
        <v>0</v>
      </c>
      <c r="AC218" s="55">
        <f t="shared" si="214"/>
        <v>0</v>
      </c>
      <c r="AD218" s="55">
        <f t="shared" si="214"/>
        <v>0</v>
      </c>
      <c r="AE218" s="55">
        <f t="shared" si="214"/>
        <v>0</v>
      </c>
      <c r="AF218" s="55">
        <f t="shared" si="214"/>
        <v>0</v>
      </c>
      <c r="AG218" s="55">
        <f t="shared" si="214"/>
        <v>0</v>
      </c>
      <c r="AH218" s="55">
        <f t="shared" si="214"/>
        <v>0</v>
      </c>
      <c r="AI218" s="55">
        <f t="shared" ref="AI218:BJ218" si="215">IF(AND(AI$127&gt;=$I110,AI$127&lt;$I110+$F110),INDEX($T110:$AI110,AI$127-$I110+1),0)</f>
        <v>0</v>
      </c>
      <c r="AJ218" s="55">
        <f t="shared" si="215"/>
        <v>0</v>
      </c>
      <c r="AK218" s="55">
        <f t="shared" si="215"/>
        <v>0</v>
      </c>
      <c r="AL218" s="55">
        <f t="shared" si="215"/>
        <v>0</v>
      </c>
      <c r="AM218" s="55">
        <f t="shared" si="215"/>
        <v>0</v>
      </c>
      <c r="AN218" s="55">
        <f t="shared" si="215"/>
        <v>0</v>
      </c>
      <c r="AO218" s="55">
        <f t="shared" si="215"/>
        <v>0</v>
      </c>
      <c r="AP218" s="55">
        <f t="shared" si="215"/>
        <v>0</v>
      </c>
      <c r="AQ218" s="55">
        <f t="shared" si="215"/>
        <v>0</v>
      </c>
      <c r="AR218" s="55">
        <f t="shared" si="215"/>
        <v>0</v>
      </c>
      <c r="AS218" s="55">
        <f t="shared" si="215"/>
        <v>0</v>
      </c>
      <c r="AT218" s="55">
        <f t="shared" si="215"/>
        <v>0</v>
      </c>
      <c r="AU218" s="55">
        <f t="shared" si="215"/>
        <v>0</v>
      </c>
      <c r="AV218" s="55">
        <f t="shared" si="215"/>
        <v>0</v>
      </c>
      <c r="AW218" s="55">
        <f t="shared" si="215"/>
        <v>0</v>
      </c>
      <c r="AX218" s="55">
        <f t="shared" si="215"/>
        <v>0</v>
      </c>
      <c r="AY218" s="55">
        <f t="shared" si="215"/>
        <v>0</v>
      </c>
      <c r="AZ218" s="55">
        <f t="shared" si="215"/>
        <v>0</v>
      </c>
      <c r="BA218" s="55">
        <f t="shared" si="215"/>
        <v>0</v>
      </c>
      <c r="BB218" s="55">
        <f t="shared" si="215"/>
        <v>0</v>
      </c>
      <c r="BC218" s="55">
        <f t="shared" si="215"/>
        <v>0</v>
      </c>
      <c r="BD218" s="55">
        <f t="shared" si="215"/>
        <v>0</v>
      </c>
      <c r="BE218" s="55">
        <f t="shared" si="215"/>
        <v>0</v>
      </c>
      <c r="BF218" s="55">
        <f t="shared" si="215"/>
        <v>0</v>
      </c>
      <c r="BG218" s="55">
        <f t="shared" si="215"/>
        <v>0</v>
      </c>
      <c r="BH218" s="55">
        <f t="shared" si="215"/>
        <v>0</v>
      </c>
      <c r="BI218" s="55">
        <f t="shared" si="215"/>
        <v>0</v>
      </c>
      <c r="BJ218" s="55">
        <f t="shared" si="215"/>
        <v>0</v>
      </c>
    </row>
    <row r="219" spans="1:62" x14ac:dyDescent="0.3">
      <c r="A219" s="53" t="str">
        <f t="shared" si="169"/>
        <v>project 182</v>
      </c>
      <c r="C219" s="55">
        <f t="shared" ref="C219:AH219" si="216">IF(AND(C$127&gt;=$I111,C$127&lt;$I111+$F111),INDEX($T111:$AI111,C$127-$I111+1),0)</f>
        <v>0</v>
      </c>
      <c r="D219" s="55">
        <f t="shared" si="216"/>
        <v>0</v>
      </c>
      <c r="E219" s="55">
        <f t="shared" si="216"/>
        <v>0</v>
      </c>
      <c r="F219" s="55">
        <f t="shared" si="216"/>
        <v>0</v>
      </c>
      <c r="G219" s="55">
        <f t="shared" si="216"/>
        <v>0.11586399999999999</v>
      </c>
      <c r="H219" s="55">
        <f t="shared" si="216"/>
        <v>0.63033921568627449</v>
      </c>
      <c r="I219" s="55">
        <f t="shared" si="216"/>
        <v>0.8165090349865437</v>
      </c>
      <c r="J219" s="55">
        <f t="shared" si="216"/>
        <v>0.50225874663590919</v>
      </c>
      <c r="K219" s="55">
        <f t="shared" si="216"/>
        <v>0.58703170829661966</v>
      </c>
      <c r="L219" s="55">
        <f t="shared" si="216"/>
        <v>0.71065360227793883</v>
      </c>
      <c r="M219" s="55">
        <f t="shared" si="216"/>
        <v>0</v>
      </c>
      <c r="N219" s="55">
        <f t="shared" si="216"/>
        <v>0</v>
      </c>
      <c r="O219" s="55">
        <f t="shared" si="216"/>
        <v>0</v>
      </c>
      <c r="P219" s="55">
        <f t="shared" si="216"/>
        <v>0</v>
      </c>
      <c r="Q219" s="55">
        <f t="shared" si="216"/>
        <v>0</v>
      </c>
      <c r="R219" s="55">
        <f t="shared" si="216"/>
        <v>0</v>
      </c>
      <c r="S219" s="55">
        <f t="shared" si="216"/>
        <v>0</v>
      </c>
      <c r="T219" s="55">
        <f t="shared" si="216"/>
        <v>0</v>
      </c>
      <c r="U219" s="55">
        <f t="shared" si="216"/>
        <v>0</v>
      </c>
      <c r="V219" s="55">
        <f t="shared" si="216"/>
        <v>0</v>
      </c>
      <c r="W219" s="55">
        <f t="shared" si="216"/>
        <v>0</v>
      </c>
      <c r="X219" s="55">
        <f t="shared" si="216"/>
        <v>0</v>
      </c>
      <c r="Y219" s="55">
        <f t="shared" si="216"/>
        <v>0</v>
      </c>
      <c r="Z219" s="55">
        <f t="shared" si="216"/>
        <v>0</v>
      </c>
      <c r="AA219" s="55">
        <f t="shared" si="216"/>
        <v>0</v>
      </c>
      <c r="AB219" s="55">
        <f t="shared" si="216"/>
        <v>0</v>
      </c>
      <c r="AC219" s="55">
        <f t="shared" si="216"/>
        <v>0</v>
      </c>
      <c r="AD219" s="55">
        <f t="shared" si="216"/>
        <v>0</v>
      </c>
      <c r="AE219" s="55">
        <f t="shared" si="216"/>
        <v>0</v>
      </c>
      <c r="AF219" s="55">
        <f t="shared" si="216"/>
        <v>0</v>
      </c>
      <c r="AG219" s="55">
        <f t="shared" si="216"/>
        <v>0</v>
      </c>
      <c r="AH219" s="55">
        <f t="shared" si="216"/>
        <v>0</v>
      </c>
      <c r="AI219" s="55">
        <f t="shared" ref="AI219:BJ219" si="217">IF(AND(AI$127&gt;=$I111,AI$127&lt;$I111+$F111),INDEX($T111:$AI111,AI$127-$I111+1),0)</f>
        <v>0</v>
      </c>
      <c r="AJ219" s="55">
        <f t="shared" si="217"/>
        <v>0</v>
      </c>
      <c r="AK219" s="55">
        <f t="shared" si="217"/>
        <v>0</v>
      </c>
      <c r="AL219" s="55">
        <f t="shared" si="217"/>
        <v>0</v>
      </c>
      <c r="AM219" s="55">
        <f t="shared" si="217"/>
        <v>0</v>
      </c>
      <c r="AN219" s="55">
        <f t="shared" si="217"/>
        <v>0</v>
      </c>
      <c r="AO219" s="55">
        <f t="shared" si="217"/>
        <v>0</v>
      </c>
      <c r="AP219" s="55">
        <f t="shared" si="217"/>
        <v>0</v>
      </c>
      <c r="AQ219" s="55">
        <f t="shared" si="217"/>
        <v>0</v>
      </c>
      <c r="AR219" s="55">
        <f t="shared" si="217"/>
        <v>0</v>
      </c>
      <c r="AS219" s="55">
        <f t="shared" si="217"/>
        <v>0</v>
      </c>
      <c r="AT219" s="55">
        <f t="shared" si="217"/>
        <v>0</v>
      </c>
      <c r="AU219" s="55">
        <f t="shared" si="217"/>
        <v>0</v>
      </c>
      <c r="AV219" s="55">
        <f t="shared" si="217"/>
        <v>0</v>
      </c>
      <c r="AW219" s="55">
        <f t="shared" si="217"/>
        <v>0</v>
      </c>
      <c r="AX219" s="55">
        <f t="shared" si="217"/>
        <v>0</v>
      </c>
      <c r="AY219" s="55">
        <f t="shared" si="217"/>
        <v>0</v>
      </c>
      <c r="AZ219" s="55">
        <f t="shared" si="217"/>
        <v>0</v>
      </c>
      <c r="BA219" s="55">
        <f t="shared" si="217"/>
        <v>0</v>
      </c>
      <c r="BB219" s="55">
        <f t="shared" si="217"/>
        <v>0</v>
      </c>
      <c r="BC219" s="55">
        <f t="shared" si="217"/>
        <v>0</v>
      </c>
      <c r="BD219" s="55">
        <f t="shared" si="217"/>
        <v>0</v>
      </c>
      <c r="BE219" s="55">
        <f t="shared" si="217"/>
        <v>0</v>
      </c>
      <c r="BF219" s="55">
        <f t="shared" si="217"/>
        <v>0</v>
      </c>
      <c r="BG219" s="55">
        <f t="shared" si="217"/>
        <v>0</v>
      </c>
      <c r="BH219" s="55">
        <f t="shared" si="217"/>
        <v>0</v>
      </c>
      <c r="BI219" s="55">
        <f t="shared" si="217"/>
        <v>0</v>
      </c>
      <c r="BJ219" s="55">
        <f t="shared" si="217"/>
        <v>0</v>
      </c>
    </row>
    <row r="220" spans="1:62" x14ac:dyDescent="0.3">
      <c r="A220" s="53" t="str">
        <f t="shared" si="169"/>
        <v>project 184</v>
      </c>
      <c r="C220" s="55">
        <f t="shared" ref="C220:AH220" si="218">IF(AND(C$127&gt;=$I112,C$127&lt;$I112+$F112),INDEX($T112:$AI112,C$127-$I112+1),0)</f>
        <v>0</v>
      </c>
      <c r="D220" s="55">
        <f t="shared" si="218"/>
        <v>0</v>
      </c>
      <c r="E220" s="55">
        <f t="shared" si="218"/>
        <v>0</v>
      </c>
      <c r="F220" s="55">
        <f t="shared" si="218"/>
        <v>0</v>
      </c>
      <c r="G220" s="55">
        <f t="shared" si="218"/>
        <v>0</v>
      </c>
      <c r="H220" s="55">
        <f t="shared" si="218"/>
        <v>0</v>
      </c>
      <c r="I220" s="55">
        <f t="shared" si="218"/>
        <v>0</v>
      </c>
      <c r="J220" s="55">
        <f t="shared" si="218"/>
        <v>0</v>
      </c>
      <c r="K220" s="55">
        <f t="shared" si="218"/>
        <v>0</v>
      </c>
      <c r="L220" s="55">
        <f t="shared" si="218"/>
        <v>0</v>
      </c>
      <c r="M220" s="55">
        <f t="shared" si="218"/>
        <v>0</v>
      </c>
      <c r="N220" s="55">
        <f t="shared" si="218"/>
        <v>2.8233730000000001</v>
      </c>
      <c r="O220" s="55">
        <f t="shared" si="218"/>
        <v>0</v>
      </c>
      <c r="P220" s="55">
        <f t="shared" si="218"/>
        <v>0</v>
      </c>
      <c r="Q220" s="55">
        <f t="shared" si="218"/>
        <v>0</v>
      </c>
      <c r="R220" s="55">
        <f t="shared" si="218"/>
        <v>0</v>
      </c>
      <c r="S220" s="55">
        <f t="shared" si="218"/>
        <v>0</v>
      </c>
      <c r="T220" s="55">
        <f t="shared" si="218"/>
        <v>0</v>
      </c>
      <c r="U220" s="55">
        <f t="shared" si="218"/>
        <v>0</v>
      </c>
      <c r="V220" s="55">
        <f t="shared" si="218"/>
        <v>0</v>
      </c>
      <c r="W220" s="55">
        <f t="shared" si="218"/>
        <v>0</v>
      </c>
      <c r="X220" s="55">
        <f t="shared" si="218"/>
        <v>0</v>
      </c>
      <c r="Y220" s="55">
        <f t="shared" si="218"/>
        <v>0</v>
      </c>
      <c r="Z220" s="55">
        <f t="shared" si="218"/>
        <v>0</v>
      </c>
      <c r="AA220" s="55">
        <f t="shared" si="218"/>
        <v>0</v>
      </c>
      <c r="AB220" s="55">
        <f t="shared" si="218"/>
        <v>0</v>
      </c>
      <c r="AC220" s="55">
        <f t="shared" si="218"/>
        <v>0</v>
      </c>
      <c r="AD220" s="55">
        <f t="shared" si="218"/>
        <v>0</v>
      </c>
      <c r="AE220" s="55">
        <f t="shared" si="218"/>
        <v>0</v>
      </c>
      <c r="AF220" s="55">
        <f t="shared" si="218"/>
        <v>0</v>
      </c>
      <c r="AG220" s="55">
        <f t="shared" si="218"/>
        <v>0</v>
      </c>
      <c r="AH220" s="55">
        <f t="shared" si="218"/>
        <v>0</v>
      </c>
      <c r="AI220" s="55">
        <f t="shared" ref="AI220:BJ220" si="219">IF(AND(AI$127&gt;=$I112,AI$127&lt;$I112+$F112),INDEX($T112:$AI112,AI$127-$I112+1),0)</f>
        <v>0</v>
      </c>
      <c r="AJ220" s="55">
        <f t="shared" si="219"/>
        <v>0</v>
      </c>
      <c r="AK220" s="55">
        <f t="shared" si="219"/>
        <v>0</v>
      </c>
      <c r="AL220" s="55">
        <f t="shared" si="219"/>
        <v>0</v>
      </c>
      <c r="AM220" s="55">
        <f t="shared" si="219"/>
        <v>0</v>
      </c>
      <c r="AN220" s="55">
        <f t="shared" si="219"/>
        <v>0</v>
      </c>
      <c r="AO220" s="55">
        <f t="shared" si="219"/>
        <v>0</v>
      </c>
      <c r="AP220" s="55">
        <f t="shared" si="219"/>
        <v>0</v>
      </c>
      <c r="AQ220" s="55">
        <f t="shared" si="219"/>
        <v>0</v>
      </c>
      <c r="AR220" s="55">
        <f t="shared" si="219"/>
        <v>0</v>
      </c>
      <c r="AS220" s="55">
        <f t="shared" si="219"/>
        <v>0</v>
      </c>
      <c r="AT220" s="55">
        <f t="shared" si="219"/>
        <v>0</v>
      </c>
      <c r="AU220" s="55">
        <f t="shared" si="219"/>
        <v>0</v>
      </c>
      <c r="AV220" s="55">
        <f t="shared" si="219"/>
        <v>0</v>
      </c>
      <c r="AW220" s="55">
        <f t="shared" si="219"/>
        <v>0</v>
      </c>
      <c r="AX220" s="55">
        <f t="shared" si="219"/>
        <v>0</v>
      </c>
      <c r="AY220" s="55">
        <f t="shared" si="219"/>
        <v>0</v>
      </c>
      <c r="AZ220" s="55">
        <f t="shared" si="219"/>
        <v>0</v>
      </c>
      <c r="BA220" s="55">
        <f t="shared" si="219"/>
        <v>0</v>
      </c>
      <c r="BB220" s="55">
        <f t="shared" si="219"/>
        <v>0</v>
      </c>
      <c r="BC220" s="55">
        <f t="shared" si="219"/>
        <v>0</v>
      </c>
      <c r="BD220" s="55">
        <f t="shared" si="219"/>
        <v>0</v>
      </c>
      <c r="BE220" s="55">
        <f t="shared" si="219"/>
        <v>0</v>
      </c>
      <c r="BF220" s="55">
        <f t="shared" si="219"/>
        <v>0</v>
      </c>
      <c r="BG220" s="55">
        <f t="shared" si="219"/>
        <v>0</v>
      </c>
      <c r="BH220" s="55">
        <f t="shared" si="219"/>
        <v>0</v>
      </c>
      <c r="BI220" s="55">
        <f t="shared" si="219"/>
        <v>0</v>
      </c>
      <c r="BJ220" s="55">
        <f t="shared" si="219"/>
        <v>0</v>
      </c>
    </row>
    <row r="221" spans="1:62" x14ac:dyDescent="0.3">
      <c r="A221" s="53" t="str">
        <f t="shared" si="169"/>
        <v>project 186</v>
      </c>
      <c r="C221" s="55">
        <f t="shared" ref="C221:AH221" si="220">IF(AND(C$127&gt;=$I113,C$127&lt;$I113+$F113),INDEX($T113:$AI113,C$127-$I113+1),0)</f>
        <v>0</v>
      </c>
      <c r="D221" s="55">
        <f t="shared" si="220"/>
        <v>0</v>
      </c>
      <c r="E221" s="55">
        <f t="shared" si="220"/>
        <v>0</v>
      </c>
      <c r="F221" s="55">
        <f t="shared" si="220"/>
        <v>0</v>
      </c>
      <c r="G221" s="55">
        <f t="shared" si="220"/>
        <v>0</v>
      </c>
      <c r="H221" s="55">
        <f t="shared" si="220"/>
        <v>0.51287450980392157</v>
      </c>
      <c r="I221" s="55">
        <f t="shared" si="220"/>
        <v>0.70661956939638604</v>
      </c>
      <c r="J221" s="55">
        <f t="shared" si="220"/>
        <v>0.50562377969257677</v>
      </c>
      <c r="K221" s="55">
        <f t="shared" si="220"/>
        <v>0</v>
      </c>
      <c r="L221" s="55">
        <f t="shared" si="220"/>
        <v>0</v>
      </c>
      <c r="M221" s="55">
        <f t="shared" si="220"/>
        <v>0</v>
      </c>
      <c r="N221" s="55">
        <f t="shared" si="220"/>
        <v>0</v>
      </c>
      <c r="O221" s="55">
        <f t="shared" si="220"/>
        <v>0</v>
      </c>
      <c r="P221" s="55">
        <f t="shared" si="220"/>
        <v>0</v>
      </c>
      <c r="Q221" s="55">
        <f t="shared" si="220"/>
        <v>0</v>
      </c>
      <c r="R221" s="55">
        <f t="shared" si="220"/>
        <v>0</v>
      </c>
      <c r="S221" s="55">
        <f t="shared" si="220"/>
        <v>0</v>
      </c>
      <c r="T221" s="55">
        <f t="shared" si="220"/>
        <v>0</v>
      </c>
      <c r="U221" s="55">
        <f t="shared" si="220"/>
        <v>0</v>
      </c>
      <c r="V221" s="55">
        <f t="shared" si="220"/>
        <v>0</v>
      </c>
      <c r="W221" s="55">
        <f t="shared" si="220"/>
        <v>0</v>
      </c>
      <c r="X221" s="55">
        <f t="shared" si="220"/>
        <v>0</v>
      </c>
      <c r="Y221" s="55">
        <f t="shared" si="220"/>
        <v>0</v>
      </c>
      <c r="Z221" s="55">
        <f t="shared" si="220"/>
        <v>0</v>
      </c>
      <c r="AA221" s="55">
        <f t="shared" si="220"/>
        <v>0</v>
      </c>
      <c r="AB221" s="55">
        <f t="shared" si="220"/>
        <v>0</v>
      </c>
      <c r="AC221" s="55">
        <f t="shared" si="220"/>
        <v>0</v>
      </c>
      <c r="AD221" s="55">
        <f t="shared" si="220"/>
        <v>0</v>
      </c>
      <c r="AE221" s="55">
        <f t="shared" si="220"/>
        <v>0</v>
      </c>
      <c r="AF221" s="55">
        <f t="shared" si="220"/>
        <v>0</v>
      </c>
      <c r="AG221" s="55">
        <f t="shared" si="220"/>
        <v>0</v>
      </c>
      <c r="AH221" s="55">
        <f t="shared" si="220"/>
        <v>0</v>
      </c>
      <c r="AI221" s="55">
        <f t="shared" ref="AI221:BJ221" si="221">IF(AND(AI$127&gt;=$I113,AI$127&lt;$I113+$F113),INDEX($T113:$AI113,AI$127-$I113+1),0)</f>
        <v>0</v>
      </c>
      <c r="AJ221" s="55">
        <f t="shared" si="221"/>
        <v>0</v>
      </c>
      <c r="AK221" s="55">
        <f t="shared" si="221"/>
        <v>0</v>
      </c>
      <c r="AL221" s="55">
        <f t="shared" si="221"/>
        <v>0</v>
      </c>
      <c r="AM221" s="55">
        <f t="shared" si="221"/>
        <v>0</v>
      </c>
      <c r="AN221" s="55">
        <f t="shared" si="221"/>
        <v>0</v>
      </c>
      <c r="AO221" s="55">
        <f t="shared" si="221"/>
        <v>0</v>
      </c>
      <c r="AP221" s="55">
        <f t="shared" si="221"/>
        <v>0</v>
      </c>
      <c r="AQ221" s="55">
        <f t="shared" si="221"/>
        <v>0</v>
      </c>
      <c r="AR221" s="55">
        <f t="shared" si="221"/>
        <v>0</v>
      </c>
      <c r="AS221" s="55">
        <f t="shared" si="221"/>
        <v>0</v>
      </c>
      <c r="AT221" s="55">
        <f t="shared" si="221"/>
        <v>0</v>
      </c>
      <c r="AU221" s="55">
        <f t="shared" si="221"/>
        <v>0</v>
      </c>
      <c r="AV221" s="55">
        <f t="shared" si="221"/>
        <v>0</v>
      </c>
      <c r="AW221" s="55">
        <f t="shared" si="221"/>
        <v>0</v>
      </c>
      <c r="AX221" s="55">
        <f t="shared" si="221"/>
        <v>0</v>
      </c>
      <c r="AY221" s="55">
        <f t="shared" si="221"/>
        <v>0</v>
      </c>
      <c r="AZ221" s="55">
        <f t="shared" si="221"/>
        <v>0</v>
      </c>
      <c r="BA221" s="55">
        <f t="shared" si="221"/>
        <v>0</v>
      </c>
      <c r="BB221" s="55">
        <f t="shared" si="221"/>
        <v>0</v>
      </c>
      <c r="BC221" s="55">
        <f t="shared" si="221"/>
        <v>0</v>
      </c>
      <c r="BD221" s="55">
        <f t="shared" si="221"/>
        <v>0</v>
      </c>
      <c r="BE221" s="55">
        <f t="shared" si="221"/>
        <v>0</v>
      </c>
      <c r="BF221" s="55">
        <f t="shared" si="221"/>
        <v>0</v>
      </c>
      <c r="BG221" s="55">
        <f t="shared" si="221"/>
        <v>0</v>
      </c>
      <c r="BH221" s="55">
        <f t="shared" si="221"/>
        <v>0</v>
      </c>
      <c r="BI221" s="55">
        <f t="shared" si="221"/>
        <v>0</v>
      </c>
      <c r="BJ221" s="55">
        <f t="shared" si="221"/>
        <v>0</v>
      </c>
    </row>
    <row r="222" spans="1:62" x14ac:dyDescent="0.3">
      <c r="A222" s="53" t="str">
        <f t="shared" si="169"/>
        <v>project 188</v>
      </c>
      <c r="C222" s="55">
        <f t="shared" ref="C222:AH222" si="222">IF(AND(C$127&gt;=$I114,C$127&lt;$I114+$F114),INDEX($T114:$AI114,C$127-$I114+1),0)</f>
        <v>0.27029999999999998</v>
      </c>
      <c r="D222" s="55">
        <f t="shared" si="222"/>
        <v>0.53</v>
      </c>
      <c r="E222" s="55">
        <f t="shared" si="222"/>
        <v>0.51960784313725494</v>
      </c>
      <c r="F222" s="55">
        <f t="shared" si="222"/>
        <v>0</v>
      </c>
      <c r="G222" s="55">
        <f t="shared" si="222"/>
        <v>0</v>
      </c>
      <c r="H222" s="55">
        <f t="shared" si="222"/>
        <v>0</v>
      </c>
      <c r="I222" s="55">
        <f t="shared" si="222"/>
        <v>0</v>
      </c>
      <c r="J222" s="55">
        <f t="shared" si="222"/>
        <v>0</v>
      </c>
      <c r="K222" s="55">
        <f t="shared" si="222"/>
        <v>0</v>
      </c>
      <c r="L222" s="55">
        <f t="shared" si="222"/>
        <v>0</v>
      </c>
      <c r="M222" s="55">
        <f t="shared" si="222"/>
        <v>0</v>
      </c>
      <c r="N222" s="55">
        <f t="shared" si="222"/>
        <v>0</v>
      </c>
      <c r="O222" s="55">
        <f t="shared" si="222"/>
        <v>0</v>
      </c>
      <c r="P222" s="55">
        <f t="shared" si="222"/>
        <v>0</v>
      </c>
      <c r="Q222" s="55">
        <f t="shared" si="222"/>
        <v>0</v>
      </c>
      <c r="R222" s="55">
        <f t="shared" si="222"/>
        <v>0</v>
      </c>
      <c r="S222" s="55">
        <f t="shared" si="222"/>
        <v>0</v>
      </c>
      <c r="T222" s="55">
        <f t="shared" si="222"/>
        <v>0</v>
      </c>
      <c r="U222" s="55">
        <f t="shared" si="222"/>
        <v>0</v>
      </c>
      <c r="V222" s="55">
        <f t="shared" si="222"/>
        <v>0</v>
      </c>
      <c r="W222" s="55">
        <f t="shared" si="222"/>
        <v>0</v>
      </c>
      <c r="X222" s="55">
        <f t="shared" si="222"/>
        <v>0</v>
      </c>
      <c r="Y222" s="55">
        <f t="shared" si="222"/>
        <v>0</v>
      </c>
      <c r="Z222" s="55">
        <f t="shared" si="222"/>
        <v>0</v>
      </c>
      <c r="AA222" s="55">
        <f t="shared" si="222"/>
        <v>0</v>
      </c>
      <c r="AB222" s="55">
        <f t="shared" si="222"/>
        <v>0</v>
      </c>
      <c r="AC222" s="55">
        <f t="shared" si="222"/>
        <v>0</v>
      </c>
      <c r="AD222" s="55">
        <f t="shared" si="222"/>
        <v>0</v>
      </c>
      <c r="AE222" s="55">
        <f t="shared" si="222"/>
        <v>0</v>
      </c>
      <c r="AF222" s="55">
        <f t="shared" si="222"/>
        <v>0</v>
      </c>
      <c r="AG222" s="55">
        <f t="shared" si="222"/>
        <v>0</v>
      </c>
      <c r="AH222" s="55">
        <f t="shared" si="222"/>
        <v>0</v>
      </c>
      <c r="AI222" s="55">
        <f t="shared" ref="AI222:BJ222" si="223">IF(AND(AI$127&gt;=$I114,AI$127&lt;$I114+$F114),INDEX($T114:$AI114,AI$127-$I114+1),0)</f>
        <v>0</v>
      </c>
      <c r="AJ222" s="55">
        <f t="shared" si="223"/>
        <v>0</v>
      </c>
      <c r="AK222" s="55">
        <f t="shared" si="223"/>
        <v>0</v>
      </c>
      <c r="AL222" s="55">
        <f t="shared" si="223"/>
        <v>0</v>
      </c>
      <c r="AM222" s="55">
        <f t="shared" si="223"/>
        <v>0</v>
      </c>
      <c r="AN222" s="55">
        <f t="shared" si="223"/>
        <v>0</v>
      </c>
      <c r="AO222" s="55">
        <f t="shared" si="223"/>
        <v>0</v>
      </c>
      <c r="AP222" s="55">
        <f t="shared" si="223"/>
        <v>0</v>
      </c>
      <c r="AQ222" s="55">
        <f t="shared" si="223"/>
        <v>0</v>
      </c>
      <c r="AR222" s="55">
        <f t="shared" si="223"/>
        <v>0</v>
      </c>
      <c r="AS222" s="55">
        <f t="shared" si="223"/>
        <v>0</v>
      </c>
      <c r="AT222" s="55">
        <f t="shared" si="223"/>
        <v>0</v>
      </c>
      <c r="AU222" s="55">
        <f t="shared" si="223"/>
        <v>0</v>
      </c>
      <c r="AV222" s="55">
        <f t="shared" si="223"/>
        <v>0</v>
      </c>
      <c r="AW222" s="55">
        <f t="shared" si="223"/>
        <v>0</v>
      </c>
      <c r="AX222" s="55">
        <f t="shared" si="223"/>
        <v>0</v>
      </c>
      <c r="AY222" s="55">
        <f t="shared" si="223"/>
        <v>0</v>
      </c>
      <c r="AZ222" s="55">
        <f t="shared" si="223"/>
        <v>0</v>
      </c>
      <c r="BA222" s="55">
        <f t="shared" si="223"/>
        <v>0</v>
      </c>
      <c r="BB222" s="55">
        <f t="shared" si="223"/>
        <v>0</v>
      </c>
      <c r="BC222" s="55">
        <f t="shared" si="223"/>
        <v>0</v>
      </c>
      <c r="BD222" s="55">
        <f t="shared" si="223"/>
        <v>0</v>
      </c>
      <c r="BE222" s="55">
        <f t="shared" si="223"/>
        <v>0</v>
      </c>
      <c r="BF222" s="55">
        <f t="shared" si="223"/>
        <v>0</v>
      </c>
      <c r="BG222" s="55">
        <f t="shared" si="223"/>
        <v>0</v>
      </c>
      <c r="BH222" s="55">
        <f t="shared" si="223"/>
        <v>0</v>
      </c>
      <c r="BI222" s="55">
        <f t="shared" si="223"/>
        <v>0</v>
      </c>
      <c r="BJ222" s="55">
        <f t="shared" si="223"/>
        <v>0</v>
      </c>
    </row>
    <row r="223" spans="1:62" x14ac:dyDescent="0.3">
      <c r="A223" s="53" t="str">
        <f t="shared" si="169"/>
        <v>project 190</v>
      </c>
      <c r="C223" s="55">
        <f t="shared" ref="C223:AH223" si="224">IF(AND(C$127&gt;=$I115,C$127&lt;$I115+$F115),INDEX($T115:$AI115,C$127-$I115+1),0)</f>
        <v>1.2043759999999999</v>
      </c>
      <c r="D223" s="55">
        <f t="shared" si="224"/>
        <v>0</v>
      </c>
      <c r="E223" s="55">
        <f t="shared" si="224"/>
        <v>0</v>
      </c>
      <c r="F223" s="55">
        <f t="shared" si="224"/>
        <v>0</v>
      </c>
      <c r="G223" s="55">
        <f t="shared" si="224"/>
        <v>0</v>
      </c>
      <c r="H223" s="55">
        <f t="shared" si="224"/>
        <v>0</v>
      </c>
      <c r="I223" s="55">
        <f t="shared" si="224"/>
        <v>0</v>
      </c>
      <c r="J223" s="55">
        <f t="shared" si="224"/>
        <v>0</v>
      </c>
      <c r="K223" s="55">
        <f t="shared" si="224"/>
        <v>0</v>
      </c>
      <c r="L223" s="55">
        <f t="shared" si="224"/>
        <v>0</v>
      </c>
      <c r="M223" s="55">
        <f t="shared" si="224"/>
        <v>0</v>
      </c>
      <c r="N223" s="55">
        <f t="shared" si="224"/>
        <v>0</v>
      </c>
      <c r="O223" s="55">
        <f t="shared" si="224"/>
        <v>0</v>
      </c>
      <c r="P223" s="55">
        <f t="shared" si="224"/>
        <v>0</v>
      </c>
      <c r="Q223" s="55">
        <f t="shared" si="224"/>
        <v>0</v>
      </c>
      <c r="R223" s="55">
        <f t="shared" si="224"/>
        <v>0</v>
      </c>
      <c r="S223" s="55">
        <f t="shared" si="224"/>
        <v>0</v>
      </c>
      <c r="T223" s="55">
        <f t="shared" si="224"/>
        <v>0</v>
      </c>
      <c r="U223" s="55">
        <f t="shared" si="224"/>
        <v>0</v>
      </c>
      <c r="V223" s="55">
        <f t="shared" si="224"/>
        <v>0</v>
      </c>
      <c r="W223" s="55">
        <f t="shared" si="224"/>
        <v>0</v>
      </c>
      <c r="X223" s="55">
        <f t="shared" si="224"/>
        <v>0</v>
      </c>
      <c r="Y223" s="55">
        <f t="shared" si="224"/>
        <v>0</v>
      </c>
      <c r="Z223" s="55">
        <f t="shared" si="224"/>
        <v>0</v>
      </c>
      <c r="AA223" s="55">
        <f t="shared" si="224"/>
        <v>0</v>
      </c>
      <c r="AB223" s="55">
        <f t="shared" si="224"/>
        <v>0</v>
      </c>
      <c r="AC223" s="55">
        <f t="shared" si="224"/>
        <v>0</v>
      </c>
      <c r="AD223" s="55">
        <f t="shared" si="224"/>
        <v>0</v>
      </c>
      <c r="AE223" s="55">
        <f t="shared" si="224"/>
        <v>0</v>
      </c>
      <c r="AF223" s="55">
        <f t="shared" si="224"/>
        <v>0</v>
      </c>
      <c r="AG223" s="55">
        <f t="shared" si="224"/>
        <v>0</v>
      </c>
      <c r="AH223" s="55">
        <f t="shared" si="224"/>
        <v>0</v>
      </c>
      <c r="AI223" s="55">
        <f t="shared" ref="AI223:BJ223" si="225">IF(AND(AI$127&gt;=$I115,AI$127&lt;$I115+$F115),INDEX($T115:$AI115,AI$127-$I115+1),0)</f>
        <v>0</v>
      </c>
      <c r="AJ223" s="55">
        <f t="shared" si="225"/>
        <v>0</v>
      </c>
      <c r="AK223" s="55">
        <f t="shared" si="225"/>
        <v>0</v>
      </c>
      <c r="AL223" s="55">
        <f t="shared" si="225"/>
        <v>0</v>
      </c>
      <c r="AM223" s="55">
        <f t="shared" si="225"/>
        <v>0</v>
      </c>
      <c r="AN223" s="55">
        <f t="shared" si="225"/>
        <v>0</v>
      </c>
      <c r="AO223" s="55">
        <f t="shared" si="225"/>
        <v>0</v>
      </c>
      <c r="AP223" s="55">
        <f t="shared" si="225"/>
        <v>0</v>
      </c>
      <c r="AQ223" s="55">
        <f t="shared" si="225"/>
        <v>0</v>
      </c>
      <c r="AR223" s="55">
        <f t="shared" si="225"/>
        <v>0</v>
      </c>
      <c r="AS223" s="55">
        <f t="shared" si="225"/>
        <v>0</v>
      </c>
      <c r="AT223" s="55">
        <f t="shared" si="225"/>
        <v>0</v>
      </c>
      <c r="AU223" s="55">
        <f t="shared" si="225"/>
        <v>0</v>
      </c>
      <c r="AV223" s="55">
        <f t="shared" si="225"/>
        <v>0</v>
      </c>
      <c r="AW223" s="55">
        <f t="shared" si="225"/>
        <v>0</v>
      </c>
      <c r="AX223" s="55">
        <f t="shared" si="225"/>
        <v>0</v>
      </c>
      <c r="AY223" s="55">
        <f t="shared" si="225"/>
        <v>0</v>
      </c>
      <c r="AZ223" s="55">
        <f t="shared" si="225"/>
        <v>0</v>
      </c>
      <c r="BA223" s="55">
        <f t="shared" si="225"/>
        <v>0</v>
      </c>
      <c r="BB223" s="55">
        <f t="shared" si="225"/>
        <v>0</v>
      </c>
      <c r="BC223" s="55">
        <f t="shared" si="225"/>
        <v>0</v>
      </c>
      <c r="BD223" s="55">
        <f t="shared" si="225"/>
        <v>0</v>
      </c>
      <c r="BE223" s="55">
        <f t="shared" si="225"/>
        <v>0</v>
      </c>
      <c r="BF223" s="55">
        <f t="shared" si="225"/>
        <v>0</v>
      </c>
      <c r="BG223" s="55">
        <f t="shared" si="225"/>
        <v>0</v>
      </c>
      <c r="BH223" s="55">
        <f t="shared" si="225"/>
        <v>0</v>
      </c>
      <c r="BI223" s="55">
        <f t="shared" si="225"/>
        <v>0</v>
      </c>
      <c r="BJ223" s="55">
        <f t="shared" si="225"/>
        <v>0</v>
      </c>
    </row>
    <row r="224" spans="1:62" x14ac:dyDescent="0.3">
      <c r="A224" s="53" t="str">
        <f t="shared" si="169"/>
        <v>project 192</v>
      </c>
      <c r="C224" s="55">
        <f t="shared" ref="C224:AH224" si="226">IF(AND(C$127&gt;=$I116,C$127&lt;$I116+$F116),INDEX($T116:$AI116,C$127-$I116+1),0)</f>
        <v>0</v>
      </c>
      <c r="D224" s="55">
        <f t="shared" si="226"/>
        <v>0</v>
      </c>
      <c r="E224" s="55">
        <f t="shared" si="226"/>
        <v>0</v>
      </c>
      <c r="F224" s="55">
        <f t="shared" si="226"/>
        <v>0</v>
      </c>
      <c r="G224" s="55">
        <f t="shared" si="226"/>
        <v>0</v>
      </c>
      <c r="H224" s="55">
        <f t="shared" si="226"/>
        <v>0</v>
      </c>
      <c r="I224" s="55">
        <f t="shared" si="226"/>
        <v>0</v>
      </c>
      <c r="J224" s="55">
        <f t="shared" si="226"/>
        <v>0</v>
      </c>
      <c r="K224" s="55">
        <f t="shared" si="226"/>
        <v>0</v>
      </c>
      <c r="L224" s="55">
        <f t="shared" si="226"/>
        <v>1.2149840000000001</v>
      </c>
      <c r="M224" s="55">
        <f t="shared" si="226"/>
        <v>6.1264705882352943E-2</v>
      </c>
      <c r="N224" s="55">
        <f t="shared" si="226"/>
        <v>0</v>
      </c>
      <c r="O224" s="55">
        <f t="shared" si="226"/>
        <v>0</v>
      </c>
      <c r="P224" s="55">
        <f t="shared" si="226"/>
        <v>0</v>
      </c>
      <c r="Q224" s="55">
        <f t="shared" si="226"/>
        <v>0</v>
      </c>
      <c r="R224" s="55">
        <f t="shared" si="226"/>
        <v>0</v>
      </c>
      <c r="S224" s="55">
        <f t="shared" si="226"/>
        <v>0</v>
      </c>
      <c r="T224" s="55">
        <f t="shared" si="226"/>
        <v>0</v>
      </c>
      <c r="U224" s="55">
        <f t="shared" si="226"/>
        <v>0</v>
      </c>
      <c r="V224" s="55">
        <f t="shared" si="226"/>
        <v>0</v>
      </c>
      <c r="W224" s="55">
        <f t="shared" si="226"/>
        <v>0</v>
      </c>
      <c r="X224" s="55">
        <f t="shared" si="226"/>
        <v>0</v>
      </c>
      <c r="Y224" s="55">
        <f t="shared" si="226"/>
        <v>0</v>
      </c>
      <c r="Z224" s="55">
        <f t="shared" si="226"/>
        <v>0</v>
      </c>
      <c r="AA224" s="55">
        <f t="shared" si="226"/>
        <v>0</v>
      </c>
      <c r="AB224" s="55">
        <f t="shared" si="226"/>
        <v>0</v>
      </c>
      <c r="AC224" s="55">
        <f t="shared" si="226"/>
        <v>0</v>
      </c>
      <c r="AD224" s="55">
        <f t="shared" si="226"/>
        <v>0</v>
      </c>
      <c r="AE224" s="55">
        <f t="shared" si="226"/>
        <v>0</v>
      </c>
      <c r="AF224" s="55">
        <f t="shared" si="226"/>
        <v>0</v>
      </c>
      <c r="AG224" s="55">
        <f t="shared" si="226"/>
        <v>0</v>
      </c>
      <c r="AH224" s="55">
        <f t="shared" si="226"/>
        <v>0</v>
      </c>
      <c r="AI224" s="55">
        <f t="shared" ref="AI224:BJ224" si="227">IF(AND(AI$127&gt;=$I116,AI$127&lt;$I116+$F116),INDEX($T116:$AI116,AI$127-$I116+1),0)</f>
        <v>0</v>
      </c>
      <c r="AJ224" s="55">
        <f t="shared" si="227"/>
        <v>0</v>
      </c>
      <c r="AK224" s="55">
        <f t="shared" si="227"/>
        <v>0</v>
      </c>
      <c r="AL224" s="55">
        <f t="shared" si="227"/>
        <v>0</v>
      </c>
      <c r="AM224" s="55">
        <f t="shared" si="227"/>
        <v>0</v>
      </c>
      <c r="AN224" s="55">
        <f t="shared" si="227"/>
        <v>0</v>
      </c>
      <c r="AO224" s="55">
        <f t="shared" si="227"/>
        <v>0</v>
      </c>
      <c r="AP224" s="55">
        <f t="shared" si="227"/>
        <v>0</v>
      </c>
      <c r="AQ224" s="55">
        <f t="shared" si="227"/>
        <v>0</v>
      </c>
      <c r="AR224" s="55">
        <f t="shared" si="227"/>
        <v>0</v>
      </c>
      <c r="AS224" s="55">
        <f t="shared" si="227"/>
        <v>0</v>
      </c>
      <c r="AT224" s="55">
        <f t="shared" si="227"/>
        <v>0</v>
      </c>
      <c r="AU224" s="55">
        <f t="shared" si="227"/>
        <v>0</v>
      </c>
      <c r="AV224" s="55">
        <f t="shared" si="227"/>
        <v>0</v>
      </c>
      <c r="AW224" s="55">
        <f t="shared" si="227"/>
        <v>0</v>
      </c>
      <c r="AX224" s="55">
        <f t="shared" si="227"/>
        <v>0</v>
      </c>
      <c r="AY224" s="55">
        <f t="shared" si="227"/>
        <v>0</v>
      </c>
      <c r="AZ224" s="55">
        <f t="shared" si="227"/>
        <v>0</v>
      </c>
      <c r="BA224" s="55">
        <f t="shared" si="227"/>
        <v>0</v>
      </c>
      <c r="BB224" s="55">
        <f t="shared" si="227"/>
        <v>0</v>
      </c>
      <c r="BC224" s="55">
        <f t="shared" si="227"/>
        <v>0</v>
      </c>
      <c r="BD224" s="55">
        <f t="shared" si="227"/>
        <v>0</v>
      </c>
      <c r="BE224" s="55">
        <f t="shared" si="227"/>
        <v>0</v>
      </c>
      <c r="BF224" s="55">
        <f t="shared" si="227"/>
        <v>0</v>
      </c>
      <c r="BG224" s="55">
        <f t="shared" si="227"/>
        <v>0</v>
      </c>
      <c r="BH224" s="55">
        <f t="shared" si="227"/>
        <v>0</v>
      </c>
      <c r="BI224" s="55">
        <f t="shared" si="227"/>
        <v>0</v>
      </c>
      <c r="BJ224" s="55">
        <f t="shared" si="227"/>
        <v>0</v>
      </c>
    </row>
    <row r="225" spans="1:62" x14ac:dyDescent="0.3">
      <c r="A225" s="53" t="str">
        <f t="shared" si="169"/>
        <v>project 193</v>
      </c>
      <c r="C225" s="55">
        <f t="shared" ref="C225:AH225" si="228">IF(AND(C$127&gt;=$I117,C$127&lt;$I117+$F117),INDEX($T117:$AI117,C$127-$I117+1),0)</f>
        <v>1.0588235294117641</v>
      </c>
      <c r="D225" s="55">
        <f t="shared" si="228"/>
        <v>0</v>
      </c>
      <c r="E225" s="55">
        <f t="shared" si="228"/>
        <v>0</v>
      </c>
      <c r="F225" s="55">
        <f t="shared" si="228"/>
        <v>0</v>
      </c>
      <c r="G225" s="55">
        <f t="shared" si="228"/>
        <v>0</v>
      </c>
      <c r="H225" s="55">
        <f t="shared" si="228"/>
        <v>0</v>
      </c>
      <c r="I225" s="55">
        <f t="shared" si="228"/>
        <v>0</v>
      </c>
      <c r="J225" s="55">
        <f t="shared" si="228"/>
        <v>0</v>
      </c>
      <c r="K225" s="55">
        <f t="shared" si="228"/>
        <v>0</v>
      </c>
      <c r="L225" s="55">
        <f t="shared" si="228"/>
        <v>0</v>
      </c>
      <c r="M225" s="55">
        <f t="shared" si="228"/>
        <v>0</v>
      </c>
      <c r="N225" s="55">
        <f t="shared" si="228"/>
        <v>0</v>
      </c>
      <c r="O225" s="55">
        <f t="shared" si="228"/>
        <v>0</v>
      </c>
      <c r="P225" s="55">
        <f t="shared" si="228"/>
        <v>0</v>
      </c>
      <c r="Q225" s="55">
        <f t="shared" si="228"/>
        <v>0</v>
      </c>
      <c r="R225" s="55">
        <f t="shared" si="228"/>
        <v>0</v>
      </c>
      <c r="S225" s="55">
        <f t="shared" si="228"/>
        <v>0</v>
      </c>
      <c r="T225" s="55">
        <f t="shared" si="228"/>
        <v>0</v>
      </c>
      <c r="U225" s="55">
        <f t="shared" si="228"/>
        <v>0</v>
      </c>
      <c r="V225" s="55">
        <f t="shared" si="228"/>
        <v>0</v>
      </c>
      <c r="W225" s="55">
        <f t="shared" si="228"/>
        <v>0</v>
      </c>
      <c r="X225" s="55">
        <f t="shared" si="228"/>
        <v>0</v>
      </c>
      <c r="Y225" s="55">
        <f t="shared" si="228"/>
        <v>0</v>
      </c>
      <c r="Z225" s="55">
        <f t="shared" si="228"/>
        <v>0</v>
      </c>
      <c r="AA225" s="55">
        <f t="shared" si="228"/>
        <v>0</v>
      </c>
      <c r="AB225" s="55">
        <f t="shared" si="228"/>
        <v>0</v>
      </c>
      <c r="AC225" s="55">
        <f t="shared" si="228"/>
        <v>0</v>
      </c>
      <c r="AD225" s="55">
        <f t="shared" si="228"/>
        <v>0</v>
      </c>
      <c r="AE225" s="55">
        <f t="shared" si="228"/>
        <v>0</v>
      </c>
      <c r="AF225" s="55">
        <f t="shared" si="228"/>
        <v>0</v>
      </c>
      <c r="AG225" s="55">
        <f t="shared" si="228"/>
        <v>0</v>
      </c>
      <c r="AH225" s="55">
        <f t="shared" si="228"/>
        <v>0</v>
      </c>
      <c r="AI225" s="55">
        <f t="shared" ref="AI225:BJ225" si="229">IF(AND(AI$127&gt;=$I117,AI$127&lt;$I117+$F117),INDEX($T117:$AI117,AI$127-$I117+1),0)</f>
        <v>0</v>
      </c>
      <c r="AJ225" s="55">
        <f t="shared" si="229"/>
        <v>0</v>
      </c>
      <c r="AK225" s="55">
        <f t="shared" si="229"/>
        <v>0</v>
      </c>
      <c r="AL225" s="55">
        <f t="shared" si="229"/>
        <v>0</v>
      </c>
      <c r="AM225" s="55">
        <f t="shared" si="229"/>
        <v>0</v>
      </c>
      <c r="AN225" s="55">
        <f t="shared" si="229"/>
        <v>0</v>
      </c>
      <c r="AO225" s="55">
        <f t="shared" si="229"/>
        <v>0</v>
      </c>
      <c r="AP225" s="55">
        <f t="shared" si="229"/>
        <v>0</v>
      </c>
      <c r="AQ225" s="55">
        <f t="shared" si="229"/>
        <v>0</v>
      </c>
      <c r="AR225" s="55">
        <f t="shared" si="229"/>
        <v>0</v>
      </c>
      <c r="AS225" s="55">
        <f t="shared" si="229"/>
        <v>0</v>
      </c>
      <c r="AT225" s="55">
        <f t="shared" si="229"/>
        <v>0</v>
      </c>
      <c r="AU225" s="55">
        <f t="shared" si="229"/>
        <v>0</v>
      </c>
      <c r="AV225" s="55">
        <f t="shared" si="229"/>
        <v>0</v>
      </c>
      <c r="AW225" s="55">
        <f t="shared" si="229"/>
        <v>0</v>
      </c>
      <c r="AX225" s="55">
        <f t="shared" si="229"/>
        <v>0</v>
      </c>
      <c r="AY225" s="55">
        <f t="shared" si="229"/>
        <v>0</v>
      </c>
      <c r="AZ225" s="55">
        <f t="shared" si="229"/>
        <v>0</v>
      </c>
      <c r="BA225" s="55">
        <f t="shared" si="229"/>
        <v>0</v>
      </c>
      <c r="BB225" s="55">
        <f t="shared" si="229"/>
        <v>0</v>
      </c>
      <c r="BC225" s="55">
        <f t="shared" si="229"/>
        <v>0</v>
      </c>
      <c r="BD225" s="55">
        <f t="shared" si="229"/>
        <v>0</v>
      </c>
      <c r="BE225" s="55">
        <f t="shared" si="229"/>
        <v>0</v>
      </c>
      <c r="BF225" s="55">
        <f t="shared" si="229"/>
        <v>0</v>
      </c>
      <c r="BG225" s="55">
        <f t="shared" si="229"/>
        <v>0</v>
      </c>
      <c r="BH225" s="55">
        <f t="shared" si="229"/>
        <v>0</v>
      </c>
      <c r="BI225" s="55">
        <f t="shared" si="229"/>
        <v>0</v>
      </c>
      <c r="BJ225" s="55">
        <f t="shared" si="229"/>
        <v>0</v>
      </c>
    </row>
    <row r="226" spans="1:62" x14ac:dyDescent="0.3">
      <c r="A226" s="53" t="str">
        <f t="shared" si="169"/>
        <v>project 195</v>
      </c>
      <c r="C226" s="55">
        <f t="shared" ref="C226:AH226" si="230">IF(AND(C$127&gt;=$I118,C$127&lt;$I118+$F118),INDEX($T118:$AI118,C$127-$I118+1),0)</f>
        <v>0</v>
      </c>
      <c r="D226" s="55">
        <f t="shared" si="230"/>
        <v>0</v>
      </c>
      <c r="E226" s="55">
        <f t="shared" si="230"/>
        <v>0</v>
      </c>
      <c r="F226" s="55">
        <f t="shared" si="230"/>
        <v>0</v>
      </c>
      <c r="G226" s="55">
        <f t="shared" si="230"/>
        <v>0</v>
      </c>
      <c r="H226" s="55">
        <f t="shared" si="230"/>
        <v>0</v>
      </c>
      <c r="I226" s="55">
        <f t="shared" si="230"/>
        <v>0</v>
      </c>
      <c r="J226" s="55">
        <f t="shared" si="230"/>
        <v>0</v>
      </c>
      <c r="K226" s="55">
        <f t="shared" si="230"/>
        <v>0</v>
      </c>
      <c r="L226" s="55">
        <f t="shared" si="230"/>
        <v>0</v>
      </c>
      <c r="M226" s="55">
        <f t="shared" si="230"/>
        <v>0</v>
      </c>
      <c r="N226" s="55">
        <f t="shared" si="230"/>
        <v>0</v>
      </c>
      <c r="O226" s="55">
        <f t="shared" si="230"/>
        <v>0</v>
      </c>
      <c r="P226" s="55">
        <f t="shared" si="230"/>
        <v>0</v>
      </c>
      <c r="Q226" s="55">
        <f t="shared" si="230"/>
        <v>0</v>
      </c>
      <c r="R226" s="55">
        <f t="shared" si="230"/>
        <v>0</v>
      </c>
      <c r="S226" s="55">
        <f t="shared" si="230"/>
        <v>0.56722899999999998</v>
      </c>
      <c r="T226" s="55">
        <f t="shared" si="230"/>
        <v>0.2780539215686274</v>
      </c>
      <c r="U226" s="55">
        <f t="shared" si="230"/>
        <v>0</v>
      </c>
      <c r="V226" s="55">
        <f t="shared" si="230"/>
        <v>0</v>
      </c>
      <c r="W226" s="55">
        <f t="shared" si="230"/>
        <v>0</v>
      </c>
      <c r="X226" s="55">
        <f t="shared" si="230"/>
        <v>0</v>
      </c>
      <c r="Y226" s="55">
        <f t="shared" si="230"/>
        <v>0</v>
      </c>
      <c r="Z226" s="55">
        <f t="shared" si="230"/>
        <v>0</v>
      </c>
      <c r="AA226" s="55">
        <f t="shared" si="230"/>
        <v>0</v>
      </c>
      <c r="AB226" s="55">
        <f t="shared" si="230"/>
        <v>0</v>
      </c>
      <c r="AC226" s="55">
        <f t="shared" si="230"/>
        <v>0</v>
      </c>
      <c r="AD226" s="55">
        <f t="shared" si="230"/>
        <v>0</v>
      </c>
      <c r="AE226" s="55">
        <f t="shared" si="230"/>
        <v>0</v>
      </c>
      <c r="AF226" s="55">
        <f t="shared" si="230"/>
        <v>0</v>
      </c>
      <c r="AG226" s="55">
        <f t="shared" si="230"/>
        <v>0</v>
      </c>
      <c r="AH226" s="55">
        <f t="shared" si="230"/>
        <v>0</v>
      </c>
      <c r="AI226" s="55">
        <f t="shared" ref="AI226:BJ226" si="231">IF(AND(AI$127&gt;=$I118,AI$127&lt;$I118+$F118),INDEX($T118:$AI118,AI$127-$I118+1),0)</f>
        <v>0</v>
      </c>
      <c r="AJ226" s="55">
        <f t="shared" si="231"/>
        <v>0</v>
      </c>
      <c r="AK226" s="55">
        <f t="shared" si="231"/>
        <v>0</v>
      </c>
      <c r="AL226" s="55">
        <f t="shared" si="231"/>
        <v>0</v>
      </c>
      <c r="AM226" s="55">
        <f t="shared" si="231"/>
        <v>0</v>
      </c>
      <c r="AN226" s="55">
        <f t="shared" si="231"/>
        <v>0</v>
      </c>
      <c r="AO226" s="55">
        <f t="shared" si="231"/>
        <v>0</v>
      </c>
      <c r="AP226" s="55">
        <f t="shared" si="231"/>
        <v>0</v>
      </c>
      <c r="AQ226" s="55">
        <f t="shared" si="231"/>
        <v>0</v>
      </c>
      <c r="AR226" s="55">
        <f t="shared" si="231"/>
        <v>0</v>
      </c>
      <c r="AS226" s="55">
        <f t="shared" si="231"/>
        <v>0</v>
      </c>
      <c r="AT226" s="55">
        <f t="shared" si="231"/>
        <v>0</v>
      </c>
      <c r="AU226" s="55">
        <f t="shared" si="231"/>
        <v>0</v>
      </c>
      <c r="AV226" s="55">
        <f t="shared" si="231"/>
        <v>0</v>
      </c>
      <c r="AW226" s="55">
        <f t="shared" si="231"/>
        <v>0</v>
      </c>
      <c r="AX226" s="55">
        <f t="shared" si="231"/>
        <v>0</v>
      </c>
      <c r="AY226" s="55">
        <f t="shared" si="231"/>
        <v>0</v>
      </c>
      <c r="AZ226" s="55">
        <f t="shared" si="231"/>
        <v>0</v>
      </c>
      <c r="BA226" s="55">
        <f t="shared" si="231"/>
        <v>0</v>
      </c>
      <c r="BB226" s="55">
        <f t="shared" si="231"/>
        <v>0</v>
      </c>
      <c r="BC226" s="55">
        <f t="shared" si="231"/>
        <v>0</v>
      </c>
      <c r="BD226" s="55">
        <f t="shared" si="231"/>
        <v>0</v>
      </c>
      <c r="BE226" s="55">
        <f t="shared" si="231"/>
        <v>0</v>
      </c>
      <c r="BF226" s="55">
        <f t="shared" si="231"/>
        <v>0</v>
      </c>
      <c r="BG226" s="55">
        <f t="shared" si="231"/>
        <v>0</v>
      </c>
      <c r="BH226" s="55">
        <f t="shared" si="231"/>
        <v>0</v>
      </c>
      <c r="BI226" s="55">
        <f t="shared" si="231"/>
        <v>0</v>
      </c>
      <c r="BJ226" s="55">
        <f t="shared" si="231"/>
        <v>0</v>
      </c>
    </row>
    <row r="227" spans="1:62" x14ac:dyDescent="0.3">
      <c r="A227" s="53" t="str">
        <f t="shared" si="169"/>
        <v>project 200</v>
      </c>
      <c r="C227" s="55">
        <f t="shared" ref="C227:AH227" si="232">IF(AND(C$127&gt;=$I119,C$127&lt;$I119+$F119),INDEX($T119:$AI119,C$127-$I119+1),0)</f>
        <v>0</v>
      </c>
      <c r="D227" s="55">
        <f t="shared" si="232"/>
        <v>0</v>
      </c>
      <c r="E227" s="55">
        <f t="shared" si="232"/>
        <v>0</v>
      </c>
      <c r="F227" s="55">
        <f t="shared" si="232"/>
        <v>0</v>
      </c>
      <c r="G227" s="55">
        <f t="shared" si="232"/>
        <v>0</v>
      </c>
      <c r="H227" s="55">
        <f t="shared" si="232"/>
        <v>0</v>
      </c>
      <c r="I227" s="55">
        <f t="shared" si="232"/>
        <v>0</v>
      </c>
      <c r="J227" s="55">
        <f t="shared" si="232"/>
        <v>0</v>
      </c>
      <c r="K227" s="55">
        <f t="shared" si="232"/>
        <v>0</v>
      </c>
      <c r="L227" s="55">
        <f t="shared" si="232"/>
        <v>0</v>
      </c>
      <c r="M227" s="55">
        <f t="shared" si="232"/>
        <v>0</v>
      </c>
      <c r="N227" s="55">
        <f t="shared" si="232"/>
        <v>0</v>
      </c>
      <c r="O227" s="55">
        <f t="shared" si="232"/>
        <v>0</v>
      </c>
      <c r="P227" s="55">
        <f t="shared" si="232"/>
        <v>0.74632500000000002</v>
      </c>
      <c r="Q227" s="55">
        <f t="shared" si="232"/>
        <v>4.7127450980392151E-2</v>
      </c>
      <c r="R227" s="55">
        <f t="shared" si="232"/>
        <v>0</v>
      </c>
      <c r="S227" s="55">
        <f t="shared" si="232"/>
        <v>0</v>
      </c>
      <c r="T227" s="55">
        <f t="shared" si="232"/>
        <v>0</v>
      </c>
      <c r="U227" s="55">
        <f t="shared" si="232"/>
        <v>0</v>
      </c>
      <c r="V227" s="55">
        <f t="shared" si="232"/>
        <v>0</v>
      </c>
      <c r="W227" s="55">
        <f t="shared" si="232"/>
        <v>0</v>
      </c>
      <c r="X227" s="55">
        <f t="shared" si="232"/>
        <v>0</v>
      </c>
      <c r="Y227" s="55">
        <f t="shared" si="232"/>
        <v>0</v>
      </c>
      <c r="Z227" s="55">
        <f t="shared" si="232"/>
        <v>0</v>
      </c>
      <c r="AA227" s="55">
        <f t="shared" si="232"/>
        <v>0</v>
      </c>
      <c r="AB227" s="55">
        <f t="shared" si="232"/>
        <v>0</v>
      </c>
      <c r="AC227" s="55">
        <f t="shared" si="232"/>
        <v>0</v>
      </c>
      <c r="AD227" s="55">
        <f t="shared" si="232"/>
        <v>0</v>
      </c>
      <c r="AE227" s="55">
        <f t="shared" si="232"/>
        <v>0</v>
      </c>
      <c r="AF227" s="55">
        <f t="shared" si="232"/>
        <v>0</v>
      </c>
      <c r="AG227" s="55">
        <f t="shared" si="232"/>
        <v>0</v>
      </c>
      <c r="AH227" s="55">
        <f t="shared" si="232"/>
        <v>0</v>
      </c>
      <c r="AI227" s="55">
        <f t="shared" ref="AI227:BJ227" si="233">IF(AND(AI$127&gt;=$I119,AI$127&lt;$I119+$F119),INDEX($T119:$AI119,AI$127-$I119+1),0)</f>
        <v>0</v>
      </c>
      <c r="AJ227" s="55">
        <f t="shared" si="233"/>
        <v>0</v>
      </c>
      <c r="AK227" s="55">
        <f t="shared" si="233"/>
        <v>0</v>
      </c>
      <c r="AL227" s="55">
        <f t="shared" si="233"/>
        <v>0</v>
      </c>
      <c r="AM227" s="55">
        <f t="shared" si="233"/>
        <v>0</v>
      </c>
      <c r="AN227" s="55">
        <f t="shared" si="233"/>
        <v>0</v>
      </c>
      <c r="AO227" s="55">
        <f t="shared" si="233"/>
        <v>0</v>
      </c>
      <c r="AP227" s="55">
        <f t="shared" si="233"/>
        <v>0</v>
      </c>
      <c r="AQ227" s="55">
        <f t="shared" si="233"/>
        <v>0</v>
      </c>
      <c r="AR227" s="55">
        <f t="shared" si="233"/>
        <v>0</v>
      </c>
      <c r="AS227" s="55">
        <f t="shared" si="233"/>
        <v>0</v>
      </c>
      <c r="AT227" s="55">
        <f t="shared" si="233"/>
        <v>0</v>
      </c>
      <c r="AU227" s="55">
        <f t="shared" si="233"/>
        <v>0</v>
      </c>
      <c r="AV227" s="55">
        <f t="shared" si="233"/>
        <v>0</v>
      </c>
      <c r="AW227" s="55">
        <f t="shared" si="233"/>
        <v>0</v>
      </c>
      <c r="AX227" s="55">
        <f t="shared" si="233"/>
        <v>0</v>
      </c>
      <c r="AY227" s="55">
        <f t="shared" si="233"/>
        <v>0</v>
      </c>
      <c r="AZ227" s="55">
        <f t="shared" si="233"/>
        <v>0</v>
      </c>
      <c r="BA227" s="55">
        <f t="shared" si="233"/>
        <v>0</v>
      </c>
      <c r="BB227" s="55">
        <f t="shared" si="233"/>
        <v>0</v>
      </c>
      <c r="BC227" s="55">
        <f t="shared" si="233"/>
        <v>0</v>
      </c>
      <c r="BD227" s="55">
        <f t="shared" si="233"/>
        <v>0</v>
      </c>
      <c r="BE227" s="55">
        <f t="shared" si="233"/>
        <v>0</v>
      </c>
      <c r="BF227" s="55">
        <f t="shared" si="233"/>
        <v>0</v>
      </c>
      <c r="BG227" s="55">
        <f t="shared" si="233"/>
        <v>0</v>
      </c>
      <c r="BH227" s="55">
        <f t="shared" si="233"/>
        <v>0</v>
      </c>
      <c r="BI227" s="55">
        <f t="shared" si="233"/>
        <v>0</v>
      </c>
      <c r="BJ227" s="55">
        <f t="shared" si="233"/>
        <v>0</v>
      </c>
    </row>
    <row r="228" spans="1:62" x14ac:dyDescent="0.3">
      <c r="A228" s="53" t="str">
        <f t="shared" ref="A228:A259" si="234">A120</f>
        <v>project 204</v>
      </c>
      <c r="C228" s="55">
        <f t="shared" ref="C228:AH228" si="235">IF(AND(C$127&gt;=$I120,C$127&lt;$I120+$F120),INDEX($T120:$AI120,C$127-$I120+1),0)</f>
        <v>0</v>
      </c>
      <c r="D228" s="55">
        <f t="shared" si="235"/>
        <v>0</v>
      </c>
      <c r="E228" s="55">
        <f t="shared" si="235"/>
        <v>0</v>
      </c>
      <c r="F228" s="55">
        <f t="shared" si="235"/>
        <v>0</v>
      </c>
      <c r="G228" s="55">
        <f t="shared" si="235"/>
        <v>0</v>
      </c>
      <c r="H228" s="55">
        <f t="shared" si="235"/>
        <v>0</v>
      </c>
      <c r="I228" s="55">
        <f t="shared" si="235"/>
        <v>3.5511764705882347E-2</v>
      </c>
      <c r="J228" s="55">
        <f t="shared" si="235"/>
        <v>0.16027297193387161</v>
      </c>
      <c r="K228" s="55">
        <f t="shared" si="235"/>
        <v>0.16058680296416911</v>
      </c>
      <c r="L228" s="55">
        <f t="shared" si="235"/>
        <v>0</v>
      </c>
      <c r="M228" s="55">
        <f t="shared" si="235"/>
        <v>0</v>
      </c>
      <c r="N228" s="55">
        <f t="shared" si="235"/>
        <v>0</v>
      </c>
      <c r="O228" s="55">
        <f t="shared" si="235"/>
        <v>0</v>
      </c>
      <c r="P228" s="55">
        <f t="shared" si="235"/>
        <v>0</v>
      </c>
      <c r="Q228" s="55">
        <f t="shared" si="235"/>
        <v>0</v>
      </c>
      <c r="R228" s="55">
        <f t="shared" si="235"/>
        <v>0</v>
      </c>
      <c r="S228" s="55">
        <f t="shared" si="235"/>
        <v>0</v>
      </c>
      <c r="T228" s="55">
        <f t="shared" si="235"/>
        <v>0</v>
      </c>
      <c r="U228" s="55">
        <f t="shared" si="235"/>
        <v>0</v>
      </c>
      <c r="V228" s="55">
        <f t="shared" si="235"/>
        <v>0</v>
      </c>
      <c r="W228" s="55">
        <f t="shared" si="235"/>
        <v>0</v>
      </c>
      <c r="X228" s="55">
        <f t="shared" si="235"/>
        <v>0</v>
      </c>
      <c r="Y228" s="55">
        <f t="shared" si="235"/>
        <v>0</v>
      </c>
      <c r="Z228" s="55">
        <f t="shared" si="235"/>
        <v>0</v>
      </c>
      <c r="AA228" s="55">
        <f t="shared" si="235"/>
        <v>0</v>
      </c>
      <c r="AB228" s="55">
        <f t="shared" si="235"/>
        <v>0</v>
      </c>
      <c r="AC228" s="55">
        <f t="shared" si="235"/>
        <v>0</v>
      </c>
      <c r="AD228" s="55">
        <f t="shared" si="235"/>
        <v>0</v>
      </c>
      <c r="AE228" s="55">
        <f t="shared" si="235"/>
        <v>0</v>
      </c>
      <c r="AF228" s="55">
        <f t="shared" si="235"/>
        <v>0</v>
      </c>
      <c r="AG228" s="55">
        <f t="shared" si="235"/>
        <v>0</v>
      </c>
      <c r="AH228" s="55">
        <f t="shared" si="235"/>
        <v>0</v>
      </c>
      <c r="AI228" s="55">
        <f t="shared" ref="AI228:BJ228" si="236">IF(AND(AI$127&gt;=$I120,AI$127&lt;$I120+$F120),INDEX($T120:$AI120,AI$127-$I120+1),0)</f>
        <v>0</v>
      </c>
      <c r="AJ228" s="55">
        <f t="shared" si="236"/>
        <v>0</v>
      </c>
      <c r="AK228" s="55">
        <f t="shared" si="236"/>
        <v>0</v>
      </c>
      <c r="AL228" s="55">
        <f t="shared" si="236"/>
        <v>0</v>
      </c>
      <c r="AM228" s="55">
        <f t="shared" si="236"/>
        <v>0</v>
      </c>
      <c r="AN228" s="55">
        <f t="shared" si="236"/>
        <v>0</v>
      </c>
      <c r="AO228" s="55">
        <f t="shared" si="236"/>
        <v>0</v>
      </c>
      <c r="AP228" s="55">
        <f t="shared" si="236"/>
        <v>0</v>
      </c>
      <c r="AQ228" s="55">
        <f t="shared" si="236"/>
        <v>0</v>
      </c>
      <c r="AR228" s="55">
        <f t="shared" si="236"/>
        <v>0</v>
      </c>
      <c r="AS228" s="55">
        <f t="shared" si="236"/>
        <v>0</v>
      </c>
      <c r="AT228" s="55">
        <f t="shared" si="236"/>
        <v>0</v>
      </c>
      <c r="AU228" s="55">
        <f t="shared" si="236"/>
        <v>0</v>
      </c>
      <c r="AV228" s="55">
        <f t="shared" si="236"/>
        <v>0</v>
      </c>
      <c r="AW228" s="55">
        <f t="shared" si="236"/>
        <v>0</v>
      </c>
      <c r="AX228" s="55">
        <f t="shared" si="236"/>
        <v>0</v>
      </c>
      <c r="AY228" s="55">
        <f t="shared" si="236"/>
        <v>0</v>
      </c>
      <c r="AZ228" s="55">
        <f t="shared" si="236"/>
        <v>0</v>
      </c>
      <c r="BA228" s="55">
        <f t="shared" si="236"/>
        <v>0</v>
      </c>
      <c r="BB228" s="55">
        <f t="shared" si="236"/>
        <v>0</v>
      </c>
      <c r="BC228" s="55">
        <f t="shared" si="236"/>
        <v>0</v>
      </c>
      <c r="BD228" s="55">
        <f t="shared" si="236"/>
        <v>0</v>
      </c>
      <c r="BE228" s="55">
        <f t="shared" si="236"/>
        <v>0</v>
      </c>
      <c r="BF228" s="55">
        <f t="shared" si="236"/>
        <v>0</v>
      </c>
      <c r="BG228" s="55">
        <f t="shared" si="236"/>
        <v>0</v>
      </c>
      <c r="BH228" s="55">
        <f t="shared" si="236"/>
        <v>0</v>
      </c>
      <c r="BI228" s="55">
        <f t="shared" si="236"/>
        <v>0</v>
      </c>
      <c r="BJ228" s="55">
        <f t="shared" si="236"/>
        <v>0</v>
      </c>
    </row>
    <row r="229" spans="1:62" x14ac:dyDescent="0.3">
      <c r="A229" s="53" t="str">
        <f t="shared" si="234"/>
        <v>project 211</v>
      </c>
      <c r="C229" s="55">
        <f t="shared" ref="C229:AH229" si="237">IF(AND(C$127&gt;=$I121,C$127&lt;$I121+$F121),INDEX($T121:$AI121,C$127-$I121+1),0)</f>
        <v>0.05</v>
      </c>
      <c r="D229" s="55">
        <f t="shared" si="237"/>
        <v>0</v>
      </c>
      <c r="E229" s="55">
        <f t="shared" si="237"/>
        <v>0</v>
      </c>
      <c r="F229" s="55">
        <f t="shared" si="237"/>
        <v>0</v>
      </c>
      <c r="G229" s="55">
        <f t="shared" si="237"/>
        <v>0</v>
      </c>
      <c r="H229" s="55">
        <f t="shared" si="237"/>
        <v>0</v>
      </c>
      <c r="I229" s="55">
        <f t="shared" si="237"/>
        <v>0</v>
      </c>
      <c r="J229" s="55">
        <f t="shared" si="237"/>
        <v>0</v>
      </c>
      <c r="K229" s="55">
        <f t="shared" si="237"/>
        <v>0</v>
      </c>
      <c r="L229" s="55">
        <f t="shared" si="237"/>
        <v>0</v>
      </c>
      <c r="M229" s="55">
        <f t="shared" si="237"/>
        <v>0</v>
      </c>
      <c r="N229" s="55">
        <f t="shared" si="237"/>
        <v>0</v>
      </c>
      <c r="O229" s="55">
        <f t="shared" si="237"/>
        <v>0</v>
      </c>
      <c r="P229" s="55">
        <f t="shared" si="237"/>
        <v>0</v>
      </c>
      <c r="Q229" s="55">
        <f t="shared" si="237"/>
        <v>0</v>
      </c>
      <c r="R229" s="55">
        <f t="shared" si="237"/>
        <v>0</v>
      </c>
      <c r="S229" s="55">
        <f t="shared" si="237"/>
        <v>0</v>
      </c>
      <c r="T229" s="55">
        <f t="shared" si="237"/>
        <v>0</v>
      </c>
      <c r="U229" s="55">
        <f t="shared" si="237"/>
        <v>0</v>
      </c>
      <c r="V229" s="55">
        <f t="shared" si="237"/>
        <v>0</v>
      </c>
      <c r="W229" s="55">
        <f t="shared" si="237"/>
        <v>0</v>
      </c>
      <c r="X229" s="55">
        <f t="shared" si="237"/>
        <v>0</v>
      </c>
      <c r="Y229" s="55">
        <f t="shared" si="237"/>
        <v>0</v>
      </c>
      <c r="Z229" s="55">
        <f t="shared" si="237"/>
        <v>0</v>
      </c>
      <c r="AA229" s="55">
        <f t="shared" si="237"/>
        <v>0</v>
      </c>
      <c r="AB229" s="55">
        <f t="shared" si="237"/>
        <v>0</v>
      </c>
      <c r="AC229" s="55">
        <f t="shared" si="237"/>
        <v>0</v>
      </c>
      <c r="AD229" s="55">
        <f t="shared" si="237"/>
        <v>0</v>
      </c>
      <c r="AE229" s="55">
        <f t="shared" si="237"/>
        <v>0</v>
      </c>
      <c r="AF229" s="55">
        <f t="shared" si="237"/>
        <v>0</v>
      </c>
      <c r="AG229" s="55">
        <f t="shared" si="237"/>
        <v>0</v>
      </c>
      <c r="AH229" s="55">
        <f t="shared" si="237"/>
        <v>0</v>
      </c>
      <c r="AI229" s="55">
        <f t="shared" ref="AI229:BJ229" si="238">IF(AND(AI$127&gt;=$I121,AI$127&lt;$I121+$F121),INDEX($T121:$AI121,AI$127-$I121+1),0)</f>
        <v>0</v>
      </c>
      <c r="AJ229" s="55">
        <f t="shared" si="238"/>
        <v>0</v>
      </c>
      <c r="AK229" s="55">
        <f t="shared" si="238"/>
        <v>0</v>
      </c>
      <c r="AL229" s="55">
        <f t="shared" si="238"/>
        <v>0</v>
      </c>
      <c r="AM229" s="55">
        <f t="shared" si="238"/>
        <v>0</v>
      </c>
      <c r="AN229" s="55">
        <f t="shared" si="238"/>
        <v>0</v>
      </c>
      <c r="AO229" s="55">
        <f t="shared" si="238"/>
        <v>0</v>
      </c>
      <c r="AP229" s="55">
        <f t="shared" si="238"/>
        <v>0</v>
      </c>
      <c r="AQ229" s="55">
        <f t="shared" si="238"/>
        <v>0</v>
      </c>
      <c r="AR229" s="55">
        <f t="shared" si="238"/>
        <v>0</v>
      </c>
      <c r="AS229" s="55">
        <f t="shared" si="238"/>
        <v>0</v>
      </c>
      <c r="AT229" s="55">
        <f t="shared" si="238"/>
        <v>0</v>
      </c>
      <c r="AU229" s="55">
        <f t="shared" si="238"/>
        <v>0</v>
      </c>
      <c r="AV229" s="55">
        <f t="shared" si="238"/>
        <v>0</v>
      </c>
      <c r="AW229" s="55">
        <f t="shared" si="238"/>
        <v>0</v>
      </c>
      <c r="AX229" s="55">
        <f t="shared" si="238"/>
        <v>0</v>
      </c>
      <c r="AY229" s="55">
        <f t="shared" si="238"/>
        <v>0</v>
      </c>
      <c r="AZ229" s="55">
        <f t="shared" si="238"/>
        <v>0</v>
      </c>
      <c r="BA229" s="55">
        <f t="shared" si="238"/>
        <v>0</v>
      </c>
      <c r="BB229" s="55">
        <f t="shared" si="238"/>
        <v>0</v>
      </c>
      <c r="BC229" s="55">
        <f t="shared" si="238"/>
        <v>0</v>
      </c>
      <c r="BD229" s="55">
        <f t="shared" si="238"/>
        <v>0</v>
      </c>
      <c r="BE229" s="55">
        <f t="shared" si="238"/>
        <v>0</v>
      </c>
      <c r="BF229" s="55">
        <f t="shared" si="238"/>
        <v>0</v>
      </c>
      <c r="BG229" s="55">
        <f t="shared" si="238"/>
        <v>0</v>
      </c>
      <c r="BH229" s="55">
        <f t="shared" si="238"/>
        <v>0</v>
      </c>
      <c r="BI229" s="55">
        <f t="shared" si="238"/>
        <v>0</v>
      </c>
      <c r="BJ229" s="55">
        <f t="shared" si="238"/>
        <v>0</v>
      </c>
    </row>
    <row r="230" spans="1:62" x14ac:dyDescent="0.3">
      <c r="A230" s="53" t="str">
        <f t="shared" si="234"/>
        <v>project 213</v>
      </c>
      <c r="C230" s="55">
        <f t="shared" ref="C230:AH230" si="239">IF(AND(C$127&gt;=$I122,C$127&lt;$I122+$F122),INDEX($T122:$AI122,C$127-$I122+1),0)</f>
        <v>0</v>
      </c>
      <c r="D230" s="55">
        <f t="shared" si="239"/>
        <v>0</v>
      </c>
      <c r="E230" s="55">
        <f t="shared" si="239"/>
        <v>0</v>
      </c>
      <c r="F230" s="55">
        <f t="shared" si="239"/>
        <v>0</v>
      </c>
      <c r="G230" s="55">
        <f t="shared" si="239"/>
        <v>0</v>
      </c>
      <c r="H230" s="55">
        <f t="shared" si="239"/>
        <v>0</v>
      </c>
      <c r="I230" s="55">
        <f t="shared" si="239"/>
        <v>0</v>
      </c>
      <c r="J230" s="55">
        <f t="shared" si="239"/>
        <v>0</v>
      </c>
      <c r="K230" s="55">
        <f t="shared" si="239"/>
        <v>0</v>
      </c>
      <c r="L230" s="55">
        <f t="shared" si="239"/>
        <v>0</v>
      </c>
      <c r="M230" s="55">
        <f t="shared" si="239"/>
        <v>2.8840999999999999E-2</v>
      </c>
      <c r="N230" s="55">
        <f t="shared" si="239"/>
        <v>1.4138235294117649E-2</v>
      </c>
      <c r="O230" s="55">
        <f t="shared" si="239"/>
        <v>0</v>
      </c>
      <c r="P230" s="55">
        <f t="shared" si="239"/>
        <v>0</v>
      </c>
      <c r="Q230" s="55">
        <f t="shared" si="239"/>
        <v>0</v>
      </c>
      <c r="R230" s="55">
        <f t="shared" si="239"/>
        <v>0</v>
      </c>
      <c r="S230" s="55">
        <f t="shared" si="239"/>
        <v>0</v>
      </c>
      <c r="T230" s="55">
        <f t="shared" si="239"/>
        <v>0</v>
      </c>
      <c r="U230" s="55">
        <f t="shared" si="239"/>
        <v>0</v>
      </c>
      <c r="V230" s="55">
        <f t="shared" si="239"/>
        <v>0</v>
      </c>
      <c r="W230" s="55">
        <f t="shared" si="239"/>
        <v>0</v>
      </c>
      <c r="X230" s="55">
        <f t="shared" si="239"/>
        <v>0</v>
      </c>
      <c r="Y230" s="55">
        <f t="shared" si="239"/>
        <v>0</v>
      </c>
      <c r="Z230" s="55">
        <f t="shared" si="239"/>
        <v>0</v>
      </c>
      <c r="AA230" s="55">
        <f t="shared" si="239"/>
        <v>0</v>
      </c>
      <c r="AB230" s="55">
        <f t="shared" si="239"/>
        <v>0</v>
      </c>
      <c r="AC230" s="55">
        <f t="shared" si="239"/>
        <v>0</v>
      </c>
      <c r="AD230" s="55">
        <f t="shared" si="239"/>
        <v>0</v>
      </c>
      <c r="AE230" s="55">
        <f t="shared" si="239"/>
        <v>0</v>
      </c>
      <c r="AF230" s="55">
        <f t="shared" si="239"/>
        <v>0</v>
      </c>
      <c r="AG230" s="55">
        <f t="shared" si="239"/>
        <v>0</v>
      </c>
      <c r="AH230" s="55">
        <f t="shared" si="239"/>
        <v>0</v>
      </c>
      <c r="AI230" s="55">
        <f t="shared" ref="AI230:BJ230" si="240">IF(AND(AI$127&gt;=$I122,AI$127&lt;$I122+$F122),INDEX($T122:$AI122,AI$127-$I122+1),0)</f>
        <v>0</v>
      </c>
      <c r="AJ230" s="55">
        <f t="shared" si="240"/>
        <v>0</v>
      </c>
      <c r="AK230" s="55">
        <f t="shared" si="240"/>
        <v>0</v>
      </c>
      <c r="AL230" s="55">
        <f t="shared" si="240"/>
        <v>0</v>
      </c>
      <c r="AM230" s="55">
        <f t="shared" si="240"/>
        <v>0</v>
      </c>
      <c r="AN230" s="55">
        <f t="shared" si="240"/>
        <v>0</v>
      </c>
      <c r="AO230" s="55">
        <f t="shared" si="240"/>
        <v>0</v>
      </c>
      <c r="AP230" s="55">
        <f t="shared" si="240"/>
        <v>0</v>
      </c>
      <c r="AQ230" s="55">
        <f t="shared" si="240"/>
        <v>0</v>
      </c>
      <c r="AR230" s="55">
        <f t="shared" si="240"/>
        <v>0</v>
      </c>
      <c r="AS230" s="55">
        <f t="shared" si="240"/>
        <v>0</v>
      </c>
      <c r="AT230" s="55">
        <f t="shared" si="240"/>
        <v>0</v>
      </c>
      <c r="AU230" s="55">
        <f t="shared" si="240"/>
        <v>0</v>
      </c>
      <c r="AV230" s="55">
        <f t="shared" si="240"/>
        <v>0</v>
      </c>
      <c r="AW230" s="55">
        <f t="shared" si="240"/>
        <v>0</v>
      </c>
      <c r="AX230" s="55">
        <f t="shared" si="240"/>
        <v>0</v>
      </c>
      <c r="AY230" s="55">
        <f t="shared" si="240"/>
        <v>0</v>
      </c>
      <c r="AZ230" s="55">
        <f t="shared" si="240"/>
        <v>0</v>
      </c>
      <c r="BA230" s="55">
        <f t="shared" si="240"/>
        <v>0</v>
      </c>
      <c r="BB230" s="55">
        <f t="shared" si="240"/>
        <v>0</v>
      </c>
      <c r="BC230" s="55">
        <f t="shared" si="240"/>
        <v>0</v>
      </c>
      <c r="BD230" s="55">
        <f t="shared" si="240"/>
        <v>0</v>
      </c>
      <c r="BE230" s="55">
        <f t="shared" si="240"/>
        <v>0</v>
      </c>
      <c r="BF230" s="55">
        <f t="shared" si="240"/>
        <v>0</v>
      </c>
      <c r="BG230" s="55">
        <f t="shared" si="240"/>
        <v>0</v>
      </c>
      <c r="BH230" s="55">
        <f t="shared" si="240"/>
        <v>0</v>
      </c>
      <c r="BI230" s="55">
        <f t="shared" si="240"/>
        <v>0</v>
      </c>
      <c r="BJ230" s="55">
        <f t="shared" si="240"/>
        <v>0</v>
      </c>
    </row>
    <row r="231" spans="1:62" x14ac:dyDescent="0.3">
      <c r="A231" s="53" t="str">
        <f t="shared" si="234"/>
        <v>project 218</v>
      </c>
      <c r="C231" s="55">
        <f t="shared" ref="C231:AH231" si="241">IF(AND(C$127&gt;=$I123,C$127&lt;$I123+$F123),INDEX($T123:$AI123,C$127-$I123+1),0)</f>
        <v>0</v>
      </c>
      <c r="D231" s="55">
        <f t="shared" si="241"/>
        <v>0</v>
      </c>
      <c r="E231" s="55">
        <f t="shared" si="241"/>
        <v>0</v>
      </c>
      <c r="F231" s="55">
        <f t="shared" si="241"/>
        <v>0.56036139946174557</v>
      </c>
      <c r="G231" s="55">
        <f t="shared" si="241"/>
        <v>3.9954466984794679</v>
      </c>
      <c r="H231" s="55">
        <f t="shared" si="241"/>
        <v>4.4557064897258787</v>
      </c>
      <c r="I231" s="55">
        <f t="shared" si="241"/>
        <v>0</v>
      </c>
      <c r="J231" s="55">
        <f t="shared" si="241"/>
        <v>0</v>
      </c>
      <c r="K231" s="55">
        <f t="shared" si="241"/>
        <v>0</v>
      </c>
      <c r="L231" s="55">
        <f t="shared" si="241"/>
        <v>0</v>
      </c>
      <c r="M231" s="55">
        <f t="shared" si="241"/>
        <v>0</v>
      </c>
      <c r="N231" s="55">
        <f t="shared" si="241"/>
        <v>0</v>
      </c>
      <c r="O231" s="55">
        <f t="shared" si="241"/>
        <v>0</v>
      </c>
      <c r="P231" s="55">
        <f t="shared" si="241"/>
        <v>0</v>
      </c>
      <c r="Q231" s="55">
        <f t="shared" si="241"/>
        <v>0</v>
      </c>
      <c r="R231" s="55">
        <f t="shared" si="241"/>
        <v>0</v>
      </c>
      <c r="S231" s="55">
        <f t="shared" si="241"/>
        <v>0</v>
      </c>
      <c r="T231" s="55">
        <f t="shared" si="241"/>
        <v>0</v>
      </c>
      <c r="U231" s="55">
        <f t="shared" si="241"/>
        <v>0</v>
      </c>
      <c r="V231" s="55">
        <f t="shared" si="241"/>
        <v>0</v>
      </c>
      <c r="W231" s="55">
        <f t="shared" si="241"/>
        <v>0</v>
      </c>
      <c r="X231" s="55">
        <f t="shared" si="241"/>
        <v>0</v>
      </c>
      <c r="Y231" s="55">
        <f t="shared" si="241"/>
        <v>0</v>
      </c>
      <c r="Z231" s="55">
        <f t="shared" si="241"/>
        <v>0</v>
      </c>
      <c r="AA231" s="55">
        <f t="shared" si="241"/>
        <v>0</v>
      </c>
      <c r="AB231" s="55">
        <f t="shared" si="241"/>
        <v>0</v>
      </c>
      <c r="AC231" s="55">
        <f t="shared" si="241"/>
        <v>0</v>
      </c>
      <c r="AD231" s="55">
        <f t="shared" si="241"/>
        <v>0</v>
      </c>
      <c r="AE231" s="55">
        <f t="shared" si="241"/>
        <v>0</v>
      </c>
      <c r="AF231" s="55">
        <f t="shared" si="241"/>
        <v>0</v>
      </c>
      <c r="AG231" s="55">
        <f t="shared" si="241"/>
        <v>0</v>
      </c>
      <c r="AH231" s="55">
        <f t="shared" si="241"/>
        <v>0</v>
      </c>
      <c r="AI231" s="55">
        <f t="shared" ref="AI231:BJ231" si="242">IF(AND(AI$127&gt;=$I123,AI$127&lt;$I123+$F123),INDEX($T123:$AI123,AI$127-$I123+1),0)</f>
        <v>0</v>
      </c>
      <c r="AJ231" s="55">
        <f t="shared" si="242"/>
        <v>0</v>
      </c>
      <c r="AK231" s="55">
        <f t="shared" si="242"/>
        <v>0</v>
      </c>
      <c r="AL231" s="55">
        <f t="shared" si="242"/>
        <v>0</v>
      </c>
      <c r="AM231" s="55">
        <f t="shared" si="242"/>
        <v>0</v>
      </c>
      <c r="AN231" s="55">
        <f t="shared" si="242"/>
        <v>0</v>
      </c>
      <c r="AO231" s="55">
        <f t="shared" si="242"/>
        <v>0</v>
      </c>
      <c r="AP231" s="55">
        <f t="shared" si="242"/>
        <v>0</v>
      </c>
      <c r="AQ231" s="55">
        <f t="shared" si="242"/>
        <v>0</v>
      </c>
      <c r="AR231" s="55">
        <f t="shared" si="242"/>
        <v>0</v>
      </c>
      <c r="AS231" s="55">
        <f t="shared" si="242"/>
        <v>0</v>
      </c>
      <c r="AT231" s="55">
        <f t="shared" si="242"/>
        <v>0</v>
      </c>
      <c r="AU231" s="55">
        <f t="shared" si="242"/>
        <v>0</v>
      </c>
      <c r="AV231" s="55">
        <f t="shared" si="242"/>
        <v>0</v>
      </c>
      <c r="AW231" s="55">
        <f t="shared" si="242"/>
        <v>0</v>
      </c>
      <c r="AX231" s="55">
        <f t="shared" si="242"/>
        <v>0</v>
      </c>
      <c r="AY231" s="55">
        <f t="shared" si="242"/>
        <v>0</v>
      </c>
      <c r="AZ231" s="55">
        <f t="shared" si="242"/>
        <v>0</v>
      </c>
      <c r="BA231" s="55">
        <f t="shared" si="242"/>
        <v>0</v>
      </c>
      <c r="BB231" s="55">
        <f t="shared" si="242"/>
        <v>0</v>
      </c>
      <c r="BC231" s="55">
        <f t="shared" si="242"/>
        <v>0</v>
      </c>
      <c r="BD231" s="55">
        <f t="shared" si="242"/>
        <v>0</v>
      </c>
      <c r="BE231" s="55">
        <f t="shared" si="242"/>
        <v>0</v>
      </c>
      <c r="BF231" s="55">
        <f t="shared" si="242"/>
        <v>0</v>
      </c>
      <c r="BG231" s="55">
        <f t="shared" si="242"/>
        <v>0</v>
      </c>
      <c r="BH231" s="55">
        <f t="shared" si="242"/>
        <v>0</v>
      </c>
      <c r="BI231" s="55">
        <f t="shared" si="242"/>
        <v>0</v>
      </c>
      <c r="BJ231" s="55">
        <f t="shared" si="242"/>
        <v>0</v>
      </c>
    </row>
    <row r="232" spans="1:62" x14ac:dyDescent="0.3">
      <c r="A232" s="4" t="s">
        <v>251</v>
      </c>
      <c r="C232" s="30">
        <f t="shared" ref="C232:AH232" si="243">SUM(C132:C231)</f>
        <v>175.04640100880513</v>
      </c>
      <c r="D232" s="30">
        <f t="shared" si="243"/>
        <v>238.6798007537453</v>
      </c>
      <c r="E232" s="30">
        <f t="shared" si="243"/>
        <v>215.05953221802514</v>
      </c>
      <c r="F232" s="30">
        <f t="shared" si="243"/>
        <v>203.32859751460893</v>
      </c>
      <c r="G232" s="30">
        <f t="shared" si="243"/>
        <v>217.90025562174398</v>
      </c>
      <c r="H232" s="30">
        <f t="shared" si="243"/>
        <v>181.27902926386506</v>
      </c>
      <c r="I232" s="30">
        <f t="shared" si="243"/>
        <v>238.61250254446745</v>
      </c>
      <c r="J232" s="30">
        <f t="shared" si="243"/>
        <v>183.70026897912894</v>
      </c>
      <c r="K232" s="30">
        <f t="shared" si="243"/>
        <v>202.70751481761113</v>
      </c>
      <c r="L232" s="30">
        <f t="shared" si="243"/>
        <v>208.27311621483796</v>
      </c>
      <c r="M232" s="30">
        <f t="shared" si="243"/>
        <v>215.27210899928463</v>
      </c>
      <c r="N232" s="30">
        <f t="shared" si="243"/>
        <v>204.66623770166944</v>
      </c>
      <c r="O232" s="30">
        <f t="shared" si="243"/>
        <v>211.03470417285436</v>
      </c>
      <c r="P232" s="30">
        <f t="shared" si="243"/>
        <v>199.75648579823752</v>
      </c>
      <c r="Q232" s="30">
        <f t="shared" si="243"/>
        <v>215.64297134043679</v>
      </c>
      <c r="R232" s="30">
        <f t="shared" si="243"/>
        <v>249.05070049942373</v>
      </c>
      <c r="S232" s="30">
        <f t="shared" si="243"/>
        <v>173.32969044943226</v>
      </c>
      <c r="T232" s="30">
        <f t="shared" si="243"/>
        <v>201.97774483970028</v>
      </c>
      <c r="U232" s="30">
        <f t="shared" si="243"/>
        <v>94.329272976126987</v>
      </c>
      <c r="V232" s="30">
        <f t="shared" si="243"/>
        <v>0</v>
      </c>
      <c r="W232" s="30">
        <f t="shared" si="243"/>
        <v>0</v>
      </c>
      <c r="X232" s="30">
        <f t="shared" si="243"/>
        <v>0</v>
      </c>
      <c r="Y232" s="30">
        <f t="shared" si="243"/>
        <v>0</v>
      </c>
      <c r="Z232" s="30">
        <f t="shared" si="243"/>
        <v>0</v>
      </c>
      <c r="AA232" s="30">
        <f t="shared" si="243"/>
        <v>0</v>
      </c>
      <c r="AB232" s="30">
        <f t="shared" si="243"/>
        <v>0</v>
      </c>
      <c r="AC232" s="30">
        <f t="shared" si="243"/>
        <v>0</v>
      </c>
      <c r="AD232" s="30">
        <f t="shared" si="243"/>
        <v>0</v>
      </c>
      <c r="AE232" s="30">
        <f t="shared" si="243"/>
        <v>0</v>
      </c>
      <c r="AF232" s="30">
        <f t="shared" si="243"/>
        <v>0</v>
      </c>
      <c r="AG232" s="30">
        <f t="shared" si="243"/>
        <v>0</v>
      </c>
      <c r="AH232" s="30">
        <f t="shared" si="243"/>
        <v>0</v>
      </c>
      <c r="AI232" s="30">
        <f t="shared" ref="AI232:BN232" si="244">SUM(AI132:AI231)</f>
        <v>0</v>
      </c>
      <c r="AJ232" s="30">
        <f t="shared" si="244"/>
        <v>0</v>
      </c>
      <c r="AK232" s="30">
        <f t="shared" si="244"/>
        <v>0</v>
      </c>
      <c r="AL232" s="30">
        <f t="shared" si="244"/>
        <v>0</v>
      </c>
      <c r="AM232" s="30">
        <f t="shared" si="244"/>
        <v>0</v>
      </c>
      <c r="AN232" s="30">
        <f t="shared" si="244"/>
        <v>0</v>
      </c>
      <c r="AO232" s="30">
        <f t="shared" si="244"/>
        <v>0</v>
      </c>
      <c r="AP232" s="30">
        <f t="shared" si="244"/>
        <v>0</v>
      </c>
      <c r="AQ232" s="30">
        <f t="shared" si="244"/>
        <v>0</v>
      </c>
      <c r="AR232" s="30">
        <f t="shared" si="244"/>
        <v>0</v>
      </c>
      <c r="AS232" s="30">
        <f t="shared" si="244"/>
        <v>0</v>
      </c>
      <c r="AT232" s="30">
        <f t="shared" si="244"/>
        <v>0</v>
      </c>
      <c r="AU232" s="30">
        <f t="shared" si="244"/>
        <v>0</v>
      </c>
      <c r="AV232" s="30">
        <f t="shared" si="244"/>
        <v>0</v>
      </c>
      <c r="AW232" s="30">
        <f t="shared" si="244"/>
        <v>0</v>
      </c>
      <c r="AX232" s="30">
        <f t="shared" si="244"/>
        <v>0</v>
      </c>
      <c r="AY232" s="30">
        <f t="shared" si="244"/>
        <v>0</v>
      </c>
      <c r="AZ232" s="30">
        <f t="shared" si="244"/>
        <v>0</v>
      </c>
      <c r="BA232" s="30">
        <f t="shared" si="244"/>
        <v>0</v>
      </c>
      <c r="BB232" s="30">
        <f t="shared" si="244"/>
        <v>0</v>
      </c>
      <c r="BC232" s="30">
        <f t="shared" si="244"/>
        <v>0</v>
      </c>
      <c r="BD232" s="30">
        <f t="shared" si="244"/>
        <v>0</v>
      </c>
      <c r="BE232" s="30">
        <f t="shared" si="244"/>
        <v>0</v>
      </c>
      <c r="BF232" s="30">
        <f t="shared" si="244"/>
        <v>0</v>
      </c>
      <c r="BG232" s="30">
        <f t="shared" si="244"/>
        <v>0</v>
      </c>
      <c r="BH232" s="30">
        <f t="shared" si="244"/>
        <v>0</v>
      </c>
      <c r="BI232" s="30">
        <f t="shared" si="244"/>
        <v>0</v>
      </c>
      <c r="BJ232" s="30">
        <f t="shared" si="244"/>
        <v>0</v>
      </c>
    </row>
    <row r="234" spans="1:62" x14ac:dyDescent="0.3">
      <c r="A234" s="4" t="s">
        <v>252</v>
      </c>
    </row>
    <row r="235" spans="1:62" x14ac:dyDescent="0.3">
      <c r="A235" s="53" t="str">
        <f t="shared" ref="A235:A266" si="245">A24</f>
        <v>project 1</v>
      </c>
      <c r="C235" s="55">
        <f t="shared" ref="C235:AH235" si="246">IF(AND(C$127&gt;=$K24,C$127&lt;=$L24),$G24*(1+$H24)^(C$127-$B$5),0)</f>
        <v>0</v>
      </c>
      <c r="D235" s="55">
        <f t="shared" si="246"/>
        <v>0</v>
      </c>
      <c r="E235" s="55">
        <f t="shared" si="246"/>
        <v>0</v>
      </c>
      <c r="F235" s="55">
        <f t="shared" si="246"/>
        <v>0</v>
      </c>
      <c r="G235" s="55">
        <f t="shared" si="246"/>
        <v>0</v>
      </c>
      <c r="H235" s="55">
        <f t="shared" si="246"/>
        <v>0</v>
      </c>
      <c r="I235" s="55">
        <f t="shared" si="246"/>
        <v>0</v>
      </c>
      <c r="J235" s="55">
        <f t="shared" si="246"/>
        <v>0</v>
      </c>
      <c r="K235" s="55">
        <f t="shared" si="246"/>
        <v>0</v>
      </c>
      <c r="L235" s="55">
        <f t="shared" si="246"/>
        <v>0</v>
      </c>
      <c r="M235" s="55">
        <f t="shared" si="246"/>
        <v>0</v>
      </c>
      <c r="N235" s="55">
        <f t="shared" si="246"/>
        <v>0</v>
      </c>
      <c r="O235" s="55">
        <f t="shared" si="246"/>
        <v>0</v>
      </c>
      <c r="P235" s="55">
        <f t="shared" si="246"/>
        <v>0</v>
      </c>
      <c r="Q235" s="55">
        <f t="shared" si="246"/>
        <v>0</v>
      </c>
      <c r="R235" s="55">
        <f t="shared" si="246"/>
        <v>0</v>
      </c>
      <c r="S235" s="55">
        <f t="shared" si="246"/>
        <v>0</v>
      </c>
      <c r="T235" s="55">
        <f t="shared" si="246"/>
        <v>0</v>
      </c>
      <c r="U235" s="55">
        <f t="shared" si="246"/>
        <v>0</v>
      </c>
      <c r="V235" s="55">
        <f t="shared" si="246"/>
        <v>16.820479689947295</v>
      </c>
      <c r="W235" s="55">
        <f t="shared" si="246"/>
        <v>17.325094080645712</v>
      </c>
      <c r="X235" s="55">
        <f t="shared" si="246"/>
        <v>17.844846903065083</v>
      </c>
      <c r="Y235" s="55">
        <f t="shared" si="246"/>
        <v>18.380192310157035</v>
      </c>
      <c r="Z235" s="55">
        <f t="shared" si="246"/>
        <v>18.931598079461747</v>
      </c>
      <c r="AA235" s="55">
        <f t="shared" si="246"/>
        <v>19.499546021845596</v>
      </c>
      <c r="AB235" s="55">
        <f t="shared" si="246"/>
        <v>20.084532402500965</v>
      </c>
      <c r="AC235" s="55">
        <f t="shared" si="246"/>
        <v>20.687068374575997</v>
      </c>
      <c r="AD235" s="55">
        <f t="shared" si="246"/>
        <v>21.307680425813274</v>
      </c>
      <c r="AE235" s="55">
        <f t="shared" si="246"/>
        <v>21.946910838587673</v>
      </c>
      <c r="AF235" s="55">
        <f t="shared" si="246"/>
        <v>22.605318163745299</v>
      </c>
      <c r="AG235" s="55">
        <f t="shared" si="246"/>
        <v>23.28347770865766</v>
      </c>
      <c r="AH235" s="55">
        <f t="shared" si="246"/>
        <v>23.981982039917394</v>
      </c>
      <c r="AI235" s="55">
        <f t="shared" ref="AI235:BJ235" si="247">IF(AND(AI$127&gt;=$K24,AI$127&lt;=$L24),$G24*(1+$H24)^(AI$127-$B$5),0)</f>
        <v>24.70144150111491</v>
      </c>
      <c r="AJ235" s="55">
        <f t="shared" si="247"/>
        <v>25.442484746148359</v>
      </c>
      <c r="AK235" s="55">
        <f t="shared" si="247"/>
        <v>26.205759288532803</v>
      </c>
      <c r="AL235" s="55">
        <f t="shared" si="247"/>
        <v>26.991932067188795</v>
      </c>
      <c r="AM235" s="55">
        <f t="shared" si="247"/>
        <v>27.801690029204455</v>
      </c>
      <c r="AN235" s="55">
        <f t="shared" si="247"/>
        <v>28.635740730080585</v>
      </c>
      <c r="AO235" s="55">
        <f t="shared" si="247"/>
        <v>29.494812951983004</v>
      </c>
      <c r="AP235" s="55">
        <f t="shared" si="247"/>
        <v>30.379657340542497</v>
      </c>
      <c r="AQ235" s="55">
        <f t="shared" si="247"/>
        <v>31.291047060758768</v>
      </c>
      <c r="AR235" s="55">
        <f t="shared" si="247"/>
        <v>32.229778472581529</v>
      </c>
      <c r="AS235" s="55">
        <f t="shared" si="247"/>
        <v>33.19667182675898</v>
      </c>
      <c r="AT235" s="55">
        <f t="shared" si="247"/>
        <v>34.192571981561748</v>
      </c>
      <c r="AU235" s="55">
        <f t="shared" si="247"/>
        <v>35.218349141008595</v>
      </c>
      <c r="AV235" s="55">
        <f t="shared" si="247"/>
        <v>36.274899615238851</v>
      </c>
      <c r="AW235" s="55">
        <f t="shared" si="247"/>
        <v>37.363146603696023</v>
      </c>
      <c r="AX235" s="55">
        <f t="shared" si="247"/>
        <v>38.484041001806908</v>
      </c>
      <c r="AY235" s="55">
        <f t="shared" si="247"/>
        <v>39.638562231861108</v>
      </c>
      <c r="AZ235" s="55">
        <f t="shared" si="247"/>
        <v>40.827719098816935</v>
      </c>
      <c r="BA235" s="55">
        <f t="shared" si="247"/>
        <v>42.052550671781447</v>
      </c>
      <c r="BB235" s="55">
        <f t="shared" si="247"/>
        <v>43.314127191934887</v>
      </c>
      <c r="BC235" s="55">
        <f t="shared" si="247"/>
        <v>44.613551007692934</v>
      </c>
      <c r="BD235" s="55">
        <f t="shared" si="247"/>
        <v>45.951957537923718</v>
      </c>
      <c r="BE235" s="55">
        <f t="shared" si="247"/>
        <v>47.33051626406143</v>
      </c>
      <c r="BF235" s="55">
        <f t="shared" si="247"/>
        <v>48.750431751983278</v>
      </c>
      <c r="BG235" s="55">
        <f t="shared" si="247"/>
        <v>50.212944704542764</v>
      </c>
      <c r="BH235" s="55">
        <f t="shared" si="247"/>
        <v>51.719333045679058</v>
      </c>
      <c r="BI235" s="55">
        <f t="shared" si="247"/>
        <v>53.270913037049425</v>
      </c>
      <c r="BJ235" s="55">
        <f t="shared" si="247"/>
        <v>0</v>
      </c>
    </row>
    <row r="236" spans="1:62" x14ac:dyDescent="0.3">
      <c r="A236" s="53" t="str">
        <f t="shared" si="245"/>
        <v>project 4</v>
      </c>
      <c r="C236" s="55">
        <f t="shared" ref="C236:AH236" si="248">IF(AND(C$127&gt;=$K25,C$127&lt;=$L25),$G25*(1+$H25)^(C$127-$B$5),0)</f>
        <v>0</v>
      </c>
      <c r="D236" s="55">
        <f t="shared" si="248"/>
        <v>0</v>
      </c>
      <c r="E236" s="55">
        <f t="shared" si="248"/>
        <v>0.28735815502440226</v>
      </c>
      <c r="F236" s="55">
        <f t="shared" si="248"/>
        <v>0.29143864082574877</v>
      </c>
      <c r="G236" s="55">
        <f t="shared" si="248"/>
        <v>0.29557706952547441</v>
      </c>
      <c r="H236" s="55">
        <f t="shared" si="248"/>
        <v>0.29977426391273615</v>
      </c>
      <c r="I236" s="55">
        <f t="shared" si="248"/>
        <v>0.30403105846029699</v>
      </c>
      <c r="J236" s="55">
        <f t="shared" si="248"/>
        <v>0.30834829949043324</v>
      </c>
      <c r="K236" s="55">
        <f t="shared" si="248"/>
        <v>0.31272684534319733</v>
      </c>
      <c r="L236" s="55">
        <f t="shared" si="248"/>
        <v>0.31716756654707073</v>
      </c>
      <c r="M236" s="55">
        <f t="shared" si="248"/>
        <v>0.32167134599203917</v>
      </c>
      <c r="N236" s="55">
        <f t="shared" si="248"/>
        <v>0.32623907910512612</v>
      </c>
      <c r="O236" s="55">
        <f t="shared" si="248"/>
        <v>0.33087167402841894</v>
      </c>
      <c r="P236" s="55">
        <f t="shared" si="248"/>
        <v>0.33557005179962246</v>
      </c>
      <c r="Q236" s="55">
        <f t="shared" si="248"/>
        <v>0.34033514653517705</v>
      </c>
      <c r="R236" s="55">
        <f t="shared" si="248"/>
        <v>0.34516790561597666</v>
      </c>
      <c r="S236" s="55">
        <f t="shared" si="248"/>
        <v>0.35006928987572344</v>
      </c>
      <c r="T236" s="55">
        <f t="shared" si="248"/>
        <v>0.35504027379195868</v>
      </c>
      <c r="U236" s="55">
        <f t="shared" si="248"/>
        <v>0.3600818456798045</v>
      </c>
      <c r="V236" s="55">
        <f t="shared" si="248"/>
        <v>0.36519500788845771</v>
      </c>
      <c r="W236" s="55">
        <f t="shared" si="248"/>
        <v>0.37038077700047389</v>
      </c>
      <c r="X236" s="55">
        <f t="shared" si="248"/>
        <v>0.37564018403388061</v>
      </c>
      <c r="Y236" s="55">
        <f t="shared" si="248"/>
        <v>0.38097427464716177</v>
      </c>
      <c r="Z236" s="55">
        <f t="shared" si="248"/>
        <v>0.38638410934715139</v>
      </c>
      <c r="AA236" s="55">
        <f t="shared" si="248"/>
        <v>0.39187076369988094</v>
      </c>
      <c r="AB236" s="55">
        <f t="shared" si="248"/>
        <v>0.39743532854441926</v>
      </c>
      <c r="AC236" s="55">
        <f t="shared" si="248"/>
        <v>0.40307891020975001</v>
      </c>
      <c r="AD236" s="55">
        <f t="shared" si="248"/>
        <v>0.4088026307347285</v>
      </c>
      <c r="AE236" s="55">
        <f t="shared" si="248"/>
        <v>0.41460762809116158</v>
      </c>
      <c r="AF236" s="55">
        <f t="shared" si="248"/>
        <v>0.42049505641005608</v>
      </c>
      <c r="AG236" s="55">
        <f t="shared" si="248"/>
        <v>0.4264660862110789</v>
      </c>
      <c r="AH236" s="55">
        <f t="shared" si="248"/>
        <v>0.43252190463527629</v>
      </c>
      <c r="AI236" s="55">
        <f t="shared" ref="AI236:BJ236" si="249">IF(AND(AI$127&gt;=$K25,AI$127&lt;=$L25),$G25*(1+$H25)^(AI$127-$B$5),0)</f>
        <v>0.43866371568109713</v>
      </c>
      <c r="AJ236" s="55">
        <f t="shared" si="249"/>
        <v>0.4448927404437687</v>
      </c>
      <c r="AK236" s="55">
        <f t="shared" si="249"/>
        <v>0.45121021735807021</v>
      </c>
      <c r="AL236" s="55">
        <f t="shared" si="249"/>
        <v>0.45761740244455479</v>
      </c>
      <c r="AM236" s="55">
        <f t="shared" si="249"/>
        <v>0.46411556955926753</v>
      </c>
      <c r="AN236" s="55">
        <f t="shared" si="249"/>
        <v>0.47070601064700912</v>
      </c>
      <c r="AO236" s="55">
        <f t="shared" si="249"/>
        <v>0.47739003599819668</v>
      </c>
      <c r="AP236" s="55">
        <f t="shared" si="249"/>
        <v>0.48416897450937108</v>
      </c>
      <c r="AQ236" s="55">
        <f t="shared" si="249"/>
        <v>0.49104417394740407</v>
      </c>
      <c r="AR236" s="55">
        <f t="shared" si="249"/>
        <v>0.49801700121745723</v>
      </c>
      <c r="AS236" s="55">
        <f t="shared" si="249"/>
        <v>0</v>
      </c>
      <c r="AT236" s="55">
        <f t="shared" si="249"/>
        <v>0</v>
      </c>
      <c r="AU236" s="55">
        <f t="shared" si="249"/>
        <v>0</v>
      </c>
      <c r="AV236" s="55">
        <f t="shared" si="249"/>
        <v>0</v>
      </c>
      <c r="AW236" s="55">
        <f t="shared" si="249"/>
        <v>0</v>
      </c>
      <c r="AX236" s="55">
        <f t="shared" si="249"/>
        <v>0</v>
      </c>
      <c r="AY236" s="55">
        <f t="shared" si="249"/>
        <v>0</v>
      </c>
      <c r="AZ236" s="55">
        <f t="shared" si="249"/>
        <v>0</v>
      </c>
      <c r="BA236" s="55">
        <f t="shared" si="249"/>
        <v>0</v>
      </c>
      <c r="BB236" s="55">
        <f t="shared" si="249"/>
        <v>0</v>
      </c>
      <c r="BC236" s="55">
        <f t="shared" si="249"/>
        <v>0</v>
      </c>
      <c r="BD236" s="55">
        <f t="shared" si="249"/>
        <v>0</v>
      </c>
      <c r="BE236" s="55">
        <f t="shared" si="249"/>
        <v>0</v>
      </c>
      <c r="BF236" s="55">
        <f t="shared" si="249"/>
        <v>0</v>
      </c>
      <c r="BG236" s="55">
        <f t="shared" si="249"/>
        <v>0</v>
      </c>
      <c r="BH236" s="55">
        <f t="shared" si="249"/>
        <v>0</v>
      </c>
      <c r="BI236" s="55">
        <f t="shared" si="249"/>
        <v>0</v>
      </c>
      <c r="BJ236" s="55">
        <f t="shared" si="249"/>
        <v>0</v>
      </c>
    </row>
    <row r="237" spans="1:62" x14ac:dyDescent="0.3">
      <c r="A237" s="53" t="str">
        <f t="shared" si="245"/>
        <v>project 7</v>
      </c>
      <c r="C237" s="55">
        <f t="shared" ref="C237:AH237" si="250">IF(AND(C$127&gt;=$K26,C$127&lt;=$L26),$G26*(1+$H26)^(C$127-$B$5),0)</f>
        <v>0</v>
      </c>
      <c r="D237" s="55">
        <f t="shared" si="250"/>
        <v>0</v>
      </c>
      <c r="E237" s="55">
        <f t="shared" si="250"/>
        <v>0</v>
      </c>
      <c r="F237" s="55">
        <f t="shared" si="250"/>
        <v>0</v>
      </c>
      <c r="G237" s="55">
        <f t="shared" si="250"/>
        <v>0</v>
      </c>
      <c r="H237" s="55">
        <f t="shared" si="250"/>
        <v>0</v>
      </c>
      <c r="I237" s="55">
        <f t="shared" si="250"/>
        <v>0</v>
      </c>
      <c r="J237" s="55">
        <f t="shared" si="250"/>
        <v>0</v>
      </c>
      <c r="K237" s="55">
        <f t="shared" si="250"/>
        <v>0</v>
      </c>
      <c r="L237" s="55">
        <f t="shared" si="250"/>
        <v>0</v>
      </c>
      <c r="M237" s="55">
        <f t="shared" si="250"/>
        <v>0</v>
      </c>
      <c r="N237" s="55">
        <f t="shared" si="250"/>
        <v>0</v>
      </c>
      <c r="O237" s="55">
        <f t="shared" si="250"/>
        <v>0</v>
      </c>
      <c r="P237" s="55">
        <f t="shared" si="250"/>
        <v>0.58693403442891434</v>
      </c>
      <c r="Q237" s="55">
        <f t="shared" si="250"/>
        <v>0.60389642802390997</v>
      </c>
      <c r="R237" s="55">
        <f t="shared" si="250"/>
        <v>0.62134903479380077</v>
      </c>
      <c r="S237" s="55">
        <f t="shared" si="250"/>
        <v>0.63930602189934171</v>
      </c>
      <c r="T237" s="55">
        <f t="shared" si="250"/>
        <v>0.65778196593223259</v>
      </c>
      <c r="U237" s="55">
        <f t="shared" si="250"/>
        <v>0.67679186474767405</v>
      </c>
      <c r="V237" s="55">
        <f t="shared" si="250"/>
        <v>0.69635114963888178</v>
      </c>
      <c r="W237" s="55">
        <f t="shared" si="250"/>
        <v>0.71647569786344545</v>
      </c>
      <c r="X237" s="55">
        <f t="shared" si="250"/>
        <v>0.73718184553169896</v>
      </c>
      <c r="Y237" s="55">
        <f t="shared" si="250"/>
        <v>0.75848640086756502</v>
      </c>
      <c r="Z237" s="55">
        <f t="shared" si="250"/>
        <v>0.78040665785263763</v>
      </c>
      <c r="AA237" s="55">
        <f t="shared" si="250"/>
        <v>0.80296041026457887</v>
      </c>
      <c r="AB237" s="55">
        <f t="shared" si="250"/>
        <v>0.82616596612122506</v>
      </c>
      <c r="AC237" s="55">
        <f t="shared" si="250"/>
        <v>0.85004216254212839</v>
      </c>
      <c r="AD237" s="55">
        <f t="shared" si="250"/>
        <v>0.87460838103959582</v>
      </c>
      <c r="AE237" s="55">
        <f t="shared" si="250"/>
        <v>0.89988456325164001</v>
      </c>
      <c r="AF237" s="55">
        <f t="shared" si="250"/>
        <v>0.92589122712961247</v>
      </c>
      <c r="AG237" s="55">
        <f t="shared" si="250"/>
        <v>0.9526494835936582</v>
      </c>
      <c r="AH237" s="55">
        <f t="shared" si="250"/>
        <v>0.9801810536695148</v>
      </c>
      <c r="AI237" s="55">
        <f t="shared" ref="AI237:BJ237" si="251">IF(AND(AI$127&gt;=$K26,AI$127&lt;=$L26),$G26*(1+$H26)^(AI$127-$B$5),0)</f>
        <v>1.0085082861205639</v>
      </c>
      <c r="AJ237" s="55">
        <f t="shared" si="251"/>
        <v>1.0376541755894479</v>
      </c>
      <c r="AK237" s="55">
        <f t="shared" si="251"/>
        <v>1.067642381263983</v>
      </c>
      <c r="AL237" s="55">
        <f t="shared" si="251"/>
        <v>1.098497246082512</v>
      </c>
      <c r="AM237" s="55">
        <f t="shared" si="251"/>
        <v>1.1302438164942965</v>
      </c>
      <c r="AN237" s="55">
        <f t="shared" si="251"/>
        <v>1.1629078627909817</v>
      </c>
      <c r="AO237" s="55">
        <f t="shared" si="251"/>
        <v>1.1965159000256409</v>
      </c>
      <c r="AP237" s="55">
        <f t="shared" si="251"/>
        <v>1.2310952095363819</v>
      </c>
      <c r="AQ237" s="55">
        <f t="shared" si="251"/>
        <v>1.2666738610919834</v>
      </c>
      <c r="AR237" s="55">
        <f t="shared" si="251"/>
        <v>1.3032807356775415</v>
      </c>
      <c r="AS237" s="55">
        <f t="shared" si="251"/>
        <v>1.3409455489386224</v>
      </c>
      <c r="AT237" s="55">
        <f t="shared" si="251"/>
        <v>1.3796988753029482</v>
      </c>
      <c r="AU237" s="55">
        <f t="shared" si="251"/>
        <v>1.4195721727992037</v>
      </c>
      <c r="AV237" s="55">
        <f t="shared" si="251"/>
        <v>1.4605978085931004</v>
      </c>
      <c r="AW237" s="55">
        <f t="shared" si="251"/>
        <v>1.5028090852614411</v>
      </c>
      <c r="AX237" s="55">
        <f t="shared" si="251"/>
        <v>1.5462402678254965</v>
      </c>
      <c r="AY237" s="55">
        <f t="shared" si="251"/>
        <v>1.5909266115656533</v>
      </c>
      <c r="AZ237" s="55">
        <f t="shared" si="251"/>
        <v>1.6369043906399006</v>
      </c>
      <c r="BA237" s="55">
        <f t="shared" si="251"/>
        <v>1.6842109275293935</v>
      </c>
      <c r="BB237" s="55">
        <f t="shared" si="251"/>
        <v>1.7328846233349928</v>
      </c>
      <c r="BC237" s="55">
        <f t="shared" si="251"/>
        <v>1.7829649889493739</v>
      </c>
      <c r="BD237" s="55">
        <f t="shared" si="251"/>
        <v>0</v>
      </c>
      <c r="BE237" s="55">
        <f t="shared" si="251"/>
        <v>0</v>
      </c>
      <c r="BF237" s="55">
        <f t="shared" si="251"/>
        <v>0</v>
      </c>
      <c r="BG237" s="55">
        <f t="shared" si="251"/>
        <v>0</v>
      </c>
      <c r="BH237" s="55">
        <f t="shared" si="251"/>
        <v>0</v>
      </c>
      <c r="BI237" s="55">
        <f t="shared" si="251"/>
        <v>0</v>
      </c>
      <c r="BJ237" s="55">
        <f t="shared" si="251"/>
        <v>0</v>
      </c>
    </row>
    <row r="238" spans="1:62" x14ac:dyDescent="0.3">
      <c r="A238" s="53" t="str">
        <f t="shared" si="245"/>
        <v>project 8</v>
      </c>
      <c r="C238" s="55">
        <f t="shared" ref="C238:AH238" si="252">IF(AND(C$127&gt;=$K27,C$127&lt;=$L27),$G27*(1+$H27)^(C$127-$B$5),0)</f>
        <v>0</v>
      </c>
      <c r="D238" s="55">
        <f t="shared" si="252"/>
        <v>0</v>
      </c>
      <c r="E238" s="55">
        <f t="shared" si="252"/>
        <v>0</v>
      </c>
      <c r="F238" s="55">
        <f t="shared" si="252"/>
        <v>0</v>
      </c>
      <c r="G238" s="55">
        <f t="shared" si="252"/>
        <v>0</v>
      </c>
      <c r="H238" s="55">
        <f t="shared" si="252"/>
        <v>0</v>
      </c>
      <c r="I238" s="55">
        <f t="shared" si="252"/>
        <v>0</v>
      </c>
      <c r="J238" s="55">
        <f t="shared" si="252"/>
        <v>0</v>
      </c>
      <c r="K238" s="55">
        <f t="shared" si="252"/>
        <v>0</v>
      </c>
      <c r="L238" s="55">
        <f t="shared" si="252"/>
        <v>0</v>
      </c>
      <c r="M238" s="55">
        <f t="shared" si="252"/>
        <v>0</v>
      </c>
      <c r="N238" s="55">
        <f t="shared" si="252"/>
        <v>0</v>
      </c>
      <c r="O238" s="55">
        <f t="shared" si="252"/>
        <v>0.27456121928868216</v>
      </c>
      <c r="P238" s="55">
        <f t="shared" si="252"/>
        <v>0.28211165281912098</v>
      </c>
      <c r="Q238" s="55">
        <f t="shared" si="252"/>
        <v>0.28986972327164678</v>
      </c>
      <c r="R238" s="55">
        <f t="shared" si="252"/>
        <v>0.2978411406616171</v>
      </c>
      <c r="S238" s="55">
        <f t="shared" si="252"/>
        <v>0.30603177202981152</v>
      </c>
      <c r="T238" s="55">
        <f t="shared" si="252"/>
        <v>0.31444764576063139</v>
      </c>
      <c r="U238" s="55">
        <f t="shared" si="252"/>
        <v>0.32309495601904875</v>
      </c>
      <c r="V238" s="55">
        <f t="shared" si="252"/>
        <v>0.33198006730957258</v>
      </c>
      <c r="W238" s="55">
        <f t="shared" si="252"/>
        <v>0.34110951916058585</v>
      </c>
      <c r="X238" s="55">
        <f t="shared" si="252"/>
        <v>0.35049003093750203</v>
      </c>
      <c r="Y238" s="55">
        <f t="shared" si="252"/>
        <v>0.36012850678828334</v>
      </c>
      <c r="Z238" s="55">
        <f t="shared" si="252"/>
        <v>0.37003204072496115</v>
      </c>
      <c r="AA238" s="55">
        <f t="shared" si="252"/>
        <v>0.38020792184489755</v>
      </c>
      <c r="AB238" s="55">
        <f t="shared" si="252"/>
        <v>0.39066363969563234</v>
      </c>
      <c r="AC238" s="55">
        <f t="shared" si="252"/>
        <v>0.40140688978726224</v>
      </c>
      <c r="AD238" s="55">
        <f t="shared" si="252"/>
        <v>0.41244557925641195</v>
      </c>
      <c r="AE238" s="55">
        <f t="shared" si="252"/>
        <v>0.42378783268596326</v>
      </c>
      <c r="AF238" s="55">
        <f t="shared" si="252"/>
        <v>0.43544199808482736</v>
      </c>
      <c r="AG238" s="55">
        <f t="shared" si="252"/>
        <v>0.44741665303216011</v>
      </c>
      <c r="AH238" s="55">
        <f t="shared" si="252"/>
        <v>0.45972061099054445</v>
      </c>
      <c r="AI238" s="55">
        <f t="shared" ref="AI238:BJ238" si="253">IF(AND(AI$127&gt;=$K27,AI$127&lt;=$L27),$G27*(1+$H27)^(AI$127-$B$5),0)</f>
        <v>0.47236292779278444</v>
      </c>
      <c r="AJ238" s="55">
        <f t="shared" si="253"/>
        <v>0.48535290830708611</v>
      </c>
      <c r="AK238" s="55">
        <f t="shared" si="253"/>
        <v>0.49870011328553093</v>
      </c>
      <c r="AL238" s="55">
        <f t="shared" si="253"/>
        <v>0.51241436640088311</v>
      </c>
      <c r="AM238" s="55">
        <f t="shared" si="253"/>
        <v>0.52650576147690742</v>
      </c>
      <c r="AN238" s="55">
        <f t="shared" si="253"/>
        <v>0.54098466991752248</v>
      </c>
      <c r="AO238" s="55">
        <f t="shared" si="253"/>
        <v>0.55586174834025426</v>
      </c>
      <c r="AP238" s="55">
        <f t="shared" si="253"/>
        <v>0.57114794641961131</v>
      </c>
      <c r="AQ238" s="55">
        <f t="shared" si="253"/>
        <v>0.5868545149461506</v>
      </c>
      <c r="AR238" s="55">
        <f t="shared" si="253"/>
        <v>0.60299301410716977</v>
      </c>
      <c r="AS238" s="55">
        <f t="shared" si="253"/>
        <v>0.619575321995117</v>
      </c>
      <c r="AT238" s="55">
        <f t="shared" si="253"/>
        <v>0.63661364334998272</v>
      </c>
      <c r="AU238" s="55">
        <f t="shared" si="253"/>
        <v>0.65412051854210729</v>
      </c>
      <c r="AV238" s="55">
        <f t="shared" si="253"/>
        <v>0.67210883280201539</v>
      </c>
      <c r="AW238" s="55">
        <f t="shared" si="253"/>
        <v>0.69059182570407085</v>
      </c>
      <c r="AX238" s="55">
        <f t="shared" si="253"/>
        <v>0.70958310091093268</v>
      </c>
      <c r="AY238" s="55">
        <f t="shared" si="253"/>
        <v>0.7290966361859833</v>
      </c>
      <c r="AZ238" s="55">
        <f t="shared" si="253"/>
        <v>0.74914679368109793</v>
      </c>
      <c r="BA238" s="55">
        <f t="shared" si="253"/>
        <v>0.76974833050732827</v>
      </c>
      <c r="BB238" s="55">
        <f t="shared" si="253"/>
        <v>0.79091640959627962</v>
      </c>
      <c r="BC238" s="55">
        <f t="shared" si="253"/>
        <v>0</v>
      </c>
      <c r="BD238" s="55">
        <f t="shared" si="253"/>
        <v>0</v>
      </c>
      <c r="BE238" s="55">
        <f t="shared" si="253"/>
        <v>0</v>
      </c>
      <c r="BF238" s="55">
        <f t="shared" si="253"/>
        <v>0</v>
      </c>
      <c r="BG238" s="55">
        <f t="shared" si="253"/>
        <v>0</v>
      </c>
      <c r="BH238" s="55">
        <f t="shared" si="253"/>
        <v>0</v>
      </c>
      <c r="BI238" s="55">
        <f t="shared" si="253"/>
        <v>0</v>
      </c>
      <c r="BJ238" s="55">
        <f t="shared" si="253"/>
        <v>0</v>
      </c>
    </row>
    <row r="239" spans="1:62" x14ac:dyDescent="0.3">
      <c r="A239" s="53" t="str">
        <f t="shared" si="245"/>
        <v>project 9</v>
      </c>
      <c r="C239" s="55">
        <f t="shared" ref="C239:AH239" si="254">IF(AND(C$127&gt;=$K28,C$127&lt;=$L28),$G28*(1+$H28)^(C$127-$B$5),0)</f>
        <v>0</v>
      </c>
      <c r="D239" s="55">
        <f t="shared" si="254"/>
        <v>0.16120152307121891</v>
      </c>
      <c r="E239" s="55">
        <f t="shared" si="254"/>
        <v>0.16382910789727975</v>
      </c>
      <c r="F239" s="55">
        <f t="shared" si="254"/>
        <v>0.16649952235600543</v>
      </c>
      <c r="G239" s="55">
        <f t="shared" si="254"/>
        <v>0.16921346457040828</v>
      </c>
      <c r="H239" s="55">
        <f t="shared" si="254"/>
        <v>0.17197164404290594</v>
      </c>
      <c r="I239" s="55">
        <f t="shared" si="254"/>
        <v>0.1747747818408053</v>
      </c>
      <c r="J239" s="55">
        <f t="shared" si="254"/>
        <v>0.17762361078481043</v>
      </c>
      <c r="K239" s="55">
        <f t="shared" si="254"/>
        <v>0.18051887564060282</v>
      </c>
      <c r="L239" s="55">
        <f t="shared" si="254"/>
        <v>0.18346133331354464</v>
      </c>
      <c r="M239" s="55">
        <f t="shared" si="254"/>
        <v>0.18645175304655542</v>
      </c>
      <c r="N239" s="55">
        <f t="shared" si="254"/>
        <v>0.18949091662121428</v>
      </c>
      <c r="O239" s="55">
        <f t="shared" si="254"/>
        <v>0.19257961856214004</v>
      </c>
      <c r="P239" s="55">
        <f t="shared" si="254"/>
        <v>0.19571866634470292</v>
      </c>
      <c r="Q239" s="55">
        <f t="shared" si="254"/>
        <v>0.19890888060612158</v>
      </c>
      <c r="R239" s="55">
        <f t="shared" si="254"/>
        <v>0.20215109536000136</v>
      </c>
      <c r="S239" s="55">
        <f t="shared" si="254"/>
        <v>0.20544615821436935</v>
      </c>
      <c r="T239" s="55">
        <f t="shared" si="254"/>
        <v>0.20879493059326357</v>
      </c>
      <c r="U239" s="55">
        <f t="shared" si="254"/>
        <v>0.21219828796193377</v>
      </c>
      <c r="V239" s="55">
        <f t="shared" si="254"/>
        <v>0.21565712005571328</v>
      </c>
      <c r="W239" s="55">
        <f t="shared" si="254"/>
        <v>0.21917233111262138</v>
      </c>
      <c r="X239" s="55">
        <f t="shared" si="254"/>
        <v>0.22274484010975709</v>
      </c>
      <c r="Y239" s="55">
        <f t="shared" si="254"/>
        <v>0.22637558100354613</v>
      </c>
      <c r="Z239" s="55">
        <f t="shared" si="254"/>
        <v>0.23006550297390393</v>
      </c>
      <c r="AA239" s="55">
        <f t="shared" si="254"/>
        <v>0.23381557067237854</v>
      </c>
      <c r="AB239" s="55">
        <f t="shared" si="254"/>
        <v>0.23762676447433828</v>
      </c>
      <c r="AC239" s="55">
        <f t="shared" si="254"/>
        <v>0.24150008073527002</v>
      </c>
      <c r="AD239" s="55">
        <f t="shared" si="254"/>
        <v>0.24543653205125493</v>
      </c>
      <c r="AE239" s="55">
        <f t="shared" si="254"/>
        <v>0.24943714752369037</v>
      </c>
      <c r="AF239" s="55">
        <f t="shared" si="254"/>
        <v>0.25350297302832653</v>
      </c>
      <c r="AG239" s="55">
        <f t="shared" si="254"/>
        <v>0.25763507148868819</v>
      </c>
      <c r="AH239" s="55">
        <f t="shared" si="254"/>
        <v>0.26183452315395384</v>
      </c>
      <c r="AI239" s="55">
        <f t="shared" ref="AI239:BJ239" si="255">IF(AND(AI$127&gt;=$K28,AI$127&lt;=$L28),$G28*(1+$H28)^(AI$127-$B$5),0)</f>
        <v>0.26610242588136324</v>
      </c>
      <c r="AJ239" s="55">
        <f t="shared" si="255"/>
        <v>0.27043989542322944</v>
      </c>
      <c r="AK239" s="55">
        <f t="shared" si="255"/>
        <v>0.27484806571862808</v>
      </c>
      <c r="AL239" s="55">
        <f t="shared" si="255"/>
        <v>0.2793280891898417</v>
      </c>
      <c r="AM239" s="55">
        <f t="shared" si="255"/>
        <v>0.2838811370436361</v>
      </c>
      <c r="AN239" s="55">
        <f t="shared" si="255"/>
        <v>0.28850839957744739</v>
      </c>
      <c r="AO239" s="55">
        <f t="shared" si="255"/>
        <v>0.29321108649055971</v>
      </c>
      <c r="AP239" s="55">
        <f t="shared" si="255"/>
        <v>0.29799042720035585</v>
      </c>
      <c r="AQ239" s="55">
        <f t="shared" si="255"/>
        <v>0.30284767116372163</v>
      </c>
      <c r="AR239" s="55">
        <f t="shared" si="255"/>
        <v>0</v>
      </c>
      <c r="AS239" s="55">
        <f t="shared" si="255"/>
        <v>0</v>
      </c>
      <c r="AT239" s="55">
        <f t="shared" si="255"/>
        <v>0</v>
      </c>
      <c r="AU239" s="55">
        <f t="shared" si="255"/>
        <v>0</v>
      </c>
      <c r="AV239" s="55">
        <f t="shared" si="255"/>
        <v>0</v>
      </c>
      <c r="AW239" s="55">
        <f t="shared" si="255"/>
        <v>0</v>
      </c>
      <c r="AX239" s="55">
        <f t="shared" si="255"/>
        <v>0</v>
      </c>
      <c r="AY239" s="55">
        <f t="shared" si="255"/>
        <v>0</v>
      </c>
      <c r="AZ239" s="55">
        <f t="shared" si="255"/>
        <v>0</v>
      </c>
      <c r="BA239" s="55">
        <f t="shared" si="255"/>
        <v>0</v>
      </c>
      <c r="BB239" s="55">
        <f t="shared" si="255"/>
        <v>0</v>
      </c>
      <c r="BC239" s="55">
        <f t="shared" si="255"/>
        <v>0</v>
      </c>
      <c r="BD239" s="55">
        <f t="shared" si="255"/>
        <v>0</v>
      </c>
      <c r="BE239" s="55">
        <f t="shared" si="255"/>
        <v>0</v>
      </c>
      <c r="BF239" s="55">
        <f t="shared" si="255"/>
        <v>0</v>
      </c>
      <c r="BG239" s="55">
        <f t="shared" si="255"/>
        <v>0</v>
      </c>
      <c r="BH239" s="55">
        <f t="shared" si="255"/>
        <v>0</v>
      </c>
      <c r="BI239" s="55">
        <f t="shared" si="255"/>
        <v>0</v>
      </c>
      <c r="BJ239" s="55">
        <f t="shared" si="255"/>
        <v>0</v>
      </c>
    </row>
    <row r="240" spans="1:62" x14ac:dyDescent="0.3">
      <c r="A240" s="53" t="str">
        <f t="shared" si="245"/>
        <v>project 12</v>
      </c>
      <c r="C240" s="55">
        <f t="shared" ref="C240:AH240" si="256">IF(AND(C$127&gt;=$K29,C$127&lt;=$L29),$G29*(1+$H29)^(C$127-$B$5),0)</f>
        <v>0</v>
      </c>
      <c r="D240" s="55">
        <f t="shared" si="256"/>
        <v>0</v>
      </c>
      <c r="E240" s="55">
        <f t="shared" si="256"/>
        <v>0</v>
      </c>
      <c r="F240" s="55">
        <f t="shared" si="256"/>
        <v>0</v>
      </c>
      <c r="G240" s="55">
        <f t="shared" si="256"/>
        <v>0</v>
      </c>
      <c r="H240" s="55">
        <f t="shared" si="256"/>
        <v>0</v>
      </c>
      <c r="I240" s="55">
        <f t="shared" si="256"/>
        <v>0</v>
      </c>
      <c r="J240" s="55">
        <f t="shared" si="256"/>
        <v>0</v>
      </c>
      <c r="K240" s="55">
        <f t="shared" si="256"/>
        <v>0</v>
      </c>
      <c r="L240" s="55">
        <f t="shared" si="256"/>
        <v>0</v>
      </c>
      <c r="M240" s="55">
        <f t="shared" si="256"/>
        <v>0</v>
      </c>
      <c r="N240" s="55">
        <f t="shared" si="256"/>
        <v>0</v>
      </c>
      <c r="O240" s="55">
        <f t="shared" si="256"/>
        <v>0</v>
      </c>
      <c r="P240" s="55">
        <f t="shared" si="256"/>
        <v>0.30667759356686197</v>
      </c>
      <c r="Q240" s="55">
        <f t="shared" si="256"/>
        <v>0.31376184597825652</v>
      </c>
      <c r="R240" s="55">
        <f t="shared" si="256"/>
        <v>0.3210097446203542</v>
      </c>
      <c r="S240" s="55">
        <f t="shared" si="256"/>
        <v>0.32842506972108432</v>
      </c>
      <c r="T240" s="55">
        <f t="shared" si="256"/>
        <v>0.33601168883164129</v>
      </c>
      <c r="U240" s="55">
        <f t="shared" si="256"/>
        <v>0.34377355884365218</v>
      </c>
      <c r="V240" s="55">
        <f t="shared" si="256"/>
        <v>0.35171472805294052</v>
      </c>
      <c r="W240" s="55">
        <f t="shared" si="256"/>
        <v>0.35983933827096337</v>
      </c>
      <c r="X240" s="55">
        <f t="shared" si="256"/>
        <v>0.36815162698502257</v>
      </c>
      <c r="Y240" s="55">
        <f t="shared" si="256"/>
        <v>0.37665592956837651</v>
      </c>
      <c r="Z240" s="55">
        <f t="shared" si="256"/>
        <v>0.38535668154140601</v>
      </c>
      <c r="AA240" s="55">
        <f t="shared" si="256"/>
        <v>0.39425842088501245</v>
      </c>
      <c r="AB240" s="55">
        <f t="shared" si="256"/>
        <v>0.40336579040745613</v>
      </c>
      <c r="AC240" s="55">
        <f t="shared" si="256"/>
        <v>0.41268354016586828</v>
      </c>
      <c r="AD240" s="55">
        <f t="shared" si="256"/>
        <v>0.4222165299436999</v>
      </c>
      <c r="AE240" s="55">
        <f t="shared" si="256"/>
        <v>0.43196973178539921</v>
      </c>
      <c r="AF240" s="55">
        <f t="shared" si="256"/>
        <v>0.44194823258964189</v>
      </c>
      <c r="AG240" s="55">
        <f t="shared" si="256"/>
        <v>0.45215723676246261</v>
      </c>
      <c r="AH240" s="55">
        <f t="shared" si="256"/>
        <v>0.46260206893167544</v>
      </c>
      <c r="AI240" s="55">
        <f t="shared" ref="AI240:BJ240" si="257">IF(AND(AI$127&gt;=$K29,AI$127&lt;=$L29),$G29*(1+$H29)^(AI$127-$B$5),0)</f>
        <v>0.47328817672399703</v>
      </c>
      <c r="AJ240" s="55">
        <f t="shared" si="257"/>
        <v>0.4842211336063213</v>
      </c>
      <c r="AK240" s="55">
        <f t="shared" si="257"/>
        <v>0.49540664179262728</v>
      </c>
      <c r="AL240" s="55">
        <f t="shared" si="257"/>
        <v>0.50685053521803691</v>
      </c>
      <c r="AM240" s="55">
        <f t="shared" si="257"/>
        <v>0.5185587825815734</v>
      </c>
      <c r="AN240" s="55">
        <f t="shared" si="257"/>
        <v>0.53053749045920773</v>
      </c>
      <c r="AO240" s="55">
        <f t="shared" si="257"/>
        <v>0.54279290648881529</v>
      </c>
      <c r="AP240" s="55">
        <f t="shared" si="257"/>
        <v>0.55533142262870705</v>
      </c>
      <c r="AQ240" s="55">
        <f t="shared" si="257"/>
        <v>0.56815957849143006</v>
      </c>
      <c r="AR240" s="55">
        <f t="shared" si="257"/>
        <v>0.58128406475458194</v>
      </c>
      <c r="AS240" s="55">
        <f t="shared" si="257"/>
        <v>0.59471172665041272</v>
      </c>
      <c r="AT240" s="55">
        <f t="shared" si="257"/>
        <v>0.60844956753603729</v>
      </c>
      <c r="AU240" s="55">
        <f t="shared" si="257"/>
        <v>0.62250475254611959</v>
      </c>
      <c r="AV240" s="55">
        <f t="shared" si="257"/>
        <v>0.63688461232993476</v>
      </c>
      <c r="AW240" s="55">
        <f t="shared" si="257"/>
        <v>0.65159664687475627</v>
      </c>
      <c r="AX240" s="55">
        <f t="shared" si="257"/>
        <v>0.66664852941756303</v>
      </c>
      <c r="AY240" s="55">
        <f t="shared" si="257"/>
        <v>0.68204811044710856</v>
      </c>
      <c r="AZ240" s="55">
        <f t="shared" si="257"/>
        <v>0.69780342179843668</v>
      </c>
      <c r="BA240" s="55">
        <f t="shared" si="257"/>
        <v>0.71392268084198052</v>
      </c>
      <c r="BB240" s="55">
        <f t="shared" si="257"/>
        <v>0.73041429476943032</v>
      </c>
      <c r="BC240" s="55">
        <f t="shared" si="257"/>
        <v>0.74728686497860386</v>
      </c>
      <c r="BD240" s="55">
        <f t="shared" si="257"/>
        <v>0</v>
      </c>
      <c r="BE240" s="55">
        <f t="shared" si="257"/>
        <v>0</v>
      </c>
      <c r="BF240" s="55">
        <f t="shared" si="257"/>
        <v>0</v>
      </c>
      <c r="BG240" s="55">
        <f t="shared" si="257"/>
        <v>0</v>
      </c>
      <c r="BH240" s="55">
        <f t="shared" si="257"/>
        <v>0</v>
      </c>
      <c r="BI240" s="55">
        <f t="shared" si="257"/>
        <v>0</v>
      </c>
      <c r="BJ240" s="55">
        <f t="shared" si="257"/>
        <v>0</v>
      </c>
    </row>
    <row r="241" spans="1:62" x14ac:dyDescent="0.3">
      <c r="A241" s="53" t="str">
        <f t="shared" si="245"/>
        <v>project 16</v>
      </c>
      <c r="C241" s="55">
        <f t="shared" ref="C241:AH241" si="258">IF(AND(C$127&gt;=$K30,C$127&lt;=$L30),$G30*(1+$H30)^(C$127-$B$5),0)</f>
        <v>0</v>
      </c>
      <c r="D241" s="55">
        <f t="shared" si="258"/>
        <v>0.13351546761277333</v>
      </c>
      <c r="E241" s="55">
        <f t="shared" si="258"/>
        <v>0.13590539448304198</v>
      </c>
      <c r="F241" s="55">
        <f t="shared" si="258"/>
        <v>0.13833810104428845</v>
      </c>
      <c r="G241" s="55">
        <f t="shared" si="258"/>
        <v>0.14081435305298123</v>
      </c>
      <c r="H241" s="55">
        <f t="shared" si="258"/>
        <v>0.14333492997262959</v>
      </c>
      <c r="I241" s="55">
        <f t="shared" si="258"/>
        <v>0.14590062521913968</v>
      </c>
      <c r="J241" s="55">
        <f t="shared" si="258"/>
        <v>0.14851224641056229</v>
      </c>
      <c r="K241" s="55">
        <f t="shared" si="258"/>
        <v>0.15117061562131134</v>
      </c>
      <c r="L241" s="55">
        <f t="shared" si="258"/>
        <v>0.15387656964093283</v>
      </c>
      <c r="M241" s="55">
        <f t="shared" si="258"/>
        <v>0.15663096023750556</v>
      </c>
      <c r="N241" s="55">
        <f t="shared" si="258"/>
        <v>0.15943465442575691</v>
      </c>
      <c r="O241" s="55">
        <f t="shared" si="258"/>
        <v>0.16228853473997795</v>
      </c>
      <c r="P241" s="55">
        <f t="shared" si="258"/>
        <v>0.16519349951182358</v>
      </c>
      <c r="Q241" s="55">
        <f t="shared" si="258"/>
        <v>0.16815046315308524</v>
      </c>
      <c r="R241" s="55">
        <f t="shared" si="258"/>
        <v>0.17116035644352548</v>
      </c>
      <c r="S241" s="55">
        <f t="shared" si="258"/>
        <v>0.17422412682386459</v>
      </c>
      <c r="T241" s="55">
        <f t="shared" si="258"/>
        <v>0.17734273869401176</v>
      </c>
      <c r="U241" s="55">
        <f t="shared" si="258"/>
        <v>0.18051717371663459</v>
      </c>
      <c r="V241" s="55">
        <f t="shared" si="258"/>
        <v>0.18374843112616238</v>
      </c>
      <c r="W241" s="55">
        <f t="shared" si="258"/>
        <v>0.18703752804332069</v>
      </c>
      <c r="X241" s="55">
        <f t="shared" si="258"/>
        <v>0.19038549979529615</v>
      </c>
      <c r="Y241" s="55">
        <f t="shared" si="258"/>
        <v>0.19379340024163197</v>
      </c>
      <c r="Z241" s="55">
        <f t="shared" si="258"/>
        <v>0.19726230210595719</v>
      </c>
      <c r="AA241" s="55">
        <f t="shared" si="258"/>
        <v>0.20079329731365381</v>
      </c>
      <c r="AB241" s="55">
        <f t="shared" si="258"/>
        <v>0.20438749733556824</v>
      </c>
      <c r="AC241" s="55">
        <f t="shared" si="258"/>
        <v>0.2080460335378749</v>
      </c>
      <c r="AD241" s="55">
        <f t="shared" si="258"/>
        <v>0.21177005753820288</v>
      </c>
      <c r="AE241" s="55">
        <f t="shared" si="258"/>
        <v>0.21556074156813673</v>
      </c>
      <c r="AF241" s="55">
        <f t="shared" si="258"/>
        <v>0.21941927884220638</v>
      </c>
      <c r="AG241" s="55">
        <f t="shared" si="258"/>
        <v>0.2233468839334819</v>
      </c>
      <c r="AH241" s="55">
        <f t="shared" si="258"/>
        <v>0.22734479315589123</v>
      </c>
      <c r="AI241" s="55">
        <f t="shared" ref="AI241:BJ241" si="259">IF(AND(AI$127&gt;=$K30,AI$127&lt;=$L30),$G30*(1+$H30)^(AI$127-$B$5),0)</f>
        <v>0.23141426495338172</v>
      </c>
      <c r="AJ241" s="55">
        <f t="shared" si="259"/>
        <v>0.23555658029604726</v>
      </c>
      <c r="AK241" s="55">
        <f t="shared" si="259"/>
        <v>0.23977304308334649</v>
      </c>
      <c r="AL241" s="55">
        <f t="shared" si="259"/>
        <v>0.24406498055453843</v>
      </c>
      <c r="AM241" s="55">
        <f t="shared" si="259"/>
        <v>0.2484337437064647</v>
      </c>
      <c r="AN241" s="55">
        <f t="shared" si="259"/>
        <v>0.25288070771881044</v>
      </c>
      <c r="AO241" s="55">
        <f t="shared" si="259"/>
        <v>0.25740727238697714</v>
      </c>
      <c r="AP241" s="55">
        <f t="shared" si="259"/>
        <v>0.26201486256270407</v>
      </c>
      <c r="AQ241" s="55">
        <f t="shared" si="259"/>
        <v>0.2667049286025765</v>
      </c>
      <c r="AR241" s="55">
        <f t="shared" si="259"/>
        <v>0</v>
      </c>
      <c r="AS241" s="55">
        <f t="shared" si="259"/>
        <v>0</v>
      </c>
      <c r="AT241" s="55">
        <f t="shared" si="259"/>
        <v>0</v>
      </c>
      <c r="AU241" s="55">
        <f t="shared" si="259"/>
        <v>0</v>
      </c>
      <c r="AV241" s="55">
        <f t="shared" si="259"/>
        <v>0</v>
      </c>
      <c r="AW241" s="55">
        <f t="shared" si="259"/>
        <v>0</v>
      </c>
      <c r="AX241" s="55">
        <f t="shared" si="259"/>
        <v>0</v>
      </c>
      <c r="AY241" s="55">
        <f t="shared" si="259"/>
        <v>0</v>
      </c>
      <c r="AZ241" s="55">
        <f t="shared" si="259"/>
        <v>0</v>
      </c>
      <c r="BA241" s="55">
        <f t="shared" si="259"/>
        <v>0</v>
      </c>
      <c r="BB241" s="55">
        <f t="shared" si="259"/>
        <v>0</v>
      </c>
      <c r="BC241" s="55">
        <f t="shared" si="259"/>
        <v>0</v>
      </c>
      <c r="BD241" s="55">
        <f t="shared" si="259"/>
        <v>0</v>
      </c>
      <c r="BE241" s="55">
        <f t="shared" si="259"/>
        <v>0</v>
      </c>
      <c r="BF241" s="55">
        <f t="shared" si="259"/>
        <v>0</v>
      </c>
      <c r="BG241" s="55">
        <f t="shared" si="259"/>
        <v>0</v>
      </c>
      <c r="BH241" s="55">
        <f t="shared" si="259"/>
        <v>0</v>
      </c>
      <c r="BI241" s="55">
        <f t="shared" si="259"/>
        <v>0</v>
      </c>
      <c r="BJ241" s="55">
        <f t="shared" si="259"/>
        <v>0</v>
      </c>
    </row>
    <row r="242" spans="1:62" x14ac:dyDescent="0.3">
      <c r="A242" s="53" t="str">
        <f t="shared" si="245"/>
        <v>project 19</v>
      </c>
      <c r="C242" s="55">
        <f t="shared" ref="C242:AH242" si="260">IF(AND(C$127&gt;=$K31,C$127&lt;=$L31),$G31*(1+$H31)^(C$127-$B$5),0)</f>
        <v>0</v>
      </c>
      <c r="D242" s="55">
        <f t="shared" si="260"/>
        <v>0</v>
      </c>
      <c r="E242" s="55">
        <f t="shared" si="260"/>
        <v>0</v>
      </c>
      <c r="F242" s="55">
        <f t="shared" si="260"/>
        <v>0</v>
      </c>
      <c r="G242" s="55">
        <f t="shared" si="260"/>
        <v>0</v>
      </c>
      <c r="H242" s="55">
        <f t="shared" si="260"/>
        <v>0</v>
      </c>
      <c r="I242" s="55">
        <f t="shared" si="260"/>
        <v>0</v>
      </c>
      <c r="J242" s="55">
        <f t="shared" si="260"/>
        <v>0</v>
      </c>
      <c r="K242" s="55">
        <f t="shared" si="260"/>
        <v>0</v>
      </c>
      <c r="L242" s="55">
        <f t="shared" si="260"/>
        <v>0</v>
      </c>
      <c r="M242" s="55">
        <f t="shared" si="260"/>
        <v>0</v>
      </c>
      <c r="N242" s="55">
        <f t="shared" si="260"/>
        <v>0</v>
      </c>
      <c r="O242" s="55">
        <f t="shared" si="260"/>
        <v>0</v>
      </c>
      <c r="P242" s="55">
        <f t="shared" si="260"/>
        <v>0</v>
      </c>
      <c r="Q242" s="55">
        <f t="shared" si="260"/>
        <v>0</v>
      </c>
      <c r="R242" s="55">
        <f t="shared" si="260"/>
        <v>0</v>
      </c>
      <c r="S242" s="55">
        <f t="shared" si="260"/>
        <v>0</v>
      </c>
      <c r="T242" s="55">
        <f t="shared" si="260"/>
        <v>0.16830337840369075</v>
      </c>
      <c r="U242" s="55">
        <f t="shared" si="260"/>
        <v>0.17306636401251521</v>
      </c>
      <c r="V242" s="55">
        <f t="shared" si="260"/>
        <v>0.17796414211406938</v>
      </c>
      <c r="W242" s="55">
        <f t="shared" si="260"/>
        <v>0.18300052733589758</v>
      </c>
      <c r="X242" s="55">
        <f t="shared" si="260"/>
        <v>0.18817944225950348</v>
      </c>
      <c r="Y242" s="55">
        <f t="shared" si="260"/>
        <v>0.19350492047544743</v>
      </c>
      <c r="Z242" s="55">
        <f t="shared" si="260"/>
        <v>0.1989811097249026</v>
      </c>
      <c r="AA242" s="55">
        <f t="shared" si="260"/>
        <v>0.20461227513011734</v>
      </c>
      <c r="AB242" s="55">
        <f t="shared" si="260"/>
        <v>0.2104028025162997</v>
      </c>
      <c r="AC242" s="55">
        <f t="shared" si="260"/>
        <v>0.216357201827511</v>
      </c>
      <c r="AD242" s="55">
        <f t="shared" si="260"/>
        <v>0.22248011063922951</v>
      </c>
      <c r="AE242" s="55">
        <f t="shared" si="260"/>
        <v>0.22877629777031977</v>
      </c>
      <c r="AF242" s="55">
        <f t="shared" si="260"/>
        <v>0.2352506669972198</v>
      </c>
      <c r="AG242" s="55">
        <f t="shared" si="260"/>
        <v>0.24190826087324113</v>
      </c>
      <c r="AH242" s="55">
        <f t="shared" si="260"/>
        <v>0.24875426465595385</v>
      </c>
      <c r="AI242" s="55">
        <f t="shared" ref="AI242:BJ242" si="261">IF(AND(AI$127&gt;=$K31,AI$127&lt;=$L31),$G31*(1+$H31)^(AI$127-$B$5),0)</f>
        <v>0.25579401034571736</v>
      </c>
      <c r="AJ242" s="55">
        <f t="shared" si="261"/>
        <v>0.26303298083850118</v>
      </c>
      <c r="AK242" s="55">
        <f t="shared" si="261"/>
        <v>0.27047681419623076</v>
      </c>
      <c r="AL242" s="55">
        <f t="shared" si="261"/>
        <v>0.27813130803798408</v>
      </c>
      <c r="AM242" s="55">
        <f t="shared" si="261"/>
        <v>0.28600242405545906</v>
      </c>
      <c r="AN242" s="55">
        <f t="shared" si="261"/>
        <v>0.29409629265622855</v>
      </c>
      <c r="AO242" s="55">
        <f t="shared" si="261"/>
        <v>0.30241921773839986</v>
      </c>
      <c r="AP242" s="55">
        <f t="shared" si="261"/>
        <v>0.31097768160039657</v>
      </c>
      <c r="AQ242" s="55">
        <f t="shared" si="261"/>
        <v>0.31977834998968779</v>
      </c>
      <c r="AR242" s="55">
        <f t="shared" si="261"/>
        <v>0.328828077294396</v>
      </c>
      <c r="AS242" s="55">
        <f t="shared" si="261"/>
        <v>0.33813391188182745</v>
      </c>
      <c r="AT242" s="55">
        <f t="shared" si="261"/>
        <v>0.3477031015880831</v>
      </c>
      <c r="AU242" s="55">
        <f t="shared" si="261"/>
        <v>0.35754309936302592</v>
      </c>
      <c r="AV242" s="55">
        <f t="shared" si="261"/>
        <v>0.36766156907499953</v>
      </c>
      <c r="AW242" s="55">
        <f t="shared" si="261"/>
        <v>0.37806639147982207</v>
      </c>
      <c r="AX242" s="55">
        <f t="shared" si="261"/>
        <v>0.38876567035870102</v>
      </c>
      <c r="AY242" s="55">
        <f t="shared" si="261"/>
        <v>0.39976773882985234</v>
      </c>
      <c r="AZ242" s="55">
        <f t="shared" si="261"/>
        <v>0.41108116583873711</v>
      </c>
      <c r="BA242" s="55">
        <f t="shared" si="261"/>
        <v>0.4227147628319734</v>
      </c>
      <c r="BB242" s="55">
        <f t="shared" si="261"/>
        <v>0.43467759062011818</v>
      </c>
      <c r="BC242" s="55">
        <f t="shared" si="261"/>
        <v>0.44697896643466772</v>
      </c>
      <c r="BD242" s="55">
        <f t="shared" si="261"/>
        <v>0.45962847118476874</v>
      </c>
      <c r="BE242" s="55">
        <f t="shared" si="261"/>
        <v>0.47263595691929777</v>
      </c>
      <c r="BF242" s="55">
        <f t="shared" si="261"/>
        <v>0.48601155450011385</v>
      </c>
      <c r="BG242" s="55">
        <f t="shared" si="261"/>
        <v>0.49976568149246708</v>
      </c>
      <c r="BH242" s="55">
        <f t="shared" si="261"/>
        <v>0</v>
      </c>
      <c r="BI242" s="55">
        <f t="shared" si="261"/>
        <v>0</v>
      </c>
      <c r="BJ242" s="55">
        <f t="shared" si="261"/>
        <v>0</v>
      </c>
    </row>
    <row r="243" spans="1:62" x14ac:dyDescent="0.3">
      <c r="A243" s="53" t="str">
        <f t="shared" si="245"/>
        <v>project 20</v>
      </c>
      <c r="C243" s="55">
        <f t="shared" ref="C243:AH243" si="262">IF(AND(C$127&gt;=$K32,C$127&lt;=$L32),$G32*(1+$H32)^(C$127-$B$5),0)</f>
        <v>0</v>
      </c>
      <c r="D243" s="55">
        <f t="shared" si="262"/>
        <v>0</v>
      </c>
      <c r="E243" s="55">
        <f t="shared" si="262"/>
        <v>0</v>
      </c>
      <c r="F243" s="55">
        <f t="shared" si="262"/>
        <v>0</v>
      </c>
      <c r="G243" s="55">
        <f t="shared" si="262"/>
        <v>0</v>
      </c>
      <c r="H243" s="55">
        <f t="shared" si="262"/>
        <v>0</v>
      </c>
      <c r="I243" s="55">
        <f t="shared" si="262"/>
        <v>0</v>
      </c>
      <c r="J243" s="55">
        <f t="shared" si="262"/>
        <v>0</v>
      </c>
      <c r="K243" s="55">
        <f t="shared" si="262"/>
        <v>0</v>
      </c>
      <c r="L243" s="55">
        <f t="shared" si="262"/>
        <v>0</v>
      </c>
      <c r="M243" s="55">
        <f t="shared" si="262"/>
        <v>0</v>
      </c>
      <c r="N243" s="55">
        <f t="shared" si="262"/>
        <v>0.14008374315626634</v>
      </c>
      <c r="O243" s="55">
        <f t="shared" si="262"/>
        <v>0.14277335102486668</v>
      </c>
      <c r="P243" s="55">
        <f t="shared" si="262"/>
        <v>0.14551459936454414</v>
      </c>
      <c r="Q243" s="55">
        <f t="shared" si="262"/>
        <v>0.14830847967234342</v>
      </c>
      <c r="R243" s="55">
        <f t="shared" si="262"/>
        <v>0.15115600248205244</v>
      </c>
      <c r="S243" s="55">
        <f t="shared" si="262"/>
        <v>0.15405819772970786</v>
      </c>
      <c r="T243" s="55">
        <f t="shared" si="262"/>
        <v>0.15701611512611827</v>
      </c>
      <c r="U243" s="55">
        <f t="shared" si="262"/>
        <v>0.16003082453653975</v>
      </c>
      <c r="V243" s="55">
        <f t="shared" si="262"/>
        <v>0.16310341636764131</v>
      </c>
      <c r="W243" s="55">
        <f t="shared" si="262"/>
        <v>0.16623500196190005</v>
      </c>
      <c r="X243" s="55">
        <f t="shared" si="262"/>
        <v>0.16942671399956852</v>
      </c>
      <c r="Y243" s="55">
        <f t="shared" si="262"/>
        <v>0.17267970690836029</v>
      </c>
      <c r="Z243" s="55">
        <f t="shared" si="262"/>
        <v>0.17599515728100082</v>
      </c>
      <c r="AA243" s="55">
        <f t="shared" si="262"/>
        <v>0.17937426430079606</v>
      </c>
      <c r="AB243" s="55">
        <f t="shared" si="262"/>
        <v>0.18281825017537137</v>
      </c>
      <c r="AC243" s="55">
        <f t="shared" si="262"/>
        <v>0.18632836057873856</v>
      </c>
      <c r="AD243" s="55">
        <f t="shared" si="262"/>
        <v>0.18990586510185029</v>
      </c>
      <c r="AE243" s="55">
        <f t="shared" si="262"/>
        <v>0.19355205771180586</v>
      </c>
      <c r="AF243" s="55">
        <f t="shared" si="262"/>
        <v>0.19726825721987254</v>
      </c>
      <c r="AG243" s="55">
        <f t="shared" si="262"/>
        <v>0.20105580775849413</v>
      </c>
      <c r="AH243" s="55">
        <f t="shared" si="262"/>
        <v>0.20491607926745725</v>
      </c>
      <c r="AI243" s="55">
        <f t="shared" ref="AI243:BJ243" si="263">IF(AND(AI$127&gt;=$K32,AI$127&lt;=$L32),$G32*(1+$H32)^(AI$127-$B$5),0)</f>
        <v>0.20885046798939244</v>
      </c>
      <c r="AJ243" s="55">
        <f t="shared" si="263"/>
        <v>0.21286039697478878</v>
      </c>
      <c r="AK243" s="55">
        <f t="shared" si="263"/>
        <v>0.21694731659670477</v>
      </c>
      <c r="AL243" s="55">
        <f t="shared" si="263"/>
        <v>0.22111270507536152</v>
      </c>
      <c r="AM243" s="55">
        <f t="shared" si="263"/>
        <v>0.22535806901280847</v>
      </c>
      <c r="AN243" s="55">
        <f t="shared" si="263"/>
        <v>0.22968494393785441</v>
      </c>
      <c r="AO243" s="55">
        <f t="shared" si="263"/>
        <v>0.23409489486146129</v>
      </c>
      <c r="AP243" s="55">
        <f t="shared" si="263"/>
        <v>0.23858951684280136</v>
      </c>
      <c r="AQ243" s="55">
        <f t="shared" si="263"/>
        <v>0.24317043556618317</v>
      </c>
      <c r="AR243" s="55">
        <f t="shared" si="263"/>
        <v>0.24783930792905393</v>
      </c>
      <c r="AS243" s="55">
        <f t="shared" si="263"/>
        <v>0.25259782264129177</v>
      </c>
      <c r="AT243" s="55">
        <f t="shared" si="263"/>
        <v>0.2574477008360046</v>
      </c>
      <c r="AU243" s="55">
        <f t="shared" si="263"/>
        <v>0.26239069669205589</v>
      </c>
      <c r="AV243" s="55">
        <f t="shared" si="263"/>
        <v>0.26742859806854347</v>
      </c>
      <c r="AW243" s="55">
        <f t="shared" si="263"/>
        <v>0.27256322715145953</v>
      </c>
      <c r="AX243" s="55">
        <f t="shared" si="263"/>
        <v>0.27779644111276758</v>
      </c>
      <c r="AY243" s="55">
        <f t="shared" si="263"/>
        <v>0.28313013278213267</v>
      </c>
      <c r="AZ243" s="55">
        <f t="shared" si="263"/>
        <v>0.28856623133154968</v>
      </c>
      <c r="BA243" s="55">
        <f t="shared" si="263"/>
        <v>0.29410670297311542</v>
      </c>
      <c r="BB243" s="55">
        <f t="shared" si="263"/>
        <v>0</v>
      </c>
      <c r="BC243" s="55">
        <f t="shared" si="263"/>
        <v>0</v>
      </c>
      <c r="BD243" s="55">
        <f t="shared" si="263"/>
        <v>0</v>
      </c>
      <c r="BE243" s="55">
        <f t="shared" si="263"/>
        <v>0</v>
      </c>
      <c r="BF243" s="55">
        <f t="shared" si="263"/>
        <v>0</v>
      </c>
      <c r="BG243" s="55">
        <f t="shared" si="263"/>
        <v>0</v>
      </c>
      <c r="BH243" s="55">
        <f t="shared" si="263"/>
        <v>0</v>
      </c>
      <c r="BI243" s="55">
        <f t="shared" si="263"/>
        <v>0</v>
      </c>
      <c r="BJ243" s="55">
        <f t="shared" si="263"/>
        <v>0</v>
      </c>
    </row>
    <row r="244" spans="1:62" x14ac:dyDescent="0.3">
      <c r="A244" s="53" t="str">
        <f t="shared" si="245"/>
        <v>project 22</v>
      </c>
      <c r="C244" s="55">
        <f t="shared" ref="C244:AH244" si="264">IF(AND(C$127&gt;=$K33,C$127&lt;=$L33),$G33*(1+$H33)^(C$127-$B$5),0)</f>
        <v>0</v>
      </c>
      <c r="D244" s="55">
        <f t="shared" si="264"/>
        <v>0</v>
      </c>
      <c r="E244" s="55">
        <f t="shared" si="264"/>
        <v>0.19702721689669994</v>
      </c>
      <c r="F244" s="55">
        <f t="shared" si="264"/>
        <v>0.20004173331521946</v>
      </c>
      <c r="G244" s="55">
        <f t="shared" si="264"/>
        <v>0.20310237183494231</v>
      </c>
      <c r="H244" s="55">
        <f t="shared" si="264"/>
        <v>0.20620983812401697</v>
      </c>
      <c r="I244" s="55">
        <f t="shared" si="264"/>
        <v>0.20936484864731439</v>
      </c>
      <c r="J244" s="55">
        <f t="shared" si="264"/>
        <v>0.21256813083161835</v>
      </c>
      <c r="K244" s="55">
        <f t="shared" si="264"/>
        <v>0.21582042323334211</v>
      </c>
      <c r="L244" s="55">
        <f t="shared" si="264"/>
        <v>0.21912247570881227</v>
      </c>
      <c r="M244" s="55">
        <f t="shared" si="264"/>
        <v>0.22247504958715708</v>
      </c>
      <c r="N244" s="55">
        <f t="shared" si="264"/>
        <v>0.2258789178458406</v>
      </c>
      <c r="O244" s="55">
        <f t="shared" si="264"/>
        <v>0.22933486528888197</v>
      </c>
      <c r="P244" s="55">
        <f t="shared" si="264"/>
        <v>0.23284368872780192</v>
      </c>
      <c r="Q244" s="55">
        <f t="shared" si="264"/>
        <v>0.23640619716533726</v>
      </c>
      <c r="R244" s="55">
        <f t="shared" si="264"/>
        <v>0.24002321198196694</v>
      </c>
      <c r="S244" s="55">
        <f t="shared" si="264"/>
        <v>0.24369556712529103</v>
      </c>
      <c r="T244" s="55">
        <f t="shared" si="264"/>
        <v>0.24742410930230802</v>
      </c>
      <c r="U244" s="55">
        <f t="shared" si="264"/>
        <v>0.25120969817463334</v>
      </c>
      <c r="V244" s="55">
        <f t="shared" si="264"/>
        <v>0.25505320655670527</v>
      </c>
      <c r="W244" s="55">
        <f t="shared" si="264"/>
        <v>0.25895552061702282</v>
      </c>
      <c r="X244" s="55">
        <f t="shared" si="264"/>
        <v>0.26291754008246332</v>
      </c>
      <c r="Y244" s="55">
        <f t="shared" si="264"/>
        <v>0.26694017844572498</v>
      </c>
      <c r="Z244" s="55">
        <f t="shared" si="264"/>
        <v>0.27102436317594464</v>
      </c>
      <c r="AA244" s="55">
        <f t="shared" si="264"/>
        <v>0.2751710359325365</v>
      </c>
      <c r="AB244" s="55">
        <f t="shared" si="264"/>
        <v>0.27938115278230441</v>
      </c>
      <c r="AC244" s="55">
        <f t="shared" si="264"/>
        <v>0.28365568441987365</v>
      </c>
      <c r="AD244" s="55">
        <f t="shared" si="264"/>
        <v>0.28799561639149773</v>
      </c>
      <c r="AE244" s="55">
        <f t="shared" si="264"/>
        <v>0.29240194932228769</v>
      </c>
      <c r="AF244" s="55">
        <f t="shared" si="264"/>
        <v>0.29687569914691869</v>
      </c>
      <c r="AG244" s="55">
        <f t="shared" si="264"/>
        <v>0.30141789734386654</v>
      </c>
      <c r="AH244" s="55">
        <f t="shared" si="264"/>
        <v>0.30602959117322776</v>
      </c>
      <c r="AI244" s="55">
        <f t="shared" ref="AI244:BJ244" si="265">IF(AND(AI$127&gt;=$K33,AI$127&lt;=$L33),$G33*(1+$H33)^(AI$127-$B$5),0)</f>
        <v>0.31071184391817808</v>
      </c>
      <c r="AJ244" s="55">
        <f t="shared" si="265"/>
        <v>0.31546573513012627</v>
      </c>
      <c r="AK244" s="55">
        <f t="shared" si="265"/>
        <v>0.3202923608776172</v>
      </c>
      <c r="AL244" s="55">
        <f t="shared" si="265"/>
        <v>0.32519283399904475</v>
      </c>
      <c r="AM244" s="55">
        <f t="shared" si="265"/>
        <v>0.33016828435923018</v>
      </c>
      <c r="AN244" s="55">
        <f t="shared" si="265"/>
        <v>0.33521985910992641</v>
      </c>
      <c r="AO244" s="55">
        <f t="shared" si="265"/>
        <v>0.34034872295430824</v>
      </c>
      <c r="AP244" s="55">
        <f t="shared" si="265"/>
        <v>0.34555605841550918</v>
      </c>
      <c r="AQ244" s="55">
        <f t="shared" si="265"/>
        <v>0.35084306610926647</v>
      </c>
      <c r="AR244" s="55">
        <f t="shared" si="265"/>
        <v>0.35621096502073835</v>
      </c>
      <c r="AS244" s="55">
        <f t="shared" si="265"/>
        <v>0</v>
      </c>
      <c r="AT244" s="55">
        <f t="shared" si="265"/>
        <v>0</v>
      </c>
      <c r="AU244" s="55">
        <f t="shared" si="265"/>
        <v>0</v>
      </c>
      <c r="AV244" s="55">
        <f t="shared" si="265"/>
        <v>0</v>
      </c>
      <c r="AW244" s="55">
        <f t="shared" si="265"/>
        <v>0</v>
      </c>
      <c r="AX244" s="55">
        <f t="shared" si="265"/>
        <v>0</v>
      </c>
      <c r="AY244" s="55">
        <f t="shared" si="265"/>
        <v>0</v>
      </c>
      <c r="AZ244" s="55">
        <f t="shared" si="265"/>
        <v>0</v>
      </c>
      <c r="BA244" s="55">
        <f t="shared" si="265"/>
        <v>0</v>
      </c>
      <c r="BB244" s="55">
        <f t="shared" si="265"/>
        <v>0</v>
      </c>
      <c r="BC244" s="55">
        <f t="shared" si="265"/>
        <v>0</v>
      </c>
      <c r="BD244" s="55">
        <f t="shared" si="265"/>
        <v>0</v>
      </c>
      <c r="BE244" s="55">
        <f t="shared" si="265"/>
        <v>0</v>
      </c>
      <c r="BF244" s="55">
        <f t="shared" si="265"/>
        <v>0</v>
      </c>
      <c r="BG244" s="55">
        <f t="shared" si="265"/>
        <v>0</v>
      </c>
      <c r="BH244" s="55">
        <f t="shared" si="265"/>
        <v>0</v>
      </c>
      <c r="BI244" s="55">
        <f t="shared" si="265"/>
        <v>0</v>
      </c>
      <c r="BJ244" s="55">
        <f t="shared" si="265"/>
        <v>0</v>
      </c>
    </row>
    <row r="245" spans="1:62" x14ac:dyDescent="0.3">
      <c r="A245" s="53" t="str">
        <f t="shared" si="245"/>
        <v>project 23</v>
      </c>
      <c r="C245" s="55">
        <f t="shared" ref="C245:AH245" si="266">IF(AND(C$127&gt;=$K34,C$127&lt;=$L34),$G34*(1+$H34)^(C$127-$B$5),0)</f>
        <v>0</v>
      </c>
      <c r="D245" s="55">
        <f t="shared" si="266"/>
        <v>4.0325354869750592E-2</v>
      </c>
      <c r="E245" s="55">
        <f t="shared" si="266"/>
        <v>4.0926202657309875E-2</v>
      </c>
      <c r="F245" s="55">
        <f t="shared" si="266"/>
        <v>4.1536003076903791E-2</v>
      </c>
      <c r="G245" s="55">
        <f t="shared" si="266"/>
        <v>4.2154889522749657E-2</v>
      </c>
      <c r="H245" s="55">
        <f t="shared" si="266"/>
        <v>4.2782997376638626E-2</v>
      </c>
      <c r="I245" s="55">
        <f t="shared" si="266"/>
        <v>4.3420464037550538E-2</v>
      </c>
      <c r="J245" s="55">
        <f t="shared" si="266"/>
        <v>4.4067428951710036E-2</v>
      </c>
      <c r="K245" s="55">
        <f t="shared" si="266"/>
        <v>4.4724033643090522E-2</v>
      </c>
      <c r="L245" s="55">
        <f t="shared" si="266"/>
        <v>4.5390421744372564E-2</v>
      </c>
      <c r="M245" s="55">
        <f t="shared" si="266"/>
        <v>4.6066739028363717E-2</v>
      </c>
      <c r="N245" s="55">
        <f t="shared" si="266"/>
        <v>4.6753133439886338E-2</v>
      </c>
      <c r="O245" s="55">
        <f t="shared" si="266"/>
        <v>4.7449755128140647E-2</v>
      </c>
      <c r="P245" s="55">
        <f t="shared" si="266"/>
        <v>4.8156756479549936E-2</v>
      </c>
      <c r="Q245" s="55">
        <f t="shared" si="266"/>
        <v>4.8874292151095226E-2</v>
      </c>
      <c r="R245" s="55">
        <f t="shared" si="266"/>
        <v>4.960251910414655E-2</v>
      </c>
      <c r="S245" s="55">
        <f t="shared" si="266"/>
        <v>5.0341596638798329E-2</v>
      </c>
      <c r="T245" s="55">
        <f t="shared" si="266"/>
        <v>5.1091686428716421E-2</v>
      </c>
      <c r="U245" s="55">
        <f t="shared" si="266"/>
        <v>5.1852952556504295E-2</v>
      </c>
      <c r="V245" s="55">
        <f t="shared" si="266"/>
        <v>5.262556154959621E-2</v>
      </c>
      <c r="W245" s="55">
        <f t="shared" si="266"/>
        <v>5.34096824166852E-2</v>
      </c>
      <c r="X245" s="55">
        <f t="shared" si="266"/>
        <v>5.4205486684693799E-2</v>
      </c>
      <c r="Y245" s="55">
        <f t="shared" si="266"/>
        <v>5.501314843629574E-2</v>
      </c>
      <c r="Z245" s="55">
        <f t="shared" si="266"/>
        <v>5.5832844347996541E-2</v>
      </c>
      <c r="AA245" s="55">
        <f t="shared" si="266"/>
        <v>5.6664753728781693E-2</v>
      </c>
      <c r="AB245" s="55">
        <f t="shared" si="266"/>
        <v>5.7509058559340527E-2</v>
      </c>
      <c r="AC245" s="55">
        <f t="shared" si="266"/>
        <v>5.8365943531874707E-2</v>
      </c>
      <c r="AD245" s="55">
        <f t="shared" si="266"/>
        <v>5.9235596090499644E-2</v>
      </c>
      <c r="AE245" s="55">
        <f t="shared" si="266"/>
        <v>6.0118206472248095E-2</v>
      </c>
      <c r="AF245" s="55">
        <f t="shared" si="266"/>
        <v>6.1013967748684589E-2</v>
      </c>
      <c r="AG245" s="55">
        <f t="shared" si="266"/>
        <v>6.1923075868139978E-2</v>
      </c>
      <c r="AH245" s="55">
        <f t="shared" si="266"/>
        <v>6.2845729698575256E-2</v>
      </c>
      <c r="AI245" s="55">
        <f t="shared" ref="AI245:BJ245" si="267">IF(AND(AI$127&gt;=$K34,AI$127&lt;=$L34),$G34*(1+$H34)^(AI$127-$B$5),0)</f>
        <v>6.3782131071084033E-2</v>
      </c>
      <c r="AJ245" s="55">
        <f t="shared" si="267"/>
        <v>6.4732484824043188E-2</v>
      </c>
      <c r="AK245" s="55">
        <f t="shared" si="267"/>
        <v>6.5696998847921434E-2</v>
      </c>
      <c r="AL245" s="55">
        <f t="shared" si="267"/>
        <v>6.6675884130755453E-2</v>
      </c>
      <c r="AM245" s="55">
        <f t="shared" si="267"/>
        <v>6.7669354804303722E-2</v>
      </c>
      <c r="AN245" s="55">
        <f t="shared" si="267"/>
        <v>6.8677628190887838E-2</v>
      </c>
      <c r="AO245" s="55">
        <f t="shared" si="267"/>
        <v>6.9700924850932058E-2</v>
      </c>
      <c r="AP245" s="55">
        <f t="shared" si="267"/>
        <v>7.0739468631210944E-2</v>
      </c>
      <c r="AQ245" s="55">
        <f t="shared" si="267"/>
        <v>7.1793486713815996E-2</v>
      </c>
      <c r="AR245" s="55">
        <f t="shared" si="267"/>
        <v>0</v>
      </c>
      <c r="AS245" s="55">
        <f t="shared" si="267"/>
        <v>0</v>
      </c>
      <c r="AT245" s="55">
        <f t="shared" si="267"/>
        <v>0</v>
      </c>
      <c r="AU245" s="55">
        <f t="shared" si="267"/>
        <v>0</v>
      </c>
      <c r="AV245" s="55">
        <f t="shared" si="267"/>
        <v>0</v>
      </c>
      <c r="AW245" s="55">
        <f t="shared" si="267"/>
        <v>0</v>
      </c>
      <c r="AX245" s="55">
        <f t="shared" si="267"/>
        <v>0</v>
      </c>
      <c r="AY245" s="55">
        <f t="shared" si="267"/>
        <v>0</v>
      </c>
      <c r="AZ245" s="55">
        <f t="shared" si="267"/>
        <v>0</v>
      </c>
      <c r="BA245" s="55">
        <f t="shared" si="267"/>
        <v>0</v>
      </c>
      <c r="BB245" s="55">
        <f t="shared" si="267"/>
        <v>0</v>
      </c>
      <c r="BC245" s="55">
        <f t="shared" si="267"/>
        <v>0</v>
      </c>
      <c r="BD245" s="55">
        <f t="shared" si="267"/>
        <v>0</v>
      </c>
      <c r="BE245" s="55">
        <f t="shared" si="267"/>
        <v>0</v>
      </c>
      <c r="BF245" s="55">
        <f t="shared" si="267"/>
        <v>0</v>
      </c>
      <c r="BG245" s="55">
        <f t="shared" si="267"/>
        <v>0</v>
      </c>
      <c r="BH245" s="55">
        <f t="shared" si="267"/>
        <v>0</v>
      </c>
      <c r="BI245" s="55">
        <f t="shared" si="267"/>
        <v>0</v>
      </c>
      <c r="BJ245" s="55">
        <f t="shared" si="267"/>
        <v>0</v>
      </c>
    </row>
    <row r="246" spans="1:62" x14ac:dyDescent="0.3">
      <c r="A246" s="53" t="str">
        <f t="shared" si="245"/>
        <v>project 24</v>
      </c>
      <c r="C246" s="55">
        <f t="shared" ref="C246:AH246" si="268">IF(AND(C$127&gt;=$K35,C$127&lt;=$L35),$G35*(1+$H35)^(C$127-$B$5),0)</f>
        <v>0</v>
      </c>
      <c r="D246" s="55">
        <f t="shared" si="268"/>
        <v>0</v>
      </c>
      <c r="E246" s="55">
        <f t="shared" si="268"/>
        <v>0</v>
      </c>
      <c r="F246" s="55">
        <f t="shared" si="268"/>
        <v>0</v>
      </c>
      <c r="G246" s="55">
        <f t="shared" si="268"/>
        <v>0</v>
      </c>
      <c r="H246" s="55">
        <f t="shared" si="268"/>
        <v>0</v>
      </c>
      <c r="I246" s="55">
        <f t="shared" si="268"/>
        <v>0</v>
      </c>
      <c r="J246" s="55">
        <f t="shared" si="268"/>
        <v>0</v>
      </c>
      <c r="K246" s="55">
        <f t="shared" si="268"/>
        <v>0</v>
      </c>
      <c r="L246" s="55">
        <f t="shared" si="268"/>
        <v>0</v>
      </c>
      <c r="M246" s="55">
        <f t="shared" si="268"/>
        <v>0</v>
      </c>
      <c r="N246" s="55">
        <f t="shared" si="268"/>
        <v>7.9328137188238834E-2</v>
      </c>
      <c r="O246" s="55">
        <f t="shared" si="268"/>
        <v>8.1009893696629517E-2</v>
      </c>
      <c r="P246" s="55">
        <f t="shared" si="268"/>
        <v>8.2727303442998071E-2</v>
      </c>
      <c r="Q246" s="55">
        <f t="shared" si="268"/>
        <v>8.4481122275989626E-2</v>
      </c>
      <c r="R246" s="55">
        <f t="shared" si="268"/>
        <v>8.6272122068240614E-2</v>
      </c>
      <c r="S246" s="55">
        <f t="shared" si="268"/>
        <v>8.8101091056087322E-2</v>
      </c>
      <c r="T246" s="55">
        <f t="shared" si="268"/>
        <v>8.9968834186476374E-2</v>
      </c>
      <c r="U246" s="55">
        <f t="shared" si="268"/>
        <v>9.1876173471229686E-2</v>
      </c>
      <c r="V246" s="55">
        <f t="shared" si="268"/>
        <v>9.3823948348819769E-2</v>
      </c>
      <c r="W246" s="55">
        <f t="shared" si="268"/>
        <v>9.5813016053814745E-2</v>
      </c>
      <c r="X246" s="55">
        <f t="shared" si="268"/>
        <v>9.7844251994155626E-2</v>
      </c>
      <c r="Y246" s="55">
        <f t="shared" si="268"/>
        <v>9.9918550136431736E-2</v>
      </c>
      <c r="Z246" s="55">
        <f t="shared" si="268"/>
        <v>0.10203682339932409</v>
      </c>
      <c r="AA246" s="55">
        <f t="shared" si="268"/>
        <v>0.10420000405538977</v>
      </c>
      <c r="AB246" s="55">
        <f t="shared" si="268"/>
        <v>0.10640904414136405</v>
      </c>
      <c r="AC246" s="55">
        <f t="shared" si="268"/>
        <v>0.10866491587716098</v>
      </c>
      <c r="AD246" s="55">
        <f t="shared" si="268"/>
        <v>0.11096861209375679</v>
      </c>
      <c r="AE246" s="55">
        <f t="shared" si="268"/>
        <v>0.11332114667014447</v>
      </c>
      <c r="AF246" s="55">
        <f t="shared" si="268"/>
        <v>0.11572355497955152</v>
      </c>
      <c r="AG246" s="55">
        <f t="shared" si="268"/>
        <v>0.11817689434511802</v>
      </c>
      <c r="AH246" s="55">
        <f t="shared" si="268"/>
        <v>0.12068224450523453</v>
      </c>
      <c r="AI246" s="55">
        <f t="shared" ref="AI246:BJ246" si="269">IF(AND(AI$127&gt;=$K35,AI$127&lt;=$L35),$G35*(1+$H35)^(AI$127-$B$5),0)</f>
        <v>0.12324070808874552</v>
      </c>
      <c r="AJ246" s="55">
        <f t="shared" si="269"/>
        <v>0.12585341110022694</v>
      </c>
      <c r="AK246" s="55">
        <f t="shared" si="269"/>
        <v>0.12852150341555174</v>
      </c>
      <c r="AL246" s="55">
        <f t="shared" si="269"/>
        <v>0.13124615928796146</v>
      </c>
      <c r="AM246" s="55">
        <f t="shared" si="269"/>
        <v>0.13402857786486624</v>
      </c>
      <c r="AN246" s="55">
        <f t="shared" si="269"/>
        <v>0.13686998371560141</v>
      </c>
      <c r="AO246" s="55">
        <f t="shared" si="269"/>
        <v>0.13977162737037219</v>
      </c>
      <c r="AP246" s="55">
        <f t="shared" si="269"/>
        <v>0.14273478587062408</v>
      </c>
      <c r="AQ246" s="55">
        <f t="shared" si="269"/>
        <v>0.14576076333108132</v>
      </c>
      <c r="AR246" s="55">
        <f t="shared" si="269"/>
        <v>0.14885089151370026</v>
      </c>
      <c r="AS246" s="55">
        <f t="shared" si="269"/>
        <v>0.15200653041379072</v>
      </c>
      <c r="AT246" s="55">
        <f t="shared" si="269"/>
        <v>0.15522906885856308</v>
      </c>
      <c r="AU246" s="55">
        <f t="shared" si="269"/>
        <v>0.15851992511836463</v>
      </c>
      <c r="AV246" s="55">
        <f t="shared" si="269"/>
        <v>0.16188054753087397</v>
      </c>
      <c r="AW246" s="55">
        <f t="shared" si="269"/>
        <v>0.16531241513852854</v>
      </c>
      <c r="AX246" s="55">
        <f t="shared" si="269"/>
        <v>0.16881703833946535</v>
      </c>
      <c r="AY246" s="55">
        <f t="shared" si="269"/>
        <v>0.17239595955226203</v>
      </c>
      <c r="AZ246" s="55">
        <f t="shared" si="269"/>
        <v>0.17605075389476998</v>
      </c>
      <c r="BA246" s="55">
        <f t="shared" si="269"/>
        <v>0.17978302987733913</v>
      </c>
      <c r="BB246" s="55">
        <f t="shared" si="269"/>
        <v>0</v>
      </c>
      <c r="BC246" s="55">
        <f t="shared" si="269"/>
        <v>0</v>
      </c>
      <c r="BD246" s="55">
        <f t="shared" si="269"/>
        <v>0</v>
      </c>
      <c r="BE246" s="55">
        <f t="shared" si="269"/>
        <v>0</v>
      </c>
      <c r="BF246" s="55">
        <f t="shared" si="269"/>
        <v>0</v>
      </c>
      <c r="BG246" s="55">
        <f t="shared" si="269"/>
        <v>0</v>
      </c>
      <c r="BH246" s="55">
        <f t="shared" si="269"/>
        <v>0</v>
      </c>
      <c r="BI246" s="55">
        <f t="shared" si="269"/>
        <v>0</v>
      </c>
      <c r="BJ246" s="55">
        <f t="shared" si="269"/>
        <v>0</v>
      </c>
    </row>
    <row r="247" spans="1:62" x14ac:dyDescent="0.3">
      <c r="A247" s="53" t="str">
        <f t="shared" si="245"/>
        <v>project 26</v>
      </c>
      <c r="C247" s="55">
        <f t="shared" ref="C247:AH247" si="270">IF(AND(C$127&gt;=$K36,C$127&lt;=$L36),$G36*(1+$H36)^(C$127-$B$5),0)</f>
        <v>0</v>
      </c>
      <c r="D247" s="55">
        <f t="shared" si="270"/>
        <v>3.4813687246425418E-2</v>
      </c>
      <c r="E247" s="55">
        <f t="shared" si="270"/>
        <v>3.5346336661295726E-2</v>
      </c>
      <c r="F247" s="55">
        <f t="shared" si="270"/>
        <v>3.5887135612213558E-2</v>
      </c>
      <c r="G247" s="55">
        <f t="shared" si="270"/>
        <v>3.6436208787080426E-2</v>
      </c>
      <c r="H247" s="55">
        <f t="shared" si="270"/>
        <v>3.6993682781522763E-2</v>
      </c>
      <c r="I247" s="55">
        <f t="shared" si="270"/>
        <v>3.7559686128080055E-2</v>
      </c>
      <c r="J247" s="55">
        <f t="shared" si="270"/>
        <v>3.8134349325839687E-2</v>
      </c>
      <c r="K247" s="55">
        <f t="shared" si="270"/>
        <v>3.8717804870525029E-2</v>
      </c>
      <c r="L247" s="55">
        <f t="shared" si="270"/>
        <v>3.9310187285044068E-2</v>
      </c>
      <c r="M247" s="55">
        <f t="shared" si="270"/>
        <v>3.9911633150505242E-2</v>
      </c>
      <c r="N247" s="55">
        <f t="shared" si="270"/>
        <v>4.0522281137707977E-2</v>
      </c>
      <c r="O247" s="55">
        <f t="shared" si="270"/>
        <v>4.1142272039114913E-2</v>
      </c>
      <c r="P247" s="55">
        <f t="shared" si="270"/>
        <v>4.1771748801313374E-2</v>
      </c>
      <c r="Q247" s="55">
        <f t="shared" si="270"/>
        <v>4.241085655797347E-2</v>
      </c>
      <c r="R247" s="55">
        <f t="shared" si="270"/>
        <v>4.3059742663310467E-2</v>
      </c>
      <c r="S247" s="55">
        <f t="shared" si="270"/>
        <v>4.3718556726059114E-2</v>
      </c>
      <c r="T247" s="55">
        <f t="shared" si="270"/>
        <v>4.4387450643967818E-2</v>
      </c>
      <c r="U247" s="55">
        <f t="shared" si="270"/>
        <v>4.5066578638820534E-2</v>
      </c>
      <c r="V247" s="55">
        <f t="shared" si="270"/>
        <v>4.5756097291994494E-2</v>
      </c>
      <c r="W247" s="55">
        <f t="shared" si="270"/>
        <v>4.6456165580562002E-2</v>
      </c>
      <c r="X247" s="55">
        <f t="shared" si="270"/>
        <v>4.716694491394461E-2</v>
      </c>
      <c r="Y247" s="55">
        <f t="shared" si="270"/>
        <v>4.7888599171127956E-2</v>
      </c>
      <c r="Z247" s="55">
        <f t="shared" si="270"/>
        <v>4.8621294738446223E-2</v>
      </c>
      <c r="AA247" s="55">
        <f t="shared" si="270"/>
        <v>4.9365200547944445E-2</v>
      </c>
      <c r="AB247" s="55">
        <f t="shared" si="270"/>
        <v>5.0120488116328007E-2</v>
      </c>
      <c r="AC247" s="55">
        <f t="shared" si="270"/>
        <v>5.0887331584507825E-2</v>
      </c>
      <c r="AD247" s="55">
        <f t="shared" si="270"/>
        <v>5.1665907757750797E-2</v>
      </c>
      <c r="AE247" s="55">
        <f t="shared" si="270"/>
        <v>5.2456396146444387E-2</v>
      </c>
      <c r="AF247" s="55">
        <f t="shared" si="270"/>
        <v>5.325897900748499E-2</v>
      </c>
      <c r="AG247" s="55">
        <f t="shared" si="270"/>
        <v>5.4073841386299511E-2</v>
      </c>
      <c r="AH247" s="55">
        <f t="shared" si="270"/>
        <v>5.4901171159509897E-2</v>
      </c>
      <c r="AI247" s="55">
        <f t="shared" ref="AI247:BJ247" si="271">IF(AND(AI$127&gt;=$K36,AI$127&lt;=$L36),$G36*(1+$H36)^(AI$127-$B$5),0)</f>
        <v>5.5741159078250398E-2</v>
      </c>
      <c r="AJ247" s="55">
        <f t="shared" si="271"/>
        <v>5.6593998812147626E-2</v>
      </c>
      <c r="AK247" s="55">
        <f t="shared" si="271"/>
        <v>5.7459886993973495E-2</v>
      </c>
      <c r="AL247" s="55">
        <f t="shared" si="271"/>
        <v>5.8339023264981291E-2</v>
      </c>
      <c r="AM247" s="55">
        <f t="shared" si="271"/>
        <v>5.9231610320935504E-2</v>
      </c>
      <c r="AN247" s="55">
        <f t="shared" si="271"/>
        <v>6.0137853958845827E-2</v>
      </c>
      <c r="AO247" s="55">
        <f t="shared" si="271"/>
        <v>6.1057963124416158E-2</v>
      </c>
      <c r="AP247" s="55">
        <f t="shared" si="271"/>
        <v>6.1992149960219733E-2</v>
      </c>
      <c r="AQ247" s="55">
        <f t="shared" si="271"/>
        <v>6.2940629854611102E-2</v>
      </c>
      <c r="AR247" s="55">
        <f t="shared" si="271"/>
        <v>0</v>
      </c>
      <c r="AS247" s="55">
        <f t="shared" si="271"/>
        <v>0</v>
      </c>
      <c r="AT247" s="55">
        <f t="shared" si="271"/>
        <v>0</v>
      </c>
      <c r="AU247" s="55">
        <f t="shared" si="271"/>
        <v>0</v>
      </c>
      <c r="AV247" s="55">
        <f t="shared" si="271"/>
        <v>0</v>
      </c>
      <c r="AW247" s="55">
        <f t="shared" si="271"/>
        <v>0</v>
      </c>
      <c r="AX247" s="55">
        <f t="shared" si="271"/>
        <v>0</v>
      </c>
      <c r="AY247" s="55">
        <f t="shared" si="271"/>
        <v>0</v>
      </c>
      <c r="AZ247" s="55">
        <f t="shared" si="271"/>
        <v>0</v>
      </c>
      <c r="BA247" s="55">
        <f t="shared" si="271"/>
        <v>0</v>
      </c>
      <c r="BB247" s="55">
        <f t="shared" si="271"/>
        <v>0</v>
      </c>
      <c r="BC247" s="55">
        <f t="shared" si="271"/>
        <v>0</v>
      </c>
      <c r="BD247" s="55">
        <f t="shared" si="271"/>
        <v>0</v>
      </c>
      <c r="BE247" s="55">
        <f t="shared" si="271"/>
        <v>0</v>
      </c>
      <c r="BF247" s="55">
        <f t="shared" si="271"/>
        <v>0</v>
      </c>
      <c r="BG247" s="55">
        <f t="shared" si="271"/>
        <v>0</v>
      </c>
      <c r="BH247" s="55">
        <f t="shared" si="271"/>
        <v>0</v>
      </c>
      <c r="BI247" s="55">
        <f t="shared" si="271"/>
        <v>0</v>
      </c>
      <c r="BJ247" s="55">
        <f t="shared" si="271"/>
        <v>0</v>
      </c>
    </row>
    <row r="248" spans="1:62" x14ac:dyDescent="0.3">
      <c r="A248" s="53" t="str">
        <f t="shared" si="245"/>
        <v>project 27</v>
      </c>
      <c r="C248" s="55">
        <f t="shared" ref="C248:AH248" si="272">IF(AND(C$127&gt;=$K37,C$127&lt;=$L37),$G37*(1+$H37)^(C$127-$B$5),0)</f>
        <v>0</v>
      </c>
      <c r="D248" s="55">
        <f t="shared" si="272"/>
        <v>0</v>
      </c>
      <c r="E248" s="55">
        <f t="shared" si="272"/>
        <v>0</v>
      </c>
      <c r="F248" s="55">
        <f t="shared" si="272"/>
        <v>0</v>
      </c>
      <c r="G248" s="55">
        <f t="shared" si="272"/>
        <v>0</v>
      </c>
      <c r="H248" s="55">
        <f t="shared" si="272"/>
        <v>0</v>
      </c>
      <c r="I248" s="55">
        <f t="shared" si="272"/>
        <v>0</v>
      </c>
      <c r="J248" s="55">
        <f t="shared" si="272"/>
        <v>0</v>
      </c>
      <c r="K248" s="55">
        <f t="shared" si="272"/>
        <v>0</v>
      </c>
      <c r="L248" s="55">
        <f t="shared" si="272"/>
        <v>0</v>
      </c>
      <c r="M248" s="55">
        <f t="shared" si="272"/>
        <v>0</v>
      </c>
      <c r="N248" s="55">
        <f t="shared" si="272"/>
        <v>0</v>
      </c>
      <c r="O248" s="55">
        <f t="shared" si="272"/>
        <v>0</v>
      </c>
      <c r="P248" s="55">
        <f t="shared" si="272"/>
        <v>0</v>
      </c>
      <c r="Q248" s="55">
        <f t="shared" si="272"/>
        <v>7.0797955982479455E-2</v>
      </c>
      <c r="R248" s="55">
        <f t="shared" si="272"/>
        <v>7.233427162729926E-2</v>
      </c>
      <c r="S248" s="55">
        <f t="shared" si="272"/>
        <v>7.3903925321611677E-2</v>
      </c>
      <c r="T248" s="55">
        <f t="shared" si="272"/>
        <v>7.5507640501090656E-2</v>
      </c>
      <c r="U248" s="55">
        <f t="shared" si="272"/>
        <v>7.7146156299964339E-2</v>
      </c>
      <c r="V248" s="55">
        <f t="shared" si="272"/>
        <v>7.8820227891673561E-2</v>
      </c>
      <c r="W248" s="55">
        <f t="shared" si="272"/>
        <v>8.05306268369229E-2</v>
      </c>
      <c r="X248" s="55">
        <f t="shared" si="272"/>
        <v>8.2278141439284122E-2</v>
      </c>
      <c r="Y248" s="55">
        <f t="shared" si="272"/>
        <v>8.4063577108516599E-2</v>
      </c>
      <c r="Z248" s="55">
        <f t="shared" si="272"/>
        <v>8.5887756731771417E-2</v>
      </c>
      <c r="AA248" s="55">
        <f t="shared" si="272"/>
        <v>8.7751521052850875E-2</v>
      </c>
      <c r="AB248" s="55">
        <f t="shared" si="272"/>
        <v>8.965572905969775E-2</v>
      </c>
      <c r="AC248" s="55">
        <f t="shared" si="272"/>
        <v>9.1601258380293205E-2</v>
      </c>
      <c r="AD248" s="55">
        <f t="shared" si="272"/>
        <v>9.3589005687145552E-2</v>
      </c>
      <c r="AE248" s="55">
        <f t="shared" si="272"/>
        <v>9.5619887110556634E-2</v>
      </c>
      <c r="AF248" s="55">
        <f t="shared" si="272"/>
        <v>9.7694838660855723E-2</v>
      </c>
      <c r="AG248" s="55">
        <f t="shared" si="272"/>
        <v>9.9814816659796302E-2</v>
      </c>
      <c r="AH248" s="55">
        <f t="shared" si="272"/>
        <v>0.10198079818131388</v>
      </c>
      <c r="AI248" s="55">
        <f t="shared" ref="AI248:BJ248" si="273">IF(AND(AI$127&gt;=$K37,AI$127&lt;=$L37),$G37*(1+$H37)^(AI$127-$B$5),0)</f>
        <v>0.10419378150184842</v>
      </c>
      <c r="AJ248" s="55">
        <f t="shared" si="273"/>
        <v>0.10645478656043854</v>
      </c>
      <c r="AK248" s="55">
        <f t="shared" si="273"/>
        <v>0.10876485542880009</v>
      </c>
      <c r="AL248" s="55">
        <f t="shared" si="273"/>
        <v>0.11112505279160503</v>
      </c>
      <c r="AM248" s="55">
        <f t="shared" si="273"/>
        <v>0.1135364664371829</v>
      </c>
      <c r="AN248" s="55">
        <f t="shared" si="273"/>
        <v>0.11600020775886977</v>
      </c>
      <c r="AO248" s="55">
        <f t="shared" si="273"/>
        <v>0.11851741226723725</v>
      </c>
      <c r="AP248" s="55">
        <f t="shared" si="273"/>
        <v>0.1210892401134363</v>
      </c>
      <c r="AQ248" s="55">
        <f t="shared" si="273"/>
        <v>0.12371687662389792</v>
      </c>
      <c r="AR248" s="55">
        <f t="shared" si="273"/>
        <v>0.12640153284663652</v>
      </c>
      <c r="AS248" s="55">
        <f t="shared" si="273"/>
        <v>0.12914444610940853</v>
      </c>
      <c r="AT248" s="55">
        <f t="shared" si="273"/>
        <v>0.13194688058998269</v>
      </c>
      <c r="AU248" s="55">
        <f t="shared" si="273"/>
        <v>0.13481012789878535</v>
      </c>
      <c r="AV248" s="55">
        <f t="shared" si="273"/>
        <v>0.13773550767418899</v>
      </c>
      <c r="AW248" s="55">
        <f t="shared" si="273"/>
        <v>0.14072436819071893</v>
      </c>
      <c r="AX248" s="55">
        <f t="shared" si="273"/>
        <v>0.14377808698045749</v>
      </c>
      <c r="AY248" s="55">
        <f t="shared" si="273"/>
        <v>0.14689807146793349</v>
      </c>
      <c r="AZ248" s="55">
        <f t="shared" si="273"/>
        <v>0.15008575961878765</v>
      </c>
      <c r="BA248" s="55">
        <f t="shared" si="273"/>
        <v>0.15334262060251538</v>
      </c>
      <c r="BB248" s="55">
        <f t="shared" si="273"/>
        <v>0.15667015546958996</v>
      </c>
      <c r="BC248" s="55">
        <f t="shared" si="273"/>
        <v>0.1600698978432801</v>
      </c>
      <c r="BD248" s="55">
        <f t="shared" si="273"/>
        <v>0.16354341462647926</v>
      </c>
      <c r="BE248" s="55">
        <f t="shared" si="273"/>
        <v>0</v>
      </c>
      <c r="BF248" s="55">
        <f t="shared" si="273"/>
        <v>0</v>
      </c>
      <c r="BG248" s="55">
        <f t="shared" si="273"/>
        <v>0</v>
      </c>
      <c r="BH248" s="55">
        <f t="shared" si="273"/>
        <v>0</v>
      </c>
      <c r="BI248" s="55">
        <f t="shared" si="273"/>
        <v>0</v>
      </c>
      <c r="BJ248" s="55">
        <f t="shared" si="273"/>
        <v>0</v>
      </c>
    </row>
    <row r="249" spans="1:62" x14ac:dyDescent="0.3">
      <c r="A249" s="53" t="str">
        <f t="shared" si="245"/>
        <v>project 28</v>
      </c>
      <c r="C249" s="55">
        <f t="shared" ref="C249:AH249" si="274">IF(AND(C$127&gt;=$K38,C$127&lt;=$L38),$G38*(1+$H38)^(C$127-$B$5),0)</f>
        <v>0</v>
      </c>
      <c r="D249" s="55">
        <f t="shared" si="274"/>
        <v>0</v>
      </c>
      <c r="E249" s="55">
        <f t="shared" si="274"/>
        <v>7.9910677714847569E-2</v>
      </c>
      <c r="F249" s="55">
        <f t="shared" si="274"/>
        <v>7.8312464160550627E-2</v>
      </c>
      <c r="G249" s="55">
        <f t="shared" si="274"/>
        <v>7.6746214877339611E-2</v>
      </c>
      <c r="H249" s="55">
        <f t="shared" si="274"/>
        <v>7.5211290579792811E-2</v>
      </c>
      <c r="I249" s="55">
        <f t="shared" si="274"/>
        <v>7.3707064768196953E-2</v>
      </c>
      <c r="J249" s="55">
        <f t="shared" si="274"/>
        <v>7.2232923472833013E-2</v>
      </c>
      <c r="K249" s="55">
        <f t="shared" si="274"/>
        <v>7.0788265003376344E-2</v>
      </c>
      <c r="L249" s="55">
        <f t="shared" si="274"/>
        <v>6.9372499703308818E-2</v>
      </c>
      <c r="M249" s="55">
        <f t="shared" si="274"/>
        <v>6.7985049709242643E-2</v>
      </c>
      <c r="N249" s="55">
        <f t="shared" si="274"/>
        <v>6.6625348715057778E-2</v>
      </c>
      <c r="O249" s="55">
        <f t="shared" si="274"/>
        <v>6.5292841740756627E-2</v>
      </c>
      <c r="P249" s="55">
        <f t="shared" si="274"/>
        <v>6.3986984905941499E-2</v>
      </c>
      <c r="Q249" s="55">
        <f t="shared" si="274"/>
        <v>6.2707245207822657E-2</v>
      </c>
      <c r="R249" s="55">
        <f t="shared" si="274"/>
        <v>6.1453100303666207E-2</v>
      </c>
      <c r="S249" s="55">
        <f t="shared" si="274"/>
        <v>6.0224038297592881E-2</v>
      </c>
      <c r="T249" s="55">
        <f t="shared" si="274"/>
        <v>5.9019557531641023E-2</v>
      </c>
      <c r="U249" s="55">
        <f t="shared" si="274"/>
        <v>5.7839166381008202E-2</v>
      </c>
      <c r="V249" s="55">
        <f t="shared" si="274"/>
        <v>5.6682383053388033E-2</v>
      </c>
      <c r="W249" s="55">
        <f t="shared" si="274"/>
        <v>5.5548735392320275E-2</v>
      </c>
      <c r="X249" s="55">
        <f t="shared" si="274"/>
        <v>5.4437760684473868E-2</v>
      </c>
      <c r="Y249" s="55">
        <f t="shared" si="274"/>
        <v>5.3349005470784389E-2</v>
      </c>
      <c r="Z249" s="55">
        <f t="shared" si="274"/>
        <v>5.2282025361368695E-2</v>
      </c>
      <c r="AA249" s="55">
        <f t="shared" si="274"/>
        <v>5.1236384854141323E-2</v>
      </c>
      <c r="AB249" s="55">
        <f t="shared" si="274"/>
        <v>5.0211657157058491E-2</v>
      </c>
      <c r="AC249" s="55">
        <f t="shared" si="274"/>
        <v>4.9207424013917325E-2</v>
      </c>
      <c r="AD249" s="55">
        <f t="shared" si="274"/>
        <v>4.8223275533638969E-2</v>
      </c>
      <c r="AE249" s="55">
        <f t="shared" si="274"/>
        <v>4.725881002296619E-2</v>
      </c>
      <c r="AF249" s="55">
        <f t="shared" si="274"/>
        <v>4.6313633822506868E-2</v>
      </c>
      <c r="AG249" s="55">
        <f t="shared" si="274"/>
        <v>4.538736114605673E-2</v>
      </c>
      <c r="AH249" s="55">
        <f t="shared" si="274"/>
        <v>4.447961392313559E-2</v>
      </c>
      <c r="AI249" s="55">
        <f t="shared" ref="AI249:BJ249" si="275">IF(AND(AI$127&gt;=$K38,AI$127&lt;=$L38),$G38*(1+$H38)^(AI$127-$B$5),0)</f>
        <v>4.3590021644672877E-2</v>
      </c>
      <c r="AJ249" s="55">
        <f t="shared" si="275"/>
        <v>4.2718221211779421E-2</v>
      </c>
      <c r="AK249" s="55">
        <f t="shared" si="275"/>
        <v>4.1863856787543834E-2</v>
      </c>
      <c r="AL249" s="55">
        <f t="shared" si="275"/>
        <v>4.1026579651792953E-2</v>
      </c>
      <c r="AM249" s="55">
        <f t="shared" si="275"/>
        <v>4.0206048058757091E-2</v>
      </c>
      <c r="AN249" s="55">
        <f t="shared" si="275"/>
        <v>3.9401927097581946E-2</v>
      </c>
      <c r="AO249" s="55">
        <f t="shared" si="275"/>
        <v>3.8613888555630305E-2</v>
      </c>
      <c r="AP249" s="55">
        <f t="shared" si="275"/>
        <v>3.7841610784517699E-2</v>
      </c>
      <c r="AQ249" s="55">
        <f t="shared" si="275"/>
        <v>3.7084778568827345E-2</v>
      </c>
      <c r="AR249" s="55">
        <f t="shared" si="275"/>
        <v>3.6343082997450801E-2</v>
      </c>
      <c r="AS249" s="55">
        <f t="shared" si="275"/>
        <v>0</v>
      </c>
      <c r="AT249" s="55">
        <f t="shared" si="275"/>
        <v>0</v>
      </c>
      <c r="AU249" s="55">
        <f t="shared" si="275"/>
        <v>0</v>
      </c>
      <c r="AV249" s="55">
        <f t="shared" si="275"/>
        <v>0</v>
      </c>
      <c r="AW249" s="55">
        <f t="shared" si="275"/>
        <v>0</v>
      </c>
      <c r="AX249" s="55">
        <f t="shared" si="275"/>
        <v>0</v>
      </c>
      <c r="AY249" s="55">
        <f t="shared" si="275"/>
        <v>0</v>
      </c>
      <c r="AZ249" s="55">
        <f t="shared" si="275"/>
        <v>0</v>
      </c>
      <c r="BA249" s="55">
        <f t="shared" si="275"/>
        <v>0</v>
      </c>
      <c r="BB249" s="55">
        <f t="shared" si="275"/>
        <v>0</v>
      </c>
      <c r="BC249" s="55">
        <f t="shared" si="275"/>
        <v>0</v>
      </c>
      <c r="BD249" s="55">
        <f t="shared" si="275"/>
        <v>0</v>
      </c>
      <c r="BE249" s="55">
        <f t="shared" si="275"/>
        <v>0</v>
      </c>
      <c r="BF249" s="55">
        <f t="shared" si="275"/>
        <v>0</v>
      </c>
      <c r="BG249" s="55">
        <f t="shared" si="275"/>
        <v>0</v>
      </c>
      <c r="BH249" s="55">
        <f t="shared" si="275"/>
        <v>0</v>
      </c>
      <c r="BI249" s="55">
        <f t="shared" si="275"/>
        <v>0</v>
      </c>
      <c r="BJ249" s="55">
        <f t="shared" si="275"/>
        <v>0</v>
      </c>
    </row>
    <row r="250" spans="1:62" x14ac:dyDescent="0.3">
      <c r="A250" s="53" t="str">
        <f t="shared" si="245"/>
        <v>project 29</v>
      </c>
      <c r="C250" s="55">
        <f t="shared" ref="C250:AH250" si="276">IF(AND(C$127&gt;=$K39,C$127&lt;=$L39),$G39*(1+$H39)^(C$127-$B$5),0)</f>
        <v>0</v>
      </c>
      <c r="D250" s="55">
        <f t="shared" si="276"/>
        <v>0</v>
      </c>
      <c r="E250" s="55">
        <f t="shared" si="276"/>
        <v>0</v>
      </c>
      <c r="F250" s="55">
        <f t="shared" si="276"/>
        <v>0</v>
      </c>
      <c r="G250" s="55">
        <f t="shared" si="276"/>
        <v>0</v>
      </c>
      <c r="H250" s="55">
        <f t="shared" si="276"/>
        <v>0</v>
      </c>
      <c r="I250" s="55">
        <f t="shared" si="276"/>
        <v>0</v>
      </c>
      <c r="J250" s="55">
        <f t="shared" si="276"/>
        <v>0</v>
      </c>
      <c r="K250" s="55">
        <f t="shared" si="276"/>
        <v>0</v>
      </c>
      <c r="L250" s="55">
        <f t="shared" si="276"/>
        <v>0</v>
      </c>
      <c r="M250" s="55">
        <f t="shared" si="276"/>
        <v>2.9552602850591254E-2</v>
      </c>
      <c r="N250" s="55">
        <f t="shared" si="276"/>
        <v>3.0084549701901896E-2</v>
      </c>
      <c r="O250" s="55">
        <f t="shared" si="276"/>
        <v>3.0626071596536127E-2</v>
      </c>
      <c r="P250" s="55">
        <f t="shared" si="276"/>
        <v>3.1177340885273783E-2</v>
      </c>
      <c r="Q250" s="55">
        <f t="shared" si="276"/>
        <v>3.1738533021208708E-2</v>
      </c>
      <c r="R250" s="55">
        <f t="shared" si="276"/>
        <v>3.2309826615590474E-2</v>
      </c>
      <c r="S250" s="55">
        <f t="shared" si="276"/>
        <v>3.2891403494671095E-2</v>
      </c>
      <c r="T250" s="55">
        <f t="shared" si="276"/>
        <v>3.3483448757575182E-2</v>
      </c>
      <c r="U250" s="55">
        <f t="shared" si="276"/>
        <v>3.4086150835211534E-2</v>
      </c>
      <c r="V250" s="55">
        <f t="shared" si="276"/>
        <v>3.4699701550245342E-2</v>
      </c>
      <c r="W250" s="55">
        <f t="shared" si="276"/>
        <v>3.5324296178149757E-2</v>
      </c>
      <c r="X250" s="55">
        <f t="shared" si="276"/>
        <v>3.5960133509356451E-2</v>
      </c>
      <c r="Y250" s="55">
        <f t="shared" si="276"/>
        <v>3.6607415912524865E-2</v>
      </c>
      <c r="Z250" s="55">
        <f t="shared" si="276"/>
        <v>3.7266349398950321E-2</v>
      </c>
      <c r="AA250" s="55">
        <f t="shared" si="276"/>
        <v>3.7937143688131419E-2</v>
      </c>
      <c r="AB250" s="55">
        <f t="shared" si="276"/>
        <v>3.8620012274517793E-2</v>
      </c>
      <c r="AC250" s="55">
        <f t="shared" si="276"/>
        <v>3.9315172495459114E-2</v>
      </c>
      <c r="AD250" s="55">
        <f t="shared" si="276"/>
        <v>4.0022845600377374E-2</v>
      </c>
      <c r="AE250" s="55">
        <f t="shared" si="276"/>
        <v>4.0743256821184161E-2</v>
      </c>
      <c r="AF250" s="55">
        <f t="shared" si="276"/>
        <v>4.1476635443965487E-2</v>
      </c>
      <c r="AG250" s="55">
        <f t="shared" si="276"/>
        <v>4.2223214881956864E-2</v>
      </c>
      <c r="AH250" s="55">
        <f t="shared" si="276"/>
        <v>4.2983232749832088E-2</v>
      </c>
      <c r="AI250" s="55">
        <f t="shared" ref="AI250:BJ250" si="277">IF(AND(AI$127&gt;=$K39,AI$127&lt;=$L39),$G39*(1+$H39)^(AI$127-$B$5),0)</f>
        <v>4.3756930939329065E-2</v>
      </c>
      <c r="AJ250" s="55">
        <f t="shared" si="277"/>
        <v>4.4544555696236991E-2</v>
      </c>
      <c r="AK250" s="55">
        <f t="shared" si="277"/>
        <v>4.5346357698769255E-2</v>
      </c>
      <c r="AL250" s="55">
        <f t="shared" si="277"/>
        <v>4.6162592137347108E-2</v>
      </c>
      <c r="AM250" s="55">
        <f t="shared" si="277"/>
        <v>4.6993518795819353E-2</v>
      </c>
      <c r="AN250" s="55">
        <f t="shared" si="277"/>
        <v>4.7839402134144102E-2</v>
      </c>
      <c r="AO250" s="55">
        <f t="shared" si="277"/>
        <v>4.8700511372558694E-2</v>
      </c>
      <c r="AP250" s="55">
        <f t="shared" si="277"/>
        <v>4.9577120577264759E-2</v>
      </c>
      <c r="AQ250" s="55">
        <f t="shared" si="277"/>
        <v>5.0469508747655524E-2</v>
      </c>
      <c r="AR250" s="55">
        <f t="shared" si="277"/>
        <v>5.1377959905113312E-2</v>
      </c>
      <c r="AS250" s="55">
        <f t="shared" si="277"/>
        <v>5.2302763183405362E-2</v>
      </c>
      <c r="AT250" s="55">
        <f t="shared" si="277"/>
        <v>5.3244212920706663E-2</v>
      </c>
      <c r="AU250" s="55">
        <f t="shared" si="277"/>
        <v>5.4202608753279369E-2</v>
      </c>
      <c r="AV250" s="55">
        <f t="shared" si="277"/>
        <v>5.5178255710838411E-2</v>
      </c>
      <c r="AW250" s="55">
        <f t="shared" si="277"/>
        <v>5.6171464313633498E-2</v>
      </c>
      <c r="AX250" s="55">
        <f t="shared" si="277"/>
        <v>5.7182550671278906E-2</v>
      </c>
      <c r="AY250" s="55">
        <f t="shared" si="277"/>
        <v>5.8211836583361924E-2</v>
      </c>
      <c r="AZ250" s="55">
        <f t="shared" si="277"/>
        <v>5.9259649641862443E-2</v>
      </c>
      <c r="BA250" s="55">
        <f t="shared" si="277"/>
        <v>0</v>
      </c>
      <c r="BB250" s="55">
        <f t="shared" si="277"/>
        <v>0</v>
      </c>
      <c r="BC250" s="55">
        <f t="shared" si="277"/>
        <v>0</v>
      </c>
      <c r="BD250" s="55">
        <f t="shared" si="277"/>
        <v>0</v>
      </c>
      <c r="BE250" s="55">
        <f t="shared" si="277"/>
        <v>0</v>
      </c>
      <c r="BF250" s="55">
        <f t="shared" si="277"/>
        <v>0</v>
      </c>
      <c r="BG250" s="55">
        <f t="shared" si="277"/>
        <v>0</v>
      </c>
      <c r="BH250" s="55">
        <f t="shared" si="277"/>
        <v>0</v>
      </c>
      <c r="BI250" s="55">
        <f t="shared" si="277"/>
        <v>0</v>
      </c>
      <c r="BJ250" s="55">
        <f t="shared" si="277"/>
        <v>0</v>
      </c>
    </row>
    <row r="251" spans="1:62" x14ac:dyDescent="0.3">
      <c r="A251" s="53" t="str">
        <f t="shared" si="245"/>
        <v>project 32</v>
      </c>
      <c r="C251" s="55">
        <f t="shared" ref="C251:AH251" si="278">IF(AND(C$127&gt;=$K40,C$127&lt;=$L40),$G40*(1+$H40)^(C$127-$B$5),0)</f>
        <v>0</v>
      </c>
      <c r="D251" s="55">
        <f t="shared" si="278"/>
        <v>0</v>
      </c>
      <c r="E251" s="55">
        <f t="shared" si="278"/>
        <v>0</v>
      </c>
      <c r="F251" s="55">
        <f t="shared" si="278"/>
        <v>1.9454409736784344</v>
      </c>
      <c r="G251" s="55">
        <f t="shared" si="278"/>
        <v>1.9734553236994041</v>
      </c>
      <c r="H251" s="55">
        <f t="shared" si="278"/>
        <v>2.0018730803606752</v>
      </c>
      <c r="I251" s="55">
        <f t="shared" si="278"/>
        <v>2.0307000527178691</v>
      </c>
      <c r="J251" s="55">
        <f t="shared" si="278"/>
        <v>2.0599421334770067</v>
      </c>
      <c r="K251" s="55">
        <f t="shared" si="278"/>
        <v>2.0896053001990755</v>
      </c>
      <c r="L251" s="55">
        <f t="shared" si="278"/>
        <v>2.119695616521942</v>
      </c>
      <c r="M251" s="55">
        <f t="shared" si="278"/>
        <v>2.1502192333998584</v>
      </c>
      <c r="N251" s="55">
        <f t="shared" si="278"/>
        <v>2.1811823903608163</v>
      </c>
      <c r="O251" s="55">
        <f t="shared" si="278"/>
        <v>2.2125914167820127</v>
      </c>
      <c r="P251" s="55">
        <f t="shared" si="278"/>
        <v>2.2444527331836732</v>
      </c>
      <c r="Q251" s="55">
        <f t="shared" si="278"/>
        <v>2.2767728525415185</v>
      </c>
      <c r="R251" s="55">
        <f t="shared" si="278"/>
        <v>2.3095583816181162</v>
      </c>
      <c r="S251" s="55">
        <f t="shared" si="278"/>
        <v>2.3428160223134173</v>
      </c>
      <c r="T251" s="55">
        <f t="shared" si="278"/>
        <v>2.3765525730347306</v>
      </c>
      <c r="U251" s="55">
        <f t="shared" si="278"/>
        <v>2.410774930086431</v>
      </c>
      <c r="V251" s="55">
        <f t="shared" si="278"/>
        <v>2.4454900890796756</v>
      </c>
      <c r="W251" s="55">
        <f t="shared" si="278"/>
        <v>2.480705146362423</v>
      </c>
      <c r="X251" s="55">
        <f t="shared" si="278"/>
        <v>2.5164273004700419</v>
      </c>
      <c r="Y251" s="55">
        <f t="shared" si="278"/>
        <v>2.5526638535968105</v>
      </c>
      <c r="Z251" s="55">
        <f t="shared" si="278"/>
        <v>2.5894222130886049</v>
      </c>
      <c r="AA251" s="55">
        <f t="shared" si="278"/>
        <v>2.6267098929570811</v>
      </c>
      <c r="AB251" s="55">
        <f t="shared" si="278"/>
        <v>2.6645345154156628</v>
      </c>
      <c r="AC251" s="55">
        <f t="shared" si="278"/>
        <v>2.7029038124376492</v>
      </c>
      <c r="AD251" s="55">
        <f t="shared" si="278"/>
        <v>2.7418256273367509</v>
      </c>
      <c r="AE251" s="55">
        <f t="shared" si="278"/>
        <v>2.7813079163704004</v>
      </c>
      <c r="AF251" s="55">
        <f t="shared" si="278"/>
        <v>2.8213587503661341</v>
      </c>
      <c r="AG251" s="55">
        <f t="shared" si="278"/>
        <v>2.8619863163714063</v>
      </c>
      <c r="AH251" s="55">
        <f t="shared" si="278"/>
        <v>2.903198919327155</v>
      </c>
      <c r="AI251" s="55">
        <f t="shared" ref="AI251:BJ251" si="279">IF(AND(AI$127&gt;=$K40,AI$127&lt;=$L40),$G40*(1+$H40)^(AI$127-$B$5),0)</f>
        <v>2.9450049837654664</v>
      </c>
      <c r="AJ251" s="55">
        <f t="shared" si="279"/>
        <v>2.9874130555316887</v>
      </c>
      <c r="AK251" s="55">
        <f t="shared" si="279"/>
        <v>3.0304318035313456</v>
      </c>
      <c r="AL251" s="55">
        <f t="shared" si="279"/>
        <v>3.0740700215021968</v>
      </c>
      <c r="AM251" s="55">
        <f t="shared" si="279"/>
        <v>3.1183366298118287</v>
      </c>
      <c r="AN251" s="55">
        <f t="shared" si="279"/>
        <v>3.1632406772811188</v>
      </c>
      <c r="AO251" s="55">
        <f t="shared" si="279"/>
        <v>3.2087913430339676</v>
      </c>
      <c r="AP251" s="55">
        <f t="shared" si="279"/>
        <v>3.2549979383736565</v>
      </c>
      <c r="AQ251" s="55">
        <f t="shared" si="279"/>
        <v>3.3018699086862378</v>
      </c>
      <c r="AR251" s="55">
        <f t="shared" si="279"/>
        <v>3.349416835371319</v>
      </c>
      <c r="AS251" s="55">
        <f t="shared" si="279"/>
        <v>3.3976484378006671</v>
      </c>
      <c r="AT251" s="55">
        <f t="shared" si="279"/>
        <v>0</v>
      </c>
      <c r="AU251" s="55">
        <f t="shared" si="279"/>
        <v>0</v>
      </c>
      <c r="AV251" s="55">
        <f t="shared" si="279"/>
        <v>0</v>
      </c>
      <c r="AW251" s="55">
        <f t="shared" si="279"/>
        <v>0</v>
      </c>
      <c r="AX251" s="55">
        <f t="shared" si="279"/>
        <v>0</v>
      </c>
      <c r="AY251" s="55">
        <f t="shared" si="279"/>
        <v>0</v>
      </c>
      <c r="AZ251" s="55">
        <f t="shared" si="279"/>
        <v>0</v>
      </c>
      <c r="BA251" s="55">
        <f t="shared" si="279"/>
        <v>0</v>
      </c>
      <c r="BB251" s="55">
        <f t="shared" si="279"/>
        <v>0</v>
      </c>
      <c r="BC251" s="55">
        <f t="shared" si="279"/>
        <v>0</v>
      </c>
      <c r="BD251" s="55">
        <f t="shared" si="279"/>
        <v>0</v>
      </c>
      <c r="BE251" s="55">
        <f t="shared" si="279"/>
        <v>0</v>
      </c>
      <c r="BF251" s="55">
        <f t="shared" si="279"/>
        <v>0</v>
      </c>
      <c r="BG251" s="55">
        <f t="shared" si="279"/>
        <v>0</v>
      </c>
      <c r="BH251" s="55">
        <f t="shared" si="279"/>
        <v>0</v>
      </c>
      <c r="BI251" s="55">
        <f t="shared" si="279"/>
        <v>0</v>
      </c>
      <c r="BJ251" s="55">
        <f t="shared" si="279"/>
        <v>0</v>
      </c>
    </row>
    <row r="252" spans="1:62" x14ac:dyDescent="0.3">
      <c r="A252" s="53" t="str">
        <f t="shared" si="245"/>
        <v>project 33</v>
      </c>
      <c r="C252" s="55">
        <f t="shared" ref="C252:AH252" si="280">IF(AND(C$127&gt;=$K41,C$127&lt;=$L41),$G41*(1+$H41)^(C$127-$B$5),0)</f>
        <v>0</v>
      </c>
      <c r="D252" s="55">
        <f t="shared" si="280"/>
        <v>0</v>
      </c>
      <c r="E252" s="55">
        <f t="shared" si="280"/>
        <v>0</v>
      </c>
      <c r="F252" s="55">
        <f t="shared" si="280"/>
        <v>0</v>
      </c>
      <c r="G252" s="55">
        <f t="shared" si="280"/>
        <v>0</v>
      </c>
      <c r="H252" s="55">
        <f t="shared" si="280"/>
        <v>0</v>
      </c>
      <c r="I252" s="55">
        <f t="shared" si="280"/>
        <v>0</v>
      </c>
      <c r="J252" s="55">
        <f t="shared" si="280"/>
        <v>0</v>
      </c>
      <c r="K252" s="55">
        <f t="shared" si="280"/>
        <v>0</v>
      </c>
      <c r="L252" s="55">
        <f t="shared" si="280"/>
        <v>0</v>
      </c>
      <c r="M252" s="55">
        <f t="shared" si="280"/>
        <v>0</v>
      </c>
      <c r="N252" s="55">
        <f t="shared" si="280"/>
        <v>0</v>
      </c>
      <c r="O252" s="55">
        <f t="shared" si="280"/>
        <v>0</v>
      </c>
      <c r="P252" s="55">
        <f t="shared" si="280"/>
        <v>0</v>
      </c>
      <c r="Q252" s="55">
        <f t="shared" si="280"/>
        <v>0</v>
      </c>
      <c r="R252" s="55">
        <f t="shared" si="280"/>
        <v>0</v>
      </c>
      <c r="S252" s="55">
        <f t="shared" si="280"/>
        <v>0</v>
      </c>
      <c r="T252" s="55">
        <f t="shared" si="280"/>
        <v>0</v>
      </c>
      <c r="U252" s="55">
        <f t="shared" si="280"/>
        <v>0</v>
      </c>
      <c r="V252" s="55">
        <f t="shared" si="280"/>
        <v>1.9654408551343645</v>
      </c>
      <c r="W252" s="55">
        <f t="shared" si="280"/>
        <v>2.0244040807883952</v>
      </c>
      <c r="X252" s="55">
        <f t="shared" si="280"/>
        <v>2.0851362032120471</v>
      </c>
      <c r="Y252" s="55">
        <f t="shared" si="280"/>
        <v>2.1476902893084087</v>
      </c>
      <c r="Z252" s="55">
        <f t="shared" si="280"/>
        <v>2.212120997987661</v>
      </c>
      <c r="AA252" s="55">
        <f t="shared" si="280"/>
        <v>2.2784846279272903</v>
      </c>
      <c r="AB252" s="55">
        <f t="shared" si="280"/>
        <v>2.346839166765109</v>
      </c>
      <c r="AC252" s="55">
        <f t="shared" si="280"/>
        <v>2.4172443417680629</v>
      </c>
      <c r="AD252" s="55">
        <f t="shared" si="280"/>
        <v>2.4897616720211042</v>
      </c>
      <c r="AE252" s="55">
        <f t="shared" si="280"/>
        <v>2.5644545221817374</v>
      </c>
      <c r="AF252" s="55">
        <f t="shared" si="280"/>
        <v>2.6413881578471892</v>
      </c>
      <c r="AG252" s="55">
        <f t="shared" si="280"/>
        <v>2.720629802582605</v>
      </c>
      <c r="AH252" s="55">
        <f t="shared" si="280"/>
        <v>2.8022486966600835</v>
      </c>
      <c r="AI252" s="55">
        <f t="shared" ref="AI252:BJ252" si="281">IF(AND(AI$127&gt;=$K41,AI$127&lt;=$L41),$G41*(1+$H41)^(AI$127-$B$5),0)</f>
        <v>2.8863161575598855</v>
      </c>
      <c r="AJ252" s="55">
        <f t="shared" si="281"/>
        <v>2.9729056422866824</v>
      </c>
      <c r="AK252" s="55">
        <f t="shared" si="281"/>
        <v>3.0620928115552823</v>
      </c>
      <c r="AL252" s="55">
        <f t="shared" si="281"/>
        <v>3.1539555959019414</v>
      </c>
      <c r="AM252" s="55">
        <f t="shared" si="281"/>
        <v>3.2485742637789992</v>
      </c>
      <c r="AN252" s="55">
        <f t="shared" si="281"/>
        <v>3.346031491692369</v>
      </c>
      <c r="AO252" s="55">
        <f t="shared" si="281"/>
        <v>3.4464124364431399</v>
      </c>
      <c r="AP252" s="55">
        <f t="shared" si="281"/>
        <v>3.5498048095364347</v>
      </c>
      <c r="AQ252" s="55">
        <f t="shared" si="281"/>
        <v>3.6562989538225268</v>
      </c>
      <c r="AR252" s="55">
        <f t="shared" si="281"/>
        <v>3.765987922437203</v>
      </c>
      <c r="AS252" s="55">
        <f t="shared" si="281"/>
        <v>3.8789675601103193</v>
      </c>
      <c r="AT252" s="55">
        <f t="shared" si="281"/>
        <v>3.9953365869136288</v>
      </c>
      <c r="AU252" s="55">
        <f t="shared" si="281"/>
        <v>4.1151966845210373</v>
      </c>
      <c r="AV252" s="55">
        <f t="shared" si="281"/>
        <v>4.2386525850566681</v>
      </c>
      <c r="AW252" s="55">
        <f t="shared" si="281"/>
        <v>4.3658121626083686</v>
      </c>
      <c r="AX252" s="55">
        <f t="shared" si="281"/>
        <v>4.4967865274866199</v>
      </c>
      <c r="AY252" s="55">
        <f t="shared" si="281"/>
        <v>4.631690123311218</v>
      </c>
      <c r="AZ252" s="55">
        <f t="shared" si="281"/>
        <v>4.7706408270105536</v>
      </c>
      <c r="BA252" s="55">
        <f t="shared" si="281"/>
        <v>4.9137600518208711</v>
      </c>
      <c r="BB252" s="55">
        <f t="shared" si="281"/>
        <v>5.0611728533754974</v>
      </c>
      <c r="BC252" s="55">
        <f t="shared" si="281"/>
        <v>5.2130080389767617</v>
      </c>
      <c r="BD252" s="55">
        <f t="shared" si="281"/>
        <v>5.369398280146064</v>
      </c>
      <c r="BE252" s="55">
        <f t="shared" si="281"/>
        <v>5.530480228550446</v>
      </c>
      <c r="BF252" s="55">
        <f t="shared" si="281"/>
        <v>5.6963946354069597</v>
      </c>
      <c r="BG252" s="55">
        <f t="shared" si="281"/>
        <v>5.867286474469168</v>
      </c>
      <c r="BH252" s="55">
        <f t="shared" si="281"/>
        <v>6.0433050687032432</v>
      </c>
      <c r="BI252" s="55">
        <f t="shared" si="281"/>
        <v>6.2246042207643404</v>
      </c>
      <c r="BJ252" s="55">
        <f t="shared" si="281"/>
        <v>0</v>
      </c>
    </row>
    <row r="253" spans="1:62" x14ac:dyDescent="0.3">
      <c r="A253" s="53" t="str">
        <f t="shared" si="245"/>
        <v>project 37</v>
      </c>
      <c r="C253" s="55">
        <f t="shared" ref="C253:AH253" si="282">IF(AND(C$127&gt;=$K42,C$127&lt;=$L42),$G42*(1+$H42)^(C$127-$B$5),0)</f>
        <v>0</v>
      </c>
      <c r="D253" s="55">
        <f t="shared" si="282"/>
        <v>0</v>
      </c>
      <c r="E253" s="55">
        <f t="shared" si="282"/>
        <v>0</v>
      </c>
      <c r="F253" s="55">
        <f t="shared" si="282"/>
        <v>0</v>
      </c>
      <c r="G253" s="55">
        <f t="shared" si="282"/>
        <v>0</v>
      </c>
      <c r="H253" s="55">
        <f t="shared" si="282"/>
        <v>0</v>
      </c>
      <c r="I253" s="55">
        <f t="shared" si="282"/>
        <v>0</v>
      </c>
      <c r="J253" s="55">
        <f t="shared" si="282"/>
        <v>0</v>
      </c>
      <c r="K253" s="55">
        <f t="shared" si="282"/>
        <v>0</v>
      </c>
      <c r="L253" s="55">
        <f t="shared" si="282"/>
        <v>0</v>
      </c>
      <c r="M253" s="55">
        <f t="shared" si="282"/>
        <v>0.71940383786611761</v>
      </c>
      <c r="N253" s="55">
        <f t="shared" si="282"/>
        <v>0.73393579539101317</v>
      </c>
      <c r="O253" s="55">
        <f t="shared" si="282"/>
        <v>0.74876129845791162</v>
      </c>
      <c r="P253" s="55">
        <f t="shared" si="282"/>
        <v>0.76388627668676146</v>
      </c>
      <c r="Q253" s="55">
        <f t="shared" si="282"/>
        <v>0.779316779475834</v>
      </c>
      <c r="R253" s="55">
        <f t="shared" si="282"/>
        <v>0.79505897842124595</v>
      </c>
      <c r="S253" s="55">
        <f t="shared" si="282"/>
        <v>0.81111916978535503</v>
      </c>
      <c r="T253" s="55">
        <f t="shared" si="282"/>
        <v>0.8275037770150192</v>
      </c>
      <c r="U253" s="55">
        <f t="shared" si="282"/>
        <v>0.84421935331072251</v>
      </c>
      <c r="V253" s="55">
        <f t="shared" si="282"/>
        <v>0.86127258424759923</v>
      </c>
      <c r="W253" s="55">
        <f t="shared" si="282"/>
        <v>0.8786702904494007</v>
      </c>
      <c r="X253" s="55">
        <f t="shared" si="282"/>
        <v>0.89641943031647853</v>
      </c>
      <c r="Y253" s="55">
        <f t="shared" si="282"/>
        <v>0.91452710280887139</v>
      </c>
      <c r="Z253" s="55">
        <f t="shared" si="282"/>
        <v>0.93300055028561069</v>
      </c>
      <c r="AA253" s="55">
        <f t="shared" si="282"/>
        <v>0.95184716140137993</v>
      </c>
      <c r="AB253" s="55">
        <f t="shared" si="282"/>
        <v>0.9710744740616879</v>
      </c>
      <c r="AC253" s="55">
        <f t="shared" si="282"/>
        <v>0.99069017843773399</v>
      </c>
      <c r="AD253" s="55">
        <f t="shared" si="282"/>
        <v>1.010702120042176</v>
      </c>
      <c r="AE253" s="55">
        <f t="shared" si="282"/>
        <v>1.0311183028670281</v>
      </c>
      <c r="AF253" s="55">
        <f t="shared" si="282"/>
        <v>1.0519468925849418</v>
      </c>
      <c r="AG253" s="55">
        <f t="shared" si="282"/>
        <v>1.0731962198151577</v>
      </c>
      <c r="AH253" s="55">
        <f t="shared" si="282"/>
        <v>1.094874783455424</v>
      </c>
      <c r="AI253" s="55">
        <f t="shared" ref="AI253:BJ253" si="283">IF(AND(AI$127&gt;=$K42,AI$127&lt;=$L42),$G42*(1+$H42)^(AI$127-$B$5),0)</f>
        <v>1.1169912540812237</v>
      </c>
      <c r="AJ253" s="55">
        <f t="shared" si="283"/>
        <v>1.1395544774136643</v>
      </c>
      <c r="AK253" s="55">
        <f t="shared" si="283"/>
        <v>1.1625734778574204</v>
      </c>
      <c r="AL253" s="55">
        <f t="shared" si="283"/>
        <v>1.1860574621101403</v>
      </c>
      <c r="AM253" s="55">
        <f t="shared" si="283"/>
        <v>1.2100158228447648</v>
      </c>
      <c r="AN253" s="55">
        <f t="shared" si="283"/>
        <v>1.2344581424662293</v>
      </c>
      <c r="AO253" s="55">
        <f t="shared" si="283"/>
        <v>1.2593941969440472</v>
      </c>
      <c r="AP253" s="55">
        <f t="shared" si="283"/>
        <v>1.2848339597223168</v>
      </c>
      <c r="AQ253" s="55">
        <f t="shared" si="283"/>
        <v>1.3107876057087076</v>
      </c>
      <c r="AR253" s="55">
        <f t="shared" si="283"/>
        <v>1.3372655153440234</v>
      </c>
      <c r="AS253" s="55">
        <f t="shared" si="283"/>
        <v>1.3642782787539727</v>
      </c>
      <c r="AT253" s="55">
        <f t="shared" si="283"/>
        <v>1.3918366999848029</v>
      </c>
      <c r="AU253" s="55">
        <f t="shared" si="283"/>
        <v>1.4199518013244958</v>
      </c>
      <c r="AV253" s="55">
        <f t="shared" si="283"/>
        <v>1.4486348277112506</v>
      </c>
      <c r="AW253" s="55">
        <f t="shared" si="283"/>
        <v>1.477897251231018</v>
      </c>
      <c r="AX253" s="55">
        <f t="shared" si="283"/>
        <v>1.5077507757058848</v>
      </c>
      <c r="AY253" s="55">
        <f t="shared" si="283"/>
        <v>1.5382073413751434</v>
      </c>
      <c r="AZ253" s="55">
        <f t="shared" si="283"/>
        <v>1.5692791296709214</v>
      </c>
      <c r="BA253" s="55">
        <f t="shared" si="283"/>
        <v>0</v>
      </c>
      <c r="BB253" s="55">
        <f t="shared" si="283"/>
        <v>0</v>
      </c>
      <c r="BC253" s="55">
        <f t="shared" si="283"/>
        <v>0</v>
      </c>
      <c r="BD253" s="55">
        <f t="shared" si="283"/>
        <v>0</v>
      </c>
      <c r="BE253" s="55">
        <f t="shared" si="283"/>
        <v>0</v>
      </c>
      <c r="BF253" s="55">
        <f t="shared" si="283"/>
        <v>0</v>
      </c>
      <c r="BG253" s="55">
        <f t="shared" si="283"/>
        <v>0</v>
      </c>
      <c r="BH253" s="55">
        <f t="shared" si="283"/>
        <v>0</v>
      </c>
      <c r="BI253" s="55">
        <f t="shared" si="283"/>
        <v>0</v>
      </c>
      <c r="BJ253" s="55">
        <f t="shared" si="283"/>
        <v>0</v>
      </c>
    </row>
    <row r="254" spans="1:62" x14ac:dyDescent="0.3">
      <c r="A254" s="53" t="str">
        <f t="shared" si="245"/>
        <v>project 38</v>
      </c>
      <c r="C254" s="55">
        <f t="shared" ref="C254:AH254" si="284">IF(AND(C$127&gt;=$K43,C$127&lt;=$L43),$G43*(1+$H43)^(C$127-$B$5),0)</f>
        <v>0</v>
      </c>
      <c r="D254" s="55">
        <f t="shared" si="284"/>
        <v>0</v>
      </c>
      <c r="E254" s="55">
        <f t="shared" si="284"/>
        <v>0</v>
      </c>
      <c r="F254" s="55">
        <f t="shared" si="284"/>
        <v>0</v>
      </c>
      <c r="G254" s="55">
        <f t="shared" si="284"/>
        <v>6.2316351390470723</v>
      </c>
      <c r="H254" s="55">
        <f t="shared" si="284"/>
        <v>6.305168433687828</v>
      </c>
      <c r="I254" s="55">
        <f t="shared" si="284"/>
        <v>6.3795694212053444</v>
      </c>
      <c r="J254" s="55">
        <f t="shared" si="284"/>
        <v>6.4548483403755688</v>
      </c>
      <c r="K254" s="55">
        <f t="shared" si="284"/>
        <v>6.5310155507920005</v>
      </c>
      <c r="L254" s="55">
        <f t="shared" si="284"/>
        <v>6.6080815342913457</v>
      </c>
      <c r="M254" s="55">
        <f t="shared" si="284"/>
        <v>6.6860568963959839</v>
      </c>
      <c r="N254" s="55">
        <f t="shared" si="284"/>
        <v>6.7649523677734571</v>
      </c>
      <c r="O254" s="55">
        <f t="shared" si="284"/>
        <v>6.844778805713184</v>
      </c>
      <c r="P254" s="55">
        <f t="shared" si="284"/>
        <v>6.9255471956205987</v>
      </c>
      <c r="Q254" s="55">
        <f t="shared" si="284"/>
        <v>7.0072686525289223</v>
      </c>
      <c r="R254" s="55">
        <f t="shared" si="284"/>
        <v>7.0899544226287645</v>
      </c>
      <c r="S254" s="55">
        <f t="shared" si="284"/>
        <v>7.173615884815784</v>
      </c>
      <c r="T254" s="55">
        <f t="shared" si="284"/>
        <v>7.2582645522566107</v>
      </c>
      <c r="U254" s="55">
        <f t="shared" si="284"/>
        <v>7.3439120739732386</v>
      </c>
      <c r="V254" s="55">
        <f t="shared" si="284"/>
        <v>7.4305702364461226</v>
      </c>
      <c r="W254" s="55">
        <f t="shared" si="284"/>
        <v>7.5182509652361871</v>
      </c>
      <c r="X254" s="55">
        <f t="shared" si="284"/>
        <v>7.6069663266259742</v>
      </c>
      <c r="Y254" s="55">
        <f t="shared" si="284"/>
        <v>7.6967285292801613</v>
      </c>
      <c r="Z254" s="55">
        <f t="shared" si="284"/>
        <v>7.787549925925668</v>
      </c>
      <c r="AA254" s="55">
        <f t="shared" si="284"/>
        <v>7.8794430150515913</v>
      </c>
      <c r="AB254" s="55">
        <f t="shared" si="284"/>
        <v>7.9724204426291996</v>
      </c>
      <c r="AC254" s="55">
        <f t="shared" si="284"/>
        <v>8.0664950038522232</v>
      </c>
      <c r="AD254" s="55">
        <f t="shared" si="284"/>
        <v>8.1616796448976814</v>
      </c>
      <c r="AE254" s="55">
        <f t="shared" si="284"/>
        <v>8.2579874647074742</v>
      </c>
      <c r="AF254" s="55">
        <f t="shared" si="284"/>
        <v>8.3554317167910206</v>
      </c>
      <c r="AG254" s="55">
        <f t="shared" si="284"/>
        <v>8.4540258110491564</v>
      </c>
      <c r="AH254" s="55">
        <f t="shared" si="284"/>
        <v>8.5537833156195369</v>
      </c>
      <c r="AI254" s="55">
        <f t="shared" ref="AI254:BJ254" si="285">IF(AND(AI$127&gt;=$K43,AI$127&lt;=$L43),$G43*(1+$H43)^(AI$127-$B$5),0)</f>
        <v>8.6547179587438485</v>
      </c>
      <c r="AJ254" s="55">
        <f t="shared" si="285"/>
        <v>8.7568436306570252</v>
      </c>
      <c r="AK254" s="55">
        <f t="shared" si="285"/>
        <v>8.8601743854987784</v>
      </c>
      <c r="AL254" s="55">
        <f t="shared" si="285"/>
        <v>8.9647244432476647</v>
      </c>
      <c r="AM254" s="55">
        <f t="shared" si="285"/>
        <v>9.0705081916779857</v>
      </c>
      <c r="AN254" s="55">
        <f t="shared" si="285"/>
        <v>9.1775401883397869</v>
      </c>
      <c r="AO254" s="55">
        <f t="shared" si="285"/>
        <v>9.2858351625621971</v>
      </c>
      <c r="AP254" s="55">
        <f t="shared" si="285"/>
        <v>9.3954080174804311</v>
      </c>
      <c r="AQ254" s="55">
        <f t="shared" si="285"/>
        <v>9.5062738320867002</v>
      </c>
      <c r="AR254" s="55">
        <f t="shared" si="285"/>
        <v>9.6184478633053239</v>
      </c>
      <c r="AS254" s="55">
        <f t="shared" si="285"/>
        <v>9.7319455480923267</v>
      </c>
      <c r="AT254" s="55">
        <f t="shared" si="285"/>
        <v>9.8467825055598173</v>
      </c>
      <c r="AU254" s="55">
        <f t="shared" si="285"/>
        <v>0</v>
      </c>
      <c r="AV254" s="55">
        <f t="shared" si="285"/>
        <v>0</v>
      </c>
      <c r="AW254" s="55">
        <f t="shared" si="285"/>
        <v>0</v>
      </c>
      <c r="AX254" s="55">
        <f t="shared" si="285"/>
        <v>0</v>
      </c>
      <c r="AY254" s="55">
        <f t="shared" si="285"/>
        <v>0</v>
      </c>
      <c r="AZ254" s="55">
        <f t="shared" si="285"/>
        <v>0</v>
      </c>
      <c r="BA254" s="55">
        <f t="shared" si="285"/>
        <v>0</v>
      </c>
      <c r="BB254" s="55">
        <f t="shared" si="285"/>
        <v>0</v>
      </c>
      <c r="BC254" s="55">
        <f t="shared" si="285"/>
        <v>0</v>
      </c>
      <c r="BD254" s="55">
        <f t="shared" si="285"/>
        <v>0</v>
      </c>
      <c r="BE254" s="55">
        <f t="shared" si="285"/>
        <v>0</v>
      </c>
      <c r="BF254" s="55">
        <f t="shared" si="285"/>
        <v>0</v>
      </c>
      <c r="BG254" s="55">
        <f t="shared" si="285"/>
        <v>0</v>
      </c>
      <c r="BH254" s="55">
        <f t="shared" si="285"/>
        <v>0</v>
      </c>
      <c r="BI254" s="55">
        <f t="shared" si="285"/>
        <v>0</v>
      </c>
      <c r="BJ254" s="55">
        <f t="shared" si="285"/>
        <v>0</v>
      </c>
    </row>
    <row r="255" spans="1:62" x14ac:dyDescent="0.3">
      <c r="A255" s="53" t="str">
        <f t="shared" si="245"/>
        <v>project 39</v>
      </c>
      <c r="C255" s="55">
        <f t="shared" ref="C255:AH255" si="286">IF(AND(C$127&gt;=$K44,C$127&lt;=$L44),$G44*(1+$H44)^(C$127-$B$5),0)</f>
        <v>0</v>
      </c>
      <c r="D255" s="55">
        <f t="shared" si="286"/>
        <v>0</v>
      </c>
      <c r="E255" s="55">
        <f t="shared" si="286"/>
        <v>0.75040145634881883</v>
      </c>
      <c r="F255" s="55">
        <f t="shared" si="286"/>
        <v>0.75858083222302086</v>
      </c>
      <c r="G255" s="55">
        <f t="shared" si="286"/>
        <v>0.76684936329425168</v>
      </c>
      <c r="H255" s="55">
        <f t="shared" si="286"/>
        <v>0.775208021354159</v>
      </c>
      <c r="I255" s="55">
        <f t="shared" si="286"/>
        <v>0.78365778878691927</v>
      </c>
      <c r="J255" s="55">
        <f t="shared" si="286"/>
        <v>0.79219965868469666</v>
      </c>
      <c r="K255" s="55">
        <f t="shared" si="286"/>
        <v>0.8008346349643598</v>
      </c>
      <c r="L255" s="55">
        <f t="shared" si="286"/>
        <v>0.8095637324854712</v>
      </c>
      <c r="M255" s="55">
        <f t="shared" si="286"/>
        <v>0.8183879771695628</v>
      </c>
      <c r="N255" s="55">
        <f t="shared" si="286"/>
        <v>0.8273084061207111</v>
      </c>
      <c r="O255" s="55">
        <f t="shared" si="286"/>
        <v>0.83632606774742657</v>
      </c>
      <c r="P255" s="55">
        <f t="shared" si="286"/>
        <v>0.84544202188587358</v>
      </c>
      <c r="Q255" s="55">
        <f t="shared" si="286"/>
        <v>0.85465733992442949</v>
      </c>
      <c r="R255" s="55">
        <f t="shared" si="286"/>
        <v>0.86397310492960566</v>
      </c>
      <c r="S255" s="55">
        <f t="shared" si="286"/>
        <v>0.87339041177333843</v>
      </c>
      <c r="T255" s="55">
        <f t="shared" si="286"/>
        <v>0.88291036726166761</v>
      </c>
      <c r="U255" s="55">
        <f t="shared" si="286"/>
        <v>0.89253409026481989</v>
      </c>
      <c r="V255" s="55">
        <f t="shared" si="286"/>
        <v>0.90226271184870632</v>
      </c>
      <c r="W255" s="55">
        <f t="shared" si="286"/>
        <v>0.91209737540785718</v>
      </c>
      <c r="X255" s="55">
        <f t="shared" si="286"/>
        <v>0.92203923679980282</v>
      </c>
      <c r="Y255" s="55">
        <f t="shared" si="286"/>
        <v>0.93208946448092045</v>
      </c>
      <c r="Z255" s="55">
        <f t="shared" si="286"/>
        <v>0.94224923964376239</v>
      </c>
      <c r="AA255" s="55">
        <f t="shared" si="286"/>
        <v>0.95251975635587938</v>
      </c>
      <c r="AB255" s="55">
        <f t="shared" si="286"/>
        <v>0.96290222170015827</v>
      </c>
      <c r="AC255" s="55">
        <f t="shared" si="286"/>
        <v>0.97339785591668992</v>
      </c>
      <c r="AD255" s="55">
        <f t="shared" si="286"/>
        <v>0.98400789254618193</v>
      </c>
      <c r="AE255" s="55">
        <f t="shared" si="286"/>
        <v>0.99473357857493505</v>
      </c>
      <c r="AF255" s="55">
        <f t="shared" si="286"/>
        <v>1.005576174581402</v>
      </c>
      <c r="AG255" s="55">
        <f t="shared" si="286"/>
        <v>1.016536954884339</v>
      </c>
      <c r="AH255" s="55">
        <f t="shared" si="286"/>
        <v>1.0276172076925782</v>
      </c>
      <c r="AI255" s="55">
        <f t="shared" ref="AI255:BJ255" si="287">IF(AND(AI$127&gt;=$K44,AI$127&lt;=$L44),$G44*(1+$H44)^(AI$127-$B$5),0)</f>
        <v>1.0388182352564275</v>
      </c>
      <c r="AJ255" s="55">
        <f t="shared" si="287"/>
        <v>1.0501413540207225</v>
      </c>
      <c r="AK255" s="55">
        <f t="shared" si="287"/>
        <v>1.0615878947795481</v>
      </c>
      <c r="AL255" s="55">
        <f t="shared" si="287"/>
        <v>1.0731592028326453</v>
      </c>
      <c r="AM255" s="55">
        <f t="shared" si="287"/>
        <v>1.084856638143521</v>
      </c>
      <c r="AN255" s="55">
        <f t="shared" si="287"/>
        <v>1.0966815754992854</v>
      </c>
      <c r="AO255" s="55">
        <f t="shared" si="287"/>
        <v>1.1086354046722275</v>
      </c>
      <c r="AP255" s="55">
        <f t="shared" si="287"/>
        <v>1.1207195305831545</v>
      </c>
      <c r="AQ255" s="55">
        <f t="shared" si="287"/>
        <v>1.1329353734665109</v>
      </c>
      <c r="AR255" s="55">
        <f t="shared" si="287"/>
        <v>1.1452843690372958</v>
      </c>
      <c r="AS255" s="55">
        <f t="shared" si="287"/>
        <v>0</v>
      </c>
      <c r="AT255" s="55">
        <f t="shared" si="287"/>
        <v>0</v>
      </c>
      <c r="AU255" s="55">
        <f t="shared" si="287"/>
        <v>0</v>
      </c>
      <c r="AV255" s="55">
        <f t="shared" si="287"/>
        <v>0</v>
      </c>
      <c r="AW255" s="55">
        <f t="shared" si="287"/>
        <v>0</v>
      </c>
      <c r="AX255" s="55">
        <f t="shared" si="287"/>
        <v>0</v>
      </c>
      <c r="AY255" s="55">
        <f t="shared" si="287"/>
        <v>0</v>
      </c>
      <c r="AZ255" s="55">
        <f t="shared" si="287"/>
        <v>0</v>
      </c>
      <c r="BA255" s="55">
        <f t="shared" si="287"/>
        <v>0</v>
      </c>
      <c r="BB255" s="55">
        <f t="shared" si="287"/>
        <v>0</v>
      </c>
      <c r="BC255" s="55">
        <f t="shared" si="287"/>
        <v>0</v>
      </c>
      <c r="BD255" s="55">
        <f t="shared" si="287"/>
        <v>0</v>
      </c>
      <c r="BE255" s="55">
        <f t="shared" si="287"/>
        <v>0</v>
      </c>
      <c r="BF255" s="55">
        <f t="shared" si="287"/>
        <v>0</v>
      </c>
      <c r="BG255" s="55">
        <f t="shared" si="287"/>
        <v>0</v>
      </c>
      <c r="BH255" s="55">
        <f t="shared" si="287"/>
        <v>0</v>
      </c>
      <c r="BI255" s="55">
        <f t="shared" si="287"/>
        <v>0</v>
      </c>
      <c r="BJ255" s="55">
        <f t="shared" si="287"/>
        <v>0</v>
      </c>
    </row>
    <row r="256" spans="1:62" x14ac:dyDescent="0.3">
      <c r="A256" s="53" t="str">
        <f t="shared" si="245"/>
        <v>project 40</v>
      </c>
      <c r="C256" s="55">
        <f t="shared" ref="C256:AH256" si="288">IF(AND(C$127&gt;=$K45,C$127&lt;=$L45),$G45*(1+$H45)^(C$127-$B$5),0)</f>
        <v>0</v>
      </c>
      <c r="D256" s="55">
        <f t="shared" si="288"/>
        <v>0</v>
      </c>
      <c r="E256" s="55">
        <f t="shared" si="288"/>
        <v>0.96160301530892101</v>
      </c>
      <c r="F256" s="55">
        <f t="shared" si="288"/>
        <v>0.97333457209568985</v>
      </c>
      <c r="G256" s="55">
        <f t="shared" si="288"/>
        <v>0.98520925387525726</v>
      </c>
      <c r="H256" s="55">
        <f t="shared" si="288"/>
        <v>0.99722880677253545</v>
      </c>
      <c r="I256" s="55">
        <f t="shared" si="288"/>
        <v>1.0093949982151604</v>
      </c>
      <c r="J256" s="55">
        <f t="shared" si="288"/>
        <v>1.0217096171933853</v>
      </c>
      <c r="K256" s="55">
        <f t="shared" si="288"/>
        <v>1.0341744745231447</v>
      </c>
      <c r="L256" s="55">
        <f t="shared" si="288"/>
        <v>1.0467914031123269</v>
      </c>
      <c r="M256" s="55">
        <f t="shared" si="288"/>
        <v>1.0595622582302975</v>
      </c>
      <c r="N256" s="55">
        <f t="shared" si="288"/>
        <v>1.0724889177807071</v>
      </c>
      <c r="O256" s="55">
        <f t="shared" si="288"/>
        <v>1.0855732825776319</v>
      </c>
      <c r="P256" s="55">
        <f t="shared" si="288"/>
        <v>1.098817276625079</v>
      </c>
      <c r="Q256" s="55">
        <f t="shared" si="288"/>
        <v>1.1122228473999047</v>
      </c>
      <c r="R256" s="55">
        <f t="shared" si="288"/>
        <v>1.1257919661381837</v>
      </c>
      <c r="S256" s="55">
        <f t="shared" si="288"/>
        <v>1.1395266281250693</v>
      </c>
      <c r="T256" s="55">
        <f t="shared" si="288"/>
        <v>1.1534288529881953</v>
      </c>
      <c r="U256" s="55">
        <f t="shared" si="288"/>
        <v>1.1675006849946512</v>
      </c>
      <c r="V256" s="55">
        <f t="shared" si="288"/>
        <v>1.181744193351586</v>
      </c>
      <c r="W256" s="55">
        <f t="shared" si="288"/>
        <v>1.1961614725104754</v>
      </c>
      <c r="X256" s="55">
        <f t="shared" si="288"/>
        <v>1.2107546424751032</v>
      </c>
      <c r="Y256" s="55">
        <f t="shared" si="288"/>
        <v>1.2255258491132994</v>
      </c>
      <c r="Z256" s="55">
        <f t="shared" si="288"/>
        <v>1.2404772644724817</v>
      </c>
      <c r="AA256" s="55">
        <f t="shared" si="288"/>
        <v>1.255611087099046</v>
      </c>
      <c r="AB256" s="55">
        <f t="shared" si="288"/>
        <v>1.2709295423616542</v>
      </c>
      <c r="AC256" s="55">
        <f t="shared" si="288"/>
        <v>1.2864348827784668</v>
      </c>
      <c r="AD256" s="55">
        <f t="shared" si="288"/>
        <v>1.3021293883483638</v>
      </c>
      <c r="AE256" s="55">
        <f t="shared" si="288"/>
        <v>1.318015366886214</v>
      </c>
      <c r="AF256" s="55">
        <f t="shared" si="288"/>
        <v>1.3340951543622257</v>
      </c>
      <c r="AG256" s="55">
        <f t="shared" si="288"/>
        <v>1.350371115245445</v>
      </c>
      <c r="AH256" s="55">
        <f t="shared" si="288"/>
        <v>1.3668456428514393</v>
      </c>
      <c r="AI256" s="55">
        <f t="shared" ref="AI256:BJ256" si="289">IF(AND(AI$127&gt;=$K45,AI$127&lt;=$L45),$G45*(1+$H45)^(AI$127-$B$5),0)</f>
        <v>1.3835211596942267</v>
      </c>
      <c r="AJ256" s="55">
        <f t="shared" si="289"/>
        <v>1.4004001178424963</v>
      </c>
      <c r="AK256" s="55">
        <f t="shared" si="289"/>
        <v>1.4174849992801748</v>
      </c>
      <c r="AL256" s="55">
        <f t="shared" si="289"/>
        <v>1.434778316271393</v>
      </c>
      <c r="AM256" s="55">
        <f t="shared" si="289"/>
        <v>1.4522826117299041</v>
      </c>
      <c r="AN256" s="55">
        <f t="shared" si="289"/>
        <v>1.470000459593009</v>
      </c>
      <c r="AO256" s="55">
        <f t="shared" si="289"/>
        <v>1.4879344652000435</v>
      </c>
      <c r="AP256" s="55">
        <f t="shared" si="289"/>
        <v>1.506087265675484</v>
      </c>
      <c r="AQ256" s="55">
        <f t="shared" si="289"/>
        <v>1.5244615303167248</v>
      </c>
      <c r="AR256" s="55">
        <f t="shared" si="289"/>
        <v>1.5430599609865889</v>
      </c>
      <c r="AS256" s="55">
        <f t="shared" si="289"/>
        <v>0</v>
      </c>
      <c r="AT256" s="55">
        <f t="shared" si="289"/>
        <v>0</v>
      </c>
      <c r="AU256" s="55">
        <f t="shared" si="289"/>
        <v>0</v>
      </c>
      <c r="AV256" s="55">
        <f t="shared" si="289"/>
        <v>0</v>
      </c>
      <c r="AW256" s="55">
        <f t="shared" si="289"/>
        <v>0</v>
      </c>
      <c r="AX256" s="55">
        <f t="shared" si="289"/>
        <v>0</v>
      </c>
      <c r="AY256" s="55">
        <f t="shared" si="289"/>
        <v>0</v>
      </c>
      <c r="AZ256" s="55">
        <f t="shared" si="289"/>
        <v>0</v>
      </c>
      <c r="BA256" s="55">
        <f t="shared" si="289"/>
        <v>0</v>
      </c>
      <c r="BB256" s="55">
        <f t="shared" si="289"/>
        <v>0</v>
      </c>
      <c r="BC256" s="55">
        <f t="shared" si="289"/>
        <v>0</v>
      </c>
      <c r="BD256" s="55">
        <f t="shared" si="289"/>
        <v>0</v>
      </c>
      <c r="BE256" s="55">
        <f t="shared" si="289"/>
        <v>0</v>
      </c>
      <c r="BF256" s="55">
        <f t="shared" si="289"/>
        <v>0</v>
      </c>
      <c r="BG256" s="55">
        <f t="shared" si="289"/>
        <v>0</v>
      </c>
      <c r="BH256" s="55">
        <f t="shared" si="289"/>
        <v>0</v>
      </c>
      <c r="BI256" s="55">
        <f t="shared" si="289"/>
        <v>0</v>
      </c>
      <c r="BJ256" s="55">
        <f t="shared" si="289"/>
        <v>0</v>
      </c>
    </row>
    <row r="257" spans="1:62" x14ac:dyDescent="0.3">
      <c r="A257" s="53" t="str">
        <f t="shared" si="245"/>
        <v>project 41</v>
      </c>
      <c r="C257" s="55">
        <f t="shared" ref="C257:AH257" si="290">IF(AND(C$127&gt;=$K46,C$127&lt;=$L46),$G46*(1+$H46)^(C$127-$B$5),0)</f>
        <v>0</v>
      </c>
      <c r="D257" s="55">
        <f t="shared" si="290"/>
        <v>0</v>
      </c>
      <c r="E257" s="55">
        <f t="shared" si="290"/>
        <v>0</v>
      </c>
      <c r="F257" s="55">
        <f t="shared" si="290"/>
        <v>0</v>
      </c>
      <c r="G257" s="55">
        <f t="shared" si="290"/>
        <v>0</v>
      </c>
      <c r="H257" s="55">
        <f t="shared" si="290"/>
        <v>0</v>
      </c>
      <c r="I257" s="55">
        <f t="shared" si="290"/>
        <v>0</v>
      </c>
      <c r="J257" s="55">
        <f t="shared" si="290"/>
        <v>0</v>
      </c>
      <c r="K257" s="55">
        <f t="shared" si="290"/>
        <v>0</v>
      </c>
      <c r="L257" s="55">
        <f t="shared" si="290"/>
        <v>0</v>
      </c>
      <c r="M257" s="55">
        <f t="shared" si="290"/>
        <v>0</v>
      </c>
      <c r="N257" s="55">
        <f t="shared" si="290"/>
        <v>0</v>
      </c>
      <c r="O257" s="55">
        <f t="shared" si="290"/>
        <v>0.14476924012905293</v>
      </c>
      <c r="P257" s="55">
        <f t="shared" si="290"/>
        <v>0.14802654803195664</v>
      </c>
      <c r="Q257" s="55">
        <f t="shared" si="290"/>
        <v>0.15135714536267567</v>
      </c>
      <c r="R257" s="55">
        <f t="shared" si="290"/>
        <v>0.15476268113333586</v>
      </c>
      <c r="S257" s="55">
        <f t="shared" si="290"/>
        <v>0.15824484145883586</v>
      </c>
      <c r="T257" s="55">
        <f t="shared" si="290"/>
        <v>0.16180535039165966</v>
      </c>
      <c r="U257" s="55">
        <f t="shared" si="290"/>
        <v>0.16544597077547199</v>
      </c>
      <c r="V257" s="55">
        <f t="shared" si="290"/>
        <v>0.16916850511792011</v>
      </c>
      <c r="W257" s="55">
        <f t="shared" si="290"/>
        <v>0.17297479648307332</v>
      </c>
      <c r="X257" s="55">
        <f t="shared" si="290"/>
        <v>0.17686672940394246</v>
      </c>
      <c r="Y257" s="55">
        <f t="shared" si="290"/>
        <v>0.18084623081553114</v>
      </c>
      <c r="Z257" s="55">
        <f t="shared" si="290"/>
        <v>0.18491527100888058</v>
      </c>
      <c r="AA257" s="55">
        <f t="shared" si="290"/>
        <v>0.18907586460658038</v>
      </c>
      <c r="AB257" s="55">
        <f t="shared" si="290"/>
        <v>0.19333007156022838</v>
      </c>
      <c r="AC257" s="55">
        <f t="shared" si="290"/>
        <v>0.19767999817033355</v>
      </c>
      <c r="AD257" s="55">
        <f t="shared" si="290"/>
        <v>0.20212779812916601</v>
      </c>
      <c r="AE257" s="55">
        <f t="shared" si="290"/>
        <v>0.20667567358707226</v>
      </c>
      <c r="AF257" s="55">
        <f t="shared" si="290"/>
        <v>0.21132587624278137</v>
      </c>
      <c r="AG257" s="55">
        <f t="shared" si="290"/>
        <v>0.21608070845824398</v>
      </c>
      <c r="AH257" s="55">
        <f t="shared" si="290"/>
        <v>0.22094252439855444</v>
      </c>
      <c r="AI257" s="55">
        <f t="shared" ref="AI257:BJ257" si="291">IF(AND(AI$127&gt;=$K46,AI$127&lt;=$L46),$G46*(1+$H46)^(AI$127-$B$5),0)</f>
        <v>0.22591373119752187</v>
      </c>
      <c r="AJ257" s="55">
        <f t="shared" si="291"/>
        <v>0.23099679014946611</v>
      </c>
      <c r="AK257" s="55">
        <f t="shared" si="291"/>
        <v>0.23619421792782905</v>
      </c>
      <c r="AL257" s="55">
        <f t="shared" si="291"/>
        <v>0.24150858783120521</v>
      </c>
      <c r="AM257" s="55">
        <f t="shared" si="291"/>
        <v>0.24694253105740729</v>
      </c>
      <c r="AN257" s="55">
        <f t="shared" si="291"/>
        <v>0.25249873800619899</v>
      </c>
      <c r="AO257" s="55">
        <f t="shared" si="291"/>
        <v>0.25817995961133844</v>
      </c>
      <c r="AP257" s="55">
        <f t="shared" si="291"/>
        <v>0.26398900870259356</v>
      </c>
      <c r="AQ257" s="55">
        <f t="shared" si="291"/>
        <v>0.26992876139840188</v>
      </c>
      <c r="AR257" s="55">
        <f t="shared" si="291"/>
        <v>0.27600215852986587</v>
      </c>
      <c r="AS257" s="55">
        <f t="shared" si="291"/>
        <v>0.28221220709678779</v>
      </c>
      <c r="AT257" s="55">
        <f t="shared" si="291"/>
        <v>0.28856198175646552</v>
      </c>
      <c r="AU257" s="55">
        <f t="shared" si="291"/>
        <v>0.295054626345986</v>
      </c>
      <c r="AV257" s="55">
        <f t="shared" si="291"/>
        <v>0.30169335543877068</v>
      </c>
      <c r="AW257" s="55">
        <f t="shared" si="291"/>
        <v>0.30848145593614301</v>
      </c>
      <c r="AX257" s="55">
        <f t="shared" si="291"/>
        <v>0.31542228869470623</v>
      </c>
      <c r="AY257" s="55">
        <f t="shared" si="291"/>
        <v>0.32251929019033704</v>
      </c>
      <c r="AZ257" s="55">
        <f t="shared" si="291"/>
        <v>0.32977597421961963</v>
      </c>
      <c r="BA257" s="55">
        <f t="shared" si="291"/>
        <v>0.33719593363956096</v>
      </c>
      <c r="BB257" s="55">
        <f t="shared" si="291"/>
        <v>0.34478284214645116</v>
      </c>
      <c r="BC257" s="55">
        <f t="shared" si="291"/>
        <v>0</v>
      </c>
      <c r="BD257" s="55">
        <f t="shared" si="291"/>
        <v>0</v>
      </c>
      <c r="BE257" s="55">
        <f t="shared" si="291"/>
        <v>0</v>
      </c>
      <c r="BF257" s="55">
        <f t="shared" si="291"/>
        <v>0</v>
      </c>
      <c r="BG257" s="55">
        <f t="shared" si="291"/>
        <v>0</v>
      </c>
      <c r="BH257" s="55">
        <f t="shared" si="291"/>
        <v>0</v>
      </c>
      <c r="BI257" s="55">
        <f t="shared" si="291"/>
        <v>0</v>
      </c>
      <c r="BJ257" s="55">
        <f t="shared" si="291"/>
        <v>0</v>
      </c>
    </row>
    <row r="258" spans="1:62" x14ac:dyDescent="0.3">
      <c r="A258" s="53" t="str">
        <f t="shared" si="245"/>
        <v>project 42</v>
      </c>
      <c r="C258" s="55">
        <f t="shared" ref="C258:AH258" si="292">IF(AND(C$127&gt;=$K47,C$127&lt;=$L47),$G47*(1+$H47)^(C$127-$B$5),0)</f>
        <v>0</v>
      </c>
      <c r="D258" s="55">
        <f t="shared" si="292"/>
        <v>0</v>
      </c>
      <c r="E258" s="55">
        <f t="shared" si="292"/>
        <v>0</v>
      </c>
      <c r="F258" s="55">
        <f t="shared" si="292"/>
        <v>0</v>
      </c>
      <c r="G258" s="55">
        <f t="shared" si="292"/>
        <v>0</v>
      </c>
      <c r="H258" s="55">
        <f t="shared" si="292"/>
        <v>0</v>
      </c>
      <c r="I258" s="55">
        <f t="shared" si="292"/>
        <v>0</v>
      </c>
      <c r="J258" s="55">
        <f t="shared" si="292"/>
        <v>0</v>
      </c>
      <c r="K258" s="55">
        <f t="shared" si="292"/>
        <v>0</v>
      </c>
      <c r="L258" s="55">
        <f t="shared" si="292"/>
        <v>0</v>
      </c>
      <c r="M258" s="55">
        <f t="shared" si="292"/>
        <v>0</v>
      </c>
      <c r="N258" s="55">
        <f t="shared" si="292"/>
        <v>0</v>
      </c>
      <c r="O258" s="55">
        <f t="shared" si="292"/>
        <v>2.6915940835181753E-3</v>
      </c>
      <c r="P258" s="55">
        <f t="shared" si="292"/>
        <v>2.7610372108729441E-3</v>
      </c>
      <c r="Q258" s="55">
        <f t="shared" si="292"/>
        <v>2.8322719709134663E-3</v>
      </c>
      <c r="R258" s="55">
        <f t="shared" si="292"/>
        <v>2.9053445877630342E-3</v>
      </c>
      <c r="S258" s="55">
        <f t="shared" si="292"/>
        <v>2.9803024781273205E-3</v>
      </c>
      <c r="T258" s="55">
        <f t="shared" si="292"/>
        <v>3.0571942820630058E-3</v>
      </c>
      <c r="U258" s="55">
        <f t="shared" si="292"/>
        <v>3.1360698945402314E-3</v>
      </c>
      <c r="V258" s="55">
        <f t="shared" si="292"/>
        <v>3.2169804978193699E-3</v>
      </c>
      <c r="W258" s="55">
        <f t="shared" si="292"/>
        <v>3.2999785946631094E-3</v>
      </c>
      <c r="X258" s="55">
        <f t="shared" si="292"/>
        <v>3.3851180424054176E-3</v>
      </c>
      <c r="Y258" s="55">
        <f t="shared" si="292"/>
        <v>3.4724540878994774E-3</v>
      </c>
      <c r="Z258" s="55">
        <f t="shared" si="292"/>
        <v>3.5620434033672849E-3</v>
      </c>
      <c r="AA258" s="55">
        <f t="shared" si="292"/>
        <v>3.6539441231741611E-3</v>
      </c>
      <c r="AB258" s="55">
        <f t="shared" si="292"/>
        <v>3.7482158815520549E-3</v>
      </c>
      <c r="AC258" s="55">
        <f t="shared" si="292"/>
        <v>3.8449198512960974E-3</v>
      </c>
      <c r="AD258" s="55">
        <f t="shared" si="292"/>
        <v>3.9441187834595376E-3</v>
      </c>
      <c r="AE258" s="55">
        <f t="shared" si="292"/>
        <v>4.0458770480727938E-3</v>
      </c>
      <c r="AF258" s="55">
        <f t="shared" si="292"/>
        <v>4.1502606759130714E-3</v>
      </c>
      <c r="AG258" s="55">
        <f t="shared" si="292"/>
        <v>4.2573374013516289E-3</v>
      </c>
      <c r="AH258" s="55">
        <f t="shared" si="292"/>
        <v>4.3671767063065024E-3</v>
      </c>
      <c r="AI258" s="55">
        <f t="shared" ref="AI258:BJ258" si="293">IF(AND(AI$127&gt;=$K47,AI$127&lt;=$L47),$G47*(1+$H47)^(AI$127-$B$5),0)</f>
        <v>4.4798498653292095E-3</v>
      </c>
      <c r="AJ258" s="55">
        <f t="shared" si="293"/>
        <v>4.5954299918547041E-3</v>
      </c>
      <c r="AK258" s="55">
        <f t="shared" si="293"/>
        <v>4.713992085644555E-3</v>
      </c>
      <c r="AL258" s="55">
        <f t="shared" si="293"/>
        <v>4.8356130814541853E-3</v>
      </c>
      <c r="AM258" s="55">
        <f t="shared" si="293"/>
        <v>4.9603718989557032E-3</v>
      </c>
      <c r="AN258" s="55">
        <f t="shared" si="293"/>
        <v>5.0883494939487611E-3</v>
      </c>
      <c r="AO258" s="55">
        <f t="shared" si="293"/>
        <v>5.2196289108926387E-3</v>
      </c>
      <c r="AP258" s="55">
        <f t="shared" si="293"/>
        <v>5.3542953367936704E-3</v>
      </c>
      <c r="AQ258" s="55">
        <f t="shared" si="293"/>
        <v>5.4924361564829462E-3</v>
      </c>
      <c r="AR258" s="55">
        <f t="shared" si="293"/>
        <v>5.6341410093202074E-3</v>
      </c>
      <c r="AS258" s="55">
        <f t="shared" si="293"/>
        <v>5.7795018473606689E-3</v>
      </c>
      <c r="AT258" s="55">
        <f t="shared" si="293"/>
        <v>5.9286129950225754E-3</v>
      </c>
      <c r="AU258" s="55">
        <f t="shared" si="293"/>
        <v>6.0815712102941571E-3</v>
      </c>
      <c r="AV258" s="55">
        <f t="shared" si="293"/>
        <v>6.2384757475197452E-3</v>
      </c>
      <c r="AW258" s="55">
        <f t="shared" si="293"/>
        <v>6.3994284218057557E-3</v>
      </c>
      <c r="AX258" s="55">
        <f t="shared" si="293"/>
        <v>6.5645336750883455E-3</v>
      </c>
      <c r="AY258" s="55">
        <f t="shared" si="293"/>
        <v>6.7338986439056253E-3</v>
      </c>
      <c r="AZ258" s="55">
        <f t="shared" si="293"/>
        <v>6.907633228918391E-3</v>
      </c>
      <c r="BA258" s="55">
        <f t="shared" si="293"/>
        <v>7.0858501662244859E-3</v>
      </c>
      <c r="BB258" s="55">
        <f t="shared" si="293"/>
        <v>7.2686651005130784E-3</v>
      </c>
      <c r="BC258" s="55">
        <f t="shared" si="293"/>
        <v>0</v>
      </c>
      <c r="BD258" s="55">
        <f t="shared" si="293"/>
        <v>0</v>
      </c>
      <c r="BE258" s="55">
        <f t="shared" si="293"/>
        <v>0</v>
      </c>
      <c r="BF258" s="55">
        <f t="shared" si="293"/>
        <v>0</v>
      </c>
      <c r="BG258" s="55">
        <f t="shared" si="293"/>
        <v>0</v>
      </c>
      <c r="BH258" s="55">
        <f t="shared" si="293"/>
        <v>0</v>
      </c>
      <c r="BI258" s="55">
        <f t="shared" si="293"/>
        <v>0</v>
      </c>
      <c r="BJ258" s="55">
        <f t="shared" si="293"/>
        <v>0</v>
      </c>
    </row>
    <row r="259" spans="1:62" x14ac:dyDescent="0.3">
      <c r="A259" s="53" t="str">
        <f t="shared" si="245"/>
        <v>project 43</v>
      </c>
      <c r="C259" s="55">
        <f t="shared" ref="C259:AH259" si="294">IF(AND(C$127&gt;=$K48,C$127&lt;=$L48),$G48*(1+$H48)^(C$127-$B$5),0)</f>
        <v>0</v>
      </c>
      <c r="D259" s="55">
        <f t="shared" si="294"/>
        <v>0</v>
      </c>
      <c r="E259" s="55">
        <f t="shared" si="294"/>
        <v>0</v>
      </c>
      <c r="F259" s="55">
        <f t="shared" si="294"/>
        <v>0</v>
      </c>
      <c r="G259" s="55">
        <f t="shared" si="294"/>
        <v>0</v>
      </c>
      <c r="H259" s="55">
        <f t="shared" si="294"/>
        <v>0</v>
      </c>
      <c r="I259" s="55">
        <f t="shared" si="294"/>
        <v>0</v>
      </c>
      <c r="J259" s="55">
        <f t="shared" si="294"/>
        <v>0</v>
      </c>
      <c r="K259" s="55">
        <f t="shared" si="294"/>
        <v>0</v>
      </c>
      <c r="L259" s="55">
        <f t="shared" si="294"/>
        <v>0</v>
      </c>
      <c r="M259" s="55">
        <f t="shared" si="294"/>
        <v>2.5315281596190644E-3</v>
      </c>
      <c r="N259" s="55">
        <f t="shared" si="294"/>
        <v>2.5781082777560547E-3</v>
      </c>
      <c r="O259" s="55">
        <f t="shared" si="294"/>
        <v>2.6255454700667667E-3</v>
      </c>
      <c r="P259" s="55">
        <f t="shared" si="294"/>
        <v>2.6738555067159944E-3</v>
      </c>
      <c r="Q259" s="55">
        <f t="shared" si="294"/>
        <v>2.7230544480395689E-3</v>
      </c>
      <c r="R259" s="55">
        <f t="shared" si="294"/>
        <v>2.7731586498834968E-3</v>
      </c>
      <c r="S259" s="55">
        <f t="shared" si="294"/>
        <v>2.8241847690413536E-3</v>
      </c>
      <c r="T259" s="55">
        <f t="shared" si="294"/>
        <v>2.8761497687917145E-3</v>
      </c>
      <c r="U259" s="55">
        <f t="shared" si="294"/>
        <v>2.9290709245374824E-3</v>
      </c>
      <c r="V259" s="55">
        <f t="shared" si="294"/>
        <v>2.9829658295489714E-3</v>
      </c>
      <c r="W259" s="55">
        <f t="shared" si="294"/>
        <v>3.0378524008126727E-3</v>
      </c>
      <c r="X259" s="55">
        <f t="shared" si="294"/>
        <v>3.0937488849876256E-3</v>
      </c>
      <c r="Y259" s="55">
        <f t="shared" si="294"/>
        <v>3.1506738644713978E-3</v>
      </c>
      <c r="Z259" s="55">
        <f t="shared" si="294"/>
        <v>3.2086462635776713E-3</v>
      </c>
      <c r="AA259" s="55">
        <f t="shared" si="294"/>
        <v>3.2676853548275009E-3</v>
      </c>
      <c r="AB259" s="55">
        <f t="shared" si="294"/>
        <v>3.327810765356327E-3</v>
      </c>
      <c r="AC259" s="55">
        <f t="shared" si="294"/>
        <v>3.3890424834388836E-3</v>
      </c>
      <c r="AD259" s="55">
        <f t="shared" si="294"/>
        <v>3.4514008651341591E-3</v>
      </c>
      <c r="AE259" s="55">
        <f t="shared" si="294"/>
        <v>3.5149066410526276E-3</v>
      </c>
      <c r="AF259" s="55">
        <f t="shared" si="294"/>
        <v>3.5795809232479956E-3</v>
      </c>
      <c r="AG259" s="55">
        <f t="shared" si="294"/>
        <v>3.6454452122357587E-3</v>
      </c>
      <c r="AH259" s="55">
        <f t="shared" si="294"/>
        <v>3.7125214041408964E-3</v>
      </c>
      <c r="AI259" s="55">
        <f t="shared" ref="AI259:BJ259" si="295">IF(AND(AI$127&gt;=$K48,AI$127&lt;=$L48),$G48*(1+$H48)^(AI$127-$B$5),0)</f>
        <v>3.780831797977089E-3</v>
      </c>
      <c r="AJ259" s="55">
        <f t="shared" si="295"/>
        <v>3.8503991030598679E-3</v>
      </c>
      <c r="AK259" s="55">
        <f t="shared" si="295"/>
        <v>3.9212464465561694E-3</v>
      </c>
      <c r="AL259" s="55">
        <f t="shared" si="295"/>
        <v>3.9933973811728026E-3</v>
      </c>
      <c r="AM259" s="55">
        <f t="shared" si="295"/>
        <v>4.0668758929863821E-3</v>
      </c>
      <c r="AN259" s="55">
        <f t="shared" si="295"/>
        <v>4.141706409417331E-3</v>
      </c>
      <c r="AO259" s="55">
        <f t="shared" si="295"/>
        <v>4.2179138073506102E-3</v>
      </c>
      <c r="AP259" s="55">
        <f t="shared" si="295"/>
        <v>4.2955234214058606E-3</v>
      </c>
      <c r="AQ259" s="55">
        <f t="shared" si="295"/>
        <v>4.3745610523597302E-3</v>
      </c>
      <c r="AR259" s="55">
        <f t="shared" si="295"/>
        <v>4.4550529757231483E-3</v>
      </c>
      <c r="AS259" s="55">
        <f t="shared" si="295"/>
        <v>4.5370259504764546E-3</v>
      </c>
      <c r="AT259" s="55">
        <f t="shared" si="295"/>
        <v>4.6205072279652216E-3</v>
      </c>
      <c r="AU259" s="55">
        <f t="shared" si="295"/>
        <v>4.7055245609597821E-3</v>
      </c>
      <c r="AV259" s="55">
        <f t="shared" si="295"/>
        <v>4.7921062128814407E-3</v>
      </c>
      <c r="AW259" s="55">
        <f t="shared" si="295"/>
        <v>4.8802809671984601E-3</v>
      </c>
      <c r="AX259" s="55">
        <f t="shared" si="295"/>
        <v>4.9700781369949112E-3</v>
      </c>
      <c r="AY259" s="55">
        <f t="shared" si="295"/>
        <v>5.0615275747156177E-3</v>
      </c>
      <c r="AZ259" s="55">
        <f t="shared" si="295"/>
        <v>5.1546596820903848E-3</v>
      </c>
      <c r="BA259" s="55">
        <f t="shared" si="295"/>
        <v>0</v>
      </c>
      <c r="BB259" s="55">
        <f t="shared" si="295"/>
        <v>0</v>
      </c>
      <c r="BC259" s="55">
        <f t="shared" si="295"/>
        <v>0</v>
      </c>
      <c r="BD259" s="55">
        <f t="shared" si="295"/>
        <v>0</v>
      </c>
      <c r="BE259" s="55">
        <f t="shared" si="295"/>
        <v>0</v>
      </c>
      <c r="BF259" s="55">
        <f t="shared" si="295"/>
        <v>0</v>
      </c>
      <c r="BG259" s="55">
        <f t="shared" si="295"/>
        <v>0</v>
      </c>
      <c r="BH259" s="55">
        <f t="shared" si="295"/>
        <v>0</v>
      </c>
      <c r="BI259" s="55">
        <f t="shared" si="295"/>
        <v>0</v>
      </c>
      <c r="BJ259" s="55">
        <f t="shared" si="295"/>
        <v>0</v>
      </c>
    </row>
    <row r="260" spans="1:62" x14ac:dyDescent="0.3">
      <c r="A260" s="53" t="str">
        <f t="shared" si="245"/>
        <v>project 44</v>
      </c>
      <c r="C260" s="55">
        <f t="shared" ref="C260:AH260" si="296">IF(AND(C$127&gt;=$K49,C$127&lt;=$L49),$G49*(1+$H49)^(C$127-$B$5),0)</f>
        <v>0</v>
      </c>
      <c r="D260" s="55">
        <f t="shared" si="296"/>
        <v>0</v>
      </c>
      <c r="E260" s="55">
        <f t="shared" si="296"/>
        <v>0</v>
      </c>
      <c r="F260" s="55">
        <f t="shared" si="296"/>
        <v>0</v>
      </c>
      <c r="G260" s="55">
        <f t="shared" si="296"/>
        <v>0</v>
      </c>
      <c r="H260" s="55">
        <f t="shared" si="296"/>
        <v>0</v>
      </c>
      <c r="I260" s="55">
        <f t="shared" si="296"/>
        <v>1.272590046396031E-3</v>
      </c>
      <c r="J260" s="55">
        <f t="shared" si="296"/>
        <v>1.2869703139203063E-3</v>
      </c>
      <c r="K260" s="55">
        <f t="shared" si="296"/>
        <v>1.3015130784676057E-3</v>
      </c>
      <c r="L260" s="55">
        <f t="shared" si="296"/>
        <v>1.3162201762542897E-3</v>
      </c>
      <c r="M260" s="55">
        <f t="shared" si="296"/>
        <v>1.3310934642459633E-3</v>
      </c>
      <c r="N260" s="55">
        <f t="shared" si="296"/>
        <v>1.3461348203919427E-3</v>
      </c>
      <c r="O260" s="55">
        <f t="shared" si="296"/>
        <v>1.3613461438623717E-3</v>
      </c>
      <c r="P260" s="55">
        <f t="shared" si="296"/>
        <v>1.3767293552880168E-3</v>
      </c>
      <c r="Q260" s="55">
        <f t="shared" si="296"/>
        <v>1.3922863970027715E-3</v>
      </c>
      <c r="R260" s="55">
        <f t="shared" si="296"/>
        <v>1.4080192332889029E-3</v>
      </c>
      <c r="S260" s="55">
        <f t="shared" si="296"/>
        <v>1.4239298506250673E-3</v>
      </c>
      <c r="T260" s="55">
        <f t="shared" si="296"/>
        <v>1.4400202579371306E-3</v>
      </c>
      <c r="U260" s="55">
        <f t="shared" si="296"/>
        <v>1.4562924868518204E-3</v>
      </c>
      <c r="V260" s="55">
        <f t="shared" si="296"/>
        <v>1.472748591953246E-3</v>
      </c>
      <c r="W260" s="55">
        <f t="shared" si="296"/>
        <v>1.4893906510423179E-3</v>
      </c>
      <c r="X260" s="55">
        <f t="shared" si="296"/>
        <v>1.5062207653990963E-3</v>
      </c>
      <c r="Y260" s="55">
        <f t="shared" si="296"/>
        <v>1.5232410600481061E-3</v>
      </c>
      <c r="Z260" s="55">
        <f t="shared" si="296"/>
        <v>1.5404536840266498E-3</v>
      </c>
      <c r="AA260" s="55">
        <f t="shared" si="296"/>
        <v>1.5578608106561508E-3</v>
      </c>
      <c r="AB260" s="55">
        <f t="shared" si="296"/>
        <v>1.5754646378165656E-3</v>
      </c>
      <c r="AC260" s="55">
        <f t="shared" si="296"/>
        <v>1.5932673882238927E-3</v>
      </c>
      <c r="AD260" s="55">
        <f t="shared" si="296"/>
        <v>1.6112713097108226E-3</v>
      </c>
      <c r="AE260" s="55">
        <f t="shared" si="296"/>
        <v>1.6294786755105552E-3</v>
      </c>
      <c r="AF260" s="55">
        <f t="shared" si="296"/>
        <v>1.6478917845438249E-3</v>
      </c>
      <c r="AG260" s="55">
        <f t="shared" si="296"/>
        <v>1.6665129617091702E-3</v>
      </c>
      <c r="AH260" s="55">
        <f t="shared" si="296"/>
        <v>1.6853445581764841E-3</v>
      </c>
      <c r="AI260" s="55">
        <f t="shared" ref="AI260:BJ260" si="297">IF(AND(AI$127&gt;=$K49,AI$127&lt;=$L49),$G49*(1+$H49)^(AI$127-$B$5),0)</f>
        <v>1.7043889516838778E-3</v>
      </c>
      <c r="AJ260" s="55">
        <f t="shared" si="297"/>
        <v>1.7236485468379058E-3</v>
      </c>
      <c r="AK260" s="55">
        <f t="shared" si="297"/>
        <v>1.7431257754171744E-3</v>
      </c>
      <c r="AL260" s="55">
        <f t="shared" si="297"/>
        <v>1.7628230966793884E-3</v>
      </c>
      <c r="AM260" s="55">
        <f t="shared" si="297"/>
        <v>1.7827429976718658E-3</v>
      </c>
      <c r="AN260" s="55">
        <f t="shared" si="297"/>
        <v>1.8028879935455581E-3</v>
      </c>
      <c r="AO260" s="55">
        <f t="shared" si="297"/>
        <v>1.8232606278726232E-3</v>
      </c>
      <c r="AP260" s="55">
        <f t="shared" si="297"/>
        <v>1.8438634729675838E-3</v>
      </c>
      <c r="AQ260" s="55">
        <f t="shared" si="297"/>
        <v>1.8646991302121174E-3</v>
      </c>
      <c r="AR260" s="55">
        <f t="shared" si="297"/>
        <v>1.8857702303835145E-3</v>
      </c>
      <c r="AS260" s="55">
        <f t="shared" si="297"/>
        <v>1.9070794339868483E-3</v>
      </c>
      <c r="AT260" s="55">
        <f t="shared" si="297"/>
        <v>1.9286294315908996E-3</v>
      </c>
      <c r="AU260" s="55">
        <f t="shared" si="297"/>
        <v>1.9504229441678772E-3</v>
      </c>
      <c r="AV260" s="55">
        <f t="shared" si="297"/>
        <v>1.9724627234369747E-3</v>
      </c>
      <c r="AW260" s="55">
        <f t="shared" si="297"/>
        <v>0</v>
      </c>
      <c r="AX260" s="55">
        <f t="shared" si="297"/>
        <v>0</v>
      </c>
      <c r="AY260" s="55">
        <f t="shared" si="297"/>
        <v>0</v>
      </c>
      <c r="AZ260" s="55">
        <f t="shared" si="297"/>
        <v>0</v>
      </c>
      <c r="BA260" s="55">
        <f t="shared" si="297"/>
        <v>0</v>
      </c>
      <c r="BB260" s="55">
        <f t="shared" si="297"/>
        <v>0</v>
      </c>
      <c r="BC260" s="55">
        <f t="shared" si="297"/>
        <v>0</v>
      </c>
      <c r="BD260" s="55">
        <f t="shared" si="297"/>
        <v>0</v>
      </c>
      <c r="BE260" s="55">
        <f t="shared" si="297"/>
        <v>0</v>
      </c>
      <c r="BF260" s="55">
        <f t="shared" si="297"/>
        <v>0</v>
      </c>
      <c r="BG260" s="55">
        <f t="shared" si="297"/>
        <v>0</v>
      </c>
      <c r="BH260" s="55">
        <f t="shared" si="297"/>
        <v>0</v>
      </c>
      <c r="BI260" s="55">
        <f t="shared" si="297"/>
        <v>0</v>
      </c>
      <c r="BJ260" s="55">
        <f t="shared" si="297"/>
        <v>0</v>
      </c>
    </row>
    <row r="261" spans="1:62" x14ac:dyDescent="0.3">
      <c r="A261" s="53" t="str">
        <f t="shared" si="245"/>
        <v>project 47</v>
      </c>
      <c r="C261" s="55">
        <f t="shared" ref="C261:AH261" si="298">IF(AND(C$127&gt;=$K50,C$127&lt;=$L50),$G50*(1+$H50)^(C$127-$B$5),0)</f>
        <v>0</v>
      </c>
      <c r="D261" s="55">
        <f t="shared" si="298"/>
        <v>0</v>
      </c>
      <c r="E261" s="55">
        <f t="shared" si="298"/>
        <v>0</v>
      </c>
      <c r="F261" s="55">
        <f t="shared" si="298"/>
        <v>0</v>
      </c>
      <c r="G261" s="55">
        <f t="shared" si="298"/>
        <v>0</v>
      </c>
      <c r="H261" s="55">
        <f t="shared" si="298"/>
        <v>0</v>
      </c>
      <c r="I261" s="55">
        <f t="shared" si="298"/>
        <v>0</v>
      </c>
      <c r="J261" s="55">
        <f t="shared" si="298"/>
        <v>0</v>
      </c>
      <c r="K261" s="55">
        <f t="shared" si="298"/>
        <v>0</v>
      </c>
      <c r="L261" s="55">
        <f t="shared" si="298"/>
        <v>0.1927363350876686</v>
      </c>
      <c r="M261" s="55">
        <f t="shared" si="298"/>
        <v>0.19612849458521159</v>
      </c>
      <c r="N261" s="55">
        <f t="shared" si="298"/>
        <v>0.19958035608991134</v>
      </c>
      <c r="O261" s="55">
        <f t="shared" si="298"/>
        <v>0.20309297035709378</v>
      </c>
      <c r="P261" s="55">
        <f t="shared" si="298"/>
        <v>0.20666740663537861</v>
      </c>
      <c r="Q261" s="55">
        <f t="shared" si="298"/>
        <v>0.21030475299216131</v>
      </c>
      <c r="R261" s="55">
        <f t="shared" si="298"/>
        <v>0.21400611664482339</v>
      </c>
      <c r="S261" s="55">
        <f t="shared" si="298"/>
        <v>0.21777262429777225</v>
      </c>
      <c r="T261" s="55">
        <f t="shared" si="298"/>
        <v>0.22160542248541307</v>
      </c>
      <c r="U261" s="55">
        <f t="shared" si="298"/>
        <v>0.22550567792115633</v>
      </c>
      <c r="V261" s="55">
        <f t="shared" si="298"/>
        <v>0.22947457785256872</v>
      </c>
      <c r="W261" s="55">
        <f t="shared" si="298"/>
        <v>0.23351333042277395</v>
      </c>
      <c r="X261" s="55">
        <f t="shared" si="298"/>
        <v>0.23762316503821473</v>
      </c>
      <c r="Y261" s="55">
        <f t="shared" si="298"/>
        <v>0.24180533274288735</v>
      </c>
      <c r="Z261" s="55">
        <f t="shared" si="298"/>
        <v>0.24606110659916219</v>
      </c>
      <c r="AA261" s="55">
        <f t="shared" si="298"/>
        <v>0.25039178207530743</v>
      </c>
      <c r="AB261" s="55">
        <f t="shared" si="298"/>
        <v>0.25479867743983287</v>
      </c>
      <c r="AC261" s="55">
        <f t="shared" si="298"/>
        <v>0.25928313416277393</v>
      </c>
      <c r="AD261" s="55">
        <f t="shared" si="298"/>
        <v>0.26384651732403874</v>
      </c>
      <c r="AE261" s="55">
        <f t="shared" si="298"/>
        <v>0.26849021602894185</v>
      </c>
      <c r="AF261" s="55">
        <f t="shared" si="298"/>
        <v>0.27321564383105118</v>
      </c>
      <c r="AG261" s="55">
        <f t="shared" si="298"/>
        <v>0.27802423916247776</v>
      </c>
      <c r="AH261" s="55">
        <f t="shared" si="298"/>
        <v>0.28291746577173743</v>
      </c>
      <c r="AI261" s="55">
        <f t="shared" ref="AI261:BJ261" si="299">IF(AND(AI$127&gt;=$K50,AI$127&lt;=$L50),$G50*(1+$H50)^(AI$127-$B$5),0)</f>
        <v>0.28789681316931998</v>
      </c>
      <c r="AJ261" s="55">
        <f t="shared" si="299"/>
        <v>0.29296379708110004</v>
      </c>
      <c r="AK261" s="55">
        <f t="shared" si="299"/>
        <v>0.29811995990972739</v>
      </c>
      <c r="AL261" s="55">
        <f t="shared" si="299"/>
        <v>0.30336687120413863</v>
      </c>
      <c r="AM261" s="55">
        <f t="shared" si="299"/>
        <v>0.30870612813733145</v>
      </c>
      <c r="AN261" s="55">
        <f t="shared" si="299"/>
        <v>0.3141393559925485</v>
      </c>
      <c r="AO261" s="55">
        <f t="shared" si="299"/>
        <v>0.31966820865801743</v>
      </c>
      <c r="AP261" s="55">
        <f t="shared" si="299"/>
        <v>0.32529436913039855</v>
      </c>
      <c r="AQ261" s="55">
        <f t="shared" si="299"/>
        <v>0.33101955002709349</v>
      </c>
      <c r="AR261" s="55">
        <f t="shared" si="299"/>
        <v>0.33684549410757036</v>
      </c>
      <c r="AS261" s="55">
        <f t="shared" si="299"/>
        <v>0.34277397480386362</v>
      </c>
      <c r="AT261" s="55">
        <f t="shared" si="299"/>
        <v>0.34880679676041171</v>
      </c>
      <c r="AU261" s="55">
        <f t="shared" si="299"/>
        <v>0.35494579638339491</v>
      </c>
      <c r="AV261" s="55">
        <f t="shared" si="299"/>
        <v>0.36119284239974264</v>
      </c>
      <c r="AW261" s="55">
        <f t="shared" si="299"/>
        <v>0.36754983642597822</v>
      </c>
      <c r="AX261" s="55">
        <f t="shared" si="299"/>
        <v>0.37401871354707544</v>
      </c>
      <c r="AY261" s="55">
        <f t="shared" si="299"/>
        <v>0.38060144290550391</v>
      </c>
      <c r="AZ261" s="55">
        <f t="shared" si="299"/>
        <v>0</v>
      </c>
      <c r="BA261" s="55">
        <f t="shared" si="299"/>
        <v>0</v>
      </c>
      <c r="BB261" s="55">
        <f t="shared" si="299"/>
        <v>0</v>
      </c>
      <c r="BC261" s="55">
        <f t="shared" si="299"/>
        <v>0</v>
      </c>
      <c r="BD261" s="55">
        <f t="shared" si="299"/>
        <v>0</v>
      </c>
      <c r="BE261" s="55">
        <f t="shared" si="299"/>
        <v>0</v>
      </c>
      <c r="BF261" s="55">
        <f t="shared" si="299"/>
        <v>0</v>
      </c>
      <c r="BG261" s="55">
        <f t="shared" si="299"/>
        <v>0</v>
      </c>
      <c r="BH261" s="55">
        <f t="shared" si="299"/>
        <v>0</v>
      </c>
      <c r="BI261" s="55">
        <f t="shared" si="299"/>
        <v>0</v>
      </c>
      <c r="BJ261" s="55">
        <f t="shared" si="299"/>
        <v>0</v>
      </c>
    </row>
    <row r="262" spans="1:62" x14ac:dyDescent="0.3">
      <c r="A262" s="53" t="str">
        <f t="shared" si="245"/>
        <v>project 48</v>
      </c>
      <c r="C262" s="55">
        <f t="shared" ref="C262:AH262" si="300">IF(AND(C$127&gt;=$K51,C$127&lt;=$L51),$G51*(1+$H51)^(C$127-$B$5),0)</f>
        <v>0</v>
      </c>
      <c r="D262" s="55">
        <f t="shared" si="300"/>
        <v>0</v>
      </c>
      <c r="E262" s="55">
        <f t="shared" si="300"/>
        <v>0</v>
      </c>
      <c r="F262" s="55">
        <f t="shared" si="300"/>
        <v>0</v>
      </c>
      <c r="G262" s="55">
        <f t="shared" si="300"/>
        <v>0</v>
      </c>
      <c r="H262" s="55">
        <f t="shared" si="300"/>
        <v>0</v>
      </c>
      <c r="I262" s="55">
        <f t="shared" si="300"/>
        <v>0</v>
      </c>
      <c r="J262" s="55">
        <f t="shared" si="300"/>
        <v>0</v>
      </c>
      <c r="K262" s="55">
        <f t="shared" si="300"/>
        <v>0</v>
      </c>
      <c r="L262" s="55">
        <f t="shared" si="300"/>
        <v>0</v>
      </c>
      <c r="M262" s="55">
        <f t="shared" si="300"/>
        <v>0</v>
      </c>
      <c r="N262" s="55">
        <f t="shared" si="300"/>
        <v>0</v>
      </c>
      <c r="O262" s="55">
        <f t="shared" si="300"/>
        <v>0</v>
      </c>
      <c r="P262" s="55">
        <f t="shared" si="300"/>
        <v>0</v>
      </c>
      <c r="Q262" s="55">
        <f t="shared" si="300"/>
        <v>0</v>
      </c>
      <c r="R262" s="55">
        <f t="shared" si="300"/>
        <v>0</v>
      </c>
      <c r="S262" s="55">
        <f t="shared" si="300"/>
        <v>0</v>
      </c>
      <c r="T262" s="55">
        <f t="shared" si="300"/>
        <v>0</v>
      </c>
      <c r="U262" s="55">
        <f t="shared" si="300"/>
        <v>0</v>
      </c>
      <c r="V262" s="55">
        <f t="shared" si="300"/>
        <v>0.45066919565968117</v>
      </c>
      <c r="W262" s="55">
        <f t="shared" si="300"/>
        <v>0.46414420460990563</v>
      </c>
      <c r="X262" s="55">
        <f t="shared" si="300"/>
        <v>0.47802211632774183</v>
      </c>
      <c r="Y262" s="55">
        <f t="shared" si="300"/>
        <v>0.4923149776059414</v>
      </c>
      <c r="Z262" s="55">
        <f t="shared" si="300"/>
        <v>0.507035195436359</v>
      </c>
      <c r="AA262" s="55">
        <f t="shared" si="300"/>
        <v>0.52219554777990618</v>
      </c>
      <c r="AB262" s="55">
        <f t="shared" si="300"/>
        <v>0.53780919465852539</v>
      </c>
      <c r="AC262" s="55">
        <f t="shared" si="300"/>
        <v>0.55388968957881535</v>
      </c>
      <c r="AD262" s="55">
        <f t="shared" si="300"/>
        <v>0.57045099129722199</v>
      </c>
      <c r="AE262" s="55">
        <f t="shared" si="300"/>
        <v>0.58750747593700903</v>
      </c>
      <c r="AF262" s="55">
        <f t="shared" si="300"/>
        <v>0.60507394946752557</v>
      </c>
      <c r="AG262" s="55">
        <f t="shared" si="300"/>
        <v>0.62316566055660461</v>
      </c>
      <c r="AH262" s="55">
        <f t="shared" si="300"/>
        <v>0.64179831380724717</v>
      </c>
      <c r="AI262" s="55">
        <f t="shared" ref="AI262:BJ262" si="301">IF(AND(AI$127&gt;=$K51,AI$127&lt;=$L51),$G51*(1+$H51)^(AI$127-$B$5),0)</f>
        <v>0.66098808339008386</v>
      </c>
      <c r="AJ262" s="55">
        <f t="shared" si="301"/>
        <v>0.68075162708344739</v>
      </c>
      <c r="AK262" s="55">
        <f t="shared" si="301"/>
        <v>0.70110610073324253</v>
      </c>
      <c r="AL262" s="55">
        <f t="shared" si="301"/>
        <v>0.72206917314516661</v>
      </c>
      <c r="AM262" s="55">
        <f t="shared" si="301"/>
        <v>0.74365904142220707</v>
      </c>
      <c r="AN262" s="55">
        <f t="shared" si="301"/>
        <v>0.76589444676073115</v>
      </c>
      <c r="AO262" s="55">
        <f t="shared" si="301"/>
        <v>0.78879469071887709</v>
      </c>
      <c r="AP262" s="55">
        <f t="shared" si="301"/>
        <v>0.81237965197137152</v>
      </c>
      <c r="AQ262" s="55">
        <f t="shared" si="301"/>
        <v>0.83666980356531551</v>
      </c>
      <c r="AR262" s="55">
        <f t="shared" si="301"/>
        <v>0.86168623069191852</v>
      </c>
      <c r="AS262" s="55">
        <f t="shared" si="301"/>
        <v>0.88745064898960702</v>
      </c>
      <c r="AT262" s="55">
        <f t="shared" si="301"/>
        <v>0.91398542339439637</v>
      </c>
      <c r="AU262" s="55">
        <f t="shared" si="301"/>
        <v>0.94131358755388894</v>
      </c>
      <c r="AV262" s="55">
        <f t="shared" si="301"/>
        <v>0.96945886382175017</v>
      </c>
      <c r="AW262" s="55">
        <f t="shared" si="301"/>
        <v>0.99844568385002053</v>
      </c>
      <c r="AX262" s="55">
        <f t="shared" si="301"/>
        <v>1.0282992097971364</v>
      </c>
      <c r="AY262" s="55">
        <f t="shared" si="301"/>
        <v>1.0590453561700706</v>
      </c>
      <c r="AZ262" s="55">
        <f t="shared" si="301"/>
        <v>1.0907108123195557</v>
      </c>
      <c r="BA262" s="55">
        <f t="shared" si="301"/>
        <v>1.1233230656079107</v>
      </c>
      <c r="BB262" s="55">
        <f t="shared" si="301"/>
        <v>1.1569104252695872</v>
      </c>
      <c r="BC262" s="55">
        <f t="shared" si="301"/>
        <v>1.1915020469851481</v>
      </c>
      <c r="BD262" s="55">
        <f t="shared" si="301"/>
        <v>1.2271279581900041</v>
      </c>
      <c r="BE262" s="55">
        <f t="shared" si="301"/>
        <v>1.2638190841398853</v>
      </c>
      <c r="BF262" s="55">
        <f t="shared" si="301"/>
        <v>1.3016072747556677</v>
      </c>
      <c r="BG262" s="55">
        <f t="shared" si="301"/>
        <v>1.3405253322708621</v>
      </c>
      <c r="BH262" s="55">
        <f t="shared" si="301"/>
        <v>1.380607039705761</v>
      </c>
      <c r="BI262" s="55">
        <f t="shared" si="301"/>
        <v>1.4218871901929635</v>
      </c>
      <c r="BJ262" s="55">
        <f t="shared" si="301"/>
        <v>0</v>
      </c>
    </row>
    <row r="263" spans="1:62" x14ac:dyDescent="0.3">
      <c r="A263" s="53" t="str">
        <f t="shared" si="245"/>
        <v>project 50</v>
      </c>
      <c r="C263" s="55">
        <f t="shared" ref="C263:AH263" si="302">IF(AND(C$127&gt;=$K52,C$127&lt;=$L52),$G52*(1+$H52)^(C$127-$B$5),0)</f>
        <v>0</v>
      </c>
      <c r="D263" s="55">
        <f t="shared" si="302"/>
        <v>0</v>
      </c>
      <c r="E263" s="55">
        <f t="shared" si="302"/>
        <v>0</v>
      </c>
      <c r="F263" s="55">
        <f t="shared" si="302"/>
        <v>0</v>
      </c>
      <c r="G263" s="55">
        <f t="shared" si="302"/>
        <v>0</v>
      </c>
      <c r="H263" s="55">
        <f t="shared" si="302"/>
        <v>0</v>
      </c>
      <c r="I263" s="55">
        <f t="shared" si="302"/>
        <v>0</v>
      </c>
      <c r="J263" s="55">
        <f t="shared" si="302"/>
        <v>0</v>
      </c>
      <c r="K263" s="55">
        <f t="shared" si="302"/>
        <v>0</v>
      </c>
      <c r="L263" s="55">
        <f t="shared" si="302"/>
        <v>0</v>
      </c>
      <c r="M263" s="55">
        <f t="shared" si="302"/>
        <v>0</v>
      </c>
      <c r="N263" s="55">
        <f t="shared" si="302"/>
        <v>0</v>
      </c>
      <c r="O263" s="55">
        <f t="shared" si="302"/>
        <v>0</v>
      </c>
      <c r="P263" s="55">
        <f t="shared" si="302"/>
        <v>0</v>
      </c>
      <c r="Q263" s="55">
        <f t="shared" si="302"/>
        <v>3.6733316693403295</v>
      </c>
      <c r="R263" s="55">
        <f t="shared" si="302"/>
        <v>3.7490023017287406</v>
      </c>
      <c r="S263" s="55">
        <f t="shared" si="302"/>
        <v>3.8262317491443518</v>
      </c>
      <c r="T263" s="55">
        <f t="shared" si="302"/>
        <v>3.9050521231767248</v>
      </c>
      <c r="U263" s="55">
        <f t="shared" si="302"/>
        <v>3.9854961969141653</v>
      </c>
      <c r="V263" s="55">
        <f t="shared" si="302"/>
        <v>4.067597418570597</v>
      </c>
      <c r="W263" s="55">
        <f t="shared" si="302"/>
        <v>4.1513899253931505</v>
      </c>
      <c r="X263" s="55">
        <f t="shared" si="302"/>
        <v>4.2369085578562489</v>
      </c>
      <c r="Y263" s="55">
        <f t="shared" si="302"/>
        <v>4.3241888741480885</v>
      </c>
      <c r="Z263" s="55">
        <f t="shared" si="302"/>
        <v>4.4132671649555384</v>
      </c>
      <c r="AA263" s="55">
        <f t="shared" si="302"/>
        <v>4.5041804685536224</v>
      </c>
      <c r="AB263" s="55">
        <f t="shared" si="302"/>
        <v>4.5969665862058262</v>
      </c>
      <c r="AC263" s="55">
        <f t="shared" si="302"/>
        <v>4.6916640978816666</v>
      </c>
      <c r="AD263" s="55">
        <f t="shared" si="302"/>
        <v>4.7883123782980279</v>
      </c>
      <c r="AE263" s="55">
        <f t="shared" si="302"/>
        <v>4.8869516132909672</v>
      </c>
      <c r="AF263" s="55">
        <f t="shared" si="302"/>
        <v>4.9876228165247607</v>
      </c>
      <c r="AG263" s="55">
        <f t="shared" si="302"/>
        <v>5.0903678465451705</v>
      </c>
      <c r="AH263" s="55">
        <f t="shared" si="302"/>
        <v>5.1952294241840011</v>
      </c>
      <c r="AI263" s="55">
        <f t="shared" ref="AI263:BJ263" si="303">IF(AND(AI$127&gt;=$K52,AI$127&lt;=$L52),$G52*(1+$H52)^(AI$127-$B$5),0)</f>
        <v>5.3022511503221903</v>
      </c>
      <c r="AJ263" s="55">
        <f t="shared" si="303"/>
        <v>5.4114775240188271</v>
      </c>
      <c r="AK263" s="55">
        <f t="shared" si="303"/>
        <v>5.5229539610136156</v>
      </c>
      <c r="AL263" s="55">
        <f t="shared" si="303"/>
        <v>5.6367268126104948</v>
      </c>
      <c r="AM263" s="55">
        <f t="shared" si="303"/>
        <v>5.7528433849502703</v>
      </c>
      <c r="AN263" s="55">
        <f t="shared" si="303"/>
        <v>5.8713519586802461</v>
      </c>
      <c r="AO263" s="55">
        <f t="shared" si="303"/>
        <v>5.9923018090290583</v>
      </c>
      <c r="AP263" s="55">
        <f t="shared" si="303"/>
        <v>6.1157432262950584</v>
      </c>
      <c r="AQ263" s="55">
        <f t="shared" si="303"/>
        <v>6.2417275367567342</v>
      </c>
      <c r="AR263" s="55">
        <f t="shared" si="303"/>
        <v>6.3703071240139231</v>
      </c>
      <c r="AS263" s="55">
        <f t="shared" si="303"/>
        <v>6.5015354507686096</v>
      </c>
      <c r="AT263" s="55">
        <f t="shared" si="303"/>
        <v>6.6354670810544425</v>
      </c>
      <c r="AU263" s="55">
        <f t="shared" si="303"/>
        <v>6.7721577029241633</v>
      </c>
      <c r="AV263" s="55">
        <f t="shared" si="303"/>
        <v>6.9116641516044002</v>
      </c>
      <c r="AW263" s="55">
        <f t="shared" si="303"/>
        <v>7.0540444331274506</v>
      </c>
      <c r="AX263" s="55">
        <f t="shared" si="303"/>
        <v>7.1993577484498763</v>
      </c>
      <c r="AY263" s="55">
        <f t="shared" si="303"/>
        <v>7.3476645180679423</v>
      </c>
      <c r="AZ263" s="55">
        <f t="shared" si="303"/>
        <v>7.49902640714014</v>
      </c>
      <c r="BA263" s="55">
        <f t="shared" si="303"/>
        <v>7.6535063511272279</v>
      </c>
      <c r="BB263" s="55">
        <f t="shared" si="303"/>
        <v>7.8111685819604491</v>
      </c>
      <c r="BC263" s="55">
        <f t="shared" si="303"/>
        <v>7.9720786547488327</v>
      </c>
      <c r="BD263" s="55">
        <f t="shared" si="303"/>
        <v>8.1363034750366587</v>
      </c>
      <c r="BE263" s="55">
        <f t="shared" si="303"/>
        <v>0</v>
      </c>
      <c r="BF263" s="55">
        <f t="shared" si="303"/>
        <v>0</v>
      </c>
      <c r="BG263" s="55">
        <f t="shared" si="303"/>
        <v>0</v>
      </c>
      <c r="BH263" s="55">
        <f t="shared" si="303"/>
        <v>0</v>
      </c>
      <c r="BI263" s="55">
        <f t="shared" si="303"/>
        <v>0</v>
      </c>
      <c r="BJ263" s="55">
        <f t="shared" si="303"/>
        <v>0</v>
      </c>
    </row>
    <row r="264" spans="1:62" x14ac:dyDescent="0.3">
      <c r="A264" s="53" t="str">
        <f t="shared" si="245"/>
        <v>project 51</v>
      </c>
      <c r="C264" s="55">
        <f t="shared" ref="C264:AH264" si="304">IF(AND(C$127&gt;=$K53,C$127&lt;=$L53),$G53*(1+$H53)^(C$127-$B$5),0)</f>
        <v>0</v>
      </c>
      <c r="D264" s="55">
        <f t="shared" si="304"/>
        <v>0</v>
      </c>
      <c r="E264" s="55">
        <f t="shared" si="304"/>
        <v>0</v>
      </c>
      <c r="F264" s="55">
        <f t="shared" si="304"/>
        <v>0</v>
      </c>
      <c r="G264" s="55">
        <f t="shared" si="304"/>
        <v>0</v>
      </c>
      <c r="H264" s="55">
        <f t="shared" si="304"/>
        <v>0</v>
      </c>
      <c r="I264" s="55">
        <f t="shared" si="304"/>
        <v>0</v>
      </c>
      <c r="J264" s="55">
        <f t="shared" si="304"/>
        <v>0</v>
      </c>
      <c r="K264" s="55">
        <f t="shared" si="304"/>
        <v>0</v>
      </c>
      <c r="L264" s="55">
        <f t="shared" si="304"/>
        <v>0</v>
      </c>
      <c r="M264" s="55">
        <f t="shared" si="304"/>
        <v>0</v>
      </c>
      <c r="N264" s="55">
        <f t="shared" si="304"/>
        <v>0</v>
      </c>
      <c r="O264" s="55">
        <f t="shared" si="304"/>
        <v>0</v>
      </c>
      <c r="P264" s="55">
        <f t="shared" si="304"/>
        <v>0</v>
      </c>
      <c r="Q264" s="55">
        <f t="shared" si="304"/>
        <v>0</v>
      </c>
      <c r="R264" s="55">
        <f t="shared" si="304"/>
        <v>0</v>
      </c>
      <c r="S264" s="55">
        <f t="shared" si="304"/>
        <v>0</v>
      </c>
      <c r="T264" s="55">
        <f t="shared" si="304"/>
        <v>0</v>
      </c>
      <c r="U264" s="55">
        <f t="shared" si="304"/>
        <v>0</v>
      </c>
      <c r="V264" s="55">
        <f t="shared" si="304"/>
        <v>7.4554104008576472</v>
      </c>
      <c r="W264" s="55">
        <f t="shared" si="304"/>
        <v>7.6745994666428636</v>
      </c>
      <c r="X264" s="55">
        <f t="shared" si="304"/>
        <v>7.9002326909621647</v>
      </c>
      <c r="Y264" s="55">
        <f t="shared" si="304"/>
        <v>8.1324995320764533</v>
      </c>
      <c r="Z264" s="55">
        <f t="shared" si="304"/>
        <v>8.3715950183194998</v>
      </c>
      <c r="AA264" s="55">
        <f t="shared" si="304"/>
        <v>8.6177199118580958</v>
      </c>
      <c r="AB264" s="55">
        <f t="shared" si="304"/>
        <v>8.8710808772667242</v>
      </c>
      <c r="AC264" s="55">
        <f t="shared" si="304"/>
        <v>9.1318906550583669</v>
      </c>
      <c r="AD264" s="55">
        <f t="shared" si="304"/>
        <v>9.4003682403170838</v>
      </c>
      <c r="AE264" s="55">
        <f t="shared" si="304"/>
        <v>9.6767390665824085</v>
      </c>
      <c r="AF264" s="55">
        <f t="shared" si="304"/>
        <v>9.9612351951399329</v>
      </c>
      <c r="AG264" s="55">
        <f t="shared" si="304"/>
        <v>10.254095509877047</v>
      </c>
      <c r="AH264" s="55">
        <f t="shared" si="304"/>
        <v>10.555565917867433</v>
      </c>
      <c r="AI264" s="55">
        <f t="shared" ref="AI264:BJ264" si="305">IF(AND(AI$127&gt;=$K53,AI$127&lt;=$L53),$G53*(1+$H53)^(AI$127-$B$5),0)</f>
        <v>10.865899555852737</v>
      </c>
      <c r="AJ264" s="55">
        <f t="shared" si="305"/>
        <v>11.185357002794808</v>
      </c>
      <c r="AK264" s="55">
        <f t="shared" si="305"/>
        <v>11.514206498676977</v>
      </c>
      <c r="AL264" s="55">
        <f t="shared" si="305"/>
        <v>11.852724169738082</v>
      </c>
      <c r="AM264" s="55">
        <f t="shared" si="305"/>
        <v>12.201194260328382</v>
      </c>
      <c r="AN264" s="55">
        <f t="shared" si="305"/>
        <v>12.559909371582039</v>
      </c>
      <c r="AO264" s="55">
        <f t="shared" si="305"/>
        <v>12.92917070710655</v>
      </c>
      <c r="AP264" s="55">
        <f t="shared" si="305"/>
        <v>13.309288325895483</v>
      </c>
      <c r="AQ264" s="55">
        <f t="shared" si="305"/>
        <v>13.700581402676814</v>
      </c>
      <c r="AR264" s="55">
        <f t="shared" si="305"/>
        <v>14.103378495915512</v>
      </c>
      <c r="AS264" s="55">
        <f t="shared" si="305"/>
        <v>14.51801782369543</v>
      </c>
      <c r="AT264" s="55">
        <f t="shared" si="305"/>
        <v>14.944847547712078</v>
      </c>
      <c r="AU264" s="55">
        <f t="shared" si="305"/>
        <v>15.384226065614815</v>
      </c>
      <c r="AV264" s="55">
        <f t="shared" si="305"/>
        <v>15.836522311943895</v>
      </c>
      <c r="AW264" s="55">
        <f t="shared" si="305"/>
        <v>16.302116067915044</v>
      </c>
      <c r="AX264" s="55">
        <f t="shared" si="305"/>
        <v>16.781398280311748</v>
      </c>
      <c r="AY264" s="55">
        <f t="shared" si="305"/>
        <v>17.274771389752917</v>
      </c>
      <c r="AZ264" s="55">
        <f t="shared" si="305"/>
        <v>17.782649668611658</v>
      </c>
      <c r="BA264" s="55">
        <f t="shared" si="305"/>
        <v>18.305459568868841</v>
      </c>
      <c r="BB264" s="55">
        <f t="shared" si="305"/>
        <v>18.843640080193584</v>
      </c>
      <c r="BC264" s="55">
        <f t="shared" si="305"/>
        <v>19.397643098551278</v>
      </c>
      <c r="BD264" s="55">
        <f t="shared" si="305"/>
        <v>19.967933805648688</v>
      </c>
      <c r="BE264" s="55">
        <f t="shared" si="305"/>
        <v>20.55499105953476</v>
      </c>
      <c r="BF264" s="55">
        <f t="shared" si="305"/>
        <v>21.159307796685088</v>
      </c>
      <c r="BG264" s="55">
        <f t="shared" si="305"/>
        <v>21.78139144590763</v>
      </c>
      <c r="BH264" s="55">
        <f t="shared" si="305"/>
        <v>22.42176435441732</v>
      </c>
      <c r="BI264" s="55">
        <f t="shared" si="305"/>
        <v>23.080964226437189</v>
      </c>
      <c r="BJ264" s="55">
        <f t="shared" si="305"/>
        <v>0</v>
      </c>
    </row>
    <row r="265" spans="1:62" x14ac:dyDescent="0.3">
      <c r="A265" s="53" t="str">
        <f t="shared" si="245"/>
        <v>project 53</v>
      </c>
      <c r="C265" s="55">
        <f t="shared" ref="C265:AH265" si="306">IF(AND(C$127&gt;=$K54,C$127&lt;=$L54),$G54*(1+$H54)^(C$127-$B$5),0)</f>
        <v>0</v>
      </c>
      <c r="D265" s="55">
        <f t="shared" si="306"/>
        <v>0</v>
      </c>
      <c r="E265" s="55">
        <f t="shared" si="306"/>
        <v>0</v>
      </c>
      <c r="F265" s="55">
        <f t="shared" si="306"/>
        <v>0</v>
      </c>
      <c r="G265" s="55">
        <f t="shared" si="306"/>
        <v>0</v>
      </c>
      <c r="H265" s="55">
        <f t="shared" si="306"/>
        <v>0</v>
      </c>
      <c r="I265" s="55">
        <f t="shared" si="306"/>
        <v>0</v>
      </c>
      <c r="J265" s="55">
        <f t="shared" si="306"/>
        <v>0</v>
      </c>
      <c r="K265" s="55">
        <f t="shared" si="306"/>
        <v>0</v>
      </c>
      <c r="L265" s="55">
        <f t="shared" si="306"/>
        <v>0</v>
      </c>
      <c r="M265" s="55">
        <f t="shared" si="306"/>
        <v>0</v>
      </c>
      <c r="N265" s="55">
        <f t="shared" si="306"/>
        <v>0</v>
      </c>
      <c r="O265" s="55">
        <f t="shared" si="306"/>
        <v>0</v>
      </c>
      <c r="P265" s="55">
        <f t="shared" si="306"/>
        <v>0</v>
      </c>
      <c r="Q265" s="55">
        <f t="shared" si="306"/>
        <v>0.18371167802611288</v>
      </c>
      <c r="R265" s="55">
        <f t="shared" si="306"/>
        <v>0.18870863566842314</v>
      </c>
      <c r="S265" s="55">
        <f t="shared" si="306"/>
        <v>0.19384151055860421</v>
      </c>
      <c r="T265" s="55">
        <f t="shared" si="306"/>
        <v>0.19911399964579821</v>
      </c>
      <c r="U265" s="55">
        <f t="shared" si="306"/>
        <v>0.20452990043616393</v>
      </c>
      <c r="V265" s="55">
        <f t="shared" si="306"/>
        <v>0.21009311372802758</v>
      </c>
      <c r="W265" s="55">
        <f t="shared" si="306"/>
        <v>0.21580764642142988</v>
      </c>
      <c r="X265" s="55">
        <f t="shared" si="306"/>
        <v>0.22167761440409273</v>
      </c>
      <c r="Y265" s="55">
        <f t="shared" si="306"/>
        <v>0.22770724551588406</v>
      </c>
      <c r="Z265" s="55">
        <f t="shared" si="306"/>
        <v>0.23390088259391609</v>
      </c>
      <c r="AA265" s="55">
        <f t="shared" si="306"/>
        <v>0.24026298660047055</v>
      </c>
      <c r="AB265" s="55">
        <f t="shared" si="306"/>
        <v>0.24679813983600332</v>
      </c>
      <c r="AC265" s="55">
        <f t="shared" si="306"/>
        <v>0.2535110492395426</v>
      </c>
      <c r="AD265" s="55">
        <f t="shared" si="306"/>
        <v>0.26040654977885813</v>
      </c>
      <c r="AE265" s="55">
        <f t="shared" si="306"/>
        <v>0.26748960793284304</v>
      </c>
      <c r="AF265" s="55">
        <f t="shared" si="306"/>
        <v>0.2747653252686163</v>
      </c>
      <c r="AG265" s="55">
        <f t="shared" si="306"/>
        <v>0.28223894211592265</v>
      </c>
      <c r="AH265" s="55">
        <f t="shared" si="306"/>
        <v>0.2899158413414758</v>
      </c>
      <c r="AI265" s="55">
        <f t="shared" ref="AI265:BJ265" si="307">IF(AND(AI$127&gt;=$K54,AI$127&lt;=$L54),$G54*(1+$H54)^(AI$127-$B$5),0)</f>
        <v>0.29780155222596388</v>
      </c>
      <c r="AJ265" s="55">
        <f t="shared" si="307"/>
        <v>0.30590175444651008</v>
      </c>
      <c r="AK265" s="55">
        <f t="shared" si="307"/>
        <v>0.31422228216745512</v>
      </c>
      <c r="AL265" s="55">
        <f t="shared" si="307"/>
        <v>0.32276912824240989</v>
      </c>
      <c r="AM265" s="55">
        <f t="shared" si="307"/>
        <v>0.33154844853060339</v>
      </c>
      <c r="AN265" s="55">
        <f t="shared" si="307"/>
        <v>0.3405665663306357</v>
      </c>
      <c r="AO265" s="55">
        <f t="shared" si="307"/>
        <v>0.34982997693482898</v>
      </c>
      <c r="AP265" s="55">
        <f t="shared" si="307"/>
        <v>0.35934535230745634</v>
      </c>
      <c r="AQ265" s="55">
        <f t="shared" si="307"/>
        <v>0.36911954589021906</v>
      </c>
      <c r="AR265" s="55">
        <f t="shared" si="307"/>
        <v>0.37915959753843298</v>
      </c>
      <c r="AS265" s="55">
        <f t="shared" si="307"/>
        <v>0.38947273859147835</v>
      </c>
      <c r="AT265" s="55">
        <f t="shared" si="307"/>
        <v>0.40006639708116654</v>
      </c>
      <c r="AU265" s="55">
        <f t="shared" si="307"/>
        <v>0.41094820308177415</v>
      </c>
      <c r="AV265" s="55">
        <f t="shared" si="307"/>
        <v>0.42212599420559838</v>
      </c>
      <c r="AW265" s="55">
        <f t="shared" si="307"/>
        <v>0.43360782124799063</v>
      </c>
      <c r="AX265" s="55">
        <f t="shared" si="307"/>
        <v>0.44540195398593602</v>
      </c>
      <c r="AY265" s="55">
        <f t="shared" si="307"/>
        <v>0.45751688713435334</v>
      </c>
      <c r="AZ265" s="55">
        <f t="shared" si="307"/>
        <v>0.46996134646440774</v>
      </c>
      <c r="BA265" s="55">
        <f t="shared" si="307"/>
        <v>0.48274429508823957</v>
      </c>
      <c r="BB265" s="55">
        <f t="shared" si="307"/>
        <v>0.49587493991463971</v>
      </c>
      <c r="BC265" s="55">
        <f t="shared" si="307"/>
        <v>0.50936273828031775</v>
      </c>
      <c r="BD265" s="55">
        <f t="shared" si="307"/>
        <v>0.52321740476154244</v>
      </c>
      <c r="BE265" s="55">
        <f t="shared" si="307"/>
        <v>0</v>
      </c>
      <c r="BF265" s="55">
        <f t="shared" si="307"/>
        <v>0</v>
      </c>
      <c r="BG265" s="55">
        <f t="shared" si="307"/>
        <v>0</v>
      </c>
      <c r="BH265" s="55">
        <f t="shared" si="307"/>
        <v>0</v>
      </c>
      <c r="BI265" s="55">
        <f t="shared" si="307"/>
        <v>0</v>
      </c>
      <c r="BJ265" s="55">
        <f t="shared" si="307"/>
        <v>0</v>
      </c>
    </row>
    <row r="266" spans="1:62" x14ac:dyDescent="0.3">
      <c r="A266" s="53" t="str">
        <f t="shared" si="245"/>
        <v>project 55</v>
      </c>
      <c r="C266" s="55">
        <f t="shared" ref="C266:AH266" si="308">IF(AND(C$127&gt;=$K55,C$127&lt;=$L55),$G55*(1+$H55)^(C$127-$B$5),0)</f>
        <v>0</v>
      </c>
      <c r="D266" s="55">
        <f t="shared" si="308"/>
        <v>0</v>
      </c>
      <c r="E266" s="55">
        <f t="shared" si="308"/>
        <v>1.7920763616404682</v>
      </c>
      <c r="F266" s="55">
        <f t="shared" si="308"/>
        <v>1.8103555405292011</v>
      </c>
      <c r="G266" s="55">
        <f t="shared" si="308"/>
        <v>1.8288211670425991</v>
      </c>
      <c r="H266" s="55">
        <f t="shared" si="308"/>
        <v>1.8474751429464336</v>
      </c>
      <c r="I266" s="55">
        <f t="shared" si="308"/>
        <v>1.8663193894044876</v>
      </c>
      <c r="J266" s="55">
        <f t="shared" si="308"/>
        <v>1.8853558471764134</v>
      </c>
      <c r="K266" s="55">
        <f t="shared" si="308"/>
        <v>1.9045864768176126</v>
      </c>
      <c r="L266" s="55">
        <f t="shared" si="308"/>
        <v>1.9240132588811525</v>
      </c>
      <c r="M266" s="55">
        <f t="shared" si="308"/>
        <v>1.94363819412174</v>
      </c>
      <c r="N266" s="55">
        <f t="shared" si="308"/>
        <v>1.9634633037017819</v>
      </c>
      <c r="O266" s="55">
        <f t="shared" si="308"/>
        <v>1.9834906293995402</v>
      </c>
      <c r="P266" s="55">
        <f t="shared" si="308"/>
        <v>2.0037222338194156</v>
      </c>
      <c r="Q266" s="55">
        <f t="shared" si="308"/>
        <v>2.0241602006043742</v>
      </c>
      <c r="R266" s="55">
        <f t="shared" si="308"/>
        <v>2.0448066346505387</v>
      </c>
      <c r="S266" s="55">
        <f t="shared" si="308"/>
        <v>2.0656636623239741</v>
      </c>
      <c r="T266" s="55">
        <f t="shared" si="308"/>
        <v>2.0867334316796788</v>
      </c>
      <c r="U266" s="55">
        <f t="shared" si="308"/>
        <v>2.1080181126828115</v>
      </c>
      <c r="V266" s="55">
        <f t="shared" si="308"/>
        <v>2.1295198974321763</v>
      </c>
      <c r="W266" s="55">
        <f t="shared" si="308"/>
        <v>2.1512410003859848</v>
      </c>
      <c r="X266" s="55">
        <f t="shared" si="308"/>
        <v>2.1731836585899216</v>
      </c>
      <c r="Y266" s="55">
        <f t="shared" si="308"/>
        <v>2.1953501319075395</v>
      </c>
      <c r="Z266" s="55">
        <f t="shared" si="308"/>
        <v>2.2177427032529966</v>
      </c>
      <c r="AA266" s="55">
        <f t="shared" si="308"/>
        <v>2.2403636788261769</v>
      </c>
      <c r="AB266" s="55">
        <f t="shared" si="308"/>
        <v>2.2632153883502042</v>
      </c>
      <c r="AC266" s="55">
        <f t="shared" si="308"/>
        <v>2.2863001853113758</v>
      </c>
      <c r="AD266" s="55">
        <f t="shared" si="308"/>
        <v>2.309620447201552</v>
      </c>
      <c r="AE266" s="55">
        <f t="shared" si="308"/>
        <v>2.3331785757630081</v>
      </c>
      <c r="AF266" s="55">
        <f t="shared" si="308"/>
        <v>2.3569769972357903</v>
      </c>
      <c r="AG266" s="55">
        <f t="shared" si="308"/>
        <v>2.3810181626075959</v>
      </c>
      <c r="AH266" s="55">
        <f t="shared" si="308"/>
        <v>2.4053045478661939</v>
      </c>
      <c r="AI266" s="55">
        <f t="shared" ref="AI266:BJ266" si="309">IF(AND(AI$127&gt;=$K55,AI$127&lt;=$L55),$G55*(1+$H55)^(AI$127-$B$5),0)</f>
        <v>2.429838654254429</v>
      </c>
      <c r="AJ266" s="55">
        <f t="shared" si="309"/>
        <v>2.454623008527824</v>
      </c>
      <c r="AK266" s="55">
        <f t="shared" si="309"/>
        <v>2.4796601632148083</v>
      </c>
      <c r="AL266" s="55">
        <f t="shared" si="309"/>
        <v>2.5049526968795992</v>
      </c>
      <c r="AM266" s="55">
        <f t="shared" si="309"/>
        <v>2.5305032143877715</v>
      </c>
      <c r="AN266" s="55">
        <f t="shared" si="309"/>
        <v>2.5563143471745264</v>
      </c>
      <c r="AO266" s="55">
        <f t="shared" si="309"/>
        <v>2.5823887535157071</v>
      </c>
      <c r="AP266" s="55">
        <f t="shared" si="309"/>
        <v>2.6087291188015675</v>
      </c>
      <c r="AQ266" s="55">
        <f t="shared" si="309"/>
        <v>2.6353381558133435</v>
      </c>
      <c r="AR266" s="55">
        <f t="shared" si="309"/>
        <v>2.6622186050026397</v>
      </c>
      <c r="AS266" s="55">
        <f t="shared" si="309"/>
        <v>0</v>
      </c>
      <c r="AT266" s="55">
        <f t="shared" si="309"/>
        <v>0</v>
      </c>
      <c r="AU266" s="55">
        <f t="shared" si="309"/>
        <v>0</v>
      </c>
      <c r="AV266" s="55">
        <f t="shared" si="309"/>
        <v>0</v>
      </c>
      <c r="AW266" s="55">
        <f t="shared" si="309"/>
        <v>0</v>
      </c>
      <c r="AX266" s="55">
        <f t="shared" si="309"/>
        <v>0</v>
      </c>
      <c r="AY266" s="55">
        <f t="shared" si="309"/>
        <v>0</v>
      </c>
      <c r="AZ266" s="55">
        <f t="shared" si="309"/>
        <v>0</v>
      </c>
      <c r="BA266" s="55">
        <f t="shared" si="309"/>
        <v>0</v>
      </c>
      <c r="BB266" s="55">
        <f t="shared" si="309"/>
        <v>0</v>
      </c>
      <c r="BC266" s="55">
        <f t="shared" si="309"/>
        <v>0</v>
      </c>
      <c r="BD266" s="55">
        <f t="shared" si="309"/>
        <v>0</v>
      </c>
      <c r="BE266" s="55">
        <f t="shared" si="309"/>
        <v>0</v>
      </c>
      <c r="BF266" s="55">
        <f t="shared" si="309"/>
        <v>0</v>
      </c>
      <c r="BG266" s="55">
        <f t="shared" si="309"/>
        <v>0</v>
      </c>
      <c r="BH266" s="55">
        <f t="shared" si="309"/>
        <v>0</v>
      </c>
      <c r="BI266" s="55">
        <f t="shared" si="309"/>
        <v>0</v>
      </c>
      <c r="BJ266" s="55">
        <f t="shared" si="309"/>
        <v>0</v>
      </c>
    </row>
    <row r="267" spans="1:62" x14ac:dyDescent="0.3">
      <c r="A267" s="53" t="str">
        <f t="shared" ref="A267:A298" si="310">A56</f>
        <v>project 56</v>
      </c>
      <c r="C267" s="55">
        <f t="shared" ref="C267:AH267" si="311">IF(AND(C$127&gt;=$K56,C$127&lt;=$L56),$G56*(1+$H56)^(C$127-$B$5),0)</f>
        <v>0</v>
      </c>
      <c r="D267" s="55">
        <f t="shared" si="311"/>
        <v>0</v>
      </c>
      <c r="E267" s="55">
        <f t="shared" si="311"/>
        <v>0</v>
      </c>
      <c r="F267" s="55">
        <f t="shared" si="311"/>
        <v>0</v>
      </c>
      <c r="G267" s="55">
        <f t="shared" si="311"/>
        <v>0</v>
      </c>
      <c r="H267" s="55">
        <f t="shared" si="311"/>
        <v>0</v>
      </c>
      <c r="I267" s="55">
        <f t="shared" si="311"/>
        <v>0</v>
      </c>
      <c r="J267" s="55">
        <f t="shared" si="311"/>
        <v>0</v>
      </c>
      <c r="K267" s="55">
        <f t="shared" si="311"/>
        <v>0</v>
      </c>
      <c r="L267" s="55">
        <f t="shared" si="311"/>
        <v>0</v>
      </c>
      <c r="M267" s="55">
        <f t="shared" si="311"/>
        <v>0</v>
      </c>
      <c r="N267" s="55">
        <f t="shared" si="311"/>
        <v>0</v>
      </c>
      <c r="O267" s="55">
        <f t="shared" si="311"/>
        <v>0</v>
      </c>
      <c r="P267" s="55">
        <f t="shared" si="311"/>
        <v>0</v>
      </c>
      <c r="Q267" s="55">
        <f t="shared" si="311"/>
        <v>0</v>
      </c>
      <c r="R267" s="55">
        <f t="shared" si="311"/>
        <v>0</v>
      </c>
      <c r="S267" s="55">
        <f t="shared" si="311"/>
        <v>0</v>
      </c>
      <c r="T267" s="55">
        <f t="shared" si="311"/>
        <v>1.5847576401774199E-2</v>
      </c>
      <c r="U267" s="55">
        <f t="shared" si="311"/>
        <v>1.6234257265977485E-2</v>
      </c>
      <c r="V267" s="55">
        <f t="shared" si="311"/>
        <v>1.6630373143267336E-2</v>
      </c>
      <c r="W267" s="55">
        <f t="shared" si="311"/>
        <v>1.7036154247963061E-2</v>
      </c>
      <c r="X267" s="55">
        <f t="shared" si="311"/>
        <v>1.745183641161336E-2</v>
      </c>
      <c r="Y267" s="55">
        <f t="shared" si="311"/>
        <v>1.7877661220056722E-2</v>
      </c>
      <c r="Z267" s="55">
        <f t="shared" si="311"/>
        <v>1.8313876153826104E-2</v>
      </c>
      <c r="AA267" s="55">
        <f t="shared" si="311"/>
        <v>1.8760734731979457E-2</v>
      </c>
      <c r="AB267" s="55">
        <f t="shared" si="311"/>
        <v>1.9218496659439758E-2</v>
      </c>
      <c r="AC267" s="55">
        <f t="shared" si="311"/>
        <v>1.9687427977930088E-2</v>
      </c>
      <c r="AD267" s="55">
        <f t="shared" si="311"/>
        <v>2.0167801220591579E-2</v>
      </c>
      <c r="AE267" s="55">
        <f t="shared" si="311"/>
        <v>2.0659895570374013E-2</v>
      </c>
      <c r="AF267" s="55">
        <f t="shared" si="311"/>
        <v>2.1163997022291138E-2</v>
      </c>
      <c r="AG267" s="55">
        <f t="shared" si="311"/>
        <v>2.1680398549635039E-2</v>
      </c>
      <c r="AH267" s="55">
        <f t="shared" si="311"/>
        <v>2.2209400274246133E-2</v>
      </c>
      <c r="AI267" s="55">
        <f t="shared" ref="AI267:BJ267" si="312">IF(AND(AI$127&gt;=$K56,AI$127&lt;=$L56),$G56*(1+$H56)^(AI$127-$B$5),0)</f>
        <v>2.2751309640937734E-2</v>
      </c>
      <c r="AJ267" s="55">
        <f t="shared" si="312"/>
        <v>2.3306441596176612E-2</v>
      </c>
      <c r="AK267" s="55">
        <f t="shared" si="312"/>
        <v>2.3875118771123322E-2</v>
      </c>
      <c r="AL267" s="55">
        <f t="shared" si="312"/>
        <v>2.4457671669138731E-2</v>
      </c>
      <c r="AM267" s="55">
        <f t="shared" si="312"/>
        <v>2.5054438857865711E-2</v>
      </c>
      <c r="AN267" s="55">
        <f t="shared" si="312"/>
        <v>2.5665767165997638E-2</v>
      </c>
      <c r="AO267" s="55">
        <f t="shared" si="312"/>
        <v>2.6292011884847977E-2</v>
      </c>
      <c r="AP267" s="55">
        <f t="shared" si="312"/>
        <v>2.6933536974838263E-2</v>
      </c>
      <c r="AQ267" s="55">
        <f t="shared" si="312"/>
        <v>2.7590715277024315E-2</v>
      </c>
      <c r="AR267" s="55">
        <f t="shared" si="312"/>
        <v>2.826392872978371E-2</v>
      </c>
      <c r="AS267" s="55">
        <f t="shared" si="312"/>
        <v>2.8953568590790426E-2</v>
      </c>
      <c r="AT267" s="55">
        <f t="shared" si="312"/>
        <v>2.9660035664405709E-2</v>
      </c>
      <c r="AU267" s="55">
        <f t="shared" si="312"/>
        <v>3.0383740534617208E-2</v>
      </c>
      <c r="AV267" s="55">
        <f t="shared" si="312"/>
        <v>3.1125103803661867E-2</v>
      </c>
      <c r="AW267" s="55">
        <f t="shared" si="312"/>
        <v>3.1884556336471213E-2</v>
      </c>
      <c r="AX267" s="55">
        <f t="shared" si="312"/>
        <v>3.2662539511081105E-2</v>
      </c>
      <c r="AY267" s="55">
        <f t="shared" si="312"/>
        <v>3.3459505475151481E-2</v>
      </c>
      <c r="AZ267" s="55">
        <f t="shared" si="312"/>
        <v>3.427591740874518E-2</v>
      </c>
      <c r="BA267" s="55">
        <f t="shared" si="312"/>
        <v>3.5112249793518555E-2</v>
      </c>
      <c r="BB267" s="55">
        <f t="shared" si="312"/>
        <v>3.5968988688480405E-2</v>
      </c>
      <c r="BC267" s="55">
        <f t="shared" si="312"/>
        <v>3.6846632012479327E-2</v>
      </c>
      <c r="BD267" s="55">
        <f t="shared" si="312"/>
        <v>3.7745689833583826E-2</v>
      </c>
      <c r="BE267" s="55">
        <f t="shared" si="312"/>
        <v>3.8666684665523261E-2</v>
      </c>
      <c r="BF267" s="55">
        <f t="shared" si="312"/>
        <v>3.9610151771362026E-2</v>
      </c>
      <c r="BG267" s="55">
        <f t="shared" si="312"/>
        <v>4.0576639474583252E-2</v>
      </c>
      <c r="BH267" s="55">
        <f t="shared" si="312"/>
        <v>0</v>
      </c>
      <c r="BI267" s="55">
        <f t="shared" si="312"/>
        <v>0</v>
      </c>
      <c r="BJ267" s="55">
        <f t="shared" si="312"/>
        <v>0</v>
      </c>
    </row>
    <row r="268" spans="1:62" x14ac:dyDescent="0.3">
      <c r="A268" s="53" t="str">
        <f t="shared" si="310"/>
        <v>project 58</v>
      </c>
      <c r="C268" s="55">
        <f t="shared" ref="C268:AH268" si="313">IF(AND(C$127&gt;=$K57,C$127&lt;=$L57),$G57*(1+$H57)^(C$127-$B$5),0)</f>
        <v>0</v>
      </c>
      <c r="D268" s="55">
        <f t="shared" si="313"/>
        <v>0</v>
      </c>
      <c r="E268" s="55">
        <f t="shared" si="313"/>
        <v>0</v>
      </c>
      <c r="F268" s="55">
        <f t="shared" si="313"/>
        <v>0</v>
      </c>
      <c r="G268" s="55">
        <f t="shared" si="313"/>
        <v>0</v>
      </c>
      <c r="H268" s="55">
        <f t="shared" si="313"/>
        <v>0</v>
      </c>
      <c r="I268" s="55">
        <f t="shared" si="313"/>
        <v>0</v>
      </c>
      <c r="J268" s="55">
        <f t="shared" si="313"/>
        <v>0</v>
      </c>
      <c r="K268" s="55">
        <f t="shared" si="313"/>
        <v>0</v>
      </c>
      <c r="L268" s="55">
        <f t="shared" si="313"/>
        <v>0</v>
      </c>
      <c r="M268" s="55">
        <f t="shared" si="313"/>
        <v>0</v>
      </c>
      <c r="N268" s="55">
        <f t="shared" si="313"/>
        <v>0.24339877559657364</v>
      </c>
      <c r="O268" s="55">
        <f t="shared" si="313"/>
        <v>0.24914298670065277</v>
      </c>
      <c r="P268" s="55">
        <f t="shared" si="313"/>
        <v>0.25502276118678813</v>
      </c>
      <c r="Q268" s="55">
        <f t="shared" si="313"/>
        <v>0.26104129835079637</v>
      </c>
      <c r="R268" s="55">
        <f t="shared" si="313"/>
        <v>0.2672018729918752</v>
      </c>
      <c r="S268" s="55">
        <f t="shared" si="313"/>
        <v>0.27350783719448341</v>
      </c>
      <c r="T268" s="55">
        <f t="shared" si="313"/>
        <v>0.27996262215227324</v>
      </c>
      <c r="U268" s="55">
        <f t="shared" si="313"/>
        <v>0.28656974003506686</v>
      </c>
      <c r="V268" s="55">
        <f t="shared" si="313"/>
        <v>0.29333278589989448</v>
      </c>
      <c r="W268" s="55">
        <f t="shared" si="313"/>
        <v>0.30025543964713197</v>
      </c>
      <c r="X268" s="55">
        <f t="shared" si="313"/>
        <v>0.30734146802280427</v>
      </c>
      <c r="Y268" s="55">
        <f t="shared" si="313"/>
        <v>0.31459472666814248</v>
      </c>
      <c r="Z268" s="55">
        <f t="shared" si="313"/>
        <v>0.3220191622175107</v>
      </c>
      <c r="AA268" s="55">
        <f t="shared" si="313"/>
        <v>0.3296188144458439</v>
      </c>
      <c r="AB268" s="55">
        <f t="shared" si="313"/>
        <v>0.33739781846676586</v>
      </c>
      <c r="AC268" s="55">
        <f t="shared" si="313"/>
        <v>0.34536040698258152</v>
      </c>
      <c r="AD268" s="55">
        <f t="shared" si="313"/>
        <v>0.3535109125873705</v>
      </c>
      <c r="AE268" s="55">
        <f t="shared" si="313"/>
        <v>0.36185377012443243</v>
      </c>
      <c r="AF268" s="55">
        <f t="shared" si="313"/>
        <v>0.37039351909936902</v>
      </c>
      <c r="AG268" s="55">
        <f t="shared" si="313"/>
        <v>0.37913480615011408</v>
      </c>
      <c r="AH268" s="55">
        <f t="shared" si="313"/>
        <v>0.38808238757525682</v>
      </c>
      <c r="AI268" s="55">
        <f t="shared" ref="AI268:BJ268" si="314">IF(AND(AI$127&gt;=$K57,AI$127&lt;=$L57),$G57*(1+$H57)^(AI$127-$B$5),0)</f>
        <v>0.39724113192203286</v>
      </c>
      <c r="AJ268" s="55">
        <f t="shared" si="314"/>
        <v>0.40661602263539287</v>
      </c>
      <c r="AK268" s="55">
        <f t="shared" si="314"/>
        <v>0.41621216076958817</v>
      </c>
      <c r="AL268" s="55">
        <f t="shared" si="314"/>
        <v>0.42603476776375043</v>
      </c>
      <c r="AM268" s="55">
        <f t="shared" si="314"/>
        <v>0.43608918828297494</v>
      </c>
      <c r="AN268" s="55">
        <f t="shared" si="314"/>
        <v>0.44638089312645318</v>
      </c>
      <c r="AO268" s="55">
        <f t="shared" si="314"/>
        <v>0.4569154822042375</v>
      </c>
      <c r="AP268" s="55">
        <f t="shared" si="314"/>
        <v>0.46769868758425748</v>
      </c>
      <c r="AQ268" s="55">
        <f t="shared" si="314"/>
        <v>0.47873637661124591</v>
      </c>
      <c r="AR268" s="55">
        <f t="shared" si="314"/>
        <v>0.49003455509927141</v>
      </c>
      <c r="AS268" s="55">
        <f t="shared" si="314"/>
        <v>0.50159937059961424</v>
      </c>
      <c r="AT268" s="55">
        <f t="shared" si="314"/>
        <v>0.51343711574576512</v>
      </c>
      <c r="AU268" s="55">
        <f t="shared" si="314"/>
        <v>0.52555423167736526</v>
      </c>
      <c r="AV268" s="55">
        <f t="shared" si="314"/>
        <v>0.53795731154495097</v>
      </c>
      <c r="AW268" s="55">
        <f t="shared" si="314"/>
        <v>0.55065310409741175</v>
      </c>
      <c r="AX268" s="55">
        <f t="shared" si="314"/>
        <v>0.56364851735411081</v>
      </c>
      <c r="AY268" s="55">
        <f t="shared" si="314"/>
        <v>0.57695062236366779</v>
      </c>
      <c r="AZ268" s="55">
        <f t="shared" si="314"/>
        <v>0.59056665705145039</v>
      </c>
      <c r="BA268" s="55">
        <f t="shared" si="314"/>
        <v>0.60450403015786458</v>
      </c>
      <c r="BB268" s="55">
        <f t="shared" si="314"/>
        <v>0</v>
      </c>
      <c r="BC268" s="55">
        <f t="shared" si="314"/>
        <v>0</v>
      </c>
      <c r="BD268" s="55">
        <f t="shared" si="314"/>
        <v>0</v>
      </c>
      <c r="BE268" s="55">
        <f t="shared" si="314"/>
        <v>0</v>
      </c>
      <c r="BF268" s="55">
        <f t="shared" si="314"/>
        <v>0</v>
      </c>
      <c r="BG268" s="55">
        <f t="shared" si="314"/>
        <v>0</v>
      </c>
      <c r="BH268" s="55">
        <f t="shared" si="314"/>
        <v>0</v>
      </c>
      <c r="BI268" s="55">
        <f t="shared" si="314"/>
        <v>0</v>
      </c>
      <c r="BJ268" s="55">
        <f t="shared" si="314"/>
        <v>0</v>
      </c>
    </row>
    <row r="269" spans="1:62" x14ac:dyDescent="0.3">
      <c r="A269" s="53" t="str">
        <f t="shared" si="310"/>
        <v>project 61</v>
      </c>
      <c r="C269" s="55">
        <f t="shared" ref="C269:AH269" si="315">IF(AND(C$127&gt;=$K58,C$127&lt;=$L58),$G58*(1+$H58)^(C$127-$B$5),0)</f>
        <v>0</v>
      </c>
      <c r="D269" s="55">
        <f t="shared" si="315"/>
        <v>0</v>
      </c>
      <c r="E269" s="55">
        <f t="shared" si="315"/>
        <v>0</v>
      </c>
      <c r="F269" s="55">
        <f t="shared" si="315"/>
        <v>0</v>
      </c>
      <c r="G269" s="55">
        <f t="shared" si="315"/>
        <v>0</v>
      </c>
      <c r="H269" s="55">
        <f t="shared" si="315"/>
        <v>0</v>
      </c>
      <c r="I269" s="55">
        <f t="shared" si="315"/>
        <v>0</v>
      </c>
      <c r="J269" s="55">
        <f t="shared" si="315"/>
        <v>0</v>
      </c>
      <c r="K269" s="55">
        <f t="shared" si="315"/>
        <v>0</v>
      </c>
      <c r="L269" s="55">
        <f t="shared" si="315"/>
        <v>0</v>
      </c>
      <c r="M269" s="55">
        <f t="shared" si="315"/>
        <v>0.40008109466882175</v>
      </c>
      <c r="N269" s="55">
        <f t="shared" si="315"/>
        <v>0.40836277332846643</v>
      </c>
      <c r="O269" s="55">
        <f t="shared" si="315"/>
        <v>0.41681588273636561</v>
      </c>
      <c r="P269" s="55">
        <f t="shared" si="315"/>
        <v>0.42544397150900842</v>
      </c>
      <c r="Q269" s="55">
        <f t="shared" si="315"/>
        <v>0.43425066171924481</v>
      </c>
      <c r="R269" s="55">
        <f t="shared" si="315"/>
        <v>0.44323965041683316</v>
      </c>
      <c r="S269" s="55">
        <f t="shared" si="315"/>
        <v>0.4524147111804615</v>
      </c>
      <c r="T269" s="55">
        <f t="shared" si="315"/>
        <v>0.46177969570189703</v>
      </c>
      <c r="U269" s="55">
        <f t="shared" si="315"/>
        <v>0.47133853540292631</v>
      </c>
      <c r="V269" s="55">
        <f t="shared" si="315"/>
        <v>0.48109524308576684</v>
      </c>
      <c r="W269" s="55">
        <f t="shared" si="315"/>
        <v>0.4910539146176422</v>
      </c>
      <c r="X269" s="55">
        <f t="shared" si="315"/>
        <v>0.50121873065022737</v>
      </c>
      <c r="Y269" s="55">
        <f t="shared" si="315"/>
        <v>0.51159395837468691</v>
      </c>
      <c r="Z269" s="55">
        <f t="shared" si="315"/>
        <v>0.52218395331304301</v>
      </c>
      <c r="AA269" s="55">
        <f t="shared" si="315"/>
        <v>0.53299316114662298</v>
      </c>
      <c r="AB269" s="55">
        <f t="shared" si="315"/>
        <v>0.54402611958235803</v>
      </c>
      <c r="AC269" s="55">
        <f t="shared" si="315"/>
        <v>0.55528746025771281</v>
      </c>
      <c r="AD269" s="55">
        <f t="shared" si="315"/>
        <v>0.56678191068504746</v>
      </c>
      <c r="AE269" s="55">
        <f t="shared" si="315"/>
        <v>0.57851429623622785</v>
      </c>
      <c r="AF269" s="55">
        <f t="shared" si="315"/>
        <v>0.59048954216831784</v>
      </c>
      <c r="AG269" s="55">
        <f t="shared" si="315"/>
        <v>0.6027126756912019</v>
      </c>
      <c r="AH269" s="55">
        <f t="shared" si="315"/>
        <v>0.61518882807800979</v>
      </c>
      <c r="AI269" s="55">
        <f t="shared" ref="AI269:BJ269" si="316">IF(AND(AI$127&gt;=$K58,AI$127&lt;=$L58),$G58*(1+$H58)^(AI$127-$B$5),0)</f>
        <v>0.62792323681922446</v>
      </c>
      <c r="AJ269" s="55">
        <f t="shared" si="316"/>
        <v>0.64092124782138238</v>
      </c>
      <c r="AK269" s="55">
        <f t="shared" si="316"/>
        <v>0.65418831765128493</v>
      </c>
      <c r="AL269" s="55">
        <f t="shared" si="316"/>
        <v>0.66773001582666647</v>
      </c>
      <c r="AM269" s="55">
        <f t="shared" si="316"/>
        <v>0.68155202715427843</v>
      </c>
      <c r="AN269" s="55">
        <f t="shared" si="316"/>
        <v>0.69566015411637205</v>
      </c>
      <c r="AO269" s="55">
        <f t="shared" si="316"/>
        <v>0.71006031930658076</v>
      </c>
      <c r="AP269" s="55">
        <f t="shared" si="316"/>
        <v>0.72475856791622706</v>
      </c>
      <c r="AQ269" s="55">
        <f t="shared" si="316"/>
        <v>0.73976107027209281</v>
      </c>
      <c r="AR269" s="55">
        <f t="shared" si="316"/>
        <v>0.75507412442672517</v>
      </c>
      <c r="AS269" s="55">
        <f t="shared" si="316"/>
        <v>0.77070415880235832</v>
      </c>
      <c r="AT269" s="55">
        <f t="shared" si="316"/>
        <v>0.78665773488956725</v>
      </c>
      <c r="AU269" s="55">
        <f t="shared" si="316"/>
        <v>0.80294155000178102</v>
      </c>
      <c r="AV269" s="55">
        <f t="shared" si="316"/>
        <v>0.81956244008681811</v>
      </c>
      <c r="AW269" s="55">
        <f t="shared" si="316"/>
        <v>0.83652738259661497</v>
      </c>
      <c r="AX269" s="55">
        <f t="shared" si="316"/>
        <v>0.85384349941636484</v>
      </c>
      <c r="AY269" s="55">
        <f t="shared" si="316"/>
        <v>0.87151805985428343</v>
      </c>
      <c r="AZ269" s="55">
        <f t="shared" si="316"/>
        <v>0.88955848369326707</v>
      </c>
      <c r="BA269" s="55">
        <f t="shared" si="316"/>
        <v>0</v>
      </c>
      <c r="BB269" s="55">
        <f t="shared" si="316"/>
        <v>0</v>
      </c>
      <c r="BC269" s="55">
        <f t="shared" si="316"/>
        <v>0</v>
      </c>
      <c r="BD269" s="55">
        <f t="shared" si="316"/>
        <v>0</v>
      </c>
      <c r="BE269" s="55">
        <f t="shared" si="316"/>
        <v>0</v>
      </c>
      <c r="BF269" s="55">
        <f t="shared" si="316"/>
        <v>0</v>
      </c>
      <c r="BG269" s="55">
        <f t="shared" si="316"/>
        <v>0</v>
      </c>
      <c r="BH269" s="55">
        <f t="shared" si="316"/>
        <v>0</v>
      </c>
      <c r="BI269" s="55">
        <f t="shared" si="316"/>
        <v>0</v>
      </c>
      <c r="BJ269" s="55">
        <f t="shared" si="316"/>
        <v>0</v>
      </c>
    </row>
    <row r="270" spans="1:62" x14ac:dyDescent="0.3">
      <c r="A270" s="53" t="str">
        <f t="shared" si="310"/>
        <v>project 64</v>
      </c>
      <c r="C270" s="55">
        <f t="shared" ref="C270:AH270" si="317">IF(AND(C$127&gt;=$K59,C$127&lt;=$L59),$G59*(1+$H59)^(C$127-$B$5),0)</f>
        <v>0</v>
      </c>
      <c r="D270" s="55">
        <f t="shared" si="317"/>
        <v>0</v>
      </c>
      <c r="E270" s="55">
        <f t="shared" si="317"/>
        <v>1.3616007259145801</v>
      </c>
      <c r="F270" s="55">
        <f t="shared" si="317"/>
        <v>1.3824332170210734</v>
      </c>
      <c r="G270" s="55">
        <f t="shared" si="317"/>
        <v>1.4035844452414956</v>
      </c>
      <c r="H270" s="55">
        <f t="shared" si="317"/>
        <v>1.4250592872536909</v>
      </c>
      <c r="I270" s="55">
        <f t="shared" si="317"/>
        <v>1.4468626943486722</v>
      </c>
      <c r="J270" s="55">
        <f t="shared" si="317"/>
        <v>1.4689996935722069</v>
      </c>
      <c r="K270" s="55">
        <f t="shared" si="317"/>
        <v>1.4914753888838617</v>
      </c>
      <c r="L270" s="55">
        <f t="shared" si="317"/>
        <v>1.5142949623337851</v>
      </c>
      <c r="M270" s="55">
        <f t="shared" si="317"/>
        <v>1.5374636752574917</v>
      </c>
      <c r="N270" s="55">
        <f t="shared" si="317"/>
        <v>1.5609868694889317</v>
      </c>
      <c r="O270" s="55">
        <f t="shared" si="317"/>
        <v>1.5848699685921124</v>
      </c>
      <c r="P270" s="55">
        <f t="shared" si="317"/>
        <v>1.609118479111572</v>
      </c>
      <c r="Q270" s="55">
        <f t="shared" si="317"/>
        <v>1.633737991841979</v>
      </c>
      <c r="R270" s="55">
        <f t="shared" si="317"/>
        <v>1.6587341831171614</v>
      </c>
      <c r="S270" s="55">
        <f t="shared" si="317"/>
        <v>1.6841128161188537</v>
      </c>
      <c r="T270" s="55">
        <f t="shared" si="317"/>
        <v>1.7098797422054723</v>
      </c>
      <c r="U270" s="55">
        <f t="shared" si="317"/>
        <v>1.7360409022612162</v>
      </c>
      <c r="V270" s="55">
        <f t="shared" si="317"/>
        <v>1.7626023280658132</v>
      </c>
      <c r="W270" s="55">
        <f t="shared" si="317"/>
        <v>1.7895701436852198</v>
      </c>
      <c r="X270" s="55">
        <f t="shared" si="317"/>
        <v>1.8169505668836041</v>
      </c>
      <c r="Y270" s="55">
        <f t="shared" si="317"/>
        <v>1.8447499105569229</v>
      </c>
      <c r="Z270" s="55">
        <f t="shared" si="317"/>
        <v>1.8729745841884442</v>
      </c>
      <c r="AA270" s="55">
        <f t="shared" si="317"/>
        <v>1.9016310953265272</v>
      </c>
      <c r="AB270" s="55">
        <f t="shared" si="317"/>
        <v>1.9307260510850235</v>
      </c>
      <c r="AC270" s="55">
        <f t="shared" si="317"/>
        <v>1.9602661596666242</v>
      </c>
      <c r="AD270" s="55">
        <f t="shared" si="317"/>
        <v>1.9902582319095237</v>
      </c>
      <c r="AE270" s="55">
        <f t="shared" si="317"/>
        <v>2.0207091828577397</v>
      </c>
      <c r="AF270" s="55">
        <f t="shared" si="317"/>
        <v>2.0516260333554635</v>
      </c>
      <c r="AG270" s="55">
        <f t="shared" si="317"/>
        <v>2.083015911665802</v>
      </c>
      <c r="AH270" s="55">
        <f t="shared" si="317"/>
        <v>2.114886055114289</v>
      </c>
      <c r="AI270" s="55">
        <f t="shared" ref="AI270:BJ270" si="318">IF(AND(AI$127&gt;=$K59,AI$127&lt;=$L59),$G59*(1+$H59)^(AI$127-$B$5),0)</f>
        <v>2.1472438117575372</v>
      </c>
      <c r="AJ270" s="55">
        <f t="shared" si="318"/>
        <v>2.1800966420774275</v>
      </c>
      <c r="AK270" s="55">
        <f t="shared" si="318"/>
        <v>2.2134521207012128</v>
      </c>
      <c r="AL270" s="55">
        <f t="shared" si="318"/>
        <v>2.2473179381479413</v>
      </c>
      <c r="AM270" s="55">
        <f t="shared" si="318"/>
        <v>2.2817019026016045</v>
      </c>
      <c r="AN270" s="55">
        <f t="shared" si="318"/>
        <v>2.3166119417114097</v>
      </c>
      <c r="AO270" s="55">
        <f t="shared" si="318"/>
        <v>2.352056104419594</v>
      </c>
      <c r="AP270" s="55">
        <f t="shared" si="318"/>
        <v>2.3880425628172137</v>
      </c>
      <c r="AQ270" s="55">
        <f t="shared" si="318"/>
        <v>2.4245796140283171</v>
      </c>
      <c r="AR270" s="55">
        <f t="shared" si="318"/>
        <v>2.4616756821229511</v>
      </c>
      <c r="AS270" s="55">
        <f t="shared" si="318"/>
        <v>0</v>
      </c>
      <c r="AT270" s="55">
        <f t="shared" si="318"/>
        <v>0</v>
      </c>
      <c r="AU270" s="55">
        <f t="shared" si="318"/>
        <v>0</v>
      </c>
      <c r="AV270" s="55">
        <f t="shared" si="318"/>
        <v>0</v>
      </c>
      <c r="AW270" s="55">
        <f t="shared" si="318"/>
        <v>0</v>
      </c>
      <c r="AX270" s="55">
        <f t="shared" si="318"/>
        <v>0</v>
      </c>
      <c r="AY270" s="55">
        <f t="shared" si="318"/>
        <v>0</v>
      </c>
      <c r="AZ270" s="55">
        <f t="shared" si="318"/>
        <v>0</v>
      </c>
      <c r="BA270" s="55">
        <f t="shared" si="318"/>
        <v>0</v>
      </c>
      <c r="BB270" s="55">
        <f t="shared" si="318"/>
        <v>0</v>
      </c>
      <c r="BC270" s="55">
        <f t="shared" si="318"/>
        <v>0</v>
      </c>
      <c r="BD270" s="55">
        <f t="shared" si="318"/>
        <v>0</v>
      </c>
      <c r="BE270" s="55">
        <f t="shared" si="318"/>
        <v>0</v>
      </c>
      <c r="BF270" s="55">
        <f t="shared" si="318"/>
        <v>0</v>
      </c>
      <c r="BG270" s="55">
        <f t="shared" si="318"/>
        <v>0</v>
      </c>
      <c r="BH270" s="55">
        <f t="shared" si="318"/>
        <v>0</v>
      </c>
      <c r="BI270" s="55">
        <f t="shared" si="318"/>
        <v>0</v>
      </c>
      <c r="BJ270" s="55">
        <f t="shared" si="318"/>
        <v>0</v>
      </c>
    </row>
    <row r="271" spans="1:62" x14ac:dyDescent="0.3">
      <c r="A271" s="53" t="str">
        <f t="shared" si="310"/>
        <v>project 74</v>
      </c>
      <c r="C271" s="55">
        <f t="shared" ref="C271:AH271" si="319">IF(AND(C$127&gt;=$K60,C$127&lt;=$L60),$G60*(1+$H60)^(C$127-$B$5),0)</f>
        <v>0</v>
      </c>
      <c r="D271" s="55">
        <f t="shared" si="319"/>
        <v>0</v>
      </c>
      <c r="E271" s="55">
        <f t="shared" si="319"/>
        <v>0</v>
      </c>
      <c r="F271" s="55">
        <f t="shared" si="319"/>
        <v>0</v>
      </c>
      <c r="G271" s="55">
        <f t="shared" si="319"/>
        <v>0</v>
      </c>
      <c r="H271" s="55">
        <f t="shared" si="319"/>
        <v>0</v>
      </c>
      <c r="I271" s="55">
        <f t="shared" si="319"/>
        <v>0</v>
      </c>
      <c r="J271" s="55">
        <f t="shared" si="319"/>
        <v>0</v>
      </c>
      <c r="K271" s="55">
        <f t="shared" si="319"/>
        <v>0</v>
      </c>
      <c r="L271" s="55">
        <f t="shared" si="319"/>
        <v>0</v>
      </c>
      <c r="M271" s="55">
        <f t="shared" si="319"/>
        <v>0</v>
      </c>
      <c r="N271" s="55">
        <f t="shared" si="319"/>
        <v>0</v>
      </c>
      <c r="O271" s="55">
        <f t="shared" si="319"/>
        <v>2.6196479644983088</v>
      </c>
      <c r="P271" s="55">
        <f t="shared" si="319"/>
        <v>2.67937593808887</v>
      </c>
      <c r="Q271" s="55">
        <f t="shared" si="319"/>
        <v>2.740465709477296</v>
      </c>
      <c r="R271" s="55">
        <f t="shared" si="319"/>
        <v>2.8029483276533784</v>
      </c>
      <c r="S271" s="55">
        <f t="shared" si="319"/>
        <v>2.8668555495238746</v>
      </c>
      <c r="T271" s="55">
        <f t="shared" si="319"/>
        <v>2.9322198560530186</v>
      </c>
      <c r="U271" s="55">
        <f t="shared" si="319"/>
        <v>2.9990744687710276</v>
      </c>
      <c r="V271" s="55">
        <f t="shared" si="319"/>
        <v>3.0674533666590063</v>
      </c>
      <c r="W271" s="55">
        <f t="shared" si="319"/>
        <v>3.137391303418831</v>
      </c>
      <c r="X271" s="55">
        <f t="shared" si="319"/>
        <v>3.2089238251367806</v>
      </c>
      <c r="Y271" s="55">
        <f t="shared" si="319"/>
        <v>3.2820872883498988</v>
      </c>
      <c r="Z271" s="55">
        <f t="shared" si="319"/>
        <v>3.3569188785242763</v>
      </c>
      <c r="AA271" s="55">
        <f t="shared" si="319"/>
        <v>3.4334566289546289</v>
      </c>
      <c r="AB271" s="55">
        <f t="shared" si="319"/>
        <v>3.5117394400947943</v>
      </c>
      <c r="AC271" s="55">
        <f t="shared" si="319"/>
        <v>3.5918070993289546</v>
      </c>
      <c r="AD271" s="55">
        <f t="shared" si="319"/>
        <v>3.6737003011936542</v>
      </c>
      <c r="AE271" s="55">
        <f t="shared" si="319"/>
        <v>3.7574606680608693</v>
      </c>
      <c r="AF271" s="55">
        <f t="shared" si="319"/>
        <v>3.8431307712926568</v>
      </c>
      <c r="AG271" s="55">
        <f t="shared" si="319"/>
        <v>3.9307541528781291</v>
      </c>
      <c r="AH271" s="55">
        <f t="shared" si="319"/>
        <v>4.0203753475637498</v>
      </c>
      <c r="AI271" s="55">
        <f t="shared" ref="AI271:BJ271" si="320">IF(AND(AI$127&gt;=$K60,AI$127&lt;=$L60),$G60*(1+$H60)^(AI$127-$B$5),0)</f>
        <v>4.1120399054882029</v>
      </c>
      <c r="AJ271" s="55">
        <f t="shared" si="320"/>
        <v>4.205794415333334</v>
      </c>
      <c r="AK271" s="55">
        <f t="shared" si="320"/>
        <v>4.3016865280029322</v>
      </c>
      <c r="AL271" s="55">
        <f t="shared" si="320"/>
        <v>4.3997649808413986</v>
      </c>
      <c r="AM271" s="55">
        <f t="shared" si="320"/>
        <v>4.5000796224045825</v>
      </c>
      <c r="AN271" s="55">
        <f t="shared" si="320"/>
        <v>4.6026814377954066</v>
      </c>
      <c r="AO271" s="55">
        <f t="shared" si="320"/>
        <v>4.7076225745771412</v>
      </c>
      <c r="AP271" s="55">
        <f t="shared" si="320"/>
        <v>4.8149563692774997</v>
      </c>
      <c r="AQ271" s="55">
        <f t="shared" si="320"/>
        <v>4.9247373744970258</v>
      </c>
      <c r="AR271" s="55">
        <f t="shared" si="320"/>
        <v>5.0370213866355584</v>
      </c>
      <c r="AS271" s="55">
        <f t="shared" si="320"/>
        <v>5.1518654742508465</v>
      </c>
      <c r="AT271" s="55">
        <f t="shared" si="320"/>
        <v>5.2693280070637663</v>
      </c>
      <c r="AU271" s="55">
        <f t="shared" si="320"/>
        <v>5.3894686856248191</v>
      </c>
      <c r="AV271" s="55">
        <f t="shared" si="320"/>
        <v>5.512348571657065</v>
      </c>
      <c r="AW271" s="55">
        <f t="shared" si="320"/>
        <v>5.6380301190908453</v>
      </c>
      <c r="AX271" s="55">
        <f t="shared" si="320"/>
        <v>5.766577205806116</v>
      </c>
      <c r="AY271" s="55">
        <f t="shared" si="320"/>
        <v>5.8980551660984943</v>
      </c>
      <c r="AZ271" s="55">
        <f t="shared" si="320"/>
        <v>6.0325308238855397</v>
      </c>
      <c r="BA271" s="55">
        <f t="shared" si="320"/>
        <v>6.1700725266701291</v>
      </c>
      <c r="BB271" s="55">
        <f t="shared" si="320"/>
        <v>6.3107501802782071</v>
      </c>
      <c r="BC271" s="55">
        <f t="shared" si="320"/>
        <v>0</v>
      </c>
      <c r="BD271" s="55">
        <f t="shared" si="320"/>
        <v>0</v>
      </c>
      <c r="BE271" s="55">
        <f t="shared" si="320"/>
        <v>0</v>
      </c>
      <c r="BF271" s="55">
        <f t="shared" si="320"/>
        <v>0</v>
      </c>
      <c r="BG271" s="55">
        <f t="shared" si="320"/>
        <v>0</v>
      </c>
      <c r="BH271" s="55">
        <f t="shared" si="320"/>
        <v>0</v>
      </c>
      <c r="BI271" s="55">
        <f t="shared" si="320"/>
        <v>0</v>
      </c>
      <c r="BJ271" s="55">
        <f t="shared" si="320"/>
        <v>0</v>
      </c>
    </row>
    <row r="272" spans="1:62" x14ac:dyDescent="0.3">
      <c r="A272" s="53" t="str">
        <f t="shared" si="310"/>
        <v>project 75</v>
      </c>
      <c r="C272" s="55">
        <f t="shared" ref="C272:AH272" si="321">IF(AND(C$127&gt;=$K61,C$127&lt;=$L61),$G61*(1+$H61)^(C$127-$B$5),0)</f>
        <v>0</v>
      </c>
      <c r="D272" s="55">
        <f t="shared" si="321"/>
        <v>0</v>
      </c>
      <c r="E272" s="55">
        <f t="shared" si="321"/>
        <v>0</v>
      </c>
      <c r="F272" s="55">
        <f t="shared" si="321"/>
        <v>0</v>
      </c>
      <c r="G272" s="55">
        <f t="shared" si="321"/>
        <v>0</v>
      </c>
      <c r="H272" s="55">
        <f t="shared" si="321"/>
        <v>0</v>
      </c>
      <c r="I272" s="55">
        <f t="shared" si="321"/>
        <v>0</v>
      </c>
      <c r="J272" s="55">
        <f t="shared" si="321"/>
        <v>0</v>
      </c>
      <c r="K272" s="55">
        <f t="shared" si="321"/>
        <v>0</v>
      </c>
      <c r="L272" s="55">
        <f t="shared" si="321"/>
        <v>0</v>
      </c>
      <c r="M272" s="55">
        <f t="shared" si="321"/>
        <v>0</v>
      </c>
      <c r="N272" s="55">
        <f t="shared" si="321"/>
        <v>0</v>
      </c>
      <c r="O272" s="55">
        <f t="shared" si="321"/>
        <v>0</v>
      </c>
      <c r="P272" s="55">
        <f t="shared" si="321"/>
        <v>0</v>
      </c>
      <c r="Q272" s="55">
        <f t="shared" si="321"/>
        <v>0</v>
      </c>
      <c r="R272" s="55">
        <f t="shared" si="321"/>
        <v>0</v>
      </c>
      <c r="S272" s="55">
        <f t="shared" si="321"/>
        <v>0.95468543183460941</v>
      </c>
      <c r="T272" s="55">
        <f t="shared" si="321"/>
        <v>0.96633259410299166</v>
      </c>
      <c r="U272" s="55">
        <f t="shared" si="321"/>
        <v>0.97812185175104815</v>
      </c>
      <c r="V272" s="55">
        <f t="shared" si="321"/>
        <v>0.99005493834241087</v>
      </c>
      <c r="W272" s="55">
        <f t="shared" si="321"/>
        <v>1.0021336085901884</v>
      </c>
      <c r="X272" s="55">
        <f t="shared" si="321"/>
        <v>1.0143596386149887</v>
      </c>
      <c r="Y272" s="55">
        <f t="shared" si="321"/>
        <v>1.0267348262060914</v>
      </c>
      <c r="Z272" s="55">
        <f t="shared" si="321"/>
        <v>1.0392609910858057</v>
      </c>
      <c r="AA272" s="55">
        <f t="shared" si="321"/>
        <v>1.0519399751770526</v>
      </c>
      <c r="AB272" s="55">
        <f t="shared" si="321"/>
        <v>1.0647736428742125</v>
      </c>
      <c r="AC272" s="55">
        <f t="shared" si="321"/>
        <v>1.0777638813172783</v>
      </c>
      <c r="AD272" s="55">
        <f t="shared" si="321"/>
        <v>1.0909126006693488</v>
      </c>
      <c r="AE272" s="55">
        <f t="shared" si="321"/>
        <v>1.1042217343975151</v>
      </c>
      <c r="AF272" s="55">
        <f t="shared" si="321"/>
        <v>1.1176932395571648</v>
      </c>
      <c r="AG272" s="55">
        <f t="shared" si="321"/>
        <v>1.1313290970797623</v>
      </c>
      <c r="AH272" s="55">
        <f t="shared" si="321"/>
        <v>1.1451313120641353</v>
      </c>
      <c r="AI272" s="55">
        <f t="shared" ref="AI272:BJ272" si="322">IF(AND(AI$127&gt;=$K61,AI$127&lt;=$L61),$G61*(1+$H61)^(AI$127-$B$5),0)</f>
        <v>1.1591019140713175</v>
      </c>
      <c r="AJ272" s="55">
        <f t="shared" si="322"/>
        <v>1.1732429574229877</v>
      </c>
      <c r="AK272" s="55">
        <f t="shared" si="322"/>
        <v>1.187556521503548</v>
      </c>
      <c r="AL272" s="55">
        <f t="shared" si="322"/>
        <v>1.2020447110658914</v>
      </c>
      <c r="AM272" s="55">
        <f t="shared" si="322"/>
        <v>1.2167096565408955</v>
      </c>
      <c r="AN272" s="55">
        <f t="shared" si="322"/>
        <v>1.2315535143506944</v>
      </c>
      <c r="AO272" s="55">
        <f t="shared" si="322"/>
        <v>1.2465784672257727</v>
      </c>
      <c r="AP272" s="55">
        <f t="shared" si="322"/>
        <v>1.2617867245259271</v>
      </c>
      <c r="AQ272" s="55">
        <f t="shared" si="322"/>
        <v>1.2771805225651434</v>
      </c>
      <c r="AR272" s="55">
        <f t="shared" si="322"/>
        <v>1.2927621249404382</v>
      </c>
      <c r="AS272" s="55">
        <f t="shared" si="322"/>
        <v>1.3085338228647116</v>
      </c>
      <c r="AT272" s="55">
        <f t="shared" si="322"/>
        <v>1.324497935503661</v>
      </c>
      <c r="AU272" s="55">
        <f t="shared" si="322"/>
        <v>1.3406568103168059</v>
      </c>
      <c r="AV272" s="55">
        <f t="shared" si="322"/>
        <v>1.3570128234026708</v>
      </c>
      <c r="AW272" s="55">
        <f t="shared" si="322"/>
        <v>1.3735683798481835</v>
      </c>
      <c r="AX272" s="55">
        <f t="shared" si="322"/>
        <v>1.3903259140823314</v>
      </c>
      <c r="AY272" s="55">
        <f t="shared" si="322"/>
        <v>1.4072878902341355</v>
      </c>
      <c r="AZ272" s="55">
        <f t="shared" si="322"/>
        <v>1.4244568024949922</v>
      </c>
      <c r="BA272" s="55">
        <f t="shared" si="322"/>
        <v>1.4418351754854311</v>
      </c>
      <c r="BB272" s="55">
        <f t="shared" si="322"/>
        <v>1.4594255646263532</v>
      </c>
      <c r="BC272" s="55">
        <f t="shared" si="322"/>
        <v>1.4772305565147947</v>
      </c>
      <c r="BD272" s="55">
        <f t="shared" si="322"/>
        <v>1.4952527693042752</v>
      </c>
      <c r="BE272" s="55">
        <f t="shared" si="322"/>
        <v>1.5134948530897874</v>
      </c>
      <c r="BF272" s="55">
        <f t="shared" si="322"/>
        <v>1.5319594902974829</v>
      </c>
      <c r="BG272" s="55">
        <f t="shared" si="322"/>
        <v>0</v>
      </c>
      <c r="BH272" s="55">
        <f t="shared" si="322"/>
        <v>0</v>
      </c>
      <c r="BI272" s="55">
        <f t="shared" si="322"/>
        <v>0</v>
      </c>
      <c r="BJ272" s="55">
        <f t="shared" si="322"/>
        <v>0</v>
      </c>
    </row>
    <row r="273" spans="1:62" x14ac:dyDescent="0.3">
      <c r="A273" s="53" t="str">
        <f t="shared" si="310"/>
        <v>project 77</v>
      </c>
      <c r="C273" s="55">
        <f t="shared" ref="C273:AH273" si="323">IF(AND(C$127&gt;=$K62,C$127&lt;=$L62),$G62*(1+$H62)^(C$127-$B$5),0)</f>
        <v>0</v>
      </c>
      <c r="D273" s="55">
        <f t="shared" si="323"/>
        <v>0</v>
      </c>
      <c r="E273" s="55">
        <f t="shared" si="323"/>
        <v>0</v>
      </c>
      <c r="F273" s="55">
        <f t="shared" si="323"/>
        <v>0</v>
      </c>
      <c r="G273" s="55">
        <f t="shared" si="323"/>
        <v>0</v>
      </c>
      <c r="H273" s="55">
        <f t="shared" si="323"/>
        <v>0</v>
      </c>
      <c r="I273" s="55">
        <f t="shared" si="323"/>
        <v>0</v>
      </c>
      <c r="J273" s="55">
        <f t="shared" si="323"/>
        <v>0</v>
      </c>
      <c r="K273" s="55">
        <f t="shared" si="323"/>
        <v>0</v>
      </c>
      <c r="L273" s="55">
        <f t="shared" si="323"/>
        <v>0</v>
      </c>
      <c r="M273" s="55">
        <f t="shared" si="323"/>
        <v>0</v>
      </c>
      <c r="N273" s="55">
        <f t="shared" si="323"/>
        <v>0</v>
      </c>
      <c r="O273" s="55">
        <f t="shared" si="323"/>
        <v>5.4293324398793233E-3</v>
      </c>
      <c r="P273" s="55">
        <f t="shared" si="323"/>
        <v>5.5308609565050655E-3</v>
      </c>
      <c r="Q273" s="55">
        <f t="shared" si="323"/>
        <v>5.6342880563917102E-3</v>
      </c>
      <c r="R273" s="55">
        <f t="shared" si="323"/>
        <v>5.7396492430462345E-3</v>
      </c>
      <c r="S273" s="55">
        <f t="shared" si="323"/>
        <v>5.8469806838911996E-3</v>
      </c>
      <c r="T273" s="55">
        <f t="shared" si="323"/>
        <v>5.9563192226799646E-3</v>
      </c>
      <c r="U273" s="55">
        <f t="shared" si="323"/>
        <v>6.0677023921440797E-3</v>
      </c>
      <c r="V273" s="55">
        <f t="shared" si="323"/>
        <v>6.1811684268771724E-3</v>
      </c>
      <c r="W273" s="55">
        <f t="shared" si="323"/>
        <v>6.2967562764597758E-3</v>
      </c>
      <c r="X273" s="55">
        <f t="shared" si="323"/>
        <v>6.4145056188295736E-3</v>
      </c>
      <c r="Y273" s="55">
        <f t="shared" si="323"/>
        <v>6.5344568739016846E-3</v>
      </c>
      <c r="Z273" s="55">
        <f t="shared" si="323"/>
        <v>6.656651217443646E-3</v>
      </c>
      <c r="AA273" s="55">
        <f t="shared" si="323"/>
        <v>6.781130595209843E-3</v>
      </c>
      <c r="AB273" s="55">
        <f t="shared" si="323"/>
        <v>6.9079377373402655E-3</v>
      </c>
      <c r="AC273" s="55">
        <f t="shared" si="323"/>
        <v>7.0371161730285294E-3</v>
      </c>
      <c r="AD273" s="55">
        <f t="shared" si="323"/>
        <v>7.1687102454641603E-3</v>
      </c>
      <c r="AE273" s="55">
        <f t="shared" si="323"/>
        <v>7.3027651270543403E-3</v>
      </c>
      <c r="AF273" s="55">
        <f t="shared" si="323"/>
        <v>7.4393268349302556E-3</v>
      </c>
      <c r="AG273" s="55">
        <f t="shared" si="323"/>
        <v>7.5784422467434507E-3</v>
      </c>
      <c r="AH273" s="55">
        <f t="shared" si="323"/>
        <v>7.7201591167575532E-3</v>
      </c>
      <c r="AI273" s="55">
        <f t="shared" ref="AI273:BJ273" si="324">IF(AND(AI$127&gt;=$K62,AI$127&lt;=$L62),$G62*(1+$H62)^(AI$127-$B$5),0)</f>
        <v>7.8645260922409199E-3</v>
      </c>
      <c r="AJ273" s="55">
        <f t="shared" si="324"/>
        <v>8.011592730165825E-3</v>
      </c>
      <c r="AK273" s="55">
        <f t="shared" si="324"/>
        <v>8.161409514219925E-3</v>
      </c>
      <c r="AL273" s="55">
        <f t="shared" si="324"/>
        <v>8.3140278721358356E-3</v>
      </c>
      <c r="AM273" s="55">
        <f t="shared" si="324"/>
        <v>8.4695001933447756E-3</v>
      </c>
      <c r="AN273" s="55">
        <f t="shared" si="324"/>
        <v>8.6278798469603211E-3</v>
      </c>
      <c r="AO273" s="55">
        <f t="shared" si="324"/>
        <v>8.7892212000984793E-3</v>
      </c>
      <c r="AP273" s="55">
        <f t="shared" si="324"/>
        <v>8.9535796365403184E-3</v>
      </c>
      <c r="AQ273" s="55">
        <f t="shared" si="324"/>
        <v>9.1210115757436247E-3</v>
      </c>
      <c r="AR273" s="55">
        <f t="shared" si="324"/>
        <v>9.2915744922100283E-3</v>
      </c>
      <c r="AS273" s="55">
        <f t="shared" si="324"/>
        <v>9.4653269352143552E-3</v>
      </c>
      <c r="AT273" s="55">
        <f t="shared" si="324"/>
        <v>9.6423285489028628E-3</v>
      </c>
      <c r="AU273" s="55">
        <f t="shared" si="324"/>
        <v>9.8226400927673464E-3</v>
      </c>
      <c r="AV273" s="55">
        <f t="shared" si="324"/>
        <v>1.0006323462502093E-2</v>
      </c>
      <c r="AW273" s="55">
        <f t="shared" si="324"/>
        <v>1.0193441711250882E-2</v>
      </c>
      <c r="AX273" s="55">
        <f t="shared" si="324"/>
        <v>1.0384059071251273E-2</v>
      </c>
      <c r="AY273" s="55">
        <f t="shared" si="324"/>
        <v>1.0578240975883673E-2</v>
      </c>
      <c r="AZ273" s="55">
        <f t="shared" si="324"/>
        <v>1.0776054082132695E-2</v>
      </c>
      <c r="BA273" s="55">
        <f t="shared" si="324"/>
        <v>1.0977566293468577E-2</v>
      </c>
      <c r="BB273" s="55">
        <f t="shared" si="324"/>
        <v>1.1182846783156437E-2</v>
      </c>
      <c r="BC273" s="55">
        <f t="shared" si="324"/>
        <v>0</v>
      </c>
      <c r="BD273" s="55">
        <f t="shared" si="324"/>
        <v>0</v>
      </c>
      <c r="BE273" s="55">
        <f t="shared" si="324"/>
        <v>0</v>
      </c>
      <c r="BF273" s="55">
        <f t="shared" si="324"/>
        <v>0</v>
      </c>
      <c r="BG273" s="55">
        <f t="shared" si="324"/>
        <v>0</v>
      </c>
      <c r="BH273" s="55">
        <f t="shared" si="324"/>
        <v>0</v>
      </c>
      <c r="BI273" s="55">
        <f t="shared" si="324"/>
        <v>0</v>
      </c>
      <c r="BJ273" s="55">
        <f t="shared" si="324"/>
        <v>0</v>
      </c>
    </row>
    <row r="274" spans="1:62" x14ac:dyDescent="0.3">
      <c r="A274" s="53" t="str">
        <f t="shared" si="310"/>
        <v>project 78</v>
      </c>
      <c r="C274" s="55">
        <f t="shared" ref="C274:AH274" si="325">IF(AND(C$127&gt;=$K63,C$127&lt;=$L63),$G63*(1+$H63)^(C$127-$B$5),0)</f>
        <v>0</v>
      </c>
      <c r="D274" s="55">
        <f t="shared" si="325"/>
        <v>0</v>
      </c>
      <c r="E274" s="55">
        <f t="shared" si="325"/>
        <v>0</v>
      </c>
      <c r="F274" s="55">
        <f t="shared" si="325"/>
        <v>0</v>
      </c>
      <c r="G274" s="55">
        <f t="shared" si="325"/>
        <v>0</v>
      </c>
      <c r="H274" s="55">
        <f t="shared" si="325"/>
        <v>0</v>
      </c>
      <c r="I274" s="55">
        <f t="shared" si="325"/>
        <v>0</v>
      </c>
      <c r="J274" s="55">
        <f t="shared" si="325"/>
        <v>0</v>
      </c>
      <c r="K274" s="55">
        <f t="shared" si="325"/>
        <v>0</v>
      </c>
      <c r="L274" s="55">
        <f t="shared" si="325"/>
        <v>6.5337894954512752</v>
      </c>
      <c r="M274" s="55">
        <f t="shared" si="325"/>
        <v>6.6585848748143928</v>
      </c>
      <c r="N274" s="55">
        <f t="shared" si="325"/>
        <v>6.7857638459233476</v>
      </c>
      <c r="O274" s="55">
        <f t="shared" si="325"/>
        <v>6.9153719353804828</v>
      </c>
      <c r="P274" s="55">
        <f t="shared" si="325"/>
        <v>7.0474555393462479</v>
      </c>
      <c r="Q274" s="55">
        <f t="shared" si="325"/>
        <v>7.1820619401477614</v>
      </c>
      <c r="R274" s="55">
        <f t="shared" si="325"/>
        <v>7.3192393232045827</v>
      </c>
      <c r="S274" s="55">
        <f t="shared" si="325"/>
        <v>7.4590367942777887</v>
      </c>
      <c r="T274" s="55">
        <f t="shared" si="325"/>
        <v>7.6015043970484939</v>
      </c>
      <c r="U274" s="55">
        <f t="shared" si="325"/>
        <v>7.7466931310321199</v>
      </c>
      <c r="V274" s="55">
        <f t="shared" si="325"/>
        <v>7.8946549698348321</v>
      </c>
      <c r="W274" s="55">
        <f t="shared" si="325"/>
        <v>8.0454428797586761</v>
      </c>
      <c r="X274" s="55">
        <f t="shared" si="325"/>
        <v>8.1991108387620653</v>
      </c>
      <c r="Y274" s="55">
        <f t="shared" si="325"/>
        <v>8.3557138557824207</v>
      </c>
      <c r="Z274" s="55">
        <f t="shared" si="325"/>
        <v>8.5153079904278624</v>
      </c>
      <c r="AA274" s="55">
        <f t="shared" si="325"/>
        <v>8.6779503730450358</v>
      </c>
      <c r="AB274" s="55">
        <f t="shared" si="325"/>
        <v>8.8436992251701945</v>
      </c>
      <c r="AC274" s="55">
        <f t="shared" si="325"/>
        <v>9.0126138803709441</v>
      </c>
      <c r="AD274" s="55">
        <f t="shared" si="325"/>
        <v>9.184754805486028</v>
      </c>
      <c r="AE274" s="55">
        <f t="shared" si="325"/>
        <v>9.3601836222708101</v>
      </c>
      <c r="AF274" s="55">
        <f t="shared" si="325"/>
        <v>9.5389631294561799</v>
      </c>
      <c r="AG274" s="55">
        <f t="shared" si="325"/>
        <v>9.7211573252287931</v>
      </c>
      <c r="AH274" s="55">
        <f t="shared" si="325"/>
        <v>9.9068314301406613</v>
      </c>
      <c r="AI274" s="55">
        <f t="shared" ref="AI274:BJ274" si="326">IF(AND(AI$127&gt;=$K63,AI$127&lt;=$L63),$G63*(1+$H63)^(AI$127-$B$5),0)</f>
        <v>10.096051910456348</v>
      </c>
      <c r="AJ274" s="55">
        <f t="shared" si="326"/>
        <v>10.288886501946061</v>
      </c>
      <c r="AK274" s="55">
        <f t="shared" si="326"/>
        <v>10.485404234133231</v>
      </c>
      <c r="AL274" s="55">
        <f t="shared" si="326"/>
        <v>10.685675455005173</v>
      </c>
      <c r="AM274" s="55">
        <f t="shared" si="326"/>
        <v>10.889771856195772</v>
      </c>
      <c r="AN274" s="55">
        <f t="shared" si="326"/>
        <v>11.097766498649108</v>
      </c>
      <c r="AO274" s="55">
        <f t="shared" si="326"/>
        <v>11.309733838773305</v>
      </c>
      <c r="AP274" s="55">
        <f t="shared" si="326"/>
        <v>11.525749755093875</v>
      </c>
      <c r="AQ274" s="55">
        <f t="shared" si="326"/>
        <v>11.745891575416167</v>
      </c>
      <c r="AR274" s="55">
        <f t="shared" si="326"/>
        <v>11.970238104506615</v>
      </c>
      <c r="AS274" s="55">
        <f t="shared" si="326"/>
        <v>12.198869652302688</v>
      </c>
      <c r="AT274" s="55">
        <f t="shared" si="326"/>
        <v>12.431868062661671</v>
      </c>
      <c r="AU274" s="55">
        <f t="shared" si="326"/>
        <v>12.669316742658507</v>
      </c>
      <c r="AV274" s="55">
        <f t="shared" si="326"/>
        <v>12.911300692443278</v>
      </c>
      <c r="AW274" s="55">
        <f t="shared" si="326"/>
        <v>13.157906535668946</v>
      </c>
      <c r="AX274" s="55">
        <f t="shared" si="326"/>
        <v>13.409222550500223</v>
      </c>
      <c r="AY274" s="55">
        <f t="shared" si="326"/>
        <v>13.665338701214774</v>
      </c>
      <c r="AZ274" s="55">
        <f t="shared" si="326"/>
        <v>0</v>
      </c>
      <c r="BA274" s="55">
        <f t="shared" si="326"/>
        <v>0</v>
      </c>
      <c r="BB274" s="55">
        <f t="shared" si="326"/>
        <v>0</v>
      </c>
      <c r="BC274" s="55">
        <f t="shared" si="326"/>
        <v>0</v>
      </c>
      <c r="BD274" s="55">
        <f t="shared" si="326"/>
        <v>0</v>
      </c>
      <c r="BE274" s="55">
        <f t="shared" si="326"/>
        <v>0</v>
      </c>
      <c r="BF274" s="55">
        <f t="shared" si="326"/>
        <v>0</v>
      </c>
      <c r="BG274" s="55">
        <f t="shared" si="326"/>
        <v>0</v>
      </c>
      <c r="BH274" s="55">
        <f t="shared" si="326"/>
        <v>0</v>
      </c>
      <c r="BI274" s="55">
        <f t="shared" si="326"/>
        <v>0</v>
      </c>
      <c r="BJ274" s="55">
        <f t="shared" si="326"/>
        <v>0</v>
      </c>
    </row>
    <row r="275" spans="1:62" x14ac:dyDescent="0.3">
      <c r="A275" s="53" t="str">
        <f t="shared" si="310"/>
        <v>project 84</v>
      </c>
      <c r="C275" s="55">
        <f t="shared" ref="C275:AH275" si="327">IF(AND(C$127&gt;=$K64,C$127&lt;=$L64),$G64*(1+$H64)^(C$127-$B$5),0)</f>
        <v>0</v>
      </c>
      <c r="D275" s="55">
        <f t="shared" si="327"/>
        <v>0</v>
      </c>
      <c r="E275" s="55">
        <f t="shared" si="327"/>
        <v>0</v>
      </c>
      <c r="F275" s="55">
        <f t="shared" si="327"/>
        <v>0</v>
      </c>
      <c r="G275" s="55">
        <f t="shared" si="327"/>
        <v>0</v>
      </c>
      <c r="H275" s="55">
        <f t="shared" si="327"/>
        <v>0</v>
      </c>
      <c r="I275" s="55">
        <f t="shared" si="327"/>
        <v>0</v>
      </c>
      <c r="J275" s="55">
        <f t="shared" si="327"/>
        <v>0</v>
      </c>
      <c r="K275" s="55">
        <f t="shared" si="327"/>
        <v>0</v>
      </c>
      <c r="L275" s="55">
        <f t="shared" si="327"/>
        <v>0</v>
      </c>
      <c r="M275" s="55">
        <f t="shared" si="327"/>
        <v>0</v>
      </c>
      <c r="N275" s="55">
        <f t="shared" si="327"/>
        <v>0</v>
      </c>
      <c r="O275" s="55">
        <f t="shared" si="327"/>
        <v>0</v>
      </c>
      <c r="P275" s="55">
        <f t="shared" si="327"/>
        <v>0</v>
      </c>
      <c r="Q275" s="55">
        <f t="shared" si="327"/>
        <v>0</v>
      </c>
      <c r="R275" s="55">
        <f t="shared" si="327"/>
        <v>0</v>
      </c>
      <c r="S275" s="55">
        <f t="shared" si="327"/>
        <v>0</v>
      </c>
      <c r="T275" s="55">
        <f t="shared" si="327"/>
        <v>0.12735447594149385</v>
      </c>
      <c r="U275" s="55">
        <f t="shared" si="327"/>
        <v>0.13106049119139135</v>
      </c>
      <c r="V275" s="55">
        <f t="shared" si="327"/>
        <v>0.1348743514850608</v>
      </c>
      <c r="W275" s="55">
        <f t="shared" si="327"/>
        <v>0.13879919511327607</v>
      </c>
      <c r="X275" s="55">
        <f t="shared" si="327"/>
        <v>0.14283825169107239</v>
      </c>
      <c r="Y275" s="55">
        <f t="shared" si="327"/>
        <v>0.1469948448152826</v>
      </c>
      <c r="Z275" s="55">
        <f t="shared" si="327"/>
        <v>0.15127239479940729</v>
      </c>
      <c r="AA275" s="55">
        <f t="shared" si="327"/>
        <v>0.15567442148807006</v>
      </c>
      <c r="AB275" s="55">
        <f t="shared" si="327"/>
        <v>0.1602045471533729</v>
      </c>
      <c r="AC275" s="55">
        <f t="shared" si="327"/>
        <v>0.16486649947553605</v>
      </c>
      <c r="AD275" s="55">
        <f t="shared" si="327"/>
        <v>0.16966411461027409</v>
      </c>
      <c r="AE275" s="55">
        <f t="shared" si="327"/>
        <v>0.17460134034543309</v>
      </c>
      <c r="AF275" s="55">
        <f t="shared" si="327"/>
        <v>0.17968223934948516</v>
      </c>
      <c r="AG275" s="55">
        <f t="shared" si="327"/>
        <v>0.1849109925145552</v>
      </c>
      <c r="AH275" s="55">
        <f t="shared" si="327"/>
        <v>0.19029190239672875</v>
      </c>
      <c r="AI275" s="55">
        <f t="shared" ref="AI275:BJ275" si="328">IF(AND(AI$127&gt;=$K64,AI$127&lt;=$L64),$G64*(1+$H64)^(AI$127-$B$5),0)</f>
        <v>0.19582939675647351</v>
      </c>
      <c r="AJ275" s="55">
        <f t="shared" si="328"/>
        <v>0.20152803220208687</v>
      </c>
      <c r="AK275" s="55">
        <f t="shared" si="328"/>
        <v>0.20739249793916759</v>
      </c>
      <c r="AL275" s="55">
        <f t="shared" si="328"/>
        <v>0.21342761962919732</v>
      </c>
      <c r="AM275" s="55">
        <f t="shared" si="328"/>
        <v>0.21963836336040701</v>
      </c>
      <c r="AN275" s="55">
        <f t="shared" si="328"/>
        <v>0.22602983973419483</v>
      </c>
      <c r="AO275" s="55">
        <f t="shared" si="328"/>
        <v>0.23260730807045987</v>
      </c>
      <c r="AP275" s="55">
        <f t="shared" si="328"/>
        <v>0.23937618073531022</v>
      </c>
      <c r="AQ275" s="55">
        <f t="shared" si="328"/>
        <v>0.24634202759470775</v>
      </c>
      <c r="AR275" s="55">
        <f t="shared" si="328"/>
        <v>0.25351058059771375</v>
      </c>
      <c r="AS275" s="55">
        <f t="shared" si="328"/>
        <v>0.2608877384931072</v>
      </c>
      <c r="AT275" s="55">
        <f t="shared" si="328"/>
        <v>0.26847957168325653</v>
      </c>
      <c r="AU275" s="55">
        <f t="shared" si="328"/>
        <v>0.27629232721923935</v>
      </c>
      <c r="AV275" s="55">
        <f t="shared" si="328"/>
        <v>0.28433243394131918</v>
      </c>
      <c r="AW275" s="55">
        <f t="shared" si="328"/>
        <v>0.29260650776901154</v>
      </c>
      <c r="AX275" s="55">
        <f t="shared" si="328"/>
        <v>0.30112135714508975</v>
      </c>
      <c r="AY275" s="55">
        <f t="shared" si="328"/>
        <v>0.30988398863801186</v>
      </c>
      <c r="AZ275" s="55">
        <f t="shared" si="328"/>
        <v>0.31890161270737799</v>
      </c>
      <c r="BA275" s="55">
        <f t="shared" si="328"/>
        <v>0.32818164963716268</v>
      </c>
      <c r="BB275" s="55">
        <f t="shared" si="328"/>
        <v>0.33773173564160403</v>
      </c>
      <c r="BC275" s="55">
        <f t="shared" si="328"/>
        <v>0.34755972914877475</v>
      </c>
      <c r="BD275" s="55">
        <f t="shared" si="328"/>
        <v>0.35767371726700409</v>
      </c>
      <c r="BE275" s="55">
        <f t="shared" si="328"/>
        <v>0.36808202243947385</v>
      </c>
      <c r="BF275" s="55">
        <f t="shared" si="328"/>
        <v>0.37879320929246252</v>
      </c>
      <c r="BG275" s="55">
        <f t="shared" si="328"/>
        <v>0.38981609168287312</v>
      </c>
      <c r="BH275" s="55">
        <f t="shared" si="328"/>
        <v>0</v>
      </c>
      <c r="BI275" s="55">
        <f t="shared" si="328"/>
        <v>0</v>
      </c>
      <c r="BJ275" s="55">
        <f t="shared" si="328"/>
        <v>0</v>
      </c>
    </row>
    <row r="276" spans="1:62" x14ac:dyDescent="0.3">
      <c r="A276" s="53" t="str">
        <f t="shared" si="310"/>
        <v>project 87</v>
      </c>
      <c r="C276" s="55">
        <f t="shared" ref="C276:AH276" si="329">IF(AND(C$127&gt;=$K65,C$127&lt;=$L65),$G65*(1+$H65)^(C$127-$B$5),0)</f>
        <v>0</v>
      </c>
      <c r="D276" s="55">
        <f t="shared" si="329"/>
        <v>0</v>
      </c>
      <c r="E276" s="55">
        <f t="shared" si="329"/>
        <v>0</v>
      </c>
      <c r="F276" s="55">
        <f t="shared" si="329"/>
        <v>0</v>
      </c>
      <c r="G276" s="55">
        <f t="shared" si="329"/>
        <v>0</v>
      </c>
      <c r="H276" s="55">
        <f t="shared" si="329"/>
        <v>0</v>
      </c>
      <c r="I276" s="55">
        <f t="shared" si="329"/>
        <v>0</v>
      </c>
      <c r="J276" s="55">
        <f t="shared" si="329"/>
        <v>0</v>
      </c>
      <c r="K276" s="55">
        <f t="shared" si="329"/>
        <v>0</v>
      </c>
      <c r="L276" s="55">
        <f t="shared" si="329"/>
        <v>0</v>
      </c>
      <c r="M276" s="55">
        <f t="shared" si="329"/>
        <v>0</v>
      </c>
      <c r="N276" s="55">
        <f t="shared" si="329"/>
        <v>0</v>
      </c>
      <c r="O276" s="55">
        <f t="shared" si="329"/>
        <v>0</v>
      </c>
      <c r="P276" s="55">
        <f t="shared" si="329"/>
        <v>0</v>
      </c>
      <c r="Q276" s="55">
        <f t="shared" si="329"/>
        <v>4.1430806742885924</v>
      </c>
      <c r="R276" s="55">
        <f t="shared" si="329"/>
        <v>4.2570153928315282</v>
      </c>
      <c r="S276" s="55">
        <f t="shared" si="329"/>
        <v>4.3740833161343957</v>
      </c>
      <c r="T276" s="55">
        <f t="shared" si="329"/>
        <v>4.4943706073280918</v>
      </c>
      <c r="U276" s="55">
        <f t="shared" si="329"/>
        <v>4.6179657990296148</v>
      </c>
      <c r="V276" s="55">
        <f t="shared" si="329"/>
        <v>4.7449598585029289</v>
      </c>
      <c r="W276" s="55">
        <f t="shared" si="329"/>
        <v>4.8754462546117594</v>
      </c>
      <c r="X276" s="55">
        <f t="shared" si="329"/>
        <v>5.0095210266135837</v>
      </c>
      <c r="Y276" s="55">
        <f t="shared" si="329"/>
        <v>5.1472828548454572</v>
      </c>
      <c r="Z276" s="55">
        <f t="shared" si="329"/>
        <v>5.2888331333537071</v>
      </c>
      <c r="AA276" s="55">
        <f t="shared" si="329"/>
        <v>5.4342760445209342</v>
      </c>
      <c r="AB276" s="55">
        <f t="shared" si="329"/>
        <v>5.5837186357452611</v>
      </c>
      <c r="AC276" s="55">
        <f t="shared" si="329"/>
        <v>5.7372708982282559</v>
      </c>
      <c r="AD276" s="55">
        <f t="shared" si="329"/>
        <v>5.8950458479295333</v>
      </c>
      <c r="AE276" s="55">
        <f t="shared" si="329"/>
        <v>6.057159608747595</v>
      </c>
      <c r="AF276" s="55">
        <f t="shared" si="329"/>
        <v>6.2237314979881555</v>
      </c>
      <c r="AG276" s="55">
        <f t="shared" si="329"/>
        <v>6.3948841141828296</v>
      </c>
      <c r="AH276" s="55">
        <f t="shared" si="329"/>
        <v>6.5707434273228573</v>
      </c>
      <c r="AI276" s="55">
        <f t="shared" ref="AI276:BJ276" si="330">IF(AND(AI$127&gt;=$K65,AI$127&lt;=$L65),$G65*(1+$H65)^(AI$127-$B$5),0)</f>
        <v>6.7514388715742362</v>
      </c>
      <c r="AJ276" s="55">
        <f t="shared" si="330"/>
        <v>6.9371034405425283</v>
      </c>
      <c r="AK276" s="55">
        <f t="shared" si="330"/>
        <v>7.1278737851574476</v>
      </c>
      <c r="AL276" s="55">
        <f t="shared" si="330"/>
        <v>7.3238903142492786</v>
      </c>
      <c r="AM276" s="55">
        <f t="shared" si="330"/>
        <v>7.5252972978911341</v>
      </c>
      <c r="AN276" s="55">
        <f t="shared" si="330"/>
        <v>7.7322429735831415</v>
      </c>
      <c r="AO276" s="55">
        <f t="shared" si="330"/>
        <v>7.9448796553566767</v>
      </c>
      <c r="AP276" s="55">
        <f t="shared" si="330"/>
        <v>8.163363845878985</v>
      </c>
      <c r="AQ276" s="55">
        <f t="shared" si="330"/>
        <v>8.387856351640659</v>
      </c>
      <c r="AR276" s="55">
        <f t="shared" si="330"/>
        <v>8.6185224013107771</v>
      </c>
      <c r="AS276" s="55">
        <f t="shared" si="330"/>
        <v>8.8555317673468235</v>
      </c>
      <c r="AT276" s="55">
        <f t="shared" si="330"/>
        <v>9.0990588909488608</v>
      </c>
      <c r="AU276" s="55">
        <f t="shared" si="330"/>
        <v>9.3492830104499554</v>
      </c>
      <c r="AV276" s="55">
        <f t="shared" si="330"/>
        <v>9.6063882932373321</v>
      </c>
      <c r="AW276" s="55">
        <f t="shared" si="330"/>
        <v>9.8705639713013582</v>
      </c>
      <c r="AX276" s="55">
        <f t="shared" si="330"/>
        <v>10.142004480512144</v>
      </c>
      <c r="AY276" s="55">
        <f t="shared" si="330"/>
        <v>10.420909603726228</v>
      </c>
      <c r="AZ276" s="55">
        <f t="shared" si="330"/>
        <v>10.707484617828701</v>
      </c>
      <c r="BA276" s="55">
        <f t="shared" si="330"/>
        <v>11.001940444818992</v>
      </c>
      <c r="BB276" s="55">
        <f t="shared" si="330"/>
        <v>11.304493807051513</v>
      </c>
      <c r="BC276" s="55">
        <f t="shared" si="330"/>
        <v>11.615367386745429</v>
      </c>
      <c r="BD276" s="55">
        <f t="shared" si="330"/>
        <v>11.934789989880931</v>
      </c>
      <c r="BE276" s="55">
        <f t="shared" si="330"/>
        <v>0</v>
      </c>
      <c r="BF276" s="55">
        <f t="shared" si="330"/>
        <v>0</v>
      </c>
      <c r="BG276" s="55">
        <f t="shared" si="330"/>
        <v>0</v>
      </c>
      <c r="BH276" s="55">
        <f t="shared" si="330"/>
        <v>0</v>
      </c>
      <c r="BI276" s="55">
        <f t="shared" si="330"/>
        <v>0</v>
      </c>
      <c r="BJ276" s="55">
        <f t="shared" si="330"/>
        <v>0</v>
      </c>
    </row>
    <row r="277" spans="1:62" x14ac:dyDescent="0.3">
      <c r="A277" s="53" t="str">
        <f t="shared" si="310"/>
        <v>project 90</v>
      </c>
      <c r="C277" s="55">
        <f t="shared" ref="C277:AH277" si="331">IF(AND(C$127&gt;=$K66,C$127&lt;=$L66),$G66*(1+$H66)^(C$127-$B$5),0)</f>
        <v>0</v>
      </c>
      <c r="D277" s="55">
        <f t="shared" si="331"/>
        <v>0</v>
      </c>
      <c r="E277" s="55">
        <f t="shared" si="331"/>
        <v>0</v>
      </c>
      <c r="F277" s="55">
        <f t="shared" si="331"/>
        <v>1.2428858927479831</v>
      </c>
      <c r="G277" s="55">
        <f t="shared" si="331"/>
        <v>1.2619020469070272</v>
      </c>
      <c r="H277" s="55">
        <f t="shared" si="331"/>
        <v>1.281209148224705</v>
      </c>
      <c r="I277" s="55">
        <f t="shared" si="331"/>
        <v>1.3008116481925429</v>
      </c>
      <c r="J277" s="55">
        <f t="shared" si="331"/>
        <v>1.3207140664098889</v>
      </c>
      <c r="K277" s="55">
        <f t="shared" si="331"/>
        <v>1.3409209916259601</v>
      </c>
      <c r="L277" s="55">
        <f t="shared" si="331"/>
        <v>1.3614370827978375</v>
      </c>
      <c r="M277" s="55">
        <f t="shared" si="331"/>
        <v>1.3822670701646445</v>
      </c>
      <c r="N277" s="55">
        <f t="shared" si="331"/>
        <v>1.4034157563381637</v>
      </c>
      <c r="O277" s="55">
        <f t="shared" si="331"/>
        <v>1.4248880174101377</v>
      </c>
      <c r="P277" s="55">
        <f t="shared" si="331"/>
        <v>1.4466888040765129</v>
      </c>
      <c r="Q277" s="55">
        <f t="shared" si="331"/>
        <v>1.4688231427788836</v>
      </c>
      <c r="R277" s="55">
        <f t="shared" si="331"/>
        <v>1.4912961368634006</v>
      </c>
      <c r="S277" s="55">
        <f t="shared" si="331"/>
        <v>1.5141129677574106</v>
      </c>
      <c r="T277" s="55">
        <f t="shared" si="331"/>
        <v>1.5372788961640991</v>
      </c>
      <c r="U277" s="55">
        <f t="shared" si="331"/>
        <v>1.56079926327541</v>
      </c>
      <c r="V277" s="55">
        <f t="shared" si="331"/>
        <v>1.5846794920035239</v>
      </c>
      <c r="W277" s="55">
        <f t="shared" si="331"/>
        <v>1.6089250882311774</v>
      </c>
      <c r="X277" s="55">
        <f t="shared" si="331"/>
        <v>1.6335416420811149</v>
      </c>
      <c r="Y277" s="55">
        <f t="shared" si="331"/>
        <v>1.6585348292049558</v>
      </c>
      <c r="Z277" s="55">
        <f t="shared" si="331"/>
        <v>1.6839104120917918</v>
      </c>
      <c r="AA277" s="55">
        <f t="shared" si="331"/>
        <v>1.709674241396796</v>
      </c>
      <c r="AB277" s="55">
        <f t="shared" si="331"/>
        <v>1.7358322572901674</v>
      </c>
      <c r="AC277" s="55">
        <f t="shared" si="331"/>
        <v>1.762390490826707</v>
      </c>
      <c r="AD277" s="55">
        <f t="shared" si="331"/>
        <v>1.7893550653363557</v>
      </c>
      <c r="AE277" s="55">
        <f t="shared" si="331"/>
        <v>1.816732197836002</v>
      </c>
      <c r="AF277" s="55">
        <f t="shared" si="331"/>
        <v>1.8445282004628931</v>
      </c>
      <c r="AG277" s="55">
        <f t="shared" si="331"/>
        <v>1.8727494819299753</v>
      </c>
      <c r="AH277" s="55">
        <f t="shared" si="331"/>
        <v>1.901402549003504</v>
      </c>
      <c r="AI277" s="55">
        <f t="shared" ref="AI277:BJ277" si="332">IF(AND(AI$127&gt;=$K66,AI$127&lt;=$L66),$G66*(1+$H66)^(AI$127-$B$5),0)</f>
        <v>1.9304940080032575</v>
      </c>
      <c r="AJ277" s="55">
        <f t="shared" si="332"/>
        <v>1.9600305663257076</v>
      </c>
      <c r="AK277" s="55">
        <f t="shared" si="332"/>
        <v>1.9900190339904911</v>
      </c>
      <c r="AL277" s="55">
        <f t="shared" si="332"/>
        <v>2.0204663252105459</v>
      </c>
      <c r="AM277" s="55">
        <f t="shared" si="332"/>
        <v>2.0513794599862671</v>
      </c>
      <c r="AN277" s="55">
        <f t="shared" si="332"/>
        <v>2.0827655657240571</v>
      </c>
      <c r="AO277" s="55">
        <f t="shared" si="332"/>
        <v>2.114631878879635</v>
      </c>
      <c r="AP277" s="55">
        <f t="shared" si="332"/>
        <v>2.1469857466264934</v>
      </c>
      <c r="AQ277" s="55">
        <f t="shared" si="332"/>
        <v>2.1798346285498789</v>
      </c>
      <c r="AR277" s="55">
        <f t="shared" si="332"/>
        <v>2.2131860983666929</v>
      </c>
      <c r="AS277" s="55">
        <f t="shared" si="332"/>
        <v>2.2470478456717027</v>
      </c>
      <c r="AT277" s="55">
        <f t="shared" si="332"/>
        <v>0</v>
      </c>
      <c r="AU277" s="55">
        <f t="shared" si="332"/>
        <v>0</v>
      </c>
      <c r="AV277" s="55">
        <f t="shared" si="332"/>
        <v>0</v>
      </c>
      <c r="AW277" s="55">
        <f t="shared" si="332"/>
        <v>0</v>
      </c>
      <c r="AX277" s="55">
        <f t="shared" si="332"/>
        <v>0</v>
      </c>
      <c r="AY277" s="55">
        <f t="shared" si="332"/>
        <v>0</v>
      </c>
      <c r="AZ277" s="55">
        <f t="shared" si="332"/>
        <v>0</v>
      </c>
      <c r="BA277" s="55">
        <f t="shared" si="332"/>
        <v>0</v>
      </c>
      <c r="BB277" s="55">
        <f t="shared" si="332"/>
        <v>0</v>
      </c>
      <c r="BC277" s="55">
        <f t="shared" si="332"/>
        <v>0</v>
      </c>
      <c r="BD277" s="55">
        <f t="shared" si="332"/>
        <v>0</v>
      </c>
      <c r="BE277" s="55">
        <f t="shared" si="332"/>
        <v>0</v>
      </c>
      <c r="BF277" s="55">
        <f t="shared" si="332"/>
        <v>0</v>
      </c>
      <c r="BG277" s="55">
        <f t="shared" si="332"/>
        <v>0</v>
      </c>
      <c r="BH277" s="55">
        <f t="shared" si="332"/>
        <v>0</v>
      </c>
      <c r="BI277" s="55">
        <f t="shared" si="332"/>
        <v>0</v>
      </c>
      <c r="BJ277" s="55">
        <f t="shared" si="332"/>
        <v>0</v>
      </c>
    </row>
    <row r="278" spans="1:62" x14ac:dyDescent="0.3">
      <c r="A278" s="53" t="str">
        <f t="shared" si="310"/>
        <v>project 91</v>
      </c>
      <c r="C278" s="55">
        <f t="shared" ref="C278:AH278" si="333">IF(AND(C$127&gt;=$K67,C$127&lt;=$L67),$G67*(1+$H67)^(C$127-$B$5),0)</f>
        <v>0</v>
      </c>
      <c r="D278" s="55">
        <f t="shared" si="333"/>
        <v>0</v>
      </c>
      <c r="E278" s="55">
        <f t="shared" si="333"/>
        <v>0</v>
      </c>
      <c r="F278" s="55">
        <f t="shared" si="333"/>
        <v>0</v>
      </c>
      <c r="G278" s="55">
        <f t="shared" si="333"/>
        <v>0</v>
      </c>
      <c r="H278" s="55">
        <f t="shared" si="333"/>
        <v>0</v>
      </c>
      <c r="I278" s="55">
        <f t="shared" si="333"/>
        <v>0</v>
      </c>
      <c r="J278" s="55">
        <f t="shared" si="333"/>
        <v>0</v>
      </c>
      <c r="K278" s="55">
        <f t="shared" si="333"/>
        <v>0</v>
      </c>
      <c r="L278" s="55">
        <f t="shared" si="333"/>
        <v>0</v>
      </c>
      <c r="M278" s="55">
        <f t="shared" si="333"/>
        <v>0.67995523055561047</v>
      </c>
      <c r="N278" s="55">
        <f t="shared" si="333"/>
        <v>0.6935543351667226</v>
      </c>
      <c r="O278" s="55">
        <f t="shared" si="333"/>
        <v>0.70742542187005719</v>
      </c>
      <c r="P278" s="55">
        <f t="shared" si="333"/>
        <v>0.72157393030745831</v>
      </c>
      <c r="Q278" s="55">
        <f t="shared" si="333"/>
        <v>0.73600540891360755</v>
      </c>
      <c r="R278" s="55">
        <f t="shared" si="333"/>
        <v>0.7507255170918794</v>
      </c>
      <c r="S278" s="55">
        <f t="shared" si="333"/>
        <v>0.76574002743371716</v>
      </c>
      <c r="T278" s="55">
        <f t="shared" si="333"/>
        <v>0.78105482798239156</v>
      </c>
      <c r="U278" s="55">
        <f t="shared" si="333"/>
        <v>0.79667592454203928</v>
      </c>
      <c r="V278" s="55">
        <f t="shared" si="333"/>
        <v>0.81260944303288007</v>
      </c>
      <c r="W278" s="55">
        <f t="shared" si="333"/>
        <v>0.82886163189353779</v>
      </c>
      <c r="X278" s="55">
        <f t="shared" si="333"/>
        <v>0.84543886453140848</v>
      </c>
      <c r="Y278" s="55">
        <f t="shared" si="333"/>
        <v>0.86234764182203671</v>
      </c>
      <c r="Z278" s="55">
        <f t="shared" si="333"/>
        <v>0.87959459465847722</v>
      </c>
      <c r="AA278" s="55">
        <f t="shared" si="333"/>
        <v>0.89718648655164679</v>
      </c>
      <c r="AB278" s="55">
        <f t="shared" si="333"/>
        <v>0.91513021628267976</v>
      </c>
      <c r="AC278" s="55">
        <f t="shared" si="333"/>
        <v>0.93343282060833344</v>
      </c>
      <c r="AD278" s="55">
        <f t="shared" si="333"/>
        <v>0.95210147702049996</v>
      </c>
      <c r="AE278" s="55">
        <f t="shared" si="333"/>
        <v>0.9711435065609102</v>
      </c>
      <c r="AF278" s="55">
        <f t="shared" si="333"/>
        <v>0.99056637669212821</v>
      </c>
      <c r="AG278" s="55">
        <f t="shared" si="333"/>
        <v>1.010377704225971</v>
      </c>
      <c r="AH278" s="55">
        <f t="shared" si="333"/>
        <v>1.03058525831049</v>
      </c>
      <c r="AI278" s="55">
        <f t="shared" ref="AI278:BJ278" si="334">IF(AND(AI$127&gt;=$K67,AI$127&lt;=$L67),$G67*(1+$H67)^(AI$127-$B$5),0)</f>
        <v>1.0511969634767</v>
      </c>
      <c r="AJ278" s="55">
        <f t="shared" si="334"/>
        <v>1.0722209027462342</v>
      </c>
      <c r="AK278" s="55">
        <f t="shared" si="334"/>
        <v>1.0936653208011586</v>
      </c>
      <c r="AL278" s="55">
        <f t="shared" si="334"/>
        <v>1.1155386272171819</v>
      </c>
      <c r="AM278" s="55">
        <f t="shared" si="334"/>
        <v>1.1378493997615255</v>
      </c>
      <c r="AN278" s="55">
        <f t="shared" si="334"/>
        <v>1.1606063877567561</v>
      </c>
      <c r="AO278" s="55">
        <f t="shared" si="334"/>
        <v>1.1838185155118914</v>
      </c>
      <c r="AP278" s="55">
        <f t="shared" si="334"/>
        <v>1.2074948858221288</v>
      </c>
      <c r="AQ278" s="55">
        <f t="shared" si="334"/>
        <v>1.2316447835385715</v>
      </c>
      <c r="AR278" s="55">
        <f t="shared" si="334"/>
        <v>1.2562776792093431</v>
      </c>
      <c r="AS278" s="55">
        <f t="shared" si="334"/>
        <v>1.2814032327935299</v>
      </c>
      <c r="AT278" s="55">
        <f t="shared" si="334"/>
        <v>1.3070312974494003</v>
      </c>
      <c r="AU278" s="55">
        <f t="shared" si="334"/>
        <v>1.3331719233983885</v>
      </c>
      <c r="AV278" s="55">
        <f t="shared" si="334"/>
        <v>1.3598353618663561</v>
      </c>
      <c r="AW278" s="55">
        <f t="shared" si="334"/>
        <v>1.3870320691036835</v>
      </c>
      <c r="AX278" s="55">
        <f t="shared" si="334"/>
        <v>1.4147727104857566</v>
      </c>
      <c r="AY278" s="55">
        <f t="shared" si="334"/>
        <v>1.4430681646954719</v>
      </c>
      <c r="AZ278" s="55">
        <f t="shared" si="334"/>
        <v>1.4719295279893816</v>
      </c>
      <c r="BA278" s="55">
        <f t="shared" si="334"/>
        <v>0</v>
      </c>
      <c r="BB278" s="55">
        <f t="shared" si="334"/>
        <v>0</v>
      </c>
      <c r="BC278" s="55">
        <f t="shared" si="334"/>
        <v>0</v>
      </c>
      <c r="BD278" s="55">
        <f t="shared" si="334"/>
        <v>0</v>
      </c>
      <c r="BE278" s="55">
        <f t="shared" si="334"/>
        <v>0</v>
      </c>
      <c r="BF278" s="55">
        <f t="shared" si="334"/>
        <v>0</v>
      </c>
      <c r="BG278" s="55">
        <f t="shared" si="334"/>
        <v>0</v>
      </c>
      <c r="BH278" s="55">
        <f t="shared" si="334"/>
        <v>0</v>
      </c>
      <c r="BI278" s="55">
        <f t="shared" si="334"/>
        <v>0</v>
      </c>
      <c r="BJ278" s="55">
        <f t="shared" si="334"/>
        <v>0</v>
      </c>
    </row>
    <row r="279" spans="1:62" x14ac:dyDescent="0.3">
      <c r="A279" s="53" t="str">
        <f t="shared" si="310"/>
        <v>project 92</v>
      </c>
      <c r="C279" s="55">
        <f t="shared" ref="C279:AH279" si="335">IF(AND(C$127&gt;=$K68,C$127&lt;=$L68),$G68*(1+$H68)^(C$127-$B$5),0)</f>
        <v>0</v>
      </c>
      <c r="D279" s="55">
        <f t="shared" si="335"/>
        <v>0</v>
      </c>
      <c r="E279" s="55">
        <f t="shared" si="335"/>
        <v>0</v>
      </c>
      <c r="F279" s="55">
        <f t="shared" si="335"/>
        <v>0</v>
      </c>
      <c r="G279" s="55">
        <f t="shared" si="335"/>
        <v>0</v>
      </c>
      <c r="H279" s="55">
        <f t="shared" si="335"/>
        <v>0.71278895530282749</v>
      </c>
      <c r="I279" s="55">
        <f t="shared" si="335"/>
        <v>0.72248288509494596</v>
      </c>
      <c r="J279" s="55">
        <f t="shared" si="335"/>
        <v>0.73230865233223719</v>
      </c>
      <c r="K279" s="55">
        <f t="shared" si="335"/>
        <v>0.74226805000395557</v>
      </c>
      <c r="L279" s="55">
        <f t="shared" si="335"/>
        <v>0.75236289548400948</v>
      </c>
      <c r="M279" s="55">
        <f t="shared" si="335"/>
        <v>0.76259503086259184</v>
      </c>
      <c r="N279" s="55">
        <f t="shared" si="335"/>
        <v>0.77296632328232318</v>
      </c>
      <c r="O279" s="55">
        <f t="shared" si="335"/>
        <v>0.7834786652789627</v>
      </c>
      <c r="P279" s="55">
        <f t="shared" si="335"/>
        <v>0.79413397512675665</v>
      </c>
      <c r="Q279" s="55">
        <f t="shared" si="335"/>
        <v>0.80493419718848058</v>
      </c>
      <c r="R279" s="55">
        <f t="shared" si="335"/>
        <v>0.81588130227024391</v>
      </c>
      <c r="S279" s="55">
        <f t="shared" si="335"/>
        <v>0.82697728798111914</v>
      </c>
      <c r="T279" s="55">
        <f t="shared" si="335"/>
        <v>0.83822417909766234</v>
      </c>
      <c r="U279" s="55">
        <f t="shared" si="335"/>
        <v>0.84962402793339065</v>
      </c>
      <c r="V279" s="55">
        <f t="shared" si="335"/>
        <v>0.86117891471328467</v>
      </c>
      <c r="W279" s="55">
        <f t="shared" si="335"/>
        <v>0.8728909479533854</v>
      </c>
      <c r="X279" s="55">
        <f t="shared" si="335"/>
        <v>0.88476226484555143</v>
      </c>
      <c r="Y279" s="55">
        <f t="shared" si="335"/>
        <v>0.896795031647451</v>
      </c>
      <c r="Z279" s="55">
        <f t="shared" si="335"/>
        <v>0.90899144407785626</v>
      </c>
      <c r="AA279" s="55">
        <f t="shared" si="335"/>
        <v>0.92135372771731516</v>
      </c>
      <c r="AB279" s="55">
        <f t="shared" si="335"/>
        <v>0.93388413841427065</v>
      </c>
      <c r="AC279" s="55">
        <f t="shared" si="335"/>
        <v>0.94658496269670467</v>
      </c>
      <c r="AD279" s="55">
        <f t="shared" si="335"/>
        <v>0.95945851818937977</v>
      </c>
      <c r="AE279" s="55">
        <f t="shared" si="335"/>
        <v>0.97250715403675536</v>
      </c>
      <c r="AF279" s="55">
        <f t="shared" si="335"/>
        <v>0.98573325133165524</v>
      </c>
      <c r="AG279" s="55">
        <f t="shared" si="335"/>
        <v>0.99913922354976592</v>
      </c>
      <c r="AH279" s="55">
        <f t="shared" si="335"/>
        <v>1.0127275169900427</v>
      </c>
      <c r="AI279" s="55">
        <f t="shared" ref="AI279:BJ279" si="336">IF(AND(AI$127&gt;=$K68,AI$127&lt;=$L68),$G68*(1+$H68)^(AI$127-$B$5),0)</f>
        <v>1.0265006112211073</v>
      </c>
      <c r="AJ279" s="55">
        <f t="shared" si="336"/>
        <v>1.0404610195337143</v>
      </c>
      <c r="AK279" s="55">
        <f t="shared" si="336"/>
        <v>1.0546112893993729</v>
      </c>
      <c r="AL279" s="55">
        <f t="shared" si="336"/>
        <v>1.0689540029352043</v>
      </c>
      <c r="AM279" s="55">
        <f t="shared" si="336"/>
        <v>1.0834917773751231</v>
      </c>
      <c r="AN279" s="55">
        <f t="shared" si="336"/>
        <v>1.0982272655474248</v>
      </c>
      <c r="AO279" s="55">
        <f t="shared" si="336"/>
        <v>1.1131631563588698</v>
      </c>
      <c r="AP279" s="55">
        <f t="shared" si="336"/>
        <v>1.1283021752853504</v>
      </c>
      <c r="AQ279" s="55">
        <f t="shared" si="336"/>
        <v>1.1436470848692311</v>
      </c>
      <c r="AR279" s="55">
        <f t="shared" si="336"/>
        <v>1.1592006852234527</v>
      </c>
      <c r="AS279" s="55">
        <f t="shared" si="336"/>
        <v>1.1749658145424915</v>
      </c>
      <c r="AT279" s="55">
        <f t="shared" si="336"/>
        <v>1.1909453496202695</v>
      </c>
      <c r="AU279" s="55">
        <f t="shared" si="336"/>
        <v>1.2071422063751052</v>
      </c>
      <c r="AV279" s="55">
        <f t="shared" si="336"/>
        <v>0</v>
      </c>
      <c r="AW279" s="55">
        <f t="shared" si="336"/>
        <v>0</v>
      </c>
      <c r="AX279" s="55">
        <f t="shared" si="336"/>
        <v>0</v>
      </c>
      <c r="AY279" s="55">
        <f t="shared" si="336"/>
        <v>0</v>
      </c>
      <c r="AZ279" s="55">
        <f t="shared" si="336"/>
        <v>0</v>
      </c>
      <c r="BA279" s="55">
        <f t="shared" si="336"/>
        <v>0</v>
      </c>
      <c r="BB279" s="55">
        <f t="shared" si="336"/>
        <v>0</v>
      </c>
      <c r="BC279" s="55">
        <f t="shared" si="336"/>
        <v>0</v>
      </c>
      <c r="BD279" s="55">
        <f t="shared" si="336"/>
        <v>0</v>
      </c>
      <c r="BE279" s="55">
        <f t="shared" si="336"/>
        <v>0</v>
      </c>
      <c r="BF279" s="55">
        <f t="shared" si="336"/>
        <v>0</v>
      </c>
      <c r="BG279" s="55">
        <f t="shared" si="336"/>
        <v>0</v>
      </c>
      <c r="BH279" s="55">
        <f t="shared" si="336"/>
        <v>0</v>
      </c>
      <c r="BI279" s="55">
        <f t="shared" si="336"/>
        <v>0</v>
      </c>
      <c r="BJ279" s="55">
        <f t="shared" si="336"/>
        <v>0</v>
      </c>
    </row>
    <row r="280" spans="1:62" x14ac:dyDescent="0.3">
      <c r="A280" s="53" t="str">
        <f t="shared" si="310"/>
        <v>project 98</v>
      </c>
      <c r="C280" s="55">
        <f t="shared" ref="C280:AH280" si="337">IF(AND(C$127&gt;=$K69,C$127&lt;=$L69),$G69*(1+$H69)^(C$127-$B$5),0)</f>
        <v>0</v>
      </c>
      <c r="D280" s="55">
        <f t="shared" si="337"/>
        <v>0</v>
      </c>
      <c r="E280" s="55">
        <f t="shared" si="337"/>
        <v>0</v>
      </c>
      <c r="F280" s="55">
        <f t="shared" si="337"/>
        <v>0</v>
      </c>
      <c r="G280" s="55">
        <f t="shared" si="337"/>
        <v>0</v>
      </c>
      <c r="H280" s="55">
        <f t="shared" si="337"/>
        <v>0</v>
      </c>
      <c r="I280" s="55">
        <f t="shared" si="337"/>
        <v>0</v>
      </c>
      <c r="J280" s="55">
        <f t="shared" si="337"/>
        <v>0</v>
      </c>
      <c r="K280" s="55">
        <f t="shared" si="337"/>
        <v>0</v>
      </c>
      <c r="L280" s="55">
        <f t="shared" si="337"/>
        <v>0</v>
      </c>
      <c r="M280" s="55">
        <f t="shared" si="337"/>
        <v>0</v>
      </c>
      <c r="N280" s="55">
        <f t="shared" si="337"/>
        <v>0</v>
      </c>
      <c r="O280" s="55">
        <f t="shared" si="337"/>
        <v>0</v>
      </c>
      <c r="P280" s="55">
        <f t="shared" si="337"/>
        <v>1.9940250906064427</v>
      </c>
      <c r="Q280" s="55">
        <f t="shared" si="337"/>
        <v>2.0504560006706054</v>
      </c>
      <c r="R280" s="55">
        <f t="shared" si="337"/>
        <v>2.1084839054895834</v>
      </c>
      <c r="S280" s="55">
        <f t="shared" si="337"/>
        <v>2.1681540000149386</v>
      </c>
      <c r="T280" s="55">
        <f t="shared" si="337"/>
        <v>2.2295127582153613</v>
      </c>
      <c r="U280" s="55">
        <f t="shared" si="337"/>
        <v>2.2926079692728565</v>
      </c>
      <c r="V280" s="55">
        <f t="shared" si="337"/>
        <v>2.357488774803278</v>
      </c>
      <c r="W280" s="55">
        <f t="shared" si="337"/>
        <v>2.4242057071302114</v>
      </c>
      <c r="X280" s="55">
        <f t="shared" si="337"/>
        <v>2.4928107286419965</v>
      </c>
      <c r="Y280" s="55">
        <f t="shared" si="337"/>
        <v>2.5633572722625648</v>
      </c>
      <c r="Z280" s="55">
        <f t="shared" si="337"/>
        <v>2.6359002830675955</v>
      </c>
      <c r="AA280" s="55">
        <f t="shared" si="337"/>
        <v>2.7104962610784087</v>
      </c>
      <c r="AB280" s="55">
        <f t="shared" si="337"/>
        <v>2.7872033052669281</v>
      </c>
      <c r="AC280" s="55">
        <f t="shared" si="337"/>
        <v>2.866081158805982</v>
      </c>
      <c r="AD280" s="55">
        <f t="shared" si="337"/>
        <v>2.9471912556001909</v>
      </c>
      <c r="AE280" s="55">
        <f t="shared" si="337"/>
        <v>3.0305967681336772</v>
      </c>
      <c r="AF280" s="55">
        <f t="shared" si="337"/>
        <v>3.1163626566718601</v>
      </c>
      <c r="AG280" s="55">
        <f t="shared" si="337"/>
        <v>3.2045557198556738</v>
      </c>
      <c r="AH280" s="55">
        <f t="shared" si="337"/>
        <v>3.2952446467275891</v>
      </c>
      <c r="AI280" s="55">
        <f t="shared" ref="AI280:BJ280" si="338">IF(AND(AI$127&gt;=$K69,AI$127&lt;=$L69),$G69*(1+$H69)^(AI$127-$B$5),0)</f>
        <v>3.3885000702299806</v>
      </c>
      <c r="AJ280" s="55">
        <f t="shared" si="338"/>
        <v>3.4843946222174886</v>
      </c>
      <c r="AK280" s="55">
        <f t="shared" si="338"/>
        <v>3.5830029900262441</v>
      </c>
      <c r="AL280" s="55">
        <f t="shared" si="338"/>
        <v>3.6844019746439867</v>
      </c>
      <c r="AM280" s="55">
        <f t="shared" si="338"/>
        <v>3.7886705505264118</v>
      </c>
      <c r="AN280" s="55">
        <f t="shared" si="338"/>
        <v>3.8958899271063094</v>
      </c>
      <c r="AO280" s="55">
        <f t="shared" si="338"/>
        <v>4.0061436120434184</v>
      </c>
      <c r="AP280" s="55">
        <f t="shared" si="338"/>
        <v>4.1195174762642468</v>
      </c>
      <c r="AQ280" s="55">
        <f t="shared" si="338"/>
        <v>4.2360998208425249</v>
      </c>
      <c r="AR280" s="55">
        <f t="shared" si="338"/>
        <v>4.3559814457723691</v>
      </c>
      <c r="AS280" s="55">
        <f t="shared" si="338"/>
        <v>4.4792557206877275</v>
      </c>
      <c r="AT280" s="55">
        <f t="shared" si="338"/>
        <v>4.6060186575831894</v>
      </c>
      <c r="AU280" s="55">
        <f t="shared" si="338"/>
        <v>4.7363689855927946</v>
      </c>
      <c r="AV280" s="55">
        <f t="shared" si="338"/>
        <v>4.8704082278850702</v>
      </c>
      <c r="AW280" s="55">
        <f t="shared" si="338"/>
        <v>5.0082407807342184</v>
      </c>
      <c r="AX280" s="55">
        <f t="shared" si="338"/>
        <v>5.1499739948289971</v>
      </c>
      <c r="AY280" s="55">
        <f t="shared" si="338"/>
        <v>5.2957182588826583</v>
      </c>
      <c r="AZ280" s="55">
        <f t="shared" si="338"/>
        <v>5.4455870856090369</v>
      </c>
      <c r="BA280" s="55">
        <f t="shared" si="338"/>
        <v>5.5996972001317724</v>
      </c>
      <c r="BB280" s="55">
        <f t="shared" si="338"/>
        <v>5.7581686308955016</v>
      </c>
      <c r="BC280" s="55">
        <f t="shared" si="338"/>
        <v>5.9211248031498469</v>
      </c>
      <c r="BD280" s="55">
        <f t="shared" si="338"/>
        <v>0</v>
      </c>
      <c r="BE280" s="55">
        <f t="shared" si="338"/>
        <v>0</v>
      </c>
      <c r="BF280" s="55">
        <f t="shared" si="338"/>
        <v>0</v>
      </c>
      <c r="BG280" s="55">
        <f t="shared" si="338"/>
        <v>0</v>
      </c>
      <c r="BH280" s="55">
        <f t="shared" si="338"/>
        <v>0</v>
      </c>
      <c r="BI280" s="55">
        <f t="shared" si="338"/>
        <v>0</v>
      </c>
      <c r="BJ280" s="55">
        <f t="shared" si="338"/>
        <v>0</v>
      </c>
    </row>
    <row r="281" spans="1:62" x14ac:dyDescent="0.3">
      <c r="A281" s="53" t="str">
        <f t="shared" si="310"/>
        <v>project 100</v>
      </c>
      <c r="C281" s="55">
        <f t="shared" ref="C281:AH281" si="339">IF(AND(C$127&gt;=$K70,C$127&lt;=$L70),$G70*(1+$H70)^(C$127-$B$5),0)</f>
        <v>0</v>
      </c>
      <c r="D281" s="55">
        <f t="shared" si="339"/>
        <v>0</v>
      </c>
      <c r="E281" s="55">
        <f t="shared" si="339"/>
        <v>0</v>
      </c>
      <c r="F281" s="55">
        <f t="shared" si="339"/>
        <v>0</v>
      </c>
      <c r="G281" s="55">
        <f t="shared" si="339"/>
        <v>0</v>
      </c>
      <c r="H281" s="55">
        <f t="shared" si="339"/>
        <v>0</v>
      </c>
      <c r="I281" s="55">
        <f t="shared" si="339"/>
        <v>0</v>
      </c>
      <c r="J281" s="55">
        <f t="shared" si="339"/>
        <v>0</v>
      </c>
      <c r="K281" s="55">
        <f t="shared" si="339"/>
        <v>0</v>
      </c>
      <c r="L281" s="55">
        <f t="shared" si="339"/>
        <v>0</v>
      </c>
      <c r="M281" s="55">
        <f t="shared" si="339"/>
        <v>0</v>
      </c>
      <c r="N281" s="55">
        <f t="shared" si="339"/>
        <v>0</v>
      </c>
      <c r="O281" s="55">
        <f t="shared" si="339"/>
        <v>0</v>
      </c>
      <c r="P281" s="55">
        <f t="shared" si="339"/>
        <v>0</v>
      </c>
      <c r="Q281" s="55">
        <f t="shared" si="339"/>
        <v>2.1316772477626387</v>
      </c>
      <c r="R281" s="55">
        <f t="shared" si="339"/>
        <v>2.1900852043513352</v>
      </c>
      <c r="S281" s="55">
        <f t="shared" si="339"/>
        <v>2.2500935389505621</v>
      </c>
      <c r="T281" s="55">
        <f t="shared" si="339"/>
        <v>2.3117461019178078</v>
      </c>
      <c r="U281" s="55">
        <f t="shared" si="339"/>
        <v>2.3750879451103559</v>
      </c>
      <c r="V281" s="55">
        <f t="shared" si="339"/>
        <v>2.4401653548063802</v>
      </c>
      <c r="W281" s="55">
        <f t="shared" si="339"/>
        <v>2.5070258855280749</v>
      </c>
      <c r="X281" s="55">
        <f t="shared" si="339"/>
        <v>2.5757183947915441</v>
      </c>
      <c r="Y281" s="55">
        <f t="shared" si="339"/>
        <v>2.6462930788088328</v>
      </c>
      <c r="Z281" s="55">
        <f t="shared" si="339"/>
        <v>2.7188015091681956</v>
      </c>
      <c r="AA281" s="55">
        <f t="shared" si="339"/>
        <v>2.7932966705194042</v>
      </c>
      <c r="AB281" s="55">
        <f t="shared" si="339"/>
        <v>2.8698329992916358</v>
      </c>
      <c r="AC281" s="55">
        <f t="shared" si="339"/>
        <v>2.9484664234722273</v>
      </c>
      <c r="AD281" s="55">
        <f t="shared" si="339"/>
        <v>3.0292544034753668</v>
      </c>
      <c r="AE281" s="55">
        <f t="shared" si="339"/>
        <v>3.1122559741305915</v>
      </c>
      <c r="AF281" s="55">
        <f t="shared" si="339"/>
        <v>3.1975317878217702</v>
      </c>
      <c r="AG281" s="55">
        <f t="shared" si="339"/>
        <v>3.285144158808087</v>
      </c>
      <c r="AH281" s="55">
        <f t="shared" si="339"/>
        <v>3.3751571087594296</v>
      </c>
      <c r="AI281" s="55">
        <f t="shared" ref="AI281:BJ281" si="340">IF(AND(AI$127&gt;=$K70,AI$127&lt;=$L70),$G70*(1+$H70)^(AI$127-$B$5),0)</f>
        <v>3.467636413539438</v>
      </c>
      <c r="AJ281" s="55">
        <f t="shared" si="340"/>
        <v>3.5626496512704189</v>
      </c>
      <c r="AK281" s="55">
        <f t="shared" si="340"/>
        <v>3.6602662517152287</v>
      </c>
      <c r="AL281" s="55">
        <f t="shared" si="340"/>
        <v>3.760557547012227</v>
      </c>
      <c r="AM281" s="55">
        <f t="shared" si="340"/>
        <v>3.8635968238003615</v>
      </c>
      <c r="AN281" s="55">
        <f t="shared" si="340"/>
        <v>3.9694593767724915</v>
      </c>
      <c r="AO281" s="55">
        <f t="shared" si="340"/>
        <v>4.078222563696059</v>
      </c>
      <c r="AP281" s="55">
        <f t="shared" si="340"/>
        <v>4.1899658619413316</v>
      </c>
      <c r="AQ281" s="55">
        <f t="shared" si="340"/>
        <v>4.3047709265585246</v>
      </c>
      <c r="AR281" s="55">
        <f t="shared" si="340"/>
        <v>4.4227216499462276</v>
      </c>
      <c r="AS281" s="55">
        <f t="shared" si="340"/>
        <v>4.5439042231547555</v>
      </c>
      <c r="AT281" s="55">
        <f t="shared" si="340"/>
        <v>4.668407198869196</v>
      </c>
      <c r="AU281" s="55">
        <f t="shared" si="340"/>
        <v>4.7963215561182118</v>
      </c>
      <c r="AV281" s="55">
        <f t="shared" si="340"/>
        <v>4.9277407667558517</v>
      </c>
      <c r="AW281" s="55">
        <f t="shared" si="340"/>
        <v>5.0627608637649617</v>
      </c>
      <c r="AX281" s="55">
        <f t="shared" si="340"/>
        <v>5.2014805114321243</v>
      </c>
      <c r="AY281" s="55">
        <f t="shared" si="340"/>
        <v>5.3440010774453643</v>
      </c>
      <c r="AZ281" s="55">
        <f t="shared" si="340"/>
        <v>5.4904267069673676</v>
      </c>
      <c r="BA281" s="55">
        <f t="shared" si="340"/>
        <v>5.6408643987382741</v>
      </c>
      <c r="BB281" s="55">
        <f t="shared" si="340"/>
        <v>5.7954240832637041</v>
      </c>
      <c r="BC281" s="55">
        <f t="shared" si="340"/>
        <v>5.9542187031451288</v>
      </c>
      <c r="BD281" s="55">
        <f t="shared" si="340"/>
        <v>6.1173642956113055</v>
      </c>
      <c r="BE281" s="55">
        <f t="shared" si="340"/>
        <v>0</v>
      </c>
      <c r="BF281" s="55">
        <f t="shared" si="340"/>
        <v>0</v>
      </c>
      <c r="BG281" s="55">
        <f t="shared" si="340"/>
        <v>0</v>
      </c>
      <c r="BH281" s="55">
        <f t="shared" si="340"/>
        <v>0</v>
      </c>
      <c r="BI281" s="55">
        <f t="shared" si="340"/>
        <v>0</v>
      </c>
      <c r="BJ281" s="55">
        <f t="shared" si="340"/>
        <v>0</v>
      </c>
    </row>
    <row r="282" spans="1:62" x14ac:dyDescent="0.3">
      <c r="A282" s="53" t="str">
        <f t="shared" si="310"/>
        <v>project 101</v>
      </c>
      <c r="C282" s="55">
        <f t="shared" ref="C282:AH282" si="341">IF(AND(C$127&gt;=$K71,C$127&lt;=$L71),$G71*(1+$H71)^(C$127-$B$5),0)</f>
        <v>0</v>
      </c>
      <c r="D282" s="55">
        <f t="shared" si="341"/>
        <v>0</v>
      </c>
      <c r="E282" s="55">
        <f t="shared" si="341"/>
        <v>0</v>
      </c>
      <c r="F282" s="55">
        <f t="shared" si="341"/>
        <v>0</v>
      </c>
      <c r="G282" s="55">
        <f t="shared" si="341"/>
        <v>0</v>
      </c>
      <c r="H282" s="55">
        <f t="shared" si="341"/>
        <v>0</v>
      </c>
      <c r="I282" s="55">
        <f t="shared" si="341"/>
        <v>0</v>
      </c>
      <c r="J282" s="55">
        <f t="shared" si="341"/>
        <v>0.61618240363882015</v>
      </c>
      <c r="K282" s="55">
        <f t="shared" si="341"/>
        <v>0.62604132209704133</v>
      </c>
      <c r="L282" s="55">
        <f t="shared" si="341"/>
        <v>0.63605798325059404</v>
      </c>
      <c r="M282" s="55">
        <f t="shared" si="341"/>
        <v>0.64623491098260355</v>
      </c>
      <c r="N282" s="55">
        <f t="shared" si="341"/>
        <v>0.65657466955832511</v>
      </c>
      <c r="O282" s="55">
        <f t="shared" si="341"/>
        <v>0.66707986427125843</v>
      </c>
      <c r="P282" s="55">
        <f t="shared" si="341"/>
        <v>0.67775314209959858</v>
      </c>
      <c r="Q282" s="55">
        <f t="shared" si="341"/>
        <v>0.68859719237319206</v>
      </c>
      <c r="R282" s="55">
        <f t="shared" si="341"/>
        <v>0.69961474745116314</v>
      </c>
      <c r="S282" s="55">
        <f t="shared" si="341"/>
        <v>0.71080858341038178</v>
      </c>
      <c r="T282" s="55">
        <f t="shared" si="341"/>
        <v>0.7221815207449479</v>
      </c>
      <c r="U282" s="55">
        <f t="shared" si="341"/>
        <v>0.73373642507686698</v>
      </c>
      <c r="V282" s="55">
        <f t="shared" si="341"/>
        <v>0.74547620787809687</v>
      </c>
      <c r="W282" s="55">
        <f t="shared" si="341"/>
        <v>0.75740382720414645</v>
      </c>
      <c r="X282" s="55">
        <f t="shared" si="341"/>
        <v>0.76952228843941284</v>
      </c>
      <c r="Y282" s="55">
        <f t="shared" si="341"/>
        <v>0.78183464505444333</v>
      </c>
      <c r="Z282" s="55">
        <f t="shared" si="341"/>
        <v>0.79434399937531452</v>
      </c>
      <c r="AA282" s="55">
        <f t="shared" si="341"/>
        <v>0.80705350336531967</v>
      </c>
      <c r="AB282" s="55">
        <f t="shared" si="341"/>
        <v>0.81996635941916485</v>
      </c>
      <c r="AC282" s="55">
        <f t="shared" si="341"/>
        <v>0.83308582116987151</v>
      </c>
      <c r="AD282" s="55">
        <f t="shared" si="341"/>
        <v>0.84641519430858925</v>
      </c>
      <c r="AE282" s="55">
        <f t="shared" si="341"/>
        <v>0.85995783741752685</v>
      </c>
      <c r="AF282" s="55">
        <f t="shared" si="341"/>
        <v>0.87371716281620726</v>
      </c>
      <c r="AG282" s="55">
        <f t="shared" si="341"/>
        <v>0.88769663742126659</v>
      </c>
      <c r="AH282" s="55">
        <f t="shared" si="341"/>
        <v>0.90189978362000678</v>
      </c>
      <c r="AI282" s="55">
        <f t="shared" ref="AI282:BJ282" si="342">IF(AND(AI$127&gt;=$K71,AI$127&lt;=$L71),$G71*(1+$H71)^(AI$127-$B$5),0)</f>
        <v>0.91633018015792689</v>
      </c>
      <c r="AJ282" s="55">
        <f t="shared" si="342"/>
        <v>0.93099146304045377</v>
      </c>
      <c r="AK282" s="55">
        <f t="shared" si="342"/>
        <v>0.94588732644910101</v>
      </c>
      <c r="AL282" s="55">
        <f t="shared" si="342"/>
        <v>0.96102152367228666</v>
      </c>
      <c r="AM282" s="55">
        <f t="shared" si="342"/>
        <v>0.97639786805104323</v>
      </c>
      <c r="AN282" s="55">
        <f t="shared" si="342"/>
        <v>0.99202023393986005</v>
      </c>
      <c r="AO282" s="55">
        <f t="shared" si="342"/>
        <v>1.0078925576828976</v>
      </c>
      <c r="AP282" s="55">
        <f t="shared" si="342"/>
        <v>1.024018838605824</v>
      </c>
      <c r="AQ282" s="55">
        <f t="shared" si="342"/>
        <v>1.0404031400235172</v>
      </c>
      <c r="AR282" s="55">
        <f t="shared" si="342"/>
        <v>1.0570495902638937</v>
      </c>
      <c r="AS282" s="55">
        <f t="shared" si="342"/>
        <v>1.073962383708116</v>
      </c>
      <c r="AT282" s="55">
        <f t="shared" si="342"/>
        <v>1.0911457818474457</v>
      </c>
      <c r="AU282" s="55">
        <f t="shared" si="342"/>
        <v>1.1086041143570049</v>
      </c>
      <c r="AV282" s="55">
        <f t="shared" si="342"/>
        <v>1.126341780186717</v>
      </c>
      <c r="AW282" s="55">
        <f t="shared" si="342"/>
        <v>1.1443632486697046</v>
      </c>
      <c r="AX282" s="55">
        <f t="shared" si="342"/>
        <v>0</v>
      </c>
      <c r="AY282" s="55">
        <f t="shared" si="342"/>
        <v>0</v>
      </c>
      <c r="AZ282" s="55">
        <f t="shared" si="342"/>
        <v>0</v>
      </c>
      <c r="BA282" s="55">
        <f t="shared" si="342"/>
        <v>0</v>
      </c>
      <c r="BB282" s="55">
        <f t="shared" si="342"/>
        <v>0</v>
      </c>
      <c r="BC282" s="55">
        <f t="shared" si="342"/>
        <v>0</v>
      </c>
      <c r="BD282" s="55">
        <f t="shared" si="342"/>
        <v>0</v>
      </c>
      <c r="BE282" s="55">
        <f t="shared" si="342"/>
        <v>0</v>
      </c>
      <c r="BF282" s="55">
        <f t="shared" si="342"/>
        <v>0</v>
      </c>
      <c r="BG282" s="55">
        <f t="shared" si="342"/>
        <v>0</v>
      </c>
      <c r="BH282" s="55">
        <f t="shared" si="342"/>
        <v>0</v>
      </c>
      <c r="BI282" s="55">
        <f t="shared" si="342"/>
        <v>0</v>
      </c>
      <c r="BJ282" s="55">
        <f t="shared" si="342"/>
        <v>0</v>
      </c>
    </row>
    <row r="283" spans="1:62" x14ac:dyDescent="0.3">
      <c r="A283" s="53" t="str">
        <f t="shared" si="310"/>
        <v>project 103</v>
      </c>
      <c r="C283" s="55">
        <f t="shared" ref="C283:AH283" si="343">IF(AND(C$127&gt;=$K72,C$127&lt;=$L72),$G72*(1+$H72)^(C$127-$B$5),0)</f>
        <v>0</v>
      </c>
      <c r="D283" s="55">
        <f t="shared" si="343"/>
        <v>0</v>
      </c>
      <c r="E283" s="55">
        <f t="shared" si="343"/>
        <v>0</v>
      </c>
      <c r="F283" s="55">
        <f t="shared" si="343"/>
        <v>0</v>
      </c>
      <c r="G283" s="55">
        <f t="shared" si="343"/>
        <v>0</v>
      </c>
      <c r="H283" s="55">
        <f t="shared" si="343"/>
        <v>0</v>
      </c>
      <c r="I283" s="55">
        <f t="shared" si="343"/>
        <v>0</v>
      </c>
      <c r="J283" s="55">
        <f t="shared" si="343"/>
        <v>0</v>
      </c>
      <c r="K283" s="55">
        <f t="shared" si="343"/>
        <v>0</v>
      </c>
      <c r="L283" s="55">
        <f t="shared" si="343"/>
        <v>0</v>
      </c>
      <c r="M283" s="55">
        <f t="shared" si="343"/>
        <v>0.18754820556489171</v>
      </c>
      <c r="N283" s="55">
        <f t="shared" si="343"/>
        <v>0.19182430465177122</v>
      </c>
      <c r="O283" s="55">
        <f t="shared" si="343"/>
        <v>0.19619789879783159</v>
      </c>
      <c r="P283" s="55">
        <f t="shared" si="343"/>
        <v>0.20067121089042214</v>
      </c>
      <c r="Q283" s="55">
        <f t="shared" si="343"/>
        <v>0.20524651449872372</v>
      </c>
      <c r="R283" s="55">
        <f t="shared" si="343"/>
        <v>0.20992613502929464</v>
      </c>
      <c r="S283" s="55">
        <f t="shared" si="343"/>
        <v>0.21471245090796248</v>
      </c>
      <c r="T283" s="55">
        <f t="shared" si="343"/>
        <v>0.21960789478866402</v>
      </c>
      <c r="U283" s="55">
        <f t="shared" si="343"/>
        <v>0.22461495478984556</v>
      </c>
      <c r="V283" s="55">
        <f t="shared" si="343"/>
        <v>0.22973617575905397</v>
      </c>
      <c r="W283" s="55">
        <f t="shared" si="343"/>
        <v>0.23497416056636039</v>
      </c>
      <c r="X283" s="55">
        <f t="shared" si="343"/>
        <v>0.2403315714272734</v>
      </c>
      <c r="Y283" s="55">
        <f t="shared" si="343"/>
        <v>0.24581113125581522</v>
      </c>
      <c r="Z283" s="55">
        <f t="shared" si="343"/>
        <v>0.25141562504844778</v>
      </c>
      <c r="AA283" s="55">
        <f t="shared" si="343"/>
        <v>0.25714790129955234</v>
      </c>
      <c r="AB283" s="55">
        <f t="shared" si="343"/>
        <v>0.26301087344918211</v>
      </c>
      <c r="AC283" s="55">
        <f t="shared" si="343"/>
        <v>0.26900752136382339</v>
      </c>
      <c r="AD283" s="55">
        <f t="shared" si="343"/>
        <v>0.27514089285091853</v>
      </c>
      <c r="AE283" s="55">
        <f t="shared" si="343"/>
        <v>0.28141410520791943</v>
      </c>
      <c r="AF283" s="55">
        <f t="shared" si="343"/>
        <v>0.28783034680665998</v>
      </c>
      <c r="AG283" s="55">
        <f t="shared" si="343"/>
        <v>0.29439287871385178</v>
      </c>
      <c r="AH283" s="55">
        <f t="shared" si="343"/>
        <v>0.30110503634852759</v>
      </c>
      <c r="AI283" s="55">
        <f t="shared" ref="AI283:BJ283" si="344">IF(AND(AI$127&gt;=$K72,AI$127&lt;=$L72),$G72*(1+$H72)^(AI$127-$B$5),0)</f>
        <v>0.30797023117727396</v>
      </c>
      <c r="AJ283" s="55">
        <f t="shared" si="344"/>
        <v>0.31499195244811579</v>
      </c>
      <c r="AK283" s="55">
        <f t="shared" si="344"/>
        <v>0.32217376896393274</v>
      </c>
      <c r="AL283" s="55">
        <f t="shared" si="344"/>
        <v>0.32951933089631041</v>
      </c>
      <c r="AM283" s="55">
        <f t="shared" si="344"/>
        <v>0.33703237164074623</v>
      </c>
      <c r="AN283" s="55">
        <f t="shared" si="344"/>
        <v>0.34471670971415524</v>
      </c>
      <c r="AO283" s="55">
        <f t="shared" si="344"/>
        <v>0.35257625069563786</v>
      </c>
      <c r="AP283" s="55">
        <f t="shared" si="344"/>
        <v>0.36061498921149843</v>
      </c>
      <c r="AQ283" s="55">
        <f t="shared" si="344"/>
        <v>0.36883701096552052</v>
      </c>
      <c r="AR283" s="55">
        <f t="shared" si="344"/>
        <v>0.37724649481553441</v>
      </c>
      <c r="AS283" s="55">
        <f t="shared" si="344"/>
        <v>0.38584771489732844</v>
      </c>
      <c r="AT283" s="55">
        <f t="shared" si="344"/>
        <v>0.39464504279698753</v>
      </c>
      <c r="AU283" s="55">
        <f t="shared" si="344"/>
        <v>0.40364294977275877</v>
      </c>
      <c r="AV283" s="55">
        <f t="shared" si="344"/>
        <v>0.41284600902757768</v>
      </c>
      <c r="AW283" s="55">
        <f t="shared" si="344"/>
        <v>0.42225889803340638</v>
      </c>
      <c r="AX283" s="55">
        <f t="shared" si="344"/>
        <v>0.43188640090856806</v>
      </c>
      <c r="AY283" s="55">
        <f t="shared" si="344"/>
        <v>0.44173341084928325</v>
      </c>
      <c r="AZ283" s="55">
        <f t="shared" si="344"/>
        <v>0.45180493261664689</v>
      </c>
      <c r="BA283" s="55">
        <f t="shared" si="344"/>
        <v>0</v>
      </c>
      <c r="BB283" s="55">
        <f t="shared" si="344"/>
        <v>0</v>
      </c>
      <c r="BC283" s="55">
        <f t="shared" si="344"/>
        <v>0</v>
      </c>
      <c r="BD283" s="55">
        <f t="shared" si="344"/>
        <v>0</v>
      </c>
      <c r="BE283" s="55">
        <f t="shared" si="344"/>
        <v>0</v>
      </c>
      <c r="BF283" s="55">
        <f t="shared" si="344"/>
        <v>0</v>
      </c>
      <c r="BG283" s="55">
        <f t="shared" si="344"/>
        <v>0</v>
      </c>
      <c r="BH283" s="55">
        <f t="shared" si="344"/>
        <v>0</v>
      </c>
      <c r="BI283" s="55">
        <f t="shared" si="344"/>
        <v>0</v>
      </c>
      <c r="BJ283" s="55">
        <f t="shared" si="344"/>
        <v>0</v>
      </c>
    </row>
    <row r="284" spans="1:62" x14ac:dyDescent="0.3">
      <c r="A284" s="53" t="str">
        <f t="shared" si="310"/>
        <v>project 104</v>
      </c>
      <c r="C284" s="55">
        <f t="shared" ref="C284:AH284" si="345">IF(AND(C$127&gt;=$K73,C$127&lt;=$L73),$G73*(1+$H73)^(C$127-$B$5),0)</f>
        <v>0</v>
      </c>
      <c r="D284" s="55">
        <f t="shared" si="345"/>
        <v>0</v>
      </c>
      <c r="E284" s="55">
        <f t="shared" si="345"/>
        <v>0</v>
      </c>
      <c r="F284" s="55">
        <f t="shared" si="345"/>
        <v>0</v>
      </c>
      <c r="G284" s="55">
        <f t="shared" si="345"/>
        <v>0</v>
      </c>
      <c r="H284" s="55">
        <f t="shared" si="345"/>
        <v>0</v>
      </c>
      <c r="I284" s="55">
        <f t="shared" si="345"/>
        <v>0</v>
      </c>
      <c r="J284" s="55">
        <f t="shared" si="345"/>
        <v>0</v>
      </c>
      <c r="K284" s="55">
        <f t="shared" si="345"/>
        <v>0</v>
      </c>
      <c r="L284" s="55">
        <f t="shared" si="345"/>
        <v>0</v>
      </c>
      <c r="M284" s="55">
        <f t="shared" si="345"/>
        <v>0</v>
      </c>
      <c r="N284" s="55">
        <f t="shared" si="345"/>
        <v>6.7501301844478653E-2</v>
      </c>
      <c r="O284" s="55">
        <f t="shared" si="345"/>
        <v>6.899983074542608E-2</v>
      </c>
      <c r="P284" s="55">
        <f t="shared" si="345"/>
        <v>7.0531626987974536E-2</v>
      </c>
      <c r="Q284" s="55">
        <f t="shared" si="345"/>
        <v>7.2097429107107577E-2</v>
      </c>
      <c r="R284" s="55">
        <f t="shared" si="345"/>
        <v>7.3697992033285351E-2</v>
      </c>
      <c r="S284" s="55">
        <f t="shared" si="345"/>
        <v>7.5334087456424295E-2</v>
      </c>
      <c r="T284" s="55">
        <f t="shared" si="345"/>
        <v>7.7006504197956918E-2</v>
      </c>
      <c r="U284" s="55">
        <f t="shared" si="345"/>
        <v>7.8716048591151555E-2</v>
      </c>
      <c r="V284" s="55">
        <f t="shared" si="345"/>
        <v>8.0463544869875114E-2</v>
      </c>
      <c r="W284" s="55">
        <f t="shared" si="345"/>
        <v>8.2249835565986348E-2</v>
      </c>
      <c r="X284" s="55">
        <f t="shared" si="345"/>
        <v>8.4075781915551234E-2</v>
      </c>
      <c r="Y284" s="55">
        <f t="shared" si="345"/>
        <v>8.5942264274076474E-2</v>
      </c>
      <c r="Z284" s="55">
        <f t="shared" si="345"/>
        <v>8.7850182540960955E-2</v>
      </c>
      <c r="AA284" s="55">
        <f t="shared" si="345"/>
        <v>8.9800456593370312E-2</v>
      </c>
      <c r="AB284" s="55">
        <f t="shared" si="345"/>
        <v>9.1794026729743142E-2</v>
      </c>
      <c r="AC284" s="55">
        <f t="shared" si="345"/>
        <v>9.3831854123143418E-2</v>
      </c>
      <c r="AD284" s="55">
        <f t="shared" si="345"/>
        <v>9.5914921284677199E-2</v>
      </c>
      <c r="AE284" s="55">
        <f t="shared" si="345"/>
        <v>9.8044232537197032E-2</v>
      </c>
      <c r="AF284" s="55">
        <f t="shared" si="345"/>
        <v>0.1002208144995228</v>
      </c>
      <c r="AG284" s="55">
        <f t="shared" si="345"/>
        <v>0.10244571658141223</v>
      </c>
      <c r="AH284" s="55">
        <f t="shared" si="345"/>
        <v>0.10472001148951955</v>
      </c>
      <c r="AI284" s="55">
        <f t="shared" ref="AI284:BJ284" si="346">IF(AND(AI$127&gt;=$K73,AI$127&lt;=$L73),$G73*(1+$H73)^(AI$127-$B$5),0)</f>
        <v>0.1070447957445869</v>
      </c>
      <c r="AJ284" s="55">
        <f t="shared" si="346"/>
        <v>0.10942119021011674</v>
      </c>
      <c r="AK284" s="55">
        <f t="shared" si="346"/>
        <v>0.11185034063278132</v>
      </c>
      <c r="AL284" s="55">
        <f t="shared" si="346"/>
        <v>0.11433341819482906</v>
      </c>
      <c r="AM284" s="55">
        <f t="shared" si="346"/>
        <v>0.11687162007875426</v>
      </c>
      <c r="AN284" s="55">
        <f t="shared" si="346"/>
        <v>0.11946617004450261</v>
      </c>
      <c r="AO284" s="55">
        <f t="shared" si="346"/>
        <v>0.12211831901949055</v>
      </c>
      <c r="AP284" s="55">
        <f t="shared" si="346"/>
        <v>0.12482934570172323</v>
      </c>
      <c r="AQ284" s="55">
        <f t="shared" si="346"/>
        <v>0.1276005571763015</v>
      </c>
      <c r="AR284" s="55">
        <f t="shared" si="346"/>
        <v>0.13043328954561542</v>
      </c>
      <c r="AS284" s="55">
        <f t="shared" si="346"/>
        <v>0.13332890857352805</v>
      </c>
      <c r="AT284" s="55">
        <f t="shared" si="346"/>
        <v>0.13628881034386039</v>
      </c>
      <c r="AU284" s="55">
        <f t="shared" si="346"/>
        <v>0.13931442193349408</v>
      </c>
      <c r="AV284" s="55">
        <f t="shared" si="346"/>
        <v>0.14240720210041763</v>
      </c>
      <c r="AW284" s="55">
        <f t="shared" si="346"/>
        <v>0.14556864198704692</v>
      </c>
      <c r="AX284" s="55">
        <f t="shared" si="346"/>
        <v>0.14880026583915934</v>
      </c>
      <c r="AY284" s="55">
        <f t="shared" si="346"/>
        <v>0.1521036317407887</v>
      </c>
      <c r="AZ284" s="55">
        <f t="shared" si="346"/>
        <v>0.15548033236543421</v>
      </c>
      <c r="BA284" s="55">
        <f t="shared" si="346"/>
        <v>0.15893199574394684</v>
      </c>
      <c r="BB284" s="55">
        <f t="shared" si="346"/>
        <v>0</v>
      </c>
      <c r="BC284" s="55">
        <f t="shared" si="346"/>
        <v>0</v>
      </c>
      <c r="BD284" s="55">
        <f t="shared" si="346"/>
        <v>0</v>
      </c>
      <c r="BE284" s="55">
        <f t="shared" si="346"/>
        <v>0</v>
      </c>
      <c r="BF284" s="55">
        <f t="shared" si="346"/>
        <v>0</v>
      </c>
      <c r="BG284" s="55">
        <f t="shared" si="346"/>
        <v>0</v>
      </c>
      <c r="BH284" s="55">
        <f t="shared" si="346"/>
        <v>0</v>
      </c>
      <c r="BI284" s="55">
        <f t="shared" si="346"/>
        <v>0</v>
      </c>
      <c r="BJ284" s="55">
        <f t="shared" si="346"/>
        <v>0</v>
      </c>
    </row>
    <row r="285" spans="1:62" x14ac:dyDescent="0.3">
      <c r="A285" s="53" t="str">
        <f t="shared" si="310"/>
        <v>project 106</v>
      </c>
      <c r="C285" s="55">
        <f t="shared" ref="C285:AH285" si="347">IF(AND(C$127&gt;=$K74,C$127&lt;=$L74),$G74*(1+$H74)^(C$127-$B$5),0)</f>
        <v>0</v>
      </c>
      <c r="D285" s="55">
        <f t="shared" si="347"/>
        <v>0</v>
      </c>
      <c r="E285" s="55">
        <f t="shared" si="347"/>
        <v>0</v>
      </c>
      <c r="F285" s="55">
        <f t="shared" si="347"/>
        <v>0</v>
      </c>
      <c r="G285" s="55">
        <f t="shared" si="347"/>
        <v>0</v>
      </c>
      <c r="H285" s="55">
        <f t="shared" si="347"/>
        <v>0</v>
      </c>
      <c r="I285" s="55">
        <f t="shared" si="347"/>
        <v>0</v>
      </c>
      <c r="J285" s="55">
        <f t="shared" si="347"/>
        <v>0</v>
      </c>
      <c r="K285" s="55">
        <f t="shared" si="347"/>
        <v>0</v>
      </c>
      <c r="L285" s="55">
        <f t="shared" si="347"/>
        <v>54.287427327471164</v>
      </c>
      <c r="M285" s="55">
        <f t="shared" si="347"/>
        <v>54.998592625461043</v>
      </c>
      <c r="N285" s="55">
        <f t="shared" si="347"/>
        <v>55.719074188854592</v>
      </c>
      <c r="O285" s="55">
        <f t="shared" si="347"/>
        <v>56.448994060728587</v>
      </c>
      <c r="P285" s="55">
        <f t="shared" si="347"/>
        <v>57.188475882924138</v>
      </c>
      <c r="Q285" s="55">
        <f t="shared" si="347"/>
        <v>57.937644916990443</v>
      </c>
      <c r="R285" s="55">
        <f t="shared" si="347"/>
        <v>58.696628065403026</v>
      </c>
      <c r="S285" s="55">
        <f t="shared" si="347"/>
        <v>59.465553893059813</v>
      </c>
      <c r="T285" s="55">
        <f t="shared" si="347"/>
        <v>60.244552649058903</v>
      </c>
      <c r="U285" s="55">
        <f t="shared" si="347"/>
        <v>61.033756288761587</v>
      </c>
      <c r="V285" s="55">
        <f t="shared" si="347"/>
        <v>61.833298496144373</v>
      </c>
      <c r="W285" s="55">
        <f t="shared" si="347"/>
        <v>62.64331470644386</v>
      </c>
      <c r="X285" s="55">
        <f t="shared" si="347"/>
        <v>63.463942129098285</v>
      </c>
      <c r="Y285" s="55">
        <f t="shared" si="347"/>
        <v>64.295319770989465</v>
      </c>
      <c r="Z285" s="55">
        <f t="shared" si="347"/>
        <v>65.137588459989431</v>
      </c>
      <c r="AA285" s="55">
        <f t="shared" si="347"/>
        <v>65.990890868815313</v>
      </c>
      <c r="AB285" s="55">
        <f t="shared" si="347"/>
        <v>66.855371539196796</v>
      </c>
      <c r="AC285" s="55">
        <f t="shared" si="347"/>
        <v>67.731176906360275</v>
      </c>
      <c r="AD285" s="55">
        <f t="shared" si="347"/>
        <v>68.618455323833615</v>
      </c>
      <c r="AE285" s="55">
        <f t="shared" si="347"/>
        <v>69.517357088575821</v>
      </c>
      <c r="AF285" s="55">
        <f t="shared" si="347"/>
        <v>70.428034466436188</v>
      </c>
      <c r="AG285" s="55">
        <f t="shared" si="347"/>
        <v>71.350641717946488</v>
      </c>
      <c r="AH285" s="55">
        <f t="shared" si="347"/>
        <v>72.285335124451606</v>
      </c>
      <c r="AI285" s="55">
        <f t="shared" ref="AI285:BJ285" si="348">IF(AND(AI$127&gt;=$K74,AI$127&lt;=$L74),$G74*(1+$H74)^(AI$127-$B$5),0)</f>
        <v>73.232273014581935</v>
      </c>
      <c r="AJ285" s="55">
        <f t="shared" si="348"/>
        <v>74.191615791072962</v>
      </c>
      <c r="AK285" s="55">
        <f t="shared" si="348"/>
        <v>75.163525957936031</v>
      </c>
      <c r="AL285" s="55">
        <f t="shared" si="348"/>
        <v>76.14816814798499</v>
      </c>
      <c r="AM285" s="55">
        <f t="shared" si="348"/>
        <v>77.145709150723604</v>
      </c>
      <c r="AN285" s="55">
        <f t="shared" si="348"/>
        <v>78.156317940598086</v>
      </c>
      <c r="AO285" s="55">
        <f t="shared" si="348"/>
        <v>79.180165705619928</v>
      </c>
      <c r="AP285" s="55">
        <f t="shared" si="348"/>
        <v>80.217425876363563</v>
      </c>
      <c r="AQ285" s="55">
        <f t="shared" si="348"/>
        <v>81.268274155343917</v>
      </c>
      <c r="AR285" s="55">
        <f t="shared" si="348"/>
        <v>82.332888546778932</v>
      </c>
      <c r="AS285" s="55">
        <f t="shared" si="348"/>
        <v>83.411449386741751</v>
      </c>
      <c r="AT285" s="55">
        <f t="shared" si="348"/>
        <v>84.504139373708085</v>
      </c>
      <c r="AU285" s="55">
        <f t="shared" si="348"/>
        <v>85.611143599503663</v>
      </c>
      <c r="AV285" s="55">
        <f t="shared" si="348"/>
        <v>86.732649580657167</v>
      </c>
      <c r="AW285" s="55">
        <f t="shared" si="348"/>
        <v>87.868847290163785</v>
      </c>
      <c r="AX285" s="55">
        <f t="shared" si="348"/>
        <v>89.019929189664936</v>
      </c>
      <c r="AY285" s="55">
        <f t="shared" si="348"/>
        <v>90.186090262049561</v>
      </c>
      <c r="AZ285" s="55">
        <f t="shared" si="348"/>
        <v>0</v>
      </c>
      <c r="BA285" s="55">
        <f t="shared" si="348"/>
        <v>0</v>
      </c>
      <c r="BB285" s="55">
        <f t="shared" si="348"/>
        <v>0</v>
      </c>
      <c r="BC285" s="55">
        <f t="shared" si="348"/>
        <v>0</v>
      </c>
      <c r="BD285" s="55">
        <f t="shared" si="348"/>
        <v>0</v>
      </c>
      <c r="BE285" s="55">
        <f t="shared" si="348"/>
        <v>0</v>
      </c>
      <c r="BF285" s="55">
        <f t="shared" si="348"/>
        <v>0</v>
      </c>
      <c r="BG285" s="55">
        <f t="shared" si="348"/>
        <v>0</v>
      </c>
      <c r="BH285" s="55">
        <f t="shared" si="348"/>
        <v>0</v>
      </c>
      <c r="BI285" s="55">
        <f t="shared" si="348"/>
        <v>0</v>
      </c>
      <c r="BJ285" s="55">
        <f t="shared" si="348"/>
        <v>0</v>
      </c>
    </row>
    <row r="286" spans="1:62" x14ac:dyDescent="0.3">
      <c r="A286" s="53" t="str">
        <f t="shared" si="310"/>
        <v>project 107</v>
      </c>
      <c r="C286" s="55">
        <f t="shared" ref="C286:AH286" si="349">IF(AND(C$127&gt;=$K75,C$127&lt;=$L75),$G75*(1+$H75)^(C$127-$B$5),0)</f>
        <v>0</v>
      </c>
      <c r="D286" s="55">
        <f t="shared" si="349"/>
        <v>0</v>
      </c>
      <c r="E286" s="55">
        <f t="shared" si="349"/>
        <v>0</v>
      </c>
      <c r="F286" s="55">
        <f t="shared" si="349"/>
        <v>0</v>
      </c>
      <c r="G286" s="55">
        <f t="shared" si="349"/>
        <v>0</v>
      </c>
      <c r="H286" s="55">
        <f t="shared" si="349"/>
        <v>0</v>
      </c>
      <c r="I286" s="55">
        <f t="shared" si="349"/>
        <v>0</v>
      </c>
      <c r="J286" s="55">
        <f t="shared" si="349"/>
        <v>0</v>
      </c>
      <c r="K286" s="55">
        <f t="shared" si="349"/>
        <v>0</v>
      </c>
      <c r="L286" s="55">
        <f t="shared" si="349"/>
        <v>0</v>
      </c>
      <c r="M286" s="55">
        <f t="shared" si="349"/>
        <v>0</v>
      </c>
      <c r="N286" s="55">
        <f t="shared" si="349"/>
        <v>0</v>
      </c>
      <c r="O286" s="55">
        <f t="shared" si="349"/>
        <v>0</v>
      </c>
      <c r="P286" s="55">
        <f t="shared" si="349"/>
        <v>0</v>
      </c>
      <c r="Q286" s="55">
        <f t="shared" si="349"/>
        <v>0</v>
      </c>
      <c r="R286" s="55">
        <f t="shared" si="349"/>
        <v>0</v>
      </c>
      <c r="S286" s="55">
        <f t="shared" si="349"/>
        <v>48.120622771902362</v>
      </c>
      <c r="T286" s="55">
        <f t="shared" si="349"/>
        <v>49.338074528031498</v>
      </c>
      <c r="U286" s="55">
        <f t="shared" si="349"/>
        <v>50.586327813590707</v>
      </c>
      <c r="V286" s="55">
        <f t="shared" si="349"/>
        <v>51.866161907274552</v>
      </c>
      <c r="W286" s="55">
        <f t="shared" si="349"/>
        <v>53.178375803528617</v>
      </c>
      <c r="X286" s="55">
        <f t="shared" si="349"/>
        <v>54.523788711357888</v>
      </c>
      <c r="Y286" s="55">
        <f t="shared" si="349"/>
        <v>55.903240565755247</v>
      </c>
      <c r="Z286" s="55">
        <f t="shared" si="349"/>
        <v>57.317592552068859</v>
      </c>
      <c r="AA286" s="55">
        <f t="shared" si="349"/>
        <v>58.767727643636221</v>
      </c>
      <c r="AB286" s="55">
        <f t="shared" si="349"/>
        <v>60.254551153020216</v>
      </c>
      <c r="AC286" s="55">
        <f t="shared" si="349"/>
        <v>61.778991297191645</v>
      </c>
      <c r="AD286" s="55">
        <f t="shared" si="349"/>
        <v>63.341999777010606</v>
      </c>
      <c r="AE286" s="55">
        <f t="shared" si="349"/>
        <v>64.944552371368985</v>
      </c>
      <c r="AF286" s="55">
        <f t="shared" si="349"/>
        <v>66.587649546364617</v>
      </c>
      <c r="AG286" s="55">
        <f t="shared" si="349"/>
        <v>68.272317079887657</v>
      </c>
      <c r="AH286" s="55">
        <f t="shared" si="349"/>
        <v>69.999606702008819</v>
      </c>
      <c r="AI286" s="55">
        <f t="shared" ref="AI286:BJ286" si="350">IF(AND(AI$127&gt;=$K75,AI$127&lt;=$L75),$G75*(1+$H75)^(AI$127-$B$5),0)</f>
        <v>71.770596751569656</v>
      </c>
      <c r="AJ286" s="55">
        <f t="shared" si="350"/>
        <v>73.586392849384367</v>
      </c>
      <c r="AK286" s="55">
        <f t="shared" si="350"/>
        <v>75.448128588473807</v>
      </c>
      <c r="AL286" s="55">
        <f t="shared" si="350"/>
        <v>77.356966241762208</v>
      </c>
      <c r="AM286" s="55">
        <f t="shared" si="350"/>
        <v>79.314097487678808</v>
      </c>
      <c r="AN286" s="55">
        <f t="shared" si="350"/>
        <v>81.320744154117094</v>
      </c>
      <c r="AO286" s="55">
        <f t="shared" si="350"/>
        <v>83.378158981216259</v>
      </c>
      <c r="AP286" s="55">
        <f t="shared" si="350"/>
        <v>85.487626403441041</v>
      </c>
      <c r="AQ286" s="55">
        <f t="shared" si="350"/>
        <v>87.65046335144811</v>
      </c>
      <c r="AR286" s="55">
        <f t="shared" si="350"/>
        <v>89.868020074239766</v>
      </c>
      <c r="AS286" s="55">
        <f t="shared" si="350"/>
        <v>92.141680982118046</v>
      </c>
      <c r="AT286" s="55">
        <f t="shared" si="350"/>
        <v>94.472865510965647</v>
      </c>
      <c r="AU286" s="55">
        <f t="shared" si="350"/>
        <v>96.863029008393099</v>
      </c>
      <c r="AV286" s="55">
        <f t="shared" si="350"/>
        <v>99.313663642305428</v>
      </c>
      <c r="AW286" s="55">
        <f t="shared" si="350"/>
        <v>101.82629933245579</v>
      </c>
      <c r="AX286" s="55">
        <f t="shared" si="350"/>
        <v>104.40250470556691</v>
      </c>
      <c r="AY286" s="55">
        <f t="shared" si="350"/>
        <v>107.04388807461778</v>
      </c>
      <c r="AZ286" s="55">
        <f t="shared" si="350"/>
        <v>109.75209844290563</v>
      </c>
      <c r="BA286" s="55">
        <f t="shared" si="350"/>
        <v>112.52882653351116</v>
      </c>
      <c r="BB286" s="55">
        <f t="shared" si="350"/>
        <v>115.37580584480901</v>
      </c>
      <c r="BC286" s="55">
        <f t="shared" si="350"/>
        <v>118.2948137326827</v>
      </c>
      <c r="BD286" s="55">
        <f t="shared" si="350"/>
        <v>121.28767252011957</v>
      </c>
      <c r="BE286" s="55">
        <f t="shared" si="350"/>
        <v>124.35625063487861</v>
      </c>
      <c r="BF286" s="55">
        <f t="shared" si="350"/>
        <v>127.50246377594105</v>
      </c>
      <c r="BG286" s="55">
        <f t="shared" si="350"/>
        <v>0</v>
      </c>
      <c r="BH286" s="55">
        <f t="shared" si="350"/>
        <v>0</v>
      </c>
      <c r="BI286" s="55">
        <f t="shared" si="350"/>
        <v>0</v>
      </c>
      <c r="BJ286" s="55">
        <f t="shared" si="350"/>
        <v>0</v>
      </c>
    </row>
    <row r="287" spans="1:62" x14ac:dyDescent="0.3">
      <c r="A287" s="53" t="str">
        <f t="shared" si="310"/>
        <v>project 108</v>
      </c>
      <c r="C287" s="55">
        <f t="shared" ref="C287:AH287" si="351">IF(AND(C$127&gt;=$K76,C$127&lt;=$L76),$G76*(1+$H76)^(C$127-$B$5),0)</f>
        <v>0</v>
      </c>
      <c r="D287" s="55">
        <f t="shared" si="351"/>
        <v>0</v>
      </c>
      <c r="E287" s="55">
        <f t="shared" si="351"/>
        <v>0</v>
      </c>
      <c r="F287" s="55">
        <f t="shared" si="351"/>
        <v>0</v>
      </c>
      <c r="G287" s="55">
        <f t="shared" si="351"/>
        <v>0</v>
      </c>
      <c r="H287" s="55">
        <f t="shared" si="351"/>
        <v>0</v>
      </c>
      <c r="I287" s="55">
        <f t="shared" si="351"/>
        <v>0</v>
      </c>
      <c r="J287" s="55">
        <f t="shared" si="351"/>
        <v>0</v>
      </c>
      <c r="K287" s="55">
        <f t="shared" si="351"/>
        <v>0</v>
      </c>
      <c r="L287" s="55">
        <f t="shared" si="351"/>
        <v>0</v>
      </c>
      <c r="M287" s="55">
        <f t="shared" si="351"/>
        <v>0</v>
      </c>
      <c r="N287" s="55">
        <f t="shared" si="351"/>
        <v>0</v>
      </c>
      <c r="O287" s="55">
        <f t="shared" si="351"/>
        <v>0</v>
      </c>
      <c r="P287" s="55">
        <f t="shared" si="351"/>
        <v>0</v>
      </c>
      <c r="Q287" s="55">
        <f t="shared" si="351"/>
        <v>0</v>
      </c>
      <c r="R287" s="55">
        <f t="shared" si="351"/>
        <v>0</v>
      </c>
      <c r="S287" s="55">
        <f t="shared" si="351"/>
        <v>0</v>
      </c>
      <c r="T287" s="55">
        <f t="shared" si="351"/>
        <v>0</v>
      </c>
      <c r="U287" s="55">
        <f t="shared" si="351"/>
        <v>0</v>
      </c>
      <c r="V287" s="55">
        <f t="shared" si="351"/>
        <v>41.591058228278918</v>
      </c>
      <c r="W287" s="55">
        <f t="shared" si="351"/>
        <v>42.456152239427119</v>
      </c>
      <c r="X287" s="55">
        <f t="shared" si="351"/>
        <v>43.339240206007197</v>
      </c>
      <c r="Y287" s="55">
        <f t="shared" si="351"/>
        <v>44.240696402292151</v>
      </c>
      <c r="Z287" s="55">
        <f t="shared" si="351"/>
        <v>45.16090288745982</v>
      </c>
      <c r="AA287" s="55">
        <f t="shared" si="351"/>
        <v>46.10024966751898</v>
      </c>
      <c r="AB287" s="55">
        <f t="shared" si="351"/>
        <v>47.059134860603379</v>
      </c>
      <c r="AC287" s="55">
        <f t="shared" si="351"/>
        <v>48.037964865703927</v>
      </c>
      <c r="AD287" s="55">
        <f t="shared" si="351"/>
        <v>49.037154534910563</v>
      </c>
      <c r="AE287" s="55">
        <f t="shared" si="351"/>
        <v>50.057127349236701</v>
      </c>
      <c r="AF287" s="55">
        <f t="shared" si="351"/>
        <v>51.098315598100825</v>
      </c>
      <c r="AG287" s="55">
        <f t="shared" si="351"/>
        <v>52.161160562541326</v>
      </c>
      <c r="AH287" s="55">
        <f t="shared" si="351"/>
        <v>53.246112702242186</v>
      </c>
      <c r="AI287" s="55">
        <f t="shared" ref="AI287:BJ287" si="352">IF(AND(AI$127&gt;=$K76,AI$127&lt;=$L76),$G76*(1+$H76)^(AI$127-$B$5),0)</f>
        <v>54.353631846448806</v>
      </c>
      <c r="AJ287" s="55">
        <f t="shared" si="352"/>
        <v>55.484187388854942</v>
      </c>
      <c r="AK287" s="55">
        <f t="shared" si="352"/>
        <v>56.63825848654313</v>
      </c>
      <c r="AL287" s="55">
        <f t="shared" si="352"/>
        <v>57.816334263063219</v>
      </c>
      <c r="AM287" s="55">
        <f t="shared" si="352"/>
        <v>59.018914015734936</v>
      </c>
      <c r="AN287" s="55">
        <f t="shared" si="352"/>
        <v>60.246507427262223</v>
      </c>
      <c r="AO287" s="55">
        <f t="shared" si="352"/>
        <v>61.499634781749272</v>
      </c>
      <c r="AP287" s="55">
        <f t="shared" si="352"/>
        <v>62.778827185209657</v>
      </c>
      <c r="AQ287" s="55">
        <f t="shared" si="352"/>
        <v>64.084626790662014</v>
      </c>
      <c r="AR287" s="55">
        <f t="shared" si="352"/>
        <v>65.417587027907786</v>
      </c>
      <c r="AS287" s="55">
        <f t="shared" si="352"/>
        <v>66.778272838088256</v>
      </c>
      <c r="AT287" s="55">
        <f t="shared" si="352"/>
        <v>68.167260913120501</v>
      </c>
      <c r="AU287" s="55">
        <f t="shared" si="352"/>
        <v>69.585139940113393</v>
      </c>
      <c r="AV287" s="55">
        <f t="shared" si="352"/>
        <v>71.032510850867752</v>
      </c>
      <c r="AW287" s="55">
        <f t="shared" si="352"/>
        <v>72.509987076565807</v>
      </c>
      <c r="AX287" s="55">
        <f t="shared" si="352"/>
        <v>74.018194807758377</v>
      </c>
      <c r="AY287" s="55">
        <f t="shared" si="352"/>
        <v>75.557773259759728</v>
      </c>
      <c r="AZ287" s="55">
        <f t="shared" si="352"/>
        <v>77.129374943562723</v>
      </c>
      <c r="BA287" s="55">
        <f t="shared" si="352"/>
        <v>78.733665942388839</v>
      </c>
      <c r="BB287" s="55">
        <f t="shared" si="352"/>
        <v>80.371326193990512</v>
      </c>
      <c r="BC287" s="55">
        <f t="shared" si="352"/>
        <v>82.043049778825534</v>
      </c>
      <c r="BD287" s="55">
        <f t="shared" si="352"/>
        <v>83.74954521422508</v>
      </c>
      <c r="BE287" s="55">
        <f t="shared" si="352"/>
        <v>85.491535754680982</v>
      </c>
      <c r="BF287" s="55">
        <f t="shared" si="352"/>
        <v>87.269759698378337</v>
      </c>
      <c r="BG287" s="55">
        <f t="shared" si="352"/>
        <v>89.084970700104591</v>
      </c>
      <c r="BH287" s="55">
        <f t="shared" si="352"/>
        <v>90.937938090666762</v>
      </c>
      <c r="BI287" s="55">
        <f t="shared" si="352"/>
        <v>92.829447202952622</v>
      </c>
      <c r="BJ287" s="55">
        <f t="shared" si="352"/>
        <v>0</v>
      </c>
    </row>
    <row r="288" spans="1:62" x14ac:dyDescent="0.3">
      <c r="A288" s="53" t="str">
        <f t="shared" si="310"/>
        <v>project 110</v>
      </c>
      <c r="C288" s="55">
        <f t="shared" ref="C288:AH288" si="353">IF(AND(C$127&gt;=$K77,C$127&lt;=$L77),$G77*(1+$H77)^(C$127-$B$5),0)</f>
        <v>0</v>
      </c>
      <c r="D288" s="55">
        <f t="shared" si="353"/>
        <v>0</v>
      </c>
      <c r="E288" s="55">
        <f t="shared" si="353"/>
        <v>0</v>
      </c>
      <c r="F288" s="55">
        <f t="shared" si="353"/>
        <v>0</v>
      </c>
      <c r="G288" s="55">
        <f t="shared" si="353"/>
        <v>0</v>
      </c>
      <c r="H288" s="55">
        <f t="shared" si="353"/>
        <v>0</v>
      </c>
      <c r="I288" s="55">
        <f t="shared" si="353"/>
        <v>0</v>
      </c>
      <c r="J288" s="55">
        <f t="shared" si="353"/>
        <v>0</v>
      </c>
      <c r="K288" s="55">
        <f t="shared" si="353"/>
        <v>0</v>
      </c>
      <c r="L288" s="55">
        <f t="shared" si="353"/>
        <v>0</v>
      </c>
      <c r="M288" s="55">
        <f t="shared" si="353"/>
        <v>0</v>
      </c>
      <c r="N288" s="55">
        <f t="shared" si="353"/>
        <v>0</v>
      </c>
      <c r="O288" s="55">
        <f t="shared" si="353"/>
        <v>0</v>
      </c>
      <c r="P288" s="55">
        <f t="shared" si="353"/>
        <v>0</v>
      </c>
      <c r="Q288" s="55">
        <f t="shared" si="353"/>
        <v>27.362829455517165</v>
      </c>
      <c r="R288" s="55">
        <f t="shared" si="353"/>
        <v>28.063317889578407</v>
      </c>
      <c r="S288" s="55">
        <f t="shared" si="353"/>
        <v>28.781738827551617</v>
      </c>
      <c r="T288" s="55">
        <f t="shared" si="353"/>
        <v>29.518551341536938</v>
      </c>
      <c r="U288" s="55">
        <f t="shared" si="353"/>
        <v>30.27422625588029</v>
      </c>
      <c r="V288" s="55">
        <f t="shared" si="353"/>
        <v>31.049246448030829</v>
      </c>
      <c r="W288" s="55">
        <f t="shared" si="353"/>
        <v>31.844107157100421</v>
      </c>
      <c r="X288" s="55">
        <f t="shared" si="353"/>
        <v>32.659316300322196</v>
      </c>
      <c r="Y288" s="55">
        <f t="shared" si="353"/>
        <v>33.495394797610444</v>
      </c>
      <c r="Z288" s="55">
        <f t="shared" si="353"/>
        <v>34.352876904429273</v>
      </c>
      <c r="AA288" s="55">
        <f t="shared" si="353"/>
        <v>35.232310553182664</v>
      </c>
      <c r="AB288" s="55">
        <f t="shared" si="353"/>
        <v>36.134257703344147</v>
      </c>
      <c r="AC288" s="55">
        <f t="shared" si="353"/>
        <v>37.059294700549763</v>
      </c>
      <c r="AD288" s="55">
        <f t="shared" si="353"/>
        <v>38.008012644883834</v>
      </c>
      <c r="AE288" s="55">
        <f t="shared" si="353"/>
        <v>38.981017768592871</v>
      </c>
      <c r="AF288" s="55">
        <f t="shared" si="353"/>
        <v>39.978931823468855</v>
      </c>
      <c r="AG288" s="55">
        <f t="shared" si="353"/>
        <v>41.002392478149659</v>
      </c>
      <c r="AH288" s="55">
        <f t="shared" si="353"/>
        <v>42.052053725590291</v>
      </c>
      <c r="AI288" s="55">
        <f t="shared" ref="AI288:BJ288" si="354">IF(AND(AI$127&gt;=$K77,AI$127&lt;=$L77),$G77*(1+$H77)^(AI$127-$B$5),0)</f>
        <v>43.128586300965409</v>
      </c>
      <c r="AJ288" s="55">
        <f t="shared" si="354"/>
        <v>44.232678110270129</v>
      </c>
      <c r="AK288" s="55">
        <f t="shared" si="354"/>
        <v>45.365034669893049</v>
      </c>
      <c r="AL288" s="55">
        <f t="shared" si="354"/>
        <v>46.526379557442318</v>
      </c>
      <c r="AM288" s="55">
        <f t="shared" si="354"/>
        <v>47.717454874112839</v>
      </c>
      <c r="AN288" s="55">
        <f t="shared" si="354"/>
        <v>48.939021718890132</v>
      </c>
      <c r="AO288" s="55">
        <f t="shared" si="354"/>
        <v>50.191860674893718</v>
      </c>
      <c r="AP288" s="55">
        <f t="shared" si="354"/>
        <v>51.476772308171007</v>
      </c>
      <c r="AQ288" s="55">
        <f t="shared" si="354"/>
        <v>52.794577679260193</v>
      </c>
      <c r="AR288" s="55">
        <f t="shared" si="354"/>
        <v>54.146118867849253</v>
      </c>
      <c r="AS288" s="55">
        <f t="shared" si="354"/>
        <v>55.532259510866204</v>
      </c>
      <c r="AT288" s="55">
        <f t="shared" si="354"/>
        <v>56.953885354344379</v>
      </c>
      <c r="AU288" s="55">
        <f t="shared" si="354"/>
        <v>58.411904819415611</v>
      </c>
      <c r="AV288" s="55">
        <f t="shared" si="354"/>
        <v>59.907249582792652</v>
      </c>
      <c r="AW288" s="55">
        <f t="shared" si="354"/>
        <v>61.440875172112158</v>
      </c>
      <c r="AX288" s="55">
        <f t="shared" si="354"/>
        <v>63.013761576518235</v>
      </c>
      <c r="AY288" s="55">
        <f t="shared" si="354"/>
        <v>64.626913872877097</v>
      </c>
      <c r="AZ288" s="55">
        <f t="shared" si="354"/>
        <v>66.281362868022754</v>
      </c>
      <c r="BA288" s="55">
        <f t="shared" si="354"/>
        <v>67.97816575744416</v>
      </c>
      <c r="BB288" s="55">
        <f t="shared" si="354"/>
        <v>69.718406800834728</v>
      </c>
      <c r="BC288" s="55">
        <f t="shared" si="354"/>
        <v>71.503198014936103</v>
      </c>
      <c r="BD288" s="55">
        <f t="shared" si="354"/>
        <v>73.333679884118482</v>
      </c>
      <c r="BE288" s="55">
        <f t="shared" si="354"/>
        <v>0</v>
      </c>
      <c r="BF288" s="55">
        <f t="shared" si="354"/>
        <v>0</v>
      </c>
      <c r="BG288" s="55">
        <f t="shared" si="354"/>
        <v>0</v>
      </c>
      <c r="BH288" s="55">
        <f t="shared" si="354"/>
        <v>0</v>
      </c>
      <c r="BI288" s="55">
        <f t="shared" si="354"/>
        <v>0</v>
      </c>
      <c r="BJ288" s="55">
        <f t="shared" si="354"/>
        <v>0</v>
      </c>
    </row>
    <row r="289" spans="1:62" x14ac:dyDescent="0.3">
      <c r="A289" s="53" t="str">
        <f t="shared" si="310"/>
        <v>project 112</v>
      </c>
      <c r="C289" s="55">
        <f t="shared" ref="C289:AH289" si="355">IF(AND(C$127&gt;=$K78,C$127&lt;=$L78),$G78*(1+$H78)^(C$127-$B$5),0)</f>
        <v>0</v>
      </c>
      <c r="D289" s="55">
        <f t="shared" si="355"/>
        <v>0</v>
      </c>
      <c r="E289" s="55">
        <f t="shared" si="355"/>
        <v>0</v>
      </c>
      <c r="F289" s="55">
        <f t="shared" si="355"/>
        <v>0</v>
      </c>
      <c r="G289" s="55">
        <f t="shared" si="355"/>
        <v>0</v>
      </c>
      <c r="H289" s="55">
        <f t="shared" si="355"/>
        <v>0</v>
      </c>
      <c r="I289" s="55">
        <f t="shared" si="355"/>
        <v>0</v>
      </c>
      <c r="J289" s="55">
        <f t="shared" si="355"/>
        <v>0</v>
      </c>
      <c r="K289" s="55">
        <f t="shared" si="355"/>
        <v>0</v>
      </c>
      <c r="L289" s="55">
        <f t="shared" si="355"/>
        <v>0</v>
      </c>
      <c r="M289" s="55">
        <f t="shared" si="355"/>
        <v>0</v>
      </c>
      <c r="N289" s="55">
        <f t="shared" si="355"/>
        <v>0</v>
      </c>
      <c r="O289" s="55">
        <f t="shared" si="355"/>
        <v>28.251674077889898</v>
      </c>
      <c r="P289" s="55">
        <f t="shared" si="355"/>
        <v>28.833658563894428</v>
      </c>
      <c r="Q289" s="55">
        <f t="shared" si="355"/>
        <v>29.42763193031065</v>
      </c>
      <c r="R289" s="55">
        <f t="shared" si="355"/>
        <v>30.033841148075052</v>
      </c>
      <c r="S289" s="55">
        <f t="shared" si="355"/>
        <v>30.652538275725391</v>
      </c>
      <c r="T289" s="55">
        <f t="shared" si="355"/>
        <v>31.283980564205329</v>
      </c>
      <c r="U289" s="55">
        <f t="shared" si="355"/>
        <v>31.928430563827959</v>
      </c>
      <c r="V289" s="55">
        <f t="shared" si="355"/>
        <v>32.586156233442814</v>
      </c>
      <c r="W289" s="55">
        <f t="shared" si="355"/>
        <v>33.257431051851732</v>
      </c>
      <c r="X289" s="55">
        <f t="shared" si="355"/>
        <v>33.942534131519871</v>
      </c>
      <c r="Y289" s="55">
        <f t="shared" si="355"/>
        <v>34.641750334629187</v>
      </c>
      <c r="Z289" s="55">
        <f t="shared" si="355"/>
        <v>35.355370391522548</v>
      </c>
      <c r="AA289" s="55">
        <f t="shared" si="355"/>
        <v>36.083691021587903</v>
      </c>
      <c r="AB289" s="55">
        <f t="shared" si="355"/>
        <v>36.827015056632611</v>
      </c>
      <c r="AC289" s="55">
        <f t="shared" si="355"/>
        <v>37.585651566799243</v>
      </c>
      <c r="AD289" s="55">
        <f t="shared" si="355"/>
        <v>38.359915989075304</v>
      </c>
      <c r="AE289" s="55">
        <f t="shared" si="355"/>
        <v>39.150130258450254</v>
      </c>
      <c r="AF289" s="55">
        <f t="shared" si="355"/>
        <v>39.956622941774327</v>
      </c>
      <c r="AG289" s="55">
        <f t="shared" si="355"/>
        <v>40.779729374374874</v>
      </c>
      <c r="AH289" s="55">
        <f t="shared" si="355"/>
        <v>41.619791799486997</v>
      </c>
      <c r="AI289" s="55">
        <f t="shared" ref="AI289:BJ289" si="356">IF(AND(AI$127&gt;=$K78,AI$127&lt;=$L78),$G78*(1+$H78)^(AI$127-$B$5),0)</f>
        <v>42.477159510556419</v>
      </c>
      <c r="AJ289" s="55">
        <f t="shared" si="356"/>
        <v>43.352188996473878</v>
      </c>
      <c r="AK289" s="55">
        <f t="shared" si="356"/>
        <v>44.245244089801247</v>
      </c>
      <c r="AL289" s="55">
        <f t="shared" si="356"/>
        <v>45.156696118051144</v>
      </c>
      <c r="AM289" s="55">
        <f t="shared" si="356"/>
        <v>46.086924058082992</v>
      </c>
      <c r="AN289" s="55">
        <f t="shared" si="356"/>
        <v>47.0363146936795</v>
      </c>
      <c r="AO289" s="55">
        <f t="shared" si="356"/>
        <v>48.005262776369293</v>
      </c>
      <c r="AP289" s="55">
        <f t="shared" si="356"/>
        <v>48.994171189562508</v>
      </c>
      <c r="AQ289" s="55">
        <f t="shared" si="356"/>
        <v>50.003451116067481</v>
      </c>
      <c r="AR289" s="55">
        <f t="shared" si="356"/>
        <v>51.033522209058475</v>
      </c>
      <c r="AS289" s="55">
        <f t="shared" si="356"/>
        <v>52.084812766565072</v>
      </c>
      <c r="AT289" s="55">
        <f t="shared" si="356"/>
        <v>53.157759909556304</v>
      </c>
      <c r="AU289" s="55">
        <f t="shared" si="356"/>
        <v>54.252809763693165</v>
      </c>
      <c r="AV289" s="55">
        <f t="shared" si="356"/>
        <v>55.370417644825238</v>
      </c>
      <c r="AW289" s="55">
        <f t="shared" si="356"/>
        <v>56.511048248308633</v>
      </c>
      <c r="AX289" s="55">
        <f t="shared" si="356"/>
        <v>57.675175842223794</v>
      </c>
      <c r="AY289" s="55">
        <f t="shared" si="356"/>
        <v>58.863284464573596</v>
      </c>
      <c r="AZ289" s="55">
        <f t="shared" si="356"/>
        <v>60.075868124543796</v>
      </c>
      <c r="BA289" s="55">
        <f t="shared" si="356"/>
        <v>61.313431007909401</v>
      </c>
      <c r="BB289" s="55">
        <f t="shared" si="356"/>
        <v>62.576487686672337</v>
      </c>
      <c r="BC289" s="55">
        <f t="shared" si="356"/>
        <v>0</v>
      </c>
      <c r="BD289" s="55">
        <f t="shared" si="356"/>
        <v>0</v>
      </c>
      <c r="BE289" s="55">
        <f t="shared" si="356"/>
        <v>0</v>
      </c>
      <c r="BF289" s="55">
        <f t="shared" si="356"/>
        <v>0</v>
      </c>
      <c r="BG289" s="55">
        <f t="shared" si="356"/>
        <v>0</v>
      </c>
      <c r="BH289" s="55">
        <f t="shared" si="356"/>
        <v>0</v>
      </c>
      <c r="BI289" s="55">
        <f t="shared" si="356"/>
        <v>0</v>
      </c>
      <c r="BJ289" s="55">
        <f t="shared" si="356"/>
        <v>0</v>
      </c>
    </row>
    <row r="290" spans="1:62" x14ac:dyDescent="0.3">
      <c r="A290" s="53" t="str">
        <f t="shared" si="310"/>
        <v>project 116</v>
      </c>
      <c r="C290" s="55">
        <f t="shared" ref="C290:AH290" si="357">IF(AND(C$127&gt;=$K79,C$127&lt;=$L79),$G79*(1+$H79)^(C$127-$B$5),0)</f>
        <v>0</v>
      </c>
      <c r="D290" s="55">
        <f t="shared" si="357"/>
        <v>0</v>
      </c>
      <c r="E290" s="55">
        <f t="shared" si="357"/>
        <v>0</v>
      </c>
      <c r="F290" s="55">
        <f t="shared" si="357"/>
        <v>0</v>
      </c>
      <c r="G290" s="55">
        <f t="shared" si="357"/>
        <v>0</v>
      </c>
      <c r="H290" s="55">
        <f t="shared" si="357"/>
        <v>18.856071323265649</v>
      </c>
      <c r="I290" s="55">
        <f t="shared" si="357"/>
        <v>19.04463203649831</v>
      </c>
      <c r="J290" s="55">
        <f t="shared" si="357"/>
        <v>19.235078356863287</v>
      </c>
      <c r="K290" s="55">
        <f t="shared" si="357"/>
        <v>19.427429140431926</v>
      </c>
      <c r="L290" s="55">
        <f t="shared" si="357"/>
        <v>19.621703431836245</v>
      </c>
      <c r="M290" s="55">
        <f t="shared" si="357"/>
        <v>19.817920466154607</v>
      </c>
      <c r="N290" s="55">
        <f t="shared" si="357"/>
        <v>20.01609967081615</v>
      </c>
      <c r="O290" s="55">
        <f t="shared" si="357"/>
        <v>20.216260667524313</v>
      </c>
      <c r="P290" s="55">
        <f t="shared" si="357"/>
        <v>20.418423274199554</v>
      </c>
      <c r="Q290" s="55">
        <f t="shared" si="357"/>
        <v>20.622607506941556</v>
      </c>
      <c r="R290" s="55">
        <f t="shared" si="357"/>
        <v>20.828833582010965</v>
      </c>
      <c r="S290" s="55">
        <f t="shared" si="357"/>
        <v>21.03712191783108</v>
      </c>
      <c r="T290" s="55">
        <f t="shared" si="357"/>
        <v>21.247493137009393</v>
      </c>
      <c r="U290" s="55">
        <f t="shared" si="357"/>
        <v>21.459968068379485</v>
      </c>
      <c r="V290" s="55">
        <f t="shared" si="357"/>
        <v>21.674567749063275</v>
      </c>
      <c r="W290" s="55">
        <f t="shared" si="357"/>
        <v>21.891313426553911</v>
      </c>
      <c r="X290" s="55">
        <f t="shared" si="357"/>
        <v>22.110226560819449</v>
      </c>
      <c r="Y290" s="55">
        <f t="shared" si="357"/>
        <v>22.331328826427647</v>
      </c>
      <c r="Z290" s="55">
        <f t="shared" si="357"/>
        <v>22.554642114691919</v>
      </c>
      <c r="AA290" s="55">
        <f t="shared" si="357"/>
        <v>22.780188535838846</v>
      </c>
      <c r="AB290" s="55">
        <f t="shared" si="357"/>
        <v>23.007990421197235</v>
      </c>
      <c r="AC290" s="55">
        <f t="shared" si="357"/>
        <v>23.238070325409208</v>
      </c>
      <c r="AD290" s="55">
        <f t="shared" si="357"/>
        <v>23.470451028663291</v>
      </c>
      <c r="AE290" s="55">
        <f t="shared" si="357"/>
        <v>23.705155538949928</v>
      </c>
      <c r="AF290" s="55">
        <f t="shared" si="357"/>
        <v>23.942207094339427</v>
      </c>
      <c r="AG290" s="55">
        <f t="shared" si="357"/>
        <v>24.181629165282828</v>
      </c>
      <c r="AH290" s="55">
        <f t="shared" si="357"/>
        <v>24.423445456935646</v>
      </c>
      <c r="AI290" s="55">
        <f t="shared" ref="AI290:BJ290" si="358">IF(AND(AI$127&gt;=$K79,AI$127&lt;=$L79),$G79*(1+$H79)^(AI$127-$B$5),0)</f>
        <v>24.667679911505008</v>
      </c>
      <c r="AJ290" s="55">
        <f t="shared" si="358"/>
        <v>24.914356710620059</v>
      </c>
      <c r="AK290" s="55">
        <f t="shared" si="358"/>
        <v>25.163500277726261</v>
      </c>
      <c r="AL290" s="55">
        <f t="shared" si="358"/>
        <v>25.41513528050352</v>
      </c>
      <c r="AM290" s="55">
        <f t="shared" si="358"/>
        <v>25.669286633308555</v>
      </c>
      <c r="AN290" s="55">
        <f t="shared" si="358"/>
        <v>25.925979499641642</v>
      </c>
      <c r="AO290" s="55">
        <f t="shared" si="358"/>
        <v>26.185239294638063</v>
      </c>
      <c r="AP290" s="55">
        <f t="shared" si="358"/>
        <v>26.447091687584436</v>
      </c>
      <c r="AQ290" s="55">
        <f t="shared" si="358"/>
        <v>26.711562604460287</v>
      </c>
      <c r="AR290" s="55">
        <f t="shared" si="358"/>
        <v>26.97867823050489</v>
      </c>
      <c r="AS290" s="55">
        <f t="shared" si="358"/>
        <v>27.248465012809945</v>
      </c>
      <c r="AT290" s="55">
        <f t="shared" si="358"/>
        <v>27.520949662938037</v>
      </c>
      <c r="AU290" s="55">
        <f t="shared" si="358"/>
        <v>27.796159159567416</v>
      </c>
      <c r="AV290" s="55">
        <f t="shared" si="358"/>
        <v>0</v>
      </c>
      <c r="AW290" s="55">
        <f t="shared" si="358"/>
        <v>0</v>
      </c>
      <c r="AX290" s="55">
        <f t="shared" si="358"/>
        <v>0</v>
      </c>
      <c r="AY290" s="55">
        <f t="shared" si="358"/>
        <v>0</v>
      </c>
      <c r="AZ290" s="55">
        <f t="shared" si="358"/>
        <v>0</v>
      </c>
      <c r="BA290" s="55">
        <f t="shared" si="358"/>
        <v>0</v>
      </c>
      <c r="BB290" s="55">
        <f t="shared" si="358"/>
        <v>0</v>
      </c>
      <c r="BC290" s="55">
        <f t="shared" si="358"/>
        <v>0</v>
      </c>
      <c r="BD290" s="55">
        <f t="shared" si="358"/>
        <v>0</v>
      </c>
      <c r="BE290" s="55">
        <f t="shared" si="358"/>
        <v>0</v>
      </c>
      <c r="BF290" s="55">
        <f t="shared" si="358"/>
        <v>0</v>
      </c>
      <c r="BG290" s="55">
        <f t="shared" si="358"/>
        <v>0</v>
      </c>
      <c r="BH290" s="55">
        <f t="shared" si="358"/>
        <v>0</v>
      </c>
      <c r="BI290" s="55">
        <f t="shared" si="358"/>
        <v>0</v>
      </c>
      <c r="BJ290" s="55">
        <f t="shared" si="358"/>
        <v>0</v>
      </c>
    </row>
    <row r="291" spans="1:62" x14ac:dyDescent="0.3">
      <c r="A291" s="53" t="str">
        <f t="shared" si="310"/>
        <v>project 119</v>
      </c>
      <c r="C291" s="55">
        <f t="shared" ref="C291:AH291" si="359">IF(AND(C$127&gt;=$K80,C$127&lt;=$L80),$G80*(1+$H80)^(C$127-$B$5),0)</f>
        <v>0</v>
      </c>
      <c r="D291" s="55">
        <f t="shared" si="359"/>
        <v>0</v>
      </c>
      <c r="E291" s="55">
        <f t="shared" si="359"/>
        <v>0</v>
      </c>
      <c r="F291" s="55">
        <f t="shared" si="359"/>
        <v>0</v>
      </c>
      <c r="G291" s="55">
        <f t="shared" si="359"/>
        <v>0</v>
      </c>
      <c r="H291" s="55">
        <f t="shared" si="359"/>
        <v>0</v>
      </c>
      <c r="I291" s="55">
        <f t="shared" si="359"/>
        <v>0</v>
      </c>
      <c r="J291" s="55">
        <f t="shared" si="359"/>
        <v>0</v>
      </c>
      <c r="K291" s="55">
        <f t="shared" si="359"/>
        <v>0</v>
      </c>
      <c r="L291" s="55">
        <f t="shared" si="359"/>
        <v>10.211576873190511</v>
      </c>
      <c r="M291" s="55">
        <f t="shared" si="359"/>
        <v>10.380067891598156</v>
      </c>
      <c r="N291" s="55">
        <f t="shared" si="359"/>
        <v>10.551339011809524</v>
      </c>
      <c r="O291" s="55">
        <f t="shared" si="359"/>
        <v>10.725436105504382</v>
      </c>
      <c r="P291" s="55">
        <f t="shared" si="359"/>
        <v>10.902405801245203</v>
      </c>
      <c r="Q291" s="55">
        <f t="shared" si="359"/>
        <v>11.082295496965751</v>
      </c>
      <c r="R291" s="55">
        <f t="shared" si="359"/>
        <v>11.265153372665685</v>
      </c>
      <c r="S291" s="55">
        <f t="shared" si="359"/>
        <v>11.451028403314671</v>
      </c>
      <c r="T291" s="55">
        <f t="shared" si="359"/>
        <v>11.639970371969364</v>
      </c>
      <c r="U291" s="55">
        <f t="shared" si="359"/>
        <v>11.832029883106859</v>
      </c>
      <c r="V291" s="55">
        <f t="shared" si="359"/>
        <v>12.02725837617812</v>
      </c>
      <c r="W291" s="55">
        <f t="shared" si="359"/>
        <v>12.225708139385059</v>
      </c>
      <c r="X291" s="55">
        <f t="shared" si="359"/>
        <v>12.427432323684911</v>
      </c>
      <c r="Y291" s="55">
        <f t="shared" si="359"/>
        <v>12.632484957025714</v>
      </c>
      <c r="Z291" s="55">
        <f t="shared" si="359"/>
        <v>12.840920958816637</v>
      </c>
      <c r="AA291" s="55">
        <f t="shared" si="359"/>
        <v>13.052796154637116</v>
      </c>
      <c r="AB291" s="55">
        <f t="shared" si="359"/>
        <v>13.268167291188627</v>
      </c>
      <c r="AC291" s="55">
        <f t="shared" si="359"/>
        <v>13.48709205149324</v>
      </c>
      <c r="AD291" s="55">
        <f t="shared" si="359"/>
        <v>13.709629070342878</v>
      </c>
      <c r="AE291" s="55">
        <f t="shared" si="359"/>
        <v>13.935837950003537</v>
      </c>
      <c r="AF291" s="55">
        <f t="shared" si="359"/>
        <v>14.165779276178593</v>
      </c>
      <c r="AG291" s="55">
        <f t="shared" si="359"/>
        <v>14.399514634235544</v>
      </c>
      <c r="AH291" s="55">
        <f t="shared" si="359"/>
        <v>14.637106625700428</v>
      </c>
      <c r="AI291" s="55">
        <f t="shared" ref="AI291:BJ291" si="360">IF(AND(AI$127&gt;=$K80,AI$127&lt;=$L80),$G80*(1+$H80)^(AI$127-$B$5),0)</f>
        <v>14.878618885024487</v>
      </c>
      <c r="AJ291" s="55">
        <f t="shared" si="360"/>
        <v>15.124116096627391</v>
      </c>
      <c r="AK291" s="55">
        <f t="shared" si="360"/>
        <v>15.373664012221743</v>
      </c>
      <c r="AL291" s="55">
        <f t="shared" si="360"/>
        <v>15.627329468423401</v>
      </c>
      <c r="AM291" s="55">
        <f t="shared" si="360"/>
        <v>15.88518040465239</v>
      </c>
      <c r="AN291" s="55">
        <f t="shared" si="360"/>
        <v>16.14728588132915</v>
      </c>
      <c r="AO291" s="55">
        <f t="shared" si="360"/>
        <v>16.413716098371083</v>
      </c>
      <c r="AP291" s="55">
        <f t="shared" si="360"/>
        <v>16.684542413994205</v>
      </c>
      <c r="AQ291" s="55">
        <f t="shared" si="360"/>
        <v>16.959837363825116</v>
      </c>
      <c r="AR291" s="55">
        <f t="shared" si="360"/>
        <v>17.239674680328228</v>
      </c>
      <c r="AS291" s="55">
        <f t="shared" si="360"/>
        <v>17.524129312553644</v>
      </c>
      <c r="AT291" s="55">
        <f t="shared" si="360"/>
        <v>17.81327744621078</v>
      </c>
      <c r="AU291" s="55">
        <f t="shared" si="360"/>
        <v>18.107196524073256</v>
      </c>
      <c r="AV291" s="55">
        <f t="shared" si="360"/>
        <v>18.405965266720465</v>
      </c>
      <c r="AW291" s="55">
        <f t="shared" si="360"/>
        <v>18.709663693621355</v>
      </c>
      <c r="AX291" s="55">
        <f t="shared" si="360"/>
        <v>19.018373144566109</v>
      </c>
      <c r="AY291" s="55">
        <f t="shared" si="360"/>
        <v>19.332176301451447</v>
      </c>
      <c r="AZ291" s="55">
        <f t="shared" si="360"/>
        <v>0</v>
      </c>
      <c r="BA291" s="55">
        <f t="shared" si="360"/>
        <v>0</v>
      </c>
      <c r="BB291" s="55">
        <f t="shared" si="360"/>
        <v>0</v>
      </c>
      <c r="BC291" s="55">
        <f t="shared" si="360"/>
        <v>0</v>
      </c>
      <c r="BD291" s="55">
        <f t="shared" si="360"/>
        <v>0</v>
      </c>
      <c r="BE291" s="55">
        <f t="shared" si="360"/>
        <v>0</v>
      </c>
      <c r="BF291" s="55">
        <f t="shared" si="360"/>
        <v>0</v>
      </c>
      <c r="BG291" s="55">
        <f t="shared" si="360"/>
        <v>0</v>
      </c>
      <c r="BH291" s="55">
        <f t="shared" si="360"/>
        <v>0</v>
      </c>
      <c r="BI291" s="55">
        <f t="shared" si="360"/>
        <v>0</v>
      </c>
      <c r="BJ291" s="55">
        <f t="shared" si="360"/>
        <v>0</v>
      </c>
    </row>
    <row r="292" spans="1:62" x14ac:dyDescent="0.3">
      <c r="A292" s="53" t="str">
        <f t="shared" si="310"/>
        <v>project 120</v>
      </c>
      <c r="C292" s="55">
        <f t="shared" ref="C292:AH292" si="361">IF(AND(C$127&gt;=$K81,C$127&lt;=$L81),$G81*(1+$H81)^(C$127-$B$5),0)</f>
        <v>0</v>
      </c>
      <c r="D292" s="55">
        <f t="shared" si="361"/>
        <v>0</v>
      </c>
      <c r="E292" s="55">
        <f t="shared" si="361"/>
        <v>0</v>
      </c>
      <c r="F292" s="55">
        <f t="shared" si="361"/>
        <v>0</v>
      </c>
      <c r="G292" s="55">
        <f t="shared" si="361"/>
        <v>0</v>
      </c>
      <c r="H292" s="55">
        <f t="shared" si="361"/>
        <v>0</v>
      </c>
      <c r="I292" s="55">
        <f t="shared" si="361"/>
        <v>24.559419457265214</v>
      </c>
      <c r="J292" s="55">
        <f t="shared" si="361"/>
        <v>24.814837419620776</v>
      </c>
      <c r="K292" s="55">
        <f t="shared" si="361"/>
        <v>25.072911728784824</v>
      </c>
      <c r="L292" s="55">
        <f t="shared" si="361"/>
        <v>25.333670010764187</v>
      </c>
      <c r="M292" s="55">
        <f t="shared" si="361"/>
        <v>25.597140178876131</v>
      </c>
      <c r="N292" s="55">
        <f t="shared" si="361"/>
        <v>25.86335043673644</v>
      </c>
      <c r="O292" s="55">
        <f t="shared" si="361"/>
        <v>26.132329281278494</v>
      </c>
      <c r="P292" s="55">
        <f t="shared" si="361"/>
        <v>26.404105505803791</v>
      </c>
      <c r="Q292" s="55">
        <f t="shared" si="361"/>
        <v>26.678708203064147</v>
      </c>
      <c r="R292" s="55">
        <f t="shared" si="361"/>
        <v>26.956166768376015</v>
      </c>
      <c r="S292" s="55">
        <f t="shared" si="361"/>
        <v>27.236510902767115</v>
      </c>
      <c r="T292" s="55">
        <f t="shared" si="361"/>
        <v>27.519770616155892</v>
      </c>
      <c r="U292" s="55">
        <f t="shared" si="361"/>
        <v>27.80597623056391</v>
      </c>
      <c r="V292" s="55">
        <f t="shared" si="361"/>
        <v>28.095158383361778</v>
      </c>
      <c r="W292" s="55">
        <f t="shared" si="361"/>
        <v>28.387348030548733</v>
      </c>
      <c r="X292" s="55">
        <f t="shared" si="361"/>
        <v>28.682576450066442</v>
      </c>
      <c r="Y292" s="55">
        <f t="shared" si="361"/>
        <v>28.980875245147125</v>
      </c>
      <c r="Z292" s="55">
        <f t="shared" si="361"/>
        <v>29.282276347696655</v>
      </c>
      <c r="AA292" s="55">
        <f t="shared" si="361"/>
        <v>29.586812021712692</v>
      </c>
      <c r="AB292" s="55">
        <f t="shared" si="361"/>
        <v>29.894514866738508</v>
      </c>
      <c r="AC292" s="55">
        <f t="shared" si="361"/>
        <v>30.205417821352583</v>
      </c>
      <c r="AD292" s="55">
        <f t="shared" si="361"/>
        <v>30.519554166694643</v>
      </c>
      <c r="AE292" s="55">
        <f t="shared" si="361"/>
        <v>30.836957530028265</v>
      </c>
      <c r="AF292" s="55">
        <f t="shared" si="361"/>
        <v>31.157661888340559</v>
      </c>
      <c r="AG292" s="55">
        <f t="shared" si="361"/>
        <v>31.481701571979293</v>
      </c>
      <c r="AH292" s="55">
        <f t="shared" si="361"/>
        <v>31.809111268327882</v>
      </c>
      <c r="AI292" s="55">
        <f t="shared" ref="AI292:BJ292" si="362">IF(AND(AI$127&gt;=$K81,AI$127&lt;=$L81),$G81*(1+$H81)^(AI$127-$B$5),0)</f>
        <v>32.139926025518477</v>
      </c>
      <c r="AJ292" s="55">
        <f t="shared" si="362"/>
        <v>32.474181256183869</v>
      </c>
      <c r="AK292" s="55">
        <f t="shared" si="362"/>
        <v>32.811912741248179</v>
      </c>
      <c r="AL292" s="55">
        <f t="shared" si="362"/>
        <v>33.153156633757163</v>
      </c>
      <c r="AM292" s="55">
        <f t="shared" si="362"/>
        <v>33.497949462748224</v>
      </c>
      <c r="AN292" s="55">
        <f t="shared" si="362"/>
        <v>33.84632813716081</v>
      </c>
      <c r="AO292" s="55">
        <f t="shared" si="362"/>
        <v>34.198329949787272</v>
      </c>
      <c r="AP292" s="55">
        <f t="shared" si="362"/>
        <v>34.553992581265064</v>
      </c>
      <c r="AQ292" s="55">
        <f t="shared" si="362"/>
        <v>34.913354104110205</v>
      </c>
      <c r="AR292" s="55">
        <f t="shared" si="362"/>
        <v>35.276452986792961</v>
      </c>
      <c r="AS292" s="55">
        <f t="shared" si="362"/>
        <v>35.643328097855601</v>
      </c>
      <c r="AT292" s="55">
        <f t="shared" si="362"/>
        <v>36.014018710073287</v>
      </c>
      <c r="AU292" s="55">
        <f t="shared" si="362"/>
        <v>36.388564504658049</v>
      </c>
      <c r="AV292" s="55">
        <f t="shared" si="362"/>
        <v>36.767005575506495</v>
      </c>
      <c r="AW292" s="55">
        <f t="shared" si="362"/>
        <v>0</v>
      </c>
      <c r="AX292" s="55">
        <f t="shared" si="362"/>
        <v>0</v>
      </c>
      <c r="AY292" s="55">
        <f t="shared" si="362"/>
        <v>0</v>
      </c>
      <c r="AZ292" s="55">
        <f t="shared" si="362"/>
        <v>0</v>
      </c>
      <c r="BA292" s="55">
        <f t="shared" si="362"/>
        <v>0</v>
      </c>
      <c r="BB292" s="55">
        <f t="shared" si="362"/>
        <v>0</v>
      </c>
      <c r="BC292" s="55">
        <f t="shared" si="362"/>
        <v>0</v>
      </c>
      <c r="BD292" s="55">
        <f t="shared" si="362"/>
        <v>0</v>
      </c>
      <c r="BE292" s="55">
        <f t="shared" si="362"/>
        <v>0</v>
      </c>
      <c r="BF292" s="55">
        <f t="shared" si="362"/>
        <v>0</v>
      </c>
      <c r="BG292" s="55">
        <f t="shared" si="362"/>
        <v>0</v>
      </c>
      <c r="BH292" s="55">
        <f t="shared" si="362"/>
        <v>0</v>
      </c>
      <c r="BI292" s="55">
        <f t="shared" si="362"/>
        <v>0</v>
      </c>
      <c r="BJ292" s="55">
        <f t="shared" si="362"/>
        <v>0</v>
      </c>
    </row>
    <row r="293" spans="1:62" x14ac:dyDescent="0.3">
      <c r="A293" s="53" t="str">
        <f t="shared" si="310"/>
        <v>project 121</v>
      </c>
      <c r="C293" s="55">
        <f t="shared" ref="C293:AH293" si="363">IF(AND(C$127&gt;=$K82,C$127&lt;=$L82),$G82*(1+$H82)^(C$127-$B$5),0)</f>
        <v>0</v>
      </c>
      <c r="D293" s="55">
        <f t="shared" si="363"/>
        <v>0</v>
      </c>
      <c r="E293" s="55">
        <f t="shared" si="363"/>
        <v>0</v>
      </c>
      <c r="F293" s="55">
        <f t="shared" si="363"/>
        <v>0</v>
      </c>
      <c r="G293" s="55">
        <f t="shared" si="363"/>
        <v>0</v>
      </c>
      <c r="H293" s="55">
        <f t="shared" si="363"/>
        <v>0</v>
      </c>
      <c r="I293" s="55">
        <f t="shared" si="363"/>
        <v>0</v>
      </c>
      <c r="J293" s="55">
        <f t="shared" si="363"/>
        <v>0</v>
      </c>
      <c r="K293" s="55">
        <f t="shared" si="363"/>
        <v>0</v>
      </c>
      <c r="L293" s="55">
        <f t="shared" si="363"/>
        <v>0</v>
      </c>
      <c r="M293" s="55">
        <f t="shared" si="363"/>
        <v>0</v>
      </c>
      <c r="N293" s="55">
        <f t="shared" si="363"/>
        <v>0</v>
      </c>
      <c r="O293" s="55">
        <f t="shared" si="363"/>
        <v>0</v>
      </c>
      <c r="P293" s="55">
        <f t="shared" si="363"/>
        <v>0</v>
      </c>
      <c r="Q293" s="55">
        <f t="shared" si="363"/>
        <v>0</v>
      </c>
      <c r="R293" s="55">
        <f t="shared" si="363"/>
        <v>0</v>
      </c>
      <c r="S293" s="55">
        <f t="shared" si="363"/>
        <v>0</v>
      </c>
      <c r="T293" s="55">
        <f t="shared" si="363"/>
        <v>0</v>
      </c>
      <c r="U293" s="55">
        <f t="shared" si="363"/>
        <v>0</v>
      </c>
      <c r="V293" s="55">
        <f t="shared" si="363"/>
        <v>15.155586075622466</v>
      </c>
      <c r="W293" s="55">
        <f t="shared" si="363"/>
        <v>15.58903583738527</v>
      </c>
      <c r="X293" s="55">
        <f t="shared" si="363"/>
        <v>16.034882262334484</v>
      </c>
      <c r="Y293" s="55">
        <f t="shared" si="363"/>
        <v>16.493479895037254</v>
      </c>
      <c r="Z293" s="55">
        <f t="shared" si="363"/>
        <v>16.96519342003532</v>
      </c>
      <c r="AA293" s="55">
        <f t="shared" si="363"/>
        <v>17.450397951848323</v>
      </c>
      <c r="AB293" s="55">
        <f t="shared" si="363"/>
        <v>17.949479333271185</v>
      </c>
      <c r="AC293" s="55">
        <f t="shared" si="363"/>
        <v>18.462834442202745</v>
      </c>
      <c r="AD293" s="55">
        <f t="shared" si="363"/>
        <v>18.990871507249736</v>
      </c>
      <c r="AE293" s="55">
        <f t="shared" si="363"/>
        <v>19.534010432357078</v>
      </c>
      <c r="AF293" s="55">
        <f t="shared" si="363"/>
        <v>20.092683130722492</v>
      </c>
      <c r="AG293" s="55">
        <f t="shared" si="363"/>
        <v>20.667333868261153</v>
      </c>
      <c r="AH293" s="55">
        <f t="shared" si="363"/>
        <v>21.258419616893423</v>
      </c>
      <c r="AI293" s="55">
        <f t="shared" ref="AI293:BJ293" si="364">IF(AND(AI$127&gt;=$K82,AI$127&lt;=$L82),$G82*(1+$H82)^(AI$127-$B$5),0)</f>
        <v>21.866410417936567</v>
      </c>
      <c r="AJ293" s="55">
        <f t="shared" si="364"/>
        <v>22.491789755889553</v>
      </c>
      <c r="AK293" s="55">
        <f t="shared" si="364"/>
        <v>23.135054942907992</v>
      </c>
      <c r="AL293" s="55">
        <f t="shared" si="364"/>
        <v>23.796717514275162</v>
      </c>
      <c r="AM293" s="55">
        <f t="shared" si="364"/>
        <v>24.477303635183429</v>
      </c>
      <c r="AN293" s="55">
        <f t="shared" si="364"/>
        <v>25.177354519149674</v>
      </c>
      <c r="AO293" s="55">
        <f t="shared" si="364"/>
        <v>25.897426858397356</v>
      </c>
      <c r="AP293" s="55">
        <f t="shared" si="364"/>
        <v>26.638093266547514</v>
      </c>
      <c r="AQ293" s="55">
        <f t="shared" si="364"/>
        <v>27.399942733970772</v>
      </c>
      <c r="AR293" s="55">
        <f t="shared" si="364"/>
        <v>28.183581096162339</v>
      </c>
      <c r="AS293" s="55">
        <f t="shared" si="364"/>
        <v>28.989631515512578</v>
      </c>
      <c r="AT293" s="55">
        <f t="shared" si="364"/>
        <v>29.818734976856231</v>
      </c>
      <c r="AU293" s="55">
        <f t="shared" si="364"/>
        <v>30.671550797194321</v>
      </c>
      <c r="AV293" s="55">
        <f t="shared" si="364"/>
        <v>31.548757149994078</v>
      </c>
      <c r="AW293" s="55">
        <f t="shared" si="364"/>
        <v>32.451051604483908</v>
      </c>
      <c r="AX293" s="55">
        <f t="shared" si="364"/>
        <v>33.379151680372146</v>
      </c>
      <c r="AY293" s="55">
        <f t="shared" si="364"/>
        <v>34.333795418430782</v>
      </c>
      <c r="AZ293" s="55">
        <f t="shared" si="364"/>
        <v>35.315741967397898</v>
      </c>
      <c r="BA293" s="55">
        <f t="shared" si="364"/>
        <v>36.325772187665478</v>
      </c>
      <c r="BB293" s="55">
        <f t="shared" si="364"/>
        <v>37.364689272232702</v>
      </c>
      <c r="BC293" s="55">
        <f t="shared" si="364"/>
        <v>38.433319385418564</v>
      </c>
      <c r="BD293" s="55">
        <f t="shared" si="364"/>
        <v>39.53251231984153</v>
      </c>
      <c r="BE293" s="55">
        <f t="shared" si="364"/>
        <v>40.663142172189005</v>
      </c>
      <c r="BF293" s="55">
        <f t="shared" si="364"/>
        <v>41.826108038313606</v>
      </c>
      <c r="BG293" s="55">
        <f t="shared" si="364"/>
        <v>43.022334728209358</v>
      </c>
      <c r="BH293" s="55">
        <f t="shared" si="364"/>
        <v>44.252773501436153</v>
      </c>
      <c r="BI293" s="55">
        <f t="shared" si="364"/>
        <v>45.518402823577226</v>
      </c>
      <c r="BJ293" s="55">
        <f t="shared" si="364"/>
        <v>0</v>
      </c>
    </row>
    <row r="294" spans="1:62" x14ac:dyDescent="0.3">
      <c r="A294" s="53" t="str">
        <f t="shared" si="310"/>
        <v>project 125</v>
      </c>
      <c r="C294" s="55">
        <f t="shared" ref="C294:AH294" si="365">IF(AND(C$127&gt;=$K83,C$127&lt;=$L83),$G83*(1+$H83)^(C$127-$B$5),0)</f>
        <v>0</v>
      </c>
      <c r="D294" s="55">
        <f t="shared" si="365"/>
        <v>0</v>
      </c>
      <c r="E294" s="55">
        <f t="shared" si="365"/>
        <v>0</v>
      </c>
      <c r="F294" s="55">
        <f t="shared" si="365"/>
        <v>0</v>
      </c>
      <c r="G294" s="55">
        <f t="shared" si="365"/>
        <v>0</v>
      </c>
      <c r="H294" s="55">
        <f t="shared" si="365"/>
        <v>0</v>
      </c>
      <c r="I294" s="55">
        <f t="shared" si="365"/>
        <v>0</v>
      </c>
      <c r="J294" s="55">
        <f t="shared" si="365"/>
        <v>0</v>
      </c>
      <c r="K294" s="55">
        <f t="shared" si="365"/>
        <v>0</v>
      </c>
      <c r="L294" s="55">
        <f t="shared" si="365"/>
        <v>0</v>
      </c>
      <c r="M294" s="55">
        <f t="shared" si="365"/>
        <v>0</v>
      </c>
      <c r="N294" s="55">
        <f t="shared" si="365"/>
        <v>0</v>
      </c>
      <c r="O294" s="55">
        <f t="shared" si="365"/>
        <v>0</v>
      </c>
      <c r="P294" s="55">
        <f t="shared" si="365"/>
        <v>0</v>
      </c>
      <c r="Q294" s="55">
        <f t="shared" si="365"/>
        <v>0</v>
      </c>
      <c r="R294" s="55">
        <f t="shared" si="365"/>
        <v>0</v>
      </c>
      <c r="S294" s="55">
        <f t="shared" si="365"/>
        <v>0</v>
      </c>
      <c r="T294" s="55">
        <f t="shared" si="365"/>
        <v>0</v>
      </c>
      <c r="U294" s="55">
        <f t="shared" si="365"/>
        <v>17.234088445070427</v>
      </c>
      <c r="V294" s="55">
        <f t="shared" si="365"/>
        <v>17.70974928615437</v>
      </c>
      <c r="W294" s="55">
        <f t="shared" si="365"/>
        <v>18.198538366452233</v>
      </c>
      <c r="X294" s="55">
        <f t="shared" si="365"/>
        <v>18.700818025366317</v>
      </c>
      <c r="Y294" s="55">
        <f t="shared" si="365"/>
        <v>19.216960602866429</v>
      </c>
      <c r="Z294" s="55">
        <f t="shared" si="365"/>
        <v>19.747348715505545</v>
      </c>
      <c r="AA294" s="55">
        <f t="shared" si="365"/>
        <v>20.292375540053499</v>
      </c>
      <c r="AB294" s="55">
        <f t="shared" si="365"/>
        <v>20.852445104958974</v>
      </c>
      <c r="AC294" s="55">
        <f t="shared" si="365"/>
        <v>21.427972589855845</v>
      </c>
      <c r="AD294" s="55">
        <f t="shared" si="365"/>
        <v>22.019384633335875</v>
      </c>
      <c r="AE294" s="55">
        <f t="shared" si="365"/>
        <v>22.627119649215945</v>
      </c>
      <c r="AF294" s="55">
        <f t="shared" si="365"/>
        <v>23.251628151534305</v>
      </c>
      <c r="AG294" s="55">
        <f t="shared" si="365"/>
        <v>23.893373088516654</v>
      </c>
      <c r="AH294" s="55">
        <f t="shared" si="365"/>
        <v>24.552830185759717</v>
      </c>
      <c r="AI294" s="55">
        <f t="shared" ref="AI294:BJ294" si="366">IF(AND(AI$127&gt;=$K83,AI$127&lt;=$L83),$G83*(1+$H83)^(AI$127-$B$5),0)</f>
        <v>25.230488298886684</v>
      </c>
      <c r="AJ294" s="55">
        <f t="shared" si="366"/>
        <v>25.92684977593596</v>
      </c>
      <c r="AK294" s="55">
        <f t="shared" si="366"/>
        <v>26.642430829751792</v>
      </c>
      <c r="AL294" s="55">
        <f t="shared" si="366"/>
        <v>27.377761920652947</v>
      </c>
      <c r="AM294" s="55">
        <f t="shared" si="366"/>
        <v>28.13338814966297</v>
      </c>
      <c r="AN294" s="55">
        <f t="shared" si="366"/>
        <v>28.909869662593671</v>
      </c>
      <c r="AO294" s="55">
        <f t="shared" si="366"/>
        <v>29.707782065281261</v>
      </c>
      <c r="AP294" s="55">
        <f t="shared" si="366"/>
        <v>30.527716850283028</v>
      </c>
      <c r="AQ294" s="55">
        <f t="shared" si="366"/>
        <v>31.370281835350838</v>
      </c>
      <c r="AR294" s="55">
        <f t="shared" si="366"/>
        <v>32.236101614006522</v>
      </c>
      <c r="AS294" s="55">
        <f t="shared" si="366"/>
        <v>33.125818018553112</v>
      </c>
      <c r="AT294" s="55">
        <f t="shared" si="366"/>
        <v>34.04009059586518</v>
      </c>
      <c r="AU294" s="55">
        <f t="shared" si="366"/>
        <v>34.979597096311061</v>
      </c>
      <c r="AV294" s="55">
        <f t="shared" si="366"/>
        <v>35.945033976169249</v>
      </c>
      <c r="AW294" s="55">
        <f t="shared" si="366"/>
        <v>36.937116913911531</v>
      </c>
      <c r="AX294" s="55">
        <f t="shared" si="366"/>
        <v>37.95658134073549</v>
      </c>
      <c r="AY294" s="55">
        <f t="shared" si="366"/>
        <v>39.004182985739789</v>
      </c>
      <c r="AZ294" s="55">
        <f t="shared" si="366"/>
        <v>40.080698436146207</v>
      </c>
      <c r="BA294" s="55">
        <f t="shared" si="366"/>
        <v>41.186925712983857</v>
      </c>
      <c r="BB294" s="55">
        <f t="shared" si="366"/>
        <v>42.323684862662205</v>
      </c>
      <c r="BC294" s="55">
        <f t="shared" si="366"/>
        <v>43.4918185648717</v>
      </c>
      <c r="BD294" s="55">
        <f t="shared" si="366"/>
        <v>44.692192757262156</v>
      </c>
      <c r="BE294" s="55">
        <f t="shared" si="366"/>
        <v>45.925697277362595</v>
      </c>
      <c r="BF294" s="55">
        <f t="shared" si="366"/>
        <v>47.193246522217805</v>
      </c>
      <c r="BG294" s="55">
        <f t="shared" si="366"/>
        <v>48.495780126231018</v>
      </c>
      <c r="BH294" s="55">
        <f t="shared" si="366"/>
        <v>49.834263657714992</v>
      </c>
      <c r="BI294" s="55">
        <f t="shared" si="366"/>
        <v>0</v>
      </c>
      <c r="BJ294" s="55">
        <f t="shared" si="366"/>
        <v>0</v>
      </c>
    </row>
    <row r="295" spans="1:62" x14ac:dyDescent="0.3">
      <c r="A295" s="53" t="str">
        <f t="shared" si="310"/>
        <v>project 126</v>
      </c>
      <c r="C295" s="55">
        <f t="shared" ref="C295:AH295" si="367">IF(AND(C$127&gt;=$K84,C$127&lt;=$L84),$G84*(1+$H84)^(C$127-$B$5),0)</f>
        <v>0</v>
      </c>
      <c r="D295" s="55">
        <f t="shared" si="367"/>
        <v>0</v>
      </c>
      <c r="E295" s="55">
        <f t="shared" si="367"/>
        <v>0</v>
      </c>
      <c r="F295" s="55">
        <f t="shared" si="367"/>
        <v>0</v>
      </c>
      <c r="G295" s="55">
        <f t="shared" si="367"/>
        <v>0</v>
      </c>
      <c r="H295" s="55">
        <f t="shared" si="367"/>
        <v>0</v>
      </c>
      <c r="I295" s="55">
        <f t="shared" si="367"/>
        <v>0</v>
      </c>
      <c r="J295" s="55">
        <f t="shared" si="367"/>
        <v>0</v>
      </c>
      <c r="K295" s="55">
        <f t="shared" si="367"/>
        <v>0</v>
      </c>
      <c r="L295" s="55">
        <f t="shared" si="367"/>
        <v>0</v>
      </c>
      <c r="M295" s="55">
        <f t="shared" si="367"/>
        <v>0</v>
      </c>
      <c r="N295" s="55">
        <f t="shared" si="367"/>
        <v>0</v>
      </c>
      <c r="O295" s="55">
        <f t="shared" si="367"/>
        <v>0</v>
      </c>
      <c r="P295" s="55">
        <f t="shared" si="367"/>
        <v>0</v>
      </c>
      <c r="Q295" s="55">
        <f t="shared" si="367"/>
        <v>0</v>
      </c>
      <c r="R295" s="55">
        <f t="shared" si="367"/>
        <v>0</v>
      </c>
      <c r="S295" s="55">
        <f t="shared" si="367"/>
        <v>0</v>
      </c>
      <c r="T295" s="55">
        <f t="shared" si="367"/>
        <v>0</v>
      </c>
      <c r="U295" s="55">
        <f t="shared" si="367"/>
        <v>0</v>
      </c>
      <c r="V295" s="55">
        <f t="shared" si="367"/>
        <v>18.699910161295257</v>
      </c>
      <c r="W295" s="55">
        <f t="shared" si="367"/>
        <v>19.197327771585705</v>
      </c>
      <c r="X295" s="55">
        <f t="shared" si="367"/>
        <v>19.707976690309888</v>
      </c>
      <c r="Y295" s="55">
        <f t="shared" si="367"/>
        <v>20.232208870272128</v>
      </c>
      <c r="Z295" s="55">
        <f t="shared" si="367"/>
        <v>20.770385626221366</v>
      </c>
      <c r="AA295" s="55">
        <f t="shared" si="367"/>
        <v>21.322877883878849</v>
      </c>
      <c r="AB295" s="55">
        <f t="shared" si="367"/>
        <v>21.890066435590025</v>
      </c>
      <c r="AC295" s="55">
        <f t="shared" si="367"/>
        <v>22.472342202776719</v>
      </c>
      <c r="AD295" s="55">
        <f t="shared" si="367"/>
        <v>23.070106505370582</v>
      </c>
      <c r="AE295" s="55">
        <f t="shared" si="367"/>
        <v>23.683771338413436</v>
      </c>
      <c r="AF295" s="55">
        <f t="shared" si="367"/>
        <v>24.313759656015232</v>
      </c>
      <c r="AG295" s="55">
        <f t="shared" si="367"/>
        <v>24.960505662865231</v>
      </c>
      <c r="AH295" s="55">
        <f t="shared" si="367"/>
        <v>25.624455113497451</v>
      </c>
      <c r="AI295" s="55">
        <f t="shared" ref="AI295:BJ295" si="368">IF(AND(AI$127&gt;=$K84,AI$127&lt;=$L84),$G84*(1+$H84)^(AI$127-$B$5),0)</f>
        <v>26.306065619516481</v>
      </c>
      <c r="AJ295" s="55">
        <f t="shared" si="368"/>
        <v>27.005806964995617</v>
      </c>
      <c r="AK295" s="55">
        <f t="shared" si="368"/>
        <v>27.724161430264502</v>
      </c>
      <c r="AL295" s="55">
        <f t="shared" si="368"/>
        <v>28.461624124309534</v>
      </c>
      <c r="AM295" s="55">
        <f t="shared" si="368"/>
        <v>29.218703326016161</v>
      </c>
      <c r="AN295" s="55">
        <f t="shared" si="368"/>
        <v>29.995920834488196</v>
      </c>
      <c r="AO295" s="55">
        <f t="shared" si="368"/>
        <v>30.793812328685576</v>
      </c>
      <c r="AP295" s="55">
        <f t="shared" si="368"/>
        <v>31.612927736628613</v>
      </c>
      <c r="AQ295" s="55">
        <f t="shared" si="368"/>
        <v>32.453831614422924</v>
      </c>
      <c r="AR295" s="55">
        <f t="shared" si="368"/>
        <v>33.31710353536657</v>
      </c>
      <c r="AS295" s="55">
        <f t="shared" si="368"/>
        <v>34.203338489407329</v>
      </c>
      <c r="AT295" s="55">
        <f t="shared" si="368"/>
        <v>35.113147293225559</v>
      </c>
      <c r="AU295" s="55">
        <f t="shared" si="368"/>
        <v>36.047157011225352</v>
      </c>
      <c r="AV295" s="55">
        <f t="shared" si="368"/>
        <v>37.006011387723944</v>
      </c>
      <c r="AW295" s="55">
        <f t="shared" si="368"/>
        <v>37.990371290637398</v>
      </c>
      <c r="AX295" s="55">
        <f t="shared" si="368"/>
        <v>39.000915166968362</v>
      </c>
      <c r="AY295" s="55">
        <f t="shared" si="368"/>
        <v>40.038339510409713</v>
      </c>
      <c r="AZ295" s="55">
        <f t="shared" si="368"/>
        <v>41.103359341386607</v>
      </c>
      <c r="BA295" s="55">
        <f t="shared" si="368"/>
        <v>42.196708699867486</v>
      </c>
      <c r="BB295" s="55">
        <f t="shared" si="368"/>
        <v>43.319141151283965</v>
      </c>
      <c r="BC295" s="55">
        <f t="shared" si="368"/>
        <v>44.471430305908108</v>
      </c>
      <c r="BD295" s="55">
        <f t="shared" si="368"/>
        <v>45.654370352045269</v>
      </c>
      <c r="BE295" s="55">
        <f t="shared" si="368"/>
        <v>46.868776603409671</v>
      </c>
      <c r="BF295" s="55">
        <f t="shared" si="368"/>
        <v>48.115486061060359</v>
      </c>
      <c r="BG295" s="55">
        <f t="shared" si="368"/>
        <v>49.395357990284552</v>
      </c>
      <c r="BH295" s="55">
        <f t="shared" si="368"/>
        <v>50.70927451282612</v>
      </c>
      <c r="BI295" s="55">
        <f t="shared" si="368"/>
        <v>52.058141214867298</v>
      </c>
      <c r="BJ295" s="55">
        <f t="shared" si="368"/>
        <v>0</v>
      </c>
    </row>
    <row r="296" spans="1:62" x14ac:dyDescent="0.3">
      <c r="A296" s="53" t="str">
        <f t="shared" si="310"/>
        <v>project 128</v>
      </c>
      <c r="C296" s="55">
        <f t="shared" ref="C296:AH296" si="369">IF(AND(C$127&gt;=$K85,C$127&lt;=$L85),$G85*(1+$H85)^(C$127-$B$5),0)</f>
        <v>0</v>
      </c>
      <c r="D296" s="55">
        <f t="shared" si="369"/>
        <v>0</v>
      </c>
      <c r="E296" s="55">
        <f t="shared" si="369"/>
        <v>0</v>
      </c>
      <c r="F296" s="55">
        <f t="shared" si="369"/>
        <v>0</v>
      </c>
      <c r="G296" s="55">
        <f t="shared" si="369"/>
        <v>0</v>
      </c>
      <c r="H296" s="55">
        <f t="shared" si="369"/>
        <v>0</v>
      </c>
      <c r="I296" s="55">
        <f t="shared" si="369"/>
        <v>0</v>
      </c>
      <c r="J296" s="55">
        <f t="shared" si="369"/>
        <v>0</v>
      </c>
      <c r="K296" s="55">
        <f t="shared" si="369"/>
        <v>3.0826162285862519</v>
      </c>
      <c r="L296" s="55">
        <f t="shared" si="369"/>
        <v>3.1325546114893488</v>
      </c>
      <c r="M296" s="55">
        <f t="shared" si="369"/>
        <v>3.1833019961954765</v>
      </c>
      <c r="N296" s="55">
        <f t="shared" si="369"/>
        <v>3.2348714885338432</v>
      </c>
      <c r="O296" s="55">
        <f t="shared" si="369"/>
        <v>3.2872764066480911</v>
      </c>
      <c r="P296" s="55">
        <f t="shared" si="369"/>
        <v>3.3405302844357903</v>
      </c>
      <c r="Q296" s="55">
        <f t="shared" si="369"/>
        <v>3.3946468750436498</v>
      </c>
      <c r="R296" s="55">
        <f t="shared" si="369"/>
        <v>3.4496401544193573</v>
      </c>
      <c r="S296" s="55">
        <f t="shared" si="369"/>
        <v>3.5055243249209505</v>
      </c>
      <c r="T296" s="55">
        <f t="shared" si="369"/>
        <v>3.5623138189846699</v>
      </c>
      <c r="U296" s="55">
        <f t="shared" si="369"/>
        <v>3.6200233028522213</v>
      </c>
      <c r="V296" s="55">
        <f t="shared" si="369"/>
        <v>3.6786676803584273</v>
      </c>
      <c r="W296" s="55">
        <f t="shared" si="369"/>
        <v>3.7382620967802334</v>
      </c>
      <c r="X296" s="55">
        <f t="shared" si="369"/>
        <v>3.7988219427480732</v>
      </c>
      <c r="Y296" s="55">
        <f t="shared" si="369"/>
        <v>3.8603628582205913</v>
      </c>
      <c r="Z296" s="55">
        <f t="shared" si="369"/>
        <v>3.9229007365237654</v>
      </c>
      <c r="AA296" s="55">
        <f t="shared" si="369"/>
        <v>3.9864517284554499</v>
      </c>
      <c r="AB296" s="55">
        <f t="shared" si="369"/>
        <v>4.0510322464564279</v>
      </c>
      <c r="AC296" s="55">
        <f t="shared" si="369"/>
        <v>4.1166589688490225</v>
      </c>
      <c r="AD296" s="55">
        <f t="shared" si="369"/>
        <v>4.1833488441443771</v>
      </c>
      <c r="AE296" s="55">
        <f t="shared" si="369"/>
        <v>4.251119095419515</v>
      </c>
      <c r="AF296" s="55">
        <f t="shared" si="369"/>
        <v>4.3199872247653106</v>
      </c>
      <c r="AG296" s="55">
        <f t="shared" si="369"/>
        <v>4.3899710178065092</v>
      </c>
      <c r="AH296" s="55">
        <f t="shared" si="369"/>
        <v>4.4610885482949749</v>
      </c>
      <c r="AI296" s="55">
        <f t="shared" ref="AI296:BJ296" si="370">IF(AND(AI$127&gt;=$K85,AI$127&lt;=$L85),$G85*(1+$H85)^(AI$127-$B$5),0)</f>
        <v>4.533358182777353</v>
      </c>
      <c r="AJ296" s="55">
        <f t="shared" si="370"/>
        <v>4.6067985853383462</v>
      </c>
      <c r="AK296" s="55">
        <f t="shared" si="370"/>
        <v>4.6814287224208266</v>
      </c>
      <c r="AL296" s="55">
        <f t="shared" si="370"/>
        <v>4.7572678677240443</v>
      </c>
      <c r="AM296" s="55">
        <f t="shared" si="370"/>
        <v>4.8343356071811732</v>
      </c>
      <c r="AN296" s="55">
        <f t="shared" si="370"/>
        <v>4.9126518440175078</v>
      </c>
      <c r="AO296" s="55">
        <f t="shared" si="370"/>
        <v>4.9922368038905915</v>
      </c>
      <c r="AP296" s="55">
        <f t="shared" si="370"/>
        <v>5.0731110401136199</v>
      </c>
      <c r="AQ296" s="55">
        <f t="shared" si="370"/>
        <v>5.15529543896346</v>
      </c>
      <c r="AR296" s="55">
        <f t="shared" si="370"/>
        <v>5.2388112250746675</v>
      </c>
      <c r="AS296" s="55">
        <f t="shared" si="370"/>
        <v>5.3236799669208779</v>
      </c>
      <c r="AT296" s="55">
        <f t="shared" si="370"/>
        <v>5.4099235823849954</v>
      </c>
      <c r="AU296" s="55">
        <f t="shared" si="370"/>
        <v>5.497564344419632</v>
      </c>
      <c r="AV296" s="55">
        <f t="shared" si="370"/>
        <v>5.5866248867992292</v>
      </c>
      <c r="AW296" s="55">
        <f t="shared" si="370"/>
        <v>5.6771282099653764</v>
      </c>
      <c r="AX296" s="55">
        <f t="shared" si="370"/>
        <v>5.7690976869668162</v>
      </c>
      <c r="AY296" s="55">
        <f t="shared" si="370"/>
        <v>0</v>
      </c>
      <c r="AZ296" s="55">
        <f t="shared" si="370"/>
        <v>0</v>
      </c>
      <c r="BA296" s="55">
        <f t="shared" si="370"/>
        <v>0</v>
      </c>
      <c r="BB296" s="55">
        <f t="shared" si="370"/>
        <v>0</v>
      </c>
      <c r="BC296" s="55">
        <f t="shared" si="370"/>
        <v>0</v>
      </c>
      <c r="BD296" s="55">
        <f t="shared" si="370"/>
        <v>0</v>
      </c>
      <c r="BE296" s="55">
        <f t="shared" si="370"/>
        <v>0</v>
      </c>
      <c r="BF296" s="55">
        <f t="shared" si="370"/>
        <v>0</v>
      </c>
      <c r="BG296" s="55">
        <f t="shared" si="370"/>
        <v>0</v>
      </c>
      <c r="BH296" s="55">
        <f t="shared" si="370"/>
        <v>0</v>
      </c>
      <c r="BI296" s="55">
        <f t="shared" si="370"/>
        <v>0</v>
      </c>
      <c r="BJ296" s="55">
        <f t="shared" si="370"/>
        <v>0</v>
      </c>
    </row>
    <row r="297" spans="1:62" x14ac:dyDescent="0.3">
      <c r="A297" s="53" t="str">
        <f t="shared" si="310"/>
        <v>project 130</v>
      </c>
      <c r="C297" s="55">
        <f t="shared" ref="C297:AH297" si="371">IF(AND(C$127&gt;=$K86,C$127&lt;=$L86),$G86*(1+$H86)^(C$127-$B$5),0)</f>
        <v>0</v>
      </c>
      <c r="D297" s="55">
        <f t="shared" si="371"/>
        <v>0</v>
      </c>
      <c r="E297" s="55">
        <f t="shared" si="371"/>
        <v>0</v>
      </c>
      <c r="F297" s="55">
        <f t="shared" si="371"/>
        <v>0</v>
      </c>
      <c r="G297" s="55">
        <f t="shared" si="371"/>
        <v>0</v>
      </c>
      <c r="H297" s="55">
        <f t="shared" si="371"/>
        <v>0</v>
      </c>
      <c r="I297" s="55">
        <f t="shared" si="371"/>
        <v>0</v>
      </c>
      <c r="J297" s="55">
        <f t="shared" si="371"/>
        <v>0</v>
      </c>
      <c r="K297" s="55">
        <f t="shared" si="371"/>
        <v>4.3991746943695791</v>
      </c>
      <c r="L297" s="55">
        <f t="shared" si="371"/>
        <v>4.4484454509465188</v>
      </c>
      <c r="M297" s="55">
        <f t="shared" si="371"/>
        <v>4.4982680399971198</v>
      </c>
      <c r="N297" s="55">
        <f t="shared" si="371"/>
        <v>4.5486486420450882</v>
      </c>
      <c r="O297" s="55">
        <f t="shared" si="371"/>
        <v>4.5995935068359932</v>
      </c>
      <c r="P297" s="55">
        <f t="shared" si="371"/>
        <v>4.6511089541125568</v>
      </c>
      <c r="Q297" s="55">
        <f t="shared" si="371"/>
        <v>4.7032013743986179</v>
      </c>
      <c r="R297" s="55">
        <f t="shared" si="371"/>
        <v>4.7558772297918841</v>
      </c>
      <c r="S297" s="55">
        <f t="shared" si="371"/>
        <v>4.8091430547655527</v>
      </c>
      <c r="T297" s="55">
        <f t="shared" si="371"/>
        <v>4.8630054569789269</v>
      </c>
      <c r="U297" s="55">
        <f t="shared" si="371"/>
        <v>4.9174711180970911</v>
      </c>
      <c r="V297" s="55">
        <f t="shared" si="371"/>
        <v>4.9725467946197792</v>
      </c>
      <c r="W297" s="55">
        <f t="shared" si="371"/>
        <v>5.0282393187195211</v>
      </c>
      <c r="X297" s="55">
        <f t="shared" si="371"/>
        <v>5.0845555990891791</v>
      </c>
      <c r="Y297" s="55">
        <f t="shared" si="371"/>
        <v>5.1415026217989794</v>
      </c>
      <c r="Z297" s="55">
        <f t="shared" si="371"/>
        <v>5.1990874511631286</v>
      </c>
      <c r="AA297" s="55">
        <f t="shared" si="371"/>
        <v>5.2573172306161551</v>
      </c>
      <c r="AB297" s="55">
        <f t="shared" si="371"/>
        <v>5.316199183599057</v>
      </c>
      <c r="AC297" s="55">
        <f t="shared" si="371"/>
        <v>5.3757406144553661</v>
      </c>
      <c r="AD297" s="55">
        <f t="shared" si="371"/>
        <v>5.4359489093372666</v>
      </c>
      <c r="AE297" s="55">
        <f t="shared" si="371"/>
        <v>5.4968315371218441</v>
      </c>
      <c r="AF297" s="55">
        <f t="shared" si="371"/>
        <v>5.5583960503376098</v>
      </c>
      <c r="AG297" s="55">
        <f t="shared" si="371"/>
        <v>5.6206500861013904</v>
      </c>
      <c r="AH297" s="55">
        <f t="shared" si="371"/>
        <v>5.6836013670657284</v>
      </c>
      <c r="AI297" s="55">
        <f t="shared" ref="AI297:BJ297" si="372">IF(AND(AI$127&gt;=$K86,AI$127&lt;=$L86),$G86*(1+$H86)^(AI$127-$B$5),0)</f>
        <v>5.7472577023768636</v>
      </c>
      <c r="AJ297" s="55">
        <f t="shared" si="372"/>
        <v>5.8116269886434848</v>
      </c>
      <c r="AK297" s="55">
        <f t="shared" si="372"/>
        <v>5.8767172109162926</v>
      </c>
      <c r="AL297" s="55">
        <f t="shared" si="372"/>
        <v>5.9425364436785548</v>
      </c>
      <c r="AM297" s="55">
        <f t="shared" si="372"/>
        <v>6.0090928518477558</v>
      </c>
      <c r="AN297" s="55">
        <f t="shared" si="372"/>
        <v>6.0763946917884502</v>
      </c>
      <c r="AO297" s="55">
        <f t="shared" si="372"/>
        <v>6.144450312336482</v>
      </c>
      <c r="AP297" s="55">
        <f t="shared" si="372"/>
        <v>6.2132681558346521</v>
      </c>
      <c r="AQ297" s="55">
        <f t="shared" si="372"/>
        <v>6.2828567591799995</v>
      </c>
      <c r="AR297" s="55">
        <f t="shared" si="372"/>
        <v>6.3532247548828158</v>
      </c>
      <c r="AS297" s="55">
        <f t="shared" si="372"/>
        <v>6.4243808721375038</v>
      </c>
      <c r="AT297" s="55">
        <f t="shared" si="372"/>
        <v>6.4963339379054448</v>
      </c>
      <c r="AU297" s="55">
        <f t="shared" si="372"/>
        <v>6.5690928780099851</v>
      </c>
      <c r="AV297" s="55">
        <f t="shared" si="372"/>
        <v>6.6426667182436976</v>
      </c>
      <c r="AW297" s="55">
        <f t="shared" si="372"/>
        <v>6.7170645854880275</v>
      </c>
      <c r="AX297" s="55">
        <f t="shared" si="372"/>
        <v>6.7922957088454963</v>
      </c>
      <c r="AY297" s="55">
        <f t="shared" si="372"/>
        <v>0</v>
      </c>
      <c r="AZ297" s="55">
        <f t="shared" si="372"/>
        <v>0</v>
      </c>
      <c r="BA297" s="55">
        <f t="shared" si="372"/>
        <v>0</v>
      </c>
      <c r="BB297" s="55">
        <f t="shared" si="372"/>
        <v>0</v>
      </c>
      <c r="BC297" s="55">
        <f t="shared" si="372"/>
        <v>0</v>
      </c>
      <c r="BD297" s="55">
        <f t="shared" si="372"/>
        <v>0</v>
      </c>
      <c r="BE297" s="55">
        <f t="shared" si="372"/>
        <v>0</v>
      </c>
      <c r="BF297" s="55">
        <f t="shared" si="372"/>
        <v>0</v>
      </c>
      <c r="BG297" s="55">
        <f t="shared" si="372"/>
        <v>0</v>
      </c>
      <c r="BH297" s="55">
        <f t="shared" si="372"/>
        <v>0</v>
      </c>
      <c r="BI297" s="55">
        <f t="shared" si="372"/>
        <v>0</v>
      </c>
      <c r="BJ297" s="55">
        <f t="shared" si="372"/>
        <v>0</v>
      </c>
    </row>
    <row r="298" spans="1:62" x14ac:dyDescent="0.3">
      <c r="A298" s="53" t="str">
        <f t="shared" si="310"/>
        <v>project 133</v>
      </c>
      <c r="C298" s="55">
        <f t="shared" ref="C298:AH298" si="373">IF(AND(C$127&gt;=$K87,C$127&lt;=$L87),$G87*(1+$H87)^(C$127-$B$5),0)</f>
        <v>0</v>
      </c>
      <c r="D298" s="55">
        <f t="shared" si="373"/>
        <v>0</v>
      </c>
      <c r="E298" s="55">
        <f t="shared" si="373"/>
        <v>0</v>
      </c>
      <c r="F298" s="55">
        <f t="shared" si="373"/>
        <v>0</v>
      </c>
      <c r="G298" s="55">
        <f t="shared" si="373"/>
        <v>0</v>
      </c>
      <c r="H298" s="55">
        <f t="shared" si="373"/>
        <v>0</v>
      </c>
      <c r="I298" s="55">
        <f t="shared" si="373"/>
        <v>0</v>
      </c>
      <c r="J298" s="55">
        <f t="shared" si="373"/>
        <v>0</v>
      </c>
      <c r="K298" s="55">
        <f t="shared" si="373"/>
        <v>0</v>
      </c>
      <c r="L298" s="55">
        <f t="shared" si="373"/>
        <v>0</v>
      </c>
      <c r="M298" s="55">
        <f t="shared" si="373"/>
        <v>0</v>
      </c>
      <c r="N298" s="55">
        <f t="shared" si="373"/>
        <v>0</v>
      </c>
      <c r="O298" s="55">
        <f t="shared" si="373"/>
        <v>0</v>
      </c>
      <c r="P298" s="55">
        <f t="shared" si="373"/>
        <v>0</v>
      </c>
      <c r="Q298" s="55">
        <f t="shared" si="373"/>
        <v>3.8220307201855599</v>
      </c>
      <c r="R298" s="55">
        <f t="shared" si="373"/>
        <v>3.9275187680626815</v>
      </c>
      <c r="S298" s="55">
        <f t="shared" si="373"/>
        <v>4.0359182860612117</v>
      </c>
      <c r="T298" s="55">
        <f t="shared" si="373"/>
        <v>4.1473096307565012</v>
      </c>
      <c r="U298" s="55">
        <f t="shared" si="373"/>
        <v>4.2617753765653816</v>
      </c>
      <c r="V298" s="55">
        <f t="shared" si="373"/>
        <v>4.3794003769585865</v>
      </c>
      <c r="W298" s="55">
        <f t="shared" si="373"/>
        <v>4.5002718273626439</v>
      </c>
      <c r="X298" s="55">
        <f t="shared" si="373"/>
        <v>4.624479329797853</v>
      </c>
      <c r="Y298" s="55">
        <f t="shared" si="373"/>
        <v>4.7521149593002745</v>
      </c>
      <c r="Z298" s="55">
        <f t="shared" si="373"/>
        <v>4.8832733321769624</v>
      </c>
      <c r="AA298" s="55">
        <f t="shared" si="373"/>
        <v>5.0180516761450473</v>
      </c>
      <c r="AB298" s="55">
        <f t="shared" si="373"/>
        <v>5.1565499024066499</v>
      </c>
      <c r="AC298" s="55">
        <f t="shared" si="373"/>
        <v>5.2988706797130742</v>
      </c>
      <c r="AD298" s="55">
        <f t="shared" si="373"/>
        <v>5.4451195104731571</v>
      </c>
      <c r="AE298" s="55">
        <f t="shared" si="373"/>
        <v>5.5954048089622166</v>
      </c>
      <c r="AF298" s="55">
        <f t="shared" si="373"/>
        <v>5.7498379816895735</v>
      </c>
      <c r="AG298" s="55">
        <f t="shared" si="373"/>
        <v>5.9085335099842062</v>
      </c>
      <c r="AH298" s="55">
        <f t="shared" si="373"/>
        <v>6.0716090348597707</v>
      </c>
      <c r="AI298" s="55">
        <f t="shared" ref="AI298:BJ298" si="374">IF(AND(AI$127&gt;=$K87,AI$127&lt;=$L87),$G87*(1+$H87)^(AI$127-$B$5),0)</f>
        <v>6.239185444221901</v>
      </c>
      <c r="AJ298" s="55">
        <f t="shared" si="374"/>
        <v>6.4113869624824256</v>
      </c>
      <c r="AK298" s="55">
        <f t="shared" si="374"/>
        <v>6.5883412426469405</v>
      </c>
      <c r="AL298" s="55">
        <f t="shared" si="374"/>
        <v>6.7701794609439974</v>
      </c>
      <c r="AM298" s="55">
        <f t="shared" si="374"/>
        <v>6.957036414066053</v>
      </c>
      <c r="AN298" s="55">
        <f t="shared" si="374"/>
        <v>7.1490506190942762</v>
      </c>
      <c r="AO298" s="55">
        <f t="shared" si="374"/>
        <v>7.3463644161812791</v>
      </c>
      <c r="AP298" s="55">
        <f t="shared" si="374"/>
        <v>7.5491240740678833</v>
      </c>
      <c r="AQ298" s="55">
        <f t="shared" si="374"/>
        <v>7.7574798985121571</v>
      </c>
      <c r="AR298" s="55">
        <f t="shared" si="374"/>
        <v>7.9715863437110936</v>
      </c>
      <c r="AS298" s="55">
        <f t="shared" si="374"/>
        <v>8.1916021267975214</v>
      </c>
      <c r="AT298" s="55">
        <f t="shared" si="374"/>
        <v>8.4176903454971335</v>
      </c>
      <c r="AU298" s="55">
        <f t="shared" si="374"/>
        <v>8.6500185990328546</v>
      </c>
      <c r="AV298" s="55">
        <f t="shared" si="374"/>
        <v>8.8887591123661629</v>
      </c>
      <c r="AW298" s="55">
        <f t="shared" si="374"/>
        <v>9.1340888638674702</v>
      </c>
      <c r="AX298" s="55">
        <f t="shared" si="374"/>
        <v>9.3861897165102128</v>
      </c>
      <c r="AY298" s="55">
        <f t="shared" si="374"/>
        <v>9.6452485526858958</v>
      </c>
      <c r="AZ298" s="55">
        <f t="shared" si="374"/>
        <v>9.9114574127400257</v>
      </c>
      <c r="BA298" s="55">
        <f t="shared" si="374"/>
        <v>10.185013637331654</v>
      </c>
      <c r="BB298" s="55">
        <f t="shared" si="374"/>
        <v>10.466120013722007</v>
      </c>
      <c r="BC298" s="55">
        <f t="shared" si="374"/>
        <v>10.754984926100738</v>
      </c>
      <c r="BD298" s="55">
        <f t="shared" si="374"/>
        <v>11.051822510061116</v>
      </c>
      <c r="BE298" s="55">
        <f t="shared" si="374"/>
        <v>0</v>
      </c>
      <c r="BF298" s="55">
        <f t="shared" si="374"/>
        <v>0</v>
      </c>
      <c r="BG298" s="55">
        <f t="shared" si="374"/>
        <v>0</v>
      </c>
      <c r="BH298" s="55">
        <f t="shared" si="374"/>
        <v>0</v>
      </c>
      <c r="BI298" s="55">
        <f t="shared" si="374"/>
        <v>0</v>
      </c>
      <c r="BJ298" s="55">
        <f t="shared" si="374"/>
        <v>0</v>
      </c>
    </row>
    <row r="299" spans="1:62" x14ac:dyDescent="0.3">
      <c r="A299" s="53" t="str">
        <f t="shared" ref="A299:A330" si="375">A88</f>
        <v>project 135</v>
      </c>
      <c r="C299" s="55">
        <f t="shared" ref="C299:AH299" si="376">IF(AND(C$127&gt;=$K88,C$127&lt;=$L88),$G88*(1+$H88)^(C$127-$B$5),0)</f>
        <v>0</v>
      </c>
      <c r="D299" s="55">
        <f t="shared" si="376"/>
        <v>0</v>
      </c>
      <c r="E299" s="55">
        <f t="shared" si="376"/>
        <v>0</v>
      </c>
      <c r="F299" s="55">
        <f t="shared" si="376"/>
        <v>0</v>
      </c>
      <c r="G299" s="55">
        <f t="shared" si="376"/>
        <v>0</v>
      </c>
      <c r="H299" s="55">
        <f t="shared" si="376"/>
        <v>0</v>
      </c>
      <c r="I299" s="55">
        <f t="shared" si="376"/>
        <v>0</v>
      </c>
      <c r="J299" s="55">
        <f t="shared" si="376"/>
        <v>0</v>
      </c>
      <c r="K299" s="55">
        <f t="shared" si="376"/>
        <v>0</v>
      </c>
      <c r="L299" s="55">
        <f t="shared" si="376"/>
        <v>0</v>
      </c>
      <c r="M299" s="55">
        <f t="shared" si="376"/>
        <v>0</v>
      </c>
      <c r="N299" s="55">
        <f t="shared" si="376"/>
        <v>0</v>
      </c>
      <c r="O299" s="55">
        <f t="shared" si="376"/>
        <v>0</v>
      </c>
      <c r="P299" s="55">
        <f t="shared" si="376"/>
        <v>0</v>
      </c>
      <c r="Q299" s="55">
        <f t="shared" si="376"/>
        <v>2.7879796121758189</v>
      </c>
      <c r="R299" s="55">
        <f t="shared" si="376"/>
        <v>2.8685522229676996</v>
      </c>
      <c r="S299" s="55">
        <f t="shared" si="376"/>
        <v>2.9514533822114664</v>
      </c>
      <c r="T299" s="55">
        <f t="shared" si="376"/>
        <v>3.0367503849573771</v>
      </c>
      <c r="U299" s="55">
        <f t="shared" si="376"/>
        <v>3.1245124710826455</v>
      </c>
      <c r="V299" s="55">
        <f t="shared" si="376"/>
        <v>3.2148108814969332</v>
      </c>
      <c r="W299" s="55">
        <f t="shared" si="376"/>
        <v>3.3077189159721949</v>
      </c>
      <c r="X299" s="55">
        <f t="shared" si="376"/>
        <v>3.4033119926437911</v>
      </c>
      <c r="Y299" s="55">
        <f t="shared" si="376"/>
        <v>3.5016677092311967</v>
      </c>
      <c r="Z299" s="55">
        <f t="shared" si="376"/>
        <v>3.602865906027978</v>
      </c>
      <c r="AA299" s="55">
        <f t="shared" si="376"/>
        <v>3.7069887307121863</v>
      </c>
      <c r="AB299" s="55">
        <f t="shared" si="376"/>
        <v>3.8141207050297679</v>
      </c>
      <c r="AC299" s="55">
        <f t="shared" si="376"/>
        <v>3.9243487934051284</v>
      </c>
      <c r="AD299" s="55">
        <f t="shared" si="376"/>
        <v>4.0377624735345359</v>
      </c>
      <c r="AE299" s="55">
        <f t="shared" si="376"/>
        <v>4.1544538090196834</v>
      </c>
      <c r="AF299" s="55">
        <f t="shared" si="376"/>
        <v>4.2745175241003528</v>
      </c>
      <c r="AG299" s="55">
        <f t="shared" si="376"/>
        <v>4.3980510805468525</v>
      </c>
      <c r="AH299" s="55">
        <f t="shared" si="376"/>
        <v>4.525154756774656</v>
      </c>
      <c r="AI299" s="55">
        <f t="shared" ref="AI299:BJ299" si="377">IF(AND(AI$127&gt;=$K88,AI$127&lt;=$L88),$G88*(1+$H88)^(AI$127-$B$5),0)</f>
        <v>4.6559317292454434</v>
      </c>
      <c r="AJ299" s="55">
        <f t="shared" si="377"/>
        <v>4.7904881562206363</v>
      </c>
      <c r="AK299" s="55">
        <f t="shared" si="377"/>
        <v>4.928933263935412</v>
      </c>
      <c r="AL299" s="55">
        <f t="shared" si="377"/>
        <v>5.0713794352631458</v>
      </c>
      <c r="AM299" s="55">
        <f t="shared" si="377"/>
        <v>5.2179423009422505</v>
      </c>
      <c r="AN299" s="55">
        <f t="shared" si="377"/>
        <v>5.3687408334394808</v>
      </c>
      <c r="AO299" s="55">
        <f t="shared" si="377"/>
        <v>5.5238974435258816</v>
      </c>
      <c r="AP299" s="55">
        <f t="shared" si="377"/>
        <v>5.6835380796437791</v>
      </c>
      <c r="AQ299" s="55">
        <f t="shared" si="377"/>
        <v>5.8477923301454844</v>
      </c>
      <c r="AR299" s="55">
        <f t="shared" si="377"/>
        <v>6.0167935284866889</v>
      </c>
      <c r="AS299" s="55">
        <f t="shared" si="377"/>
        <v>6.1906788614599533</v>
      </c>
      <c r="AT299" s="55">
        <f t="shared" si="377"/>
        <v>6.3695894805561446</v>
      </c>
      <c r="AU299" s="55">
        <f t="shared" si="377"/>
        <v>6.5536706165442169</v>
      </c>
      <c r="AV299" s="55">
        <f t="shared" si="377"/>
        <v>6.7430716973623444</v>
      </c>
      <c r="AW299" s="55">
        <f t="shared" si="377"/>
        <v>6.9379464694161168</v>
      </c>
      <c r="AX299" s="55">
        <f t="shared" si="377"/>
        <v>7.1384531223822414</v>
      </c>
      <c r="AY299" s="55">
        <f t="shared" si="377"/>
        <v>7.3447544176190878</v>
      </c>
      <c r="AZ299" s="55">
        <f t="shared" si="377"/>
        <v>7.5570178202882792</v>
      </c>
      <c r="BA299" s="55">
        <f t="shared" si="377"/>
        <v>7.7754156352946096</v>
      </c>
      <c r="BB299" s="55">
        <f t="shared" si="377"/>
        <v>8.0001251471546233</v>
      </c>
      <c r="BC299" s="55">
        <f t="shared" si="377"/>
        <v>8.231328763907392</v>
      </c>
      <c r="BD299" s="55">
        <f t="shared" si="377"/>
        <v>8.4692141651843151</v>
      </c>
      <c r="BE299" s="55">
        <f t="shared" si="377"/>
        <v>0</v>
      </c>
      <c r="BF299" s="55">
        <f t="shared" si="377"/>
        <v>0</v>
      </c>
      <c r="BG299" s="55">
        <f t="shared" si="377"/>
        <v>0</v>
      </c>
      <c r="BH299" s="55">
        <f t="shared" si="377"/>
        <v>0</v>
      </c>
      <c r="BI299" s="55">
        <f t="shared" si="377"/>
        <v>0</v>
      </c>
      <c r="BJ299" s="55">
        <f t="shared" si="377"/>
        <v>0</v>
      </c>
    </row>
    <row r="300" spans="1:62" x14ac:dyDescent="0.3">
      <c r="A300" s="53" t="str">
        <f t="shared" si="375"/>
        <v>project 137</v>
      </c>
      <c r="C300" s="55">
        <f t="shared" ref="C300:AH300" si="378">IF(AND(C$127&gt;=$K89,C$127&lt;=$L89),$G89*(1+$H89)^(C$127-$B$5),0)</f>
        <v>0</v>
      </c>
      <c r="D300" s="55">
        <f t="shared" si="378"/>
        <v>0</v>
      </c>
      <c r="E300" s="55">
        <f t="shared" si="378"/>
        <v>0</v>
      </c>
      <c r="F300" s="55">
        <f t="shared" si="378"/>
        <v>5.2224150840352896</v>
      </c>
      <c r="G300" s="55">
        <f t="shared" si="378"/>
        <v>5.283517340518503</v>
      </c>
      <c r="H300" s="55">
        <f t="shared" si="378"/>
        <v>5.3453344934025688</v>
      </c>
      <c r="I300" s="55">
        <f t="shared" si="378"/>
        <v>5.4078749069753806</v>
      </c>
      <c r="J300" s="55">
        <f t="shared" si="378"/>
        <v>5.471147043386992</v>
      </c>
      <c r="K300" s="55">
        <f t="shared" si="378"/>
        <v>5.5351594637946206</v>
      </c>
      <c r="L300" s="55">
        <f t="shared" si="378"/>
        <v>5.5999208295210172</v>
      </c>
      <c r="M300" s="55">
        <f t="shared" si="378"/>
        <v>5.6654399032264138</v>
      </c>
      <c r="N300" s="55">
        <f t="shared" si="378"/>
        <v>5.7317255500941622</v>
      </c>
      <c r="O300" s="55">
        <f t="shared" si="378"/>
        <v>5.7987867390302652</v>
      </c>
      <c r="P300" s="55">
        <f t="shared" si="378"/>
        <v>5.8666325438769196</v>
      </c>
      <c r="Q300" s="55">
        <f t="shared" si="378"/>
        <v>5.9352721446402796</v>
      </c>
      <c r="R300" s="55">
        <f t="shared" si="378"/>
        <v>6.0047148287325705</v>
      </c>
      <c r="S300" s="55">
        <f t="shared" si="378"/>
        <v>6.0749699922287421</v>
      </c>
      <c r="T300" s="55">
        <f t="shared" si="378"/>
        <v>6.146047141137819</v>
      </c>
      <c r="U300" s="55">
        <f t="shared" si="378"/>
        <v>6.2179558926891323</v>
      </c>
      <c r="V300" s="55">
        <f t="shared" si="378"/>
        <v>6.2907059766335953</v>
      </c>
      <c r="W300" s="55">
        <f t="shared" si="378"/>
        <v>6.364307236560208</v>
      </c>
      <c r="X300" s="55">
        <f t="shared" si="378"/>
        <v>6.4387696312279621</v>
      </c>
      <c r="Y300" s="55">
        <f t="shared" si="378"/>
        <v>6.5141032359133311</v>
      </c>
      <c r="Z300" s="55">
        <f t="shared" si="378"/>
        <v>6.5903182437735168</v>
      </c>
      <c r="AA300" s="55">
        <f t="shared" si="378"/>
        <v>6.6674249672256671</v>
      </c>
      <c r="AB300" s="55">
        <f t="shared" si="378"/>
        <v>6.7454338393422075</v>
      </c>
      <c r="AC300" s="55">
        <f t="shared" si="378"/>
        <v>6.8243554152625112</v>
      </c>
      <c r="AD300" s="55">
        <f t="shared" si="378"/>
        <v>6.9042003736210829</v>
      </c>
      <c r="AE300" s="55">
        <f t="shared" si="378"/>
        <v>6.9849795179924516</v>
      </c>
      <c r="AF300" s="55">
        <f t="shared" si="378"/>
        <v>7.066703778352962</v>
      </c>
      <c r="AG300" s="55">
        <f t="shared" si="378"/>
        <v>7.1493842125596929</v>
      </c>
      <c r="AH300" s="55">
        <f t="shared" si="378"/>
        <v>7.2330320078466404</v>
      </c>
      <c r="AI300" s="55">
        <f t="shared" ref="AI300:BJ300" si="379">IF(AND(AI$127&gt;=$K89,AI$127&lt;=$L89),$G89*(1+$H89)^(AI$127-$B$5),0)</f>
        <v>7.3176584823384481</v>
      </c>
      <c r="AJ300" s="55">
        <f t="shared" si="379"/>
        <v>7.4032750865818073</v>
      </c>
      <c r="AK300" s="55">
        <f t="shared" si="379"/>
        <v>7.4898934050948167</v>
      </c>
      <c r="AL300" s="55">
        <f t="shared" si="379"/>
        <v>7.5775251579344252</v>
      </c>
      <c r="AM300" s="55">
        <f t="shared" si="379"/>
        <v>7.6661822022822594</v>
      </c>
      <c r="AN300" s="55">
        <f t="shared" si="379"/>
        <v>7.7558765340489613</v>
      </c>
      <c r="AO300" s="55">
        <f t="shared" si="379"/>
        <v>7.8466202894973343</v>
      </c>
      <c r="AP300" s="55">
        <f t="shared" si="379"/>
        <v>7.9384257468844535</v>
      </c>
      <c r="AQ300" s="55">
        <f t="shared" si="379"/>
        <v>8.0313053281230022</v>
      </c>
      <c r="AR300" s="55">
        <f t="shared" si="379"/>
        <v>8.1252716004620407</v>
      </c>
      <c r="AS300" s="55">
        <f t="shared" si="379"/>
        <v>8.2203372781874471</v>
      </c>
      <c r="AT300" s="55">
        <f t="shared" si="379"/>
        <v>0</v>
      </c>
      <c r="AU300" s="55">
        <f t="shared" si="379"/>
        <v>0</v>
      </c>
      <c r="AV300" s="55">
        <f t="shared" si="379"/>
        <v>0</v>
      </c>
      <c r="AW300" s="55">
        <f t="shared" si="379"/>
        <v>0</v>
      </c>
      <c r="AX300" s="55">
        <f t="shared" si="379"/>
        <v>0</v>
      </c>
      <c r="AY300" s="55">
        <f t="shared" si="379"/>
        <v>0</v>
      </c>
      <c r="AZ300" s="55">
        <f t="shared" si="379"/>
        <v>0</v>
      </c>
      <c r="BA300" s="55">
        <f t="shared" si="379"/>
        <v>0</v>
      </c>
      <c r="BB300" s="55">
        <f t="shared" si="379"/>
        <v>0</v>
      </c>
      <c r="BC300" s="55">
        <f t="shared" si="379"/>
        <v>0</v>
      </c>
      <c r="BD300" s="55">
        <f t="shared" si="379"/>
        <v>0</v>
      </c>
      <c r="BE300" s="55">
        <f t="shared" si="379"/>
        <v>0</v>
      </c>
      <c r="BF300" s="55">
        <f t="shared" si="379"/>
        <v>0</v>
      </c>
      <c r="BG300" s="55">
        <f t="shared" si="379"/>
        <v>0</v>
      </c>
      <c r="BH300" s="55">
        <f t="shared" si="379"/>
        <v>0</v>
      </c>
      <c r="BI300" s="55">
        <f t="shared" si="379"/>
        <v>0</v>
      </c>
      <c r="BJ300" s="55">
        <f t="shared" si="379"/>
        <v>0</v>
      </c>
    </row>
    <row r="301" spans="1:62" x14ac:dyDescent="0.3">
      <c r="A301" s="53" t="str">
        <f t="shared" si="375"/>
        <v>project 142</v>
      </c>
      <c r="C301" s="55">
        <f t="shared" ref="C301:AH301" si="380">IF(AND(C$127&gt;=$K90,C$127&lt;=$L90),$G90*(1+$H90)^(C$127-$B$5),0)</f>
        <v>0</v>
      </c>
      <c r="D301" s="55">
        <f t="shared" si="380"/>
        <v>0</v>
      </c>
      <c r="E301" s="55">
        <f t="shared" si="380"/>
        <v>0</v>
      </c>
      <c r="F301" s="55">
        <f t="shared" si="380"/>
        <v>0</v>
      </c>
      <c r="G301" s="55">
        <f t="shared" si="380"/>
        <v>0</v>
      </c>
      <c r="H301" s="55">
        <f t="shared" si="380"/>
        <v>0</v>
      </c>
      <c r="I301" s="55">
        <f t="shared" si="380"/>
        <v>0</v>
      </c>
      <c r="J301" s="55">
        <f t="shared" si="380"/>
        <v>0</v>
      </c>
      <c r="K301" s="55">
        <f t="shared" si="380"/>
        <v>0</v>
      </c>
      <c r="L301" s="55">
        <f t="shared" si="380"/>
        <v>0</v>
      </c>
      <c r="M301" s="55">
        <f t="shared" si="380"/>
        <v>1.6881256253420085</v>
      </c>
      <c r="N301" s="55">
        <f t="shared" si="380"/>
        <v>1.7213817001612461</v>
      </c>
      <c r="O301" s="55">
        <f t="shared" si="380"/>
        <v>1.7552929196544229</v>
      </c>
      <c r="P301" s="55">
        <f t="shared" si="380"/>
        <v>1.789872190171615</v>
      </c>
      <c r="Q301" s="55">
        <f t="shared" si="380"/>
        <v>1.8251326723179959</v>
      </c>
      <c r="R301" s="55">
        <f t="shared" si="380"/>
        <v>1.8610877859626602</v>
      </c>
      <c r="S301" s="55">
        <f t="shared" si="380"/>
        <v>1.8977512153461249</v>
      </c>
      <c r="T301" s="55">
        <f t="shared" si="380"/>
        <v>1.9351369142884436</v>
      </c>
      <c r="U301" s="55">
        <f t="shared" si="380"/>
        <v>1.9732591114999258</v>
      </c>
      <c r="V301" s="55">
        <f t="shared" si="380"/>
        <v>2.0121323159964746</v>
      </c>
      <c r="W301" s="55">
        <f t="shared" si="380"/>
        <v>2.051771322621605</v>
      </c>
      <c r="X301" s="55">
        <f t="shared" si="380"/>
        <v>2.092191217677251</v>
      </c>
      <c r="Y301" s="55">
        <f t="shared" si="380"/>
        <v>2.1334073846654924</v>
      </c>
      <c r="Z301" s="55">
        <f t="shared" si="380"/>
        <v>2.1754355101434029</v>
      </c>
      <c r="AA301" s="55">
        <f t="shared" si="380"/>
        <v>2.2182915896932283</v>
      </c>
      <c r="AB301" s="55">
        <f t="shared" si="380"/>
        <v>2.2619919340101848</v>
      </c>
      <c r="AC301" s="55">
        <f t="shared" si="380"/>
        <v>2.3065531751101855</v>
      </c>
      <c r="AD301" s="55">
        <f t="shared" si="380"/>
        <v>2.3519922726598561</v>
      </c>
      <c r="AE301" s="55">
        <f t="shared" si="380"/>
        <v>2.3983265204312558</v>
      </c>
      <c r="AF301" s="55">
        <f t="shared" si="380"/>
        <v>2.4455735528837517</v>
      </c>
      <c r="AG301" s="55">
        <f t="shared" si="380"/>
        <v>2.4937513518755616</v>
      </c>
      <c r="AH301" s="55">
        <f t="shared" si="380"/>
        <v>2.5428782535075101</v>
      </c>
      <c r="AI301" s="55">
        <f t="shared" ref="AI301:BJ301" si="381">IF(AND(AI$127&gt;=$K90,AI$127&lt;=$L90),$G90*(1+$H90)^(AI$127-$B$5),0)</f>
        <v>2.5929729551016081</v>
      </c>
      <c r="AJ301" s="55">
        <f t="shared" si="381"/>
        <v>2.6440545223171097</v>
      </c>
      <c r="AK301" s="55">
        <f t="shared" si="381"/>
        <v>2.6961423964067568</v>
      </c>
      <c r="AL301" s="55">
        <f t="shared" si="381"/>
        <v>2.7492564016159697</v>
      </c>
      <c r="AM301" s="55">
        <f t="shared" si="381"/>
        <v>2.8034167527278049</v>
      </c>
      <c r="AN301" s="55">
        <f t="shared" si="381"/>
        <v>2.858644062756543</v>
      </c>
      <c r="AO301" s="55">
        <f t="shared" si="381"/>
        <v>2.9149593507928468</v>
      </c>
      <c r="AP301" s="55">
        <f t="shared" si="381"/>
        <v>2.9723840500034657</v>
      </c>
      <c r="AQ301" s="55">
        <f t="shared" si="381"/>
        <v>3.0309400157885342</v>
      </c>
      <c r="AR301" s="55">
        <f t="shared" si="381"/>
        <v>3.0906495340995686</v>
      </c>
      <c r="AS301" s="55">
        <f t="shared" si="381"/>
        <v>3.1515353299213298</v>
      </c>
      <c r="AT301" s="55">
        <f t="shared" si="381"/>
        <v>3.2136205759207801</v>
      </c>
      <c r="AU301" s="55">
        <f t="shared" si="381"/>
        <v>3.27692890126642</v>
      </c>
      <c r="AV301" s="55">
        <f t="shared" si="381"/>
        <v>3.3414844006213684</v>
      </c>
      <c r="AW301" s="55">
        <f t="shared" si="381"/>
        <v>3.4073116433136095</v>
      </c>
      <c r="AX301" s="55">
        <f t="shared" si="381"/>
        <v>3.4744356826868872</v>
      </c>
      <c r="AY301" s="55">
        <f t="shared" si="381"/>
        <v>3.5428820656358195</v>
      </c>
      <c r="AZ301" s="55">
        <f t="shared" si="381"/>
        <v>3.6126768423288453</v>
      </c>
      <c r="BA301" s="55">
        <f t="shared" si="381"/>
        <v>0</v>
      </c>
      <c r="BB301" s="55">
        <f t="shared" si="381"/>
        <v>0</v>
      </c>
      <c r="BC301" s="55">
        <f t="shared" si="381"/>
        <v>0</v>
      </c>
      <c r="BD301" s="55">
        <f t="shared" si="381"/>
        <v>0</v>
      </c>
      <c r="BE301" s="55">
        <f t="shared" si="381"/>
        <v>0</v>
      </c>
      <c r="BF301" s="55">
        <f t="shared" si="381"/>
        <v>0</v>
      </c>
      <c r="BG301" s="55">
        <f t="shared" si="381"/>
        <v>0</v>
      </c>
      <c r="BH301" s="55">
        <f t="shared" si="381"/>
        <v>0</v>
      </c>
      <c r="BI301" s="55">
        <f t="shared" si="381"/>
        <v>0</v>
      </c>
      <c r="BJ301" s="55">
        <f t="shared" si="381"/>
        <v>0</v>
      </c>
    </row>
    <row r="302" spans="1:62" x14ac:dyDescent="0.3">
      <c r="A302" s="53" t="str">
        <f t="shared" si="375"/>
        <v>project 144</v>
      </c>
      <c r="C302" s="55">
        <f t="shared" ref="C302:AH302" si="382">IF(AND(C$127&gt;=$K91,C$127&lt;=$L91),$G91*(1+$H91)^(C$127-$B$5),0)</f>
        <v>0</v>
      </c>
      <c r="D302" s="55">
        <f t="shared" si="382"/>
        <v>0</v>
      </c>
      <c r="E302" s="55">
        <f t="shared" si="382"/>
        <v>0</v>
      </c>
      <c r="F302" s="55">
        <f t="shared" si="382"/>
        <v>0</v>
      </c>
      <c r="G302" s="55">
        <f t="shared" si="382"/>
        <v>0</v>
      </c>
      <c r="H302" s="55">
        <f t="shared" si="382"/>
        <v>2.6889297491614044</v>
      </c>
      <c r="I302" s="55">
        <f t="shared" si="382"/>
        <v>2.7195835483018445</v>
      </c>
      <c r="J302" s="55">
        <f t="shared" si="382"/>
        <v>2.7505868007524854</v>
      </c>
      <c r="K302" s="55">
        <f t="shared" si="382"/>
        <v>2.7819434902810642</v>
      </c>
      <c r="L302" s="55">
        <f t="shared" si="382"/>
        <v>2.813657646070268</v>
      </c>
      <c r="M302" s="55">
        <f t="shared" si="382"/>
        <v>2.8457333432354699</v>
      </c>
      <c r="N302" s="55">
        <f t="shared" si="382"/>
        <v>2.8781747033483538</v>
      </c>
      <c r="O302" s="55">
        <f t="shared" si="382"/>
        <v>2.9109858949665255</v>
      </c>
      <c r="P302" s="55">
        <f t="shared" si="382"/>
        <v>2.9441711341691441</v>
      </c>
      <c r="Q302" s="55">
        <f t="shared" si="382"/>
        <v>2.9777346850986732</v>
      </c>
      <c r="R302" s="55">
        <f t="shared" si="382"/>
        <v>3.0116808605087972</v>
      </c>
      <c r="S302" s="55">
        <f t="shared" si="382"/>
        <v>3.0460140223185985</v>
      </c>
      <c r="T302" s="55">
        <f t="shared" si="382"/>
        <v>3.0807385821730309</v>
      </c>
      <c r="U302" s="55">
        <f t="shared" si="382"/>
        <v>3.1158590020098034</v>
      </c>
      <c r="V302" s="55">
        <f t="shared" si="382"/>
        <v>3.1513797946327151</v>
      </c>
      <c r="W302" s="55">
        <f t="shared" si="382"/>
        <v>3.1873055242915282</v>
      </c>
      <c r="X302" s="55">
        <f t="shared" si="382"/>
        <v>3.2236408072684521</v>
      </c>
      <c r="Y302" s="55">
        <f t="shared" si="382"/>
        <v>3.2603903124713125</v>
      </c>
      <c r="Z302" s="55">
        <f t="shared" si="382"/>
        <v>3.2975587620334852</v>
      </c>
      <c r="AA302" s="55">
        <f t="shared" si="382"/>
        <v>3.3351509319206678</v>
      </c>
      <c r="AB302" s="55">
        <f t="shared" si="382"/>
        <v>3.3731716525445634</v>
      </c>
      <c r="AC302" s="55">
        <f t="shared" si="382"/>
        <v>3.4116258093835721</v>
      </c>
      <c r="AD302" s="55">
        <f t="shared" si="382"/>
        <v>3.4505183436105447</v>
      </c>
      <c r="AE302" s="55">
        <f t="shared" si="382"/>
        <v>3.4898542527277052</v>
      </c>
      <c r="AF302" s="55">
        <f t="shared" si="382"/>
        <v>3.5296385912088013</v>
      </c>
      <c r="AG302" s="55">
        <f t="shared" si="382"/>
        <v>3.5698764711485826</v>
      </c>
      <c r="AH302" s="55">
        <f t="shared" si="382"/>
        <v>3.6105730629196753</v>
      </c>
      <c r="AI302" s="55">
        <f t="shared" ref="AI302:BJ302" si="383">IF(AND(AI$127&gt;=$K91,AI$127&lt;=$L91),$G91*(1+$H91)^(AI$127-$B$5),0)</f>
        <v>3.6517335958369608</v>
      </c>
      <c r="AJ302" s="55">
        <f t="shared" si="383"/>
        <v>3.6933633588295027</v>
      </c>
      <c r="AK302" s="55">
        <f t="shared" si="383"/>
        <v>3.7354677011201591</v>
      </c>
      <c r="AL302" s="55">
        <f t="shared" si="383"/>
        <v>3.7780520329129286</v>
      </c>
      <c r="AM302" s="55">
        <f t="shared" si="383"/>
        <v>3.8211218260881368</v>
      </c>
      <c r="AN302" s="55">
        <f t="shared" si="383"/>
        <v>3.8646826149055418</v>
      </c>
      <c r="AO302" s="55">
        <f t="shared" si="383"/>
        <v>3.9087399967154655</v>
      </c>
      <c r="AP302" s="55">
        <f t="shared" si="383"/>
        <v>3.953299632678021</v>
      </c>
      <c r="AQ302" s="55">
        <f t="shared" si="383"/>
        <v>3.9983672484905517</v>
      </c>
      <c r="AR302" s="55">
        <f t="shared" si="383"/>
        <v>4.0439486351233436</v>
      </c>
      <c r="AS302" s="55">
        <f t="shared" si="383"/>
        <v>4.0900496495637508</v>
      </c>
      <c r="AT302" s="55">
        <f t="shared" si="383"/>
        <v>4.1366762155687775</v>
      </c>
      <c r="AU302" s="55">
        <f t="shared" si="383"/>
        <v>4.1838343244262619</v>
      </c>
      <c r="AV302" s="55">
        <f t="shared" si="383"/>
        <v>0</v>
      </c>
      <c r="AW302" s="55">
        <f t="shared" si="383"/>
        <v>0</v>
      </c>
      <c r="AX302" s="55">
        <f t="shared" si="383"/>
        <v>0</v>
      </c>
      <c r="AY302" s="55">
        <f t="shared" si="383"/>
        <v>0</v>
      </c>
      <c r="AZ302" s="55">
        <f t="shared" si="383"/>
        <v>0</v>
      </c>
      <c r="BA302" s="55">
        <f t="shared" si="383"/>
        <v>0</v>
      </c>
      <c r="BB302" s="55">
        <f t="shared" si="383"/>
        <v>0</v>
      </c>
      <c r="BC302" s="55">
        <f t="shared" si="383"/>
        <v>0</v>
      </c>
      <c r="BD302" s="55">
        <f t="shared" si="383"/>
        <v>0</v>
      </c>
      <c r="BE302" s="55">
        <f t="shared" si="383"/>
        <v>0</v>
      </c>
      <c r="BF302" s="55">
        <f t="shared" si="383"/>
        <v>0</v>
      </c>
      <c r="BG302" s="55">
        <f t="shared" si="383"/>
        <v>0</v>
      </c>
      <c r="BH302" s="55">
        <f t="shared" si="383"/>
        <v>0</v>
      </c>
      <c r="BI302" s="55">
        <f t="shared" si="383"/>
        <v>0</v>
      </c>
      <c r="BJ302" s="55">
        <f t="shared" si="383"/>
        <v>0</v>
      </c>
    </row>
    <row r="303" spans="1:62" x14ac:dyDescent="0.3">
      <c r="A303" s="53" t="str">
        <f t="shared" si="375"/>
        <v>project 145</v>
      </c>
      <c r="C303" s="55">
        <f t="shared" ref="C303:AH303" si="384">IF(AND(C$127&gt;=$K92,C$127&lt;=$L92),$G92*(1+$H92)^(C$127-$B$5),0)</f>
        <v>0</v>
      </c>
      <c r="D303" s="55">
        <f t="shared" si="384"/>
        <v>0</v>
      </c>
      <c r="E303" s="55">
        <f t="shared" si="384"/>
        <v>0</v>
      </c>
      <c r="F303" s="55">
        <f t="shared" si="384"/>
        <v>0</v>
      </c>
      <c r="G303" s="55">
        <f t="shared" si="384"/>
        <v>0</v>
      </c>
      <c r="H303" s="55">
        <f t="shared" si="384"/>
        <v>0</v>
      </c>
      <c r="I303" s="55">
        <f t="shared" si="384"/>
        <v>0</v>
      </c>
      <c r="J303" s="55">
        <f t="shared" si="384"/>
        <v>0</v>
      </c>
      <c r="K303" s="55">
        <f t="shared" si="384"/>
        <v>0</v>
      </c>
      <c r="L303" s="55">
        <f t="shared" si="384"/>
        <v>0</v>
      </c>
      <c r="M303" s="55">
        <f t="shared" si="384"/>
        <v>1.288042411984873</v>
      </c>
      <c r="N303" s="55">
        <f t="shared" si="384"/>
        <v>1.3205010807668915</v>
      </c>
      <c r="O303" s="55">
        <f t="shared" si="384"/>
        <v>1.3537777080022171</v>
      </c>
      <c r="P303" s="55">
        <f t="shared" si="384"/>
        <v>1.387892906243873</v>
      </c>
      <c r="Q303" s="55">
        <f t="shared" si="384"/>
        <v>1.4228678074812184</v>
      </c>
      <c r="R303" s="55">
        <f t="shared" si="384"/>
        <v>1.4587240762297446</v>
      </c>
      <c r="S303" s="55">
        <f t="shared" si="384"/>
        <v>1.495483922950734</v>
      </c>
      <c r="T303" s="55">
        <f t="shared" si="384"/>
        <v>1.5331701178090924</v>
      </c>
      <c r="U303" s="55">
        <f t="shared" si="384"/>
        <v>1.5718060047778812</v>
      </c>
      <c r="V303" s="55">
        <f t="shared" si="384"/>
        <v>1.6114155160982835</v>
      </c>
      <c r="W303" s="55">
        <f t="shared" si="384"/>
        <v>1.6520231871039603</v>
      </c>
      <c r="X303" s="55">
        <f t="shared" si="384"/>
        <v>1.6936541714189799</v>
      </c>
      <c r="Y303" s="55">
        <f t="shared" si="384"/>
        <v>1.7363342565387381</v>
      </c>
      <c r="Z303" s="55">
        <f t="shared" si="384"/>
        <v>1.7800898798035139</v>
      </c>
      <c r="AA303" s="55">
        <f t="shared" si="384"/>
        <v>1.8249481447745621</v>
      </c>
      <c r="AB303" s="55">
        <f t="shared" si="384"/>
        <v>1.8709368380228806</v>
      </c>
      <c r="AC303" s="55">
        <f t="shared" si="384"/>
        <v>1.9180844463410571</v>
      </c>
      <c r="AD303" s="55">
        <f t="shared" si="384"/>
        <v>1.9664201743888514</v>
      </c>
      <c r="AE303" s="55">
        <f t="shared" si="384"/>
        <v>2.0159739627834505</v>
      </c>
      <c r="AF303" s="55">
        <f t="shared" si="384"/>
        <v>2.0667765066455934</v>
      </c>
      <c r="AG303" s="55">
        <f t="shared" si="384"/>
        <v>2.1188592746130621</v>
      </c>
      <c r="AH303" s="55">
        <f t="shared" si="384"/>
        <v>2.1722545283333106</v>
      </c>
      <c r="AI303" s="55">
        <f t="shared" ref="AI303:BJ303" si="385">IF(AND(AI$127&gt;=$K92,AI$127&lt;=$L92),$G92*(1+$H92)^(AI$127-$B$5),0)</f>
        <v>2.2269953424473097</v>
      </c>
      <c r="AJ303" s="55">
        <f t="shared" si="385"/>
        <v>2.2831156250769817</v>
      </c>
      <c r="AK303" s="55">
        <f t="shared" si="385"/>
        <v>2.3406501388289214</v>
      </c>
      <c r="AL303" s="55">
        <f t="shared" si="385"/>
        <v>2.39963452232741</v>
      </c>
      <c r="AM303" s="55">
        <f t="shared" si="385"/>
        <v>2.4601053122900605</v>
      </c>
      <c r="AN303" s="55">
        <f t="shared" si="385"/>
        <v>2.5220999661597698</v>
      </c>
      <c r="AO303" s="55">
        <f t="shared" si="385"/>
        <v>2.5856568853069954</v>
      </c>
      <c r="AP303" s="55">
        <f t="shared" si="385"/>
        <v>2.6508154388167311</v>
      </c>
      <c r="AQ303" s="55">
        <f t="shared" si="385"/>
        <v>2.7176159878749124</v>
      </c>
      <c r="AR303" s="55">
        <f t="shared" si="385"/>
        <v>2.78609991076936</v>
      </c>
      <c r="AS303" s="55">
        <f t="shared" si="385"/>
        <v>2.8563096285207474</v>
      </c>
      <c r="AT303" s="55">
        <f t="shared" si="385"/>
        <v>2.9282886311594698</v>
      </c>
      <c r="AU303" s="55">
        <f t="shared" si="385"/>
        <v>3.0020815046646883</v>
      </c>
      <c r="AV303" s="55">
        <f t="shared" si="385"/>
        <v>3.0777339585822383</v>
      </c>
      <c r="AW303" s="55">
        <f t="shared" si="385"/>
        <v>3.1552928543385104</v>
      </c>
      <c r="AX303" s="55">
        <f t="shared" si="385"/>
        <v>3.2348062342678401</v>
      </c>
      <c r="AY303" s="55">
        <f t="shared" si="385"/>
        <v>3.3163233513713894</v>
      </c>
      <c r="AZ303" s="55">
        <f t="shared" si="385"/>
        <v>3.3998946998259476</v>
      </c>
      <c r="BA303" s="55">
        <f t="shared" si="385"/>
        <v>0</v>
      </c>
      <c r="BB303" s="55">
        <f t="shared" si="385"/>
        <v>0</v>
      </c>
      <c r="BC303" s="55">
        <f t="shared" si="385"/>
        <v>0</v>
      </c>
      <c r="BD303" s="55">
        <f t="shared" si="385"/>
        <v>0</v>
      </c>
      <c r="BE303" s="55">
        <f t="shared" si="385"/>
        <v>0</v>
      </c>
      <c r="BF303" s="55">
        <f t="shared" si="385"/>
        <v>0</v>
      </c>
      <c r="BG303" s="55">
        <f t="shared" si="385"/>
        <v>0</v>
      </c>
      <c r="BH303" s="55">
        <f t="shared" si="385"/>
        <v>0</v>
      </c>
      <c r="BI303" s="55">
        <f t="shared" si="385"/>
        <v>0</v>
      </c>
      <c r="BJ303" s="55">
        <f t="shared" si="385"/>
        <v>0</v>
      </c>
    </row>
    <row r="304" spans="1:62" x14ac:dyDescent="0.3">
      <c r="A304" s="53" t="str">
        <f t="shared" si="375"/>
        <v>project 146</v>
      </c>
      <c r="C304" s="55">
        <f t="shared" ref="C304:AH304" si="386">IF(AND(C$127&gt;=$K93,C$127&lt;=$L93),$G93*(1+$H93)^(C$127-$B$5),0)</f>
        <v>0</v>
      </c>
      <c r="D304" s="55">
        <f t="shared" si="386"/>
        <v>0</v>
      </c>
      <c r="E304" s="55">
        <f t="shared" si="386"/>
        <v>0</v>
      </c>
      <c r="F304" s="55">
        <f t="shared" si="386"/>
        <v>0</v>
      </c>
      <c r="G304" s="55">
        <f t="shared" si="386"/>
        <v>0</v>
      </c>
      <c r="H304" s="55">
        <f t="shared" si="386"/>
        <v>0</v>
      </c>
      <c r="I304" s="55">
        <f t="shared" si="386"/>
        <v>0</v>
      </c>
      <c r="J304" s="55">
        <f t="shared" si="386"/>
        <v>0</v>
      </c>
      <c r="K304" s="55">
        <f t="shared" si="386"/>
        <v>0</v>
      </c>
      <c r="L304" s="55">
        <f t="shared" si="386"/>
        <v>0</v>
      </c>
      <c r="M304" s="55">
        <f t="shared" si="386"/>
        <v>0</v>
      </c>
      <c r="N304" s="55">
        <f t="shared" si="386"/>
        <v>0</v>
      </c>
      <c r="O304" s="55">
        <f t="shared" si="386"/>
        <v>1.5262702304688789</v>
      </c>
      <c r="P304" s="55">
        <f t="shared" si="386"/>
        <v>1.5648848672997415</v>
      </c>
      <c r="Q304" s="55">
        <f t="shared" si="386"/>
        <v>1.6044764544424253</v>
      </c>
      <c r="R304" s="55">
        <f t="shared" si="386"/>
        <v>1.6450697087398187</v>
      </c>
      <c r="S304" s="55">
        <f t="shared" si="386"/>
        <v>1.6866899723709365</v>
      </c>
      <c r="T304" s="55">
        <f t="shared" si="386"/>
        <v>1.7293632286719214</v>
      </c>
      <c r="U304" s="55">
        <f t="shared" si="386"/>
        <v>1.7731161183573214</v>
      </c>
      <c r="V304" s="55">
        <f t="shared" si="386"/>
        <v>1.8179759561517617</v>
      </c>
      <c r="W304" s="55">
        <f t="shared" si="386"/>
        <v>1.8639707478424017</v>
      </c>
      <c r="X304" s="55">
        <f t="shared" si="386"/>
        <v>1.9111292077628144</v>
      </c>
      <c r="Y304" s="55">
        <f t="shared" si="386"/>
        <v>1.9594807767192139</v>
      </c>
      <c r="Z304" s="55">
        <f t="shared" si="386"/>
        <v>2.0090556403702102</v>
      </c>
      <c r="AA304" s="55">
        <f t="shared" si="386"/>
        <v>2.059884748071577</v>
      </c>
      <c r="AB304" s="55">
        <f t="shared" si="386"/>
        <v>2.111999832197788</v>
      </c>
      <c r="AC304" s="55">
        <f t="shared" si="386"/>
        <v>2.1654334279523928</v>
      </c>
      <c r="AD304" s="55">
        <f t="shared" si="386"/>
        <v>2.2202188936795886</v>
      </c>
      <c r="AE304" s="55">
        <f t="shared" si="386"/>
        <v>2.2763904316896824</v>
      </c>
      <c r="AF304" s="55">
        <f t="shared" si="386"/>
        <v>2.333983109611431</v>
      </c>
      <c r="AG304" s="55">
        <f t="shared" si="386"/>
        <v>2.3930328822846012</v>
      </c>
      <c r="AH304" s="55">
        <f t="shared" si="386"/>
        <v>2.4535766142064017</v>
      </c>
      <c r="AI304" s="55">
        <f t="shared" ref="AI304:BJ304" si="387">IF(AND(AI$127&gt;=$K93,AI$127&lt;=$L93),$G93*(1+$H93)^(AI$127-$B$5),0)</f>
        <v>2.5156521025458241</v>
      </c>
      <c r="AJ304" s="55">
        <f t="shared" si="387"/>
        <v>2.5792981007402336</v>
      </c>
      <c r="AK304" s="55">
        <f t="shared" si="387"/>
        <v>2.6445543426889619</v>
      </c>
      <c r="AL304" s="55">
        <f t="shared" si="387"/>
        <v>2.711461567558993</v>
      </c>
      <c r="AM304" s="55">
        <f t="shared" si="387"/>
        <v>2.7800615452182362</v>
      </c>
      <c r="AN304" s="55">
        <f t="shared" si="387"/>
        <v>2.8503971023122578</v>
      </c>
      <c r="AO304" s="55">
        <f t="shared" si="387"/>
        <v>2.9225121490007582</v>
      </c>
      <c r="AP304" s="55">
        <f t="shared" si="387"/>
        <v>2.9964517063704776</v>
      </c>
      <c r="AQ304" s="55">
        <f t="shared" si="387"/>
        <v>3.0722619345416513</v>
      </c>
      <c r="AR304" s="55">
        <f t="shared" si="387"/>
        <v>3.1499901614855559</v>
      </c>
      <c r="AS304" s="55">
        <f t="shared" si="387"/>
        <v>3.2296849125711411</v>
      </c>
      <c r="AT304" s="55">
        <f t="shared" si="387"/>
        <v>3.3113959408591915</v>
      </c>
      <c r="AU304" s="55">
        <f t="shared" si="387"/>
        <v>3.3951742581629292</v>
      </c>
      <c r="AV304" s="55">
        <f t="shared" si="387"/>
        <v>3.4810721668944513</v>
      </c>
      <c r="AW304" s="55">
        <f t="shared" si="387"/>
        <v>3.5691432927168814</v>
      </c>
      <c r="AX304" s="55">
        <f t="shared" si="387"/>
        <v>3.6594426180226187</v>
      </c>
      <c r="AY304" s="55">
        <f t="shared" si="387"/>
        <v>3.7520265162585917</v>
      </c>
      <c r="AZ304" s="55">
        <f t="shared" si="387"/>
        <v>3.8469527871199349</v>
      </c>
      <c r="BA304" s="55">
        <f t="shared" si="387"/>
        <v>3.9442806926340701</v>
      </c>
      <c r="BB304" s="55">
        <f t="shared" si="387"/>
        <v>4.0440709941577122</v>
      </c>
      <c r="BC304" s="55">
        <f t="shared" si="387"/>
        <v>0</v>
      </c>
      <c r="BD304" s="55">
        <f t="shared" si="387"/>
        <v>0</v>
      </c>
      <c r="BE304" s="55">
        <f t="shared" si="387"/>
        <v>0</v>
      </c>
      <c r="BF304" s="55">
        <f t="shared" si="387"/>
        <v>0</v>
      </c>
      <c r="BG304" s="55">
        <f t="shared" si="387"/>
        <v>0</v>
      </c>
      <c r="BH304" s="55">
        <f t="shared" si="387"/>
        <v>0</v>
      </c>
      <c r="BI304" s="55">
        <f t="shared" si="387"/>
        <v>0</v>
      </c>
      <c r="BJ304" s="55">
        <f t="shared" si="387"/>
        <v>0</v>
      </c>
    </row>
    <row r="305" spans="1:62" x14ac:dyDescent="0.3">
      <c r="A305" s="53" t="str">
        <f t="shared" si="375"/>
        <v>project 148</v>
      </c>
      <c r="C305" s="55">
        <f t="shared" ref="C305:AH305" si="388">IF(AND(C$127&gt;=$K94,C$127&lt;=$L94),$G94*(1+$H94)^(C$127-$B$5),0)</f>
        <v>0</v>
      </c>
      <c r="D305" s="55">
        <f t="shared" si="388"/>
        <v>0</v>
      </c>
      <c r="E305" s="55">
        <f t="shared" si="388"/>
        <v>0</v>
      </c>
      <c r="F305" s="55">
        <f t="shared" si="388"/>
        <v>0</v>
      </c>
      <c r="G305" s="55">
        <f t="shared" si="388"/>
        <v>0.89696328549444526</v>
      </c>
      <c r="H305" s="55">
        <f t="shared" si="388"/>
        <v>0.90826502289167521</v>
      </c>
      <c r="I305" s="55">
        <f t="shared" si="388"/>
        <v>0.91970916218011023</v>
      </c>
      <c r="J305" s="55">
        <f t="shared" si="388"/>
        <v>0.9312974976235795</v>
      </c>
      <c r="K305" s="55">
        <f t="shared" si="388"/>
        <v>0.94303184609363655</v>
      </c>
      <c r="L305" s="55">
        <f t="shared" si="388"/>
        <v>0.95491404735441621</v>
      </c>
      <c r="M305" s="55">
        <f t="shared" si="388"/>
        <v>0.96694596435108182</v>
      </c>
      <c r="N305" s="55">
        <f t="shared" si="388"/>
        <v>0.97912948350190543</v>
      </c>
      <c r="O305" s="55">
        <f t="shared" si="388"/>
        <v>0.99146651499402927</v>
      </c>
      <c r="P305" s="55">
        <f t="shared" si="388"/>
        <v>1.003958993082954</v>
      </c>
      <c r="Q305" s="55">
        <f t="shared" si="388"/>
        <v>1.016608876395799</v>
      </c>
      <c r="R305" s="55">
        <f t="shared" si="388"/>
        <v>1.0294181482383862</v>
      </c>
      <c r="S305" s="55">
        <f t="shared" si="388"/>
        <v>1.0423888169061897</v>
      </c>
      <c r="T305" s="55">
        <f t="shared" si="388"/>
        <v>1.0555229159992077</v>
      </c>
      <c r="U305" s="55">
        <f t="shared" si="388"/>
        <v>1.0688225047407975</v>
      </c>
      <c r="V305" s="55">
        <f t="shared" si="388"/>
        <v>1.0822896683005316</v>
      </c>
      <c r="W305" s="55">
        <f t="shared" si="388"/>
        <v>1.0959265181211182</v>
      </c>
      <c r="X305" s="55">
        <f t="shared" si="388"/>
        <v>1.1097351922494443</v>
      </c>
      <c r="Y305" s="55">
        <f t="shared" si="388"/>
        <v>1.1237178556717868</v>
      </c>
      <c r="Z305" s="55">
        <f t="shared" si="388"/>
        <v>1.1378767006532513</v>
      </c>
      <c r="AA305" s="55">
        <f t="shared" si="388"/>
        <v>1.1522139470814823</v>
      </c>
      <c r="AB305" s="55">
        <f t="shared" si="388"/>
        <v>1.1667318428147087</v>
      </c>
      <c r="AC305" s="55">
        <f t="shared" si="388"/>
        <v>1.1814326640341739</v>
      </c>
      <c r="AD305" s="55">
        <f t="shared" si="388"/>
        <v>1.1963187156010047</v>
      </c>
      <c r="AE305" s="55">
        <f t="shared" si="388"/>
        <v>1.211392331417577</v>
      </c>
      <c r="AF305" s="55">
        <f t="shared" si="388"/>
        <v>1.2266558747934384</v>
      </c>
      <c r="AG305" s="55">
        <f t="shared" si="388"/>
        <v>1.2421117388158356</v>
      </c>
      <c r="AH305" s="55">
        <f t="shared" si="388"/>
        <v>1.257762346724915</v>
      </c>
      <c r="AI305" s="55">
        <f t="shared" ref="AI305:BJ305" si="389">IF(AND(AI$127&gt;=$K94,AI$127&lt;=$L94),$G94*(1+$H94)^(AI$127-$B$5),0)</f>
        <v>1.2736101522936487</v>
      </c>
      <c r="AJ305" s="55">
        <f t="shared" si="389"/>
        <v>1.2896576402125486</v>
      </c>
      <c r="AK305" s="55">
        <f t="shared" si="389"/>
        <v>1.3059073264792267</v>
      </c>
      <c r="AL305" s="55">
        <f t="shared" si="389"/>
        <v>1.3223617587928649</v>
      </c>
      <c r="AM305" s="55">
        <f t="shared" si="389"/>
        <v>1.3390235169536546</v>
      </c>
      <c r="AN305" s="55">
        <f t="shared" si="389"/>
        <v>1.3558952132672708</v>
      </c>
      <c r="AO305" s="55">
        <f t="shared" si="389"/>
        <v>1.3729794929544381</v>
      </c>
      <c r="AP305" s="55">
        <f t="shared" si="389"/>
        <v>1.3902790345656639</v>
      </c>
      <c r="AQ305" s="55">
        <f t="shared" si="389"/>
        <v>1.4077965504011911</v>
      </c>
      <c r="AR305" s="55">
        <f t="shared" si="389"/>
        <v>1.425534786936246</v>
      </c>
      <c r="AS305" s="55">
        <f t="shared" si="389"/>
        <v>1.4434965252516425</v>
      </c>
      <c r="AT305" s="55">
        <f t="shared" si="389"/>
        <v>1.4616845814698134</v>
      </c>
      <c r="AU305" s="55">
        <f t="shared" si="389"/>
        <v>0</v>
      </c>
      <c r="AV305" s="55">
        <f t="shared" si="389"/>
        <v>0</v>
      </c>
      <c r="AW305" s="55">
        <f t="shared" si="389"/>
        <v>0</v>
      </c>
      <c r="AX305" s="55">
        <f t="shared" si="389"/>
        <v>0</v>
      </c>
      <c r="AY305" s="55">
        <f t="shared" si="389"/>
        <v>0</v>
      </c>
      <c r="AZ305" s="55">
        <f t="shared" si="389"/>
        <v>0</v>
      </c>
      <c r="BA305" s="55">
        <f t="shared" si="389"/>
        <v>0</v>
      </c>
      <c r="BB305" s="55">
        <f t="shared" si="389"/>
        <v>0</v>
      </c>
      <c r="BC305" s="55">
        <f t="shared" si="389"/>
        <v>0</v>
      </c>
      <c r="BD305" s="55">
        <f t="shared" si="389"/>
        <v>0</v>
      </c>
      <c r="BE305" s="55">
        <f t="shared" si="389"/>
        <v>0</v>
      </c>
      <c r="BF305" s="55">
        <f t="shared" si="389"/>
        <v>0</v>
      </c>
      <c r="BG305" s="55">
        <f t="shared" si="389"/>
        <v>0</v>
      </c>
      <c r="BH305" s="55">
        <f t="shared" si="389"/>
        <v>0</v>
      </c>
      <c r="BI305" s="55">
        <f t="shared" si="389"/>
        <v>0</v>
      </c>
      <c r="BJ305" s="55">
        <f t="shared" si="389"/>
        <v>0</v>
      </c>
    </row>
    <row r="306" spans="1:62" x14ac:dyDescent="0.3">
      <c r="A306" s="53" t="str">
        <f t="shared" si="375"/>
        <v>project 149</v>
      </c>
      <c r="C306" s="55">
        <f t="shared" ref="C306:AH306" si="390">IF(AND(C$127&gt;=$K95,C$127&lt;=$L95),$G95*(1+$H95)^(C$127-$B$5),0)</f>
        <v>0</v>
      </c>
      <c r="D306" s="55">
        <f t="shared" si="390"/>
        <v>0</v>
      </c>
      <c r="E306" s="55">
        <f t="shared" si="390"/>
        <v>0</v>
      </c>
      <c r="F306" s="55">
        <f t="shared" si="390"/>
        <v>0</v>
      </c>
      <c r="G306" s="55">
        <f t="shared" si="390"/>
        <v>0</v>
      </c>
      <c r="H306" s="55">
        <f t="shared" si="390"/>
        <v>0</v>
      </c>
      <c r="I306" s="55">
        <f t="shared" si="390"/>
        <v>0</v>
      </c>
      <c r="J306" s="55">
        <f t="shared" si="390"/>
        <v>0</v>
      </c>
      <c r="K306" s="55">
        <f t="shared" si="390"/>
        <v>0</v>
      </c>
      <c r="L306" s="55">
        <f t="shared" si="390"/>
        <v>0</v>
      </c>
      <c r="M306" s="55">
        <f t="shared" si="390"/>
        <v>1.6427424828410335</v>
      </c>
      <c r="N306" s="55">
        <f t="shared" si="390"/>
        <v>1.6747759612564339</v>
      </c>
      <c r="O306" s="55">
        <f t="shared" si="390"/>
        <v>1.7074340925009346</v>
      </c>
      <c r="P306" s="55">
        <f t="shared" si="390"/>
        <v>1.7407290573047027</v>
      </c>
      <c r="Q306" s="55">
        <f t="shared" si="390"/>
        <v>1.7746732739221449</v>
      </c>
      <c r="R306" s="55">
        <f t="shared" si="390"/>
        <v>1.8092794027636268</v>
      </c>
      <c r="S306" s="55">
        <f t="shared" si="390"/>
        <v>1.8445603511175175</v>
      </c>
      <c r="T306" s="55">
        <f t="shared" si="390"/>
        <v>1.8805292779643092</v>
      </c>
      <c r="U306" s="55">
        <f t="shared" si="390"/>
        <v>1.9171995988846133</v>
      </c>
      <c r="V306" s="55">
        <f t="shared" si="390"/>
        <v>1.9545849910628637</v>
      </c>
      <c r="W306" s="55">
        <f t="shared" si="390"/>
        <v>1.9926993983885897</v>
      </c>
      <c r="X306" s="55">
        <f t="shared" si="390"/>
        <v>2.0315570366571674</v>
      </c>
      <c r="Y306" s="55">
        <f t="shared" si="390"/>
        <v>2.0711723988719823</v>
      </c>
      <c r="Z306" s="55">
        <f t="shared" si="390"/>
        <v>2.1115602606499864</v>
      </c>
      <c r="AA306" s="55">
        <f t="shared" si="390"/>
        <v>2.1527356857326612</v>
      </c>
      <c r="AB306" s="55">
        <f t="shared" si="390"/>
        <v>2.1947140316044482</v>
      </c>
      <c r="AC306" s="55">
        <f t="shared" si="390"/>
        <v>2.2375109552207353</v>
      </c>
      <c r="AD306" s="55">
        <f t="shared" si="390"/>
        <v>2.2811424188475398</v>
      </c>
      <c r="AE306" s="55">
        <f t="shared" si="390"/>
        <v>2.3256246960150668</v>
      </c>
      <c r="AF306" s="55">
        <f t="shared" si="390"/>
        <v>2.3709743775873608</v>
      </c>
      <c r="AG306" s="55">
        <f t="shared" si="390"/>
        <v>2.4172083779503146</v>
      </c>
      <c r="AH306" s="55">
        <f t="shared" si="390"/>
        <v>2.4643439413203465</v>
      </c>
      <c r="AI306" s="55">
        <f t="shared" ref="AI306:BJ306" si="391">IF(AND(AI$127&gt;=$K95,AI$127&lt;=$L95),$G95*(1+$H95)^(AI$127-$B$5),0)</f>
        <v>2.5123986481760929</v>
      </c>
      <c r="AJ306" s="55">
        <f t="shared" si="391"/>
        <v>2.5613904218155268</v>
      </c>
      <c r="AK306" s="55">
        <f t="shared" si="391"/>
        <v>2.61133753504093</v>
      </c>
      <c r="AL306" s="55">
        <f t="shared" si="391"/>
        <v>2.6622586169742286</v>
      </c>
      <c r="AM306" s="55">
        <f t="shared" si="391"/>
        <v>2.7141726600052265</v>
      </c>
      <c r="AN306" s="55">
        <f t="shared" si="391"/>
        <v>2.7670990268753277</v>
      </c>
      <c r="AO306" s="55">
        <f t="shared" si="391"/>
        <v>2.8210574578993972</v>
      </c>
      <c r="AP306" s="55">
        <f t="shared" si="391"/>
        <v>2.8760680783284358</v>
      </c>
      <c r="AQ306" s="55">
        <f t="shared" si="391"/>
        <v>2.9321514058558411</v>
      </c>
      <c r="AR306" s="55">
        <f t="shared" si="391"/>
        <v>2.9893283582700301</v>
      </c>
      <c r="AS306" s="55">
        <f t="shared" si="391"/>
        <v>3.0476202612562959</v>
      </c>
      <c r="AT306" s="55">
        <f t="shared" si="391"/>
        <v>3.1070488563507941</v>
      </c>
      <c r="AU306" s="55">
        <f t="shared" si="391"/>
        <v>3.1676363090496347</v>
      </c>
      <c r="AV306" s="55">
        <f t="shared" si="391"/>
        <v>3.2294052170761027</v>
      </c>
      <c r="AW306" s="55">
        <f t="shared" si="391"/>
        <v>3.2923786188090873</v>
      </c>
      <c r="AX306" s="55">
        <f t="shared" si="391"/>
        <v>3.3565800018758645</v>
      </c>
      <c r="AY306" s="55">
        <f t="shared" si="391"/>
        <v>3.4220333119124438</v>
      </c>
      <c r="AZ306" s="55">
        <f t="shared" si="391"/>
        <v>3.4887629614947371</v>
      </c>
      <c r="BA306" s="55">
        <f t="shared" si="391"/>
        <v>0</v>
      </c>
      <c r="BB306" s="55">
        <f t="shared" si="391"/>
        <v>0</v>
      </c>
      <c r="BC306" s="55">
        <f t="shared" si="391"/>
        <v>0</v>
      </c>
      <c r="BD306" s="55">
        <f t="shared" si="391"/>
        <v>0</v>
      </c>
      <c r="BE306" s="55">
        <f t="shared" si="391"/>
        <v>0</v>
      </c>
      <c r="BF306" s="55">
        <f t="shared" si="391"/>
        <v>0</v>
      </c>
      <c r="BG306" s="55">
        <f t="shared" si="391"/>
        <v>0</v>
      </c>
      <c r="BH306" s="55">
        <f t="shared" si="391"/>
        <v>0</v>
      </c>
      <c r="BI306" s="55">
        <f t="shared" si="391"/>
        <v>0</v>
      </c>
      <c r="BJ306" s="55">
        <f t="shared" si="391"/>
        <v>0</v>
      </c>
    </row>
    <row r="307" spans="1:62" x14ac:dyDescent="0.3">
      <c r="A307" s="53" t="str">
        <f t="shared" si="375"/>
        <v>project 150</v>
      </c>
      <c r="C307" s="55">
        <f t="shared" ref="C307:AH307" si="392">IF(AND(C$127&gt;=$K96,C$127&lt;=$L96),$G96*(1+$H96)^(C$127-$B$5),0)</f>
        <v>0</v>
      </c>
      <c r="D307" s="55">
        <f t="shared" si="392"/>
        <v>0</v>
      </c>
      <c r="E307" s="55">
        <f t="shared" si="392"/>
        <v>0</v>
      </c>
      <c r="F307" s="55">
        <f t="shared" si="392"/>
        <v>0</v>
      </c>
      <c r="G307" s="55">
        <f t="shared" si="392"/>
        <v>0</v>
      </c>
      <c r="H307" s="55">
        <f t="shared" si="392"/>
        <v>0</v>
      </c>
      <c r="I307" s="55">
        <f t="shared" si="392"/>
        <v>0</v>
      </c>
      <c r="J307" s="55">
        <f t="shared" si="392"/>
        <v>0</v>
      </c>
      <c r="K307" s="55">
        <f t="shared" si="392"/>
        <v>0</v>
      </c>
      <c r="L307" s="55">
        <f t="shared" si="392"/>
        <v>0</v>
      </c>
      <c r="M307" s="55">
        <f t="shared" si="392"/>
        <v>2.1740000377169362</v>
      </c>
      <c r="N307" s="55">
        <f t="shared" si="392"/>
        <v>2.2196540385089918</v>
      </c>
      <c r="O307" s="55">
        <f t="shared" si="392"/>
        <v>2.26626677331768</v>
      </c>
      <c r="P307" s="55">
        <f t="shared" si="392"/>
        <v>2.3138583755573512</v>
      </c>
      <c r="Q307" s="55">
        <f t="shared" si="392"/>
        <v>2.3624494014440556</v>
      </c>
      <c r="R307" s="55">
        <f t="shared" si="392"/>
        <v>2.4120608388743801</v>
      </c>
      <c r="S307" s="55">
        <f t="shared" si="392"/>
        <v>2.462714116490742</v>
      </c>
      <c r="T307" s="55">
        <f t="shared" si="392"/>
        <v>2.5144311129370478</v>
      </c>
      <c r="U307" s="55">
        <f t="shared" si="392"/>
        <v>2.567234166308725</v>
      </c>
      <c r="V307" s="55">
        <f t="shared" si="392"/>
        <v>2.6211460838012082</v>
      </c>
      <c r="W307" s="55">
        <f t="shared" si="392"/>
        <v>2.6761901515610331</v>
      </c>
      <c r="X307" s="55">
        <f t="shared" si="392"/>
        <v>2.7323901447438144</v>
      </c>
      <c r="Y307" s="55">
        <f t="shared" si="392"/>
        <v>2.7897703377834344</v>
      </c>
      <c r="Z307" s="55">
        <f t="shared" si="392"/>
        <v>2.8483555148768862</v>
      </c>
      <c r="AA307" s="55">
        <f t="shared" si="392"/>
        <v>2.9081709806893001</v>
      </c>
      <c r="AB307" s="55">
        <f t="shared" si="392"/>
        <v>2.9692425712837749</v>
      </c>
      <c r="AC307" s="55">
        <f t="shared" si="392"/>
        <v>3.031596665280734</v>
      </c>
      <c r="AD307" s="55">
        <f t="shared" si="392"/>
        <v>3.0952601952516297</v>
      </c>
      <c r="AE307" s="55">
        <f t="shared" si="392"/>
        <v>3.1602606593519127</v>
      </c>
      <c r="AF307" s="55">
        <f t="shared" si="392"/>
        <v>3.2266261331983022</v>
      </c>
      <c r="AG307" s="55">
        <f t="shared" si="392"/>
        <v>3.2943852819954671</v>
      </c>
      <c r="AH307" s="55">
        <f t="shared" si="392"/>
        <v>3.363567372917371</v>
      </c>
      <c r="AI307" s="55">
        <f t="shared" ref="AI307:BJ307" si="393">IF(AND(AI$127&gt;=$K96,AI$127&lt;=$L96),$G96*(1+$H96)^(AI$127-$B$5),0)</f>
        <v>3.4342022877486356</v>
      </c>
      <c r="AJ307" s="55">
        <f t="shared" si="393"/>
        <v>3.5063205357913563</v>
      </c>
      <c r="AK307" s="55">
        <f t="shared" si="393"/>
        <v>3.5799532670429741</v>
      </c>
      <c r="AL307" s="55">
        <f t="shared" si="393"/>
        <v>3.6551322856508768</v>
      </c>
      <c r="AM307" s="55">
        <f t="shared" si="393"/>
        <v>3.7318900636495447</v>
      </c>
      <c r="AN307" s="55">
        <f t="shared" si="393"/>
        <v>3.8102597549861841</v>
      </c>
      <c r="AO307" s="55">
        <f t="shared" si="393"/>
        <v>3.8902752098408939</v>
      </c>
      <c r="AP307" s="55">
        <f t="shared" si="393"/>
        <v>3.9719709892475521</v>
      </c>
      <c r="AQ307" s="55">
        <f t="shared" si="393"/>
        <v>4.0553823800217508</v>
      </c>
      <c r="AR307" s="55">
        <f t="shared" si="393"/>
        <v>4.1405454100022059</v>
      </c>
      <c r="AS307" s="55">
        <f t="shared" si="393"/>
        <v>4.2274968636122523</v>
      </c>
      <c r="AT307" s="55">
        <f t="shared" si="393"/>
        <v>4.3162742977481097</v>
      </c>
      <c r="AU307" s="55">
        <f t="shared" si="393"/>
        <v>4.4069160580008182</v>
      </c>
      <c r="AV307" s="55">
        <f t="shared" si="393"/>
        <v>4.4994612952188353</v>
      </c>
      <c r="AW307" s="55">
        <f t="shared" si="393"/>
        <v>4.5939499824184304</v>
      </c>
      <c r="AX307" s="55">
        <f t="shared" si="393"/>
        <v>4.6904229320492172</v>
      </c>
      <c r="AY307" s="55">
        <f t="shared" si="393"/>
        <v>4.7889218136222498</v>
      </c>
      <c r="AZ307" s="55">
        <f t="shared" si="393"/>
        <v>4.8894891717083171</v>
      </c>
      <c r="BA307" s="55">
        <f t="shared" si="393"/>
        <v>0</v>
      </c>
      <c r="BB307" s="55">
        <f t="shared" si="393"/>
        <v>0</v>
      </c>
      <c r="BC307" s="55">
        <f t="shared" si="393"/>
        <v>0</v>
      </c>
      <c r="BD307" s="55">
        <f t="shared" si="393"/>
        <v>0</v>
      </c>
      <c r="BE307" s="55">
        <f t="shared" si="393"/>
        <v>0</v>
      </c>
      <c r="BF307" s="55">
        <f t="shared" si="393"/>
        <v>0</v>
      </c>
      <c r="BG307" s="55">
        <f t="shared" si="393"/>
        <v>0</v>
      </c>
      <c r="BH307" s="55">
        <f t="shared" si="393"/>
        <v>0</v>
      </c>
      <c r="BI307" s="55">
        <f t="shared" si="393"/>
        <v>0</v>
      </c>
      <c r="BJ307" s="55">
        <f t="shared" si="393"/>
        <v>0</v>
      </c>
    </row>
    <row r="308" spans="1:62" x14ac:dyDescent="0.3">
      <c r="A308" s="53" t="str">
        <f t="shared" si="375"/>
        <v>project 153</v>
      </c>
      <c r="C308" s="55">
        <f t="shared" ref="C308:AH308" si="394">IF(AND(C$127&gt;=$K97,C$127&lt;=$L97),$G97*(1+$H97)^(C$127-$B$5),0)</f>
        <v>0</v>
      </c>
      <c r="D308" s="55">
        <f t="shared" si="394"/>
        <v>0</v>
      </c>
      <c r="E308" s="55">
        <f t="shared" si="394"/>
        <v>1.1907031213746999</v>
      </c>
      <c r="F308" s="55">
        <f t="shared" si="394"/>
        <v>1.208920879131733</v>
      </c>
      <c r="G308" s="55">
        <f t="shared" si="394"/>
        <v>1.2274173685824483</v>
      </c>
      <c r="H308" s="55">
        <f t="shared" si="394"/>
        <v>1.2461968543217601</v>
      </c>
      <c r="I308" s="55">
        <f t="shared" si="394"/>
        <v>1.2652636661928829</v>
      </c>
      <c r="J308" s="55">
        <f t="shared" si="394"/>
        <v>1.2846222002856342</v>
      </c>
      <c r="K308" s="55">
        <f t="shared" si="394"/>
        <v>1.3042769199500044</v>
      </c>
      <c r="L308" s="55">
        <f t="shared" si="394"/>
        <v>1.3242323568252397</v>
      </c>
      <c r="M308" s="55">
        <f t="shared" si="394"/>
        <v>1.3444931118846657</v>
      </c>
      <c r="N308" s="55">
        <f t="shared" si="394"/>
        <v>1.3650638564965012</v>
      </c>
      <c r="O308" s="55">
        <f t="shared" si="394"/>
        <v>1.3859493335008979</v>
      </c>
      <c r="P308" s="55">
        <f t="shared" si="394"/>
        <v>1.4071543583034618</v>
      </c>
      <c r="Q308" s="55">
        <f t="shared" si="394"/>
        <v>1.4286838199855045</v>
      </c>
      <c r="R308" s="55">
        <f t="shared" si="394"/>
        <v>1.450542682431283</v>
      </c>
      <c r="S308" s="55">
        <f t="shared" si="394"/>
        <v>1.4727359854724815</v>
      </c>
      <c r="T308" s="55">
        <f t="shared" si="394"/>
        <v>1.4952688460502106</v>
      </c>
      <c r="U308" s="55">
        <f t="shared" si="394"/>
        <v>1.5181464593947789</v>
      </c>
      <c r="V308" s="55">
        <f t="shared" si="394"/>
        <v>1.5413741002235193</v>
      </c>
      <c r="W308" s="55">
        <f t="shared" si="394"/>
        <v>1.5649571239569389</v>
      </c>
      <c r="X308" s="55">
        <f t="shared" si="394"/>
        <v>1.5889009679534805</v>
      </c>
      <c r="Y308" s="55">
        <f t="shared" si="394"/>
        <v>1.6132111527631683</v>
      </c>
      <c r="Z308" s="55">
        <f t="shared" si="394"/>
        <v>1.6378932834004452</v>
      </c>
      <c r="AA308" s="55">
        <f t="shared" si="394"/>
        <v>1.6629530506364718</v>
      </c>
      <c r="AB308" s="55">
        <f t="shared" si="394"/>
        <v>1.6883962323112103</v>
      </c>
      <c r="AC308" s="55">
        <f t="shared" si="394"/>
        <v>1.7142286946655716</v>
      </c>
      <c r="AD308" s="55">
        <f t="shared" si="394"/>
        <v>1.740456393693955</v>
      </c>
      <c r="AE308" s="55">
        <f t="shared" si="394"/>
        <v>1.7670853765174728</v>
      </c>
      <c r="AF308" s="55">
        <f t="shared" si="394"/>
        <v>1.7941217827781901</v>
      </c>
      <c r="AG308" s="55">
        <f t="shared" si="394"/>
        <v>1.8215718460546966</v>
      </c>
      <c r="AH308" s="55">
        <f t="shared" si="394"/>
        <v>1.8494418952993334</v>
      </c>
      <c r="AI308" s="55">
        <f t="shared" ref="AI308:BJ308" si="395">IF(AND(AI$127&gt;=$K97,AI$127&lt;=$L97),$G97*(1+$H97)^(AI$127-$B$5),0)</f>
        <v>1.877738356297413</v>
      </c>
      <c r="AJ308" s="55">
        <f t="shared" si="395"/>
        <v>1.9064677531487637</v>
      </c>
      <c r="AK308" s="55">
        <f t="shared" si="395"/>
        <v>1.93563670977194</v>
      </c>
      <c r="AL308" s="55">
        <f t="shared" si="395"/>
        <v>1.9652519514314508</v>
      </c>
      <c r="AM308" s="55">
        <f t="shared" si="395"/>
        <v>1.995320306288352</v>
      </c>
      <c r="AN308" s="55">
        <f t="shared" si="395"/>
        <v>2.0258487069745641</v>
      </c>
      <c r="AO308" s="55">
        <f t="shared" si="395"/>
        <v>2.0568441921912748</v>
      </c>
      <c r="AP308" s="55">
        <f t="shared" si="395"/>
        <v>2.0883139083318012</v>
      </c>
      <c r="AQ308" s="55">
        <f t="shared" si="395"/>
        <v>2.1202651111292776</v>
      </c>
      <c r="AR308" s="55">
        <f t="shared" si="395"/>
        <v>2.1527051673295561</v>
      </c>
      <c r="AS308" s="55">
        <f t="shared" si="395"/>
        <v>0</v>
      </c>
      <c r="AT308" s="55">
        <f t="shared" si="395"/>
        <v>0</v>
      </c>
      <c r="AU308" s="55">
        <f t="shared" si="395"/>
        <v>0</v>
      </c>
      <c r="AV308" s="55">
        <f t="shared" si="395"/>
        <v>0</v>
      </c>
      <c r="AW308" s="55">
        <f t="shared" si="395"/>
        <v>0</v>
      </c>
      <c r="AX308" s="55">
        <f t="shared" si="395"/>
        <v>0</v>
      </c>
      <c r="AY308" s="55">
        <f t="shared" si="395"/>
        <v>0</v>
      </c>
      <c r="AZ308" s="55">
        <f t="shared" si="395"/>
        <v>0</v>
      </c>
      <c r="BA308" s="55">
        <f t="shared" si="395"/>
        <v>0</v>
      </c>
      <c r="BB308" s="55">
        <f t="shared" si="395"/>
        <v>0</v>
      </c>
      <c r="BC308" s="55">
        <f t="shared" si="395"/>
        <v>0</v>
      </c>
      <c r="BD308" s="55">
        <f t="shared" si="395"/>
        <v>0</v>
      </c>
      <c r="BE308" s="55">
        <f t="shared" si="395"/>
        <v>0</v>
      </c>
      <c r="BF308" s="55">
        <f t="shared" si="395"/>
        <v>0</v>
      </c>
      <c r="BG308" s="55">
        <f t="shared" si="395"/>
        <v>0</v>
      </c>
      <c r="BH308" s="55">
        <f t="shared" si="395"/>
        <v>0</v>
      </c>
      <c r="BI308" s="55">
        <f t="shared" si="395"/>
        <v>0</v>
      </c>
      <c r="BJ308" s="55">
        <f t="shared" si="395"/>
        <v>0</v>
      </c>
    </row>
    <row r="309" spans="1:62" x14ac:dyDescent="0.3">
      <c r="A309" s="53" t="str">
        <f t="shared" si="375"/>
        <v>project 156</v>
      </c>
      <c r="C309" s="55">
        <f t="shared" ref="C309:AH309" si="396">IF(AND(C$127&gt;=$K98,C$127&lt;=$L98),$G98*(1+$H98)^(C$127-$B$5),0)</f>
        <v>0</v>
      </c>
      <c r="D309" s="55">
        <f t="shared" si="396"/>
        <v>0</v>
      </c>
      <c r="E309" s="55">
        <f t="shared" si="396"/>
        <v>0</v>
      </c>
      <c r="F309" s="55">
        <f t="shared" si="396"/>
        <v>0</v>
      </c>
      <c r="G309" s="55">
        <f t="shared" si="396"/>
        <v>0</v>
      </c>
      <c r="H309" s="55">
        <f t="shared" si="396"/>
        <v>0</v>
      </c>
      <c r="I309" s="55">
        <f t="shared" si="396"/>
        <v>0</v>
      </c>
      <c r="J309" s="55">
        <f t="shared" si="396"/>
        <v>0</v>
      </c>
      <c r="K309" s="55">
        <f t="shared" si="396"/>
        <v>0</v>
      </c>
      <c r="L309" s="55">
        <f t="shared" si="396"/>
        <v>0</v>
      </c>
      <c r="M309" s="55">
        <f t="shared" si="396"/>
        <v>0</v>
      </c>
      <c r="N309" s="55">
        <f t="shared" si="396"/>
        <v>0</v>
      </c>
      <c r="O309" s="55">
        <f t="shared" si="396"/>
        <v>0</v>
      </c>
      <c r="P309" s="55">
        <f t="shared" si="396"/>
        <v>0</v>
      </c>
      <c r="Q309" s="55">
        <f t="shared" si="396"/>
        <v>0</v>
      </c>
      <c r="R309" s="55">
        <f t="shared" si="396"/>
        <v>0</v>
      </c>
      <c r="S309" s="55">
        <f t="shared" si="396"/>
        <v>0</v>
      </c>
      <c r="T309" s="55">
        <f t="shared" si="396"/>
        <v>0</v>
      </c>
      <c r="U309" s="55">
        <f t="shared" si="396"/>
        <v>3.1106011339752819</v>
      </c>
      <c r="V309" s="55">
        <f t="shared" si="396"/>
        <v>3.1958316050462052</v>
      </c>
      <c r="W309" s="55">
        <f t="shared" si="396"/>
        <v>3.2833973910244709</v>
      </c>
      <c r="X309" s="55">
        <f t="shared" si="396"/>
        <v>3.3733624795385415</v>
      </c>
      <c r="Y309" s="55">
        <f t="shared" si="396"/>
        <v>3.4657926114778981</v>
      </c>
      <c r="Z309" s="55">
        <f t="shared" si="396"/>
        <v>3.5607553290323937</v>
      </c>
      <c r="AA309" s="55">
        <f t="shared" si="396"/>
        <v>3.6583200250478809</v>
      </c>
      <c r="AB309" s="55">
        <f t="shared" si="396"/>
        <v>3.7585579937341933</v>
      </c>
      <c r="AC309" s="55">
        <f t="shared" si="396"/>
        <v>3.8615424827625109</v>
      </c>
      <c r="AD309" s="55">
        <f t="shared" si="396"/>
        <v>3.9673487467902042</v>
      </c>
      <c r="AE309" s="55">
        <f t="shared" si="396"/>
        <v>4.0760541024522556</v>
      </c>
      <c r="AF309" s="55">
        <f t="shared" si="396"/>
        <v>4.1877379848594485</v>
      </c>
      <c r="AG309" s="55">
        <f t="shared" si="396"/>
        <v>4.3024820056445972</v>
      </c>
      <c r="AH309" s="55">
        <f t="shared" si="396"/>
        <v>4.4203700125992604</v>
      </c>
      <c r="AI309" s="55">
        <f t="shared" ref="AI309:BJ309" si="397">IF(AND(AI$127&gt;=$K98,AI$127&lt;=$L98),$G98*(1+$H98)^(AI$127-$B$5),0)</f>
        <v>4.5414881509444802</v>
      </c>
      <c r="AJ309" s="55">
        <f t="shared" si="397"/>
        <v>4.6659249262803595</v>
      </c>
      <c r="AK309" s="55">
        <f t="shared" si="397"/>
        <v>4.7937712692604419</v>
      </c>
      <c r="AL309" s="55">
        <f t="shared" si="397"/>
        <v>4.925120602038179</v>
      </c>
      <c r="AM309" s="55">
        <f t="shared" si="397"/>
        <v>5.060068906534025</v>
      </c>
      <c r="AN309" s="55">
        <f t="shared" si="397"/>
        <v>5.198714794573057</v>
      </c>
      <c r="AO309" s="55">
        <f t="shared" si="397"/>
        <v>5.3411595799443603</v>
      </c>
      <c r="AP309" s="55">
        <f t="shared" si="397"/>
        <v>5.4875073524348359</v>
      </c>
      <c r="AQ309" s="55">
        <f t="shared" si="397"/>
        <v>5.6378650538915513</v>
      </c>
      <c r="AR309" s="55">
        <f t="shared" si="397"/>
        <v>5.7923425563681796</v>
      </c>
      <c r="AS309" s="55">
        <f t="shared" si="397"/>
        <v>5.9510527424126698</v>
      </c>
      <c r="AT309" s="55">
        <f t="shared" si="397"/>
        <v>6.1141115875547776</v>
      </c>
      <c r="AU309" s="55">
        <f t="shared" si="397"/>
        <v>6.2816382450537773</v>
      </c>
      <c r="AV309" s="55">
        <f t="shared" si="397"/>
        <v>6.4537551329682517</v>
      </c>
      <c r="AW309" s="55">
        <f t="shared" si="397"/>
        <v>6.6305880236115824</v>
      </c>
      <c r="AX309" s="55">
        <f t="shared" si="397"/>
        <v>6.8122661354585423</v>
      </c>
      <c r="AY309" s="55">
        <f t="shared" si="397"/>
        <v>6.9989222275701062</v>
      </c>
      <c r="AZ309" s="55">
        <f t="shared" si="397"/>
        <v>7.1906926966055273</v>
      </c>
      <c r="BA309" s="55">
        <f t="shared" si="397"/>
        <v>7.3877176764925201</v>
      </c>
      <c r="BB309" s="55">
        <f t="shared" si="397"/>
        <v>7.5901411408284165</v>
      </c>
      <c r="BC309" s="55">
        <f t="shared" si="397"/>
        <v>7.7981110080871145</v>
      </c>
      <c r="BD309" s="55">
        <f t="shared" si="397"/>
        <v>8.0117792497087006</v>
      </c>
      <c r="BE309" s="55">
        <f t="shared" si="397"/>
        <v>8.2313020011507216</v>
      </c>
      <c r="BF309" s="55">
        <f t="shared" si="397"/>
        <v>8.4568396759822537</v>
      </c>
      <c r="BG309" s="55">
        <f t="shared" si="397"/>
        <v>8.6885570831041665</v>
      </c>
      <c r="BH309" s="55">
        <f t="shared" si="397"/>
        <v>8.9266235471812223</v>
      </c>
      <c r="BI309" s="55">
        <f t="shared" si="397"/>
        <v>0</v>
      </c>
      <c r="BJ309" s="55">
        <f t="shared" si="397"/>
        <v>0</v>
      </c>
    </row>
    <row r="310" spans="1:62" x14ac:dyDescent="0.3">
      <c r="A310" s="53" t="str">
        <f t="shared" si="375"/>
        <v>project 157</v>
      </c>
      <c r="C310" s="55">
        <f t="shared" ref="C310:AH310" si="398">IF(AND(C$127&gt;=$K99,C$127&lt;=$L99),$G99*(1+$H99)^(C$127-$B$5),0)</f>
        <v>0</v>
      </c>
      <c r="D310" s="55">
        <f t="shared" si="398"/>
        <v>0</v>
      </c>
      <c r="E310" s="55">
        <f t="shared" si="398"/>
        <v>0</v>
      </c>
      <c r="F310" s="55">
        <f t="shared" si="398"/>
        <v>0</v>
      </c>
      <c r="G310" s="55">
        <f t="shared" si="398"/>
        <v>0</v>
      </c>
      <c r="H310" s="55">
        <f t="shared" si="398"/>
        <v>0</v>
      </c>
      <c r="I310" s="55">
        <f t="shared" si="398"/>
        <v>0</v>
      </c>
      <c r="J310" s="55">
        <f t="shared" si="398"/>
        <v>0</v>
      </c>
      <c r="K310" s="55">
        <f t="shared" si="398"/>
        <v>0</v>
      </c>
      <c r="L310" s="55">
        <f t="shared" si="398"/>
        <v>0</v>
      </c>
      <c r="M310" s="55">
        <f t="shared" si="398"/>
        <v>0.98592201466412366</v>
      </c>
      <c r="N310" s="55">
        <f t="shared" si="398"/>
        <v>1.0041615719354098</v>
      </c>
      <c r="O310" s="55">
        <f t="shared" si="398"/>
        <v>1.022738561016215</v>
      </c>
      <c r="P310" s="55">
        <f t="shared" si="398"/>
        <v>1.0416592243950151</v>
      </c>
      <c r="Q310" s="55">
        <f t="shared" si="398"/>
        <v>1.0609299200463229</v>
      </c>
      <c r="R310" s="55">
        <f t="shared" si="398"/>
        <v>1.0805571235671798</v>
      </c>
      <c r="S310" s="55">
        <f t="shared" si="398"/>
        <v>1.1005474303531728</v>
      </c>
      <c r="T310" s="55">
        <f t="shared" si="398"/>
        <v>1.1209075578147063</v>
      </c>
      <c r="U310" s="55">
        <f t="shared" si="398"/>
        <v>1.1416443476342786</v>
      </c>
      <c r="V310" s="55">
        <f t="shared" si="398"/>
        <v>1.1627647680655127</v>
      </c>
      <c r="W310" s="55">
        <f t="shared" si="398"/>
        <v>1.1842759162747247</v>
      </c>
      <c r="X310" s="55">
        <f t="shared" si="398"/>
        <v>1.2061850207258071</v>
      </c>
      <c r="Y310" s="55">
        <f t="shared" si="398"/>
        <v>1.2284994436092347</v>
      </c>
      <c r="Z310" s="55">
        <f t="shared" si="398"/>
        <v>1.2512266833160055</v>
      </c>
      <c r="AA310" s="55">
        <f t="shared" si="398"/>
        <v>1.2743743769573519</v>
      </c>
      <c r="AB310" s="55">
        <f t="shared" si="398"/>
        <v>1.2979503029310631</v>
      </c>
      <c r="AC310" s="55">
        <f t="shared" si="398"/>
        <v>1.3219623835352876</v>
      </c>
      <c r="AD310" s="55">
        <f t="shared" si="398"/>
        <v>1.3464186876306903</v>
      </c>
      <c r="AE310" s="55">
        <f t="shared" si="398"/>
        <v>1.3713274333518581</v>
      </c>
      <c r="AF310" s="55">
        <f t="shared" si="398"/>
        <v>1.3966969908688678</v>
      </c>
      <c r="AG310" s="55">
        <f t="shared" si="398"/>
        <v>1.4225358851999417</v>
      </c>
      <c r="AH310" s="55">
        <f t="shared" si="398"/>
        <v>1.4488527990761406</v>
      </c>
      <c r="AI310" s="55">
        <f t="shared" ref="AI310:BJ310" si="399">IF(AND(AI$127&gt;=$K99,AI$127&lt;=$L99),$G99*(1+$H99)^(AI$127-$B$5),0)</f>
        <v>1.4756565758590494</v>
      </c>
      <c r="AJ310" s="55">
        <f t="shared" si="399"/>
        <v>1.502956222512442</v>
      </c>
      <c r="AK310" s="55">
        <f t="shared" si="399"/>
        <v>1.5307609126289221</v>
      </c>
      <c r="AL310" s="55">
        <f t="shared" si="399"/>
        <v>1.5590799895125573</v>
      </c>
      <c r="AM310" s="55">
        <f t="shared" si="399"/>
        <v>1.5879229693185397</v>
      </c>
      <c r="AN310" s="55">
        <f t="shared" si="399"/>
        <v>1.6172995442509326</v>
      </c>
      <c r="AO310" s="55">
        <f t="shared" si="399"/>
        <v>1.6472195858195748</v>
      </c>
      <c r="AP310" s="55">
        <f t="shared" si="399"/>
        <v>1.677693148157237</v>
      </c>
      <c r="AQ310" s="55">
        <f t="shared" si="399"/>
        <v>1.7087304713981462</v>
      </c>
      <c r="AR310" s="55">
        <f t="shared" si="399"/>
        <v>1.7403419851190118</v>
      </c>
      <c r="AS310" s="55">
        <f t="shared" si="399"/>
        <v>1.7725383118437137</v>
      </c>
      <c r="AT310" s="55">
        <f t="shared" si="399"/>
        <v>1.805330270612822</v>
      </c>
      <c r="AU310" s="55">
        <f t="shared" si="399"/>
        <v>1.8387288806191595</v>
      </c>
      <c r="AV310" s="55">
        <f t="shared" si="399"/>
        <v>1.8727453649106141</v>
      </c>
      <c r="AW310" s="55">
        <f t="shared" si="399"/>
        <v>1.9073911541614605</v>
      </c>
      <c r="AX310" s="55">
        <f t="shared" si="399"/>
        <v>1.9426778905134476</v>
      </c>
      <c r="AY310" s="55">
        <f t="shared" si="399"/>
        <v>1.9786174314879468</v>
      </c>
      <c r="AZ310" s="55">
        <f t="shared" si="399"/>
        <v>2.0152218539704734</v>
      </c>
      <c r="BA310" s="55">
        <f t="shared" si="399"/>
        <v>0</v>
      </c>
      <c r="BB310" s="55">
        <f t="shared" si="399"/>
        <v>0</v>
      </c>
      <c r="BC310" s="55">
        <f t="shared" si="399"/>
        <v>0</v>
      </c>
      <c r="BD310" s="55">
        <f t="shared" si="399"/>
        <v>0</v>
      </c>
      <c r="BE310" s="55">
        <f t="shared" si="399"/>
        <v>0</v>
      </c>
      <c r="BF310" s="55">
        <f t="shared" si="399"/>
        <v>0</v>
      </c>
      <c r="BG310" s="55">
        <f t="shared" si="399"/>
        <v>0</v>
      </c>
      <c r="BH310" s="55">
        <f t="shared" si="399"/>
        <v>0</v>
      </c>
      <c r="BI310" s="55">
        <f t="shared" si="399"/>
        <v>0</v>
      </c>
      <c r="BJ310" s="55">
        <f t="shared" si="399"/>
        <v>0</v>
      </c>
    </row>
    <row r="311" spans="1:62" x14ac:dyDescent="0.3">
      <c r="A311" s="53" t="str">
        <f t="shared" si="375"/>
        <v>project 158</v>
      </c>
      <c r="C311" s="55">
        <f t="shared" ref="C311:AH311" si="400">IF(AND(C$127&gt;=$K100,C$127&lt;=$L100),$G100*(1+$H100)^(C$127-$B$5),0)</f>
        <v>0</v>
      </c>
      <c r="D311" s="55">
        <f t="shared" si="400"/>
        <v>0</v>
      </c>
      <c r="E311" s="55">
        <f t="shared" si="400"/>
        <v>0</v>
      </c>
      <c r="F311" s="55">
        <f t="shared" si="400"/>
        <v>0.52530972988184488</v>
      </c>
      <c r="G311" s="55">
        <f t="shared" si="400"/>
        <v>0.53276912804616705</v>
      </c>
      <c r="H311" s="55">
        <f t="shared" si="400"/>
        <v>0.54033444966442268</v>
      </c>
      <c r="I311" s="55">
        <f t="shared" si="400"/>
        <v>0.54800719884965743</v>
      </c>
      <c r="J311" s="55">
        <f t="shared" si="400"/>
        <v>0.55578890107332257</v>
      </c>
      <c r="K311" s="55">
        <f t="shared" si="400"/>
        <v>0.5636811034685637</v>
      </c>
      <c r="L311" s="55">
        <f t="shared" si="400"/>
        <v>0.57168537513781725</v>
      </c>
      <c r="M311" s="55">
        <f t="shared" si="400"/>
        <v>0.57980330746477438</v>
      </c>
      <c r="N311" s="55">
        <f t="shared" si="400"/>
        <v>0.58803651443077409</v>
      </c>
      <c r="O311" s="55">
        <f t="shared" si="400"/>
        <v>0.59638663293569116</v>
      </c>
      <c r="P311" s="55">
        <f t="shared" si="400"/>
        <v>0.60485532312337786</v>
      </c>
      <c r="Q311" s="55">
        <f t="shared" si="400"/>
        <v>0.61344426871172986</v>
      </c>
      <c r="R311" s="55">
        <f t="shared" si="400"/>
        <v>0.62215517732743653</v>
      </c>
      <c r="S311" s="55">
        <f t="shared" si="400"/>
        <v>0.63098978084548607</v>
      </c>
      <c r="T311" s="55">
        <f t="shared" si="400"/>
        <v>0.63994983573349185</v>
      </c>
      <c r="U311" s="55">
        <f t="shared" si="400"/>
        <v>0.64903712340090747</v>
      </c>
      <c r="V311" s="55">
        <f t="shared" si="400"/>
        <v>0.65825345055320039</v>
      </c>
      <c r="W311" s="55">
        <f t="shared" si="400"/>
        <v>0.66760064955105591</v>
      </c>
      <c r="X311" s="55">
        <f t="shared" si="400"/>
        <v>0.67708057877468086</v>
      </c>
      <c r="Y311" s="55">
        <f t="shared" si="400"/>
        <v>0.68669512299328139</v>
      </c>
      <c r="Z311" s="55">
        <f t="shared" si="400"/>
        <v>0.69644619373978589</v>
      </c>
      <c r="AA311" s="55">
        <f t="shared" si="400"/>
        <v>0.70633572969089087</v>
      </c>
      <c r="AB311" s="55">
        <f t="shared" si="400"/>
        <v>0.71636569705250153</v>
      </c>
      <c r="AC311" s="55">
        <f t="shared" si="400"/>
        <v>0.72653808995064706</v>
      </c>
      <c r="AD311" s="55">
        <f t="shared" si="400"/>
        <v>0.73685493082794629</v>
      </c>
      <c r="AE311" s="55">
        <f t="shared" si="400"/>
        <v>0.74731827084570313</v>
      </c>
      <c r="AF311" s="55">
        <f t="shared" si="400"/>
        <v>0.75793019029171205</v>
      </c>
      <c r="AG311" s="55">
        <f t="shared" si="400"/>
        <v>0.76869279899385434</v>
      </c>
      <c r="AH311" s="55">
        <f t="shared" si="400"/>
        <v>0.77960823673956725</v>
      </c>
      <c r="AI311" s="55">
        <f t="shared" ref="AI311:BJ311" si="401">IF(AND(AI$127&gt;=$K100,AI$127&lt;=$L100),$G100*(1+$H100)^(AI$127-$B$5),0)</f>
        <v>0.79067867370126899</v>
      </c>
      <c r="AJ311" s="55">
        <f t="shared" si="401"/>
        <v>0.80190631086782693</v>
      </c>
      <c r="AK311" s="55">
        <f t="shared" si="401"/>
        <v>0.81329338048215005</v>
      </c>
      <c r="AL311" s="55">
        <f t="shared" si="401"/>
        <v>0.82484214648499654</v>
      </c>
      <c r="AM311" s="55">
        <f t="shared" si="401"/>
        <v>0.83655490496508367</v>
      </c>
      <c r="AN311" s="55">
        <f t="shared" si="401"/>
        <v>0.84843398461558783</v>
      </c>
      <c r="AO311" s="55">
        <f t="shared" si="401"/>
        <v>0.86048174719712922</v>
      </c>
      <c r="AP311" s="55">
        <f t="shared" si="401"/>
        <v>0.87270058800732841</v>
      </c>
      <c r="AQ311" s="55">
        <f t="shared" si="401"/>
        <v>0.88509293635703234</v>
      </c>
      <c r="AR311" s="55">
        <f t="shared" si="401"/>
        <v>0.89766125605330227</v>
      </c>
      <c r="AS311" s="55">
        <f t="shared" si="401"/>
        <v>0.91040804588925917</v>
      </c>
      <c r="AT311" s="55">
        <f t="shared" si="401"/>
        <v>0</v>
      </c>
      <c r="AU311" s="55">
        <f t="shared" si="401"/>
        <v>0</v>
      </c>
      <c r="AV311" s="55">
        <f t="shared" si="401"/>
        <v>0</v>
      </c>
      <c r="AW311" s="55">
        <f t="shared" si="401"/>
        <v>0</v>
      </c>
      <c r="AX311" s="55">
        <f t="shared" si="401"/>
        <v>0</v>
      </c>
      <c r="AY311" s="55">
        <f t="shared" si="401"/>
        <v>0</v>
      </c>
      <c r="AZ311" s="55">
        <f t="shared" si="401"/>
        <v>0</v>
      </c>
      <c r="BA311" s="55">
        <f t="shared" si="401"/>
        <v>0</v>
      </c>
      <c r="BB311" s="55">
        <f t="shared" si="401"/>
        <v>0</v>
      </c>
      <c r="BC311" s="55">
        <f t="shared" si="401"/>
        <v>0</v>
      </c>
      <c r="BD311" s="55">
        <f t="shared" si="401"/>
        <v>0</v>
      </c>
      <c r="BE311" s="55">
        <f t="shared" si="401"/>
        <v>0</v>
      </c>
      <c r="BF311" s="55">
        <f t="shared" si="401"/>
        <v>0</v>
      </c>
      <c r="BG311" s="55">
        <f t="shared" si="401"/>
        <v>0</v>
      </c>
      <c r="BH311" s="55">
        <f t="shared" si="401"/>
        <v>0</v>
      </c>
      <c r="BI311" s="55">
        <f t="shared" si="401"/>
        <v>0</v>
      </c>
      <c r="BJ311" s="55">
        <f t="shared" si="401"/>
        <v>0</v>
      </c>
    </row>
    <row r="312" spans="1:62" x14ac:dyDescent="0.3">
      <c r="A312" s="53" t="str">
        <f t="shared" si="375"/>
        <v>project 161</v>
      </c>
      <c r="C312" s="55">
        <f t="shared" ref="C312:AH312" si="402">IF(AND(C$127&gt;=$K101,C$127&lt;=$L101),$G101*(1+$H101)^(C$127-$B$5),0)</f>
        <v>0</v>
      </c>
      <c r="D312" s="55">
        <f t="shared" si="402"/>
        <v>0</v>
      </c>
      <c r="E312" s="55">
        <f t="shared" si="402"/>
        <v>0</v>
      </c>
      <c r="F312" s="55">
        <f t="shared" si="402"/>
        <v>0</v>
      </c>
      <c r="G312" s="55">
        <f t="shared" si="402"/>
        <v>0</v>
      </c>
      <c r="H312" s="55">
        <f t="shared" si="402"/>
        <v>0</v>
      </c>
      <c r="I312" s="55">
        <f t="shared" si="402"/>
        <v>0</v>
      </c>
      <c r="J312" s="55">
        <f t="shared" si="402"/>
        <v>0</v>
      </c>
      <c r="K312" s="55">
        <f t="shared" si="402"/>
        <v>0</v>
      </c>
      <c r="L312" s="55">
        <f t="shared" si="402"/>
        <v>0</v>
      </c>
      <c r="M312" s="55">
        <f t="shared" si="402"/>
        <v>0.88682271131378043</v>
      </c>
      <c r="N312" s="55">
        <f t="shared" si="402"/>
        <v>0.90526862370910699</v>
      </c>
      <c r="O312" s="55">
        <f t="shared" si="402"/>
        <v>0.92409821108225632</v>
      </c>
      <c r="P312" s="55">
        <f t="shared" si="402"/>
        <v>0.94331945387276728</v>
      </c>
      <c r="Q312" s="55">
        <f t="shared" si="402"/>
        <v>0.96294049851332086</v>
      </c>
      <c r="R312" s="55">
        <f t="shared" si="402"/>
        <v>0.98296966088239801</v>
      </c>
      <c r="S312" s="55">
        <f t="shared" si="402"/>
        <v>1.0034154298287516</v>
      </c>
      <c r="T312" s="55">
        <f t="shared" si="402"/>
        <v>1.0242864707691894</v>
      </c>
      <c r="U312" s="55">
        <f t="shared" si="402"/>
        <v>1.0455916293611887</v>
      </c>
      <c r="V312" s="55">
        <f t="shared" si="402"/>
        <v>1.0673399352519015</v>
      </c>
      <c r="W312" s="55">
        <f t="shared" si="402"/>
        <v>1.0895406059051411</v>
      </c>
      <c r="X312" s="55">
        <f t="shared" si="402"/>
        <v>1.1122030505079679</v>
      </c>
      <c r="Y312" s="55">
        <f t="shared" si="402"/>
        <v>1.1353368739585337</v>
      </c>
      <c r="Z312" s="55">
        <f t="shared" si="402"/>
        <v>1.1589518809368711</v>
      </c>
      <c r="AA312" s="55">
        <f t="shared" si="402"/>
        <v>1.1830580800603578</v>
      </c>
      <c r="AB312" s="55">
        <f t="shared" si="402"/>
        <v>1.2076656881256134</v>
      </c>
      <c r="AC312" s="55">
        <f t="shared" si="402"/>
        <v>1.232785134438626</v>
      </c>
      <c r="AD312" s="55">
        <f t="shared" si="402"/>
        <v>1.2584270652349494</v>
      </c>
      <c r="AE312" s="55">
        <f t="shared" si="402"/>
        <v>1.2846023481918363</v>
      </c>
      <c r="AF312" s="55">
        <f t="shared" si="402"/>
        <v>1.3113220770342264</v>
      </c>
      <c r="AG312" s="55">
        <f t="shared" si="402"/>
        <v>1.3385975762365385</v>
      </c>
      <c r="AH312" s="55">
        <f t="shared" si="402"/>
        <v>1.3664404058222586</v>
      </c>
      <c r="AI312" s="55">
        <f t="shared" ref="AI312:BJ312" si="403">IF(AND(AI$127&gt;=$K101,AI$127&lt;=$L101),$G101*(1+$H101)^(AI$127-$B$5),0)</f>
        <v>1.394862366263361</v>
      </c>
      <c r="AJ312" s="55">
        <f t="shared" si="403"/>
        <v>1.4238755034816388</v>
      </c>
      <c r="AK312" s="55">
        <f t="shared" si="403"/>
        <v>1.4534921139540571</v>
      </c>
      <c r="AL312" s="55">
        <f t="shared" si="403"/>
        <v>1.4837247499243014</v>
      </c>
      <c r="AM312" s="55">
        <f t="shared" si="403"/>
        <v>1.5145862247227269</v>
      </c>
      <c r="AN312" s="55">
        <f t="shared" si="403"/>
        <v>1.5460896181969594</v>
      </c>
      <c r="AO312" s="55">
        <f t="shared" si="403"/>
        <v>1.578248282255456</v>
      </c>
      <c r="AP312" s="55">
        <f t="shared" si="403"/>
        <v>1.6110758465263697</v>
      </c>
      <c r="AQ312" s="55">
        <f t="shared" si="403"/>
        <v>1.644586224134118</v>
      </c>
      <c r="AR312" s="55">
        <f t="shared" si="403"/>
        <v>1.6787936175961076</v>
      </c>
      <c r="AS312" s="55">
        <f t="shared" si="403"/>
        <v>1.7137125248421066</v>
      </c>
      <c r="AT312" s="55">
        <f t="shared" si="403"/>
        <v>1.7493577453588225</v>
      </c>
      <c r="AU312" s="55">
        <f t="shared" si="403"/>
        <v>1.7857443864622855</v>
      </c>
      <c r="AV312" s="55">
        <f t="shared" si="403"/>
        <v>1.8228878697007012</v>
      </c>
      <c r="AW312" s="55">
        <f t="shared" si="403"/>
        <v>1.8608039373904761</v>
      </c>
      <c r="AX312" s="55">
        <f t="shared" si="403"/>
        <v>1.8995086592881978</v>
      </c>
      <c r="AY312" s="55">
        <f t="shared" si="403"/>
        <v>1.9390184394013918</v>
      </c>
      <c r="AZ312" s="55">
        <f t="shared" si="403"/>
        <v>1.9793500229409409</v>
      </c>
      <c r="BA312" s="55">
        <f t="shared" si="403"/>
        <v>0</v>
      </c>
      <c r="BB312" s="55">
        <f t="shared" si="403"/>
        <v>0</v>
      </c>
      <c r="BC312" s="55">
        <f t="shared" si="403"/>
        <v>0</v>
      </c>
      <c r="BD312" s="55">
        <f t="shared" si="403"/>
        <v>0</v>
      </c>
      <c r="BE312" s="55">
        <f t="shared" si="403"/>
        <v>0</v>
      </c>
      <c r="BF312" s="55">
        <f t="shared" si="403"/>
        <v>0</v>
      </c>
      <c r="BG312" s="55">
        <f t="shared" si="403"/>
        <v>0</v>
      </c>
      <c r="BH312" s="55">
        <f t="shared" si="403"/>
        <v>0</v>
      </c>
      <c r="BI312" s="55">
        <f t="shared" si="403"/>
        <v>0</v>
      </c>
      <c r="BJ312" s="55">
        <f t="shared" si="403"/>
        <v>0</v>
      </c>
    </row>
    <row r="313" spans="1:62" x14ac:dyDescent="0.3">
      <c r="A313" s="53" t="str">
        <f t="shared" si="375"/>
        <v>project 162</v>
      </c>
      <c r="C313" s="55">
        <f t="shared" ref="C313:AH313" si="404">IF(AND(C$127&gt;=$K102,C$127&lt;=$L102),$G102*(1+$H102)^(C$127-$B$5),0)</f>
        <v>0</v>
      </c>
      <c r="D313" s="55">
        <f t="shared" si="404"/>
        <v>0</v>
      </c>
      <c r="E313" s="55">
        <f t="shared" si="404"/>
        <v>0</v>
      </c>
      <c r="F313" s="55">
        <f t="shared" si="404"/>
        <v>0</v>
      </c>
      <c r="G313" s="55">
        <f t="shared" si="404"/>
        <v>0</v>
      </c>
      <c r="H313" s="55">
        <f t="shared" si="404"/>
        <v>0</v>
      </c>
      <c r="I313" s="55">
        <f t="shared" si="404"/>
        <v>0</v>
      </c>
      <c r="J313" s="55">
        <f t="shared" si="404"/>
        <v>0</v>
      </c>
      <c r="K313" s="55">
        <f t="shared" si="404"/>
        <v>0</v>
      </c>
      <c r="L313" s="55">
        <f t="shared" si="404"/>
        <v>0</v>
      </c>
      <c r="M313" s="55">
        <f t="shared" si="404"/>
        <v>0</v>
      </c>
      <c r="N313" s="55">
        <f t="shared" si="404"/>
        <v>0</v>
      </c>
      <c r="O313" s="55">
        <f t="shared" si="404"/>
        <v>0</v>
      </c>
      <c r="P313" s="55">
        <f t="shared" si="404"/>
        <v>0</v>
      </c>
      <c r="Q313" s="55">
        <f t="shared" si="404"/>
        <v>0</v>
      </c>
      <c r="R313" s="55">
        <f t="shared" si="404"/>
        <v>0</v>
      </c>
      <c r="S313" s="55">
        <f t="shared" si="404"/>
        <v>0</v>
      </c>
      <c r="T313" s="55">
        <f t="shared" si="404"/>
        <v>0</v>
      </c>
      <c r="U313" s="55">
        <f t="shared" si="404"/>
        <v>1.8651956633588163</v>
      </c>
      <c r="V313" s="55">
        <f t="shared" si="404"/>
        <v>1.9110794766774428</v>
      </c>
      <c r="W313" s="55">
        <f t="shared" si="404"/>
        <v>1.9580920318037085</v>
      </c>
      <c r="X313" s="55">
        <f t="shared" si="404"/>
        <v>2.0062610957860798</v>
      </c>
      <c r="Y313" s="55">
        <f t="shared" si="404"/>
        <v>2.0556151187424168</v>
      </c>
      <c r="Z313" s="55">
        <f t="shared" si="404"/>
        <v>2.1061832506634799</v>
      </c>
      <c r="AA313" s="55">
        <f t="shared" si="404"/>
        <v>2.157995358629802</v>
      </c>
      <c r="AB313" s="55">
        <f t="shared" si="404"/>
        <v>2.2110820444520951</v>
      </c>
      <c r="AC313" s="55">
        <f t="shared" si="404"/>
        <v>2.2654746627456168</v>
      </c>
      <c r="AD313" s="55">
        <f t="shared" si="404"/>
        <v>2.321205339449159</v>
      </c>
      <c r="AE313" s="55">
        <f t="shared" si="404"/>
        <v>2.3783069907996084</v>
      </c>
      <c r="AF313" s="55">
        <f t="shared" si="404"/>
        <v>2.4368133427732785</v>
      </c>
      <c r="AG313" s="55">
        <f t="shared" si="404"/>
        <v>2.4967589510055013</v>
      </c>
      <c r="AH313" s="55">
        <f t="shared" si="404"/>
        <v>2.5581792212002363</v>
      </c>
      <c r="AI313" s="55">
        <f t="shared" ref="AI313:BJ313" si="405">IF(AND(AI$127&gt;=$K102,AI$127&lt;=$L102),$G102*(1+$H102)^(AI$127-$B$5),0)</f>
        <v>2.6211104300417629</v>
      </c>
      <c r="AJ313" s="55">
        <f t="shared" si="405"/>
        <v>2.6855897466207903</v>
      </c>
      <c r="AK313" s="55">
        <f t="shared" si="405"/>
        <v>2.7516552543876616</v>
      </c>
      <c r="AL313" s="55">
        <f t="shared" si="405"/>
        <v>2.8193459736455977</v>
      </c>
      <c r="AM313" s="55">
        <f t="shared" si="405"/>
        <v>2.8887018845972801</v>
      </c>
      <c r="AN313" s="55">
        <f t="shared" si="405"/>
        <v>2.9597639509583726</v>
      </c>
      <c r="AO313" s="55">
        <f t="shared" si="405"/>
        <v>3.0325741441519485</v>
      </c>
      <c r="AP313" s="55">
        <f t="shared" si="405"/>
        <v>3.1071754680980859</v>
      </c>
      <c r="AQ313" s="55">
        <f t="shared" si="405"/>
        <v>3.1836119846132998</v>
      </c>
      <c r="AR313" s="55">
        <f t="shared" si="405"/>
        <v>3.2619288394347867</v>
      </c>
      <c r="AS313" s="55">
        <f t="shared" si="405"/>
        <v>3.3421722888848824</v>
      </c>
      <c r="AT313" s="55">
        <f t="shared" si="405"/>
        <v>3.4243897271914503</v>
      </c>
      <c r="AU313" s="55">
        <f t="shared" si="405"/>
        <v>3.5086297144803607</v>
      </c>
      <c r="AV313" s="55">
        <f t="shared" si="405"/>
        <v>3.594942005456577</v>
      </c>
      <c r="AW313" s="55">
        <f t="shared" si="405"/>
        <v>3.6833775787908087</v>
      </c>
      <c r="AX313" s="55">
        <f t="shared" si="405"/>
        <v>3.7739886672290623</v>
      </c>
      <c r="AY313" s="55">
        <f t="shared" si="405"/>
        <v>3.8668287884428985</v>
      </c>
      <c r="AZ313" s="55">
        <f t="shared" si="405"/>
        <v>3.9619527766385936</v>
      </c>
      <c r="BA313" s="55">
        <f t="shared" si="405"/>
        <v>4.0594168149439032</v>
      </c>
      <c r="BB313" s="55">
        <f t="shared" si="405"/>
        <v>4.1592784685915225</v>
      </c>
      <c r="BC313" s="55">
        <f t="shared" si="405"/>
        <v>4.2615967189188746</v>
      </c>
      <c r="BD313" s="55">
        <f t="shared" si="405"/>
        <v>4.3664319982042787</v>
      </c>
      <c r="BE313" s="55">
        <f t="shared" si="405"/>
        <v>4.473846225360103</v>
      </c>
      <c r="BF313" s="55">
        <f t="shared" si="405"/>
        <v>4.583902842503961</v>
      </c>
      <c r="BG313" s="55">
        <f t="shared" si="405"/>
        <v>4.6966668524295603</v>
      </c>
      <c r="BH313" s="55">
        <f t="shared" si="405"/>
        <v>4.812204856999327</v>
      </c>
      <c r="BI313" s="55">
        <f t="shared" si="405"/>
        <v>0</v>
      </c>
      <c r="BJ313" s="55">
        <f t="shared" si="405"/>
        <v>0</v>
      </c>
    </row>
    <row r="314" spans="1:62" x14ac:dyDescent="0.3">
      <c r="A314" s="53" t="str">
        <f t="shared" si="375"/>
        <v>project 166</v>
      </c>
      <c r="C314" s="55">
        <f t="shared" ref="C314:AH314" si="406">IF(AND(C$127&gt;=$K103,C$127&lt;=$L103),$G103*(1+$H103)^(C$127-$B$5),0)</f>
        <v>0</v>
      </c>
      <c r="D314" s="55">
        <f t="shared" si="406"/>
        <v>0</v>
      </c>
      <c r="E314" s="55">
        <f t="shared" si="406"/>
        <v>0</v>
      </c>
      <c r="F314" s="55">
        <f t="shared" si="406"/>
        <v>0</v>
      </c>
      <c r="G314" s="55">
        <f t="shared" si="406"/>
        <v>0.92768597206634562</v>
      </c>
      <c r="H314" s="55">
        <f t="shared" si="406"/>
        <v>0.94067357567527454</v>
      </c>
      <c r="I314" s="55">
        <f t="shared" si="406"/>
        <v>0.95384300573472836</v>
      </c>
      <c r="J314" s="55">
        <f t="shared" si="406"/>
        <v>0.96719680781501449</v>
      </c>
      <c r="K314" s="55">
        <f t="shared" si="406"/>
        <v>0.98073756312442495</v>
      </c>
      <c r="L314" s="55">
        <f t="shared" si="406"/>
        <v>0.99446788900816707</v>
      </c>
      <c r="M314" s="55">
        <f t="shared" si="406"/>
        <v>1.0083904394542815</v>
      </c>
      <c r="N314" s="55">
        <f t="shared" si="406"/>
        <v>1.0225079056066413</v>
      </c>
      <c r="O314" s="55">
        <f t="shared" si="406"/>
        <v>1.0368230162851344</v>
      </c>
      <c r="P314" s="55">
        <f t="shared" si="406"/>
        <v>1.0513385385131264</v>
      </c>
      <c r="Q314" s="55">
        <f t="shared" si="406"/>
        <v>1.0660572780523101</v>
      </c>
      <c r="R314" s="55">
        <f t="shared" si="406"/>
        <v>1.0809820799450427</v>
      </c>
      <c r="S314" s="55">
        <f t="shared" si="406"/>
        <v>1.0961158290642734</v>
      </c>
      <c r="T314" s="55">
        <f t="shared" si="406"/>
        <v>1.1114614506711733</v>
      </c>
      <c r="U314" s="55">
        <f t="shared" si="406"/>
        <v>1.1270219109805699</v>
      </c>
      <c r="V314" s="55">
        <f t="shared" si="406"/>
        <v>1.1428002177342977</v>
      </c>
      <c r="W314" s="55">
        <f t="shared" si="406"/>
        <v>1.158799420782578</v>
      </c>
      <c r="X314" s="55">
        <f t="shared" si="406"/>
        <v>1.1750226126735344</v>
      </c>
      <c r="Y314" s="55">
        <f t="shared" si="406"/>
        <v>1.1914729292509638</v>
      </c>
      <c r="Z314" s="55">
        <f t="shared" si="406"/>
        <v>1.2081535502604774</v>
      </c>
      <c r="AA314" s="55">
        <f t="shared" si="406"/>
        <v>1.2250676999641241</v>
      </c>
      <c r="AB314" s="55">
        <f t="shared" si="406"/>
        <v>1.2422186477636221</v>
      </c>
      <c r="AC314" s="55">
        <f t="shared" si="406"/>
        <v>1.259609708832313</v>
      </c>
      <c r="AD314" s="55">
        <f t="shared" si="406"/>
        <v>1.2772442447559653</v>
      </c>
      <c r="AE314" s="55">
        <f t="shared" si="406"/>
        <v>1.295125664182549</v>
      </c>
      <c r="AF314" s="55">
        <f t="shared" si="406"/>
        <v>1.3132574234811047</v>
      </c>
      <c r="AG314" s="55">
        <f t="shared" si="406"/>
        <v>1.3316430274098403</v>
      </c>
      <c r="AH314" s="55">
        <f t="shared" si="406"/>
        <v>1.3502860297935781</v>
      </c>
      <c r="AI314" s="55">
        <f t="shared" ref="AI314:BJ314" si="407">IF(AND(AI$127&gt;=$K103,AI$127&lt;=$L103),$G103*(1+$H103)^(AI$127-$B$5),0)</f>
        <v>1.3691900342106884</v>
      </c>
      <c r="AJ314" s="55">
        <f t="shared" si="407"/>
        <v>1.3883586946896382</v>
      </c>
      <c r="AK314" s="55">
        <f t="shared" si="407"/>
        <v>1.4077957164152932</v>
      </c>
      <c r="AL314" s="55">
        <f t="shared" si="407"/>
        <v>1.4275048564451074</v>
      </c>
      <c r="AM314" s="55">
        <f t="shared" si="407"/>
        <v>1.447489924435339</v>
      </c>
      <c r="AN314" s="55">
        <f t="shared" si="407"/>
        <v>1.4677547833774338</v>
      </c>
      <c r="AO314" s="55">
        <f t="shared" si="407"/>
        <v>1.4883033503447181</v>
      </c>
      <c r="AP314" s="55">
        <f t="shared" si="407"/>
        <v>1.5091395972495441</v>
      </c>
      <c r="AQ314" s="55">
        <f t="shared" si="407"/>
        <v>1.530267551611038</v>
      </c>
      <c r="AR314" s="55">
        <f t="shared" si="407"/>
        <v>1.5516912973335926</v>
      </c>
      <c r="AS314" s="55">
        <f t="shared" si="407"/>
        <v>1.573414975496263</v>
      </c>
      <c r="AT314" s="55">
        <f t="shared" si="407"/>
        <v>1.5954427851532107</v>
      </c>
      <c r="AU314" s="55">
        <f t="shared" si="407"/>
        <v>0</v>
      </c>
      <c r="AV314" s="55">
        <f t="shared" si="407"/>
        <v>0</v>
      </c>
      <c r="AW314" s="55">
        <f t="shared" si="407"/>
        <v>0</v>
      </c>
      <c r="AX314" s="55">
        <f t="shared" si="407"/>
        <v>0</v>
      </c>
      <c r="AY314" s="55">
        <f t="shared" si="407"/>
        <v>0</v>
      </c>
      <c r="AZ314" s="55">
        <f t="shared" si="407"/>
        <v>0</v>
      </c>
      <c r="BA314" s="55">
        <f t="shared" si="407"/>
        <v>0</v>
      </c>
      <c r="BB314" s="55">
        <f t="shared" si="407"/>
        <v>0</v>
      </c>
      <c r="BC314" s="55">
        <f t="shared" si="407"/>
        <v>0</v>
      </c>
      <c r="BD314" s="55">
        <f t="shared" si="407"/>
        <v>0</v>
      </c>
      <c r="BE314" s="55">
        <f t="shared" si="407"/>
        <v>0</v>
      </c>
      <c r="BF314" s="55">
        <f t="shared" si="407"/>
        <v>0</v>
      </c>
      <c r="BG314" s="55">
        <f t="shared" si="407"/>
        <v>0</v>
      </c>
      <c r="BH314" s="55">
        <f t="shared" si="407"/>
        <v>0</v>
      </c>
      <c r="BI314" s="55">
        <f t="shared" si="407"/>
        <v>0</v>
      </c>
      <c r="BJ314" s="55">
        <f t="shared" si="407"/>
        <v>0</v>
      </c>
    </row>
    <row r="315" spans="1:62" x14ac:dyDescent="0.3">
      <c r="A315" s="53" t="str">
        <f t="shared" si="375"/>
        <v>project 167</v>
      </c>
      <c r="C315" s="55">
        <f t="shared" ref="C315:AH315" si="408">IF(AND(C$127&gt;=$K104,C$127&lt;=$L104),$G104*(1+$H104)^(C$127-$B$5),0)</f>
        <v>0</v>
      </c>
      <c r="D315" s="55">
        <f t="shared" si="408"/>
        <v>0</v>
      </c>
      <c r="E315" s="55">
        <f t="shared" si="408"/>
        <v>0</v>
      </c>
      <c r="F315" s="55">
        <f t="shared" si="408"/>
        <v>0</v>
      </c>
      <c r="G315" s="55">
        <f t="shared" si="408"/>
        <v>0</v>
      </c>
      <c r="H315" s="55">
        <f t="shared" si="408"/>
        <v>0</v>
      </c>
      <c r="I315" s="55">
        <f t="shared" si="408"/>
        <v>0</v>
      </c>
      <c r="J315" s="55">
        <f t="shared" si="408"/>
        <v>0</v>
      </c>
      <c r="K315" s="55">
        <f t="shared" si="408"/>
        <v>0.52303230424068037</v>
      </c>
      <c r="L315" s="55">
        <f t="shared" si="408"/>
        <v>0.53150542756937935</v>
      </c>
      <c r="M315" s="55">
        <f t="shared" si="408"/>
        <v>0.54011581549600329</v>
      </c>
      <c r="N315" s="55">
        <f t="shared" si="408"/>
        <v>0.54886569170703858</v>
      </c>
      <c r="O315" s="55">
        <f t="shared" si="408"/>
        <v>0.55775731591269251</v>
      </c>
      <c r="P315" s="55">
        <f t="shared" si="408"/>
        <v>0.5667929844304781</v>
      </c>
      <c r="Q315" s="55">
        <f t="shared" si="408"/>
        <v>0.57597503077825185</v>
      </c>
      <c r="R315" s="55">
        <f t="shared" si="408"/>
        <v>0.58530582627685956</v>
      </c>
      <c r="S315" s="55">
        <f t="shared" si="408"/>
        <v>0.59478778066254467</v>
      </c>
      <c r="T315" s="55">
        <f t="shared" si="408"/>
        <v>0.60442334270927789</v>
      </c>
      <c r="U315" s="55">
        <f t="shared" si="408"/>
        <v>0.61421500086116809</v>
      </c>
      <c r="V315" s="55">
        <f t="shared" si="408"/>
        <v>0.62416528387511916</v>
      </c>
      <c r="W315" s="55">
        <f t="shared" si="408"/>
        <v>0.63427676147389589</v>
      </c>
      <c r="X315" s="55">
        <f t="shared" si="408"/>
        <v>0.64455204500977303</v>
      </c>
      <c r="Y315" s="55">
        <f t="shared" si="408"/>
        <v>0.65499378813893128</v>
      </c>
      <c r="Z315" s="55">
        <f t="shared" si="408"/>
        <v>0.66560468750678203</v>
      </c>
      <c r="AA315" s="55">
        <f t="shared" si="408"/>
        <v>0.67638748344439181</v>
      </c>
      <c r="AB315" s="55">
        <f t="shared" si="408"/>
        <v>0.687344960676191</v>
      </c>
      <c r="AC315" s="55">
        <f t="shared" si="408"/>
        <v>0.69847994903914534</v>
      </c>
      <c r="AD315" s="55">
        <f t="shared" si="408"/>
        <v>0.70979532421357949</v>
      </c>
      <c r="AE315" s="55">
        <f t="shared" si="408"/>
        <v>0.72129400846583935</v>
      </c>
      <c r="AF315" s="55">
        <f t="shared" si="408"/>
        <v>0.73297897140298585</v>
      </c>
      <c r="AG315" s="55">
        <f t="shared" si="408"/>
        <v>0.74485323073971432</v>
      </c>
      <c r="AH315" s="55">
        <f t="shared" si="408"/>
        <v>0.75691985307769771</v>
      </c>
      <c r="AI315" s="55">
        <f t="shared" ref="AI315:BJ315" si="409">IF(AND(AI$127&gt;=$K104,AI$127&lt;=$L104),$G104*(1+$H104)^(AI$127-$B$5),0)</f>
        <v>0.76918195469755635</v>
      </c>
      <c r="AJ315" s="55">
        <f t="shared" si="409"/>
        <v>0.78164270236365674</v>
      </c>
      <c r="AK315" s="55">
        <f t="shared" si="409"/>
        <v>0.79430531414194794</v>
      </c>
      <c r="AL315" s="55">
        <f t="shared" si="409"/>
        <v>0.80717306023104751</v>
      </c>
      <c r="AM315" s="55">
        <f t="shared" si="409"/>
        <v>0.82024926380679042</v>
      </c>
      <c r="AN315" s="55">
        <f t="shared" si="409"/>
        <v>0.83353730188046038</v>
      </c>
      <c r="AO315" s="55">
        <f t="shared" si="409"/>
        <v>0.8470406061709238</v>
      </c>
      <c r="AP315" s="55">
        <f t="shared" si="409"/>
        <v>0.86076266399089274</v>
      </c>
      <c r="AQ315" s="55">
        <f t="shared" si="409"/>
        <v>0.87470701914754523</v>
      </c>
      <c r="AR315" s="55">
        <f t="shared" si="409"/>
        <v>0.88887727285773543</v>
      </c>
      <c r="AS315" s="55">
        <f t="shared" si="409"/>
        <v>0.90327708467803081</v>
      </c>
      <c r="AT315" s="55">
        <f t="shared" si="409"/>
        <v>0.91791017344981485</v>
      </c>
      <c r="AU315" s="55">
        <f t="shared" si="409"/>
        <v>0.93278031825970176</v>
      </c>
      <c r="AV315" s="55">
        <f t="shared" si="409"/>
        <v>0.94789135941550884</v>
      </c>
      <c r="AW315" s="55">
        <f t="shared" si="409"/>
        <v>0.96324719943803994</v>
      </c>
      <c r="AX315" s="55">
        <f t="shared" si="409"/>
        <v>0.97885180406893635</v>
      </c>
      <c r="AY315" s="55">
        <f t="shared" si="409"/>
        <v>0</v>
      </c>
      <c r="AZ315" s="55">
        <f t="shared" si="409"/>
        <v>0</v>
      </c>
      <c r="BA315" s="55">
        <f t="shared" si="409"/>
        <v>0</v>
      </c>
      <c r="BB315" s="55">
        <f t="shared" si="409"/>
        <v>0</v>
      </c>
      <c r="BC315" s="55">
        <f t="shared" si="409"/>
        <v>0</v>
      </c>
      <c r="BD315" s="55">
        <f t="shared" si="409"/>
        <v>0</v>
      </c>
      <c r="BE315" s="55">
        <f t="shared" si="409"/>
        <v>0</v>
      </c>
      <c r="BF315" s="55">
        <f t="shared" si="409"/>
        <v>0</v>
      </c>
      <c r="BG315" s="55">
        <f t="shared" si="409"/>
        <v>0</v>
      </c>
      <c r="BH315" s="55">
        <f t="shared" si="409"/>
        <v>0</v>
      </c>
      <c r="BI315" s="55">
        <f t="shared" si="409"/>
        <v>0</v>
      </c>
      <c r="BJ315" s="55">
        <f t="shared" si="409"/>
        <v>0</v>
      </c>
    </row>
    <row r="316" spans="1:62" x14ac:dyDescent="0.3">
      <c r="A316" s="53" t="str">
        <f t="shared" si="375"/>
        <v>project 168</v>
      </c>
      <c r="C316" s="55">
        <f t="shared" ref="C316:AH316" si="410">IF(AND(C$127&gt;=$K105,C$127&lt;=$L105),$G105*(1+$H105)^(C$127-$B$5),0)</f>
        <v>0</v>
      </c>
      <c r="D316" s="55">
        <f t="shared" si="410"/>
        <v>0</v>
      </c>
      <c r="E316" s="55">
        <f t="shared" si="410"/>
        <v>0</v>
      </c>
      <c r="F316" s="55">
        <f t="shared" si="410"/>
        <v>0</v>
      </c>
      <c r="G316" s="55">
        <f t="shared" si="410"/>
        <v>0</v>
      </c>
      <c r="H316" s="55">
        <f t="shared" si="410"/>
        <v>0</v>
      </c>
      <c r="I316" s="55">
        <f t="shared" si="410"/>
        <v>0</v>
      </c>
      <c r="J316" s="55">
        <f t="shared" si="410"/>
        <v>0</v>
      </c>
      <c r="K316" s="55">
        <f t="shared" si="410"/>
        <v>0</v>
      </c>
      <c r="L316" s="55">
        <f t="shared" si="410"/>
        <v>0</v>
      </c>
      <c r="M316" s="55">
        <f t="shared" si="410"/>
        <v>0</v>
      </c>
      <c r="N316" s="55">
        <f t="shared" si="410"/>
        <v>0</v>
      </c>
      <c r="O316" s="55">
        <f t="shared" si="410"/>
        <v>0</v>
      </c>
      <c r="P316" s="55">
        <f t="shared" si="410"/>
        <v>0</v>
      </c>
      <c r="Q316" s="55">
        <f t="shared" si="410"/>
        <v>0.61815698527388852</v>
      </c>
      <c r="R316" s="55">
        <f t="shared" si="410"/>
        <v>0.63663987913357789</v>
      </c>
      <c r="S316" s="55">
        <f t="shared" si="410"/>
        <v>0.65567541151967179</v>
      </c>
      <c r="T316" s="55">
        <f t="shared" si="410"/>
        <v>0.67528010632410995</v>
      </c>
      <c r="U316" s="55">
        <f t="shared" si="410"/>
        <v>0.69547098150320097</v>
      </c>
      <c r="V316" s="55">
        <f t="shared" si="410"/>
        <v>0.71626556385014672</v>
      </c>
      <c r="W316" s="55">
        <f t="shared" si="410"/>
        <v>0.73768190420926616</v>
      </c>
      <c r="X316" s="55">
        <f t="shared" si="410"/>
        <v>0.75973859314512326</v>
      </c>
      <c r="Y316" s="55">
        <f t="shared" si="410"/>
        <v>0.78245477708016264</v>
      </c>
      <c r="Z316" s="55">
        <f t="shared" si="410"/>
        <v>0.80585017491485944</v>
      </c>
      <c r="AA316" s="55">
        <f t="shared" si="410"/>
        <v>0.82994509514481374</v>
      </c>
      <c r="AB316" s="55">
        <f t="shared" si="410"/>
        <v>0.85476045348964369</v>
      </c>
      <c r="AC316" s="55">
        <f t="shared" si="410"/>
        <v>0.88031779104898411</v>
      </c>
      <c r="AD316" s="55">
        <f t="shared" si="410"/>
        <v>0.90663929300134893</v>
      </c>
      <c r="AE316" s="55">
        <f t="shared" si="410"/>
        <v>0.93374780786208944</v>
      </c>
      <c r="AF316" s="55">
        <f t="shared" si="410"/>
        <v>0.96166686731716566</v>
      </c>
      <c r="AG316" s="55">
        <f t="shared" si="410"/>
        <v>0.99042070664994908</v>
      </c>
      <c r="AH316" s="55">
        <f t="shared" si="410"/>
        <v>1.0200342857787827</v>
      </c>
      <c r="AI316" s="55">
        <f t="shared" ref="AI316:BJ316" si="411">IF(AND(AI$127&gt;=$K105,AI$127&lt;=$L105),$G105*(1+$H105)^(AI$127-$B$5),0)</f>
        <v>1.0505333109235684</v>
      </c>
      <c r="AJ316" s="55">
        <f t="shared" si="411"/>
        <v>1.0819442569201829</v>
      </c>
      <c r="AK316" s="55">
        <f t="shared" si="411"/>
        <v>1.1142943902020968</v>
      </c>
      <c r="AL316" s="55">
        <f t="shared" si="411"/>
        <v>1.1476117924691394</v>
      </c>
      <c r="AM316" s="55">
        <f t="shared" si="411"/>
        <v>1.1819253850639668</v>
      </c>
      <c r="AN316" s="55">
        <f t="shared" si="411"/>
        <v>1.2172649540773794</v>
      </c>
      <c r="AO316" s="55">
        <f t="shared" si="411"/>
        <v>1.2536611762042933</v>
      </c>
      <c r="AP316" s="55">
        <f t="shared" si="411"/>
        <v>1.2911456453728016</v>
      </c>
      <c r="AQ316" s="55">
        <f t="shared" si="411"/>
        <v>1.3297509001694483</v>
      </c>
      <c r="AR316" s="55">
        <f t="shared" si="411"/>
        <v>1.3695104520845149</v>
      </c>
      <c r="AS316" s="55">
        <f t="shared" si="411"/>
        <v>1.4104588146018422</v>
      </c>
      <c r="AT316" s="55">
        <f t="shared" si="411"/>
        <v>1.4526315331584374</v>
      </c>
      <c r="AU316" s="55">
        <f t="shared" si="411"/>
        <v>1.4960652159998749</v>
      </c>
      <c r="AV316" s="55">
        <f t="shared" si="411"/>
        <v>1.5407975659582711</v>
      </c>
      <c r="AW316" s="55">
        <f t="shared" si="411"/>
        <v>1.5868674131804235</v>
      </c>
      <c r="AX316" s="55">
        <f t="shared" si="411"/>
        <v>1.6343147488345182</v>
      </c>
      <c r="AY316" s="55">
        <f t="shared" si="411"/>
        <v>1.6831807598246704</v>
      </c>
      <c r="AZ316" s="55">
        <f t="shared" si="411"/>
        <v>1.7335078645434279</v>
      </c>
      <c r="BA316" s="55">
        <f t="shared" si="411"/>
        <v>1.7853397496932768</v>
      </c>
      <c r="BB316" s="55">
        <f t="shared" si="411"/>
        <v>1.8387214082091059</v>
      </c>
      <c r="BC316" s="55">
        <f t="shared" si="411"/>
        <v>1.8936991783145583</v>
      </c>
      <c r="BD316" s="55">
        <f t="shared" si="411"/>
        <v>1.9503207837461638</v>
      </c>
      <c r="BE316" s="55">
        <f t="shared" si="411"/>
        <v>0</v>
      </c>
      <c r="BF316" s="55">
        <f t="shared" si="411"/>
        <v>0</v>
      </c>
      <c r="BG316" s="55">
        <f t="shared" si="411"/>
        <v>0</v>
      </c>
      <c r="BH316" s="55">
        <f t="shared" si="411"/>
        <v>0</v>
      </c>
      <c r="BI316" s="55">
        <f t="shared" si="411"/>
        <v>0</v>
      </c>
      <c r="BJ316" s="55">
        <f t="shared" si="411"/>
        <v>0</v>
      </c>
    </row>
    <row r="317" spans="1:62" x14ac:dyDescent="0.3">
      <c r="A317" s="53" t="str">
        <f t="shared" si="375"/>
        <v>project 171</v>
      </c>
      <c r="C317" s="55">
        <f t="shared" ref="C317:AH317" si="412">IF(AND(C$127&gt;=$K106,C$127&lt;=$L106),$G106*(1+$H106)^(C$127-$B$5),0)</f>
        <v>0</v>
      </c>
      <c r="D317" s="55">
        <f t="shared" si="412"/>
        <v>0</v>
      </c>
      <c r="E317" s="55">
        <f t="shared" si="412"/>
        <v>0</v>
      </c>
      <c r="F317" s="55">
        <f t="shared" si="412"/>
        <v>0</v>
      </c>
      <c r="G317" s="55">
        <f t="shared" si="412"/>
        <v>0</v>
      </c>
      <c r="H317" s="55">
        <f t="shared" si="412"/>
        <v>0</v>
      </c>
      <c r="I317" s="55">
        <f t="shared" si="412"/>
        <v>0</v>
      </c>
      <c r="J317" s="55">
        <f t="shared" si="412"/>
        <v>0</v>
      </c>
      <c r="K317" s="55">
        <f t="shared" si="412"/>
        <v>0</v>
      </c>
      <c r="L317" s="55">
        <f t="shared" si="412"/>
        <v>0</v>
      </c>
      <c r="M317" s="55">
        <f t="shared" si="412"/>
        <v>0.41247659679349219</v>
      </c>
      <c r="N317" s="55">
        <f t="shared" si="412"/>
        <v>0.42196355851974249</v>
      </c>
      <c r="O317" s="55">
        <f t="shared" si="412"/>
        <v>0.43166872036569653</v>
      </c>
      <c r="P317" s="55">
        <f t="shared" si="412"/>
        <v>0.44159710093410753</v>
      </c>
      <c r="Q317" s="55">
        <f t="shared" si="412"/>
        <v>0.45175383425559196</v>
      </c>
      <c r="R317" s="55">
        <f t="shared" si="412"/>
        <v>0.46214417244347045</v>
      </c>
      <c r="S317" s="55">
        <f t="shared" si="412"/>
        <v>0.47277348840967026</v>
      </c>
      <c r="T317" s="55">
        <f t="shared" si="412"/>
        <v>0.48364727864309265</v>
      </c>
      <c r="U317" s="55">
        <f t="shared" si="412"/>
        <v>0.49477116605188376</v>
      </c>
      <c r="V317" s="55">
        <f t="shared" si="412"/>
        <v>0.506150902871077</v>
      </c>
      <c r="W317" s="55">
        <f t="shared" si="412"/>
        <v>0.51779237363711172</v>
      </c>
      <c r="X317" s="55">
        <f t="shared" si="412"/>
        <v>0.52970159823076524</v>
      </c>
      <c r="Y317" s="55">
        <f t="shared" si="412"/>
        <v>0.54188473499007284</v>
      </c>
      <c r="Z317" s="55">
        <f t="shared" si="412"/>
        <v>0.55434808389484436</v>
      </c>
      <c r="AA317" s="55">
        <f t="shared" si="412"/>
        <v>0.56709808982442578</v>
      </c>
      <c r="AB317" s="55">
        <f t="shared" si="412"/>
        <v>0.58014134589038746</v>
      </c>
      <c r="AC317" s="55">
        <f t="shared" si="412"/>
        <v>0.5934845968458663</v>
      </c>
      <c r="AD317" s="55">
        <f t="shared" si="412"/>
        <v>0.60713474257332123</v>
      </c>
      <c r="AE317" s="55">
        <f t="shared" si="412"/>
        <v>0.62109884165250762</v>
      </c>
      <c r="AF317" s="55">
        <f t="shared" si="412"/>
        <v>0.63538411501051517</v>
      </c>
      <c r="AG317" s="55">
        <f t="shared" si="412"/>
        <v>0.64999794965575708</v>
      </c>
      <c r="AH317" s="55">
        <f t="shared" si="412"/>
        <v>0.66494790249783919</v>
      </c>
      <c r="AI317" s="55">
        <f t="shared" ref="AI317:BJ317" si="413">IF(AND(AI$127&gt;=$K106,AI$127&lt;=$L106),$G106*(1+$H106)^(AI$127-$B$5),0)</f>
        <v>0.68024170425528951</v>
      </c>
      <c r="AJ317" s="55">
        <f t="shared" si="413"/>
        <v>0.6958872634531611</v>
      </c>
      <c r="AK317" s="55">
        <f t="shared" si="413"/>
        <v>0.71189267051258376</v>
      </c>
      <c r="AL317" s="55">
        <f t="shared" si="413"/>
        <v>0.72826620193437308</v>
      </c>
      <c r="AM317" s="55">
        <f t="shared" si="413"/>
        <v>0.74501632457886358</v>
      </c>
      <c r="AN317" s="55">
        <f t="shared" si="413"/>
        <v>0.76215170004417743</v>
      </c>
      <c r="AO317" s="55">
        <f t="shared" si="413"/>
        <v>0.77968118914519358</v>
      </c>
      <c r="AP317" s="55">
        <f t="shared" si="413"/>
        <v>0.79761385649553285</v>
      </c>
      <c r="AQ317" s="55">
        <f t="shared" si="413"/>
        <v>0.81595897519492999</v>
      </c>
      <c r="AR317" s="55">
        <f t="shared" si="413"/>
        <v>0.83472603162441317</v>
      </c>
      <c r="AS317" s="55">
        <f t="shared" si="413"/>
        <v>0.85392473035177463</v>
      </c>
      <c r="AT317" s="55">
        <f t="shared" si="413"/>
        <v>0.87356499914986541</v>
      </c>
      <c r="AU317" s="55">
        <f t="shared" si="413"/>
        <v>0.89365699413031219</v>
      </c>
      <c r="AV317" s="55">
        <f t="shared" si="413"/>
        <v>0.91421110499530933</v>
      </c>
      <c r="AW317" s="55">
        <f t="shared" si="413"/>
        <v>0.93523796041020146</v>
      </c>
      <c r="AX317" s="55">
        <f t="shared" si="413"/>
        <v>0.95674843349963579</v>
      </c>
      <c r="AY317" s="55">
        <f t="shared" si="413"/>
        <v>0.97875364747012727</v>
      </c>
      <c r="AZ317" s="55">
        <f t="shared" si="413"/>
        <v>1.0012649813619401</v>
      </c>
      <c r="BA317" s="55">
        <f t="shared" si="413"/>
        <v>0</v>
      </c>
      <c r="BB317" s="55">
        <f t="shared" si="413"/>
        <v>0</v>
      </c>
      <c r="BC317" s="55">
        <f t="shared" si="413"/>
        <v>0</v>
      </c>
      <c r="BD317" s="55">
        <f t="shared" si="413"/>
        <v>0</v>
      </c>
      <c r="BE317" s="55">
        <f t="shared" si="413"/>
        <v>0</v>
      </c>
      <c r="BF317" s="55">
        <f t="shared" si="413"/>
        <v>0</v>
      </c>
      <c r="BG317" s="55">
        <f t="shared" si="413"/>
        <v>0</v>
      </c>
      <c r="BH317" s="55">
        <f t="shared" si="413"/>
        <v>0</v>
      </c>
      <c r="BI317" s="55">
        <f t="shared" si="413"/>
        <v>0</v>
      </c>
      <c r="BJ317" s="55">
        <f t="shared" si="413"/>
        <v>0</v>
      </c>
    </row>
    <row r="318" spans="1:62" x14ac:dyDescent="0.3">
      <c r="A318" s="53" t="str">
        <f t="shared" si="375"/>
        <v>project 175</v>
      </c>
      <c r="C318" s="55">
        <f t="shared" ref="C318:AH318" si="414">IF(AND(C$127&gt;=$K107,C$127&lt;=$L107),$G107*(1+$H107)^(C$127-$B$5),0)</f>
        <v>0</v>
      </c>
      <c r="D318" s="55">
        <f t="shared" si="414"/>
        <v>0</v>
      </c>
      <c r="E318" s="55">
        <f t="shared" si="414"/>
        <v>0</v>
      </c>
      <c r="F318" s="55">
        <f t="shared" si="414"/>
        <v>0</v>
      </c>
      <c r="G318" s="55">
        <f t="shared" si="414"/>
        <v>0</v>
      </c>
      <c r="H318" s="55">
        <f t="shared" si="414"/>
        <v>0</v>
      </c>
      <c r="I318" s="55">
        <f t="shared" si="414"/>
        <v>0</v>
      </c>
      <c r="J318" s="55">
        <f t="shared" si="414"/>
        <v>0</v>
      </c>
      <c r="K318" s="55">
        <f t="shared" si="414"/>
        <v>0</v>
      </c>
      <c r="L318" s="55">
        <f t="shared" si="414"/>
        <v>0</v>
      </c>
      <c r="M318" s="55">
        <f t="shared" si="414"/>
        <v>0.36964180760892129</v>
      </c>
      <c r="N318" s="55">
        <f t="shared" si="414"/>
        <v>0.37659107359196892</v>
      </c>
      <c r="O318" s="55">
        <f t="shared" si="414"/>
        <v>0.38367098577549791</v>
      </c>
      <c r="P318" s="55">
        <f t="shared" si="414"/>
        <v>0.39088400030807724</v>
      </c>
      <c r="Q318" s="55">
        <f t="shared" si="414"/>
        <v>0.39823261951386912</v>
      </c>
      <c r="R318" s="55">
        <f t="shared" si="414"/>
        <v>0.40571939276072982</v>
      </c>
      <c r="S318" s="55">
        <f t="shared" si="414"/>
        <v>0.41334691734463147</v>
      </c>
      <c r="T318" s="55">
        <f t="shared" si="414"/>
        <v>0.42111783939071051</v>
      </c>
      <c r="U318" s="55">
        <f t="shared" si="414"/>
        <v>0.42903485477125586</v>
      </c>
      <c r="V318" s="55">
        <f t="shared" si="414"/>
        <v>0.43710071004095546</v>
      </c>
      <c r="W318" s="55">
        <f t="shared" si="414"/>
        <v>0.44531820338972539</v>
      </c>
      <c r="X318" s="55">
        <f t="shared" si="414"/>
        <v>0.4536901856134522</v>
      </c>
      <c r="Y318" s="55">
        <f t="shared" si="414"/>
        <v>0.46221956110298512</v>
      </c>
      <c r="Z318" s="55">
        <f t="shared" si="414"/>
        <v>0.47090928885172123</v>
      </c>
      <c r="AA318" s="55">
        <f t="shared" si="414"/>
        <v>0.47976238348213346</v>
      </c>
      <c r="AB318" s="55">
        <f t="shared" si="414"/>
        <v>0.48878191629159756</v>
      </c>
      <c r="AC318" s="55">
        <f t="shared" si="414"/>
        <v>0.4979710163178796</v>
      </c>
      <c r="AD318" s="55">
        <f t="shared" si="414"/>
        <v>0.50733287142465566</v>
      </c>
      <c r="AE318" s="55">
        <f t="shared" si="414"/>
        <v>0.51687072940743917</v>
      </c>
      <c r="AF318" s="55">
        <f t="shared" si="414"/>
        <v>0.52658789912029902</v>
      </c>
      <c r="AG318" s="55">
        <f t="shared" si="414"/>
        <v>0.53648775162376061</v>
      </c>
      <c r="AH318" s="55">
        <f t="shared" si="414"/>
        <v>0.54657372135428728</v>
      </c>
      <c r="AI318" s="55">
        <f t="shared" ref="AI318:BJ318" si="415">IF(AND(AI$127&gt;=$K107,AI$127&lt;=$L107),$G107*(1+$H107)^(AI$127-$B$5),0)</f>
        <v>0.55684930731574778</v>
      </c>
      <c r="AJ318" s="55">
        <f t="shared" si="415"/>
        <v>0.56731807429328385</v>
      </c>
      <c r="AK318" s="55">
        <f t="shared" si="415"/>
        <v>0.57798365408999752</v>
      </c>
      <c r="AL318" s="55">
        <f t="shared" si="415"/>
        <v>0.58884974678688951</v>
      </c>
      <c r="AM318" s="55">
        <f t="shared" si="415"/>
        <v>0.59992012202648293</v>
      </c>
      <c r="AN318" s="55">
        <f t="shared" si="415"/>
        <v>0.6111986203205807</v>
      </c>
      <c r="AO318" s="55">
        <f t="shared" si="415"/>
        <v>0.62268915438260775</v>
      </c>
      <c r="AP318" s="55">
        <f t="shared" si="415"/>
        <v>0.63439571048500076</v>
      </c>
      <c r="AQ318" s="55">
        <f t="shared" si="415"/>
        <v>0.64632234984211867</v>
      </c>
      <c r="AR318" s="55">
        <f t="shared" si="415"/>
        <v>0.65847321001915049</v>
      </c>
      <c r="AS318" s="55">
        <f t="shared" si="415"/>
        <v>0.67085250636751048</v>
      </c>
      <c r="AT318" s="55">
        <f t="shared" si="415"/>
        <v>0.68346453348721958</v>
      </c>
      <c r="AU318" s="55">
        <f t="shared" si="415"/>
        <v>0.6963136667167793</v>
      </c>
      <c r="AV318" s="55">
        <f t="shared" si="415"/>
        <v>0.70940436365105464</v>
      </c>
      <c r="AW318" s="55">
        <f t="shared" si="415"/>
        <v>0.72274116568769453</v>
      </c>
      <c r="AX318" s="55">
        <f t="shared" si="415"/>
        <v>0.73632869960262315</v>
      </c>
      <c r="AY318" s="55">
        <f t="shared" si="415"/>
        <v>0.75017167915515226</v>
      </c>
      <c r="AZ318" s="55">
        <f t="shared" si="415"/>
        <v>0.76427490672326914</v>
      </c>
      <c r="BA318" s="55">
        <f t="shared" si="415"/>
        <v>0</v>
      </c>
      <c r="BB318" s="55">
        <f t="shared" si="415"/>
        <v>0</v>
      </c>
      <c r="BC318" s="55">
        <f t="shared" si="415"/>
        <v>0</v>
      </c>
      <c r="BD318" s="55">
        <f t="shared" si="415"/>
        <v>0</v>
      </c>
      <c r="BE318" s="55">
        <f t="shared" si="415"/>
        <v>0</v>
      </c>
      <c r="BF318" s="55">
        <f t="shared" si="415"/>
        <v>0</v>
      </c>
      <c r="BG318" s="55">
        <f t="shared" si="415"/>
        <v>0</v>
      </c>
      <c r="BH318" s="55">
        <f t="shared" si="415"/>
        <v>0</v>
      </c>
      <c r="BI318" s="55">
        <f t="shared" si="415"/>
        <v>0</v>
      </c>
      <c r="BJ318" s="55">
        <f t="shared" si="415"/>
        <v>0</v>
      </c>
    </row>
    <row r="319" spans="1:62" x14ac:dyDescent="0.3">
      <c r="A319" s="53" t="str">
        <f t="shared" si="375"/>
        <v>project 176</v>
      </c>
      <c r="C319" s="55">
        <f t="shared" ref="C319:AH319" si="416">IF(AND(C$127&gt;=$K108,C$127&lt;=$L108),$G108*(1+$H108)^(C$127-$B$5),0)</f>
        <v>0</v>
      </c>
      <c r="D319" s="55">
        <f t="shared" si="416"/>
        <v>0</v>
      </c>
      <c r="E319" s="55">
        <f t="shared" si="416"/>
        <v>0</v>
      </c>
      <c r="F319" s="55">
        <f t="shared" si="416"/>
        <v>0</v>
      </c>
      <c r="G319" s="55">
        <f t="shared" si="416"/>
        <v>0</v>
      </c>
      <c r="H319" s="55">
        <f t="shared" si="416"/>
        <v>0</v>
      </c>
      <c r="I319" s="55">
        <f t="shared" si="416"/>
        <v>0</v>
      </c>
      <c r="J319" s="55">
        <f t="shared" si="416"/>
        <v>0</v>
      </c>
      <c r="K319" s="55">
        <f t="shared" si="416"/>
        <v>0</v>
      </c>
      <c r="L319" s="55">
        <f t="shared" si="416"/>
        <v>0</v>
      </c>
      <c r="M319" s="55">
        <f t="shared" si="416"/>
        <v>0.23638585187582123</v>
      </c>
      <c r="N319" s="55">
        <f t="shared" si="416"/>
        <v>0.241208123254088</v>
      </c>
      <c r="O319" s="55">
        <f t="shared" si="416"/>
        <v>0.24612876896847138</v>
      </c>
      <c r="P319" s="55">
        <f t="shared" si="416"/>
        <v>0.25114979585542824</v>
      </c>
      <c r="Q319" s="55">
        <f t="shared" si="416"/>
        <v>0.25627325169087894</v>
      </c>
      <c r="R319" s="55">
        <f t="shared" si="416"/>
        <v>0.2615012260253729</v>
      </c>
      <c r="S319" s="55">
        <f t="shared" si="416"/>
        <v>0.26683585103629054</v>
      </c>
      <c r="T319" s="55">
        <f t="shared" si="416"/>
        <v>0.27227930239743081</v>
      </c>
      <c r="U319" s="55">
        <f t="shared" si="416"/>
        <v>0.27783380016633846</v>
      </c>
      <c r="V319" s="55">
        <f t="shared" si="416"/>
        <v>0.28350160968973176</v>
      </c>
      <c r="W319" s="55">
        <f t="shared" si="416"/>
        <v>0.28928504252740228</v>
      </c>
      <c r="X319" s="55">
        <f t="shared" si="416"/>
        <v>0.2951864573949613</v>
      </c>
      <c r="Y319" s="55">
        <f t="shared" si="416"/>
        <v>0.30120826112581855</v>
      </c>
      <c r="Z319" s="55">
        <f t="shared" si="416"/>
        <v>0.30735290965278522</v>
      </c>
      <c r="AA319" s="55">
        <f t="shared" si="416"/>
        <v>0.31362290900970208</v>
      </c>
      <c r="AB319" s="55">
        <f t="shared" si="416"/>
        <v>0.32002081635349994</v>
      </c>
      <c r="AC319" s="55">
        <f t="shared" si="416"/>
        <v>0.32654924100711141</v>
      </c>
      <c r="AD319" s="55">
        <f t="shared" si="416"/>
        <v>0.33321084552365643</v>
      </c>
      <c r="AE319" s="55">
        <f t="shared" si="416"/>
        <v>0.34000834677233904</v>
      </c>
      <c r="AF319" s="55">
        <f t="shared" si="416"/>
        <v>0.34694451704649476</v>
      </c>
      <c r="AG319" s="55">
        <f t="shared" si="416"/>
        <v>0.35402218519424328</v>
      </c>
      <c r="AH319" s="55">
        <f t="shared" si="416"/>
        <v>0.36124423777220582</v>
      </c>
      <c r="AI319" s="55">
        <f t="shared" ref="AI319:BJ319" si="417">IF(AND(AI$127&gt;=$K108,AI$127&lt;=$L108),$G108*(1+$H108)^(AI$127-$B$5),0)</f>
        <v>0.3686136202227589</v>
      </c>
      <c r="AJ319" s="55">
        <f t="shared" si="417"/>
        <v>0.37613333807530319</v>
      </c>
      <c r="AK319" s="55">
        <f t="shared" si="417"/>
        <v>0.38380645817203934</v>
      </c>
      <c r="AL319" s="55">
        <f t="shared" si="417"/>
        <v>0.39163610991874903</v>
      </c>
      <c r="AM319" s="55">
        <f t="shared" si="417"/>
        <v>0.39962548656109148</v>
      </c>
      <c r="AN319" s="55">
        <f t="shared" si="417"/>
        <v>0.40777784648693771</v>
      </c>
      <c r="AO319" s="55">
        <f t="shared" si="417"/>
        <v>0.4160965145552713</v>
      </c>
      <c r="AP319" s="55">
        <f t="shared" si="417"/>
        <v>0.4245848834521988</v>
      </c>
      <c r="AQ319" s="55">
        <f t="shared" si="417"/>
        <v>0.43324641507462369</v>
      </c>
      <c r="AR319" s="55">
        <f t="shared" si="417"/>
        <v>0.44208464194214592</v>
      </c>
      <c r="AS319" s="55">
        <f t="shared" si="417"/>
        <v>0.45110316863776584</v>
      </c>
      <c r="AT319" s="55">
        <f t="shared" si="417"/>
        <v>0.46030567327797617</v>
      </c>
      <c r="AU319" s="55">
        <f t="shared" si="417"/>
        <v>0.46969590901284697</v>
      </c>
      <c r="AV319" s="55">
        <f t="shared" si="417"/>
        <v>0.47927770555670901</v>
      </c>
      <c r="AW319" s="55">
        <f t="shared" si="417"/>
        <v>0.48905497075006588</v>
      </c>
      <c r="AX319" s="55">
        <f t="shared" si="417"/>
        <v>0.49903169215336735</v>
      </c>
      <c r="AY319" s="55">
        <f t="shared" si="417"/>
        <v>0.50921193867329606</v>
      </c>
      <c r="AZ319" s="55">
        <f t="shared" si="417"/>
        <v>0.5195998622222312</v>
      </c>
      <c r="BA319" s="55">
        <f t="shared" si="417"/>
        <v>0</v>
      </c>
      <c r="BB319" s="55">
        <f t="shared" si="417"/>
        <v>0</v>
      </c>
      <c r="BC319" s="55">
        <f t="shared" si="417"/>
        <v>0</v>
      </c>
      <c r="BD319" s="55">
        <f t="shared" si="417"/>
        <v>0</v>
      </c>
      <c r="BE319" s="55">
        <f t="shared" si="417"/>
        <v>0</v>
      </c>
      <c r="BF319" s="55">
        <f t="shared" si="417"/>
        <v>0</v>
      </c>
      <c r="BG319" s="55">
        <f t="shared" si="417"/>
        <v>0</v>
      </c>
      <c r="BH319" s="55">
        <f t="shared" si="417"/>
        <v>0</v>
      </c>
      <c r="BI319" s="55">
        <f t="shared" si="417"/>
        <v>0</v>
      </c>
      <c r="BJ319" s="55">
        <f t="shared" si="417"/>
        <v>0</v>
      </c>
    </row>
    <row r="320" spans="1:62" x14ac:dyDescent="0.3">
      <c r="A320" s="53" t="str">
        <f t="shared" si="375"/>
        <v>project 180</v>
      </c>
      <c r="C320" s="55">
        <f t="shared" ref="C320:AH320" si="418">IF(AND(C$127&gt;=$K109,C$127&lt;=$L109),$G109*(1+$H109)^(C$127-$B$5),0)</f>
        <v>0</v>
      </c>
      <c r="D320" s="55">
        <f t="shared" si="418"/>
        <v>0</v>
      </c>
      <c r="E320" s="55">
        <f t="shared" si="418"/>
        <v>0.20305217465932152</v>
      </c>
      <c r="F320" s="55">
        <f t="shared" si="418"/>
        <v>0.2055700216250971</v>
      </c>
      <c r="G320" s="55">
        <f t="shared" si="418"/>
        <v>0.20811908989324829</v>
      </c>
      <c r="H320" s="55">
        <f t="shared" si="418"/>
        <v>0.21069976660792453</v>
      </c>
      <c r="I320" s="55">
        <f t="shared" si="418"/>
        <v>0.21331244371386279</v>
      </c>
      <c r="J320" s="55">
        <f t="shared" si="418"/>
        <v>0.21595751801591467</v>
      </c>
      <c r="K320" s="55">
        <f t="shared" si="418"/>
        <v>0.21863539123931197</v>
      </c>
      <c r="L320" s="55">
        <f t="shared" si="418"/>
        <v>0.22134647009067945</v>
      </c>
      <c r="M320" s="55">
        <f t="shared" si="418"/>
        <v>0.22409116631980386</v>
      </c>
      <c r="N320" s="55">
        <f t="shared" si="418"/>
        <v>0.22686989678216943</v>
      </c>
      <c r="O320" s="55">
        <f t="shared" si="418"/>
        <v>0.22968308350226829</v>
      </c>
      <c r="P320" s="55">
        <f t="shared" si="418"/>
        <v>0.23253115373769639</v>
      </c>
      <c r="Q320" s="55">
        <f t="shared" si="418"/>
        <v>0.2354145400440438</v>
      </c>
      <c r="R320" s="55">
        <f t="shared" si="418"/>
        <v>0.23833368034058994</v>
      </c>
      <c r="S320" s="55">
        <f t="shared" si="418"/>
        <v>0.24128901797681321</v>
      </c>
      <c r="T320" s="55">
        <f t="shared" si="418"/>
        <v>0.2442810017997257</v>
      </c>
      <c r="U320" s="55">
        <f t="shared" si="418"/>
        <v>0.24731008622204226</v>
      </c>
      <c r="V320" s="55">
        <f t="shared" si="418"/>
        <v>0.25037673129119559</v>
      </c>
      <c r="W320" s="55">
        <f t="shared" si="418"/>
        <v>0.25348140275920633</v>
      </c>
      <c r="X320" s="55">
        <f t="shared" si="418"/>
        <v>0.25662457215342049</v>
      </c>
      <c r="Y320" s="55">
        <f t="shared" si="418"/>
        <v>0.2598067168481229</v>
      </c>
      <c r="Z320" s="55">
        <f t="shared" si="418"/>
        <v>0.26302832013703958</v>
      </c>
      <c r="AA320" s="55">
        <f t="shared" si="418"/>
        <v>0.26628987130673887</v>
      </c>
      <c r="AB320" s="55">
        <f t="shared" si="418"/>
        <v>0.2695918657109424</v>
      </c>
      <c r="AC320" s="55">
        <f t="shared" si="418"/>
        <v>0.27293480484575805</v>
      </c>
      <c r="AD320" s="55">
        <f t="shared" si="418"/>
        <v>0.27631919642584551</v>
      </c>
      <c r="AE320" s="55">
        <f t="shared" si="418"/>
        <v>0.27974555446152594</v>
      </c>
      <c r="AF320" s="55">
        <f t="shared" si="418"/>
        <v>0.28321439933684878</v>
      </c>
      <c r="AG320" s="55">
        <f t="shared" si="418"/>
        <v>0.28672625788862571</v>
      </c>
      <c r="AH320" s="55">
        <f t="shared" si="418"/>
        <v>0.29028166348644463</v>
      </c>
      <c r="AI320" s="55">
        <f t="shared" ref="AI320:BJ320" si="419">IF(AND(AI$127&gt;=$K109,AI$127&lt;=$L109),$G109*(1+$H109)^(AI$127-$B$5),0)</f>
        <v>0.29388115611367654</v>
      </c>
      <c r="AJ320" s="55">
        <f t="shared" si="419"/>
        <v>0.29752528244948606</v>
      </c>
      <c r="AK320" s="55">
        <f t="shared" si="419"/>
        <v>0.30121459595185968</v>
      </c>
      <c r="AL320" s="55">
        <f t="shared" si="419"/>
        <v>0.30494965694166276</v>
      </c>
      <c r="AM320" s="55">
        <f t="shared" si="419"/>
        <v>0.30873103268773933</v>
      </c>
      <c r="AN320" s="55">
        <f t="shared" si="419"/>
        <v>0.31255929749306727</v>
      </c>
      <c r="AO320" s="55">
        <f t="shared" si="419"/>
        <v>0.31643503278198126</v>
      </c>
      <c r="AP320" s="55">
        <f t="shared" si="419"/>
        <v>0.3203588271884778</v>
      </c>
      <c r="AQ320" s="55">
        <f t="shared" si="419"/>
        <v>0.3243312766456149</v>
      </c>
      <c r="AR320" s="55">
        <f t="shared" si="419"/>
        <v>0.32835298447602052</v>
      </c>
      <c r="AS320" s="55">
        <f t="shared" si="419"/>
        <v>0</v>
      </c>
      <c r="AT320" s="55">
        <f t="shared" si="419"/>
        <v>0</v>
      </c>
      <c r="AU320" s="55">
        <f t="shared" si="419"/>
        <v>0</v>
      </c>
      <c r="AV320" s="55">
        <f t="shared" si="419"/>
        <v>0</v>
      </c>
      <c r="AW320" s="55">
        <f t="shared" si="419"/>
        <v>0</v>
      </c>
      <c r="AX320" s="55">
        <f t="shared" si="419"/>
        <v>0</v>
      </c>
      <c r="AY320" s="55">
        <f t="shared" si="419"/>
        <v>0</v>
      </c>
      <c r="AZ320" s="55">
        <f t="shared" si="419"/>
        <v>0</v>
      </c>
      <c r="BA320" s="55">
        <f t="shared" si="419"/>
        <v>0</v>
      </c>
      <c r="BB320" s="55">
        <f t="shared" si="419"/>
        <v>0</v>
      </c>
      <c r="BC320" s="55">
        <f t="shared" si="419"/>
        <v>0</v>
      </c>
      <c r="BD320" s="55">
        <f t="shared" si="419"/>
        <v>0</v>
      </c>
      <c r="BE320" s="55">
        <f t="shared" si="419"/>
        <v>0</v>
      </c>
      <c r="BF320" s="55">
        <f t="shared" si="419"/>
        <v>0</v>
      </c>
      <c r="BG320" s="55">
        <f t="shared" si="419"/>
        <v>0</v>
      </c>
      <c r="BH320" s="55">
        <f t="shared" si="419"/>
        <v>0</v>
      </c>
      <c r="BI320" s="55">
        <f t="shared" si="419"/>
        <v>0</v>
      </c>
      <c r="BJ320" s="55">
        <f t="shared" si="419"/>
        <v>0</v>
      </c>
    </row>
    <row r="321" spans="1:62" x14ac:dyDescent="0.3">
      <c r="A321" s="53" t="str">
        <f t="shared" si="375"/>
        <v>project 181</v>
      </c>
      <c r="C321" s="55">
        <f t="shared" ref="C321:AH321" si="420">IF(AND(C$127&gt;=$K110,C$127&lt;=$L110),$G110*(1+$H110)^(C$127-$B$5),0)</f>
        <v>0</v>
      </c>
      <c r="D321" s="55">
        <f t="shared" si="420"/>
        <v>0.13275571165354239</v>
      </c>
      <c r="E321" s="55">
        <f t="shared" si="420"/>
        <v>0.13468066947251875</v>
      </c>
      <c r="F321" s="55">
        <f t="shared" si="420"/>
        <v>0.13663353917987026</v>
      </c>
      <c r="G321" s="55">
        <f t="shared" si="420"/>
        <v>0.1386147254979784</v>
      </c>
      <c r="H321" s="55">
        <f t="shared" si="420"/>
        <v>0.14062463901769909</v>
      </c>
      <c r="I321" s="55">
        <f t="shared" si="420"/>
        <v>0.14266369628345574</v>
      </c>
      <c r="J321" s="55">
        <f t="shared" si="420"/>
        <v>0.14473231987956583</v>
      </c>
      <c r="K321" s="55">
        <f t="shared" si="420"/>
        <v>0.14683093851781956</v>
      </c>
      <c r="L321" s="55">
        <f t="shared" si="420"/>
        <v>0.14895998712632794</v>
      </c>
      <c r="M321" s="55">
        <f t="shared" si="420"/>
        <v>0.15111990693965968</v>
      </c>
      <c r="N321" s="55">
        <f t="shared" si="420"/>
        <v>0.15331114559028475</v>
      </c>
      <c r="O321" s="55">
        <f t="shared" si="420"/>
        <v>0.15553415720134392</v>
      </c>
      <c r="P321" s="55">
        <f t="shared" si="420"/>
        <v>0.1577894024807634</v>
      </c>
      <c r="Q321" s="55">
        <f t="shared" si="420"/>
        <v>0.16007734881673447</v>
      </c>
      <c r="R321" s="55">
        <f t="shared" si="420"/>
        <v>0.16239847037457708</v>
      </c>
      <c r="S321" s="55">
        <f t="shared" si="420"/>
        <v>0.1647532481950085</v>
      </c>
      <c r="T321" s="55">
        <f t="shared" si="420"/>
        <v>0.16714217029383613</v>
      </c>
      <c r="U321" s="55">
        <f t="shared" si="420"/>
        <v>0.16956573176309678</v>
      </c>
      <c r="V321" s="55">
        <f t="shared" si="420"/>
        <v>0.17202443487366165</v>
      </c>
      <c r="W321" s="55">
        <f t="shared" si="420"/>
        <v>0.17451878917932978</v>
      </c>
      <c r="X321" s="55">
        <f t="shared" si="420"/>
        <v>0.17704931162243004</v>
      </c>
      <c r="Y321" s="55">
        <f t="shared" si="420"/>
        <v>0.17961652664095529</v>
      </c>
      <c r="Z321" s="55">
        <f t="shared" si="420"/>
        <v>0.18222096627724912</v>
      </c>
      <c r="AA321" s="55">
        <f t="shared" si="420"/>
        <v>0.18486317028826926</v>
      </c>
      <c r="AB321" s="55">
        <f t="shared" si="420"/>
        <v>0.18754368625744916</v>
      </c>
      <c r="AC321" s="55">
        <f t="shared" si="420"/>
        <v>0.19026306970818219</v>
      </c>
      <c r="AD321" s="55">
        <f t="shared" si="420"/>
        <v>0.19302188421895081</v>
      </c>
      <c r="AE321" s="55">
        <f t="shared" si="420"/>
        <v>0.19582070154012565</v>
      </c>
      <c r="AF321" s="55">
        <f t="shared" si="420"/>
        <v>0.19866010171245746</v>
      </c>
      <c r="AG321" s="55">
        <f t="shared" si="420"/>
        <v>0.20154067318728811</v>
      </c>
      <c r="AH321" s="55">
        <f t="shared" si="420"/>
        <v>0.20446301294850375</v>
      </c>
      <c r="AI321" s="55">
        <f t="shared" ref="AI321:BJ321" si="421">IF(AND(AI$127&gt;=$K110,AI$127&lt;=$L110),$G110*(1+$H110)^(AI$127-$B$5),0)</f>
        <v>0.20742772663625711</v>
      </c>
      <c r="AJ321" s="55">
        <f t="shared" si="421"/>
        <v>0.21043542867248283</v>
      </c>
      <c r="AK321" s="55">
        <f t="shared" si="421"/>
        <v>0.21348674238823384</v>
      </c>
      <c r="AL321" s="55">
        <f t="shared" si="421"/>
        <v>0.2165823001528632</v>
      </c>
      <c r="AM321" s="55">
        <f t="shared" si="421"/>
        <v>0.21972274350507978</v>
      </c>
      <c r="AN321" s="55">
        <f t="shared" si="421"/>
        <v>0.22290872328590339</v>
      </c>
      <c r="AO321" s="55">
        <f t="shared" si="421"/>
        <v>0.22614089977354901</v>
      </c>
      <c r="AP321" s="55">
        <f t="shared" si="421"/>
        <v>0.22941994282026548</v>
      </c>
      <c r="AQ321" s="55">
        <f t="shared" si="421"/>
        <v>0.23274653199115936</v>
      </c>
      <c r="AR321" s="55">
        <f t="shared" si="421"/>
        <v>0</v>
      </c>
      <c r="AS321" s="55">
        <f t="shared" si="421"/>
        <v>0</v>
      </c>
      <c r="AT321" s="55">
        <f t="shared" si="421"/>
        <v>0</v>
      </c>
      <c r="AU321" s="55">
        <f t="shared" si="421"/>
        <v>0</v>
      </c>
      <c r="AV321" s="55">
        <f t="shared" si="421"/>
        <v>0</v>
      </c>
      <c r="AW321" s="55">
        <f t="shared" si="421"/>
        <v>0</v>
      </c>
      <c r="AX321" s="55">
        <f t="shared" si="421"/>
        <v>0</v>
      </c>
      <c r="AY321" s="55">
        <f t="shared" si="421"/>
        <v>0</v>
      </c>
      <c r="AZ321" s="55">
        <f t="shared" si="421"/>
        <v>0</v>
      </c>
      <c r="BA321" s="55">
        <f t="shared" si="421"/>
        <v>0</v>
      </c>
      <c r="BB321" s="55">
        <f t="shared" si="421"/>
        <v>0</v>
      </c>
      <c r="BC321" s="55">
        <f t="shared" si="421"/>
        <v>0</v>
      </c>
      <c r="BD321" s="55">
        <f t="shared" si="421"/>
        <v>0</v>
      </c>
      <c r="BE321" s="55">
        <f t="shared" si="421"/>
        <v>0</v>
      </c>
      <c r="BF321" s="55">
        <f t="shared" si="421"/>
        <v>0</v>
      </c>
      <c r="BG321" s="55">
        <f t="shared" si="421"/>
        <v>0</v>
      </c>
      <c r="BH321" s="55">
        <f t="shared" si="421"/>
        <v>0</v>
      </c>
      <c r="BI321" s="55">
        <f t="shared" si="421"/>
        <v>0</v>
      </c>
      <c r="BJ321" s="55">
        <f t="shared" si="421"/>
        <v>0</v>
      </c>
    </row>
    <row r="322" spans="1:62" x14ac:dyDescent="0.3">
      <c r="A322" s="53" t="str">
        <f t="shared" si="375"/>
        <v>project 182</v>
      </c>
      <c r="C322" s="55">
        <f t="shared" ref="C322:AH322" si="422">IF(AND(C$127&gt;=$K111,C$127&lt;=$L111),$G111*(1+$H111)^(C$127-$B$5),0)</f>
        <v>0</v>
      </c>
      <c r="D322" s="55">
        <f t="shared" si="422"/>
        <v>0</v>
      </c>
      <c r="E322" s="55">
        <f t="shared" si="422"/>
        <v>0</v>
      </c>
      <c r="F322" s="55">
        <f t="shared" si="422"/>
        <v>0</v>
      </c>
      <c r="G322" s="55">
        <f t="shared" si="422"/>
        <v>0</v>
      </c>
      <c r="H322" s="55">
        <f t="shared" si="422"/>
        <v>0</v>
      </c>
      <c r="I322" s="55">
        <f t="shared" si="422"/>
        <v>0</v>
      </c>
      <c r="J322" s="55">
        <f t="shared" si="422"/>
        <v>0</v>
      </c>
      <c r="K322" s="55">
        <f t="shared" si="422"/>
        <v>0</v>
      </c>
      <c r="L322" s="55">
        <f t="shared" si="422"/>
        <v>0</v>
      </c>
      <c r="M322" s="55">
        <f t="shared" si="422"/>
        <v>0.14986540658922412</v>
      </c>
      <c r="N322" s="55">
        <f t="shared" si="422"/>
        <v>0.15238314541992307</v>
      </c>
      <c r="O322" s="55">
        <f t="shared" si="422"/>
        <v>0.15494318226297779</v>
      </c>
      <c r="P322" s="55">
        <f t="shared" si="422"/>
        <v>0.1575462277249958</v>
      </c>
      <c r="Q322" s="55">
        <f t="shared" si="422"/>
        <v>0.16019300435077571</v>
      </c>
      <c r="R322" s="55">
        <f t="shared" si="422"/>
        <v>0.16288424682386871</v>
      </c>
      <c r="S322" s="55">
        <f t="shared" si="422"/>
        <v>0.16562070217050973</v>
      </c>
      <c r="T322" s="55">
        <f t="shared" si="422"/>
        <v>0.16840312996697426</v>
      </c>
      <c r="U322" s="55">
        <f t="shared" si="422"/>
        <v>0.17123230255041944</v>
      </c>
      <c r="V322" s="55">
        <f t="shared" si="422"/>
        <v>0.17410900523326645</v>
      </c>
      <c r="W322" s="55">
        <f t="shared" si="422"/>
        <v>0.17703403652118532</v>
      </c>
      <c r="X322" s="55">
        <f t="shared" si="422"/>
        <v>0.18000820833474124</v>
      </c>
      <c r="Y322" s="55">
        <f t="shared" si="422"/>
        <v>0.18303234623476486</v>
      </c>
      <c r="Z322" s="55">
        <f t="shared" si="422"/>
        <v>0.18610728965150891</v>
      </c>
      <c r="AA322" s="55">
        <f t="shared" si="422"/>
        <v>0.18923389211765426</v>
      </c>
      <c r="AB322" s="55">
        <f t="shared" si="422"/>
        <v>0.19241302150523079</v>
      </c>
      <c r="AC322" s="55">
        <f t="shared" si="422"/>
        <v>0.19564556026651869</v>
      </c>
      <c r="AD322" s="55">
        <f t="shared" si="422"/>
        <v>0.19893240567899614</v>
      </c>
      <c r="AE322" s="55">
        <f t="shared" si="422"/>
        <v>0.2022744700944033</v>
      </c>
      <c r="AF322" s="55">
        <f t="shared" si="422"/>
        <v>0.20567268119198928</v>
      </c>
      <c r="AG322" s="55">
        <f t="shared" si="422"/>
        <v>0.20912798223601467</v>
      </c>
      <c r="AH322" s="55">
        <f t="shared" si="422"/>
        <v>0.21264133233757967</v>
      </c>
      <c r="AI322" s="55">
        <f t="shared" ref="AI322:BJ322" si="423">IF(AND(AI$127&gt;=$K111,AI$127&lt;=$L111),$G111*(1+$H111)^(AI$127-$B$5),0)</f>
        <v>0.21621370672085105</v>
      </c>
      <c r="AJ322" s="55">
        <f t="shared" si="423"/>
        <v>0.21984609699376131</v>
      </c>
      <c r="AK322" s="55">
        <f t="shared" si="423"/>
        <v>0.22353951142325648</v>
      </c>
      <c r="AL322" s="55">
        <f t="shared" si="423"/>
        <v>0.22729497521516717</v>
      </c>
      <c r="AM322" s="55">
        <f t="shared" si="423"/>
        <v>0.23111353079878197</v>
      </c>
      <c r="AN322" s="55">
        <f t="shared" si="423"/>
        <v>0.23499623811620152</v>
      </c>
      <c r="AO322" s="55">
        <f t="shared" si="423"/>
        <v>0.23894417491655368</v>
      </c>
      <c r="AP322" s="55">
        <f t="shared" si="423"/>
        <v>0.24295843705515174</v>
      </c>
      <c r="AQ322" s="55">
        <f t="shared" si="423"/>
        <v>0.24704013879767828</v>
      </c>
      <c r="AR322" s="55">
        <f t="shared" si="423"/>
        <v>0.25119041312947926</v>
      </c>
      <c r="AS322" s="55">
        <f t="shared" si="423"/>
        <v>0.25541041207005449</v>
      </c>
      <c r="AT322" s="55">
        <f t="shared" si="423"/>
        <v>0.25970130699283139</v>
      </c>
      <c r="AU322" s="55">
        <f t="shared" si="423"/>
        <v>0.26406428895031098</v>
      </c>
      <c r="AV322" s="55">
        <f t="shared" si="423"/>
        <v>0.26850056900467612</v>
      </c>
      <c r="AW322" s="55">
        <f t="shared" si="423"/>
        <v>0.27301137856395469</v>
      </c>
      <c r="AX322" s="55">
        <f t="shared" si="423"/>
        <v>0.27759796972382911</v>
      </c>
      <c r="AY322" s="55">
        <f t="shared" si="423"/>
        <v>0.28226161561518948</v>
      </c>
      <c r="AZ322" s="55">
        <f t="shared" si="423"/>
        <v>0.28700361075752456</v>
      </c>
      <c r="BA322" s="55">
        <f t="shared" si="423"/>
        <v>0</v>
      </c>
      <c r="BB322" s="55">
        <f t="shared" si="423"/>
        <v>0</v>
      </c>
      <c r="BC322" s="55">
        <f t="shared" si="423"/>
        <v>0</v>
      </c>
      <c r="BD322" s="55">
        <f t="shared" si="423"/>
        <v>0</v>
      </c>
      <c r="BE322" s="55">
        <f t="shared" si="423"/>
        <v>0</v>
      </c>
      <c r="BF322" s="55">
        <f t="shared" si="423"/>
        <v>0</v>
      </c>
      <c r="BG322" s="55">
        <f t="shared" si="423"/>
        <v>0</v>
      </c>
      <c r="BH322" s="55">
        <f t="shared" si="423"/>
        <v>0</v>
      </c>
      <c r="BI322" s="55">
        <f t="shared" si="423"/>
        <v>0</v>
      </c>
      <c r="BJ322" s="55">
        <f t="shared" si="423"/>
        <v>0</v>
      </c>
    </row>
    <row r="323" spans="1:62" x14ac:dyDescent="0.3">
      <c r="A323" s="53" t="str">
        <f t="shared" si="375"/>
        <v>project 184</v>
      </c>
      <c r="C323" s="55">
        <f t="shared" ref="C323:AH323" si="424">IF(AND(C$127&gt;=$K112,C$127&lt;=$L112),$G112*(1+$H112)^(C$127-$B$5),0)</f>
        <v>0</v>
      </c>
      <c r="D323" s="55">
        <f t="shared" si="424"/>
        <v>0</v>
      </c>
      <c r="E323" s="55">
        <f t="shared" si="424"/>
        <v>0</v>
      </c>
      <c r="F323" s="55">
        <f t="shared" si="424"/>
        <v>0</v>
      </c>
      <c r="G323" s="55">
        <f t="shared" si="424"/>
        <v>0</v>
      </c>
      <c r="H323" s="55">
        <f t="shared" si="424"/>
        <v>0</v>
      </c>
      <c r="I323" s="55">
        <f t="shared" si="424"/>
        <v>0</v>
      </c>
      <c r="J323" s="55">
        <f t="shared" si="424"/>
        <v>0</v>
      </c>
      <c r="K323" s="55">
        <f t="shared" si="424"/>
        <v>0</v>
      </c>
      <c r="L323" s="55">
        <f t="shared" si="424"/>
        <v>0</v>
      </c>
      <c r="M323" s="55">
        <f t="shared" si="424"/>
        <v>0</v>
      </c>
      <c r="N323" s="55">
        <f t="shared" si="424"/>
        <v>0</v>
      </c>
      <c r="O323" s="55">
        <f t="shared" si="424"/>
        <v>0.35258646547288319</v>
      </c>
      <c r="P323" s="55">
        <f t="shared" si="424"/>
        <v>0.36027285042019214</v>
      </c>
      <c r="Q323" s="55">
        <f t="shared" si="424"/>
        <v>0.36812679855935232</v>
      </c>
      <c r="R323" s="55">
        <f t="shared" si="424"/>
        <v>0.37615196276794621</v>
      </c>
      <c r="S323" s="55">
        <f t="shared" si="424"/>
        <v>0.38435207555628748</v>
      </c>
      <c r="T323" s="55">
        <f t="shared" si="424"/>
        <v>0.39273095080341458</v>
      </c>
      <c r="U323" s="55">
        <f t="shared" si="424"/>
        <v>0.40129248553092906</v>
      </c>
      <c r="V323" s="55">
        <f t="shared" si="424"/>
        <v>0.41004066171550335</v>
      </c>
      <c r="W323" s="55">
        <f t="shared" si="424"/>
        <v>0.41897954814090138</v>
      </c>
      <c r="X323" s="55">
        <f t="shared" si="424"/>
        <v>0.42811330229037309</v>
      </c>
      <c r="Y323" s="55">
        <f t="shared" si="424"/>
        <v>0.43744617228030325</v>
      </c>
      <c r="Z323" s="55">
        <f t="shared" si="424"/>
        <v>0.44698249883601388</v>
      </c>
      <c r="AA323" s="55">
        <f t="shared" si="424"/>
        <v>0.45672671731063902</v>
      </c>
      <c r="AB323" s="55">
        <f t="shared" si="424"/>
        <v>0.46668335974801095</v>
      </c>
      <c r="AC323" s="55">
        <f t="shared" si="424"/>
        <v>0.47685705699051767</v>
      </c>
      <c r="AD323" s="55">
        <f t="shared" si="424"/>
        <v>0.48725254083291097</v>
      </c>
      <c r="AE323" s="55">
        <f t="shared" si="424"/>
        <v>0.49787464622306848</v>
      </c>
      <c r="AF323" s="55">
        <f t="shared" si="424"/>
        <v>0.50872831351073144</v>
      </c>
      <c r="AG323" s="55">
        <f t="shared" si="424"/>
        <v>0.51981859074526549</v>
      </c>
      <c r="AH323" s="55">
        <f t="shared" si="424"/>
        <v>0.5311506360235122</v>
      </c>
      <c r="AI323" s="55">
        <f t="shared" ref="AI323:BJ323" si="425">IF(AND(AI$127&gt;=$K112,AI$127&lt;=$L112),$G112*(1+$H112)^(AI$127-$B$5),0)</f>
        <v>0.5427297198888249</v>
      </c>
      <c r="AJ323" s="55">
        <f t="shared" si="425"/>
        <v>0.55456122778240136</v>
      </c>
      <c r="AK323" s="55">
        <f t="shared" si="425"/>
        <v>0.56665066254805774</v>
      </c>
      <c r="AL323" s="55">
        <f t="shared" si="425"/>
        <v>0.57900364699160545</v>
      </c>
      <c r="AM323" s="55">
        <f t="shared" si="425"/>
        <v>0.59162592649602253</v>
      </c>
      <c r="AN323" s="55">
        <f t="shared" si="425"/>
        <v>0.60452337169363579</v>
      </c>
      <c r="AO323" s="55">
        <f t="shared" si="425"/>
        <v>0.61770198119655728</v>
      </c>
      <c r="AP323" s="55">
        <f t="shared" si="425"/>
        <v>0.63116788438664218</v>
      </c>
      <c r="AQ323" s="55">
        <f t="shared" si="425"/>
        <v>0.64492734426627107</v>
      </c>
      <c r="AR323" s="55">
        <f t="shared" si="425"/>
        <v>0.65898676037127568</v>
      </c>
      <c r="AS323" s="55">
        <f t="shared" si="425"/>
        <v>0.67335267174736968</v>
      </c>
      <c r="AT323" s="55">
        <f t="shared" si="425"/>
        <v>0.68803175999146238</v>
      </c>
      <c r="AU323" s="55">
        <f t="shared" si="425"/>
        <v>0.7030308523592762</v>
      </c>
      <c r="AV323" s="55">
        <f t="shared" si="425"/>
        <v>0.71835692494070869</v>
      </c>
      <c r="AW323" s="55">
        <f t="shared" si="425"/>
        <v>0.73401710590441616</v>
      </c>
      <c r="AX323" s="55">
        <f t="shared" si="425"/>
        <v>0.75001867881313256</v>
      </c>
      <c r="AY323" s="55">
        <f t="shared" si="425"/>
        <v>0.76636908601125886</v>
      </c>
      <c r="AZ323" s="55">
        <f t="shared" si="425"/>
        <v>0.78307593208630444</v>
      </c>
      <c r="BA323" s="55">
        <f t="shared" si="425"/>
        <v>0.80014698740578583</v>
      </c>
      <c r="BB323" s="55">
        <f t="shared" si="425"/>
        <v>0.81759019173123204</v>
      </c>
      <c r="BC323" s="55">
        <f t="shared" si="425"/>
        <v>0</v>
      </c>
      <c r="BD323" s="55">
        <f t="shared" si="425"/>
        <v>0</v>
      </c>
      <c r="BE323" s="55">
        <f t="shared" si="425"/>
        <v>0</v>
      </c>
      <c r="BF323" s="55">
        <f t="shared" si="425"/>
        <v>0</v>
      </c>
      <c r="BG323" s="55">
        <f t="shared" si="425"/>
        <v>0</v>
      </c>
      <c r="BH323" s="55">
        <f t="shared" si="425"/>
        <v>0</v>
      </c>
      <c r="BI323" s="55">
        <f t="shared" si="425"/>
        <v>0</v>
      </c>
      <c r="BJ323" s="55">
        <f t="shared" si="425"/>
        <v>0</v>
      </c>
    </row>
    <row r="324" spans="1:62" x14ac:dyDescent="0.3">
      <c r="A324" s="53" t="str">
        <f t="shared" si="375"/>
        <v>project 186</v>
      </c>
      <c r="C324" s="55">
        <f t="shared" ref="C324:AH324" si="426">IF(AND(C$127&gt;=$K113,C$127&lt;=$L113),$G113*(1+$H113)^(C$127-$B$5),0)</f>
        <v>0</v>
      </c>
      <c r="D324" s="55">
        <f t="shared" si="426"/>
        <v>0</v>
      </c>
      <c r="E324" s="55">
        <f t="shared" si="426"/>
        <v>0</v>
      </c>
      <c r="F324" s="55">
        <f t="shared" si="426"/>
        <v>0</v>
      </c>
      <c r="G324" s="55">
        <f t="shared" si="426"/>
        <v>0</v>
      </c>
      <c r="H324" s="55">
        <f t="shared" si="426"/>
        <v>0</v>
      </c>
      <c r="I324" s="55">
        <f t="shared" si="426"/>
        <v>0</v>
      </c>
      <c r="J324" s="55">
        <f t="shared" si="426"/>
        <v>0</v>
      </c>
      <c r="K324" s="55">
        <f t="shared" si="426"/>
        <v>7.1746627117608694E-2</v>
      </c>
      <c r="L324" s="55">
        <f t="shared" si="426"/>
        <v>7.279412787352578E-2</v>
      </c>
      <c r="M324" s="55">
        <f t="shared" si="426"/>
        <v>7.3856922140479245E-2</v>
      </c>
      <c r="N324" s="55">
        <f t="shared" si="426"/>
        <v>7.4935233203730245E-2</v>
      </c>
      <c r="O324" s="55">
        <f t="shared" si="426"/>
        <v>7.6029287608504692E-2</v>
      </c>
      <c r="P324" s="55">
        <f t="shared" si="426"/>
        <v>7.7139315207588863E-2</v>
      </c>
      <c r="Q324" s="55">
        <f t="shared" si="426"/>
        <v>7.8265549209619659E-2</v>
      </c>
      <c r="R324" s="55">
        <f t="shared" si="426"/>
        <v>7.9408226228080095E-2</v>
      </c>
      <c r="S324" s="55">
        <f t="shared" si="426"/>
        <v>8.0567586331010063E-2</v>
      </c>
      <c r="T324" s="55">
        <f t="shared" si="426"/>
        <v>8.1743873091442792E-2</v>
      </c>
      <c r="U324" s="55">
        <f t="shared" si="426"/>
        <v>8.2937333638577859E-2</v>
      </c>
      <c r="V324" s="55">
        <f t="shared" si="426"/>
        <v>8.4148218709701073E-2</v>
      </c>
      <c r="W324" s="55">
        <f t="shared" si="426"/>
        <v>8.5376782702862711E-2</v>
      </c>
      <c r="X324" s="55">
        <f t="shared" si="426"/>
        <v>8.6623283730324505E-2</v>
      </c>
      <c r="Y324" s="55">
        <f t="shared" si="426"/>
        <v>8.7887983672787232E-2</v>
      </c>
      <c r="Z324" s="55">
        <f t="shared" si="426"/>
        <v>8.9171148234409914E-2</v>
      </c>
      <c r="AA324" s="55">
        <f t="shared" si="426"/>
        <v>9.0473046998632303E-2</v>
      </c>
      <c r="AB324" s="55">
        <f t="shared" si="426"/>
        <v>9.1793953484812313E-2</v>
      </c>
      <c r="AC324" s="55">
        <f t="shared" si="426"/>
        <v>9.3134145205690577E-2</v>
      </c>
      <c r="AD324" s="55">
        <f t="shared" si="426"/>
        <v>9.4493903725693648E-2</v>
      </c>
      <c r="AE324" s="55">
        <f t="shared" si="426"/>
        <v>9.5873514720088759E-2</v>
      </c>
      <c r="AF324" s="55">
        <f t="shared" si="426"/>
        <v>9.7273268035002053E-2</v>
      </c>
      <c r="AG324" s="55">
        <f t="shared" si="426"/>
        <v>9.8693457748313076E-2</v>
      </c>
      <c r="AH324" s="55">
        <f t="shared" si="426"/>
        <v>0.10013438223143843</v>
      </c>
      <c r="AI324" s="55">
        <f t="shared" ref="AI324:BJ324" si="427">IF(AND(AI$127&gt;=$K113,AI$127&lt;=$L113),$G113*(1+$H113)^(AI$127-$B$5),0)</f>
        <v>0.10159634421201744</v>
      </c>
      <c r="AJ324" s="55">
        <f t="shared" si="427"/>
        <v>0.10307965083751289</v>
      </c>
      <c r="AK324" s="55">
        <f t="shared" si="427"/>
        <v>0.10458461373974057</v>
      </c>
      <c r="AL324" s="55">
        <f t="shared" si="427"/>
        <v>0.10611154910034076</v>
      </c>
      <c r="AM324" s="55">
        <f t="shared" si="427"/>
        <v>0.10766077771720574</v>
      </c>
      <c r="AN324" s="55">
        <f t="shared" si="427"/>
        <v>0.10923262507187692</v>
      </c>
      <c r="AO324" s="55">
        <f t="shared" si="427"/>
        <v>0.11082742139792631</v>
      </c>
      <c r="AP324" s="55">
        <f t="shared" si="427"/>
        <v>0.11244550175033603</v>
      </c>
      <c r="AQ324" s="55">
        <f t="shared" si="427"/>
        <v>0.11408720607589093</v>
      </c>
      <c r="AR324" s="55">
        <f t="shared" si="427"/>
        <v>0.11575287928459892</v>
      </c>
      <c r="AS324" s="55">
        <f t="shared" si="427"/>
        <v>0.11744287132215406</v>
      </c>
      <c r="AT324" s="55">
        <f t="shared" si="427"/>
        <v>0.1191575372434575</v>
      </c>
      <c r="AU324" s="55">
        <f t="shared" si="427"/>
        <v>0.12089723728721197</v>
      </c>
      <c r="AV324" s="55">
        <f t="shared" si="427"/>
        <v>0.12266233695160526</v>
      </c>
      <c r="AW324" s="55">
        <f t="shared" si="427"/>
        <v>0.12445320707109868</v>
      </c>
      <c r="AX324" s="55">
        <f t="shared" si="427"/>
        <v>0.1262702238943367</v>
      </c>
      <c r="AY324" s="55">
        <f t="shared" si="427"/>
        <v>0</v>
      </c>
      <c r="AZ324" s="55">
        <f t="shared" si="427"/>
        <v>0</v>
      </c>
      <c r="BA324" s="55">
        <f t="shared" si="427"/>
        <v>0</v>
      </c>
      <c r="BB324" s="55">
        <f t="shared" si="427"/>
        <v>0</v>
      </c>
      <c r="BC324" s="55">
        <f t="shared" si="427"/>
        <v>0</v>
      </c>
      <c r="BD324" s="55">
        <f t="shared" si="427"/>
        <v>0</v>
      </c>
      <c r="BE324" s="55">
        <f t="shared" si="427"/>
        <v>0</v>
      </c>
      <c r="BF324" s="55">
        <f t="shared" si="427"/>
        <v>0</v>
      </c>
      <c r="BG324" s="55">
        <f t="shared" si="427"/>
        <v>0</v>
      </c>
      <c r="BH324" s="55">
        <f t="shared" si="427"/>
        <v>0</v>
      </c>
      <c r="BI324" s="55">
        <f t="shared" si="427"/>
        <v>0</v>
      </c>
      <c r="BJ324" s="55">
        <f t="shared" si="427"/>
        <v>0</v>
      </c>
    </row>
    <row r="325" spans="1:62" x14ac:dyDescent="0.3">
      <c r="A325" s="53" t="str">
        <f t="shared" si="375"/>
        <v>project 188</v>
      </c>
      <c r="C325" s="55">
        <f t="shared" ref="C325:AH325" si="428">IF(AND(C$127&gt;=$K114,C$127&lt;=$L114),$G114*(1+$H114)^(C$127-$B$5),0)</f>
        <v>0</v>
      </c>
      <c r="D325" s="55">
        <f t="shared" si="428"/>
        <v>0</v>
      </c>
      <c r="E325" s="55">
        <f t="shared" si="428"/>
        <v>0</v>
      </c>
      <c r="F325" s="55">
        <f t="shared" si="428"/>
        <v>6.9130747332252537E-2</v>
      </c>
      <c r="G325" s="55">
        <f t="shared" si="428"/>
        <v>7.0126230093836991E-2</v>
      </c>
      <c r="H325" s="55">
        <f t="shared" si="428"/>
        <v>7.1136047807188227E-2</v>
      </c>
      <c r="I325" s="55">
        <f t="shared" si="428"/>
        <v>7.2160406895611748E-2</v>
      </c>
      <c r="J325" s="55">
        <f t="shared" si="428"/>
        <v>7.3199516754908572E-2</v>
      </c>
      <c r="K325" s="55">
        <f t="shared" si="428"/>
        <v>7.4253589796179256E-2</v>
      </c>
      <c r="L325" s="55">
        <f t="shared" si="428"/>
        <v>7.532284148924423E-2</v>
      </c>
      <c r="M325" s="55">
        <f t="shared" si="428"/>
        <v>7.6407490406689357E-2</v>
      </c>
      <c r="N325" s="55">
        <f t="shared" si="428"/>
        <v>7.7507758268545682E-2</v>
      </c>
      <c r="O325" s="55">
        <f t="shared" si="428"/>
        <v>7.8623869987612754E-2</v>
      </c>
      <c r="P325" s="55">
        <f t="shared" si="428"/>
        <v>7.9756053715434372E-2</v>
      </c>
      <c r="Q325" s="55">
        <f t="shared" si="428"/>
        <v>8.090454088893663E-2</v>
      </c>
      <c r="R325" s="55">
        <f t="shared" si="428"/>
        <v>8.2069566277737316E-2</v>
      </c>
      <c r="S325" s="55">
        <f t="shared" si="428"/>
        <v>8.3251368032136744E-2</v>
      </c>
      <c r="T325" s="55">
        <f t="shared" si="428"/>
        <v>8.445018773179952E-2</v>
      </c>
      <c r="U325" s="55">
        <f t="shared" si="428"/>
        <v>8.5666270435137443E-2</v>
      </c>
      <c r="V325" s="55">
        <f t="shared" si="428"/>
        <v>8.689986472940342E-2</v>
      </c>
      <c r="W325" s="55">
        <f t="shared" si="428"/>
        <v>8.8151222781506819E-2</v>
      </c>
      <c r="X325" s="55">
        <f t="shared" si="428"/>
        <v>8.9420600389560526E-2</v>
      </c>
      <c r="Y325" s="55">
        <f t="shared" si="428"/>
        <v>9.0708257035170201E-2</v>
      </c>
      <c r="Z325" s="55">
        <f t="shared" si="428"/>
        <v>9.2014455936476669E-2</v>
      </c>
      <c r="AA325" s="55">
        <f t="shared" si="428"/>
        <v>9.3339464101961936E-2</v>
      </c>
      <c r="AB325" s="55">
        <f t="shared" si="428"/>
        <v>9.4683552385030179E-2</v>
      </c>
      <c r="AC325" s="55">
        <f t="shared" si="428"/>
        <v>9.6046995539374638E-2</v>
      </c>
      <c r="AD325" s="55">
        <f t="shared" si="428"/>
        <v>9.743007227514161E-2</v>
      </c>
      <c r="AE325" s="55">
        <f t="shared" si="428"/>
        <v>9.8833065315903662E-2</v>
      </c>
      <c r="AF325" s="55">
        <f t="shared" si="428"/>
        <v>0.10025626145645268</v>
      </c>
      <c r="AG325" s="55">
        <f t="shared" si="428"/>
        <v>0.10169995162142559</v>
      </c>
      <c r="AH325" s="55">
        <f t="shared" si="428"/>
        <v>0.10316443092477413</v>
      </c>
      <c r="AI325" s="55">
        <f t="shared" ref="AI325:BJ325" si="429">IF(AND(AI$127&gt;=$K114,AI$127&lt;=$L114),$G114*(1+$H114)^(AI$127-$B$5),0)</f>
        <v>0.1046499987300909</v>
      </c>
      <c r="AJ325" s="55">
        <f t="shared" si="429"/>
        <v>0.10615695871180419</v>
      </c>
      <c r="AK325" s="55">
        <f t="shared" si="429"/>
        <v>0.10768561891725419</v>
      </c>
      <c r="AL325" s="55">
        <f t="shared" si="429"/>
        <v>0.10923629182966264</v>
      </c>
      <c r="AM325" s="55">
        <f t="shared" si="429"/>
        <v>0.11080929443200981</v>
      </c>
      <c r="AN325" s="55">
        <f t="shared" si="429"/>
        <v>0.11240494827183073</v>
      </c>
      <c r="AO325" s="55">
        <f t="shared" si="429"/>
        <v>0.11402357952694511</v>
      </c>
      <c r="AP325" s="55">
        <f t="shared" si="429"/>
        <v>0.11566551907213313</v>
      </c>
      <c r="AQ325" s="55">
        <f t="shared" si="429"/>
        <v>0.11733110254677186</v>
      </c>
      <c r="AR325" s="55">
        <f t="shared" si="429"/>
        <v>0.11902067042344536</v>
      </c>
      <c r="AS325" s="55">
        <f t="shared" si="429"/>
        <v>0.120734568077543</v>
      </c>
      <c r="AT325" s="55">
        <f t="shared" si="429"/>
        <v>0</v>
      </c>
      <c r="AU325" s="55">
        <f t="shared" si="429"/>
        <v>0</v>
      </c>
      <c r="AV325" s="55">
        <f t="shared" si="429"/>
        <v>0</v>
      </c>
      <c r="AW325" s="55">
        <f t="shared" si="429"/>
        <v>0</v>
      </c>
      <c r="AX325" s="55">
        <f t="shared" si="429"/>
        <v>0</v>
      </c>
      <c r="AY325" s="55">
        <f t="shared" si="429"/>
        <v>0</v>
      </c>
      <c r="AZ325" s="55">
        <f t="shared" si="429"/>
        <v>0</v>
      </c>
      <c r="BA325" s="55">
        <f t="shared" si="429"/>
        <v>0</v>
      </c>
      <c r="BB325" s="55">
        <f t="shared" si="429"/>
        <v>0</v>
      </c>
      <c r="BC325" s="55">
        <f t="shared" si="429"/>
        <v>0</v>
      </c>
      <c r="BD325" s="55">
        <f t="shared" si="429"/>
        <v>0</v>
      </c>
      <c r="BE325" s="55">
        <f t="shared" si="429"/>
        <v>0</v>
      </c>
      <c r="BF325" s="55">
        <f t="shared" si="429"/>
        <v>0</v>
      </c>
      <c r="BG325" s="55">
        <f t="shared" si="429"/>
        <v>0</v>
      </c>
      <c r="BH325" s="55">
        <f t="shared" si="429"/>
        <v>0</v>
      </c>
      <c r="BI325" s="55">
        <f t="shared" si="429"/>
        <v>0</v>
      </c>
      <c r="BJ325" s="55">
        <f t="shared" si="429"/>
        <v>0</v>
      </c>
    </row>
    <row r="326" spans="1:62" x14ac:dyDescent="0.3">
      <c r="A326" s="53" t="str">
        <f t="shared" si="375"/>
        <v>project 190</v>
      </c>
      <c r="C326" s="55">
        <f t="shared" ref="C326:AH326" si="430">IF(AND(C$127&gt;=$K115,C$127&lt;=$L115),$G115*(1+$H115)^(C$127-$B$5),0)</f>
        <v>0</v>
      </c>
      <c r="D326" s="55">
        <f t="shared" si="430"/>
        <v>5.8495128460587943E-2</v>
      </c>
      <c r="E326" s="55">
        <f t="shared" si="430"/>
        <v>5.916197292503865E-2</v>
      </c>
      <c r="F326" s="55">
        <f t="shared" si="430"/>
        <v>5.9836419416384089E-2</v>
      </c>
      <c r="G326" s="55">
        <f t="shared" si="430"/>
        <v>6.0518554597730881E-2</v>
      </c>
      <c r="H326" s="55">
        <f t="shared" si="430"/>
        <v>6.1208466120145015E-2</v>
      </c>
      <c r="I326" s="55">
        <f t="shared" si="430"/>
        <v>6.1906242633914678E-2</v>
      </c>
      <c r="J326" s="55">
        <f t="shared" si="430"/>
        <v>6.2611973799941295E-2</v>
      </c>
      <c r="K326" s="55">
        <f t="shared" si="430"/>
        <v>6.3325750301260642E-2</v>
      </c>
      <c r="L326" s="55">
        <f t="shared" si="430"/>
        <v>6.4047663854695014E-2</v>
      </c>
      <c r="M326" s="55">
        <f t="shared" si="430"/>
        <v>6.4777807222638553E-2</v>
      </c>
      <c r="N326" s="55">
        <f t="shared" si="430"/>
        <v>6.551627422497662E-2</v>
      </c>
      <c r="O326" s="55">
        <f t="shared" si="430"/>
        <v>6.6263159751141359E-2</v>
      </c>
      <c r="P326" s="55">
        <f t="shared" si="430"/>
        <v>6.7018559772304379E-2</v>
      </c>
      <c r="Q326" s="55">
        <f t="shared" si="430"/>
        <v>6.7782571353708659E-2</v>
      </c>
      <c r="R326" s="55">
        <f t="shared" si="430"/>
        <v>6.855529266714093E-2</v>
      </c>
      <c r="S326" s="55">
        <f t="shared" si="430"/>
        <v>6.933682300354635E-2</v>
      </c>
      <c r="T326" s="55">
        <f t="shared" si="430"/>
        <v>7.0127262785786793E-2</v>
      </c>
      <c r="U326" s="55">
        <f t="shared" si="430"/>
        <v>7.0926713581544759E-2</v>
      </c>
      <c r="V326" s="55">
        <f t="shared" si="430"/>
        <v>7.1735278116374368E-2</v>
      </c>
      <c r="W326" s="55">
        <f t="shared" si="430"/>
        <v>7.2553060286901047E-2</v>
      </c>
      <c r="X326" s="55">
        <f t="shared" si="430"/>
        <v>7.3380165174171716E-2</v>
      </c>
      <c r="Y326" s="55">
        <f t="shared" si="430"/>
        <v>7.421669905715729E-2</v>
      </c>
      <c r="Z326" s="55">
        <f t="shared" si="430"/>
        <v>7.5062769426408868E-2</v>
      </c>
      <c r="AA326" s="55">
        <f t="shared" si="430"/>
        <v>7.5918484997869948E-2</v>
      </c>
      <c r="AB326" s="55">
        <f t="shared" si="430"/>
        <v>7.6783955726845668E-2</v>
      </c>
      <c r="AC326" s="55">
        <f t="shared" si="430"/>
        <v>7.7659292822131729E-2</v>
      </c>
      <c r="AD326" s="55">
        <f t="shared" si="430"/>
        <v>7.8544608760304016E-2</v>
      </c>
      <c r="AE326" s="55">
        <f t="shared" si="430"/>
        <v>7.94400173001715E-2</v>
      </c>
      <c r="AF326" s="55">
        <f t="shared" si="430"/>
        <v>8.0345633497393446E-2</v>
      </c>
      <c r="AG326" s="55">
        <f t="shared" si="430"/>
        <v>8.1261573719263763E-2</v>
      </c>
      <c r="AH326" s="55">
        <f t="shared" si="430"/>
        <v>8.2187955659663345E-2</v>
      </c>
      <c r="AI326" s="55">
        <f t="shared" ref="AI326:BJ326" si="431">IF(AND(AI$127&gt;=$K115,AI$127&lt;=$L115),$G115*(1+$H115)^(AI$127-$B$5),0)</f>
        <v>8.3124898354183532E-2</v>
      </c>
      <c r="AJ326" s="55">
        <f t="shared" si="431"/>
        <v>8.4072522195421232E-2</v>
      </c>
      <c r="AK326" s="55">
        <f t="shared" si="431"/>
        <v>8.5030948948449037E-2</v>
      </c>
      <c r="AL326" s="55">
        <f t="shared" si="431"/>
        <v>8.6000301766461354E-2</v>
      </c>
      <c r="AM326" s="55">
        <f t="shared" si="431"/>
        <v>8.6980705206599035E-2</v>
      </c>
      <c r="AN326" s="55">
        <f t="shared" si="431"/>
        <v>8.7972285245954268E-2</v>
      </c>
      <c r="AO326" s="55">
        <f t="shared" si="431"/>
        <v>8.8975169297758158E-2</v>
      </c>
      <c r="AP326" s="55">
        <f t="shared" si="431"/>
        <v>8.9989486227752588E-2</v>
      </c>
      <c r="AQ326" s="55">
        <f t="shared" si="431"/>
        <v>9.1015366370748987E-2</v>
      </c>
      <c r="AR326" s="55">
        <f t="shared" si="431"/>
        <v>0</v>
      </c>
      <c r="AS326" s="55">
        <f t="shared" si="431"/>
        <v>0</v>
      </c>
      <c r="AT326" s="55">
        <f t="shared" si="431"/>
        <v>0</v>
      </c>
      <c r="AU326" s="55">
        <f t="shared" si="431"/>
        <v>0</v>
      </c>
      <c r="AV326" s="55">
        <f t="shared" si="431"/>
        <v>0</v>
      </c>
      <c r="AW326" s="55">
        <f t="shared" si="431"/>
        <v>0</v>
      </c>
      <c r="AX326" s="55">
        <f t="shared" si="431"/>
        <v>0</v>
      </c>
      <c r="AY326" s="55">
        <f t="shared" si="431"/>
        <v>0</v>
      </c>
      <c r="AZ326" s="55">
        <f t="shared" si="431"/>
        <v>0</v>
      </c>
      <c r="BA326" s="55">
        <f t="shared" si="431"/>
        <v>0</v>
      </c>
      <c r="BB326" s="55">
        <f t="shared" si="431"/>
        <v>0</v>
      </c>
      <c r="BC326" s="55">
        <f t="shared" si="431"/>
        <v>0</v>
      </c>
      <c r="BD326" s="55">
        <f t="shared" si="431"/>
        <v>0</v>
      </c>
      <c r="BE326" s="55">
        <f t="shared" si="431"/>
        <v>0</v>
      </c>
      <c r="BF326" s="55">
        <f t="shared" si="431"/>
        <v>0</v>
      </c>
      <c r="BG326" s="55">
        <f t="shared" si="431"/>
        <v>0</v>
      </c>
      <c r="BH326" s="55">
        <f t="shared" si="431"/>
        <v>0</v>
      </c>
      <c r="BI326" s="55">
        <f t="shared" si="431"/>
        <v>0</v>
      </c>
      <c r="BJ326" s="55">
        <f t="shared" si="431"/>
        <v>0</v>
      </c>
    </row>
    <row r="327" spans="1:62" x14ac:dyDescent="0.3">
      <c r="A327" s="53" t="str">
        <f t="shared" si="375"/>
        <v>project 192</v>
      </c>
      <c r="C327" s="55">
        <f t="shared" ref="C327:AH327" si="432">IF(AND(C$127&gt;=$K116,C$127&lt;=$L116),$G116*(1+$H116)^(C$127-$B$5),0)</f>
        <v>0</v>
      </c>
      <c r="D327" s="55">
        <f t="shared" si="432"/>
        <v>0</v>
      </c>
      <c r="E327" s="55">
        <f t="shared" si="432"/>
        <v>0</v>
      </c>
      <c r="F327" s="55">
        <f t="shared" si="432"/>
        <v>0</v>
      </c>
      <c r="G327" s="55">
        <f t="shared" si="432"/>
        <v>0</v>
      </c>
      <c r="H327" s="55">
        <f t="shared" si="432"/>
        <v>0</v>
      </c>
      <c r="I327" s="55">
        <f t="shared" si="432"/>
        <v>0</v>
      </c>
      <c r="J327" s="55">
        <f t="shared" si="432"/>
        <v>0</v>
      </c>
      <c r="K327" s="55">
        <f t="shared" si="432"/>
        <v>0</v>
      </c>
      <c r="L327" s="55">
        <f t="shared" si="432"/>
        <v>0</v>
      </c>
      <c r="M327" s="55">
        <f t="shared" si="432"/>
        <v>0</v>
      </c>
      <c r="N327" s="55">
        <f t="shared" si="432"/>
        <v>6.0438253943367416E-2</v>
      </c>
      <c r="O327" s="55">
        <f t="shared" si="432"/>
        <v>6.180415848248752E-2</v>
      </c>
      <c r="P327" s="55">
        <f t="shared" si="432"/>
        <v>6.3200932464191742E-2</v>
      </c>
      <c r="Q327" s="55">
        <f t="shared" si="432"/>
        <v>6.4629273537882476E-2</v>
      </c>
      <c r="R327" s="55">
        <f t="shared" si="432"/>
        <v>6.6089895119838607E-2</v>
      </c>
      <c r="S327" s="55">
        <f t="shared" si="432"/>
        <v>6.7583526749546957E-2</v>
      </c>
      <c r="T327" s="55">
        <f t="shared" si="432"/>
        <v>6.9110914454086722E-2</v>
      </c>
      <c r="U327" s="55">
        <f t="shared" si="432"/>
        <v>7.0672821120749088E-2</v>
      </c>
      <c r="V327" s="55">
        <f t="shared" si="432"/>
        <v>7.2270026878078014E-2</v>
      </c>
      <c r="W327" s="55">
        <f t="shared" si="432"/>
        <v>7.3903329485522584E-2</v>
      </c>
      <c r="X327" s="55">
        <f t="shared" si="432"/>
        <v>7.557354473189537E-2</v>
      </c>
      <c r="Y327" s="55">
        <f t="shared" si="432"/>
        <v>7.7281506842836217E-2</v>
      </c>
      <c r="Z327" s="55">
        <f t="shared" si="432"/>
        <v>7.9028068897484316E-2</v>
      </c>
      <c r="AA327" s="55">
        <f t="shared" si="432"/>
        <v>8.0814103254567463E-2</v>
      </c>
      <c r="AB327" s="55">
        <f t="shared" si="432"/>
        <v>8.2640501988120674E-2</v>
      </c>
      <c r="AC327" s="55">
        <f t="shared" si="432"/>
        <v>8.4508177333052215E-2</v>
      </c>
      <c r="AD327" s="55">
        <f t="shared" si="432"/>
        <v>8.6418062140779184E-2</v>
      </c>
      <c r="AE327" s="55">
        <f t="shared" si="432"/>
        <v>8.8371110345160792E-2</v>
      </c>
      <c r="AF327" s="55">
        <f t="shared" si="432"/>
        <v>9.0368297438961423E-2</v>
      </c>
      <c r="AG327" s="55">
        <f t="shared" si="432"/>
        <v>9.2410620961081963E-2</v>
      </c>
      <c r="AH327" s="55">
        <f t="shared" si="432"/>
        <v>9.4499100994802396E-2</v>
      </c>
      <c r="AI327" s="55">
        <f t="shared" ref="AI327:BJ327" si="433">IF(AND(AI$127&gt;=$K116,AI$127&lt;=$L116),$G116*(1+$H116)^(AI$127-$B$5),0)</f>
        <v>9.663478067728494E-2</v>
      </c>
      <c r="AJ327" s="55">
        <f t="shared" si="433"/>
        <v>9.8818726720591582E-2</v>
      </c>
      <c r="AK327" s="55">
        <f t="shared" si="433"/>
        <v>0.10105202994447696</v>
      </c>
      <c r="AL327" s="55">
        <f t="shared" si="433"/>
        <v>0.10333580582122212</v>
      </c>
      <c r="AM327" s="55">
        <f t="shared" si="433"/>
        <v>0.10567119503278175</v>
      </c>
      <c r="AN327" s="55">
        <f t="shared" si="433"/>
        <v>0.10805936404052262</v>
      </c>
      <c r="AO327" s="55">
        <f t="shared" si="433"/>
        <v>0.11050150566783842</v>
      </c>
      <c r="AP327" s="55">
        <f t="shared" si="433"/>
        <v>0.11299883969593158</v>
      </c>
      <c r="AQ327" s="55">
        <f t="shared" si="433"/>
        <v>0.11555261347305962</v>
      </c>
      <c r="AR327" s="55">
        <f t="shared" si="433"/>
        <v>0.11816410253755076</v>
      </c>
      <c r="AS327" s="55">
        <f t="shared" si="433"/>
        <v>0.1208346112548994</v>
      </c>
      <c r="AT327" s="55">
        <f t="shared" si="433"/>
        <v>0.12356547346926014</v>
      </c>
      <c r="AU327" s="55">
        <f t="shared" si="433"/>
        <v>0.12635805316966542</v>
      </c>
      <c r="AV327" s="55">
        <f t="shared" si="433"/>
        <v>0.12921374517129985</v>
      </c>
      <c r="AW327" s="55">
        <f t="shared" si="433"/>
        <v>0.13213397581217126</v>
      </c>
      <c r="AX327" s="55">
        <f t="shared" si="433"/>
        <v>0.1351202036655263</v>
      </c>
      <c r="AY327" s="55">
        <f t="shared" si="433"/>
        <v>0.13817392026836717</v>
      </c>
      <c r="AZ327" s="55">
        <f t="shared" si="433"/>
        <v>0.14129665086643228</v>
      </c>
      <c r="BA327" s="55">
        <f t="shared" si="433"/>
        <v>0.14448995517601365</v>
      </c>
      <c r="BB327" s="55">
        <f t="shared" si="433"/>
        <v>0</v>
      </c>
      <c r="BC327" s="55">
        <f t="shared" si="433"/>
        <v>0</v>
      </c>
      <c r="BD327" s="55">
        <f t="shared" si="433"/>
        <v>0</v>
      </c>
      <c r="BE327" s="55">
        <f t="shared" si="433"/>
        <v>0</v>
      </c>
      <c r="BF327" s="55">
        <f t="shared" si="433"/>
        <v>0</v>
      </c>
      <c r="BG327" s="55">
        <f t="shared" si="433"/>
        <v>0</v>
      </c>
      <c r="BH327" s="55">
        <f t="shared" si="433"/>
        <v>0</v>
      </c>
      <c r="BI327" s="55">
        <f t="shared" si="433"/>
        <v>0</v>
      </c>
      <c r="BJ327" s="55">
        <f t="shared" si="433"/>
        <v>0</v>
      </c>
    </row>
    <row r="328" spans="1:62" x14ac:dyDescent="0.3">
      <c r="A328" s="53" t="str">
        <f t="shared" si="375"/>
        <v>project 193</v>
      </c>
      <c r="C328" s="55">
        <f t="shared" ref="C328:AH328" si="434">IF(AND(C$127&gt;=$K117,C$127&lt;=$L117),$G117*(1+$H117)^(C$127-$B$5),0)</f>
        <v>0</v>
      </c>
      <c r="D328" s="55">
        <f t="shared" si="434"/>
        <v>5.7450855800203524E-2</v>
      </c>
      <c r="E328" s="55">
        <f t="shared" si="434"/>
        <v>5.8289638294886488E-2</v>
      </c>
      <c r="F328" s="55">
        <f t="shared" si="434"/>
        <v>5.9140667013991823E-2</v>
      </c>
      <c r="G328" s="55">
        <f t="shared" si="434"/>
        <v>6.0004120752396105E-2</v>
      </c>
      <c r="H328" s="55">
        <f t="shared" si="434"/>
        <v>6.0880180915381076E-2</v>
      </c>
      <c r="I328" s="55">
        <f t="shared" si="434"/>
        <v>6.1769031556745638E-2</v>
      </c>
      <c r="J328" s="55">
        <f t="shared" si="434"/>
        <v>6.267085941747412E-2</v>
      </c>
      <c r="K328" s="55">
        <f t="shared" si="434"/>
        <v>6.3585853964969241E-2</v>
      </c>
      <c r="L328" s="55">
        <f t="shared" si="434"/>
        <v>6.4514207432857781E-2</v>
      </c>
      <c r="M328" s="55">
        <f t="shared" si="434"/>
        <v>6.5456114861377493E-2</v>
      </c>
      <c r="N328" s="55">
        <f t="shared" si="434"/>
        <v>6.6411774138353599E-2</v>
      </c>
      <c r="O328" s="55">
        <f t="shared" si="434"/>
        <v>6.7381386040773553E-2</v>
      </c>
      <c r="P328" s="55">
        <f t="shared" si="434"/>
        <v>6.8365154276968848E-2</v>
      </c>
      <c r="Q328" s="55">
        <f t="shared" si="434"/>
        <v>6.9363285529412594E-2</v>
      </c>
      <c r="R328" s="55">
        <f t="shared" si="434"/>
        <v>7.0375989498142E-2</v>
      </c>
      <c r="S328" s="55">
        <f t="shared" si="434"/>
        <v>7.1403478944814885E-2</v>
      </c>
      <c r="T328" s="55">
        <f t="shared" si="434"/>
        <v>7.2445969737409174E-2</v>
      </c>
      <c r="U328" s="55">
        <f t="shared" si="434"/>
        <v>7.3503680895575338E-2</v>
      </c>
      <c r="V328" s="55">
        <f t="shared" si="434"/>
        <v>7.4576834636650727E-2</v>
      </c>
      <c r="W328" s="55">
        <f t="shared" si="434"/>
        <v>7.5665656422345823E-2</v>
      </c>
      <c r="X328" s="55">
        <f t="shared" si="434"/>
        <v>7.6770375006112071E-2</v>
      </c>
      <c r="Y328" s="55">
        <f t="shared" si="434"/>
        <v>7.7891222481201297E-2</v>
      </c>
      <c r="Z328" s="55">
        <f t="shared" si="434"/>
        <v>7.9028434329426828E-2</v>
      </c>
      <c r="AA328" s="55">
        <f t="shared" si="434"/>
        <v>8.0182249470636457E-2</v>
      </c>
      <c r="AB328" s="55">
        <f t="shared" si="434"/>
        <v>8.1352910312907742E-2</v>
      </c>
      <c r="AC328" s="55">
        <f t="shared" si="434"/>
        <v>8.2540662803476189E-2</v>
      </c>
      <c r="AD328" s="55">
        <f t="shared" si="434"/>
        <v>8.3745756480406941E-2</v>
      </c>
      <c r="AE328" s="55">
        <f t="shared" si="434"/>
        <v>8.4968444525020864E-2</v>
      </c>
      <c r="AF328" s="55">
        <f t="shared" si="434"/>
        <v>8.6208983815086168E-2</v>
      </c>
      <c r="AG328" s="55">
        <f t="shared" si="434"/>
        <v>8.7467634978786415E-2</v>
      </c>
      <c r="AH328" s="55">
        <f t="shared" si="434"/>
        <v>8.874466244947668E-2</v>
      </c>
      <c r="AI328" s="55">
        <f t="shared" ref="AI328:BJ328" si="435">IF(AND(AI$127&gt;=$K117,AI$127&lt;=$L117),$G117*(1+$H117)^(AI$127-$B$5),0)</f>
        <v>9.0040334521239052E-2</v>
      </c>
      <c r="AJ328" s="55">
        <f t="shared" si="435"/>
        <v>9.135492340524913E-2</v>
      </c>
      <c r="AK328" s="55">
        <f t="shared" si="435"/>
        <v>9.2688705286965753E-2</v>
      </c>
      <c r="AL328" s="55">
        <f t="shared" si="435"/>
        <v>9.4041960384155437E-2</v>
      </c>
      <c r="AM328" s="55">
        <f t="shared" si="435"/>
        <v>9.5414973005764112E-2</v>
      </c>
      <c r="AN328" s="55">
        <f t="shared" si="435"/>
        <v>9.6808031611648263E-2</v>
      </c>
      <c r="AO328" s="55">
        <f t="shared" si="435"/>
        <v>9.8221428873178307E-2</v>
      </c>
      <c r="AP328" s="55">
        <f t="shared" si="435"/>
        <v>9.9655461734726711E-2</v>
      </c>
      <c r="AQ328" s="55">
        <f t="shared" si="435"/>
        <v>0.10111043147605371</v>
      </c>
      <c r="AR328" s="55">
        <f t="shared" si="435"/>
        <v>0</v>
      </c>
      <c r="AS328" s="55">
        <f t="shared" si="435"/>
        <v>0</v>
      </c>
      <c r="AT328" s="55">
        <f t="shared" si="435"/>
        <v>0</v>
      </c>
      <c r="AU328" s="55">
        <f t="shared" si="435"/>
        <v>0</v>
      </c>
      <c r="AV328" s="55">
        <f t="shared" si="435"/>
        <v>0</v>
      </c>
      <c r="AW328" s="55">
        <f t="shared" si="435"/>
        <v>0</v>
      </c>
      <c r="AX328" s="55">
        <f t="shared" si="435"/>
        <v>0</v>
      </c>
      <c r="AY328" s="55">
        <f t="shared" si="435"/>
        <v>0</v>
      </c>
      <c r="AZ328" s="55">
        <f t="shared" si="435"/>
        <v>0</v>
      </c>
      <c r="BA328" s="55">
        <f t="shared" si="435"/>
        <v>0</v>
      </c>
      <c r="BB328" s="55">
        <f t="shared" si="435"/>
        <v>0</v>
      </c>
      <c r="BC328" s="55">
        <f t="shared" si="435"/>
        <v>0</v>
      </c>
      <c r="BD328" s="55">
        <f t="shared" si="435"/>
        <v>0</v>
      </c>
      <c r="BE328" s="55">
        <f t="shared" si="435"/>
        <v>0</v>
      </c>
      <c r="BF328" s="55">
        <f t="shared" si="435"/>
        <v>0</v>
      </c>
      <c r="BG328" s="55">
        <f t="shared" si="435"/>
        <v>0</v>
      </c>
      <c r="BH328" s="55">
        <f t="shared" si="435"/>
        <v>0</v>
      </c>
      <c r="BI328" s="55">
        <f t="shared" si="435"/>
        <v>0</v>
      </c>
      <c r="BJ328" s="55">
        <f t="shared" si="435"/>
        <v>0</v>
      </c>
    </row>
    <row r="329" spans="1:62" x14ac:dyDescent="0.3">
      <c r="A329" s="53" t="str">
        <f t="shared" si="375"/>
        <v>project 195</v>
      </c>
      <c r="C329" s="55">
        <f t="shared" ref="C329:AH329" si="436">IF(AND(C$127&gt;=$K118,C$127&lt;=$L118),$G118*(1+$H118)^(C$127-$B$5),0)</f>
        <v>0</v>
      </c>
      <c r="D329" s="55">
        <f t="shared" si="436"/>
        <v>0</v>
      </c>
      <c r="E329" s="55">
        <f t="shared" si="436"/>
        <v>0</v>
      </c>
      <c r="F329" s="55">
        <f t="shared" si="436"/>
        <v>0</v>
      </c>
      <c r="G329" s="55">
        <f t="shared" si="436"/>
        <v>0</v>
      </c>
      <c r="H329" s="55">
        <f t="shared" si="436"/>
        <v>0</v>
      </c>
      <c r="I329" s="55">
        <f t="shared" si="436"/>
        <v>0</v>
      </c>
      <c r="J329" s="55">
        <f t="shared" si="436"/>
        <v>0</v>
      </c>
      <c r="K329" s="55">
        <f t="shared" si="436"/>
        <v>0</v>
      </c>
      <c r="L329" s="55">
        <f t="shared" si="436"/>
        <v>0</v>
      </c>
      <c r="M329" s="55">
        <f t="shared" si="436"/>
        <v>0</v>
      </c>
      <c r="N329" s="55">
        <f t="shared" si="436"/>
        <v>0</v>
      </c>
      <c r="O329" s="55">
        <f t="shared" si="436"/>
        <v>0</v>
      </c>
      <c r="P329" s="55">
        <f t="shared" si="436"/>
        <v>0</v>
      </c>
      <c r="Q329" s="55">
        <f t="shared" si="436"/>
        <v>0</v>
      </c>
      <c r="R329" s="55">
        <f t="shared" si="436"/>
        <v>0</v>
      </c>
      <c r="S329" s="55">
        <f t="shared" si="436"/>
        <v>0</v>
      </c>
      <c r="T329" s="55">
        <f t="shared" si="436"/>
        <v>0</v>
      </c>
      <c r="U329" s="55">
        <f t="shared" si="436"/>
        <v>0.10048616490660484</v>
      </c>
      <c r="V329" s="55">
        <f t="shared" si="436"/>
        <v>0.10330982614048043</v>
      </c>
      <c r="W329" s="55">
        <f t="shared" si="436"/>
        <v>0.10621283225502792</v>
      </c>
      <c r="X329" s="55">
        <f t="shared" si="436"/>
        <v>0.1091974128413942</v>
      </c>
      <c r="Y329" s="55">
        <f t="shared" si="436"/>
        <v>0.11226586014223738</v>
      </c>
      <c r="Z329" s="55">
        <f t="shared" si="436"/>
        <v>0.11542053081223426</v>
      </c>
      <c r="AA329" s="55">
        <f t="shared" si="436"/>
        <v>0.11866384772805806</v>
      </c>
      <c r="AB329" s="55">
        <f t="shared" si="436"/>
        <v>0.12199830184921648</v>
      </c>
      <c r="AC329" s="55">
        <f t="shared" si="436"/>
        <v>0.12542645413117945</v>
      </c>
      <c r="AD329" s="55">
        <f t="shared" si="436"/>
        <v>0.12895093749226563</v>
      </c>
      <c r="AE329" s="55">
        <f t="shared" si="436"/>
        <v>0.13257445883579827</v>
      </c>
      <c r="AF329" s="55">
        <f t="shared" si="436"/>
        <v>0.13629980112908419</v>
      </c>
      <c r="AG329" s="55">
        <f t="shared" si="436"/>
        <v>0.14012982554081146</v>
      </c>
      <c r="AH329" s="55">
        <f t="shared" si="436"/>
        <v>0.14406747363850828</v>
      </c>
      <c r="AI329" s="55">
        <f t="shared" ref="AI329:BJ329" si="437">IF(AND(AI$127&gt;=$K118,AI$127&lt;=$L118),$G118*(1+$H118)^(AI$127-$B$5),0)</f>
        <v>0.14811576964775036</v>
      </c>
      <c r="AJ329" s="55">
        <f t="shared" si="437"/>
        <v>0.15227782277485216</v>
      </c>
      <c r="AK329" s="55">
        <f t="shared" si="437"/>
        <v>0.1565568295948255</v>
      </c>
      <c r="AL329" s="55">
        <f t="shared" si="437"/>
        <v>0.16095607650644012</v>
      </c>
      <c r="AM329" s="55">
        <f t="shared" si="437"/>
        <v>0.16547894225627105</v>
      </c>
      <c r="AN329" s="55">
        <f t="shared" si="437"/>
        <v>0.17012890053367227</v>
      </c>
      <c r="AO329" s="55">
        <f t="shared" si="437"/>
        <v>0.17490952263866844</v>
      </c>
      <c r="AP329" s="55">
        <f t="shared" si="437"/>
        <v>0.17982448022481506</v>
      </c>
      <c r="AQ329" s="55">
        <f t="shared" si="437"/>
        <v>0.18487754811913237</v>
      </c>
      <c r="AR329" s="55">
        <f t="shared" si="437"/>
        <v>0.19007260722128</v>
      </c>
      <c r="AS329" s="55">
        <f t="shared" si="437"/>
        <v>0.19541364748419793</v>
      </c>
      <c r="AT329" s="55">
        <f t="shared" si="437"/>
        <v>0.20090477097850393</v>
      </c>
      <c r="AU329" s="55">
        <f t="shared" si="437"/>
        <v>0.20655019504299987</v>
      </c>
      <c r="AV329" s="55">
        <f t="shared" si="437"/>
        <v>0.21235425552370818</v>
      </c>
      <c r="AW329" s="55">
        <f t="shared" si="437"/>
        <v>0.21832141010392436</v>
      </c>
      <c r="AX329" s="55">
        <f t="shared" si="437"/>
        <v>0.22445624172784467</v>
      </c>
      <c r="AY329" s="55">
        <f t="shared" si="437"/>
        <v>0.23076346212039711</v>
      </c>
      <c r="AZ329" s="55">
        <f t="shared" si="437"/>
        <v>0.23724791540598028</v>
      </c>
      <c r="BA329" s="55">
        <f t="shared" si="437"/>
        <v>0.24391458182888834</v>
      </c>
      <c r="BB329" s="55">
        <f t="shared" si="437"/>
        <v>0.25076858157828008</v>
      </c>
      <c r="BC329" s="55">
        <f t="shared" si="437"/>
        <v>0.25781517872062976</v>
      </c>
      <c r="BD329" s="55">
        <f t="shared" si="437"/>
        <v>0.26505978524267942</v>
      </c>
      <c r="BE329" s="55">
        <f t="shared" si="437"/>
        <v>0.27250796520799869</v>
      </c>
      <c r="BF329" s="55">
        <f t="shared" si="437"/>
        <v>0.28016543903034347</v>
      </c>
      <c r="BG329" s="55">
        <f t="shared" si="437"/>
        <v>0.28803808786709617</v>
      </c>
      <c r="BH329" s="55">
        <f t="shared" si="437"/>
        <v>0.29613195813616155</v>
      </c>
      <c r="BI329" s="55">
        <f t="shared" si="437"/>
        <v>0</v>
      </c>
      <c r="BJ329" s="55">
        <f t="shared" si="437"/>
        <v>0</v>
      </c>
    </row>
    <row r="330" spans="1:62" x14ac:dyDescent="0.3">
      <c r="A330" s="53" t="str">
        <f t="shared" si="375"/>
        <v>project 200</v>
      </c>
      <c r="C330" s="55">
        <f t="shared" ref="C330:AH330" si="438">IF(AND(C$127&gt;=$K119,C$127&lt;=$L119),$G119*(1+$H119)^(C$127-$B$5),0)</f>
        <v>0</v>
      </c>
      <c r="D330" s="55">
        <f t="shared" si="438"/>
        <v>0</v>
      </c>
      <c r="E330" s="55">
        <f t="shared" si="438"/>
        <v>0</v>
      </c>
      <c r="F330" s="55">
        <f t="shared" si="438"/>
        <v>0</v>
      </c>
      <c r="G330" s="55">
        <f t="shared" si="438"/>
        <v>0</v>
      </c>
      <c r="H330" s="55">
        <f t="shared" si="438"/>
        <v>0</v>
      </c>
      <c r="I330" s="55">
        <f t="shared" si="438"/>
        <v>0</v>
      </c>
      <c r="J330" s="55">
        <f t="shared" si="438"/>
        <v>0</v>
      </c>
      <c r="K330" s="55">
        <f t="shared" si="438"/>
        <v>0</v>
      </c>
      <c r="L330" s="55">
        <f t="shared" si="438"/>
        <v>0</v>
      </c>
      <c r="M330" s="55">
        <f t="shared" si="438"/>
        <v>0</v>
      </c>
      <c r="N330" s="55">
        <f t="shared" si="438"/>
        <v>0</v>
      </c>
      <c r="O330" s="55">
        <f t="shared" si="438"/>
        <v>0</v>
      </c>
      <c r="P330" s="55">
        <f t="shared" si="438"/>
        <v>0</v>
      </c>
      <c r="Q330" s="55">
        <f t="shared" si="438"/>
        <v>0</v>
      </c>
      <c r="R330" s="55">
        <f t="shared" si="438"/>
        <v>8.6562164206048245E-2</v>
      </c>
      <c r="S330" s="55">
        <f t="shared" si="438"/>
        <v>8.8916655072452735E-2</v>
      </c>
      <c r="T330" s="55">
        <f t="shared" si="438"/>
        <v>9.1335188090423444E-2</v>
      </c>
      <c r="U330" s="55">
        <f t="shared" si="438"/>
        <v>9.3819505206482953E-2</v>
      </c>
      <c r="V330" s="55">
        <f t="shared" si="438"/>
        <v>9.6371395748099289E-2</v>
      </c>
      <c r="W330" s="55">
        <f t="shared" si="438"/>
        <v>9.8992697712447578E-2</v>
      </c>
      <c r="X330" s="55">
        <f t="shared" si="438"/>
        <v>0.10168529909022614</v>
      </c>
      <c r="Y330" s="55">
        <f t="shared" si="438"/>
        <v>0.10445113922548029</v>
      </c>
      <c r="Z330" s="55">
        <f t="shared" si="438"/>
        <v>0.10729221021241335</v>
      </c>
      <c r="AA330" s="55">
        <f t="shared" si="438"/>
        <v>0.11021055833019096</v>
      </c>
      <c r="AB330" s="55">
        <f t="shared" si="438"/>
        <v>0.11320828551677213</v>
      </c>
      <c r="AC330" s="55">
        <f t="shared" si="438"/>
        <v>0.11628755088282833</v>
      </c>
      <c r="AD330" s="55">
        <f t="shared" si="438"/>
        <v>0.11945057226684125</v>
      </c>
      <c r="AE330" s="55">
        <f t="shared" si="438"/>
        <v>0.12269962783249931</v>
      </c>
      <c r="AF330" s="55">
        <f t="shared" si="438"/>
        <v>0.12603705770954329</v>
      </c>
      <c r="AG330" s="55">
        <f t="shared" si="438"/>
        <v>0.12946526567924285</v>
      </c>
      <c r="AH330" s="55">
        <f t="shared" si="438"/>
        <v>0.13298672090571825</v>
      </c>
      <c r="AI330" s="55">
        <f t="shared" ref="AI330:BJ330" si="439">IF(AND(AI$127&gt;=$K119,AI$127&lt;=$L119),$G119*(1+$H119)^(AI$127-$B$5),0)</f>
        <v>0.13660395971435377</v>
      </c>
      <c r="AJ330" s="55">
        <f t="shared" si="439"/>
        <v>0.14031958741858419</v>
      </c>
      <c r="AK330" s="55">
        <f t="shared" si="439"/>
        <v>0.14413628019636965</v>
      </c>
      <c r="AL330" s="55">
        <f t="shared" si="439"/>
        <v>0.14805678701771091</v>
      </c>
      <c r="AM330" s="55">
        <f t="shared" si="439"/>
        <v>0.15208393162459263</v>
      </c>
      <c r="AN330" s="55">
        <f t="shared" si="439"/>
        <v>0.15622061456478151</v>
      </c>
      <c r="AO330" s="55">
        <f t="shared" si="439"/>
        <v>0.16046981528094356</v>
      </c>
      <c r="AP330" s="55">
        <f t="shared" si="439"/>
        <v>0.16483459425658523</v>
      </c>
      <c r="AQ330" s="55">
        <f t="shared" si="439"/>
        <v>0.16931809522036431</v>
      </c>
      <c r="AR330" s="55">
        <f t="shared" si="439"/>
        <v>0.1739235474103582</v>
      </c>
      <c r="AS330" s="55">
        <f t="shared" si="439"/>
        <v>0.17865426789991995</v>
      </c>
      <c r="AT330" s="55">
        <f t="shared" si="439"/>
        <v>0.18351366398679775</v>
      </c>
      <c r="AU330" s="55">
        <f t="shared" si="439"/>
        <v>0.18850523564723859</v>
      </c>
      <c r="AV330" s="55">
        <f t="shared" si="439"/>
        <v>0.19363257805684347</v>
      </c>
      <c r="AW330" s="55">
        <f t="shared" si="439"/>
        <v>0.19889938417998959</v>
      </c>
      <c r="AX330" s="55">
        <f t="shared" si="439"/>
        <v>0.20430944742968532</v>
      </c>
      <c r="AY330" s="55">
        <f t="shared" si="439"/>
        <v>0.20986666439977272</v>
      </c>
      <c r="AZ330" s="55">
        <f t="shared" si="439"/>
        <v>0.21557503767144651</v>
      </c>
      <c r="BA330" s="55">
        <f t="shared" si="439"/>
        <v>0.22143867869610986</v>
      </c>
      <c r="BB330" s="55">
        <f t="shared" si="439"/>
        <v>0.22746181075664404</v>
      </c>
      <c r="BC330" s="55">
        <f t="shared" si="439"/>
        <v>0.23364877200922468</v>
      </c>
      <c r="BD330" s="55">
        <f t="shared" si="439"/>
        <v>0.2400040186078756</v>
      </c>
      <c r="BE330" s="55">
        <f t="shared" si="439"/>
        <v>0.24653212791400983</v>
      </c>
      <c r="BF330" s="55">
        <f t="shared" si="439"/>
        <v>0</v>
      </c>
      <c r="BG330" s="55">
        <f t="shared" si="439"/>
        <v>0</v>
      </c>
      <c r="BH330" s="55">
        <f t="shared" si="439"/>
        <v>0</v>
      </c>
      <c r="BI330" s="55">
        <f t="shared" si="439"/>
        <v>0</v>
      </c>
      <c r="BJ330" s="55">
        <f t="shared" si="439"/>
        <v>0</v>
      </c>
    </row>
    <row r="331" spans="1:62" x14ac:dyDescent="0.3">
      <c r="A331" s="53" t="str">
        <f t="shared" ref="A331:A362" si="440">A120</f>
        <v>project 204</v>
      </c>
      <c r="C331" s="55">
        <f t="shared" ref="C331:AH331" si="441">IF(AND(C$127&gt;=$K120,C$127&lt;=$L120),$G120*(1+$H120)^(C$127-$B$5),0)</f>
        <v>0</v>
      </c>
      <c r="D331" s="55">
        <f t="shared" si="441"/>
        <v>0</v>
      </c>
      <c r="E331" s="55">
        <f t="shared" si="441"/>
        <v>0</v>
      </c>
      <c r="F331" s="55">
        <f t="shared" si="441"/>
        <v>0</v>
      </c>
      <c r="G331" s="55">
        <f t="shared" si="441"/>
        <v>0</v>
      </c>
      <c r="H331" s="55">
        <f t="shared" si="441"/>
        <v>0</v>
      </c>
      <c r="I331" s="55">
        <f t="shared" si="441"/>
        <v>0</v>
      </c>
      <c r="J331" s="55">
        <f t="shared" si="441"/>
        <v>0</v>
      </c>
      <c r="K331" s="55">
        <f t="shared" si="441"/>
        <v>0</v>
      </c>
      <c r="L331" s="55">
        <f t="shared" si="441"/>
        <v>1.4513262703345946E-2</v>
      </c>
      <c r="M331" s="55">
        <f t="shared" si="441"/>
        <v>1.4678713898164093E-2</v>
      </c>
      <c r="N331" s="55">
        <f t="shared" si="441"/>
        <v>1.4846051236603163E-2</v>
      </c>
      <c r="O331" s="55">
        <f t="shared" si="441"/>
        <v>1.501529622070044E-2</v>
      </c>
      <c r="P331" s="55">
        <f t="shared" si="441"/>
        <v>1.5186470597616427E-2</v>
      </c>
      <c r="Q331" s="55">
        <f t="shared" si="441"/>
        <v>1.5359596362429258E-2</v>
      </c>
      <c r="R331" s="55">
        <f t="shared" si="441"/>
        <v>1.5534695760960948E-2</v>
      </c>
      <c r="S331" s="55">
        <f t="shared" si="441"/>
        <v>1.5711791292635908E-2</v>
      </c>
      <c r="T331" s="55">
        <f t="shared" si="441"/>
        <v>1.5890905713371959E-2</v>
      </c>
      <c r="U331" s="55">
        <f t="shared" si="441"/>
        <v>1.6072062038504399E-2</v>
      </c>
      <c r="V331" s="55">
        <f t="shared" si="441"/>
        <v>1.6255283545743349E-2</v>
      </c>
      <c r="W331" s="55">
        <f t="shared" si="441"/>
        <v>1.6440593778164824E-2</v>
      </c>
      <c r="X331" s="55">
        <f t="shared" si="441"/>
        <v>1.6628016547235905E-2</v>
      </c>
      <c r="Y331" s="55">
        <f t="shared" si="441"/>
        <v>1.6817575935874397E-2</v>
      </c>
      <c r="Z331" s="55">
        <f t="shared" si="441"/>
        <v>1.7009296301543363E-2</v>
      </c>
      <c r="AA331" s="55">
        <f t="shared" si="441"/>
        <v>1.720320227938096E-2</v>
      </c>
      <c r="AB331" s="55">
        <f t="shared" si="441"/>
        <v>1.7399318785365905E-2</v>
      </c>
      <c r="AC331" s="55">
        <f t="shared" si="441"/>
        <v>1.7597671019519076E-2</v>
      </c>
      <c r="AD331" s="55">
        <f t="shared" si="441"/>
        <v>1.7798284469141595E-2</v>
      </c>
      <c r="AE331" s="55">
        <f t="shared" si="441"/>
        <v>1.800118491208981E-2</v>
      </c>
      <c r="AF331" s="55">
        <f t="shared" si="441"/>
        <v>1.8206398420087633E-2</v>
      </c>
      <c r="AG331" s="55">
        <f t="shared" si="441"/>
        <v>1.8413951362076641E-2</v>
      </c>
      <c r="AH331" s="55">
        <f t="shared" si="441"/>
        <v>1.8623870407604309E-2</v>
      </c>
      <c r="AI331" s="55">
        <f t="shared" ref="AI331:BJ331" si="442">IF(AND(AI$127&gt;=$K120,AI$127&lt;=$L120),$G120*(1+$H120)^(AI$127-$B$5),0)</f>
        <v>1.8836182530251003E-2</v>
      </c>
      <c r="AJ331" s="55">
        <f t="shared" si="442"/>
        <v>1.9050915011095865E-2</v>
      </c>
      <c r="AK331" s="55">
        <f t="shared" si="442"/>
        <v>1.9268095442222362E-2</v>
      </c>
      <c r="AL331" s="55">
        <f t="shared" si="442"/>
        <v>1.9487751730263694E-2</v>
      </c>
      <c r="AM331" s="55">
        <f t="shared" si="442"/>
        <v>1.9709912099988704E-2</v>
      </c>
      <c r="AN331" s="55">
        <f t="shared" si="442"/>
        <v>1.9934605097928576E-2</v>
      </c>
      <c r="AO331" s="55">
        <f t="shared" si="442"/>
        <v>2.0161859596044964E-2</v>
      </c>
      <c r="AP331" s="55">
        <f t="shared" si="442"/>
        <v>2.0391704795439874E-2</v>
      </c>
      <c r="AQ331" s="55">
        <f t="shared" si="442"/>
        <v>2.0624170230107895E-2</v>
      </c>
      <c r="AR331" s="55">
        <f t="shared" si="442"/>
        <v>2.0859285770731123E-2</v>
      </c>
      <c r="AS331" s="55">
        <f t="shared" si="442"/>
        <v>2.109708162851746E-2</v>
      </c>
      <c r="AT331" s="55">
        <f t="shared" si="442"/>
        <v>2.133758835908256E-2</v>
      </c>
      <c r="AU331" s="55">
        <f t="shared" si="442"/>
        <v>2.1580836866376102E-2</v>
      </c>
      <c r="AV331" s="55">
        <f t="shared" si="442"/>
        <v>2.1826858406652796E-2</v>
      </c>
      <c r="AW331" s="55">
        <f t="shared" si="442"/>
        <v>2.207568459248864E-2</v>
      </c>
      <c r="AX331" s="55">
        <f t="shared" si="442"/>
        <v>2.2327347396843007E-2</v>
      </c>
      <c r="AY331" s="55">
        <f t="shared" si="442"/>
        <v>2.2581879157167022E-2</v>
      </c>
      <c r="AZ331" s="55">
        <f t="shared" si="442"/>
        <v>0</v>
      </c>
      <c r="BA331" s="55">
        <f t="shared" si="442"/>
        <v>0</v>
      </c>
      <c r="BB331" s="55">
        <f t="shared" si="442"/>
        <v>0</v>
      </c>
      <c r="BC331" s="55">
        <f t="shared" si="442"/>
        <v>0</v>
      </c>
      <c r="BD331" s="55">
        <f t="shared" si="442"/>
        <v>0</v>
      </c>
      <c r="BE331" s="55">
        <f t="shared" si="442"/>
        <v>0</v>
      </c>
      <c r="BF331" s="55">
        <f t="shared" si="442"/>
        <v>0</v>
      </c>
      <c r="BG331" s="55">
        <f t="shared" si="442"/>
        <v>0</v>
      </c>
      <c r="BH331" s="55">
        <f t="shared" si="442"/>
        <v>0</v>
      </c>
      <c r="BI331" s="55">
        <f t="shared" si="442"/>
        <v>0</v>
      </c>
      <c r="BJ331" s="55">
        <f t="shared" si="442"/>
        <v>0</v>
      </c>
    </row>
    <row r="332" spans="1:62" x14ac:dyDescent="0.3">
      <c r="A332" s="53" t="str">
        <f t="shared" si="440"/>
        <v>project 211</v>
      </c>
      <c r="C332" s="55">
        <f t="shared" ref="C332:AH332" si="443">IF(AND(C$127&gt;=$K121,C$127&lt;=$L121),$G121*(1+$H121)^(C$127-$B$5),0)</f>
        <v>0</v>
      </c>
      <c r="D332" s="55">
        <f t="shared" si="443"/>
        <v>8.7865450802867787E-3</v>
      </c>
      <c r="E332" s="55">
        <f t="shared" si="443"/>
        <v>8.9165859474750215E-3</v>
      </c>
      <c r="F332" s="55">
        <f t="shared" si="443"/>
        <v>9.0485514194976521E-3</v>
      </c>
      <c r="G332" s="55">
        <f t="shared" si="443"/>
        <v>9.1824699805062165E-3</v>
      </c>
      <c r="H332" s="55">
        <f t="shared" si="443"/>
        <v>9.3183705362177068E-3</v>
      </c>
      <c r="I332" s="55">
        <f t="shared" si="443"/>
        <v>9.4562824201537277E-3</v>
      </c>
      <c r="J332" s="55">
        <f t="shared" si="443"/>
        <v>9.5962353999720033E-3</v>
      </c>
      <c r="K332" s="55">
        <f t="shared" si="443"/>
        <v>9.7382596838915866E-3</v>
      </c>
      <c r="L332" s="55">
        <f t="shared" si="443"/>
        <v>9.8823859272131817E-3</v>
      </c>
      <c r="M332" s="55">
        <f t="shared" si="443"/>
        <v>1.0028645238935936E-2</v>
      </c>
      <c r="N332" s="55">
        <f t="shared" si="443"/>
        <v>1.0177069188472188E-2</v>
      </c>
      <c r="O332" s="55">
        <f t="shared" si="443"/>
        <v>1.0327689812461575E-2</v>
      </c>
      <c r="P332" s="55">
        <f t="shared" si="443"/>
        <v>1.0480539621686005E-2</v>
      </c>
      <c r="Q332" s="55">
        <f t="shared" si="443"/>
        <v>1.0635651608086957E-2</v>
      </c>
      <c r="R332" s="55">
        <f t="shared" si="443"/>
        <v>1.0793059251886646E-2</v>
      </c>
      <c r="S332" s="55">
        <f t="shared" si="443"/>
        <v>1.0952796528814564E-2</v>
      </c>
      <c r="T332" s="55">
        <f t="shared" si="443"/>
        <v>1.1114897917441019E-2</v>
      </c>
      <c r="U332" s="55">
        <f t="shared" si="443"/>
        <v>1.1279398406619144E-2</v>
      </c>
      <c r="V332" s="55">
        <f t="shared" si="443"/>
        <v>1.144633350303711E-2</v>
      </c>
      <c r="W332" s="55">
        <f t="shared" si="443"/>
        <v>1.1615739238882056E-2</v>
      </c>
      <c r="X332" s="55">
        <f t="shared" si="443"/>
        <v>1.1787652179617511E-2</v>
      </c>
      <c r="Y332" s="55">
        <f t="shared" si="443"/>
        <v>1.1962109431875848E-2</v>
      </c>
      <c r="Z332" s="55">
        <f t="shared" si="443"/>
        <v>1.213914865146761E-2</v>
      </c>
      <c r="AA332" s="55">
        <f t="shared" si="443"/>
        <v>1.2318808051509329E-2</v>
      </c>
      <c r="AB332" s="55">
        <f t="shared" si="443"/>
        <v>1.2501126410671666E-2</v>
      </c>
      <c r="AC332" s="55">
        <f t="shared" si="443"/>
        <v>1.2686143081549604E-2</v>
      </c>
      <c r="AD332" s="55">
        <f t="shared" si="443"/>
        <v>1.2873897999156539E-2</v>
      </c>
      <c r="AE332" s="55">
        <f t="shared" si="443"/>
        <v>1.3064431689544053E-2</v>
      </c>
      <c r="AF332" s="55">
        <f t="shared" si="443"/>
        <v>1.3257785278549306E-2</v>
      </c>
      <c r="AG332" s="55">
        <f t="shared" si="443"/>
        <v>1.3454000500671835E-2</v>
      </c>
      <c r="AH332" s="55">
        <f t="shared" si="443"/>
        <v>1.3653119708081777E-2</v>
      </c>
      <c r="AI332" s="55">
        <f t="shared" ref="AI332:BJ332" si="444">IF(AND(AI$127&gt;=$K121,AI$127&lt;=$L121),$G121*(1+$H121)^(AI$127-$B$5),0)</f>
        <v>1.3855185879761384E-2</v>
      </c>
      <c r="AJ332" s="55">
        <f t="shared" si="444"/>
        <v>1.4060242630781851E-2</v>
      </c>
      <c r="AK332" s="55">
        <f t="shared" si="444"/>
        <v>1.4268334221717421E-2</v>
      </c>
      <c r="AL332" s="55">
        <f t="shared" si="444"/>
        <v>1.4479505568198839E-2</v>
      </c>
      <c r="AM332" s="55">
        <f t="shared" si="444"/>
        <v>1.4693802250608179E-2</v>
      </c>
      <c r="AN332" s="55">
        <f t="shared" si="444"/>
        <v>1.491127052391718E-2</v>
      </c>
      <c r="AO332" s="55">
        <f t="shared" si="444"/>
        <v>1.5131957327671152E-2</v>
      </c>
      <c r="AP332" s="55">
        <f t="shared" si="444"/>
        <v>1.5355910296120686E-2</v>
      </c>
      <c r="AQ332" s="55">
        <f t="shared" si="444"/>
        <v>1.5583177768503268E-2</v>
      </c>
      <c r="AR332" s="55">
        <f t="shared" si="444"/>
        <v>0</v>
      </c>
      <c r="AS332" s="55">
        <f t="shared" si="444"/>
        <v>0</v>
      </c>
      <c r="AT332" s="55">
        <f t="shared" si="444"/>
        <v>0</v>
      </c>
      <c r="AU332" s="55">
        <f t="shared" si="444"/>
        <v>0</v>
      </c>
      <c r="AV332" s="55">
        <f t="shared" si="444"/>
        <v>0</v>
      </c>
      <c r="AW332" s="55">
        <f t="shared" si="444"/>
        <v>0</v>
      </c>
      <c r="AX332" s="55">
        <f t="shared" si="444"/>
        <v>0</v>
      </c>
      <c r="AY332" s="55">
        <f t="shared" si="444"/>
        <v>0</v>
      </c>
      <c r="AZ332" s="55">
        <f t="shared" si="444"/>
        <v>0</v>
      </c>
      <c r="BA332" s="55">
        <f t="shared" si="444"/>
        <v>0</v>
      </c>
      <c r="BB332" s="55">
        <f t="shared" si="444"/>
        <v>0</v>
      </c>
      <c r="BC332" s="55">
        <f t="shared" si="444"/>
        <v>0</v>
      </c>
      <c r="BD332" s="55">
        <f t="shared" si="444"/>
        <v>0</v>
      </c>
      <c r="BE332" s="55">
        <f t="shared" si="444"/>
        <v>0</v>
      </c>
      <c r="BF332" s="55">
        <f t="shared" si="444"/>
        <v>0</v>
      </c>
      <c r="BG332" s="55">
        <f t="shared" si="444"/>
        <v>0</v>
      </c>
      <c r="BH332" s="55">
        <f t="shared" si="444"/>
        <v>0</v>
      </c>
      <c r="BI332" s="55">
        <f t="shared" si="444"/>
        <v>0</v>
      </c>
      <c r="BJ332" s="55">
        <f t="shared" si="444"/>
        <v>0</v>
      </c>
    </row>
    <row r="333" spans="1:62" x14ac:dyDescent="0.3">
      <c r="A333" s="53" t="str">
        <f t="shared" si="440"/>
        <v>project 213</v>
      </c>
      <c r="C333" s="55">
        <f t="shared" ref="C333:AH333" si="445">IF(AND(C$127&gt;=$K122,C$127&lt;=$L122),$G122*(1+$H122)^(C$127-$B$5),0)</f>
        <v>0</v>
      </c>
      <c r="D333" s="55">
        <f t="shared" si="445"/>
        <v>0</v>
      </c>
      <c r="E333" s="55">
        <f t="shared" si="445"/>
        <v>0</v>
      </c>
      <c r="F333" s="55">
        <f t="shared" si="445"/>
        <v>0</v>
      </c>
      <c r="G333" s="55">
        <f t="shared" si="445"/>
        <v>0</v>
      </c>
      <c r="H333" s="55">
        <f t="shared" si="445"/>
        <v>0</v>
      </c>
      <c r="I333" s="55">
        <f t="shared" si="445"/>
        <v>0</v>
      </c>
      <c r="J333" s="55">
        <f t="shared" si="445"/>
        <v>0</v>
      </c>
      <c r="K333" s="55">
        <f t="shared" si="445"/>
        <v>0</v>
      </c>
      <c r="L333" s="55">
        <f t="shared" si="445"/>
        <v>0</v>
      </c>
      <c r="M333" s="55">
        <f t="shared" si="445"/>
        <v>0</v>
      </c>
      <c r="N333" s="55">
        <f t="shared" si="445"/>
        <v>0</v>
      </c>
      <c r="O333" s="55">
        <f t="shared" si="445"/>
        <v>4.3876755841580186E-3</v>
      </c>
      <c r="P333" s="55">
        <f t="shared" si="445"/>
        <v>4.4903471928273162E-3</v>
      </c>
      <c r="Q333" s="55">
        <f t="shared" si="445"/>
        <v>4.5954213171394758E-3</v>
      </c>
      <c r="R333" s="55">
        <f t="shared" si="445"/>
        <v>4.7029541759605401E-3</v>
      </c>
      <c r="S333" s="55">
        <f t="shared" si="445"/>
        <v>4.8130033036780174E-3</v>
      </c>
      <c r="T333" s="55">
        <f t="shared" si="445"/>
        <v>4.925627580984083E-3</v>
      </c>
      <c r="U333" s="55">
        <f t="shared" si="445"/>
        <v>5.0408872663791114E-3</v>
      </c>
      <c r="V333" s="55">
        <f t="shared" si="445"/>
        <v>5.1588440284123828E-3</v>
      </c>
      <c r="W333" s="55">
        <f t="shared" si="445"/>
        <v>5.279560978677233E-3</v>
      </c>
      <c r="X333" s="55">
        <f t="shared" si="445"/>
        <v>5.4031027055782806E-3</v>
      </c>
      <c r="Y333" s="55">
        <f t="shared" si="445"/>
        <v>5.5295353088888125E-3</v>
      </c>
      <c r="Z333" s="55">
        <f t="shared" si="445"/>
        <v>5.6589264351168105E-3</v>
      </c>
      <c r="AA333" s="55">
        <f t="shared" si="445"/>
        <v>5.7913453136985453E-3</v>
      </c>
      <c r="AB333" s="55">
        <f t="shared" si="445"/>
        <v>5.926862794039092E-3</v>
      </c>
      <c r="AC333" s="55">
        <f t="shared" si="445"/>
        <v>6.0655513834196075E-3</v>
      </c>
      <c r="AD333" s="55">
        <f t="shared" si="445"/>
        <v>6.207485285791626E-3</v>
      </c>
      <c r="AE333" s="55">
        <f t="shared" si="445"/>
        <v>6.3527404414791509E-3</v>
      </c>
      <c r="AF333" s="55">
        <f t="shared" si="445"/>
        <v>6.5013945678097642E-3</v>
      </c>
      <c r="AG333" s="55">
        <f t="shared" si="445"/>
        <v>6.6535272006965117E-3</v>
      </c>
      <c r="AH333" s="55">
        <f t="shared" si="445"/>
        <v>6.8092197371928112E-3</v>
      </c>
      <c r="AI333" s="55">
        <f t="shared" ref="AI333:BJ333" si="446">IF(AND(AI$127&gt;=$K122,AI$127&lt;=$L122),$G122*(1+$H122)^(AI$127-$B$5),0)</f>
        <v>6.9685554790431233E-3</v>
      </c>
      <c r="AJ333" s="55">
        <f t="shared" si="446"/>
        <v>7.1316196772527327E-3</v>
      </c>
      <c r="AK333" s="55">
        <f t="shared" si="446"/>
        <v>7.2984995777004482E-3</v>
      </c>
      <c r="AL333" s="55">
        <f t="shared" si="446"/>
        <v>7.4692844678186394E-3</v>
      </c>
      <c r="AM333" s="55">
        <f t="shared" si="446"/>
        <v>7.6440657243655955E-3</v>
      </c>
      <c r="AN333" s="55">
        <f t="shared" si="446"/>
        <v>7.8229368623157509E-3</v>
      </c>
      <c r="AO333" s="55">
        <f t="shared" si="446"/>
        <v>8.00599358489394E-3</v>
      </c>
      <c r="AP333" s="55">
        <f t="shared" si="446"/>
        <v>8.1933338347804589E-3</v>
      </c>
      <c r="AQ333" s="55">
        <f t="shared" si="446"/>
        <v>8.3850578465143218E-3</v>
      </c>
      <c r="AR333" s="55">
        <f t="shared" si="446"/>
        <v>8.5812682001227582E-3</v>
      </c>
      <c r="AS333" s="55">
        <f t="shared" si="446"/>
        <v>8.7820698760056326E-3</v>
      </c>
      <c r="AT333" s="55">
        <f t="shared" si="446"/>
        <v>8.9875703111041618E-3</v>
      </c>
      <c r="AU333" s="55">
        <f t="shared" si="446"/>
        <v>9.1978794563840009E-3</v>
      </c>
      <c r="AV333" s="55">
        <f t="shared" si="446"/>
        <v>9.4131098356633885E-3</v>
      </c>
      <c r="AW333" s="55">
        <f t="shared" si="446"/>
        <v>9.6333766058179122E-3</v>
      </c>
      <c r="AX333" s="55">
        <f t="shared" si="446"/>
        <v>9.858797618394052E-3</v>
      </c>
      <c r="AY333" s="55">
        <f t="shared" si="446"/>
        <v>1.0089493482664474E-2</v>
      </c>
      <c r="AZ333" s="55">
        <f t="shared" si="446"/>
        <v>1.0325587630158823E-2</v>
      </c>
      <c r="BA333" s="55">
        <f t="shared" si="446"/>
        <v>1.056720638070454E-2</v>
      </c>
      <c r="BB333" s="55">
        <f t="shared" si="446"/>
        <v>1.0814479010013029E-2</v>
      </c>
      <c r="BC333" s="55">
        <f t="shared" si="446"/>
        <v>0</v>
      </c>
      <c r="BD333" s="55">
        <f t="shared" si="446"/>
        <v>0</v>
      </c>
      <c r="BE333" s="55">
        <f t="shared" si="446"/>
        <v>0</v>
      </c>
      <c r="BF333" s="55">
        <f t="shared" si="446"/>
        <v>0</v>
      </c>
      <c r="BG333" s="55">
        <f t="shared" si="446"/>
        <v>0</v>
      </c>
      <c r="BH333" s="55">
        <f t="shared" si="446"/>
        <v>0</v>
      </c>
      <c r="BI333" s="55">
        <f t="shared" si="446"/>
        <v>0</v>
      </c>
      <c r="BJ333" s="55">
        <f t="shared" si="446"/>
        <v>0</v>
      </c>
    </row>
    <row r="334" spans="1:62" x14ac:dyDescent="0.3">
      <c r="A334" s="53" t="str">
        <f t="shared" si="440"/>
        <v>project 218</v>
      </c>
      <c r="C334" s="55">
        <f t="shared" ref="C334:AH334" si="447">IF(AND(C$127&gt;=$K123,C$127&lt;=$L123),$G123*(1+$H123)^(C$127-$B$5),0)</f>
        <v>0</v>
      </c>
      <c r="D334" s="55">
        <f t="shared" si="447"/>
        <v>0</v>
      </c>
      <c r="E334" s="55">
        <f t="shared" si="447"/>
        <v>0</v>
      </c>
      <c r="F334" s="55">
        <f t="shared" si="447"/>
        <v>0</v>
      </c>
      <c r="G334" s="55">
        <f t="shared" si="447"/>
        <v>0</v>
      </c>
      <c r="H334" s="55">
        <f t="shared" si="447"/>
        <v>0</v>
      </c>
      <c r="I334" s="55">
        <f t="shared" si="447"/>
        <v>0.36028634614002819</v>
      </c>
      <c r="J334" s="55">
        <f t="shared" si="447"/>
        <v>0.36543844088983063</v>
      </c>
      <c r="K334" s="55">
        <f t="shared" si="447"/>
        <v>0.37066421059455512</v>
      </c>
      <c r="L334" s="55">
        <f t="shared" si="447"/>
        <v>0.37596470880605726</v>
      </c>
      <c r="M334" s="55">
        <f t="shared" si="447"/>
        <v>0.38134100414198391</v>
      </c>
      <c r="N334" s="55">
        <f t="shared" si="447"/>
        <v>0.38679418050121428</v>
      </c>
      <c r="O334" s="55">
        <f t="shared" si="447"/>
        <v>0.39232533728238161</v>
      </c>
      <c r="P334" s="55">
        <f t="shared" si="447"/>
        <v>0.39793558960551961</v>
      </c>
      <c r="Q334" s="55">
        <f t="shared" si="447"/>
        <v>0.4036260685368786</v>
      </c>
      <c r="R334" s="55">
        <f t="shared" si="447"/>
        <v>0.40939792131695596</v>
      </c>
      <c r="S334" s="55">
        <f t="shared" si="447"/>
        <v>0.41525231159178838</v>
      </c>
      <c r="T334" s="55">
        <f t="shared" si="447"/>
        <v>0.42119041964755094</v>
      </c>
      <c r="U334" s="55">
        <f t="shared" si="447"/>
        <v>0.42721344264851091</v>
      </c>
      <c r="V334" s="55">
        <f t="shared" si="447"/>
        <v>0.43332259487838465</v>
      </c>
      <c r="W334" s="55">
        <f t="shared" si="447"/>
        <v>0.43951910798514543</v>
      </c>
      <c r="X334" s="55">
        <f t="shared" si="447"/>
        <v>0.44580423122933305</v>
      </c>
      <c r="Y334" s="55">
        <f t="shared" si="447"/>
        <v>0.45217923173591251</v>
      </c>
      <c r="Z334" s="55">
        <f t="shared" si="447"/>
        <v>0.45864539474973604</v>
      </c>
      <c r="AA334" s="55">
        <f t="shared" si="447"/>
        <v>0.4652040238946572</v>
      </c>
      <c r="AB334" s="55">
        <f t="shared" si="447"/>
        <v>0.4718564414363508</v>
      </c>
      <c r="AC334" s="55">
        <f t="shared" si="447"/>
        <v>0.47860398854889064</v>
      </c>
      <c r="AD334" s="55">
        <f t="shared" si="447"/>
        <v>0.48544802558513983</v>
      </c>
      <c r="AE334" s="55">
        <f t="shared" si="447"/>
        <v>0.49238993235100725</v>
      </c>
      <c r="AF334" s="55">
        <f t="shared" si="447"/>
        <v>0.49943110838362659</v>
      </c>
      <c r="AG334" s="55">
        <f t="shared" si="447"/>
        <v>0.50657297323351258</v>
      </c>
      <c r="AH334" s="55">
        <f t="shared" si="447"/>
        <v>0.51381696675075172</v>
      </c>
      <c r="AI334" s="55">
        <f t="shared" ref="AI334:BJ334" si="448">IF(AND(AI$127&gt;=$K123,AI$127&lt;=$L123),$G123*(1+$H123)^(AI$127-$B$5),0)</f>
        <v>0.52116454937528744</v>
      </c>
      <c r="AJ334" s="55">
        <f t="shared" si="448"/>
        <v>0.52861720243135402</v>
      </c>
      <c r="AK334" s="55">
        <f t="shared" si="448"/>
        <v>0.53617642842612234</v>
      </c>
      <c r="AL334" s="55">
        <f t="shared" si="448"/>
        <v>0.54384375135261598</v>
      </c>
      <c r="AM334" s="55">
        <f t="shared" si="448"/>
        <v>0.55162071699695825</v>
      </c>
      <c r="AN334" s="55">
        <f t="shared" si="448"/>
        <v>0.55950889325001474</v>
      </c>
      <c r="AO334" s="55">
        <f t="shared" si="448"/>
        <v>0.56750987042348999</v>
      </c>
      <c r="AP334" s="55">
        <f t="shared" si="448"/>
        <v>0.57562526157054594</v>
      </c>
      <c r="AQ334" s="55">
        <f t="shared" si="448"/>
        <v>0.58385670281100466</v>
      </c>
      <c r="AR334" s="55">
        <f t="shared" si="448"/>
        <v>0.59220585366120204</v>
      </c>
      <c r="AS334" s="55">
        <f t="shared" si="448"/>
        <v>0.60067439736855721</v>
      </c>
      <c r="AT334" s="55">
        <f t="shared" si="448"/>
        <v>0.60926404125092759</v>
      </c>
      <c r="AU334" s="55">
        <f t="shared" si="448"/>
        <v>0.6179765170408158</v>
      </c>
      <c r="AV334" s="55">
        <f t="shared" si="448"/>
        <v>0.62681358123449937</v>
      </c>
      <c r="AW334" s="55">
        <f t="shared" si="448"/>
        <v>0</v>
      </c>
      <c r="AX334" s="55">
        <f t="shared" si="448"/>
        <v>0</v>
      </c>
      <c r="AY334" s="55">
        <f t="shared" si="448"/>
        <v>0</v>
      </c>
      <c r="AZ334" s="55">
        <f t="shared" si="448"/>
        <v>0</v>
      </c>
      <c r="BA334" s="55">
        <f t="shared" si="448"/>
        <v>0</v>
      </c>
      <c r="BB334" s="55">
        <f t="shared" si="448"/>
        <v>0</v>
      </c>
      <c r="BC334" s="55">
        <f t="shared" si="448"/>
        <v>0</v>
      </c>
      <c r="BD334" s="55">
        <f t="shared" si="448"/>
        <v>0</v>
      </c>
      <c r="BE334" s="55">
        <f t="shared" si="448"/>
        <v>0</v>
      </c>
      <c r="BF334" s="55">
        <f t="shared" si="448"/>
        <v>0</v>
      </c>
      <c r="BG334" s="55">
        <f t="shared" si="448"/>
        <v>0</v>
      </c>
      <c r="BH334" s="55">
        <f t="shared" si="448"/>
        <v>0</v>
      </c>
      <c r="BI334" s="55">
        <f t="shared" si="448"/>
        <v>0</v>
      </c>
      <c r="BJ334" s="55">
        <f t="shared" si="448"/>
        <v>0</v>
      </c>
    </row>
    <row r="335" spans="1:62" x14ac:dyDescent="0.3">
      <c r="A335" s="4" t="s">
        <v>253</v>
      </c>
      <c r="C335" s="30">
        <f t="shared" ref="C335:AH335" si="449">SUM(C235:C334)</f>
        <v>0</v>
      </c>
      <c r="D335" s="30">
        <f t="shared" si="449"/>
        <v>0.62734427379478874</v>
      </c>
      <c r="E335" s="30">
        <f t="shared" si="449"/>
        <v>7.4607888132216047</v>
      </c>
      <c r="F335" s="30">
        <f t="shared" si="449"/>
        <v>16.561090267722292</v>
      </c>
      <c r="G335" s="30">
        <f t="shared" si="449"/>
        <v>24.830419596801686</v>
      </c>
      <c r="H335" s="30">
        <f t="shared" si="449"/>
        <v>47.401962462080412</v>
      </c>
      <c r="I335" s="30">
        <f t="shared" si="449"/>
        <v>72.869717428755621</v>
      </c>
      <c r="J335" s="30">
        <f t="shared" si="449"/>
        <v>74.299796264020657</v>
      </c>
      <c r="K335" s="30">
        <f t="shared" si="449"/>
        <v>83.209465670682107</v>
      </c>
      <c r="L335" s="30">
        <f t="shared" si="449"/>
        <v>155.40094850630493</v>
      </c>
      <c r="M335" s="30">
        <f t="shared" si="449"/>
        <v>169.2247305411608</v>
      </c>
      <c r="N335" s="30">
        <f t="shared" si="449"/>
        <v>172.05720915501524</v>
      </c>
      <c r="O335" s="30">
        <f t="shared" si="449"/>
        <v>207.52531133711383</v>
      </c>
      <c r="P335" s="30">
        <f t="shared" si="449"/>
        <v>213.43025427680968</v>
      </c>
      <c r="Q335" s="30">
        <f t="shared" si="449"/>
        <v>261.36902096206256</v>
      </c>
      <c r="R335" s="30">
        <f t="shared" si="449"/>
        <v>265.81076935741658</v>
      </c>
      <c r="S335" s="30">
        <f t="shared" si="449"/>
        <v>319.32511885663598</v>
      </c>
      <c r="T335" s="30">
        <f t="shared" si="449"/>
        <v>325.38801216874003</v>
      </c>
      <c r="U335" s="30">
        <f t="shared" si="449"/>
        <v>353.5745407889828</v>
      </c>
      <c r="V335" s="30">
        <f t="shared" si="449"/>
        <v>462.31755898316635</v>
      </c>
      <c r="W335" s="30">
        <f t="shared" si="449"/>
        <v>471.65221306162272</v>
      </c>
      <c r="X335" s="30">
        <f t="shared" si="449"/>
        <v>481.19535615883206</v>
      </c>
      <c r="Y335" s="30">
        <f t="shared" si="449"/>
        <v>490.95197779912098</v>
      </c>
      <c r="Z335" s="30">
        <f t="shared" si="449"/>
        <v>500.92719253209094</v>
      </c>
      <c r="AA335" s="30">
        <f t="shared" si="449"/>
        <v>511.12624316031673</v>
      </c>
      <c r="AB335" s="30">
        <f t="shared" si="449"/>
        <v>521.55450405214731</v>
      </c>
      <c r="AC335" s="30">
        <f t="shared" si="449"/>
        <v>532.21748454188048</v>
      </c>
      <c r="AD335" s="30">
        <f t="shared" si="449"/>
        <v>543.12083241964967</v>
      </c>
      <c r="AE335" s="30">
        <f t="shared" si="449"/>
        <v>554.27033751342992</v>
      </c>
      <c r="AF335" s="30">
        <f t="shared" si="449"/>
        <v>565.67193536562888</v>
      </c>
      <c r="AG335" s="30">
        <f t="shared" si="449"/>
        <v>577.33171100679658</v>
      </c>
      <c r="AH335" s="30">
        <f t="shared" si="449"/>
        <v>589.25590282905682</v>
      </c>
      <c r="AI335" s="30">
        <f t="shared" ref="AI335:BN335" si="450">SUM(AI235:AI334)</f>
        <v>601.45090656193599</v>
      </c>
      <c r="AJ335" s="30">
        <f t="shared" si="450"/>
        <v>613.92327935333674</v>
      </c>
      <c r="AK335" s="30">
        <f t="shared" si="450"/>
        <v>626.67974395847</v>
      </c>
      <c r="AL335" s="30">
        <f t="shared" si="450"/>
        <v>639.7271930396571</v>
      </c>
      <c r="AM335" s="30">
        <f t="shared" si="450"/>
        <v>653.0726935799596</v>
      </c>
      <c r="AN335" s="30">
        <f t="shared" si="450"/>
        <v>666.72349141371421</v>
      </c>
      <c r="AO335" s="30">
        <f t="shared" si="450"/>
        <v>680.68701587708983</v>
      </c>
      <c r="AP335" s="30">
        <f t="shared" si="450"/>
        <v>694.97088458191809</v>
      </c>
      <c r="AQ335" s="30">
        <f t="shared" si="450"/>
        <v>709.58290831608622</v>
      </c>
      <c r="AR335" s="30">
        <f t="shared" si="450"/>
        <v>723.36849145689575</v>
      </c>
      <c r="AS335" s="30">
        <f t="shared" si="450"/>
        <v>727.31411289872995</v>
      </c>
      <c r="AT335" s="30">
        <f t="shared" si="450"/>
        <v>727.70381455689846</v>
      </c>
      <c r="AU335" s="30">
        <f t="shared" si="450"/>
        <v>730.28541536959085</v>
      </c>
      <c r="AV335" s="30">
        <f t="shared" si="450"/>
        <v>712.60516720775638</v>
      </c>
      <c r="AW335" s="30">
        <f t="shared" si="450"/>
        <v>690.69379501910305</v>
      </c>
      <c r="AX335" s="30">
        <f t="shared" si="450"/>
        <v>705.38951360300757</v>
      </c>
      <c r="AY335" s="30">
        <f t="shared" si="450"/>
        <v>707.75890063869122</v>
      </c>
      <c r="AZ335" s="30">
        <f t="shared" si="450"/>
        <v>598.82964879720589</v>
      </c>
      <c r="BA335" s="30">
        <f t="shared" si="450"/>
        <v>586.90680953838262</v>
      </c>
      <c r="BB335" s="30">
        <f t="shared" si="450"/>
        <v>600.34828853913973</v>
      </c>
      <c r="BC335" s="30">
        <f t="shared" si="450"/>
        <v>539.0556084428589</v>
      </c>
      <c r="BD335" s="30">
        <f t="shared" si="450"/>
        <v>544.34654236778226</v>
      </c>
      <c r="BE335" s="30">
        <f t="shared" si="450"/>
        <v>433.60227691555423</v>
      </c>
      <c r="BF335" s="30">
        <f t="shared" si="450"/>
        <v>444.57208791812013</v>
      </c>
      <c r="BG335" s="30">
        <f t="shared" si="450"/>
        <v>323.80401193807074</v>
      </c>
      <c r="BH335" s="30">
        <f t="shared" si="450"/>
        <v>331.33421963346615</v>
      </c>
      <c r="BI335" s="30">
        <f t="shared" si="450"/>
        <v>274.40435991584104</v>
      </c>
      <c r="BJ335" s="30">
        <f t="shared" si="450"/>
        <v>0</v>
      </c>
    </row>
    <row r="337" spans="1:62" x14ac:dyDescent="0.3">
      <c r="A337" s="4" t="s">
        <v>254</v>
      </c>
    </row>
    <row r="338" spans="1:62" x14ac:dyDescent="0.3">
      <c r="A338" s="28" t="s">
        <v>255</v>
      </c>
      <c r="C338" s="55">
        <f t="shared" ref="C338:AH338" si="451">$B$4</f>
        <v>210</v>
      </c>
      <c r="D338" s="55">
        <f t="shared" si="451"/>
        <v>210</v>
      </c>
      <c r="E338" s="55">
        <f t="shared" si="451"/>
        <v>210</v>
      </c>
      <c r="F338" s="55">
        <f t="shared" si="451"/>
        <v>210</v>
      </c>
      <c r="G338" s="55">
        <f t="shared" si="451"/>
        <v>210</v>
      </c>
      <c r="H338" s="55">
        <f t="shared" si="451"/>
        <v>210</v>
      </c>
      <c r="I338" s="55">
        <f t="shared" si="451"/>
        <v>210</v>
      </c>
      <c r="J338" s="55">
        <f t="shared" si="451"/>
        <v>210</v>
      </c>
      <c r="K338" s="55">
        <f t="shared" si="451"/>
        <v>210</v>
      </c>
      <c r="L338" s="55">
        <f t="shared" si="451"/>
        <v>210</v>
      </c>
      <c r="M338" s="55">
        <f t="shared" si="451"/>
        <v>210</v>
      </c>
      <c r="N338" s="55">
        <f t="shared" si="451"/>
        <v>210</v>
      </c>
      <c r="O338" s="55">
        <f t="shared" si="451"/>
        <v>210</v>
      </c>
      <c r="P338" s="55">
        <f t="shared" si="451"/>
        <v>210</v>
      </c>
      <c r="Q338" s="55">
        <f t="shared" si="451"/>
        <v>210</v>
      </c>
      <c r="R338" s="55">
        <f t="shared" si="451"/>
        <v>210</v>
      </c>
      <c r="S338" s="55">
        <f t="shared" si="451"/>
        <v>210</v>
      </c>
      <c r="T338" s="55">
        <f t="shared" si="451"/>
        <v>210</v>
      </c>
      <c r="U338" s="55">
        <f t="shared" si="451"/>
        <v>210</v>
      </c>
      <c r="V338" s="55">
        <f t="shared" si="451"/>
        <v>210</v>
      </c>
      <c r="W338" s="55">
        <f t="shared" si="451"/>
        <v>210</v>
      </c>
      <c r="X338" s="55">
        <f t="shared" si="451"/>
        <v>210</v>
      </c>
      <c r="Y338" s="55">
        <f t="shared" si="451"/>
        <v>210</v>
      </c>
      <c r="Z338" s="55">
        <f t="shared" si="451"/>
        <v>210</v>
      </c>
      <c r="AA338" s="55">
        <f t="shared" si="451"/>
        <v>210</v>
      </c>
      <c r="AB338" s="55">
        <f t="shared" si="451"/>
        <v>210</v>
      </c>
      <c r="AC338" s="55">
        <f t="shared" si="451"/>
        <v>210</v>
      </c>
      <c r="AD338" s="55">
        <f t="shared" si="451"/>
        <v>210</v>
      </c>
      <c r="AE338" s="55">
        <f t="shared" si="451"/>
        <v>210</v>
      </c>
      <c r="AF338" s="55">
        <f t="shared" si="451"/>
        <v>210</v>
      </c>
      <c r="AG338" s="55">
        <f t="shared" si="451"/>
        <v>210</v>
      </c>
      <c r="AH338" s="55">
        <f t="shared" si="451"/>
        <v>210</v>
      </c>
      <c r="AI338" s="55">
        <f t="shared" ref="AI338:BJ338" si="452">$B$4</f>
        <v>210</v>
      </c>
      <c r="AJ338" s="55">
        <f t="shared" si="452"/>
        <v>210</v>
      </c>
      <c r="AK338" s="55">
        <f t="shared" si="452"/>
        <v>210</v>
      </c>
      <c r="AL338" s="55">
        <f t="shared" si="452"/>
        <v>210</v>
      </c>
      <c r="AM338" s="55">
        <f t="shared" si="452"/>
        <v>210</v>
      </c>
      <c r="AN338" s="55">
        <f t="shared" si="452"/>
        <v>210</v>
      </c>
      <c r="AO338" s="55">
        <f t="shared" si="452"/>
        <v>210</v>
      </c>
      <c r="AP338" s="55">
        <f t="shared" si="452"/>
        <v>210</v>
      </c>
      <c r="AQ338" s="55">
        <f t="shared" si="452"/>
        <v>210</v>
      </c>
      <c r="AR338" s="55">
        <f t="shared" si="452"/>
        <v>210</v>
      </c>
      <c r="AS338" s="55">
        <f t="shared" si="452"/>
        <v>210</v>
      </c>
      <c r="AT338" s="55">
        <f t="shared" si="452"/>
        <v>210</v>
      </c>
      <c r="AU338" s="55">
        <f t="shared" si="452"/>
        <v>210</v>
      </c>
      <c r="AV338" s="55">
        <f t="shared" si="452"/>
        <v>210</v>
      </c>
      <c r="AW338" s="55">
        <f t="shared" si="452"/>
        <v>210</v>
      </c>
      <c r="AX338" s="55">
        <f t="shared" si="452"/>
        <v>210</v>
      </c>
      <c r="AY338" s="55">
        <f t="shared" si="452"/>
        <v>210</v>
      </c>
      <c r="AZ338" s="55">
        <f t="shared" si="452"/>
        <v>210</v>
      </c>
      <c r="BA338" s="55">
        <f t="shared" si="452"/>
        <v>210</v>
      </c>
      <c r="BB338" s="55">
        <f t="shared" si="452"/>
        <v>210</v>
      </c>
      <c r="BC338" s="55">
        <f t="shared" si="452"/>
        <v>210</v>
      </c>
      <c r="BD338" s="55">
        <f t="shared" si="452"/>
        <v>210</v>
      </c>
      <c r="BE338" s="55">
        <f t="shared" si="452"/>
        <v>210</v>
      </c>
      <c r="BF338" s="55">
        <f t="shared" si="452"/>
        <v>210</v>
      </c>
      <c r="BG338" s="55">
        <f t="shared" si="452"/>
        <v>210</v>
      </c>
      <c r="BH338" s="55">
        <f t="shared" si="452"/>
        <v>210</v>
      </c>
      <c r="BI338" s="55">
        <f t="shared" si="452"/>
        <v>210</v>
      </c>
      <c r="BJ338" s="55">
        <f t="shared" si="452"/>
        <v>210</v>
      </c>
    </row>
    <row r="339" spans="1:62" x14ac:dyDescent="0.3">
      <c r="A339" s="28" t="s">
        <v>256</v>
      </c>
      <c r="C339" s="56">
        <f t="shared" ref="C339:AH339" si="453">IF(C$127&lt;=$B$14,1,0)</f>
        <v>1</v>
      </c>
      <c r="D339" s="56">
        <f t="shared" si="453"/>
        <v>1</v>
      </c>
      <c r="E339" s="56">
        <f t="shared" si="453"/>
        <v>1</v>
      </c>
      <c r="F339" s="56">
        <f t="shared" si="453"/>
        <v>1</v>
      </c>
      <c r="G339" s="56">
        <f t="shared" si="453"/>
        <v>1</v>
      </c>
      <c r="H339" s="56">
        <f t="shared" si="453"/>
        <v>1</v>
      </c>
      <c r="I339" s="56">
        <f t="shared" si="453"/>
        <v>1</v>
      </c>
      <c r="J339" s="56">
        <f t="shared" si="453"/>
        <v>1</v>
      </c>
      <c r="K339" s="56">
        <f t="shared" si="453"/>
        <v>1</v>
      </c>
      <c r="L339" s="56">
        <f t="shared" si="453"/>
        <v>1</v>
      </c>
      <c r="M339" s="56">
        <f t="shared" si="453"/>
        <v>1</v>
      </c>
      <c r="N339" s="56">
        <f t="shared" si="453"/>
        <v>1</v>
      </c>
      <c r="O339" s="56">
        <f t="shared" si="453"/>
        <v>1</v>
      </c>
      <c r="P339" s="56">
        <f t="shared" si="453"/>
        <v>1</v>
      </c>
      <c r="Q339" s="56">
        <f t="shared" si="453"/>
        <v>1</v>
      </c>
      <c r="R339" s="56">
        <f t="shared" si="453"/>
        <v>1</v>
      </c>
      <c r="S339" s="56">
        <f t="shared" si="453"/>
        <v>1</v>
      </c>
      <c r="T339" s="56">
        <f t="shared" si="453"/>
        <v>1</v>
      </c>
      <c r="U339" s="56">
        <f t="shared" si="453"/>
        <v>1</v>
      </c>
      <c r="V339" s="56">
        <f t="shared" si="453"/>
        <v>0</v>
      </c>
      <c r="W339" s="56">
        <f t="shared" si="453"/>
        <v>0</v>
      </c>
      <c r="X339" s="56">
        <f t="shared" si="453"/>
        <v>0</v>
      </c>
      <c r="Y339" s="56">
        <f t="shared" si="453"/>
        <v>0</v>
      </c>
      <c r="Z339" s="56">
        <f t="shared" si="453"/>
        <v>0</v>
      </c>
      <c r="AA339" s="56">
        <f t="shared" si="453"/>
        <v>0</v>
      </c>
      <c r="AB339" s="56">
        <f t="shared" si="453"/>
        <v>0</v>
      </c>
      <c r="AC339" s="56">
        <f t="shared" si="453"/>
        <v>0</v>
      </c>
      <c r="AD339" s="56">
        <f t="shared" si="453"/>
        <v>0</v>
      </c>
      <c r="AE339" s="56">
        <f t="shared" si="453"/>
        <v>0</v>
      </c>
      <c r="AF339" s="56">
        <f t="shared" si="453"/>
        <v>0</v>
      </c>
      <c r="AG339" s="56">
        <f t="shared" si="453"/>
        <v>0</v>
      </c>
      <c r="AH339" s="56">
        <f t="shared" si="453"/>
        <v>0</v>
      </c>
      <c r="AI339" s="56">
        <f t="shared" ref="AI339:BJ339" si="454">IF(AI$127&lt;=$B$14,1,0)</f>
        <v>0</v>
      </c>
      <c r="AJ339" s="56">
        <f t="shared" si="454"/>
        <v>0</v>
      </c>
      <c r="AK339" s="56">
        <f t="shared" si="454"/>
        <v>0</v>
      </c>
      <c r="AL339" s="56">
        <f t="shared" si="454"/>
        <v>0</v>
      </c>
      <c r="AM339" s="56">
        <f t="shared" si="454"/>
        <v>0</v>
      </c>
      <c r="AN339" s="56">
        <f t="shared" si="454"/>
        <v>0</v>
      </c>
      <c r="AO339" s="56">
        <f t="shared" si="454"/>
        <v>0</v>
      </c>
      <c r="AP339" s="56">
        <f t="shared" si="454"/>
        <v>0</v>
      </c>
      <c r="AQ339" s="56">
        <f t="shared" si="454"/>
        <v>0</v>
      </c>
      <c r="AR339" s="56">
        <f t="shared" si="454"/>
        <v>0</v>
      </c>
      <c r="AS339" s="56">
        <f t="shared" si="454"/>
        <v>0</v>
      </c>
      <c r="AT339" s="56">
        <f t="shared" si="454"/>
        <v>0</v>
      </c>
      <c r="AU339" s="56">
        <f t="shared" si="454"/>
        <v>0</v>
      </c>
      <c r="AV339" s="56">
        <f t="shared" si="454"/>
        <v>0</v>
      </c>
      <c r="AW339" s="56">
        <f t="shared" si="454"/>
        <v>0</v>
      </c>
      <c r="AX339" s="56">
        <f t="shared" si="454"/>
        <v>0</v>
      </c>
      <c r="AY339" s="56">
        <f t="shared" si="454"/>
        <v>0</v>
      </c>
      <c r="AZ339" s="56">
        <f t="shared" si="454"/>
        <v>0</v>
      </c>
      <c r="BA339" s="56">
        <f t="shared" si="454"/>
        <v>0</v>
      </c>
      <c r="BB339" s="56">
        <f t="shared" si="454"/>
        <v>0</v>
      </c>
      <c r="BC339" s="56">
        <f t="shared" si="454"/>
        <v>0</v>
      </c>
      <c r="BD339" s="56">
        <f t="shared" si="454"/>
        <v>0</v>
      </c>
      <c r="BE339" s="56">
        <f t="shared" si="454"/>
        <v>0</v>
      </c>
      <c r="BF339" s="56">
        <f t="shared" si="454"/>
        <v>0</v>
      </c>
      <c r="BG339" s="56">
        <f t="shared" si="454"/>
        <v>0</v>
      </c>
      <c r="BH339" s="56">
        <f t="shared" si="454"/>
        <v>0</v>
      </c>
      <c r="BI339" s="56">
        <f t="shared" si="454"/>
        <v>0</v>
      </c>
      <c r="BJ339" s="56">
        <f t="shared" si="454"/>
        <v>0</v>
      </c>
    </row>
    <row r="340" spans="1:62" x14ac:dyDescent="0.3">
      <c r="A340" s="28" t="s">
        <v>257</v>
      </c>
      <c r="C340" s="55">
        <f t="shared" ref="C340:AH340" si="455">C338*C339</f>
        <v>210</v>
      </c>
      <c r="D340" s="55">
        <f t="shared" si="455"/>
        <v>210</v>
      </c>
      <c r="E340" s="55">
        <f t="shared" si="455"/>
        <v>210</v>
      </c>
      <c r="F340" s="55">
        <f t="shared" si="455"/>
        <v>210</v>
      </c>
      <c r="G340" s="55">
        <f t="shared" si="455"/>
        <v>210</v>
      </c>
      <c r="H340" s="55">
        <f t="shared" si="455"/>
        <v>210</v>
      </c>
      <c r="I340" s="55">
        <f t="shared" si="455"/>
        <v>210</v>
      </c>
      <c r="J340" s="55">
        <f t="shared" si="455"/>
        <v>210</v>
      </c>
      <c r="K340" s="55">
        <f t="shared" si="455"/>
        <v>210</v>
      </c>
      <c r="L340" s="55">
        <f t="shared" si="455"/>
        <v>210</v>
      </c>
      <c r="M340" s="55">
        <f t="shared" si="455"/>
        <v>210</v>
      </c>
      <c r="N340" s="55">
        <f t="shared" si="455"/>
        <v>210</v>
      </c>
      <c r="O340" s="55">
        <f t="shared" si="455"/>
        <v>210</v>
      </c>
      <c r="P340" s="55">
        <f t="shared" si="455"/>
        <v>210</v>
      </c>
      <c r="Q340" s="55">
        <f t="shared" si="455"/>
        <v>210</v>
      </c>
      <c r="R340" s="55">
        <f t="shared" si="455"/>
        <v>210</v>
      </c>
      <c r="S340" s="55">
        <f t="shared" si="455"/>
        <v>210</v>
      </c>
      <c r="T340" s="55">
        <f t="shared" si="455"/>
        <v>210</v>
      </c>
      <c r="U340" s="55">
        <f t="shared" si="455"/>
        <v>210</v>
      </c>
      <c r="V340" s="55">
        <f t="shared" si="455"/>
        <v>0</v>
      </c>
      <c r="W340" s="55">
        <f t="shared" si="455"/>
        <v>0</v>
      </c>
      <c r="X340" s="55">
        <f t="shared" si="455"/>
        <v>0</v>
      </c>
      <c r="Y340" s="55">
        <f t="shared" si="455"/>
        <v>0</v>
      </c>
      <c r="Z340" s="55">
        <f t="shared" si="455"/>
        <v>0</v>
      </c>
      <c r="AA340" s="55">
        <f t="shared" si="455"/>
        <v>0</v>
      </c>
      <c r="AB340" s="55">
        <f t="shared" si="455"/>
        <v>0</v>
      </c>
      <c r="AC340" s="55">
        <f t="shared" si="455"/>
        <v>0</v>
      </c>
      <c r="AD340" s="55">
        <f t="shared" si="455"/>
        <v>0</v>
      </c>
      <c r="AE340" s="55">
        <f t="shared" si="455"/>
        <v>0</v>
      </c>
      <c r="AF340" s="55">
        <f t="shared" si="455"/>
        <v>0</v>
      </c>
      <c r="AG340" s="55">
        <f t="shared" si="455"/>
        <v>0</v>
      </c>
      <c r="AH340" s="55">
        <f t="shared" si="455"/>
        <v>0</v>
      </c>
      <c r="AI340" s="55">
        <f t="shared" ref="AI340:BN340" si="456">AI338*AI339</f>
        <v>0</v>
      </c>
      <c r="AJ340" s="55">
        <f t="shared" si="456"/>
        <v>0</v>
      </c>
      <c r="AK340" s="55">
        <f t="shared" si="456"/>
        <v>0</v>
      </c>
      <c r="AL340" s="55">
        <f t="shared" si="456"/>
        <v>0</v>
      </c>
      <c r="AM340" s="55">
        <f t="shared" si="456"/>
        <v>0</v>
      </c>
      <c r="AN340" s="55">
        <f t="shared" si="456"/>
        <v>0</v>
      </c>
      <c r="AO340" s="55">
        <f t="shared" si="456"/>
        <v>0</v>
      </c>
      <c r="AP340" s="55">
        <f t="shared" si="456"/>
        <v>0</v>
      </c>
      <c r="AQ340" s="55">
        <f t="shared" si="456"/>
        <v>0</v>
      </c>
      <c r="AR340" s="55">
        <f t="shared" si="456"/>
        <v>0</v>
      </c>
      <c r="AS340" s="55">
        <f t="shared" si="456"/>
        <v>0</v>
      </c>
      <c r="AT340" s="55">
        <f t="shared" si="456"/>
        <v>0</v>
      </c>
      <c r="AU340" s="55">
        <f t="shared" si="456"/>
        <v>0</v>
      </c>
      <c r="AV340" s="55">
        <f t="shared" si="456"/>
        <v>0</v>
      </c>
      <c r="AW340" s="55">
        <f t="shared" si="456"/>
        <v>0</v>
      </c>
      <c r="AX340" s="55">
        <f t="shared" si="456"/>
        <v>0</v>
      </c>
      <c r="AY340" s="55">
        <f t="shared" si="456"/>
        <v>0</v>
      </c>
      <c r="AZ340" s="55">
        <f t="shared" si="456"/>
        <v>0</v>
      </c>
      <c r="BA340" s="55">
        <f t="shared" si="456"/>
        <v>0</v>
      </c>
      <c r="BB340" s="55">
        <f t="shared" si="456"/>
        <v>0</v>
      </c>
      <c r="BC340" s="55">
        <f t="shared" si="456"/>
        <v>0</v>
      </c>
      <c r="BD340" s="55">
        <f t="shared" si="456"/>
        <v>0</v>
      </c>
      <c r="BE340" s="55">
        <f t="shared" si="456"/>
        <v>0</v>
      </c>
      <c r="BF340" s="55">
        <f t="shared" si="456"/>
        <v>0</v>
      </c>
      <c r="BG340" s="55">
        <f t="shared" si="456"/>
        <v>0</v>
      </c>
      <c r="BH340" s="55">
        <f t="shared" si="456"/>
        <v>0</v>
      </c>
      <c r="BI340" s="55">
        <f t="shared" si="456"/>
        <v>0</v>
      </c>
      <c r="BJ340" s="55">
        <f t="shared" si="456"/>
        <v>0</v>
      </c>
    </row>
    <row r="341" spans="1:62" x14ac:dyDescent="0.3">
      <c r="A341" s="28" t="s">
        <v>258</v>
      </c>
      <c r="C341" s="55">
        <f t="shared" ref="C341:AH341" si="457">C232</f>
        <v>175.04640100880513</v>
      </c>
      <c r="D341" s="55">
        <f t="shared" si="457"/>
        <v>238.6798007537453</v>
      </c>
      <c r="E341" s="55">
        <f t="shared" si="457"/>
        <v>215.05953221802514</v>
      </c>
      <c r="F341" s="55">
        <f t="shared" si="457"/>
        <v>203.32859751460893</v>
      </c>
      <c r="G341" s="55">
        <f t="shared" si="457"/>
        <v>217.90025562174398</v>
      </c>
      <c r="H341" s="55">
        <f t="shared" si="457"/>
        <v>181.27902926386506</v>
      </c>
      <c r="I341" s="55">
        <f t="shared" si="457"/>
        <v>238.61250254446745</v>
      </c>
      <c r="J341" s="55">
        <f t="shared" si="457"/>
        <v>183.70026897912894</v>
      </c>
      <c r="K341" s="55">
        <f t="shared" si="457"/>
        <v>202.70751481761113</v>
      </c>
      <c r="L341" s="55">
        <f t="shared" si="457"/>
        <v>208.27311621483796</v>
      </c>
      <c r="M341" s="55">
        <f t="shared" si="457"/>
        <v>215.27210899928463</v>
      </c>
      <c r="N341" s="55">
        <f t="shared" si="457"/>
        <v>204.66623770166944</v>
      </c>
      <c r="O341" s="55">
        <f t="shared" si="457"/>
        <v>211.03470417285436</v>
      </c>
      <c r="P341" s="55">
        <f t="shared" si="457"/>
        <v>199.75648579823752</v>
      </c>
      <c r="Q341" s="55">
        <f t="shared" si="457"/>
        <v>215.64297134043679</v>
      </c>
      <c r="R341" s="55">
        <f t="shared" si="457"/>
        <v>249.05070049942373</v>
      </c>
      <c r="S341" s="55">
        <f t="shared" si="457"/>
        <v>173.32969044943226</v>
      </c>
      <c r="T341" s="55">
        <f t="shared" si="457"/>
        <v>201.97774483970028</v>
      </c>
      <c r="U341" s="55">
        <f t="shared" si="457"/>
        <v>94.329272976126987</v>
      </c>
      <c r="V341" s="55">
        <f t="shared" si="457"/>
        <v>0</v>
      </c>
      <c r="W341" s="55">
        <f t="shared" si="457"/>
        <v>0</v>
      </c>
      <c r="X341" s="55">
        <f t="shared" si="457"/>
        <v>0</v>
      </c>
      <c r="Y341" s="55">
        <f t="shared" si="457"/>
        <v>0</v>
      </c>
      <c r="Z341" s="55">
        <f t="shared" si="457"/>
        <v>0</v>
      </c>
      <c r="AA341" s="55">
        <f t="shared" si="457"/>
        <v>0</v>
      </c>
      <c r="AB341" s="55">
        <f t="shared" si="457"/>
        <v>0</v>
      </c>
      <c r="AC341" s="55">
        <f t="shared" si="457"/>
        <v>0</v>
      </c>
      <c r="AD341" s="55">
        <f t="shared" si="457"/>
        <v>0</v>
      </c>
      <c r="AE341" s="55">
        <f t="shared" si="457"/>
        <v>0</v>
      </c>
      <c r="AF341" s="55">
        <f t="shared" si="457"/>
        <v>0</v>
      </c>
      <c r="AG341" s="55">
        <f t="shared" si="457"/>
        <v>0</v>
      </c>
      <c r="AH341" s="55">
        <f t="shared" si="457"/>
        <v>0</v>
      </c>
      <c r="AI341" s="55">
        <f t="shared" ref="AI341:BJ341" si="458">AI232</f>
        <v>0</v>
      </c>
      <c r="AJ341" s="55">
        <f t="shared" si="458"/>
        <v>0</v>
      </c>
      <c r="AK341" s="55">
        <f t="shared" si="458"/>
        <v>0</v>
      </c>
      <c r="AL341" s="55">
        <f t="shared" si="458"/>
        <v>0</v>
      </c>
      <c r="AM341" s="55">
        <f t="shared" si="458"/>
        <v>0</v>
      </c>
      <c r="AN341" s="55">
        <f t="shared" si="458"/>
        <v>0</v>
      </c>
      <c r="AO341" s="55">
        <f t="shared" si="458"/>
        <v>0</v>
      </c>
      <c r="AP341" s="55">
        <f t="shared" si="458"/>
        <v>0</v>
      </c>
      <c r="AQ341" s="55">
        <f t="shared" si="458"/>
        <v>0</v>
      </c>
      <c r="AR341" s="55">
        <f t="shared" si="458"/>
        <v>0</v>
      </c>
      <c r="AS341" s="55">
        <f t="shared" si="458"/>
        <v>0</v>
      </c>
      <c r="AT341" s="55">
        <f t="shared" si="458"/>
        <v>0</v>
      </c>
      <c r="AU341" s="55">
        <f t="shared" si="458"/>
        <v>0</v>
      </c>
      <c r="AV341" s="55">
        <f t="shared" si="458"/>
        <v>0</v>
      </c>
      <c r="AW341" s="55">
        <f t="shared" si="458"/>
        <v>0</v>
      </c>
      <c r="AX341" s="55">
        <f t="shared" si="458"/>
        <v>0</v>
      </c>
      <c r="AY341" s="55">
        <f t="shared" si="458"/>
        <v>0</v>
      </c>
      <c r="AZ341" s="55">
        <f t="shared" si="458"/>
        <v>0</v>
      </c>
      <c r="BA341" s="55">
        <f t="shared" si="458"/>
        <v>0</v>
      </c>
      <c r="BB341" s="55">
        <f t="shared" si="458"/>
        <v>0</v>
      </c>
      <c r="BC341" s="55">
        <f t="shared" si="458"/>
        <v>0</v>
      </c>
      <c r="BD341" s="55">
        <f t="shared" si="458"/>
        <v>0</v>
      </c>
      <c r="BE341" s="55">
        <f t="shared" si="458"/>
        <v>0</v>
      </c>
      <c r="BF341" s="55">
        <f t="shared" si="458"/>
        <v>0</v>
      </c>
      <c r="BG341" s="55">
        <f t="shared" si="458"/>
        <v>0</v>
      </c>
      <c r="BH341" s="55">
        <f t="shared" si="458"/>
        <v>0</v>
      </c>
      <c r="BI341" s="55">
        <f t="shared" si="458"/>
        <v>0</v>
      </c>
      <c r="BJ341" s="55">
        <f t="shared" si="458"/>
        <v>0</v>
      </c>
    </row>
    <row r="342" spans="1:62" x14ac:dyDescent="0.3">
      <c r="A342" s="28" t="s">
        <v>259</v>
      </c>
      <c r="C342" s="55">
        <f>0</f>
        <v>0</v>
      </c>
      <c r="D342" s="55">
        <f t="shared" ref="D342:AI342" si="459">C344</f>
        <v>34.953598991194866</v>
      </c>
      <c r="E342" s="55">
        <f t="shared" si="459"/>
        <v>6.2737982374495687</v>
      </c>
      <c r="F342" s="55">
        <f t="shared" si="459"/>
        <v>1.2142660194244286</v>
      </c>
      <c r="G342" s="55">
        <f t="shared" si="459"/>
        <v>7.8856685048154986</v>
      </c>
      <c r="H342" s="55">
        <f t="shared" si="459"/>
        <v>-1.4587116928481692E-2</v>
      </c>
      <c r="I342" s="55">
        <f t="shared" si="459"/>
        <v>28.706383619206463</v>
      </c>
      <c r="J342" s="55">
        <f t="shared" si="459"/>
        <v>9.3881074739016412E-2</v>
      </c>
      <c r="K342" s="55">
        <f t="shared" si="459"/>
        <v>26.393612095610081</v>
      </c>
      <c r="L342" s="55">
        <f t="shared" si="459"/>
        <v>33.686097277998954</v>
      </c>
      <c r="M342" s="55">
        <f t="shared" si="459"/>
        <v>35.412981063160998</v>
      </c>
      <c r="N342" s="55">
        <f t="shared" si="459"/>
        <v>30.140872063876373</v>
      </c>
      <c r="O342" s="55">
        <f t="shared" si="459"/>
        <v>35.474634362206928</v>
      </c>
      <c r="P342" s="55">
        <f t="shared" si="459"/>
        <v>34.439930189352566</v>
      </c>
      <c r="Q342" s="55">
        <f t="shared" si="459"/>
        <v>44.683444391115046</v>
      </c>
      <c r="R342" s="55">
        <f t="shared" si="459"/>
        <v>39.040473050678258</v>
      </c>
      <c r="S342" s="55">
        <f t="shared" si="459"/>
        <v>-1.0227448745467882E-2</v>
      </c>
      <c r="T342" s="55">
        <f t="shared" si="459"/>
        <v>36.660082101822269</v>
      </c>
      <c r="U342" s="55">
        <f t="shared" si="459"/>
        <v>44.68233726212199</v>
      </c>
      <c r="V342" s="55">
        <f t="shared" si="459"/>
        <v>0</v>
      </c>
      <c r="W342" s="55">
        <f t="shared" si="459"/>
        <v>0</v>
      </c>
      <c r="X342" s="55">
        <f t="shared" si="459"/>
        <v>0</v>
      </c>
      <c r="Y342" s="55">
        <f t="shared" si="459"/>
        <v>0</v>
      </c>
      <c r="Z342" s="55">
        <f t="shared" si="459"/>
        <v>0</v>
      </c>
      <c r="AA342" s="55">
        <f t="shared" si="459"/>
        <v>0</v>
      </c>
      <c r="AB342" s="55">
        <f t="shared" si="459"/>
        <v>0</v>
      </c>
      <c r="AC342" s="55">
        <f t="shared" si="459"/>
        <v>0</v>
      </c>
      <c r="AD342" s="55">
        <f t="shared" si="459"/>
        <v>0</v>
      </c>
      <c r="AE342" s="55">
        <f t="shared" si="459"/>
        <v>0</v>
      </c>
      <c r="AF342" s="55">
        <f t="shared" si="459"/>
        <v>0</v>
      </c>
      <c r="AG342" s="55">
        <f t="shared" si="459"/>
        <v>0</v>
      </c>
      <c r="AH342" s="55">
        <f t="shared" si="459"/>
        <v>0</v>
      </c>
      <c r="AI342" s="55">
        <f t="shared" si="459"/>
        <v>0</v>
      </c>
      <c r="AJ342" s="55">
        <f t="shared" ref="AJ342:BJ342" si="460">AI344</f>
        <v>0</v>
      </c>
      <c r="AK342" s="55">
        <f t="shared" si="460"/>
        <v>0</v>
      </c>
      <c r="AL342" s="55">
        <f t="shared" si="460"/>
        <v>0</v>
      </c>
      <c r="AM342" s="55">
        <f t="shared" si="460"/>
        <v>0</v>
      </c>
      <c r="AN342" s="55">
        <f t="shared" si="460"/>
        <v>0</v>
      </c>
      <c r="AO342" s="55">
        <f t="shared" si="460"/>
        <v>0</v>
      </c>
      <c r="AP342" s="55">
        <f t="shared" si="460"/>
        <v>0</v>
      </c>
      <c r="AQ342" s="55">
        <f t="shared" si="460"/>
        <v>0</v>
      </c>
      <c r="AR342" s="55">
        <f t="shared" si="460"/>
        <v>0</v>
      </c>
      <c r="AS342" s="55">
        <f t="shared" si="460"/>
        <v>0</v>
      </c>
      <c r="AT342" s="55">
        <f t="shared" si="460"/>
        <v>0</v>
      </c>
      <c r="AU342" s="55">
        <f t="shared" si="460"/>
        <v>0</v>
      </c>
      <c r="AV342" s="55">
        <f t="shared" si="460"/>
        <v>0</v>
      </c>
      <c r="AW342" s="55">
        <f t="shared" si="460"/>
        <v>0</v>
      </c>
      <c r="AX342" s="55">
        <f t="shared" si="460"/>
        <v>0</v>
      </c>
      <c r="AY342" s="55">
        <f t="shared" si="460"/>
        <v>0</v>
      </c>
      <c r="AZ342" s="55">
        <f t="shared" si="460"/>
        <v>0</v>
      </c>
      <c r="BA342" s="55">
        <f t="shared" si="460"/>
        <v>0</v>
      </c>
      <c r="BB342" s="55">
        <f t="shared" si="460"/>
        <v>0</v>
      </c>
      <c r="BC342" s="55">
        <f t="shared" si="460"/>
        <v>0</v>
      </c>
      <c r="BD342" s="55">
        <f t="shared" si="460"/>
        <v>0</v>
      </c>
      <c r="BE342" s="55">
        <f t="shared" si="460"/>
        <v>0</v>
      </c>
      <c r="BF342" s="55">
        <f t="shared" si="460"/>
        <v>0</v>
      </c>
      <c r="BG342" s="55">
        <f t="shared" si="460"/>
        <v>0</v>
      </c>
      <c r="BH342" s="55">
        <f t="shared" si="460"/>
        <v>0</v>
      </c>
      <c r="BI342" s="55">
        <f t="shared" si="460"/>
        <v>0</v>
      </c>
      <c r="BJ342" s="55">
        <f t="shared" si="460"/>
        <v>0</v>
      </c>
    </row>
    <row r="343" spans="1:62" x14ac:dyDescent="0.3">
      <c r="A343" s="28" t="s">
        <v>260</v>
      </c>
      <c r="C343" s="55">
        <f t="shared" ref="C343:AH343" si="461">IF(C$127=$B$14,C342+C340-C341,0)</f>
        <v>0</v>
      </c>
      <c r="D343" s="55">
        <f t="shared" si="461"/>
        <v>0</v>
      </c>
      <c r="E343" s="55">
        <f t="shared" si="461"/>
        <v>0</v>
      </c>
      <c r="F343" s="55">
        <f t="shared" si="461"/>
        <v>0</v>
      </c>
      <c r="G343" s="55">
        <f t="shared" si="461"/>
        <v>0</v>
      </c>
      <c r="H343" s="55">
        <f t="shared" si="461"/>
        <v>0</v>
      </c>
      <c r="I343" s="55">
        <f t="shared" si="461"/>
        <v>0</v>
      </c>
      <c r="J343" s="55">
        <f t="shared" si="461"/>
        <v>0</v>
      </c>
      <c r="K343" s="55">
        <f t="shared" si="461"/>
        <v>0</v>
      </c>
      <c r="L343" s="55">
        <f t="shared" si="461"/>
        <v>0</v>
      </c>
      <c r="M343" s="55">
        <f t="shared" si="461"/>
        <v>0</v>
      </c>
      <c r="N343" s="55">
        <f t="shared" si="461"/>
        <v>0</v>
      </c>
      <c r="O343" s="55">
        <f t="shared" si="461"/>
        <v>0</v>
      </c>
      <c r="P343" s="55">
        <f t="shared" si="461"/>
        <v>0</v>
      </c>
      <c r="Q343" s="55">
        <f t="shared" si="461"/>
        <v>0</v>
      </c>
      <c r="R343" s="55">
        <f t="shared" si="461"/>
        <v>0</v>
      </c>
      <c r="S343" s="55">
        <f t="shared" si="461"/>
        <v>0</v>
      </c>
      <c r="T343" s="55">
        <f t="shared" si="461"/>
        <v>0</v>
      </c>
      <c r="U343" s="55">
        <f t="shared" si="461"/>
        <v>160.353064285995</v>
      </c>
      <c r="V343" s="55">
        <f t="shared" si="461"/>
        <v>0</v>
      </c>
      <c r="W343" s="55">
        <f t="shared" si="461"/>
        <v>0</v>
      </c>
      <c r="X343" s="55">
        <f t="shared" si="461"/>
        <v>0</v>
      </c>
      <c r="Y343" s="55">
        <f t="shared" si="461"/>
        <v>0</v>
      </c>
      <c r="Z343" s="55">
        <f t="shared" si="461"/>
        <v>0</v>
      </c>
      <c r="AA343" s="55">
        <f t="shared" si="461"/>
        <v>0</v>
      </c>
      <c r="AB343" s="55">
        <f t="shared" si="461"/>
        <v>0</v>
      </c>
      <c r="AC343" s="55">
        <f t="shared" si="461"/>
        <v>0</v>
      </c>
      <c r="AD343" s="55">
        <f t="shared" si="461"/>
        <v>0</v>
      </c>
      <c r="AE343" s="55">
        <f t="shared" si="461"/>
        <v>0</v>
      </c>
      <c r="AF343" s="55">
        <f t="shared" si="461"/>
        <v>0</v>
      </c>
      <c r="AG343" s="55">
        <f t="shared" si="461"/>
        <v>0</v>
      </c>
      <c r="AH343" s="55">
        <f t="shared" si="461"/>
        <v>0</v>
      </c>
      <c r="AI343" s="55">
        <f t="shared" ref="AI343:BN343" si="462">IF(AI$127=$B$14,AI342+AI340-AI341,0)</f>
        <v>0</v>
      </c>
      <c r="AJ343" s="55">
        <f t="shared" si="462"/>
        <v>0</v>
      </c>
      <c r="AK343" s="55">
        <f t="shared" si="462"/>
        <v>0</v>
      </c>
      <c r="AL343" s="55">
        <f t="shared" si="462"/>
        <v>0</v>
      </c>
      <c r="AM343" s="55">
        <f t="shared" si="462"/>
        <v>0</v>
      </c>
      <c r="AN343" s="55">
        <f t="shared" si="462"/>
        <v>0</v>
      </c>
      <c r="AO343" s="55">
        <f t="shared" si="462"/>
        <v>0</v>
      </c>
      <c r="AP343" s="55">
        <f t="shared" si="462"/>
        <v>0</v>
      </c>
      <c r="AQ343" s="55">
        <f t="shared" si="462"/>
        <v>0</v>
      </c>
      <c r="AR343" s="55">
        <f t="shared" si="462"/>
        <v>0</v>
      </c>
      <c r="AS343" s="55">
        <f t="shared" si="462"/>
        <v>0</v>
      </c>
      <c r="AT343" s="55">
        <f t="shared" si="462"/>
        <v>0</v>
      </c>
      <c r="AU343" s="55">
        <f t="shared" si="462"/>
        <v>0</v>
      </c>
      <c r="AV343" s="55">
        <f t="shared" si="462"/>
        <v>0</v>
      </c>
      <c r="AW343" s="55">
        <f t="shared" si="462"/>
        <v>0</v>
      </c>
      <c r="AX343" s="55">
        <f t="shared" si="462"/>
        <v>0</v>
      </c>
      <c r="AY343" s="55">
        <f t="shared" si="462"/>
        <v>0</v>
      </c>
      <c r="AZ343" s="55">
        <f t="shared" si="462"/>
        <v>0</v>
      </c>
      <c r="BA343" s="55">
        <f t="shared" si="462"/>
        <v>0</v>
      </c>
      <c r="BB343" s="55">
        <f t="shared" si="462"/>
        <v>0</v>
      </c>
      <c r="BC343" s="55">
        <f t="shared" si="462"/>
        <v>0</v>
      </c>
      <c r="BD343" s="55">
        <f t="shared" si="462"/>
        <v>0</v>
      </c>
      <c r="BE343" s="55">
        <f t="shared" si="462"/>
        <v>0</v>
      </c>
      <c r="BF343" s="55">
        <f t="shared" si="462"/>
        <v>0</v>
      </c>
      <c r="BG343" s="55">
        <f t="shared" si="462"/>
        <v>0</v>
      </c>
      <c r="BH343" s="55">
        <f t="shared" si="462"/>
        <v>0</v>
      </c>
      <c r="BI343" s="55">
        <f t="shared" si="462"/>
        <v>0</v>
      </c>
      <c r="BJ343" s="55">
        <f t="shared" si="462"/>
        <v>0</v>
      </c>
    </row>
    <row r="344" spans="1:62" x14ac:dyDescent="0.3">
      <c r="A344" s="4" t="s">
        <v>261</v>
      </c>
      <c r="C344" s="55">
        <f t="shared" ref="C344:AH344" si="463">C342+C340-C341-C343</f>
        <v>34.953598991194866</v>
      </c>
      <c r="D344" s="55">
        <f t="shared" si="463"/>
        <v>6.2737982374495687</v>
      </c>
      <c r="E344" s="55">
        <f t="shared" si="463"/>
        <v>1.2142660194244286</v>
      </c>
      <c r="F344" s="55">
        <f t="shared" si="463"/>
        <v>7.8856685048154986</v>
      </c>
      <c r="G344" s="55">
        <f t="shared" si="463"/>
        <v>-1.4587116928481692E-2</v>
      </c>
      <c r="H344" s="55">
        <f t="shared" si="463"/>
        <v>28.706383619206463</v>
      </c>
      <c r="I344" s="55">
        <f t="shared" si="463"/>
        <v>9.3881074739016412E-2</v>
      </c>
      <c r="J344" s="55">
        <f t="shared" si="463"/>
        <v>26.393612095610081</v>
      </c>
      <c r="K344" s="55">
        <f t="shared" si="463"/>
        <v>33.686097277998954</v>
      </c>
      <c r="L344" s="55">
        <f t="shared" si="463"/>
        <v>35.412981063160998</v>
      </c>
      <c r="M344" s="55">
        <f t="shared" si="463"/>
        <v>30.140872063876373</v>
      </c>
      <c r="N344" s="55">
        <f t="shared" si="463"/>
        <v>35.474634362206928</v>
      </c>
      <c r="O344" s="55">
        <f t="shared" si="463"/>
        <v>34.439930189352566</v>
      </c>
      <c r="P344" s="55">
        <f t="shared" si="463"/>
        <v>44.683444391115046</v>
      </c>
      <c r="Q344" s="55">
        <f t="shared" si="463"/>
        <v>39.040473050678258</v>
      </c>
      <c r="R344" s="55">
        <f t="shared" si="463"/>
        <v>-1.0227448745467882E-2</v>
      </c>
      <c r="S344" s="55">
        <f t="shared" si="463"/>
        <v>36.660082101822269</v>
      </c>
      <c r="T344" s="55">
        <f t="shared" si="463"/>
        <v>44.68233726212199</v>
      </c>
      <c r="U344" s="55">
        <f t="shared" si="463"/>
        <v>0</v>
      </c>
      <c r="V344" s="55">
        <f t="shared" si="463"/>
        <v>0</v>
      </c>
      <c r="W344" s="55">
        <f t="shared" si="463"/>
        <v>0</v>
      </c>
      <c r="X344" s="55">
        <f t="shared" si="463"/>
        <v>0</v>
      </c>
      <c r="Y344" s="55">
        <f t="shared" si="463"/>
        <v>0</v>
      </c>
      <c r="Z344" s="55">
        <f t="shared" si="463"/>
        <v>0</v>
      </c>
      <c r="AA344" s="55">
        <f t="shared" si="463"/>
        <v>0</v>
      </c>
      <c r="AB344" s="55">
        <f t="shared" si="463"/>
        <v>0</v>
      </c>
      <c r="AC344" s="55">
        <f t="shared" si="463"/>
        <v>0</v>
      </c>
      <c r="AD344" s="55">
        <f t="shared" si="463"/>
        <v>0</v>
      </c>
      <c r="AE344" s="55">
        <f t="shared" si="463"/>
        <v>0</v>
      </c>
      <c r="AF344" s="55">
        <f t="shared" si="463"/>
        <v>0</v>
      </c>
      <c r="AG344" s="55">
        <f t="shared" si="463"/>
        <v>0</v>
      </c>
      <c r="AH344" s="55">
        <f t="shared" si="463"/>
        <v>0</v>
      </c>
      <c r="AI344" s="55">
        <f t="shared" ref="AI344:BN344" si="464">AI342+AI340-AI341-AI343</f>
        <v>0</v>
      </c>
      <c r="AJ344" s="55">
        <f t="shared" si="464"/>
        <v>0</v>
      </c>
      <c r="AK344" s="55">
        <f t="shared" si="464"/>
        <v>0</v>
      </c>
      <c r="AL344" s="55">
        <f t="shared" si="464"/>
        <v>0</v>
      </c>
      <c r="AM344" s="55">
        <f t="shared" si="464"/>
        <v>0</v>
      </c>
      <c r="AN344" s="55">
        <f t="shared" si="464"/>
        <v>0</v>
      </c>
      <c r="AO344" s="55">
        <f t="shared" si="464"/>
        <v>0</v>
      </c>
      <c r="AP344" s="55">
        <f t="shared" si="464"/>
        <v>0</v>
      </c>
      <c r="AQ344" s="55">
        <f t="shared" si="464"/>
        <v>0</v>
      </c>
      <c r="AR344" s="55">
        <f t="shared" si="464"/>
        <v>0</v>
      </c>
      <c r="AS344" s="55">
        <f t="shared" si="464"/>
        <v>0</v>
      </c>
      <c r="AT344" s="55">
        <f t="shared" si="464"/>
        <v>0</v>
      </c>
      <c r="AU344" s="55">
        <f t="shared" si="464"/>
        <v>0</v>
      </c>
      <c r="AV344" s="55">
        <f t="shared" si="464"/>
        <v>0</v>
      </c>
      <c r="AW344" s="55">
        <f t="shared" si="464"/>
        <v>0</v>
      </c>
      <c r="AX344" s="55">
        <f t="shared" si="464"/>
        <v>0</v>
      </c>
      <c r="AY344" s="55">
        <f t="shared" si="464"/>
        <v>0</v>
      </c>
      <c r="AZ344" s="55">
        <f t="shared" si="464"/>
        <v>0</v>
      </c>
      <c r="BA344" s="55">
        <f t="shared" si="464"/>
        <v>0</v>
      </c>
      <c r="BB344" s="55">
        <f t="shared" si="464"/>
        <v>0</v>
      </c>
      <c r="BC344" s="55">
        <f t="shared" si="464"/>
        <v>0</v>
      </c>
      <c r="BD344" s="55">
        <f t="shared" si="464"/>
        <v>0</v>
      </c>
      <c r="BE344" s="55">
        <f t="shared" si="464"/>
        <v>0</v>
      </c>
      <c r="BF344" s="55">
        <f t="shared" si="464"/>
        <v>0</v>
      </c>
      <c r="BG344" s="55">
        <f t="shared" si="464"/>
        <v>0</v>
      </c>
      <c r="BH344" s="55">
        <f t="shared" si="464"/>
        <v>0</v>
      </c>
      <c r="BI344" s="55">
        <f t="shared" si="464"/>
        <v>0</v>
      </c>
      <c r="BJ344" s="55">
        <f t="shared" si="464"/>
        <v>0</v>
      </c>
    </row>
    <row r="345" spans="1:62" x14ac:dyDescent="0.3">
      <c r="A345" s="28" t="s">
        <v>262</v>
      </c>
      <c r="C345" s="56">
        <f t="shared" ref="C345:AH345" si="465">IF(C$127&lt;$B$14,1,0)</f>
        <v>1</v>
      </c>
      <c r="D345" s="56">
        <f t="shared" si="465"/>
        <v>1</v>
      </c>
      <c r="E345" s="56">
        <f t="shared" si="465"/>
        <v>1</v>
      </c>
      <c r="F345" s="56">
        <f t="shared" si="465"/>
        <v>1</v>
      </c>
      <c r="G345" s="56">
        <f t="shared" si="465"/>
        <v>1</v>
      </c>
      <c r="H345" s="56">
        <f t="shared" si="465"/>
        <v>1</v>
      </c>
      <c r="I345" s="56">
        <f t="shared" si="465"/>
        <v>1</v>
      </c>
      <c r="J345" s="56">
        <f t="shared" si="465"/>
        <v>1</v>
      </c>
      <c r="K345" s="56">
        <f t="shared" si="465"/>
        <v>1</v>
      </c>
      <c r="L345" s="56">
        <f t="shared" si="465"/>
        <v>1</v>
      </c>
      <c r="M345" s="56">
        <f t="shared" si="465"/>
        <v>1</v>
      </c>
      <c r="N345" s="56">
        <f t="shared" si="465"/>
        <v>1</v>
      </c>
      <c r="O345" s="56">
        <f t="shared" si="465"/>
        <v>1</v>
      </c>
      <c r="P345" s="56">
        <f t="shared" si="465"/>
        <v>1</v>
      </c>
      <c r="Q345" s="56">
        <f t="shared" si="465"/>
        <v>1</v>
      </c>
      <c r="R345" s="56">
        <f t="shared" si="465"/>
        <v>1</v>
      </c>
      <c r="S345" s="56">
        <f t="shared" si="465"/>
        <v>1</v>
      </c>
      <c r="T345" s="56">
        <f t="shared" si="465"/>
        <v>1</v>
      </c>
      <c r="U345" s="56">
        <f t="shared" si="465"/>
        <v>0</v>
      </c>
      <c r="V345" s="56">
        <f t="shared" si="465"/>
        <v>0</v>
      </c>
      <c r="W345" s="56">
        <f t="shared" si="465"/>
        <v>0</v>
      </c>
      <c r="X345" s="56">
        <f t="shared" si="465"/>
        <v>0</v>
      </c>
      <c r="Y345" s="56">
        <f t="shared" si="465"/>
        <v>0</v>
      </c>
      <c r="Z345" s="56">
        <f t="shared" si="465"/>
        <v>0</v>
      </c>
      <c r="AA345" s="56">
        <f t="shared" si="465"/>
        <v>0</v>
      </c>
      <c r="AB345" s="56">
        <f t="shared" si="465"/>
        <v>0</v>
      </c>
      <c r="AC345" s="56">
        <f t="shared" si="465"/>
        <v>0</v>
      </c>
      <c r="AD345" s="56">
        <f t="shared" si="465"/>
        <v>0</v>
      </c>
      <c r="AE345" s="56">
        <f t="shared" si="465"/>
        <v>0</v>
      </c>
      <c r="AF345" s="56">
        <f t="shared" si="465"/>
        <v>0</v>
      </c>
      <c r="AG345" s="56">
        <f t="shared" si="465"/>
        <v>0</v>
      </c>
      <c r="AH345" s="56">
        <f t="shared" si="465"/>
        <v>0</v>
      </c>
      <c r="AI345" s="56">
        <f t="shared" ref="AI345:BJ345" si="466">IF(AI$127&lt;$B$14,1,0)</f>
        <v>0</v>
      </c>
      <c r="AJ345" s="56">
        <f t="shared" si="466"/>
        <v>0</v>
      </c>
      <c r="AK345" s="56">
        <f t="shared" si="466"/>
        <v>0</v>
      </c>
      <c r="AL345" s="56">
        <f t="shared" si="466"/>
        <v>0</v>
      </c>
      <c r="AM345" s="56">
        <f t="shared" si="466"/>
        <v>0</v>
      </c>
      <c r="AN345" s="56">
        <f t="shared" si="466"/>
        <v>0</v>
      </c>
      <c r="AO345" s="56">
        <f t="shared" si="466"/>
        <v>0</v>
      </c>
      <c r="AP345" s="56">
        <f t="shared" si="466"/>
        <v>0</v>
      </c>
      <c r="AQ345" s="56">
        <f t="shared" si="466"/>
        <v>0</v>
      </c>
      <c r="AR345" s="56">
        <f t="shared" si="466"/>
        <v>0</v>
      </c>
      <c r="AS345" s="56">
        <f t="shared" si="466"/>
        <v>0</v>
      </c>
      <c r="AT345" s="56">
        <f t="shared" si="466"/>
        <v>0</v>
      </c>
      <c r="AU345" s="56">
        <f t="shared" si="466"/>
        <v>0</v>
      </c>
      <c r="AV345" s="56">
        <f t="shared" si="466"/>
        <v>0</v>
      </c>
      <c r="AW345" s="56">
        <f t="shared" si="466"/>
        <v>0</v>
      </c>
      <c r="AX345" s="56">
        <f t="shared" si="466"/>
        <v>0</v>
      </c>
      <c r="AY345" s="56">
        <f t="shared" si="466"/>
        <v>0</v>
      </c>
      <c r="AZ345" s="56">
        <f t="shared" si="466"/>
        <v>0</v>
      </c>
      <c r="BA345" s="56">
        <f t="shared" si="466"/>
        <v>0</v>
      </c>
      <c r="BB345" s="56">
        <f t="shared" si="466"/>
        <v>0</v>
      </c>
      <c r="BC345" s="56">
        <f t="shared" si="466"/>
        <v>0</v>
      </c>
      <c r="BD345" s="56">
        <f t="shared" si="466"/>
        <v>0</v>
      </c>
      <c r="BE345" s="56">
        <f t="shared" si="466"/>
        <v>0</v>
      </c>
      <c r="BF345" s="56">
        <f t="shared" si="466"/>
        <v>0</v>
      </c>
      <c r="BG345" s="56">
        <f t="shared" si="466"/>
        <v>0</v>
      </c>
      <c r="BH345" s="56">
        <f t="shared" si="466"/>
        <v>0</v>
      </c>
      <c r="BI345" s="56">
        <f t="shared" si="466"/>
        <v>0</v>
      </c>
      <c r="BJ345" s="56">
        <f t="shared" si="466"/>
        <v>0</v>
      </c>
    </row>
    <row r="346" spans="1:62" x14ac:dyDescent="0.3">
      <c r="A346" s="4" t="s">
        <v>263</v>
      </c>
      <c r="C346" s="55">
        <f t="shared" ref="C346:AH346" si="467">C344*C345</f>
        <v>34.953598991194866</v>
      </c>
      <c r="D346" s="55">
        <f t="shared" si="467"/>
        <v>6.2737982374495687</v>
      </c>
      <c r="E346" s="55">
        <f t="shared" si="467"/>
        <v>1.2142660194244286</v>
      </c>
      <c r="F346" s="55">
        <f t="shared" si="467"/>
        <v>7.8856685048154986</v>
      </c>
      <c r="G346" s="55">
        <f t="shared" si="467"/>
        <v>-1.4587116928481692E-2</v>
      </c>
      <c r="H346" s="55">
        <f t="shared" si="467"/>
        <v>28.706383619206463</v>
      </c>
      <c r="I346" s="55">
        <f t="shared" si="467"/>
        <v>9.3881074739016412E-2</v>
      </c>
      <c r="J346" s="55">
        <f t="shared" si="467"/>
        <v>26.393612095610081</v>
      </c>
      <c r="K346" s="55">
        <f t="shared" si="467"/>
        <v>33.686097277998954</v>
      </c>
      <c r="L346" s="55">
        <f t="shared" si="467"/>
        <v>35.412981063160998</v>
      </c>
      <c r="M346" s="55">
        <f t="shared" si="467"/>
        <v>30.140872063876373</v>
      </c>
      <c r="N346" s="55">
        <f t="shared" si="467"/>
        <v>35.474634362206928</v>
      </c>
      <c r="O346" s="55">
        <f t="shared" si="467"/>
        <v>34.439930189352566</v>
      </c>
      <c r="P346" s="55">
        <f t="shared" si="467"/>
        <v>44.683444391115046</v>
      </c>
      <c r="Q346" s="55">
        <f t="shared" si="467"/>
        <v>39.040473050678258</v>
      </c>
      <c r="R346" s="55">
        <f t="shared" si="467"/>
        <v>-1.0227448745467882E-2</v>
      </c>
      <c r="S346" s="55">
        <f t="shared" si="467"/>
        <v>36.660082101822269</v>
      </c>
      <c r="T346" s="55">
        <f t="shared" si="467"/>
        <v>44.68233726212199</v>
      </c>
      <c r="U346" s="55">
        <f t="shared" si="467"/>
        <v>0</v>
      </c>
      <c r="V346" s="55">
        <f t="shared" si="467"/>
        <v>0</v>
      </c>
      <c r="W346" s="55">
        <f t="shared" si="467"/>
        <v>0</v>
      </c>
      <c r="X346" s="55">
        <f t="shared" si="467"/>
        <v>0</v>
      </c>
      <c r="Y346" s="55">
        <f t="shared" si="467"/>
        <v>0</v>
      </c>
      <c r="Z346" s="55">
        <f t="shared" si="467"/>
        <v>0</v>
      </c>
      <c r="AA346" s="55">
        <f t="shared" si="467"/>
        <v>0</v>
      </c>
      <c r="AB346" s="55">
        <f t="shared" si="467"/>
        <v>0</v>
      </c>
      <c r="AC346" s="55">
        <f t="shared" si="467"/>
        <v>0</v>
      </c>
      <c r="AD346" s="55">
        <f t="shared" si="467"/>
        <v>0</v>
      </c>
      <c r="AE346" s="55">
        <f t="shared" si="467"/>
        <v>0</v>
      </c>
      <c r="AF346" s="55">
        <f t="shared" si="467"/>
        <v>0</v>
      </c>
      <c r="AG346" s="55">
        <f t="shared" si="467"/>
        <v>0</v>
      </c>
      <c r="AH346" s="55">
        <f t="shared" si="467"/>
        <v>0</v>
      </c>
      <c r="AI346" s="55">
        <f t="shared" ref="AI346:BN346" si="468">AI344*AI345</f>
        <v>0</v>
      </c>
      <c r="AJ346" s="55">
        <f t="shared" si="468"/>
        <v>0</v>
      </c>
      <c r="AK346" s="55">
        <f t="shared" si="468"/>
        <v>0</v>
      </c>
      <c r="AL346" s="55">
        <f t="shared" si="468"/>
        <v>0</v>
      </c>
      <c r="AM346" s="55">
        <f t="shared" si="468"/>
        <v>0</v>
      </c>
      <c r="AN346" s="55">
        <f t="shared" si="468"/>
        <v>0</v>
      </c>
      <c r="AO346" s="55">
        <f t="shared" si="468"/>
        <v>0</v>
      </c>
      <c r="AP346" s="55">
        <f t="shared" si="468"/>
        <v>0</v>
      </c>
      <c r="AQ346" s="55">
        <f t="shared" si="468"/>
        <v>0</v>
      </c>
      <c r="AR346" s="55">
        <f t="shared" si="468"/>
        <v>0</v>
      </c>
      <c r="AS346" s="55">
        <f t="shared" si="468"/>
        <v>0</v>
      </c>
      <c r="AT346" s="55">
        <f t="shared" si="468"/>
        <v>0</v>
      </c>
      <c r="AU346" s="55">
        <f t="shared" si="468"/>
        <v>0</v>
      </c>
      <c r="AV346" s="55">
        <f t="shared" si="468"/>
        <v>0</v>
      </c>
      <c r="AW346" s="55">
        <f t="shared" si="468"/>
        <v>0</v>
      </c>
      <c r="AX346" s="55">
        <f t="shared" si="468"/>
        <v>0</v>
      </c>
      <c r="AY346" s="55">
        <f t="shared" si="468"/>
        <v>0</v>
      </c>
      <c r="AZ346" s="55">
        <f t="shared" si="468"/>
        <v>0</v>
      </c>
      <c r="BA346" s="55">
        <f t="shared" si="468"/>
        <v>0</v>
      </c>
      <c r="BB346" s="55">
        <f t="shared" si="468"/>
        <v>0</v>
      </c>
      <c r="BC346" s="55">
        <f t="shared" si="468"/>
        <v>0</v>
      </c>
      <c r="BD346" s="55">
        <f t="shared" si="468"/>
        <v>0</v>
      </c>
      <c r="BE346" s="55">
        <f t="shared" si="468"/>
        <v>0</v>
      </c>
      <c r="BF346" s="55">
        <f t="shared" si="468"/>
        <v>0</v>
      </c>
      <c r="BG346" s="55">
        <f t="shared" si="468"/>
        <v>0</v>
      </c>
      <c r="BH346" s="55">
        <f t="shared" si="468"/>
        <v>0</v>
      </c>
      <c r="BI346" s="55">
        <f t="shared" si="468"/>
        <v>0</v>
      </c>
      <c r="BJ346" s="55">
        <f t="shared" si="468"/>
        <v>0</v>
      </c>
    </row>
    <row r="347" spans="1:62" x14ac:dyDescent="0.3">
      <c r="A347" s="28" t="s">
        <v>264</v>
      </c>
      <c r="C347" s="55">
        <f t="shared" ref="C347:AH347" si="469">$M$5</f>
        <v>35.445</v>
      </c>
      <c r="D347" s="55">
        <f t="shared" si="469"/>
        <v>35.445</v>
      </c>
      <c r="E347" s="55">
        <f t="shared" si="469"/>
        <v>35.445</v>
      </c>
      <c r="F347" s="55">
        <f t="shared" si="469"/>
        <v>35.445</v>
      </c>
      <c r="G347" s="55">
        <f t="shared" si="469"/>
        <v>35.445</v>
      </c>
      <c r="H347" s="55">
        <f t="shared" si="469"/>
        <v>35.445</v>
      </c>
      <c r="I347" s="55">
        <f t="shared" si="469"/>
        <v>35.445</v>
      </c>
      <c r="J347" s="55">
        <f t="shared" si="469"/>
        <v>35.445</v>
      </c>
      <c r="K347" s="55">
        <f t="shared" si="469"/>
        <v>35.445</v>
      </c>
      <c r="L347" s="55">
        <f t="shared" si="469"/>
        <v>35.445</v>
      </c>
      <c r="M347" s="55">
        <f t="shared" si="469"/>
        <v>35.445</v>
      </c>
      <c r="N347" s="55">
        <f t="shared" si="469"/>
        <v>35.445</v>
      </c>
      <c r="O347" s="55">
        <f t="shared" si="469"/>
        <v>35.445</v>
      </c>
      <c r="P347" s="55">
        <f t="shared" si="469"/>
        <v>35.445</v>
      </c>
      <c r="Q347" s="55">
        <f t="shared" si="469"/>
        <v>35.445</v>
      </c>
      <c r="R347" s="55">
        <f t="shared" si="469"/>
        <v>35.445</v>
      </c>
      <c r="S347" s="55">
        <f t="shared" si="469"/>
        <v>35.445</v>
      </c>
      <c r="T347" s="55">
        <f t="shared" si="469"/>
        <v>35.445</v>
      </c>
      <c r="U347" s="55">
        <f t="shared" si="469"/>
        <v>35.445</v>
      </c>
      <c r="V347" s="55">
        <f t="shared" si="469"/>
        <v>35.445</v>
      </c>
      <c r="W347" s="55">
        <f t="shared" si="469"/>
        <v>35.445</v>
      </c>
      <c r="X347" s="55">
        <f t="shared" si="469"/>
        <v>35.445</v>
      </c>
      <c r="Y347" s="55">
        <f t="shared" si="469"/>
        <v>35.445</v>
      </c>
      <c r="Z347" s="55">
        <f t="shared" si="469"/>
        <v>35.445</v>
      </c>
      <c r="AA347" s="55">
        <f t="shared" si="469"/>
        <v>35.445</v>
      </c>
      <c r="AB347" s="55">
        <f t="shared" si="469"/>
        <v>35.445</v>
      </c>
      <c r="AC347" s="55">
        <f t="shared" si="469"/>
        <v>35.445</v>
      </c>
      <c r="AD347" s="55">
        <f t="shared" si="469"/>
        <v>35.445</v>
      </c>
      <c r="AE347" s="55">
        <f t="shared" si="469"/>
        <v>35.445</v>
      </c>
      <c r="AF347" s="55">
        <f t="shared" si="469"/>
        <v>35.445</v>
      </c>
      <c r="AG347" s="55">
        <f t="shared" si="469"/>
        <v>35.445</v>
      </c>
      <c r="AH347" s="55">
        <f t="shared" si="469"/>
        <v>35.445</v>
      </c>
      <c r="AI347" s="55">
        <f t="shared" ref="AI347:BJ347" si="470">$M$5</f>
        <v>35.445</v>
      </c>
      <c r="AJ347" s="55">
        <f t="shared" si="470"/>
        <v>35.445</v>
      </c>
      <c r="AK347" s="55">
        <f t="shared" si="470"/>
        <v>35.445</v>
      </c>
      <c r="AL347" s="55">
        <f t="shared" si="470"/>
        <v>35.445</v>
      </c>
      <c r="AM347" s="55">
        <f t="shared" si="470"/>
        <v>35.445</v>
      </c>
      <c r="AN347" s="55">
        <f t="shared" si="470"/>
        <v>35.445</v>
      </c>
      <c r="AO347" s="55">
        <f t="shared" si="470"/>
        <v>35.445</v>
      </c>
      <c r="AP347" s="55">
        <f t="shared" si="470"/>
        <v>35.445</v>
      </c>
      <c r="AQ347" s="55">
        <f t="shared" si="470"/>
        <v>35.445</v>
      </c>
      <c r="AR347" s="55">
        <f t="shared" si="470"/>
        <v>35.445</v>
      </c>
      <c r="AS347" s="55">
        <f t="shared" si="470"/>
        <v>35.445</v>
      </c>
      <c r="AT347" s="55">
        <f t="shared" si="470"/>
        <v>35.445</v>
      </c>
      <c r="AU347" s="55">
        <f t="shared" si="470"/>
        <v>35.445</v>
      </c>
      <c r="AV347" s="55">
        <f t="shared" si="470"/>
        <v>35.445</v>
      </c>
      <c r="AW347" s="55">
        <f t="shared" si="470"/>
        <v>35.445</v>
      </c>
      <c r="AX347" s="55">
        <f t="shared" si="470"/>
        <v>35.445</v>
      </c>
      <c r="AY347" s="55">
        <f t="shared" si="470"/>
        <v>35.445</v>
      </c>
      <c r="AZ347" s="55">
        <f t="shared" si="470"/>
        <v>35.445</v>
      </c>
      <c r="BA347" s="55">
        <f t="shared" si="470"/>
        <v>35.445</v>
      </c>
      <c r="BB347" s="55">
        <f t="shared" si="470"/>
        <v>35.445</v>
      </c>
      <c r="BC347" s="55">
        <f t="shared" si="470"/>
        <v>35.445</v>
      </c>
      <c r="BD347" s="55">
        <f t="shared" si="470"/>
        <v>35.445</v>
      </c>
      <c r="BE347" s="55">
        <f t="shared" si="470"/>
        <v>35.445</v>
      </c>
      <c r="BF347" s="55">
        <f t="shared" si="470"/>
        <v>35.445</v>
      </c>
      <c r="BG347" s="55">
        <f t="shared" si="470"/>
        <v>35.445</v>
      </c>
      <c r="BH347" s="55">
        <f t="shared" si="470"/>
        <v>35.445</v>
      </c>
      <c r="BI347" s="55">
        <f t="shared" si="470"/>
        <v>35.445</v>
      </c>
      <c r="BJ347" s="55">
        <f t="shared" si="470"/>
        <v>35.445</v>
      </c>
    </row>
    <row r="348" spans="1:62" x14ac:dyDescent="0.3">
      <c r="A348" s="28" t="s">
        <v>265</v>
      </c>
      <c r="C348" s="55">
        <f t="shared" ref="C348:AH348" si="471">MAX(0,C346-C347)</f>
        <v>0</v>
      </c>
      <c r="D348" s="55">
        <f t="shared" si="471"/>
        <v>0</v>
      </c>
      <c r="E348" s="55">
        <f t="shared" si="471"/>
        <v>0</v>
      </c>
      <c r="F348" s="55">
        <f t="shared" si="471"/>
        <v>0</v>
      </c>
      <c r="G348" s="55">
        <f t="shared" si="471"/>
        <v>0</v>
      </c>
      <c r="H348" s="55">
        <f t="shared" si="471"/>
        <v>0</v>
      </c>
      <c r="I348" s="55">
        <f t="shared" si="471"/>
        <v>0</v>
      </c>
      <c r="J348" s="55">
        <f t="shared" si="471"/>
        <v>0</v>
      </c>
      <c r="K348" s="55">
        <f t="shared" si="471"/>
        <v>0</v>
      </c>
      <c r="L348" s="55">
        <f t="shared" si="471"/>
        <v>0</v>
      </c>
      <c r="M348" s="55">
        <f t="shared" si="471"/>
        <v>0</v>
      </c>
      <c r="N348" s="55">
        <f t="shared" si="471"/>
        <v>2.9634362206927278E-2</v>
      </c>
      <c r="O348" s="55">
        <f t="shared" si="471"/>
        <v>0</v>
      </c>
      <c r="P348" s="55">
        <f t="shared" si="471"/>
        <v>9.2384443911150456</v>
      </c>
      <c r="Q348" s="55">
        <f t="shared" si="471"/>
        <v>3.5954730506782582</v>
      </c>
      <c r="R348" s="55">
        <f t="shared" si="471"/>
        <v>0</v>
      </c>
      <c r="S348" s="55">
        <f t="shared" si="471"/>
        <v>1.2150821018222686</v>
      </c>
      <c r="T348" s="55">
        <f t="shared" si="471"/>
        <v>9.23733726212199</v>
      </c>
      <c r="U348" s="55">
        <f t="shared" si="471"/>
        <v>0</v>
      </c>
      <c r="V348" s="55">
        <f t="shared" si="471"/>
        <v>0</v>
      </c>
      <c r="W348" s="55">
        <f t="shared" si="471"/>
        <v>0</v>
      </c>
      <c r="X348" s="55">
        <f t="shared" si="471"/>
        <v>0</v>
      </c>
      <c r="Y348" s="55">
        <f t="shared" si="471"/>
        <v>0</v>
      </c>
      <c r="Z348" s="55">
        <f t="shared" si="471"/>
        <v>0</v>
      </c>
      <c r="AA348" s="55">
        <f t="shared" si="471"/>
        <v>0</v>
      </c>
      <c r="AB348" s="55">
        <f t="shared" si="471"/>
        <v>0</v>
      </c>
      <c r="AC348" s="55">
        <f t="shared" si="471"/>
        <v>0</v>
      </c>
      <c r="AD348" s="55">
        <f t="shared" si="471"/>
        <v>0</v>
      </c>
      <c r="AE348" s="55">
        <f t="shared" si="471"/>
        <v>0</v>
      </c>
      <c r="AF348" s="55">
        <f t="shared" si="471"/>
        <v>0</v>
      </c>
      <c r="AG348" s="55">
        <f t="shared" si="471"/>
        <v>0</v>
      </c>
      <c r="AH348" s="55">
        <f t="shared" si="471"/>
        <v>0</v>
      </c>
      <c r="AI348" s="55">
        <f t="shared" ref="AI348:BN348" si="472">MAX(0,AI346-AI347)</f>
        <v>0</v>
      </c>
      <c r="AJ348" s="55">
        <f t="shared" si="472"/>
        <v>0</v>
      </c>
      <c r="AK348" s="55">
        <f t="shared" si="472"/>
        <v>0</v>
      </c>
      <c r="AL348" s="55">
        <f t="shared" si="472"/>
        <v>0</v>
      </c>
      <c r="AM348" s="55">
        <f t="shared" si="472"/>
        <v>0</v>
      </c>
      <c r="AN348" s="55">
        <f t="shared" si="472"/>
        <v>0</v>
      </c>
      <c r="AO348" s="55">
        <f t="shared" si="472"/>
        <v>0</v>
      </c>
      <c r="AP348" s="55">
        <f t="shared" si="472"/>
        <v>0</v>
      </c>
      <c r="AQ348" s="55">
        <f t="shared" si="472"/>
        <v>0</v>
      </c>
      <c r="AR348" s="55">
        <f t="shared" si="472"/>
        <v>0</v>
      </c>
      <c r="AS348" s="55">
        <f t="shared" si="472"/>
        <v>0</v>
      </c>
      <c r="AT348" s="55">
        <f t="shared" si="472"/>
        <v>0</v>
      </c>
      <c r="AU348" s="55">
        <f t="shared" si="472"/>
        <v>0</v>
      </c>
      <c r="AV348" s="55">
        <f t="shared" si="472"/>
        <v>0</v>
      </c>
      <c r="AW348" s="55">
        <f t="shared" si="472"/>
        <v>0</v>
      </c>
      <c r="AX348" s="55">
        <f t="shared" si="472"/>
        <v>0</v>
      </c>
      <c r="AY348" s="55">
        <f t="shared" si="472"/>
        <v>0</v>
      </c>
      <c r="AZ348" s="55">
        <f t="shared" si="472"/>
        <v>0</v>
      </c>
      <c r="BA348" s="55">
        <f t="shared" si="472"/>
        <v>0</v>
      </c>
      <c r="BB348" s="55">
        <f t="shared" si="472"/>
        <v>0</v>
      </c>
      <c r="BC348" s="55">
        <f t="shared" si="472"/>
        <v>0</v>
      </c>
      <c r="BD348" s="55">
        <f t="shared" si="472"/>
        <v>0</v>
      </c>
      <c r="BE348" s="55">
        <f t="shared" si="472"/>
        <v>0</v>
      </c>
      <c r="BF348" s="55">
        <f t="shared" si="472"/>
        <v>0</v>
      </c>
      <c r="BG348" s="55">
        <f t="shared" si="472"/>
        <v>0</v>
      </c>
      <c r="BH348" s="55">
        <f t="shared" si="472"/>
        <v>0</v>
      </c>
      <c r="BI348" s="55">
        <f t="shared" si="472"/>
        <v>0</v>
      </c>
      <c r="BJ348" s="55">
        <f t="shared" si="472"/>
        <v>0</v>
      </c>
    </row>
    <row r="349" spans="1:62" x14ac:dyDescent="0.3">
      <c r="A349" s="28" t="s">
        <v>266</v>
      </c>
      <c r="C349" s="55">
        <f t="shared" ref="C349:AH349" si="473">MIN(MAX(0,C348-($M$5-$M$5)),($M$6-$M$5))</f>
        <v>0</v>
      </c>
      <c r="D349" s="55">
        <f t="shared" si="473"/>
        <v>0</v>
      </c>
      <c r="E349" s="55">
        <f t="shared" si="473"/>
        <v>0</v>
      </c>
      <c r="F349" s="55">
        <f t="shared" si="473"/>
        <v>0</v>
      </c>
      <c r="G349" s="55">
        <f t="shared" si="473"/>
        <v>0</v>
      </c>
      <c r="H349" s="55">
        <f t="shared" si="473"/>
        <v>0</v>
      </c>
      <c r="I349" s="55">
        <f t="shared" si="473"/>
        <v>0</v>
      </c>
      <c r="J349" s="55">
        <f t="shared" si="473"/>
        <v>0</v>
      </c>
      <c r="K349" s="55">
        <f t="shared" si="473"/>
        <v>0</v>
      </c>
      <c r="L349" s="55">
        <f t="shared" si="473"/>
        <v>0</v>
      </c>
      <c r="M349" s="55">
        <f t="shared" si="473"/>
        <v>0</v>
      </c>
      <c r="N349" s="55">
        <f t="shared" si="473"/>
        <v>2.9634362206927278E-2</v>
      </c>
      <c r="O349" s="55">
        <f t="shared" si="473"/>
        <v>0</v>
      </c>
      <c r="P349" s="55">
        <f t="shared" si="473"/>
        <v>9.2384443911150456</v>
      </c>
      <c r="Q349" s="55">
        <f t="shared" si="473"/>
        <v>3.5954730506782582</v>
      </c>
      <c r="R349" s="55">
        <f t="shared" si="473"/>
        <v>0</v>
      </c>
      <c r="S349" s="55">
        <f t="shared" si="473"/>
        <v>1.2150821018222686</v>
      </c>
      <c r="T349" s="55">
        <f t="shared" si="473"/>
        <v>9.23733726212199</v>
      </c>
      <c r="U349" s="55">
        <f t="shared" si="473"/>
        <v>0</v>
      </c>
      <c r="V349" s="55">
        <f t="shared" si="473"/>
        <v>0</v>
      </c>
      <c r="W349" s="55">
        <f t="shared" si="473"/>
        <v>0</v>
      </c>
      <c r="X349" s="55">
        <f t="shared" si="473"/>
        <v>0</v>
      </c>
      <c r="Y349" s="55">
        <f t="shared" si="473"/>
        <v>0</v>
      </c>
      <c r="Z349" s="55">
        <f t="shared" si="473"/>
        <v>0</v>
      </c>
      <c r="AA349" s="55">
        <f t="shared" si="473"/>
        <v>0</v>
      </c>
      <c r="AB349" s="55">
        <f t="shared" si="473"/>
        <v>0</v>
      </c>
      <c r="AC349" s="55">
        <f t="shared" si="473"/>
        <v>0</v>
      </c>
      <c r="AD349" s="55">
        <f t="shared" si="473"/>
        <v>0</v>
      </c>
      <c r="AE349" s="55">
        <f t="shared" si="473"/>
        <v>0</v>
      </c>
      <c r="AF349" s="55">
        <f t="shared" si="473"/>
        <v>0</v>
      </c>
      <c r="AG349" s="55">
        <f t="shared" si="473"/>
        <v>0</v>
      </c>
      <c r="AH349" s="55">
        <f t="shared" si="473"/>
        <v>0</v>
      </c>
      <c r="AI349" s="55">
        <f t="shared" ref="AI349:BN349" si="474">MIN(MAX(0,AI348-($M$5-$M$5)),($M$6-$M$5))</f>
        <v>0</v>
      </c>
      <c r="AJ349" s="55">
        <f t="shared" si="474"/>
        <v>0</v>
      </c>
      <c r="AK349" s="55">
        <f t="shared" si="474"/>
        <v>0</v>
      </c>
      <c r="AL349" s="55">
        <f t="shared" si="474"/>
        <v>0</v>
      </c>
      <c r="AM349" s="55">
        <f t="shared" si="474"/>
        <v>0</v>
      </c>
      <c r="AN349" s="55">
        <f t="shared" si="474"/>
        <v>0</v>
      </c>
      <c r="AO349" s="55">
        <f t="shared" si="474"/>
        <v>0</v>
      </c>
      <c r="AP349" s="55">
        <f t="shared" si="474"/>
        <v>0</v>
      </c>
      <c r="AQ349" s="55">
        <f t="shared" si="474"/>
        <v>0</v>
      </c>
      <c r="AR349" s="55">
        <f t="shared" si="474"/>
        <v>0</v>
      </c>
      <c r="AS349" s="55">
        <f t="shared" si="474"/>
        <v>0</v>
      </c>
      <c r="AT349" s="55">
        <f t="shared" si="474"/>
        <v>0</v>
      </c>
      <c r="AU349" s="55">
        <f t="shared" si="474"/>
        <v>0</v>
      </c>
      <c r="AV349" s="55">
        <f t="shared" si="474"/>
        <v>0</v>
      </c>
      <c r="AW349" s="55">
        <f t="shared" si="474"/>
        <v>0</v>
      </c>
      <c r="AX349" s="55">
        <f t="shared" si="474"/>
        <v>0</v>
      </c>
      <c r="AY349" s="55">
        <f t="shared" si="474"/>
        <v>0</v>
      </c>
      <c r="AZ349" s="55">
        <f t="shared" si="474"/>
        <v>0</v>
      </c>
      <c r="BA349" s="55">
        <f t="shared" si="474"/>
        <v>0</v>
      </c>
      <c r="BB349" s="55">
        <f t="shared" si="474"/>
        <v>0</v>
      </c>
      <c r="BC349" s="55">
        <f t="shared" si="474"/>
        <v>0</v>
      </c>
      <c r="BD349" s="55">
        <f t="shared" si="474"/>
        <v>0</v>
      </c>
      <c r="BE349" s="55">
        <f t="shared" si="474"/>
        <v>0</v>
      </c>
      <c r="BF349" s="55">
        <f t="shared" si="474"/>
        <v>0</v>
      </c>
      <c r="BG349" s="55">
        <f t="shared" si="474"/>
        <v>0</v>
      </c>
      <c r="BH349" s="55">
        <f t="shared" si="474"/>
        <v>0</v>
      </c>
      <c r="BI349" s="55">
        <f t="shared" si="474"/>
        <v>0</v>
      </c>
      <c r="BJ349" s="55">
        <f t="shared" si="474"/>
        <v>0</v>
      </c>
    </row>
    <row r="350" spans="1:62" x14ac:dyDescent="0.3">
      <c r="A350" s="28" t="s">
        <v>267</v>
      </c>
      <c r="C350" s="55">
        <f t="shared" ref="C350:AH350" si="475">MIN(MAX(0,C348-($M$6-$M$5)),($M$7-$M$6))</f>
        <v>0</v>
      </c>
      <c r="D350" s="55">
        <f t="shared" si="475"/>
        <v>0</v>
      </c>
      <c r="E350" s="55">
        <f t="shared" si="475"/>
        <v>0</v>
      </c>
      <c r="F350" s="55">
        <f t="shared" si="475"/>
        <v>0</v>
      </c>
      <c r="G350" s="55">
        <f t="shared" si="475"/>
        <v>0</v>
      </c>
      <c r="H350" s="55">
        <f t="shared" si="475"/>
        <v>0</v>
      </c>
      <c r="I350" s="55">
        <f t="shared" si="475"/>
        <v>0</v>
      </c>
      <c r="J350" s="55">
        <f t="shared" si="475"/>
        <v>0</v>
      </c>
      <c r="K350" s="55">
        <f t="shared" si="475"/>
        <v>0</v>
      </c>
      <c r="L350" s="55">
        <f t="shared" si="475"/>
        <v>0</v>
      </c>
      <c r="M350" s="55">
        <f t="shared" si="475"/>
        <v>0</v>
      </c>
      <c r="N350" s="55">
        <f t="shared" si="475"/>
        <v>0</v>
      </c>
      <c r="O350" s="55">
        <f t="shared" si="475"/>
        <v>0</v>
      </c>
      <c r="P350" s="55">
        <f t="shared" si="475"/>
        <v>0</v>
      </c>
      <c r="Q350" s="55">
        <f t="shared" si="475"/>
        <v>0</v>
      </c>
      <c r="R350" s="55">
        <f t="shared" si="475"/>
        <v>0</v>
      </c>
      <c r="S350" s="55">
        <f t="shared" si="475"/>
        <v>0</v>
      </c>
      <c r="T350" s="55">
        <f t="shared" si="475"/>
        <v>0</v>
      </c>
      <c r="U350" s="55">
        <f t="shared" si="475"/>
        <v>0</v>
      </c>
      <c r="V350" s="55">
        <f t="shared" si="475"/>
        <v>0</v>
      </c>
      <c r="W350" s="55">
        <f t="shared" si="475"/>
        <v>0</v>
      </c>
      <c r="X350" s="55">
        <f t="shared" si="475"/>
        <v>0</v>
      </c>
      <c r="Y350" s="55">
        <f t="shared" si="475"/>
        <v>0</v>
      </c>
      <c r="Z350" s="55">
        <f t="shared" si="475"/>
        <v>0</v>
      </c>
      <c r="AA350" s="55">
        <f t="shared" si="475"/>
        <v>0</v>
      </c>
      <c r="AB350" s="55">
        <f t="shared" si="475"/>
        <v>0</v>
      </c>
      <c r="AC350" s="55">
        <f t="shared" si="475"/>
        <v>0</v>
      </c>
      <c r="AD350" s="55">
        <f t="shared" si="475"/>
        <v>0</v>
      </c>
      <c r="AE350" s="55">
        <f t="shared" si="475"/>
        <v>0</v>
      </c>
      <c r="AF350" s="55">
        <f t="shared" si="475"/>
        <v>0</v>
      </c>
      <c r="AG350" s="55">
        <f t="shared" si="475"/>
        <v>0</v>
      </c>
      <c r="AH350" s="55">
        <f t="shared" si="475"/>
        <v>0</v>
      </c>
      <c r="AI350" s="55">
        <f t="shared" ref="AI350:BJ350" si="476">MIN(MAX(0,AI348-($M$6-$M$5)),($M$7-$M$6))</f>
        <v>0</v>
      </c>
      <c r="AJ350" s="55">
        <f t="shared" si="476"/>
        <v>0</v>
      </c>
      <c r="AK350" s="55">
        <f t="shared" si="476"/>
        <v>0</v>
      </c>
      <c r="AL350" s="55">
        <f t="shared" si="476"/>
        <v>0</v>
      </c>
      <c r="AM350" s="55">
        <f t="shared" si="476"/>
        <v>0</v>
      </c>
      <c r="AN350" s="55">
        <f t="shared" si="476"/>
        <v>0</v>
      </c>
      <c r="AO350" s="55">
        <f t="shared" si="476"/>
        <v>0</v>
      </c>
      <c r="AP350" s="55">
        <f t="shared" si="476"/>
        <v>0</v>
      </c>
      <c r="AQ350" s="55">
        <f t="shared" si="476"/>
        <v>0</v>
      </c>
      <c r="AR350" s="55">
        <f t="shared" si="476"/>
        <v>0</v>
      </c>
      <c r="AS350" s="55">
        <f t="shared" si="476"/>
        <v>0</v>
      </c>
      <c r="AT350" s="55">
        <f t="shared" si="476"/>
        <v>0</v>
      </c>
      <c r="AU350" s="55">
        <f t="shared" si="476"/>
        <v>0</v>
      </c>
      <c r="AV350" s="55">
        <f t="shared" si="476"/>
        <v>0</v>
      </c>
      <c r="AW350" s="55">
        <f t="shared" si="476"/>
        <v>0</v>
      </c>
      <c r="AX350" s="55">
        <f t="shared" si="476"/>
        <v>0</v>
      </c>
      <c r="AY350" s="55">
        <f t="shared" si="476"/>
        <v>0</v>
      </c>
      <c r="AZ350" s="55">
        <f t="shared" si="476"/>
        <v>0</v>
      </c>
      <c r="BA350" s="55">
        <f t="shared" si="476"/>
        <v>0</v>
      </c>
      <c r="BB350" s="55">
        <f t="shared" si="476"/>
        <v>0</v>
      </c>
      <c r="BC350" s="55">
        <f t="shared" si="476"/>
        <v>0</v>
      </c>
      <c r="BD350" s="55">
        <f t="shared" si="476"/>
        <v>0</v>
      </c>
      <c r="BE350" s="55">
        <f t="shared" si="476"/>
        <v>0</v>
      </c>
      <c r="BF350" s="55">
        <f t="shared" si="476"/>
        <v>0</v>
      </c>
      <c r="BG350" s="55">
        <f t="shared" si="476"/>
        <v>0</v>
      </c>
      <c r="BH350" s="55">
        <f t="shared" si="476"/>
        <v>0</v>
      </c>
      <c r="BI350" s="55">
        <f t="shared" si="476"/>
        <v>0</v>
      </c>
      <c r="BJ350" s="55">
        <f t="shared" si="476"/>
        <v>0</v>
      </c>
    </row>
    <row r="351" spans="1:62" x14ac:dyDescent="0.3">
      <c r="A351" s="28" t="s">
        <v>268</v>
      </c>
      <c r="C351" s="55">
        <f t="shared" ref="C351:AH351" si="477">MIN(MAX(0,C348-($M$7-$M$5)),($M$8-$M$7))</f>
        <v>0</v>
      </c>
      <c r="D351" s="55">
        <f t="shared" si="477"/>
        <v>0</v>
      </c>
      <c r="E351" s="55">
        <f t="shared" si="477"/>
        <v>0</v>
      </c>
      <c r="F351" s="55">
        <f t="shared" si="477"/>
        <v>0</v>
      </c>
      <c r="G351" s="55">
        <f t="shared" si="477"/>
        <v>0</v>
      </c>
      <c r="H351" s="55">
        <f t="shared" si="477"/>
        <v>0</v>
      </c>
      <c r="I351" s="55">
        <f t="shared" si="477"/>
        <v>0</v>
      </c>
      <c r="J351" s="55">
        <f t="shared" si="477"/>
        <v>0</v>
      </c>
      <c r="K351" s="55">
        <f t="shared" si="477"/>
        <v>0</v>
      </c>
      <c r="L351" s="55">
        <f t="shared" si="477"/>
        <v>0</v>
      </c>
      <c r="M351" s="55">
        <f t="shared" si="477"/>
        <v>0</v>
      </c>
      <c r="N351" s="55">
        <f t="shared" si="477"/>
        <v>0</v>
      </c>
      <c r="O351" s="55">
        <f t="shared" si="477"/>
        <v>0</v>
      </c>
      <c r="P351" s="55">
        <f t="shared" si="477"/>
        <v>0</v>
      </c>
      <c r="Q351" s="55">
        <f t="shared" si="477"/>
        <v>0</v>
      </c>
      <c r="R351" s="55">
        <f t="shared" si="477"/>
        <v>0</v>
      </c>
      <c r="S351" s="55">
        <f t="shared" si="477"/>
        <v>0</v>
      </c>
      <c r="T351" s="55">
        <f t="shared" si="477"/>
        <v>0</v>
      </c>
      <c r="U351" s="55">
        <f t="shared" si="477"/>
        <v>0</v>
      </c>
      <c r="V351" s="55">
        <f t="shared" si="477"/>
        <v>0</v>
      </c>
      <c r="W351" s="55">
        <f t="shared" si="477"/>
        <v>0</v>
      </c>
      <c r="X351" s="55">
        <f t="shared" si="477"/>
        <v>0</v>
      </c>
      <c r="Y351" s="55">
        <f t="shared" si="477"/>
        <v>0</v>
      </c>
      <c r="Z351" s="55">
        <f t="shared" si="477"/>
        <v>0</v>
      </c>
      <c r="AA351" s="55">
        <f t="shared" si="477"/>
        <v>0</v>
      </c>
      <c r="AB351" s="55">
        <f t="shared" si="477"/>
        <v>0</v>
      </c>
      <c r="AC351" s="55">
        <f t="shared" si="477"/>
        <v>0</v>
      </c>
      <c r="AD351" s="55">
        <f t="shared" si="477"/>
        <v>0</v>
      </c>
      <c r="AE351" s="55">
        <f t="shared" si="477"/>
        <v>0</v>
      </c>
      <c r="AF351" s="55">
        <f t="shared" si="477"/>
        <v>0</v>
      </c>
      <c r="AG351" s="55">
        <f t="shared" si="477"/>
        <v>0</v>
      </c>
      <c r="AH351" s="55">
        <f t="shared" si="477"/>
        <v>0</v>
      </c>
      <c r="AI351" s="55">
        <f t="shared" ref="AI351:BJ351" si="478">MIN(MAX(0,AI348-($M$7-$M$5)),($M$8-$M$7))</f>
        <v>0</v>
      </c>
      <c r="AJ351" s="55">
        <f t="shared" si="478"/>
        <v>0</v>
      </c>
      <c r="AK351" s="55">
        <f t="shared" si="478"/>
        <v>0</v>
      </c>
      <c r="AL351" s="55">
        <f t="shared" si="478"/>
        <v>0</v>
      </c>
      <c r="AM351" s="55">
        <f t="shared" si="478"/>
        <v>0</v>
      </c>
      <c r="AN351" s="55">
        <f t="shared" si="478"/>
        <v>0</v>
      </c>
      <c r="AO351" s="55">
        <f t="shared" si="478"/>
        <v>0</v>
      </c>
      <c r="AP351" s="55">
        <f t="shared" si="478"/>
        <v>0</v>
      </c>
      <c r="AQ351" s="55">
        <f t="shared" si="478"/>
        <v>0</v>
      </c>
      <c r="AR351" s="55">
        <f t="shared" si="478"/>
        <v>0</v>
      </c>
      <c r="AS351" s="55">
        <f t="shared" si="478"/>
        <v>0</v>
      </c>
      <c r="AT351" s="55">
        <f t="shared" si="478"/>
        <v>0</v>
      </c>
      <c r="AU351" s="55">
        <f t="shared" si="478"/>
        <v>0</v>
      </c>
      <c r="AV351" s="55">
        <f t="shared" si="478"/>
        <v>0</v>
      </c>
      <c r="AW351" s="55">
        <f t="shared" si="478"/>
        <v>0</v>
      </c>
      <c r="AX351" s="55">
        <f t="shared" si="478"/>
        <v>0</v>
      </c>
      <c r="AY351" s="55">
        <f t="shared" si="478"/>
        <v>0</v>
      </c>
      <c r="AZ351" s="55">
        <f t="shared" si="478"/>
        <v>0</v>
      </c>
      <c r="BA351" s="55">
        <f t="shared" si="478"/>
        <v>0</v>
      </c>
      <c r="BB351" s="55">
        <f t="shared" si="478"/>
        <v>0</v>
      </c>
      <c r="BC351" s="55">
        <f t="shared" si="478"/>
        <v>0</v>
      </c>
      <c r="BD351" s="55">
        <f t="shared" si="478"/>
        <v>0</v>
      </c>
      <c r="BE351" s="55">
        <f t="shared" si="478"/>
        <v>0</v>
      </c>
      <c r="BF351" s="55">
        <f t="shared" si="478"/>
        <v>0</v>
      </c>
      <c r="BG351" s="55">
        <f t="shared" si="478"/>
        <v>0</v>
      </c>
      <c r="BH351" s="55">
        <f t="shared" si="478"/>
        <v>0</v>
      </c>
      <c r="BI351" s="55">
        <f t="shared" si="478"/>
        <v>0</v>
      </c>
      <c r="BJ351" s="55">
        <f t="shared" si="478"/>
        <v>0</v>
      </c>
    </row>
    <row r="352" spans="1:62" x14ac:dyDescent="0.3">
      <c r="A352" s="28" t="s">
        <v>269</v>
      </c>
      <c r="C352" s="55">
        <f t="shared" ref="C352:AH352" si="479">MAX(0,C348-($M$8-$M$5))</f>
        <v>0</v>
      </c>
      <c r="D352" s="55">
        <f t="shared" si="479"/>
        <v>0</v>
      </c>
      <c r="E352" s="55">
        <f t="shared" si="479"/>
        <v>0</v>
      </c>
      <c r="F352" s="55">
        <f t="shared" si="479"/>
        <v>0</v>
      </c>
      <c r="G352" s="55">
        <f t="shared" si="479"/>
        <v>0</v>
      </c>
      <c r="H352" s="55">
        <f t="shared" si="479"/>
        <v>0</v>
      </c>
      <c r="I352" s="55">
        <f t="shared" si="479"/>
        <v>0</v>
      </c>
      <c r="J352" s="55">
        <f t="shared" si="479"/>
        <v>0</v>
      </c>
      <c r="K352" s="55">
        <f t="shared" si="479"/>
        <v>0</v>
      </c>
      <c r="L352" s="55">
        <f t="shared" si="479"/>
        <v>0</v>
      </c>
      <c r="M352" s="55">
        <f t="shared" si="479"/>
        <v>0</v>
      </c>
      <c r="N352" s="55">
        <f t="shared" si="479"/>
        <v>0</v>
      </c>
      <c r="O352" s="55">
        <f t="shared" si="479"/>
        <v>0</v>
      </c>
      <c r="P352" s="55">
        <f t="shared" si="479"/>
        <v>0</v>
      </c>
      <c r="Q352" s="55">
        <f t="shared" si="479"/>
        <v>0</v>
      </c>
      <c r="R352" s="55">
        <f t="shared" si="479"/>
        <v>0</v>
      </c>
      <c r="S352" s="55">
        <f t="shared" si="479"/>
        <v>0</v>
      </c>
      <c r="T352" s="55">
        <f t="shared" si="479"/>
        <v>0</v>
      </c>
      <c r="U352" s="55">
        <f t="shared" si="479"/>
        <v>0</v>
      </c>
      <c r="V352" s="55">
        <f t="shared" si="479"/>
        <v>0</v>
      </c>
      <c r="W352" s="55">
        <f t="shared" si="479"/>
        <v>0</v>
      </c>
      <c r="X352" s="55">
        <f t="shared" si="479"/>
        <v>0</v>
      </c>
      <c r="Y352" s="55">
        <f t="shared" si="479"/>
        <v>0</v>
      </c>
      <c r="Z352" s="55">
        <f t="shared" si="479"/>
        <v>0</v>
      </c>
      <c r="AA352" s="55">
        <f t="shared" si="479"/>
        <v>0</v>
      </c>
      <c r="AB352" s="55">
        <f t="shared" si="479"/>
        <v>0</v>
      </c>
      <c r="AC352" s="55">
        <f t="shared" si="479"/>
        <v>0</v>
      </c>
      <c r="AD352" s="55">
        <f t="shared" si="479"/>
        <v>0</v>
      </c>
      <c r="AE352" s="55">
        <f t="shared" si="479"/>
        <v>0</v>
      </c>
      <c r="AF352" s="55">
        <f t="shared" si="479"/>
        <v>0</v>
      </c>
      <c r="AG352" s="55">
        <f t="shared" si="479"/>
        <v>0</v>
      </c>
      <c r="AH352" s="55">
        <f t="shared" si="479"/>
        <v>0</v>
      </c>
      <c r="AI352" s="55">
        <f t="shared" ref="AI352:BJ352" si="480">MAX(0,AI348-($M$8-$M$5))</f>
        <v>0</v>
      </c>
      <c r="AJ352" s="55">
        <f t="shared" si="480"/>
        <v>0</v>
      </c>
      <c r="AK352" s="55">
        <f t="shared" si="480"/>
        <v>0</v>
      </c>
      <c r="AL352" s="55">
        <f t="shared" si="480"/>
        <v>0</v>
      </c>
      <c r="AM352" s="55">
        <f t="shared" si="480"/>
        <v>0</v>
      </c>
      <c r="AN352" s="55">
        <f t="shared" si="480"/>
        <v>0</v>
      </c>
      <c r="AO352" s="55">
        <f t="shared" si="480"/>
        <v>0</v>
      </c>
      <c r="AP352" s="55">
        <f t="shared" si="480"/>
        <v>0</v>
      </c>
      <c r="AQ352" s="55">
        <f t="shared" si="480"/>
        <v>0</v>
      </c>
      <c r="AR352" s="55">
        <f t="shared" si="480"/>
        <v>0</v>
      </c>
      <c r="AS352" s="55">
        <f t="shared" si="480"/>
        <v>0</v>
      </c>
      <c r="AT352" s="55">
        <f t="shared" si="480"/>
        <v>0</v>
      </c>
      <c r="AU352" s="55">
        <f t="shared" si="480"/>
        <v>0</v>
      </c>
      <c r="AV352" s="55">
        <f t="shared" si="480"/>
        <v>0</v>
      </c>
      <c r="AW352" s="55">
        <f t="shared" si="480"/>
        <v>0</v>
      </c>
      <c r="AX352" s="55">
        <f t="shared" si="480"/>
        <v>0</v>
      </c>
      <c r="AY352" s="55">
        <f t="shared" si="480"/>
        <v>0</v>
      </c>
      <c r="AZ352" s="55">
        <f t="shared" si="480"/>
        <v>0</v>
      </c>
      <c r="BA352" s="55">
        <f t="shared" si="480"/>
        <v>0</v>
      </c>
      <c r="BB352" s="55">
        <f t="shared" si="480"/>
        <v>0</v>
      </c>
      <c r="BC352" s="55">
        <f t="shared" si="480"/>
        <v>0</v>
      </c>
      <c r="BD352" s="55">
        <f t="shared" si="480"/>
        <v>0</v>
      </c>
      <c r="BE352" s="55">
        <f t="shared" si="480"/>
        <v>0</v>
      </c>
      <c r="BF352" s="55">
        <f t="shared" si="480"/>
        <v>0</v>
      </c>
      <c r="BG352" s="55">
        <f t="shared" si="480"/>
        <v>0</v>
      </c>
      <c r="BH352" s="55">
        <f t="shared" si="480"/>
        <v>0</v>
      </c>
      <c r="BI352" s="55">
        <f t="shared" si="480"/>
        <v>0</v>
      </c>
      <c r="BJ352" s="55">
        <f t="shared" si="480"/>
        <v>0</v>
      </c>
    </row>
    <row r="353" spans="1:62" x14ac:dyDescent="0.3">
      <c r="A353" s="4" t="s">
        <v>270</v>
      </c>
      <c r="C353" s="57">
        <f t="shared" ref="C353:AH353" si="481">$B$12*($O$5*C349+$O$6*C350+$O$7*C351+$O$8*C352)</f>
        <v>0</v>
      </c>
      <c r="D353" s="57">
        <f t="shared" si="481"/>
        <v>0</v>
      </c>
      <c r="E353" s="57">
        <f t="shared" si="481"/>
        <v>0</v>
      </c>
      <c r="F353" s="57">
        <f t="shared" si="481"/>
        <v>0</v>
      </c>
      <c r="G353" s="57">
        <f t="shared" si="481"/>
        <v>0</v>
      </c>
      <c r="H353" s="57">
        <f t="shared" si="481"/>
        <v>0</v>
      </c>
      <c r="I353" s="57">
        <f t="shared" si="481"/>
        <v>0</v>
      </c>
      <c r="J353" s="57">
        <f t="shared" si="481"/>
        <v>0</v>
      </c>
      <c r="K353" s="57">
        <f t="shared" si="481"/>
        <v>0</v>
      </c>
      <c r="L353" s="57">
        <f t="shared" si="481"/>
        <v>0</v>
      </c>
      <c r="M353" s="57">
        <f t="shared" si="481"/>
        <v>0</v>
      </c>
      <c r="N353" s="57">
        <f t="shared" si="481"/>
        <v>2963.4362206927281</v>
      </c>
      <c r="O353" s="57">
        <f t="shared" si="481"/>
        <v>0</v>
      </c>
      <c r="P353" s="57">
        <f t="shared" si="481"/>
        <v>923844.43911150447</v>
      </c>
      <c r="Q353" s="57">
        <f t="shared" si="481"/>
        <v>359547.30506782583</v>
      </c>
      <c r="R353" s="57">
        <f t="shared" si="481"/>
        <v>0</v>
      </c>
      <c r="S353" s="57">
        <f t="shared" si="481"/>
        <v>121508.21018222687</v>
      </c>
      <c r="T353" s="57">
        <f t="shared" si="481"/>
        <v>923733.72621219896</v>
      </c>
      <c r="U353" s="57">
        <f t="shared" si="481"/>
        <v>0</v>
      </c>
      <c r="V353" s="57">
        <f t="shared" si="481"/>
        <v>0</v>
      </c>
      <c r="W353" s="57">
        <f t="shared" si="481"/>
        <v>0</v>
      </c>
      <c r="X353" s="57">
        <f t="shared" si="481"/>
        <v>0</v>
      </c>
      <c r="Y353" s="57">
        <f t="shared" si="481"/>
        <v>0</v>
      </c>
      <c r="Z353" s="57">
        <f t="shared" si="481"/>
        <v>0</v>
      </c>
      <c r="AA353" s="57">
        <f t="shared" si="481"/>
        <v>0</v>
      </c>
      <c r="AB353" s="57">
        <f t="shared" si="481"/>
        <v>0</v>
      </c>
      <c r="AC353" s="57">
        <f t="shared" si="481"/>
        <v>0</v>
      </c>
      <c r="AD353" s="57">
        <f t="shared" si="481"/>
        <v>0</v>
      </c>
      <c r="AE353" s="57">
        <f t="shared" si="481"/>
        <v>0</v>
      </c>
      <c r="AF353" s="57">
        <f t="shared" si="481"/>
        <v>0</v>
      </c>
      <c r="AG353" s="57">
        <f t="shared" si="481"/>
        <v>0</v>
      </c>
      <c r="AH353" s="57">
        <f t="shared" si="481"/>
        <v>0</v>
      </c>
      <c r="AI353" s="57">
        <f t="shared" ref="AI353:BN353" si="482">$B$12*($O$5*AI349+$O$6*AI350+$O$7*AI351+$O$8*AI352)</f>
        <v>0</v>
      </c>
      <c r="AJ353" s="57">
        <f t="shared" si="482"/>
        <v>0</v>
      </c>
      <c r="AK353" s="57">
        <f t="shared" si="482"/>
        <v>0</v>
      </c>
      <c r="AL353" s="57">
        <f t="shared" si="482"/>
        <v>0</v>
      </c>
      <c r="AM353" s="57">
        <f t="shared" si="482"/>
        <v>0</v>
      </c>
      <c r="AN353" s="57">
        <f t="shared" si="482"/>
        <v>0</v>
      </c>
      <c r="AO353" s="57">
        <f t="shared" si="482"/>
        <v>0</v>
      </c>
      <c r="AP353" s="57">
        <f t="shared" si="482"/>
        <v>0</v>
      </c>
      <c r="AQ353" s="57">
        <f t="shared" si="482"/>
        <v>0</v>
      </c>
      <c r="AR353" s="57">
        <f t="shared" si="482"/>
        <v>0</v>
      </c>
      <c r="AS353" s="57">
        <f t="shared" si="482"/>
        <v>0</v>
      </c>
      <c r="AT353" s="57">
        <f t="shared" si="482"/>
        <v>0</v>
      </c>
      <c r="AU353" s="57">
        <f t="shared" si="482"/>
        <v>0</v>
      </c>
      <c r="AV353" s="57">
        <f t="shared" si="482"/>
        <v>0</v>
      </c>
      <c r="AW353" s="57">
        <f t="shared" si="482"/>
        <v>0</v>
      </c>
      <c r="AX353" s="57">
        <f t="shared" si="482"/>
        <v>0</v>
      </c>
      <c r="AY353" s="57">
        <f t="shared" si="482"/>
        <v>0</v>
      </c>
      <c r="AZ353" s="57">
        <f t="shared" si="482"/>
        <v>0</v>
      </c>
      <c r="BA353" s="57">
        <f t="shared" si="482"/>
        <v>0</v>
      </c>
      <c r="BB353" s="57">
        <f t="shared" si="482"/>
        <v>0</v>
      </c>
      <c r="BC353" s="57">
        <f t="shared" si="482"/>
        <v>0</v>
      </c>
      <c r="BD353" s="57">
        <f t="shared" si="482"/>
        <v>0</v>
      </c>
      <c r="BE353" s="57">
        <f t="shared" si="482"/>
        <v>0</v>
      </c>
      <c r="BF353" s="57">
        <f t="shared" si="482"/>
        <v>0</v>
      </c>
      <c r="BG353" s="57">
        <f t="shared" si="482"/>
        <v>0</v>
      </c>
      <c r="BH353" s="57">
        <f t="shared" si="482"/>
        <v>0</v>
      </c>
      <c r="BI353" s="57">
        <f t="shared" si="482"/>
        <v>0</v>
      </c>
      <c r="BJ353" s="57">
        <f t="shared" si="482"/>
        <v>0</v>
      </c>
    </row>
    <row r="354" spans="1:62" x14ac:dyDescent="0.3">
      <c r="A354" s="28" t="s">
        <v>271</v>
      </c>
      <c r="C354" s="58">
        <f t="shared" ref="C354:AH354" si="483">IF(C338=0,0,C344/C338)</f>
        <v>0.16644570948188031</v>
      </c>
      <c r="D354" s="58">
        <f t="shared" si="483"/>
        <v>2.9875229702140804E-2</v>
      </c>
      <c r="E354" s="58">
        <f t="shared" si="483"/>
        <v>5.7822191401163264E-3</v>
      </c>
      <c r="F354" s="58">
        <f t="shared" si="483"/>
        <v>3.7550802403883324E-2</v>
      </c>
      <c r="G354" s="58">
        <f t="shared" si="483"/>
        <v>-6.946246156419853E-5</v>
      </c>
      <c r="H354" s="58">
        <f t="shared" si="483"/>
        <v>0.13669706485336411</v>
      </c>
      <c r="I354" s="58">
        <f t="shared" si="483"/>
        <v>4.4705273685245912E-4</v>
      </c>
      <c r="J354" s="58">
        <f t="shared" si="483"/>
        <v>0.12568386712195276</v>
      </c>
      <c r="K354" s="58">
        <f t="shared" si="483"/>
        <v>0.16040998703809026</v>
      </c>
      <c r="L354" s="58">
        <f t="shared" si="483"/>
        <v>0.16863324315790951</v>
      </c>
      <c r="M354" s="58">
        <f t="shared" si="483"/>
        <v>0.1435279622089351</v>
      </c>
      <c r="N354" s="58">
        <f t="shared" si="483"/>
        <v>0.16892683029622346</v>
      </c>
      <c r="O354" s="58">
        <f t="shared" si="483"/>
        <v>0.16399966756834555</v>
      </c>
      <c r="P354" s="58">
        <f t="shared" si="483"/>
        <v>0.21277830662435737</v>
      </c>
      <c r="Q354" s="58">
        <f t="shared" si="483"/>
        <v>0.18590701452703934</v>
      </c>
      <c r="R354" s="58">
        <f t="shared" si="483"/>
        <v>-4.8702136883180391E-5</v>
      </c>
      <c r="S354" s="58">
        <f t="shared" si="483"/>
        <v>0.17457181953248699</v>
      </c>
      <c r="T354" s="58">
        <f t="shared" si="483"/>
        <v>0.21277303458153329</v>
      </c>
      <c r="U354" s="58">
        <f t="shared" si="483"/>
        <v>0</v>
      </c>
      <c r="V354" s="58">
        <f t="shared" si="483"/>
        <v>0</v>
      </c>
      <c r="W354" s="58">
        <f t="shared" si="483"/>
        <v>0</v>
      </c>
      <c r="X354" s="58">
        <f t="shared" si="483"/>
        <v>0</v>
      </c>
      <c r="Y354" s="58">
        <f t="shared" si="483"/>
        <v>0</v>
      </c>
      <c r="Z354" s="58">
        <f t="shared" si="483"/>
        <v>0</v>
      </c>
      <c r="AA354" s="58">
        <f t="shared" si="483"/>
        <v>0</v>
      </c>
      <c r="AB354" s="58">
        <f t="shared" si="483"/>
        <v>0</v>
      </c>
      <c r="AC354" s="58">
        <f t="shared" si="483"/>
        <v>0</v>
      </c>
      <c r="AD354" s="58">
        <f t="shared" si="483"/>
        <v>0</v>
      </c>
      <c r="AE354" s="58">
        <f t="shared" si="483"/>
        <v>0</v>
      </c>
      <c r="AF354" s="58">
        <f t="shared" si="483"/>
        <v>0</v>
      </c>
      <c r="AG354" s="58">
        <f t="shared" si="483"/>
        <v>0</v>
      </c>
      <c r="AH354" s="58">
        <f t="shared" si="483"/>
        <v>0</v>
      </c>
      <c r="AI354" s="58">
        <f t="shared" ref="AI354:BJ354" si="484">IF(AI338=0,0,AI344/AI338)</f>
        <v>0</v>
      </c>
      <c r="AJ354" s="58">
        <f t="shared" si="484"/>
        <v>0</v>
      </c>
      <c r="AK354" s="58">
        <f t="shared" si="484"/>
        <v>0</v>
      </c>
      <c r="AL354" s="58">
        <f t="shared" si="484"/>
        <v>0</v>
      </c>
      <c r="AM354" s="58">
        <f t="shared" si="484"/>
        <v>0</v>
      </c>
      <c r="AN354" s="58">
        <f t="shared" si="484"/>
        <v>0</v>
      </c>
      <c r="AO354" s="58">
        <f t="shared" si="484"/>
        <v>0</v>
      </c>
      <c r="AP354" s="58">
        <f t="shared" si="484"/>
        <v>0</v>
      </c>
      <c r="AQ354" s="58">
        <f t="shared" si="484"/>
        <v>0</v>
      </c>
      <c r="AR354" s="58">
        <f t="shared" si="484"/>
        <v>0</v>
      </c>
      <c r="AS354" s="58">
        <f t="shared" si="484"/>
        <v>0</v>
      </c>
      <c r="AT354" s="58">
        <f t="shared" si="484"/>
        <v>0</v>
      </c>
      <c r="AU354" s="58">
        <f t="shared" si="484"/>
        <v>0</v>
      </c>
      <c r="AV354" s="58">
        <f t="shared" si="484"/>
        <v>0</v>
      </c>
      <c r="AW354" s="58">
        <f t="shared" si="484"/>
        <v>0</v>
      </c>
      <c r="AX354" s="58">
        <f t="shared" si="484"/>
        <v>0</v>
      </c>
      <c r="AY354" s="58">
        <f t="shared" si="484"/>
        <v>0</v>
      </c>
      <c r="AZ354" s="58">
        <f t="shared" si="484"/>
        <v>0</v>
      </c>
      <c r="BA354" s="58">
        <f t="shared" si="484"/>
        <v>0</v>
      </c>
      <c r="BB354" s="58">
        <f t="shared" si="484"/>
        <v>0</v>
      </c>
      <c r="BC354" s="58">
        <f t="shared" si="484"/>
        <v>0</v>
      </c>
      <c r="BD354" s="58">
        <f t="shared" si="484"/>
        <v>0</v>
      </c>
      <c r="BE354" s="58">
        <f t="shared" si="484"/>
        <v>0</v>
      </c>
      <c r="BF354" s="58">
        <f t="shared" si="484"/>
        <v>0</v>
      </c>
      <c r="BG354" s="58">
        <f t="shared" si="484"/>
        <v>0</v>
      </c>
      <c r="BH354" s="58">
        <f t="shared" si="484"/>
        <v>0</v>
      </c>
      <c r="BI354" s="58">
        <f t="shared" si="484"/>
        <v>0</v>
      </c>
      <c r="BJ354" s="58">
        <f t="shared" si="484"/>
        <v>0</v>
      </c>
    </row>
    <row r="355" spans="1:62" x14ac:dyDescent="0.3">
      <c r="A355" s="28" t="s">
        <v>272</v>
      </c>
      <c r="C355" s="58">
        <f t="shared" ref="C355:AH355" si="485">IF(C232&gt;0,SUMPRODUCT(C132:C231,$S$24:$S$123)/C232,NA())</f>
        <v>2.9410926768176355</v>
      </c>
      <c r="D355" s="58">
        <f t="shared" si="485"/>
        <v>3.199797919200241</v>
      </c>
      <c r="E355" s="58">
        <f t="shared" si="485"/>
        <v>3.6804384959449528</v>
      </c>
      <c r="F355" s="58">
        <f t="shared" si="485"/>
        <v>3.755421636931024</v>
      </c>
      <c r="G355" s="58">
        <f t="shared" si="485"/>
        <v>3.9414874477918533</v>
      </c>
      <c r="H355" s="58">
        <f t="shared" si="485"/>
        <v>4.0106180844798223</v>
      </c>
      <c r="I355" s="58">
        <f t="shared" si="485"/>
        <v>3.1798865514818866</v>
      </c>
      <c r="J355" s="58">
        <f t="shared" si="485"/>
        <v>2.7055220623544249</v>
      </c>
      <c r="K355" s="58">
        <f t="shared" si="485"/>
        <v>3.1543978341605636</v>
      </c>
      <c r="L355" s="58">
        <f t="shared" si="485"/>
        <v>3.0488982570073371</v>
      </c>
      <c r="M355" s="58">
        <f t="shared" si="485"/>
        <v>4.0562737712577501</v>
      </c>
      <c r="N355" s="58">
        <f t="shared" si="485"/>
        <v>3.8819626651527392</v>
      </c>
      <c r="O355" s="58">
        <f t="shared" si="485"/>
        <v>3.8212671623348906</v>
      </c>
      <c r="P355" s="58">
        <f t="shared" si="485"/>
        <v>4.1110117131962971</v>
      </c>
      <c r="Q355" s="58">
        <f t="shared" si="485"/>
        <v>5.3540343587006767</v>
      </c>
      <c r="R355" s="58">
        <f t="shared" si="485"/>
        <v>5.8064050932741518</v>
      </c>
      <c r="S355" s="58">
        <f t="shared" si="485"/>
        <v>8.1994609602598612</v>
      </c>
      <c r="T355" s="58">
        <f t="shared" si="485"/>
        <v>8.2960566035426915</v>
      </c>
      <c r="U355" s="58">
        <f t="shared" si="485"/>
        <v>6.6700982173301773</v>
      </c>
      <c r="V355" s="58" t="e">
        <f t="shared" si="485"/>
        <v>#N/A</v>
      </c>
      <c r="W355" s="58" t="e">
        <f t="shared" si="485"/>
        <v>#N/A</v>
      </c>
      <c r="X355" s="58" t="e">
        <f t="shared" si="485"/>
        <v>#N/A</v>
      </c>
      <c r="Y355" s="58" t="e">
        <f t="shared" si="485"/>
        <v>#N/A</v>
      </c>
      <c r="Z355" s="58" t="e">
        <f t="shared" si="485"/>
        <v>#N/A</v>
      </c>
      <c r="AA355" s="58" t="e">
        <f t="shared" si="485"/>
        <v>#N/A</v>
      </c>
      <c r="AB355" s="58" t="e">
        <f t="shared" si="485"/>
        <v>#N/A</v>
      </c>
      <c r="AC355" s="58" t="e">
        <f t="shared" si="485"/>
        <v>#N/A</v>
      </c>
      <c r="AD355" s="58" t="e">
        <f t="shared" si="485"/>
        <v>#N/A</v>
      </c>
      <c r="AE355" s="58" t="e">
        <f t="shared" si="485"/>
        <v>#N/A</v>
      </c>
      <c r="AF355" s="58" t="e">
        <f t="shared" si="485"/>
        <v>#N/A</v>
      </c>
      <c r="AG355" s="58" t="e">
        <f t="shared" si="485"/>
        <v>#N/A</v>
      </c>
      <c r="AH355" s="58" t="e">
        <f t="shared" si="485"/>
        <v>#N/A</v>
      </c>
      <c r="AI355" s="58" t="e">
        <f t="shared" ref="AI355:BJ355" si="486">IF(AI232&gt;0,SUMPRODUCT(AI132:AI231,$S$24:$S$123)/AI232,NA())</f>
        <v>#N/A</v>
      </c>
      <c r="AJ355" s="58" t="e">
        <f t="shared" si="486"/>
        <v>#N/A</v>
      </c>
      <c r="AK355" s="58" t="e">
        <f t="shared" si="486"/>
        <v>#N/A</v>
      </c>
      <c r="AL355" s="58" t="e">
        <f t="shared" si="486"/>
        <v>#N/A</v>
      </c>
      <c r="AM355" s="58" t="e">
        <f t="shared" si="486"/>
        <v>#N/A</v>
      </c>
      <c r="AN355" s="58" t="e">
        <f t="shared" si="486"/>
        <v>#N/A</v>
      </c>
      <c r="AO355" s="58" t="e">
        <f t="shared" si="486"/>
        <v>#N/A</v>
      </c>
      <c r="AP355" s="58" t="e">
        <f t="shared" si="486"/>
        <v>#N/A</v>
      </c>
      <c r="AQ355" s="58" t="e">
        <f t="shared" si="486"/>
        <v>#N/A</v>
      </c>
      <c r="AR355" s="58" t="e">
        <f t="shared" si="486"/>
        <v>#N/A</v>
      </c>
      <c r="AS355" s="58" t="e">
        <f t="shared" si="486"/>
        <v>#N/A</v>
      </c>
      <c r="AT355" s="58" t="e">
        <f t="shared" si="486"/>
        <v>#N/A</v>
      </c>
      <c r="AU355" s="58" t="e">
        <f t="shared" si="486"/>
        <v>#N/A</v>
      </c>
      <c r="AV355" s="58" t="e">
        <f t="shared" si="486"/>
        <v>#N/A</v>
      </c>
      <c r="AW355" s="58" t="e">
        <f t="shared" si="486"/>
        <v>#N/A</v>
      </c>
      <c r="AX355" s="58" t="e">
        <f t="shared" si="486"/>
        <v>#N/A</v>
      </c>
      <c r="AY355" s="58" t="e">
        <f t="shared" si="486"/>
        <v>#N/A</v>
      </c>
      <c r="AZ355" s="58" t="e">
        <f t="shared" si="486"/>
        <v>#N/A</v>
      </c>
      <c r="BA355" s="58" t="e">
        <f t="shared" si="486"/>
        <v>#N/A</v>
      </c>
      <c r="BB355" s="58" t="e">
        <f t="shared" si="486"/>
        <v>#N/A</v>
      </c>
      <c r="BC355" s="58" t="e">
        <f t="shared" si="486"/>
        <v>#N/A</v>
      </c>
      <c r="BD355" s="58" t="e">
        <f t="shared" si="486"/>
        <v>#N/A</v>
      </c>
      <c r="BE355" s="58" t="e">
        <f t="shared" si="486"/>
        <v>#N/A</v>
      </c>
      <c r="BF355" s="58" t="e">
        <f t="shared" si="486"/>
        <v>#N/A</v>
      </c>
      <c r="BG355" s="58" t="e">
        <f t="shared" si="486"/>
        <v>#N/A</v>
      </c>
      <c r="BH355" s="58" t="e">
        <f t="shared" si="486"/>
        <v>#N/A</v>
      </c>
      <c r="BI355" s="58" t="e">
        <f t="shared" si="486"/>
        <v>#N/A</v>
      </c>
      <c r="BJ355" s="58" t="e">
        <f t="shared" si="486"/>
        <v>#N/A</v>
      </c>
    </row>
    <row r="356" spans="1:62" x14ac:dyDescent="0.3">
      <c r="A356" s="28" t="s">
        <v>273</v>
      </c>
      <c r="C356" s="58">
        <f t="shared" ref="C356:AH356" si="487">IF(SUMIF($I$24:$I$123,C$127,$E$24:$E$123)&gt;0,SUMPRODUCT(($I$24:$I$123=C$127)*$E$24:$E$123*$S$24:$S$123)/SUMIF($I$24:$I$123,C$127,$E$24:$E$123),NA())</f>
        <v>3.4958990052629573</v>
      </c>
      <c r="D356" s="58" t="e">
        <f t="shared" si="487"/>
        <v>#N/A</v>
      </c>
      <c r="E356" s="58" t="e">
        <f t="shared" si="487"/>
        <v>#N/A</v>
      </c>
      <c r="F356" s="58">
        <f t="shared" si="487"/>
        <v>3.7274835980171508</v>
      </c>
      <c r="G356" s="58">
        <f t="shared" si="487"/>
        <v>1.5249490386069275</v>
      </c>
      <c r="H356" s="58">
        <f t="shared" si="487"/>
        <v>2.0305707776899338</v>
      </c>
      <c r="I356" s="58">
        <f t="shared" si="487"/>
        <v>3.5893589499547867</v>
      </c>
      <c r="J356" s="58">
        <f t="shared" si="487"/>
        <v>4.2124552666597497</v>
      </c>
      <c r="K356" s="58">
        <f t="shared" si="487"/>
        <v>3.3963097762243315</v>
      </c>
      <c r="L356" s="58">
        <f t="shared" si="487"/>
        <v>4.3421650808809416</v>
      </c>
      <c r="M356" s="58">
        <f t="shared" si="487"/>
        <v>4.3273992461064044</v>
      </c>
      <c r="N356" s="58">
        <f t="shared" si="487"/>
        <v>4.9696789842326927</v>
      </c>
      <c r="O356" s="58">
        <f t="shared" si="487"/>
        <v>3.8055801183971329</v>
      </c>
      <c r="P356" s="58">
        <f t="shared" si="487"/>
        <v>22.037607917451126</v>
      </c>
      <c r="Q356" s="58">
        <f t="shared" si="487"/>
        <v>7.3428433636300685</v>
      </c>
      <c r="R356" s="58">
        <f t="shared" si="487"/>
        <v>8.1367532469879578</v>
      </c>
      <c r="S356" s="58">
        <f t="shared" si="487"/>
        <v>6.9166686037130365</v>
      </c>
      <c r="T356" s="58">
        <f t="shared" si="487"/>
        <v>12.04109634501393</v>
      </c>
      <c r="U356" s="58" t="e">
        <f t="shared" si="487"/>
        <v>#N/A</v>
      </c>
      <c r="V356" s="58" t="e">
        <f t="shared" si="487"/>
        <v>#N/A</v>
      </c>
      <c r="W356" s="58" t="e">
        <f t="shared" si="487"/>
        <v>#N/A</v>
      </c>
      <c r="X356" s="58" t="e">
        <f t="shared" si="487"/>
        <v>#N/A</v>
      </c>
      <c r="Y356" s="58" t="e">
        <f t="shared" si="487"/>
        <v>#N/A</v>
      </c>
      <c r="Z356" s="58" t="e">
        <f t="shared" si="487"/>
        <v>#N/A</v>
      </c>
      <c r="AA356" s="58" t="e">
        <f t="shared" si="487"/>
        <v>#N/A</v>
      </c>
      <c r="AB356" s="58" t="e">
        <f t="shared" si="487"/>
        <v>#N/A</v>
      </c>
      <c r="AC356" s="58" t="e">
        <f t="shared" si="487"/>
        <v>#N/A</v>
      </c>
      <c r="AD356" s="58" t="e">
        <f t="shared" si="487"/>
        <v>#N/A</v>
      </c>
      <c r="AE356" s="58" t="e">
        <f t="shared" si="487"/>
        <v>#N/A</v>
      </c>
      <c r="AF356" s="58" t="e">
        <f t="shared" si="487"/>
        <v>#N/A</v>
      </c>
      <c r="AG356" s="58" t="e">
        <f t="shared" si="487"/>
        <v>#N/A</v>
      </c>
      <c r="AH356" s="58" t="e">
        <f t="shared" si="487"/>
        <v>#N/A</v>
      </c>
      <c r="AI356" s="58" t="e">
        <f t="shared" ref="AI356:BJ356" si="488">IF(SUMIF($I$24:$I$123,AI$127,$E$24:$E$123)&gt;0,SUMPRODUCT(($I$24:$I$123=AI$127)*$E$24:$E$123*$S$24:$S$123)/SUMIF($I$24:$I$123,AI$127,$E$24:$E$123),NA())</f>
        <v>#N/A</v>
      </c>
      <c r="AJ356" s="58" t="e">
        <f t="shared" si="488"/>
        <v>#N/A</v>
      </c>
      <c r="AK356" s="58" t="e">
        <f t="shared" si="488"/>
        <v>#N/A</v>
      </c>
      <c r="AL356" s="58" t="e">
        <f t="shared" si="488"/>
        <v>#N/A</v>
      </c>
      <c r="AM356" s="58" t="e">
        <f t="shared" si="488"/>
        <v>#N/A</v>
      </c>
      <c r="AN356" s="58" t="e">
        <f t="shared" si="488"/>
        <v>#N/A</v>
      </c>
      <c r="AO356" s="58" t="e">
        <f t="shared" si="488"/>
        <v>#N/A</v>
      </c>
      <c r="AP356" s="58" t="e">
        <f t="shared" si="488"/>
        <v>#N/A</v>
      </c>
      <c r="AQ356" s="58" t="e">
        <f t="shared" si="488"/>
        <v>#N/A</v>
      </c>
      <c r="AR356" s="58" t="e">
        <f t="shared" si="488"/>
        <v>#N/A</v>
      </c>
      <c r="AS356" s="58" t="e">
        <f t="shared" si="488"/>
        <v>#N/A</v>
      </c>
      <c r="AT356" s="58" t="e">
        <f t="shared" si="488"/>
        <v>#N/A</v>
      </c>
      <c r="AU356" s="58" t="e">
        <f t="shared" si="488"/>
        <v>#N/A</v>
      </c>
      <c r="AV356" s="58" t="e">
        <f t="shared" si="488"/>
        <v>#N/A</v>
      </c>
      <c r="AW356" s="58" t="e">
        <f t="shared" si="488"/>
        <v>#N/A</v>
      </c>
      <c r="AX356" s="58" t="e">
        <f t="shared" si="488"/>
        <v>#N/A</v>
      </c>
      <c r="AY356" s="58" t="e">
        <f t="shared" si="488"/>
        <v>#N/A</v>
      </c>
      <c r="AZ356" s="58" t="e">
        <f t="shared" si="488"/>
        <v>#N/A</v>
      </c>
      <c r="BA356" s="58" t="e">
        <f t="shared" si="488"/>
        <v>#N/A</v>
      </c>
      <c r="BB356" s="58" t="e">
        <f t="shared" si="488"/>
        <v>#N/A</v>
      </c>
      <c r="BC356" s="58" t="e">
        <f t="shared" si="488"/>
        <v>#N/A</v>
      </c>
      <c r="BD356" s="58" t="e">
        <f t="shared" si="488"/>
        <v>#N/A</v>
      </c>
      <c r="BE356" s="58" t="e">
        <f t="shared" si="488"/>
        <v>#N/A</v>
      </c>
      <c r="BF356" s="58" t="e">
        <f t="shared" si="488"/>
        <v>#N/A</v>
      </c>
      <c r="BG356" s="58" t="e">
        <f t="shared" si="488"/>
        <v>#N/A</v>
      </c>
      <c r="BH356" s="58" t="e">
        <f t="shared" si="488"/>
        <v>#N/A</v>
      </c>
      <c r="BI356" s="58" t="e">
        <f t="shared" si="488"/>
        <v>#N/A</v>
      </c>
      <c r="BJ356" s="58" t="e">
        <f t="shared" si="488"/>
        <v>#N/A</v>
      </c>
    </row>
    <row r="357" spans="1:62" x14ac:dyDescent="0.3">
      <c r="A357" s="28" t="s">
        <v>274</v>
      </c>
      <c r="C357" s="58">
        <f>IF(SUMPRODUCT($C$232:C$232,$C$129:C$129)&gt;0,SUMPRODUCT($C$335:C$335,$C$129:C$129)/SUMPRODUCT($C$232:C$232,$C$129:C$129),NA())</f>
        <v>0</v>
      </c>
      <c r="D357" s="58">
        <f>IF(SUMPRODUCT($C$232:D$232,$C$129:D$129)&gt;0,SUMPRODUCT($C$335:D$335,$C$129:D$129)/SUMPRODUCT($C$232:D$232,$C$129:D$129),NA())</f>
        <v>1.5036037424543363E-3</v>
      </c>
      <c r="E357" s="58">
        <f>IF(SUMPRODUCT($C$232:E$232,$C$129:E$129)&gt;0,SUMPRODUCT($C$335:E$335,$C$129:E$129)/SUMPRODUCT($C$232:E$232,$C$129:E$129),NA())</f>
        <v>1.2644841391383157E-2</v>
      </c>
      <c r="F357" s="58">
        <f>IF(SUMPRODUCT($C$232:F$232,$C$129:F$129)&gt;0,SUMPRODUCT($C$335:F$335,$C$129:F$129)/SUMPRODUCT($C$232:F$232,$C$129:F$129),NA())</f>
        <v>2.8973602651615249E-2</v>
      </c>
      <c r="G357" s="58">
        <f>IF(SUMPRODUCT($C$232:G$232,$C$129:G$129)&gt;0,SUMPRODUCT($C$335:G$335,$C$129:G$129)/SUMPRODUCT($C$232:G$232,$C$129:G$129),NA())</f>
        <v>4.5933601078094403E-2</v>
      </c>
      <c r="H357" s="58">
        <f>IF(SUMPRODUCT($C$232:H$232,$C$129:H$129)&gt;0,SUMPRODUCT($C$335:H$335,$C$129:H$129)/SUMPRODUCT($C$232:H$232,$C$129:H$129),NA())</f>
        <v>7.61092594955151E-2</v>
      </c>
      <c r="I357" s="58">
        <f>IF(SUMPRODUCT($C$232:I$232,$C$129:I$129)&gt;0,SUMPRODUCT($C$335:I$335,$C$129:I$129)/SUMPRODUCT($C$232:I$232,$C$129:I$129),NA())</f>
        <v>0.11119191534203302</v>
      </c>
      <c r="J357" s="58">
        <f>IF(SUMPRODUCT($C$232:J$232,$C$129:J$129)&gt;0,SUMPRODUCT($C$335:J$335,$C$129:J$129)/SUMPRODUCT($C$232:J$232,$C$129:J$129),NA())</f>
        <v>0.14155493494879307</v>
      </c>
      <c r="K357" s="58">
        <f>IF(SUMPRODUCT($C$232:K$232,$C$129:K$129)&gt;0,SUMPRODUCT($C$335:K$335,$C$129:K$129)/SUMPRODUCT($C$232:K$232,$C$129:K$129),NA())</f>
        <v>0.1686430094753297</v>
      </c>
      <c r="L357" s="58">
        <f>IF(SUMPRODUCT($C$232:L$232,$C$129:L$129)&gt;0,SUMPRODUCT($C$335:L$335,$C$129:L$129)/SUMPRODUCT($C$232:L$232,$C$129:L$129),NA())</f>
        <v>0.22183848893497116</v>
      </c>
      <c r="M357" s="58">
        <f>IF(SUMPRODUCT($C$232:M$232,$C$129:M$129)&gt;0,SUMPRODUCT($C$335:M$335,$C$129:M$129)/SUMPRODUCT($C$232:M$232,$C$129:M$129),NA())</f>
        <v>0.27001119253381545</v>
      </c>
      <c r="N357" s="58">
        <f>IF(SUMPRODUCT($C$232:N$232,$C$129:N$129)&gt;0,SUMPRODUCT($C$335:N$335,$C$129:N$129)/SUMPRODUCT($C$232:N$232,$C$129:N$129),NA())</f>
        <v>0.31207477767364977</v>
      </c>
      <c r="O357" s="58">
        <f>IF(SUMPRODUCT($C$232:O$232,$C$129:O$129)&gt;0,SUMPRODUCT($C$335:O$335,$C$129:O$129)/SUMPRODUCT($C$232:O$232,$C$129:O$129),NA())</f>
        <v>0.35862669795452229</v>
      </c>
      <c r="P357" s="58">
        <f>IF(SUMPRODUCT($C$232:P$232,$C$129:P$129)&gt;0,SUMPRODUCT($C$335:P$335,$C$129:P$129)/SUMPRODUCT($C$232:P$232,$C$129:P$129),NA())</f>
        <v>0.40154438698265671</v>
      </c>
      <c r="Q357" s="58">
        <f>IF(SUMPRODUCT($C$232:Q$232,$C$129:Q$129)&gt;0,SUMPRODUCT($C$335:Q$335,$C$129:Q$129)/SUMPRODUCT($C$232:Q$232,$C$129:Q$129),NA())</f>
        <v>0.45028987931696923</v>
      </c>
      <c r="R357" s="58">
        <f>IF(SUMPRODUCT($C$232:R$232,$C$129:R$129)&gt;0,SUMPRODUCT($C$335:R$335,$C$129:R$129)/SUMPRODUCT($C$232:R$232,$C$129:R$129),NA())</f>
        <v>0.48962781962813579</v>
      </c>
      <c r="S357" s="58">
        <f>IF(SUMPRODUCT($C$232:S$232,$C$129:S$129)&gt;0,SUMPRODUCT($C$335:S$335,$C$129:S$129)/SUMPRODUCT($C$232:S$232,$C$129:S$129),NA())</f>
        <v>0.54601837059788427</v>
      </c>
      <c r="T357" s="58">
        <f>IF(SUMPRODUCT($C$232:T$232,$C$129:T$129)&gt;0,SUMPRODUCT($C$335:T$335,$C$129:T$129)/SUMPRODUCT($C$232:T$232,$C$129:T$129),NA())</f>
        <v>0.59443383223216795</v>
      </c>
      <c r="U357" s="58">
        <f>IF(SUMPRODUCT($C$232:U$232,$C$129:U$129)&gt;0,SUMPRODUCT($C$335:U$335,$C$129:U$129)/SUMPRODUCT($C$232:U$232,$C$129:U$129),NA())</f>
        <v>0.65874365323209394</v>
      </c>
      <c r="V357" s="58">
        <f>IF(SUMPRODUCT($C$232:V$232,$C$129:V$129)&gt;0,SUMPRODUCT($C$335:V$335,$C$129:V$129)/SUMPRODUCT($C$232:V$232,$C$129:V$129),NA())</f>
        <v>0.75672143090322685</v>
      </c>
      <c r="W357" s="58">
        <f>IF(SUMPRODUCT($C$232:W$232,$C$129:W$129)&gt;0,SUMPRODUCT($C$335:W$335,$C$129:W$129)/SUMPRODUCT($C$232:W$232,$C$129:W$129),NA())</f>
        <v>0.85471755544442174</v>
      </c>
      <c r="X357" s="58">
        <f>IF(SUMPRODUCT($C$232:X$232,$C$129:X$129)&gt;0,SUMPRODUCT($C$335:X$335,$C$129:X$129)/SUMPRODUCT($C$232:X$232,$C$129:X$129),NA())</f>
        <v>0.95273610690283772</v>
      </c>
      <c r="Y357" s="58">
        <f>IF(SUMPRODUCT($C$232:Y$232,$C$129:Y$129)&gt;0,SUMPRODUCT($C$335:Y$335,$C$129:Y$129)/SUMPRODUCT($C$232:Y$232,$C$129:Y$129),NA())</f>
        <v>1.0507811619761238</v>
      </c>
      <c r="Z357" s="58">
        <f>IF(SUMPRODUCT($C$232:Z$232,$C$129:Z$129)&gt;0,SUMPRODUCT($C$335:Z$335,$C$129:Z$129)/SUMPRODUCT($C$232:Z$232,$C$129:Z$129),NA())</f>
        <v>1.1488567943058767</v>
      </c>
      <c r="AA357" s="58">
        <f>IF(SUMPRODUCT($C$232:AA$232,$C$129:AA$129)&gt;0,SUMPRODUCT($C$335:AA$335,$C$129:AA$129)/SUMPRODUCT($C$232:AA$232,$C$129:AA$129),NA())</f>
        <v>1.24696707476965</v>
      </c>
      <c r="AB357" s="58">
        <f>IF(SUMPRODUCT($C$232:AB$232,$C$129:AB$129)&gt;0,SUMPRODUCT($C$335:AB$335,$C$129:AB$129)/SUMPRODUCT($C$232:AB$232,$C$129:AB$129),NA())</f>
        <v>1.3451160717715795</v>
      </c>
      <c r="AC357" s="58">
        <f>IF(SUMPRODUCT($C$232:AC$232,$C$129:AC$129)&gt;0,SUMPRODUCT($C$335:AC$335,$C$129:AC$129)/SUMPRODUCT($C$232:AC$232,$C$129:AC$129),NA())</f>
        <v>1.4433078515316857</v>
      </c>
      <c r="AD357" s="58">
        <f>IF(SUMPRODUCT($C$232:AD$232,$C$129:AD$129)&gt;0,SUMPRODUCT($C$335:AD$335,$C$129:AD$129)/SUMPRODUCT($C$232:AD$232,$C$129:AD$129),NA())</f>
        <v>1.5415464783739143</v>
      </c>
      <c r="AE357" s="58">
        <f>IF(SUMPRODUCT($C$232:AE$232,$C$129:AE$129)&gt;0,SUMPRODUCT($C$335:AE$335,$C$129:AE$129)/SUMPRODUCT($C$232:AE$232,$C$129:AE$129),NA())</f>
        <v>1.6398360150129727</v>
      </c>
      <c r="AF357" s="58">
        <f>IF(SUMPRODUCT($C$232:AF$232,$C$129:AF$129)&gt;0,SUMPRODUCT($C$335:AF$335,$C$129:AF$129)/SUMPRODUCT($C$232:AF$232,$C$129:AF$129),NA())</f>
        <v>1.7381805228400191</v>
      </c>
      <c r="AG357" s="58">
        <f>IF(SUMPRODUCT($C$232:AG$232,$C$129:AG$129)&gt;0,SUMPRODUCT($C$335:AG$335,$C$129:AG$129)/SUMPRODUCT($C$232:AG$232,$C$129:AG$129),NA())</f>
        <v>1.836584062207262</v>
      </c>
      <c r="AH357" s="58">
        <f>IF(SUMPRODUCT($C$232:AH$232,$C$129:AH$129)&gt;0,SUMPRODUCT($C$335:AH$335,$C$129:AH$129)/SUMPRODUCT($C$232:AH$232,$C$129:AH$129),NA())</f>
        <v>1.9355357500046446</v>
      </c>
      <c r="AI357" s="58">
        <f>IF(SUMPRODUCT($C$232:AI$232,$C$129:AI$129)&gt;0,SUMPRODUCT($C$335:AI$335,$C$129:AI$129)/SUMPRODUCT($C$232:AI$232,$C$129:AI$129),NA())</f>
        <v>2.0350426980093981</v>
      </c>
      <c r="AJ357" s="58">
        <f>IF(SUMPRODUCT($C$232:AJ$232,$C$129:AJ$129)&gt;0,SUMPRODUCT($C$335:AJ$335,$C$129:AJ$129)/SUMPRODUCT($C$232:AJ$232,$C$129:AJ$129),NA())</f>
        <v>2.1351120947630187</v>
      </c>
      <c r="AK357" s="58">
        <f>IF(SUMPRODUCT($C$232:AK$232,$C$129:AK$129)&gt;0,SUMPRODUCT($C$335:AK$335,$C$129:AK$129)/SUMPRODUCT($C$232:AK$232,$C$129:AK$129),NA())</f>
        <v>2.2357512065388874</v>
      </c>
      <c r="AL357" s="58">
        <f>IF(SUMPRODUCT($C$232:AL$232,$C$129:AL$129)&gt;0,SUMPRODUCT($C$335:AL$335,$C$129:AL$129)/SUMPRODUCT($C$232:AL$232,$C$129:AL$129),NA())</f>
        <v>2.3369673783214031</v>
      </c>
      <c r="AM357" s="58">
        <f>IF(SUMPRODUCT($C$232:AM$232,$C$129:AM$129)&gt;0,SUMPRODUCT($C$335:AM$335,$C$129:AM$129)/SUMPRODUCT($C$232:AM$232,$C$129:AM$129),NA())</f>
        <v>2.4387680347968166</v>
      </c>
      <c r="AN357" s="58">
        <f>IF(SUMPRODUCT($C$232:AN$232,$C$129:AN$129)&gt;0,SUMPRODUCT($C$335:AN$335,$C$129:AN$129)/SUMPRODUCT($C$232:AN$232,$C$129:AN$129),NA())</f>
        <v>2.5411606813559113</v>
      </c>
      <c r="AO357" s="58">
        <f>IF(SUMPRODUCT($C$232:AO$232,$C$129:AO$129)&gt;0,SUMPRODUCT($C$335:AO$335,$C$129:AO$129)/SUMPRODUCT($C$232:AO$232,$C$129:AO$129),NA())</f>
        <v>2.6441529051087178</v>
      </c>
      <c r="AP357" s="58">
        <f>IF(SUMPRODUCT($C$232:AP$232,$C$129:AP$129)&gt;0,SUMPRODUCT($C$335:AP$335,$C$129:AP$129)/SUMPRODUCT($C$232:AP$232,$C$129:AP$129),NA())</f>
        <v>2.747752375911424</v>
      </c>
      <c r="AQ357" s="58">
        <f>IF(SUMPRODUCT($C$232:AQ$232,$C$129:AQ$129)&gt;0,SUMPRODUCT($C$335:AQ$335,$C$129:AQ$129)/SUMPRODUCT($C$232:AQ$232,$C$129:AQ$129),NA())</f>
        <v>2.8519668474056554</v>
      </c>
      <c r="AR357" s="58">
        <f>IF(SUMPRODUCT($C$232:AR$232,$C$129:AR$129)&gt;0,SUMPRODUCT($C$335:AR$335,$C$129:AR$129)/SUMPRODUCT($C$232:AR$232,$C$129:AR$129),NA())</f>
        <v>2.9566359329353498</v>
      </c>
      <c r="AS357" s="58">
        <f>IF(SUMPRODUCT($C$232:AS$232,$C$129:AS$129)&gt;0,SUMPRODUCT($C$335:AS$335,$C$129:AS$129)/SUMPRODUCT($C$232:AS$232,$C$129:AS$129),NA())</f>
        <v>3.0603206661521383</v>
      </c>
      <c r="AT357" s="58">
        <f>IF(SUMPRODUCT($C$232:AT$232,$C$129:AT$129)&gt;0,SUMPRODUCT($C$335:AT$335,$C$129:AT$129)/SUMPRODUCT($C$232:AT$232,$C$129:AT$129),NA())</f>
        <v>3.1625278469009444</v>
      </c>
      <c r="AU357" s="58">
        <f>IF(SUMPRODUCT($C$232:AU$232,$C$129:AU$129)&gt;0,SUMPRODUCT($C$335:AU$335,$C$129:AU$129)/SUMPRODUCT($C$232:AU$232,$C$129:AU$129),NA())</f>
        <v>3.2635818082498056</v>
      </c>
      <c r="AV357" s="58">
        <f>IF(SUMPRODUCT($C$232:AV$232,$C$129:AV$129)&gt;0,SUMPRODUCT($C$335:AV$335,$C$129:AV$129)/SUMPRODUCT($C$232:AV$232,$C$129:AV$129),NA())</f>
        <v>3.3607319950980132</v>
      </c>
      <c r="AW357" s="58">
        <f>IF(SUMPRODUCT($C$232:AW$232,$C$129:AW$129)&gt;0,SUMPRODUCT($C$335:AW$335,$C$129:AW$129)/SUMPRODUCT($C$232:AW$232,$C$129:AW$129),NA())</f>
        <v>3.4535034110621514</v>
      </c>
      <c r="AX357" s="58">
        <f>IF(SUMPRODUCT($C$232:AX$232,$C$129:AX$129)&gt;0,SUMPRODUCT($C$335:AX$335,$C$129:AX$129)/SUMPRODUCT($C$232:AX$232,$C$129:AX$129),NA())</f>
        <v>3.5468485244666592</v>
      </c>
      <c r="AY357" s="58">
        <f>IF(SUMPRODUCT($C$232:AY$232,$C$129:AY$129)&gt;0,SUMPRODUCT($C$335:AY$335,$C$129:AY$129)/SUMPRODUCT($C$232:AY$232,$C$129:AY$129),NA())</f>
        <v>3.6391230638539227</v>
      </c>
      <c r="AZ357" s="58">
        <f>IF(SUMPRODUCT($C$232:AZ$232,$C$129:AZ$129)&gt;0,SUMPRODUCT($C$335:AZ$335,$C$129:AZ$129)/SUMPRODUCT($C$232:AZ$232,$C$129:AZ$129),NA())</f>
        <v>3.7160420938282255</v>
      </c>
      <c r="BA357" s="58">
        <f>IF(SUMPRODUCT($C$232:BA$232,$C$129:BA$129)&gt;0,SUMPRODUCT($C$335:BA$335,$C$129:BA$129)/SUMPRODUCT($C$232:BA$232,$C$129:BA$129),NA())</f>
        <v>3.7903155460277067</v>
      </c>
      <c r="BB357" s="58">
        <f>IF(SUMPRODUCT($C$232:BB$232,$C$129:BB$129)&gt;0,SUMPRODUCT($C$335:BB$335,$C$129:BB$129)/SUMPRODUCT($C$232:BB$232,$C$129:BB$129),NA())</f>
        <v>3.8651672508787138</v>
      </c>
      <c r="BC357" s="58">
        <f>IF(SUMPRODUCT($C$232:BC$232,$C$129:BC$129)&gt;0,SUMPRODUCT($C$335:BC$335,$C$129:BC$129)/SUMPRODUCT($C$232:BC$232,$C$129:BC$129),NA())</f>
        <v>3.9313837088943369</v>
      </c>
      <c r="BD357" s="58">
        <f>IF(SUMPRODUCT($C$232:BD$232,$C$129:BD$129)&gt;0,SUMPRODUCT($C$335:BD$335,$C$129:BD$129)/SUMPRODUCT($C$232:BD$232,$C$129:BD$129),NA())</f>
        <v>3.9972619209328388</v>
      </c>
      <c r="BE357" s="58">
        <f>IF(SUMPRODUCT($C$232:BE$232,$C$129:BE$129)&gt;0,SUMPRODUCT($C$335:BE$335,$C$129:BE$129)/SUMPRODUCT($C$232:BE$232,$C$129:BE$129),NA())</f>
        <v>4.0489620761422103</v>
      </c>
      <c r="BF357" s="58">
        <f>IF(SUMPRODUCT($C$232:BF$232,$C$129:BF$129)&gt;0,SUMPRODUCT($C$335:BF$335,$C$129:BF$129)/SUMPRODUCT($C$232:BF$232,$C$129:BF$129),NA())</f>
        <v>4.101186834953956</v>
      </c>
      <c r="BG357" s="58">
        <f>IF(SUMPRODUCT($C$232:BG$232,$C$129:BG$129)&gt;0,SUMPRODUCT($C$335:BG$335,$C$129:BG$129)/SUMPRODUCT($C$232:BG$232,$C$129:BG$129),NA())</f>
        <v>4.138662593631337</v>
      </c>
      <c r="BH357" s="58">
        <f>IF(SUMPRODUCT($C$232:BH$232,$C$129:BH$129)&gt;0,SUMPRODUCT($C$335:BH$335,$C$129:BH$129)/SUMPRODUCT($C$232:BH$232,$C$129:BH$129),NA())</f>
        <v>4.1764431594177118</v>
      </c>
      <c r="BI357" s="58">
        <f>IF(SUMPRODUCT($C$232:BI$232,$C$129:BI$129)&gt;0,SUMPRODUCT($C$335:BI$335,$C$129:BI$129)/SUMPRODUCT($C$232:BI$232,$C$129:BI$129),NA())</f>
        <v>4.2072698661814325</v>
      </c>
      <c r="BJ357" s="58">
        <f>IF(SUMPRODUCT($C$232:BJ$232,$C$129:BJ$129)&gt;0,SUMPRODUCT($C$335:BJ$335,$C$129:BJ$129)/SUMPRODUCT($C$232:BJ$232,$C$129:BJ$129),NA())</f>
        <v>4.2072698661814325</v>
      </c>
    </row>
  </sheetData>
  <mergeCells count="14">
    <mergeCell ref="D17:I17"/>
    <mergeCell ref="D12:I12"/>
    <mergeCell ref="D6:I6"/>
    <mergeCell ref="D16:I16"/>
    <mergeCell ref="D7:I7"/>
    <mergeCell ref="D8:I8"/>
    <mergeCell ref="D15:I15"/>
    <mergeCell ref="D11:I11"/>
    <mergeCell ref="D10:I10"/>
    <mergeCell ref="D13:I13"/>
    <mergeCell ref="D14:I14"/>
    <mergeCell ref="D4:I4"/>
    <mergeCell ref="D5:I5"/>
    <mergeCell ref="D9:I9"/>
  </mergeCells>
  <conditionalFormatting sqref="C132:BJ231">
    <cfRule type="cellIs" dxfId="18" priority="5" operator="greaterThan">
      <formula>0</formula>
    </cfRule>
  </conditionalFormatting>
  <conditionalFormatting sqref="C235:BJ334">
    <cfRule type="cellIs" dxfId="17" priority="6" operator="greaterThan">
      <formula>0</formula>
    </cfRule>
  </conditionalFormatting>
  <conditionalFormatting sqref="C341:BJ341">
    <cfRule type="expression" dxfId="16" priority="9">
      <formula>C341&gt;C338+0.005</formula>
    </cfRule>
  </conditionalFormatting>
  <conditionalFormatting sqref="C344:BJ344">
    <cfRule type="cellIs" dxfId="15" priority="7" operator="lessThan">
      <formula>-0.5</formula>
    </cfRule>
  </conditionalFormatting>
  <conditionalFormatting sqref="C348:BJ348">
    <cfRule type="cellIs" dxfId="14" priority="8" operator="greaterThan">
      <formula>0.005</formula>
    </cfRule>
  </conditionalFormatting>
  <conditionalFormatting sqref="J4">
    <cfRule type="cellIs" dxfId="13" priority="1" operator="lessThan">
      <formula>-0.5</formula>
    </cfRule>
  </conditionalFormatting>
  <conditionalFormatting sqref="J16">
    <cfRule type="cellIs" dxfId="12" priority="2" operator="notBetween">
      <formula>-0.001</formula>
      <formula>0.001</formula>
    </cfRule>
  </conditionalFormatting>
  <conditionalFormatting sqref="N24:N123">
    <cfRule type="cellIs" dxfId="11" priority="4" operator="greaterThan">
      <formula>0</formula>
    </cfRule>
  </conditionalFormatting>
  <conditionalFormatting sqref="Q24:Q123">
    <cfRule type="cellIs" dxfId="10" priority="3" operator="notBetween">
      <formula>-0.05</formula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357"/>
  <sheetViews>
    <sheetView zoomScale="85" workbookViewId="0">
      <pane xSplit="2" ySplit="23" topLeftCell="C2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2" customWidth="1"/>
    <col min="3" max="62" width="9" customWidth="1"/>
  </cols>
  <sheetData>
    <row r="1" spans="1:15" ht="17.399999999999999" x14ac:dyDescent="0.3">
      <c r="A1" s="1" t="s">
        <v>279</v>
      </c>
    </row>
    <row r="2" spans="1:15" x14ac:dyDescent="0.3">
      <c r="A2" s="2" t="s">
        <v>280</v>
      </c>
    </row>
    <row r="3" spans="1:15" x14ac:dyDescent="0.3">
      <c r="D3" s="4" t="s">
        <v>79</v>
      </c>
      <c r="L3" s="4" t="s">
        <v>80</v>
      </c>
    </row>
    <row r="4" spans="1:15" ht="41.4" x14ac:dyDescent="0.3">
      <c r="A4" s="28" t="s">
        <v>81</v>
      </c>
      <c r="B4" s="29">
        <v>210</v>
      </c>
      <c r="D4" s="77" t="s">
        <v>82</v>
      </c>
      <c r="E4" s="73"/>
      <c r="F4" s="73"/>
      <c r="G4" s="73"/>
      <c r="H4" s="73"/>
      <c r="I4" s="73"/>
      <c r="J4" s="30">
        <f>MIN(C344:BJ344)</f>
        <v>-1.9786623377626711E-2</v>
      </c>
      <c r="L4" s="3" t="s">
        <v>83</v>
      </c>
      <c r="M4" s="3" t="s">
        <v>84</v>
      </c>
      <c r="N4" s="3" t="s">
        <v>85</v>
      </c>
      <c r="O4" s="3" t="s">
        <v>86</v>
      </c>
    </row>
    <row r="5" spans="1:15" x14ac:dyDescent="0.3">
      <c r="A5" s="28" t="s">
        <v>87</v>
      </c>
      <c r="B5" s="16">
        <v>2026</v>
      </c>
      <c r="D5" s="77" t="s">
        <v>88</v>
      </c>
      <c r="E5" s="73"/>
      <c r="F5" s="73"/>
      <c r="G5" s="73"/>
      <c r="H5" s="73"/>
      <c r="I5" s="73"/>
      <c r="J5" s="30">
        <f>MAX(C346:BJ346)</f>
        <v>1691.053158990587</v>
      </c>
      <c r="L5" s="28" t="s">
        <v>89</v>
      </c>
      <c r="M5" s="29">
        <v>35.445</v>
      </c>
      <c r="N5" s="31">
        <f>M5/$B$4</f>
        <v>0.16878571428571429</v>
      </c>
      <c r="O5" s="32">
        <v>0</v>
      </c>
    </row>
    <row r="6" spans="1:15" x14ac:dyDescent="0.3">
      <c r="A6" s="28" t="s">
        <v>90</v>
      </c>
      <c r="B6" s="33">
        <v>0.02</v>
      </c>
      <c r="D6" s="77" t="s">
        <v>25</v>
      </c>
      <c r="E6" s="73"/>
      <c r="F6" s="73"/>
      <c r="G6" s="73"/>
      <c r="H6" s="73"/>
      <c r="I6" s="73"/>
      <c r="J6" s="30">
        <f>IFERROR(SUM(C346:BJ346)/SUM(C345:BJ345),0)</f>
        <v>630.20539267819936</v>
      </c>
      <c r="L6" s="28" t="s">
        <v>91</v>
      </c>
      <c r="M6" s="29">
        <v>47.26</v>
      </c>
      <c r="N6" s="31">
        <f>M6/$B$4</f>
        <v>0.22504761904761905</v>
      </c>
      <c r="O6" s="32">
        <v>0</v>
      </c>
    </row>
    <row r="7" spans="1:15" x14ac:dyDescent="0.3">
      <c r="A7" s="28" t="s">
        <v>92</v>
      </c>
      <c r="B7" s="16">
        <v>30</v>
      </c>
      <c r="D7" s="77" t="s">
        <v>93</v>
      </c>
      <c r="E7" s="73"/>
      <c r="F7" s="73"/>
      <c r="G7" s="73"/>
      <c r="H7" s="73"/>
      <c r="I7" s="73"/>
      <c r="J7" s="34">
        <f>COUNTIF(C348:BJ348,"&gt;0.005")</f>
        <v>13</v>
      </c>
      <c r="L7" s="28" t="s">
        <v>94</v>
      </c>
      <c r="M7" s="29">
        <v>59.075099999999999</v>
      </c>
      <c r="N7" s="31">
        <f>M7/$B$4</f>
        <v>0.28131</v>
      </c>
      <c r="O7" s="32">
        <v>0</v>
      </c>
    </row>
    <row r="8" spans="1:15" x14ac:dyDescent="0.3">
      <c r="A8" s="28" t="s">
        <v>95</v>
      </c>
      <c r="B8" s="33">
        <v>1.4999999999999999E-2</v>
      </c>
      <c r="D8" s="77" t="s">
        <v>20</v>
      </c>
      <c r="E8" s="73"/>
      <c r="F8" s="73"/>
      <c r="G8" s="73"/>
      <c r="H8" s="73"/>
      <c r="I8" s="73"/>
      <c r="J8" s="35">
        <f>MAX(C341:BJ341)/$B$4</f>
        <v>4.0557502784969888</v>
      </c>
      <c r="L8" s="28" t="s">
        <v>96</v>
      </c>
      <c r="M8" s="29">
        <v>70.890100000000004</v>
      </c>
      <c r="N8" s="31">
        <f>M8/$B$4</f>
        <v>0.3375719047619048</v>
      </c>
      <c r="O8" s="32">
        <v>0</v>
      </c>
    </row>
    <row r="9" spans="1:15" x14ac:dyDescent="0.3">
      <c r="A9" s="28" t="s">
        <v>97</v>
      </c>
      <c r="B9" s="16">
        <v>40</v>
      </c>
      <c r="D9" s="77" t="s">
        <v>98</v>
      </c>
      <c r="E9" s="73"/>
      <c r="F9" s="73"/>
      <c r="G9" s="73"/>
      <c r="H9" s="73"/>
      <c r="I9" s="73"/>
      <c r="J9" s="34">
        <f>SUMPRODUCT(--(C341:BJ341&gt;C338:BJ338+0.005))</f>
        <v>6</v>
      </c>
      <c r="L9" s="13" t="s">
        <v>99</v>
      </c>
    </row>
    <row r="10" spans="1:15" x14ac:dyDescent="0.3">
      <c r="A10" s="28" t="s">
        <v>100</v>
      </c>
      <c r="B10" s="36">
        <v>0</v>
      </c>
      <c r="D10" s="77" t="s">
        <v>101</v>
      </c>
      <c r="E10" s="73"/>
      <c r="F10" s="73"/>
      <c r="G10" s="73"/>
      <c r="H10" s="73"/>
      <c r="I10" s="73"/>
      <c r="J10" s="34">
        <f>COUNTIFS(C339:BJ339,1,C341:BJ341,0)</f>
        <v>0</v>
      </c>
    </row>
    <row r="11" spans="1:15" x14ac:dyDescent="0.3">
      <c r="A11" s="28" t="s">
        <v>102</v>
      </c>
      <c r="B11" s="37">
        <v>1</v>
      </c>
      <c r="D11" s="77" t="s">
        <v>103</v>
      </c>
      <c r="E11" s="73"/>
      <c r="F11" s="73"/>
      <c r="G11" s="73"/>
      <c r="H11" s="73"/>
      <c r="I11" s="73"/>
      <c r="J11" s="38">
        <f>SUM(C346:BJ346)*$B$12*$B$10</f>
        <v>0</v>
      </c>
    </row>
    <row r="12" spans="1:15" x14ac:dyDescent="0.3">
      <c r="A12" s="28" t="s">
        <v>104</v>
      </c>
      <c r="B12" s="16">
        <v>100</v>
      </c>
      <c r="D12" s="77" t="s">
        <v>105</v>
      </c>
      <c r="E12" s="73"/>
      <c r="F12" s="73"/>
      <c r="G12" s="73"/>
      <c r="H12" s="73"/>
      <c r="I12" s="73"/>
      <c r="J12" s="38">
        <f>SUM(C353:BJ353)</f>
        <v>0</v>
      </c>
    </row>
    <row r="13" spans="1:15" x14ac:dyDescent="0.3">
      <c r="A13" s="28" t="s">
        <v>106</v>
      </c>
      <c r="B13" s="32">
        <v>10000</v>
      </c>
      <c r="D13" s="77" t="s">
        <v>107</v>
      </c>
      <c r="E13" s="73"/>
      <c r="F13" s="73"/>
      <c r="G13" s="73"/>
      <c r="H13" s="73"/>
      <c r="I13" s="73"/>
      <c r="J13" s="38">
        <f>O124*1000000*$B$11*$B$13</f>
        <v>138938222387039.3</v>
      </c>
    </row>
    <row r="14" spans="1:15" x14ac:dyDescent="0.3">
      <c r="A14" s="4" t="s">
        <v>108</v>
      </c>
      <c r="B14" s="34">
        <f>MAX(J24:J123)</f>
        <v>2045</v>
      </c>
      <c r="D14" s="77" t="s">
        <v>109</v>
      </c>
      <c r="E14" s="73"/>
      <c r="F14" s="73"/>
      <c r="G14" s="73"/>
      <c r="H14" s="73"/>
      <c r="I14" s="73"/>
      <c r="J14" s="38">
        <f>J11+J12-J13</f>
        <v>-138938222387039.3</v>
      </c>
    </row>
    <row r="15" spans="1:15" x14ac:dyDescent="0.3">
      <c r="D15" s="77" t="s">
        <v>110</v>
      </c>
      <c r="E15" s="73"/>
      <c r="F15" s="73"/>
      <c r="G15" s="73"/>
      <c r="H15" s="73"/>
      <c r="I15" s="73"/>
      <c r="J15" s="39">
        <v>-138938222387039</v>
      </c>
    </row>
    <row r="16" spans="1:15" x14ac:dyDescent="0.3">
      <c r="D16" s="77" t="s">
        <v>111</v>
      </c>
      <c r="E16" s="73"/>
      <c r="F16" s="73"/>
      <c r="G16" s="73"/>
      <c r="H16" s="73"/>
      <c r="I16" s="73"/>
      <c r="J16" s="40">
        <f>IFERROR(J14/J15-1,0)</f>
        <v>2.2204460492503131E-15</v>
      </c>
    </row>
    <row r="17" spans="1:35" x14ac:dyDescent="0.3">
      <c r="D17" s="77" t="s">
        <v>112</v>
      </c>
      <c r="E17" s="73"/>
      <c r="F17" s="73"/>
      <c r="G17" s="73"/>
      <c r="H17" s="73"/>
      <c r="I17" s="73"/>
      <c r="J17" s="41">
        <f>O124</f>
        <v>13893.82223870393</v>
      </c>
    </row>
    <row r="23" spans="1:35" ht="45" customHeight="1" x14ac:dyDescent="0.3">
      <c r="A23" s="3" t="s">
        <v>56</v>
      </c>
      <c r="B23" s="3" t="s">
        <v>62</v>
      </c>
      <c r="C23" s="3" t="s">
        <v>113</v>
      </c>
      <c r="D23" s="3" t="s">
        <v>114</v>
      </c>
      <c r="E23" s="3" t="s">
        <v>65</v>
      </c>
      <c r="F23" s="3" t="s">
        <v>115</v>
      </c>
      <c r="G23" s="3" t="s">
        <v>116</v>
      </c>
      <c r="H23" s="3" t="s">
        <v>117</v>
      </c>
      <c r="I23" s="3" t="s">
        <v>118</v>
      </c>
      <c r="J23" s="3" t="s">
        <v>119</v>
      </c>
      <c r="K23" s="3" t="s">
        <v>120</v>
      </c>
      <c r="L23" s="3" t="s">
        <v>121</v>
      </c>
      <c r="M23" s="3" t="s">
        <v>122</v>
      </c>
      <c r="N23" s="3" t="s">
        <v>123</v>
      </c>
      <c r="O23" s="3" t="s">
        <v>124</v>
      </c>
      <c r="P23" s="3" t="s">
        <v>125</v>
      </c>
      <c r="Q23" s="3" t="s">
        <v>126</v>
      </c>
      <c r="R23" s="3" t="s">
        <v>127</v>
      </c>
      <c r="S23" s="3" t="s">
        <v>128</v>
      </c>
      <c r="T23" s="3" t="s">
        <v>129</v>
      </c>
      <c r="U23" s="3" t="s">
        <v>130</v>
      </c>
      <c r="V23" s="3" t="s">
        <v>131</v>
      </c>
      <c r="W23" s="3" t="s">
        <v>132</v>
      </c>
      <c r="X23" s="3" t="s">
        <v>133</v>
      </c>
      <c r="Y23" s="3" t="s">
        <v>134</v>
      </c>
      <c r="Z23" s="3" t="s">
        <v>135</v>
      </c>
      <c r="AA23" s="3" t="s">
        <v>136</v>
      </c>
      <c r="AB23" s="3" t="s">
        <v>137</v>
      </c>
      <c r="AC23" s="3" t="s">
        <v>138</v>
      </c>
      <c r="AD23" s="3" t="s">
        <v>139</v>
      </c>
      <c r="AE23" s="3" t="s">
        <v>140</v>
      </c>
      <c r="AF23" s="3" t="s">
        <v>141</v>
      </c>
      <c r="AG23" s="3" t="s">
        <v>142</v>
      </c>
      <c r="AH23" s="3" t="s">
        <v>143</v>
      </c>
      <c r="AI23" s="3" t="s">
        <v>144</v>
      </c>
    </row>
    <row r="24" spans="1:35" x14ac:dyDescent="0.3">
      <c r="A24" s="15" t="s">
        <v>145</v>
      </c>
      <c r="B24" s="15" t="s">
        <v>276</v>
      </c>
      <c r="C24" s="42">
        <v>4</v>
      </c>
      <c r="D24" s="43">
        <v>7</v>
      </c>
      <c r="E24" s="44">
        <v>36.329552279424362</v>
      </c>
      <c r="F24" s="42">
        <v>6</v>
      </c>
      <c r="G24" s="45">
        <v>9.5924845314507223</v>
      </c>
      <c r="H24" s="46">
        <v>0.03</v>
      </c>
      <c r="I24" s="47">
        <v>2040</v>
      </c>
      <c r="J24" s="8">
        <f t="shared" ref="J24:J55" si="0">I24+F24-1</f>
        <v>2045</v>
      </c>
      <c r="K24" s="8">
        <f t="shared" ref="K24:K55" si="1">I24+F24</f>
        <v>2046</v>
      </c>
      <c r="L24" s="8">
        <f t="shared" ref="L24:L55" si="2">K24+$B$9-1</f>
        <v>2085</v>
      </c>
      <c r="M24" s="8">
        <f t="shared" ref="M24:M55" si="3">MAX(0,MIN(L24,2085)-K24+1)</f>
        <v>40</v>
      </c>
      <c r="N24" s="8">
        <f t="shared" ref="N24:N55" si="4">$B$9-M24</f>
        <v>0</v>
      </c>
      <c r="O24" s="48">
        <f t="shared" ref="O24:O55" si="5">SUMPRODUCT(C235:BJ235,$C$129:$BJ$129)</f>
        <v>602.75889272939889</v>
      </c>
      <c r="P24" s="44">
        <v>602.75889272939992</v>
      </c>
      <c r="Q24" s="49">
        <f t="shared" ref="Q24:Q55" si="6">O24-P24</f>
        <v>-1.0231815394945443E-12</v>
      </c>
      <c r="R24" s="48">
        <f t="shared" ref="R24:R55" si="7">SUMPRODUCT(C132:BJ132,$C$129:$BJ$129)</f>
        <v>26.01525602158279</v>
      </c>
      <c r="S24" s="50">
        <f t="shared" ref="S24:S55" si="8">IF(R24=0,0,O24/R24)</f>
        <v>23.169439202494789</v>
      </c>
      <c r="T24" s="45">
        <v>0.65026099999999998</v>
      </c>
      <c r="U24" s="45">
        <v>2.338245098039216</v>
      </c>
      <c r="V24" s="45">
        <v>9.1310880430603625</v>
      </c>
      <c r="W24" s="45">
        <v>13.55277853163564</v>
      </c>
      <c r="X24" s="45">
        <v>10.14545890802062</v>
      </c>
      <c r="Y24" s="45">
        <v>0.51172069866851577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</row>
    <row r="25" spans="1:35" x14ac:dyDescent="0.3">
      <c r="A25" s="15" t="s">
        <v>147</v>
      </c>
      <c r="B25" s="15" t="s">
        <v>277</v>
      </c>
      <c r="C25" s="42">
        <v>2</v>
      </c>
      <c r="D25" s="43">
        <v>4.49</v>
      </c>
      <c r="E25" s="44">
        <v>1.6835429215686279</v>
      </c>
      <c r="F25" s="42">
        <v>2</v>
      </c>
      <c r="G25" s="45">
        <v>0.27936777839903332</v>
      </c>
      <c r="H25" s="46">
        <v>1.4200000000000001E-2</v>
      </c>
      <c r="I25" s="47">
        <v>2026</v>
      </c>
      <c r="J25" s="8">
        <f t="shared" si="0"/>
        <v>2027</v>
      </c>
      <c r="K25" s="8">
        <f t="shared" si="1"/>
        <v>2028</v>
      </c>
      <c r="L25" s="8">
        <f t="shared" si="2"/>
        <v>2067</v>
      </c>
      <c r="M25" s="8">
        <f t="shared" si="3"/>
        <v>40</v>
      </c>
      <c r="N25" s="8">
        <f t="shared" si="4"/>
        <v>0</v>
      </c>
      <c r="O25" s="48">
        <f t="shared" si="5"/>
        <v>9.9812276996995788</v>
      </c>
      <c r="P25" s="44">
        <v>9.9812276996995735</v>
      </c>
      <c r="Q25" s="49">
        <f t="shared" si="6"/>
        <v>0</v>
      </c>
      <c r="R25" s="48">
        <f t="shared" si="7"/>
        <v>1.6784487270280661</v>
      </c>
      <c r="S25" s="50">
        <f t="shared" si="8"/>
        <v>5.94669800689877</v>
      </c>
      <c r="T25" s="45">
        <v>1.4237390000000001</v>
      </c>
      <c r="U25" s="45">
        <v>0.25980392156862742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</row>
    <row r="26" spans="1:35" x14ac:dyDescent="0.3">
      <c r="A26" s="15" t="s">
        <v>148</v>
      </c>
      <c r="B26" s="15" t="s">
        <v>277</v>
      </c>
      <c r="C26" s="42">
        <v>3</v>
      </c>
      <c r="D26" s="43">
        <v>1.46</v>
      </c>
      <c r="E26" s="44">
        <v>7.63</v>
      </c>
      <c r="F26" s="42">
        <v>1</v>
      </c>
      <c r="G26" s="45">
        <v>0.40526408683160919</v>
      </c>
      <c r="H26" s="46">
        <v>2.8899999999999999E-2</v>
      </c>
      <c r="I26" s="47">
        <v>2045</v>
      </c>
      <c r="J26" s="8">
        <f t="shared" si="0"/>
        <v>2045</v>
      </c>
      <c r="K26" s="8">
        <f t="shared" si="1"/>
        <v>2046</v>
      </c>
      <c r="L26" s="8">
        <f t="shared" si="2"/>
        <v>2085</v>
      </c>
      <c r="M26" s="8">
        <f t="shared" si="3"/>
        <v>40</v>
      </c>
      <c r="N26" s="8">
        <f t="shared" si="4"/>
        <v>0</v>
      </c>
      <c r="O26" s="48">
        <f t="shared" si="5"/>
        <v>24.366676753940943</v>
      </c>
      <c r="P26" s="44">
        <v>24.366676753940929</v>
      </c>
      <c r="Q26" s="49">
        <f t="shared" si="6"/>
        <v>0</v>
      </c>
      <c r="R26" s="48">
        <f t="shared" si="7"/>
        <v>5.2374666970467683</v>
      </c>
      <c r="S26" s="50">
        <f t="shared" si="8"/>
        <v>4.6523783659914235</v>
      </c>
      <c r="T26" s="45">
        <v>7.63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</row>
    <row r="27" spans="1:35" x14ac:dyDescent="0.3">
      <c r="A27" s="15" t="s">
        <v>149</v>
      </c>
      <c r="B27" s="15" t="s">
        <v>277</v>
      </c>
      <c r="C27" s="42">
        <v>3</v>
      </c>
      <c r="D27" s="43">
        <v>1</v>
      </c>
      <c r="E27" s="44">
        <v>5.45</v>
      </c>
      <c r="F27" s="42">
        <v>1</v>
      </c>
      <c r="G27" s="45">
        <v>0.1982701011896327</v>
      </c>
      <c r="H27" s="46">
        <v>2.75E-2</v>
      </c>
      <c r="I27" s="47">
        <v>2045</v>
      </c>
      <c r="J27" s="8">
        <f t="shared" si="0"/>
        <v>2045</v>
      </c>
      <c r="K27" s="8">
        <f t="shared" si="1"/>
        <v>2046</v>
      </c>
      <c r="L27" s="8">
        <f t="shared" si="2"/>
        <v>2085</v>
      </c>
      <c r="M27" s="8">
        <f t="shared" si="3"/>
        <v>40</v>
      </c>
      <c r="N27" s="8">
        <f t="shared" si="4"/>
        <v>0</v>
      </c>
      <c r="O27" s="48">
        <f t="shared" si="5"/>
        <v>11.272044145916537</v>
      </c>
      <c r="P27" s="44">
        <v>11.272044145916549</v>
      </c>
      <c r="Q27" s="49">
        <f t="shared" si="6"/>
        <v>0</v>
      </c>
      <c r="R27" s="48">
        <f t="shared" si="7"/>
        <v>3.7410476407476914</v>
      </c>
      <c r="S27" s="50">
        <f t="shared" si="8"/>
        <v>3.0130715319261983</v>
      </c>
      <c r="T27" s="45">
        <v>5.45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</row>
    <row r="28" spans="1:35" x14ac:dyDescent="0.3">
      <c r="A28" s="15" t="s">
        <v>150</v>
      </c>
      <c r="B28" s="15" t="s">
        <v>277</v>
      </c>
      <c r="C28" s="42">
        <v>2</v>
      </c>
      <c r="D28" s="43">
        <v>1</v>
      </c>
      <c r="E28" s="44">
        <v>4.3600000000000003</v>
      </c>
      <c r="F28" s="42">
        <v>1</v>
      </c>
      <c r="G28" s="45">
        <v>0.1586160809517061</v>
      </c>
      <c r="H28" s="46">
        <v>1.6299999999999999E-2</v>
      </c>
      <c r="I28" s="47">
        <v>2029</v>
      </c>
      <c r="J28" s="8">
        <f t="shared" si="0"/>
        <v>2029</v>
      </c>
      <c r="K28" s="8">
        <f t="shared" si="1"/>
        <v>2030</v>
      </c>
      <c r="L28" s="8">
        <f t="shared" si="2"/>
        <v>2069</v>
      </c>
      <c r="M28" s="8">
        <f t="shared" si="3"/>
        <v>40</v>
      </c>
      <c r="N28" s="8">
        <f t="shared" si="4"/>
        <v>0</v>
      </c>
      <c r="O28" s="48">
        <f t="shared" si="5"/>
        <v>5.8933675180975662</v>
      </c>
      <c r="P28" s="44">
        <v>5.8933675180975698</v>
      </c>
      <c r="Q28" s="49">
        <f t="shared" si="6"/>
        <v>0</v>
      </c>
      <c r="R28" s="48">
        <f t="shared" si="7"/>
        <v>4.1085253786251137</v>
      </c>
      <c r="S28" s="50">
        <f t="shared" si="8"/>
        <v>1.434424026868184</v>
      </c>
      <c r="T28" s="45">
        <v>4.3600000000000003</v>
      </c>
      <c r="U28" s="45">
        <v>0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</row>
    <row r="29" spans="1:35" x14ac:dyDescent="0.3">
      <c r="A29" s="15" t="s">
        <v>151</v>
      </c>
      <c r="B29" s="15" t="s">
        <v>277</v>
      </c>
      <c r="C29" s="42">
        <v>2</v>
      </c>
      <c r="D29" s="43">
        <v>2.0699999999999998</v>
      </c>
      <c r="E29" s="44">
        <v>2.9836078431372548</v>
      </c>
      <c r="F29" s="42">
        <v>2</v>
      </c>
      <c r="G29" s="45">
        <v>0.22790137536902921</v>
      </c>
      <c r="H29" s="46">
        <v>2.3099999999999999E-2</v>
      </c>
      <c r="I29" s="47">
        <v>2044</v>
      </c>
      <c r="J29" s="8">
        <f t="shared" si="0"/>
        <v>2045</v>
      </c>
      <c r="K29" s="8">
        <f t="shared" si="1"/>
        <v>2046</v>
      </c>
      <c r="L29" s="8">
        <f t="shared" si="2"/>
        <v>2085</v>
      </c>
      <c r="M29" s="8">
        <f t="shared" si="3"/>
        <v>40</v>
      </c>
      <c r="N29" s="8">
        <f t="shared" si="4"/>
        <v>0</v>
      </c>
      <c r="O29" s="48">
        <f t="shared" si="5"/>
        <v>10.87840672618362</v>
      </c>
      <c r="P29" s="44">
        <v>10.878406726183631</v>
      </c>
      <c r="Q29" s="49">
        <f t="shared" si="6"/>
        <v>0</v>
      </c>
      <c r="R29" s="48">
        <f t="shared" si="7"/>
        <v>2.07946499880337</v>
      </c>
      <c r="S29" s="50">
        <f t="shared" si="8"/>
        <v>5.2313488000248185</v>
      </c>
      <c r="T29" s="45">
        <v>2.2890000000000001</v>
      </c>
      <c r="U29" s="45">
        <v>0.69460784313725488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</row>
    <row r="30" spans="1:35" x14ac:dyDescent="0.3">
      <c r="A30" s="15" t="s">
        <v>152</v>
      </c>
      <c r="B30" s="15" t="s">
        <v>277</v>
      </c>
      <c r="C30" s="42">
        <v>2</v>
      </c>
      <c r="D30" s="43">
        <v>1.49</v>
      </c>
      <c r="E30" s="44">
        <v>2.4198</v>
      </c>
      <c r="F30" s="42">
        <v>1</v>
      </c>
      <c r="G30" s="45">
        <v>0.13116756814301339</v>
      </c>
      <c r="H30" s="46">
        <v>1.7899999999999999E-2</v>
      </c>
      <c r="I30" s="47">
        <v>2045</v>
      </c>
      <c r="J30" s="8">
        <f t="shared" si="0"/>
        <v>2045</v>
      </c>
      <c r="K30" s="8">
        <f t="shared" si="1"/>
        <v>2046</v>
      </c>
      <c r="L30" s="8">
        <f t="shared" si="2"/>
        <v>2085</v>
      </c>
      <c r="M30" s="8">
        <f t="shared" si="3"/>
        <v>40</v>
      </c>
      <c r="N30" s="8">
        <f t="shared" si="4"/>
        <v>0</v>
      </c>
      <c r="O30" s="48">
        <f t="shared" si="5"/>
        <v>5.1036255803926318</v>
      </c>
      <c r="P30" s="44">
        <v>5.1036255803926256</v>
      </c>
      <c r="Q30" s="49">
        <f t="shared" si="6"/>
        <v>0</v>
      </c>
      <c r="R30" s="48">
        <f t="shared" si="7"/>
        <v>1.661025152491975</v>
      </c>
      <c r="S30" s="50">
        <f t="shared" si="8"/>
        <v>3.0725757359759722</v>
      </c>
      <c r="T30" s="45">
        <v>2.4198</v>
      </c>
      <c r="U30" s="45">
        <v>0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</row>
    <row r="31" spans="1:35" x14ac:dyDescent="0.3">
      <c r="A31" s="15" t="s">
        <v>153</v>
      </c>
      <c r="B31" s="15" t="s">
        <v>277</v>
      </c>
      <c r="C31" s="42">
        <v>2</v>
      </c>
      <c r="D31" s="43">
        <v>1.39</v>
      </c>
      <c r="E31" s="44">
        <v>2.0710000000000002</v>
      </c>
      <c r="F31" s="42">
        <v>1</v>
      </c>
      <c r="G31" s="45">
        <v>0.104726267448364</v>
      </c>
      <c r="H31" s="46">
        <v>2.8299999999999999E-2</v>
      </c>
      <c r="I31" s="47">
        <v>2045</v>
      </c>
      <c r="J31" s="8">
        <f t="shared" si="0"/>
        <v>2045</v>
      </c>
      <c r="K31" s="8">
        <f t="shared" si="1"/>
        <v>2046</v>
      </c>
      <c r="L31" s="8">
        <f t="shared" si="2"/>
        <v>2085</v>
      </c>
      <c r="M31" s="8">
        <f t="shared" si="3"/>
        <v>40</v>
      </c>
      <c r="N31" s="8">
        <f t="shared" si="4"/>
        <v>0</v>
      </c>
      <c r="O31" s="48">
        <f t="shared" si="5"/>
        <v>6.1473090741194163</v>
      </c>
      <c r="P31" s="44">
        <v>6.1473090741194047</v>
      </c>
      <c r="Q31" s="49">
        <f t="shared" si="6"/>
        <v>1.1546319456101628E-14</v>
      </c>
      <c r="R31" s="48">
        <f t="shared" si="7"/>
        <v>1.421598103484123</v>
      </c>
      <c r="S31" s="50">
        <f t="shared" si="8"/>
        <v>4.3242243071746413</v>
      </c>
      <c r="T31" s="45">
        <v>2.0710000000000002</v>
      </c>
      <c r="U31" s="45">
        <v>0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</row>
    <row r="32" spans="1:35" x14ac:dyDescent="0.3">
      <c r="A32" s="15" t="s">
        <v>154</v>
      </c>
      <c r="B32" s="15" t="s">
        <v>277</v>
      </c>
      <c r="C32" s="42">
        <v>2</v>
      </c>
      <c r="D32" s="43">
        <v>1.69</v>
      </c>
      <c r="E32" s="44">
        <v>1.817094117647059</v>
      </c>
      <c r="F32" s="42">
        <v>2</v>
      </c>
      <c r="G32" s="45">
        <v>0.1136407713911908</v>
      </c>
      <c r="H32" s="46">
        <v>1.9199999999999998E-2</v>
      </c>
      <c r="I32" s="47">
        <v>2044</v>
      </c>
      <c r="J32" s="8">
        <f t="shared" si="0"/>
        <v>2045</v>
      </c>
      <c r="K32" s="8">
        <f t="shared" si="1"/>
        <v>2046</v>
      </c>
      <c r="L32" s="8">
        <f t="shared" si="2"/>
        <v>2085</v>
      </c>
      <c r="M32" s="8">
        <f t="shared" si="3"/>
        <v>40</v>
      </c>
      <c r="N32" s="8">
        <f t="shared" si="4"/>
        <v>0</v>
      </c>
      <c r="O32" s="48">
        <f t="shared" si="5"/>
        <v>4.6524166641474149</v>
      </c>
      <c r="P32" s="44">
        <v>4.6524166641474096</v>
      </c>
      <c r="Q32" s="49">
        <f t="shared" si="6"/>
        <v>0</v>
      </c>
      <c r="R32" s="48">
        <f t="shared" si="7"/>
        <v>1.2700548654062114</v>
      </c>
      <c r="S32" s="50">
        <f t="shared" si="8"/>
        <v>3.6631619553375727</v>
      </c>
      <c r="T32" s="45">
        <v>1.6568000000000001</v>
      </c>
      <c r="U32" s="45">
        <v>0.16029411764705881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</row>
    <row r="33" spans="1:35" x14ac:dyDescent="0.3">
      <c r="A33" s="15" t="s">
        <v>155</v>
      </c>
      <c r="B33" s="15" t="s">
        <v>277</v>
      </c>
      <c r="C33" s="42">
        <v>2</v>
      </c>
      <c r="D33" s="43">
        <v>3.73</v>
      </c>
      <c r="E33" s="44">
        <v>1.385457098039216</v>
      </c>
      <c r="F33" s="42">
        <v>2</v>
      </c>
      <c r="G33" s="45">
        <v>0.19113378070053921</v>
      </c>
      <c r="H33" s="46">
        <v>1.5299999999999999E-2</v>
      </c>
      <c r="I33" s="47">
        <v>2026</v>
      </c>
      <c r="J33" s="8">
        <f t="shared" si="0"/>
        <v>2027</v>
      </c>
      <c r="K33" s="8">
        <f t="shared" si="1"/>
        <v>2028</v>
      </c>
      <c r="L33" s="8">
        <f t="shared" si="2"/>
        <v>2067</v>
      </c>
      <c r="M33" s="8">
        <f t="shared" si="3"/>
        <v>40</v>
      </c>
      <c r="N33" s="8">
        <f t="shared" si="4"/>
        <v>0</v>
      </c>
      <c r="O33" s="48">
        <f t="shared" si="5"/>
        <v>6.9855894974883954</v>
      </c>
      <c r="P33" s="44">
        <v>6.9855894974884016</v>
      </c>
      <c r="Q33" s="49">
        <f t="shared" si="6"/>
        <v>0</v>
      </c>
      <c r="R33" s="48">
        <f t="shared" si="7"/>
        <v>1.382314056901192</v>
      </c>
      <c r="S33" s="50">
        <f t="shared" si="8"/>
        <v>5.0535473198821173</v>
      </c>
      <c r="T33" s="45">
        <v>1.2251620000000001</v>
      </c>
      <c r="U33" s="45">
        <v>0.16029509803921571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</row>
    <row r="34" spans="1:35" x14ac:dyDescent="0.3">
      <c r="A34" s="15" t="s">
        <v>156</v>
      </c>
      <c r="B34" s="15" t="s">
        <v>277</v>
      </c>
      <c r="C34" s="42">
        <v>1</v>
      </c>
      <c r="D34" s="43">
        <v>1.67</v>
      </c>
      <c r="E34" s="44">
        <v>0.65400000000000003</v>
      </c>
      <c r="F34" s="42">
        <v>1</v>
      </c>
      <c r="G34" s="45">
        <v>3.9733328278402397E-2</v>
      </c>
      <c r="H34" s="46">
        <v>1.49E-2</v>
      </c>
      <c r="I34" s="47">
        <v>2026</v>
      </c>
      <c r="J34" s="8">
        <f t="shared" si="0"/>
        <v>2026</v>
      </c>
      <c r="K34" s="8">
        <f t="shared" si="1"/>
        <v>2027</v>
      </c>
      <c r="L34" s="8">
        <f t="shared" si="2"/>
        <v>2066</v>
      </c>
      <c r="M34" s="8">
        <f t="shared" si="3"/>
        <v>40</v>
      </c>
      <c r="N34" s="8">
        <f t="shared" si="4"/>
        <v>0</v>
      </c>
      <c r="O34" s="48">
        <f t="shared" si="5"/>
        <v>1.445606832593765</v>
      </c>
      <c r="P34" s="44">
        <v>1.445606832593763</v>
      </c>
      <c r="Q34" s="49">
        <f t="shared" si="6"/>
        <v>1.9984014443252818E-15</v>
      </c>
      <c r="R34" s="48">
        <f t="shared" si="7"/>
        <v>0.65400000000000003</v>
      </c>
      <c r="S34" s="50">
        <f t="shared" si="8"/>
        <v>2.2104080009078975</v>
      </c>
      <c r="T34" s="45">
        <v>0.65400000000000003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</row>
    <row r="35" spans="1:35" x14ac:dyDescent="0.3">
      <c r="A35" s="15" t="s">
        <v>157</v>
      </c>
      <c r="B35" s="15" t="s">
        <v>277</v>
      </c>
      <c r="C35" s="42">
        <v>1</v>
      </c>
      <c r="D35" s="43">
        <v>1.4</v>
      </c>
      <c r="E35" s="44">
        <v>1.2198382352941179</v>
      </c>
      <c r="F35" s="42">
        <v>2</v>
      </c>
      <c r="G35" s="45">
        <v>6.2980831298727391E-2</v>
      </c>
      <c r="H35" s="46">
        <v>2.12E-2</v>
      </c>
      <c r="I35" s="47">
        <v>2044</v>
      </c>
      <c r="J35" s="8">
        <f t="shared" si="0"/>
        <v>2045</v>
      </c>
      <c r="K35" s="8">
        <f t="shared" si="1"/>
        <v>2046</v>
      </c>
      <c r="L35" s="8">
        <f t="shared" si="2"/>
        <v>2085</v>
      </c>
      <c r="M35" s="8">
        <f t="shared" si="3"/>
        <v>40</v>
      </c>
      <c r="N35" s="8">
        <f t="shared" si="4"/>
        <v>0</v>
      </c>
      <c r="O35" s="48">
        <f t="shared" si="5"/>
        <v>2.7891406976188589</v>
      </c>
      <c r="P35" s="44">
        <v>2.7891406976188629</v>
      </c>
      <c r="Q35" s="49">
        <f t="shared" si="6"/>
        <v>-3.9968028886505635E-15</v>
      </c>
      <c r="R35" s="48">
        <f t="shared" si="7"/>
        <v>0.84967994386417123</v>
      </c>
      <c r="S35" s="50">
        <f t="shared" si="8"/>
        <v>3.2825780080607947</v>
      </c>
      <c r="T35" s="45">
        <v>0.89924999999999999</v>
      </c>
      <c r="U35" s="45">
        <v>0.32058823529411767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</row>
    <row r="36" spans="1:35" x14ac:dyDescent="0.3">
      <c r="A36" s="15" t="s">
        <v>158</v>
      </c>
      <c r="B36" s="15" t="s">
        <v>277</v>
      </c>
      <c r="C36" s="42">
        <v>1</v>
      </c>
      <c r="D36" s="43">
        <v>2.94</v>
      </c>
      <c r="E36" s="44">
        <v>0.32058823529411767</v>
      </c>
      <c r="F36" s="42">
        <v>1</v>
      </c>
      <c r="G36" s="45">
        <v>3.4289064558677647E-2</v>
      </c>
      <c r="H36" s="46">
        <v>1.5299999999999999E-2</v>
      </c>
      <c r="I36" s="47">
        <v>2026</v>
      </c>
      <c r="J36" s="8">
        <f t="shared" si="0"/>
        <v>2026</v>
      </c>
      <c r="K36" s="8">
        <f t="shared" si="1"/>
        <v>2027</v>
      </c>
      <c r="L36" s="8">
        <f t="shared" si="2"/>
        <v>2066</v>
      </c>
      <c r="M36" s="8">
        <f t="shared" si="3"/>
        <v>40</v>
      </c>
      <c r="N36" s="8">
        <f t="shared" si="4"/>
        <v>0</v>
      </c>
      <c r="O36" s="48">
        <f t="shared" si="5"/>
        <v>1.2573837576532021</v>
      </c>
      <c r="P36" s="44">
        <v>1.2573837576532041</v>
      </c>
      <c r="Q36" s="49">
        <f t="shared" si="6"/>
        <v>-1.9984014443252818E-15</v>
      </c>
      <c r="R36" s="48">
        <f t="shared" si="7"/>
        <v>0.32058823529411767</v>
      </c>
      <c r="S36" s="50">
        <f t="shared" si="8"/>
        <v>3.9221144734136577</v>
      </c>
      <c r="T36" s="45">
        <v>0.32058823529411767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</row>
    <row r="37" spans="1:35" x14ac:dyDescent="0.3">
      <c r="A37" s="15" t="s">
        <v>159</v>
      </c>
      <c r="B37" s="15" t="s">
        <v>277</v>
      </c>
      <c r="C37" s="42">
        <v>1</v>
      </c>
      <c r="D37" s="43">
        <v>4.41</v>
      </c>
      <c r="E37" s="44">
        <v>0.32379411764705879</v>
      </c>
      <c r="F37" s="42">
        <v>2</v>
      </c>
      <c r="G37" s="45">
        <v>5.2419540775045792E-2</v>
      </c>
      <c r="H37" s="46">
        <v>2.1700000000000001E-2</v>
      </c>
      <c r="I37" s="47">
        <v>2044</v>
      </c>
      <c r="J37" s="8">
        <f t="shared" si="0"/>
        <v>2045</v>
      </c>
      <c r="K37" s="8">
        <f t="shared" si="1"/>
        <v>2046</v>
      </c>
      <c r="L37" s="8">
        <f t="shared" si="2"/>
        <v>2085</v>
      </c>
      <c r="M37" s="8">
        <f t="shared" si="3"/>
        <v>40</v>
      </c>
      <c r="N37" s="8">
        <f t="shared" si="4"/>
        <v>0</v>
      </c>
      <c r="O37" s="48">
        <f t="shared" si="5"/>
        <v>2.3676041384301643</v>
      </c>
      <c r="P37" s="44">
        <v>2.367604138430158</v>
      </c>
      <c r="Q37" s="49">
        <f t="shared" si="6"/>
        <v>6.2172489379008766E-15</v>
      </c>
      <c r="R37" s="48">
        <f t="shared" si="7"/>
        <v>0.22450687077004675</v>
      </c>
      <c r="S37" s="50">
        <f t="shared" si="8"/>
        <v>10.545798132188144</v>
      </c>
      <c r="T37" s="45">
        <v>0.16350000000000001</v>
      </c>
      <c r="U37" s="45">
        <v>0.16029411764705881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</row>
    <row r="38" spans="1:35" x14ac:dyDescent="0.3">
      <c r="A38" s="15" t="s">
        <v>160</v>
      </c>
      <c r="B38" s="15" t="s">
        <v>278</v>
      </c>
      <c r="C38" s="42">
        <v>1</v>
      </c>
      <c r="D38" s="43">
        <v>7</v>
      </c>
      <c r="E38" s="44">
        <v>0.32379411764705879</v>
      </c>
      <c r="F38" s="42">
        <v>2</v>
      </c>
      <c r="G38" s="45">
        <v>8.3205620277850459E-2</v>
      </c>
      <c r="H38" s="46">
        <v>-0.02</v>
      </c>
      <c r="I38" s="47">
        <v>2026</v>
      </c>
      <c r="J38" s="8">
        <f t="shared" si="0"/>
        <v>2027</v>
      </c>
      <c r="K38" s="8">
        <f t="shared" si="1"/>
        <v>2028</v>
      </c>
      <c r="L38" s="8">
        <f t="shared" si="2"/>
        <v>2067</v>
      </c>
      <c r="M38" s="8">
        <f t="shared" si="3"/>
        <v>40</v>
      </c>
      <c r="N38" s="8">
        <f t="shared" si="4"/>
        <v>0</v>
      </c>
      <c r="O38" s="48">
        <f t="shared" si="5"/>
        <v>1.5693717809777397</v>
      </c>
      <c r="P38" s="44">
        <v>1.5693717809777401</v>
      </c>
      <c r="Q38" s="49">
        <f t="shared" si="6"/>
        <v>0</v>
      </c>
      <c r="R38" s="48">
        <f t="shared" si="7"/>
        <v>0.32065109573241057</v>
      </c>
      <c r="S38" s="50">
        <f t="shared" si="8"/>
        <v>4.8943284519052765</v>
      </c>
      <c r="T38" s="45">
        <v>0.16350000000000001</v>
      </c>
      <c r="U38" s="45">
        <v>0.16029411764705881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</row>
    <row r="39" spans="1:35" x14ac:dyDescent="0.3">
      <c r="A39" s="15" t="s">
        <v>161</v>
      </c>
      <c r="B39" s="15" t="s">
        <v>277</v>
      </c>
      <c r="C39" s="42">
        <v>1</v>
      </c>
      <c r="D39" s="43">
        <v>2.08</v>
      </c>
      <c r="E39" s="44">
        <v>0.32379411764705879</v>
      </c>
      <c r="F39" s="42">
        <v>2</v>
      </c>
      <c r="G39" s="45">
        <v>2.472395573970413E-2</v>
      </c>
      <c r="H39" s="46">
        <v>1.7999999999999999E-2</v>
      </c>
      <c r="I39" s="47">
        <v>2044</v>
      </c>
      <c r="J39" s="8">
        <f t="shared" si="0"/>
        <v>2045</v>
      </c>
      <c r="K39" s="8">
        <f t="shared" si="1"/>
        <v>2046</v>
      </c>
      <c r="L39" s="8">
        <f t="shared" si="2"/>
        <v>2085</v>
      </c>
      <c r="M39" s="8">
        <f t="shared" si="3"/>
        <v>40</v>
      </c>
      <c r="N39" s="8">
        <f t="shared" si="4"/>
        <v>0</v>
      </c>
      <c r="O39" s="48">
        <f t="shared" si="5"/>
        <v>0.96575578412064733</v>
      </c>
      <c r="P39" s="44">
        <v>0.96575578412064722</v>
      </c>
      <c r="Q39" s="49">
        <f t="shared" si="6"/>
        <v>0</v>
      </c>
      <c r="R39" s="48">
        <f t="shared" si="7"/>
        <v>0.22450687077004675</v>
      </c>
      <c r="S39" s="50">
        <f t="shared" si="8"/>
        <v>4.301675849866669</v>
      </c>
      <c r="T39" s="45">
        <v>0.16350000000000001</v>
      </c>
      <c r="U39" s="45">
        <v>0.16029411764705881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</row>
    <row r="40" spans="1:35" x14ac:dyDescent="0.3">
      <c r="A40" s="15" t="s">
        <v>162</v>
      </c>
      <c r="B40" s="15" t="s">
        <v>277</v>
      </c>
      <c r="C40" s="42">
        <v>4</v>
      </c>
      <c r="D40" s="43">
        <v>3.3</v>
      </c>
      <c r="E40" s="44">
        <v>15.455841599384851</v>
      </c>
      <c r="F40" s="42">
        <v>3</v>
      </c>
      <c r="G40" s="45">
        <v>1.8637615028381149</v>
      </c>
      <c r="H40" s="46">
        <v>1.44E-2</v>
      </c>
      <c r="I40" s="47">
        <v>2026</v>
      </c>
      <c r="J40" s="8">
        <f t="shared" si="0"/>
        <v>2028</v>
      </c>
      <c r="K40" s="8">
        <f t="shared" si="1"/>
        <v>2029</v>
      </c>
      <c r="L40" s="8">
        <f t="shared" si="2"/>
        <v>2068</v>
      </c>
      <c r="M40" s="8">
        <f t="shared" si="3"/>
        <v>40</v>
      </c>
      <c r="N40" s="8">
        <f t="shared" si="4"/>
        <v>0</v>
      </c>
      <c r="O40" s="48">
        <f t="shared" si="5"/>
        <v>66.588523466885547</v>
      </c>
      <c r="P40" s="44">
        <v>66.588523466885448</v>
      </c>
      <c r="Q40" s="49">
        <f t="shared" si="6"/>
        <v>0</v>
      </c>
      <c r="R40" s="48">
        <f t="shared" si="7"/>
        <v>14.953359928847643</v>
      </c>
      <c r="S40" s="50">
        <f t="shared" si="8"/>
        <v>4.4530810322049863</v>
      </c>
      <c r="T40" s="45">
        <v>1.744</v>
      </c>
      <c r="U40" s="45">
        <v>1.5588235294117641</v>
      </c>
      <c r="V40" s="45">
        <v>12.15301806997309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</row>
    <row r="41" spans="1:35" x14ac:dyDescent="0.3">
      <c r="A41" s="15" t="s">
        <v>163</v>
      </c>
      <c r="B41" s="15" t="s">
        <v>277</v>
      </c>
      <c r="C41" s="42">
        <v>3</v>
      </c>
      <c r="D41" s="43">
        <v>3.38</v>
      </c>
      <c r="E41" s="44">
        <v>8.9736750000000001</v>
      </c>
      <c r="F41" s="42">
        <v>2</v>
      </c>
      <c r="G41" s="45">
        <v>1.120863456208409</v>
      </c>
      <c r="H41" s="46">
        <v>0.03</v>
      </c>
      <c r="I41" s="47">
        <v>2044</v>
      </c>
      <c r="J41" s="8">
        <f t="shared" si="0"/>
        <v>2045</v>
      </c>
      <c r="K41" s="8">
        <f t="shared" si="1"/>
        <v>2046</v>
      </c>
      <c r="L41" s="8">
        <f t="shared" si="2"/>
        <v>2085</v>
      </c>
      <c r="M41" s="8">
        <f t="shared" si="3"/>
        <v>40</v>
      </c>
      <c r="N41" s="8">
        <f t="shared" si="4"/>
        <v>0</v>
      </c>
      <c r="O41" s="48">
        <f t="shared" si="5"/>
        <v>70.431222854716609</v>
      </c>
      <c r="P41" s="44">
        <v>70.431222854716779</v>
      </c>
      <c r="Q41" s="49">
        <f t="shared" si="6"/>
        <v>-1.7053025658242404E-13</v>
      </c>
      <c r="R41" s="48">
        <f t="shared" si="7"/>
        <v>6.2634126316915548</v>
      </c>
      <c r="S41" s="50">
        <f t="shared" si="8"/>
        <v>11.244863941798979</v>
      </c>
      <c r="T41" s="45">
        <v>7.5467250000000003</v>
      </c>
      <c r="U41" s="45">
        <v>1.4269499999999999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</row>
    <row r="42" spans="1:35" x14ac:dyDescent="0.3">
      <c r="A42" s="15" t="s">
        <v>164</v>
      </c>
      <c r="B42" s="15" t="s">
        <v>277</v>
      </c>
      <c r="C42" s="42">
        <v>3</v>
      </c>
      <c r="D42" s="43">
        <v>1.84</v>
      </c>
      <c r="E42" s="44">
        <v>8.6772549019607847</v>
      </c>
      <c r="F42" s="42">
        <v>2</v>
      </c>
      <c r="G42" s="45">
        <v>0.58900578244406065</v>
      </c>
      <c r="H42" s="46">
        <v>2.0199999999999999E-2</v>
      </c>
      <c r="I42" s="47">
        <v>2044</v>
      </c>
      <c r="J42" s="8">
        <f t="shared" si="0"/>
        <v>2045</v>
      </c>
      <c r="K42" s="8">
        <f t="shared" si="1"/>
        <v>2046</v>
      </c>
      <c r="L42" s="8">
        <f t="shared" si="2"/>
        <v>2085</v>
      </c>
      <c r="M42" s="8">
        <f t="shared" si="3"/>
        <v>40</v>
      </c>
      <c r="N42" s="8">
        <f t="shared" si="4"/>
        <v>0</v>
      </c>
      <c r="O42" s="48">
        <f t="shared" si="5"/>
        <v>25.078594414236694</v>
      </c>
      <c r="P42" s="44">
        <v>25.078594414236701</v>
      </c>
      <c r="Q42" s="49">
        <f t="shared" si="6"/>
        <v>0</v>
      </c>
      <c r="R42" s="48">
        <f t="shared" si="7"/>
        <v>6.0461198184507392</v>
      </c>
      <c r="S42" s="50">
        <f t="shared" si="8"/>
        <v>4.1478824712843423</v>
      </c>
      <c r="T42" s="45">
        <v>6.54</v>
      </c>
      <c r="U42" s="45">
        <v>2.1372549019607838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</row>
    <row r="43" spans="1:35" x14ac:dyDescent="0.3">
      <c r="A43" s="15" t="s">
        <v>165</v>
      </c>
      <c r="B43" s="15" t="s">
        <v>277</v>
      </c>
      <c r="C43" s="42">
        <v>5</v>
      </c>
      <c r="D43" s="43">
        <v>1.95</v>
      </c>
      <c r="E43" s="44">
        <v>81.978948519046213</v>
      </c>
      <c r="F43" s="42">
        <v>4</v>
      </c>
      <c r="G43" s="45">
        <v>5.9459782639006296</v>
      </c>
      <c r="H43" s="46">
        <v>1.18E-2</v>
      </c>
      <c r="I43" s="47">
        <v>2026</v>
      </c>
      <c r="J43" s="8">
        <f t="shared" si="0"/>
        <v>2029</v>
      </c>
      <c r="K43" s="8">
        <f t="shared" si="1"/>
        <v>2030</v>
      </c>
      <c r="L43" s="8">
        <f t="shared" si="2"/>
        <v>2069</v>
      </c>
      <c r="M43" s="8">
        <f t="shared" si="3"/>
        <v>40</v>
      </c>
      <c r="N43" s="8">
        <f t="shared" si="4"/>
        <v>0</v>
      </c>
      <c r="O43" s="48">
        <f t="shared" si="5"/>
        <v>199.58505148845046</v>
      </c>
      <c r="P43" s="44">
        <v>199.58505148845049</v>
      </c>
      <c r="Q43" s="49">
        <f t="shared" si="6"/>
        <v>0</v>
      </c>
      <c r="R43" s="48">
        <f t="shared" si="7"/>
        <v>79.246808197394515</v>
      </c>
      <c r="S43" s="50">
        <f t="shared" si="8"/>
        <v>2.5185247964978914</v>
      </c>
      <c r="T43" s="45">
        <v>2</v>
      </c>
      <c r="U43" s="45">
        <v>39.2156862745098</v>
      </c>
      <c r="V43" s="45">
        <v>20.583429450211462</v>
      </c>
      <c r="W43" s="45">
        <v>20.179832794324959</v>
      </c>
      <c r="X43" s="45">
        <v>0</v>
      </c>
      <c r="Y43" s="45">
        <v>0</v>
      </c>
      <c r="Z43" s="45">
        <v>0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</row>
    <row r="44" spans="1:35" x14ac:dyDescent="0.3">
      <c r="A44" s="15" t="s">
        <v>166</v>
      </c>
      <c r="B44" s="15" t="s">
        <v>277</v>
      </c>
      <c r="C44" s="42">
        <v>4</v>
      </c>
      <c r="D44" s="43">
        <v>1</v>
      </c>
      <c r="E44" s="44">
        <v>19.834257117647059</v>
      </c>
      <c r="F44" s="42">
        <v>2</v>
      </c>
      <c r="G44" s="45">
        <v>0.73430633530350509</v>
      </c>
      <c r="H44" s="46">
        <v>1.09E-2</v>
      </c>
      <c r="I44" s="47">
        <v>2026</v>
      </c>
      <c r="J44" s="8">
        <f t="shared" si="0"/>
        <v>2027</v>
      </c>
      <c r="K44" s="8">
        <f t="shared" si="1"/>
        <v>2028</v>
      </c>
      <c r="L44" s="8">
        <f t="shared" si="2"/>
        <v>2067</v>
      </c>
      <c r="M44" s="8">
        <f t="shared" si="3"/>
        <v>40</v>
      </c>
      <c r="N44" s="8">
        <f t="shared" si="4"/>
        <v>0</v>
      </c>
      <c r="O44" s="48">
        <f t="shared" si="5"/>
        <v>24.527799864894718</v>
      </c>
      <c r="P44" s="44">
        <v>24.527799864894721</v>
      </c>
      <c r="Q44" s="49">
        <f t="shared" si="6"/>
        <v>0</v>
      </c>
      <c r="R44" s="48">
        <f t="shared" si="7"/>
        <v>19.808672919261824</v>
      </c>
      <c r="S44" s="50">
        <f t="shared" si="8"/>
        <v>1.2382353913797044</v>
      </c>
      <c r="T44" s="45">
        <v>18.529463</v>
      </c>
      <c r="U44" s="45">
        <v>1.304794117647059</v>
      </c>
      <c r="V44" s="45">
        <v>0</v>
      </c>
      <c r="W44" s="45">
        <v>0</v>
      </c>
      <c r="X44" s="45">
        <v>0</v>
      </c>
      <c r="Y44" s="45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45">
        <v>0</v>
      </c>
      <c r="AI44" s="45">
        <v>0</v>
      </c>
    </row>
    <row r="45" spans="1:35" x14ac:dyDescent="0.3">
      <c r="A45" s="15" t="s">
        <v>167</v>
      </c>
      <c r="B45" s="15" t="s">
        <v>277</v>
      </c>
      <c r="C45" s="42">
        <v>4</v>
      </c>
      <c r="D45" s="43">
        <v>1</v>
      </c>
      <c r="E45" s="44">
        <v>25.716807568627448</v>
      </c>
      <c r="F45" s="42">
        <v>2</v>
      </c>
      <c r="G45" s="45">
        <v>0.93856239719028034</v>
      </c>
      <c r="H45" s="46">
        <v>1.2200000000000001E-2</v>
      </c>
      <c r="I45" s="47">
        <v>2026</v>
      </c>
      <c r="J45" s="8">
        <f t="shared" si="0"/>
        <v>2027</v>
      </c>
      <c r="K45" s="8">
        <f t="shared" si="1"/>
        <v>2028</v>
      </c>
      <c r="L45" s="8">
        <f t="shared" si="2"/>
        <v>2067</v>
      </c>
      <c r="M45" s="8">
        <f t="shared" si="3"/>
        <v>40</v>
      </c>
      <c r="N45" s="8">
        <f t="shared" si="4"/>
        <v>0</v>
      </c>
      <c r="O45" s="48">
        <f t="shared" si="5"/>
        <v>32.188112371840631</v>
      </c>
      <c r="P45" s="44">
        <v>32.188112371840617</v>
      </c>
      <c r="Q45" s="49">
        <f t="shared" si="6"/>
        <v>0</v>
      </c>
      <c r="R45" s="48">
        <f t="shared" si="7"/>
        <v>25.318691459438678</v>
      </c>
      <c r="S45" s="50">
        <f t="shared" si="8"/>
        <v>1.2713181652143033</v>
      </c>
      <c r="T45" s="45">
        <v>5.4128860000000003</v>
      </c>
      <c r="U45" s="45">
        <v>20.303921568627452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0</v>
      </c>
      <c r="AI45" s="45">
        <v>0</v>
      </c>
    </row>
    <row r="46" spans="1:35" x14ac:dyDescent="0.3">
      <c r="A46" s="15" t="s">
        <v>168</v>
      </c>
      <c r="B46" s="15" t="s">
        <v>277</v>
      </c>
      <c r="C46" s="42">
        <v>2</v>
      </c>
      <c r="D46" s="43">
        <v>2.15</v>
      </c>
      <c r="E46" s="44">
        <v>1.4044049999999999</v>
      </c>
      <c r="F46" s="42">
        <v>2</v>
      </c>
      <c r="G46" s="45">
        <v>0.11084509877107809</v>
      </c>
      <c r="H46" s="46">
        <v>2.2499999999999999E-2</v>
      </c>
      <c r="I46" s="47">
        <v>2044</v>
      </c>
      <c r="J46" s="8">
        <f t="shared" si="0"/>
        <v>2045</v>
      </c>
      <c r="K46" s="8">
        <f t="shared" si="1"/>
        <v>2046</v>
      </c>
      <c r="L46" s="8">
        <f t="shared" si="2"/>
        <v>2085</v>
      </c>
      <c r="M46" s="8">
        <f t="shared" si="3"/>
        <v>40</v>
      </c>
      <c r="N46" s="8">
        <f t="shared" si="4"/>
        <v>0</v>
      </c>
      <c r="O46" s="48">
        <f t="shared" si="5"/>
        <v>5.1670035336256586</v>
      </c>
      <c r="P46" s="44">
        <v>5.1670035336256648</v>
      </c>
      <c r="Q46" s="49">
        <f t="shared" si="6"/>
        <v>0</v>
      </c>
      <c r="R46" s="48">
        <f t="shared" si="7"/>
        <v>0.97376250728399083</v>
      </c>
      <c r="S46" s="50">
        <f t="shared" si="8"/>
        <v>5.3062255888629517</v>
      </c>
      <c r="T46" s="45">
        <v>0.70915499999999998</v>
      </c>
      <c r="U46" s="45">
        <v>0.69525000000000003</v>
      </c>
      <c r="V46" s="45">
        <v>0</v>
      </c>
      <c r="W46" s="45">
        <v>0</v>
      </c>
      <c r="X46" s="45">
        <v>0</v>
      </c>
      <c r="Y46" s="45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</row>
    <row r="47" spans="1:35" x14ac:dyDescent="0.3">
      <c r="A47" s="15" t="s">
        <v>169</v>
      </c>
      <c r="B47" s="15" t="s">
        <v>277</v>
      </c>
      <c r="C47" s="42">
        <v>1</v>
      </c>
      <c r="D47" s="43">
        <v>1</v>
      </c>
      <c r="E47" s="44">
        <v>5.45E-2</v>
      </c>
      <c r="F47" s="42">
        <v>1</v>
      </c>
      <c r="G47" s="45">
        <v>1.9827010118963271E-3</v>
      </c>
      <c r="H47" s="46">
        <v>2.58E-2</v>
      </c>
      <c r="I47" s="47">
        <v>2045</v>
      </c>
      <c r="J47" s="8">
        <f t="shared" si="0"/>
        <v>2045</v>
      </c>
      <c r="K47" s="8">
        <f t="shared" si="1"/>
        <v>2046</v>
      </c>
      <c r="L47" s="8">
        <f t="shared" si="2"/>
        <v>2085</v>
      </c>
      <c r="M47" s="8">
        <f t="shared" si="3"/>
        <v>40</v>
      </c>
      <c r="N47" s="8">
        <f t="shared" si="4"/>
        <v>0</v>
      </c>
      <c r="O47" s="48">
        <f t="shared" si="5"/>
        <v>0.10533666877740007</v>
      </c>
      <c r="P47" s="44">
        <v>0.1053366687774</v>
      </c>
      <c r="Q47" s="49">
        <f t="shared" si="6"/>
        <v>0</v>
      </c>
      <c r="R47" s="48">
        <f t="shared" si="7"/>
        <v>3.7410476407476911E-2</v>
      </c>
      <c r="S47" s="50">
        <f t="shared" si="8"/>
        <v>2.815699742234433</v>
      </c>
      <c r="T47" s="45">
        <v>5.45E-2</v>
      </c>
      <c r="U47" s="45">
        <v>0</v>
      </c>
      <c r="V47" s="45">
        <v>0</v>
      </c>
      <c r="W47" s="45">
        <v>0</v>
      </c>
      <c r="X47" s="45">
        <v>0</v>
      </c>
      <c r="Y47" s="45">
        <v>0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0</v>
      </c>
      <c r="AF47" s="45">
        <v>0</v>
      </c>
      <c r="AG47" s="45">
        <v>0</v>
      </c>
      <c r="AH47" s="45">
        <v>0</v>
      </c>
      <c r="AI47" s="45">
        <v>0</v>
      </c>
    </row>
    <row r="48" spans="1:35" x14ac:dyDescent="0.3">
      <c r="A48" s="15" t="s">
        <v>170</v>
      </c>
      <c r="B48" s="15" t="s">
        <v>277</v>
      </c>
      <c r="C48" s="42">
        <v>1</v>
      </c>
      <c r="D48" s="43">
        <v>1.52</v>
      </c>
      <c r="E48" s="44">
        <v>3.8150000000000003E-2</v>
      </c>
      <c r="F48" s="42">
        <v>1</v>
      </c>
      <c r="G48" s="45">
        <v>2.1095938766576929E-3</v>
      </c>
      <c r="H48" s="46">
        <v>1.84E-2</v>
      </c>
      <c r="I48" s="47">
        <v>2045</v>
      </c>
      <c r="J48" s="8">
        <f t="shared" si="0"/>
        <v>2045</v>
      </c>
      <c r="K48" s="8">
        <f t="shared" si="1"/>
        <v>2046</v>
      </c>
      <c r="L48" s="8">
        <f t="shared" si="2"/>
        <v>2085</v>
      </c>
      <c r="M48" s="8">
        <f t="shared" si="3"/>
        <v>40</v>
      </c>
      <c r="N48" s="8">
        <f t="shared" si="4"/>
        <v>0</v>
      </c>
      <c r="O48" s="48">
        <f t="shared" si="5"/>
        <v>8.3702852289953514E-2</v>
      </c>
      <c r="P48" s="44">
        <v>8.3702852289953417E-2</v>
      </c>
      <c r="Q48" s="49">
        <f t="shared" si="6"/>
        <v>0</v>
      </c>
      <c r="R48" s="48">
        <f t="shared" si="7"/>
        <v>2.6187333485233843E-2</v>
      </c>
      <c r="S48" s="50">
        <f t="shared" si="8"/>
        <v>3.1963106261716465</v>
      </c>
      <c r="T48" s="45">
        <v>3.8150000000000003E-2</v>
      </c>
      <c r="U48" s="45">
        <v>0</v>
      </c>
      <c r="V48" s="45">
        <v>0</v>
      </c>
      <c r="W48" s="45">
        <v>0</v>
      </c>
      <c r="X48" s="45">
        <v>0</v>
      </c>
      <c r="Y48" s="45">
        <v>0</v>
      </c>
      <c r="Z48" s="45">
        <v>0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</row>
    <row r="49" spans="1:35" x14ac:dyDescent="0.3">
      <c r="A49" s="15" t="s">
        <v>171</v>
      </c>
      <c r="B49" s="15" t="s">
        <v>277</v>
      </c>
      <c r="C49" s="42">
        <v>1</v>
      </c>
      <c r="D49" s="43">
        <v>1</v>
      </c>
      <c r="E49" s="44">
        <v>3.27E-2</v>
      </c>
      <c r="F49" s="42">
        <v>1</v>
      </c>
      <c r="G49" s="45">
        <v>1.1896206071377959E-3</v>
      </c>
      <c r="H49" s="46">
        <v>1.1299999999999999E-2</v>
      </c>
      <c r="I49" s="47">
        <v>2032</v>
      </c>
      <c r="J49" s="8">
        <f t="shared" si="0"/>
        <v>2032</v>
      </c>
      <c r="K49" s="8">
        <f t="shared" si="1"/>
        <v>2033</v>
      </c>
      <c r="L49" s="8">
        <f t="shared" si="2"/>
        <v>2072</v>
      </c>
      <c r="M49" s="8">
        <f t="shared" si="3"/>
        <v>40</v>
      </c>
      <c r="N49" s="8">
        <f t="shared" si="4"/>
        <v>0</v>
      </c>
      <c r="O49" s="48">
        <f t="shared" si="5"/>
        <v>3.8682178459307881E-2</v>
      </c>
      <c r="P49" s="44">
        <v>3.8682178459307923E-2</v>
      </c>
      <c r="Q49" s="49">
        <f t="shared" si="6"/>
        <v>0</v>
      </c>
      <c r="R49" s="48">
        <f t="shared" si="7"/>
        <v>2.9036664197488474E-2</v>
      </c>
      <c r="S49" s="50">
        <f t="shared" si="8"/>
        <v>1.3321839656310692</v>
      </c>
      <c r="T49" s="45">
        <v>3.27E-2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5">
        <v>0</v>
      </c>
      <c r="AH49" s="45">
        <v>0</v>
      </c>
      <c r="AI49" s="45">
        <v>0</v>
      </c>
    </row>
    <row r="50" spans="1:35" x14ac:dyDescent="0.3">
      <c r="A50" s="15" t="s">
        <v>172</v>
      </c>
      <c r="B50" s="15" t="s">
        <v>277</v>
      </c>
      <c r="C50" s="42">
        <v>2</v>
      </c>
      <c r="D50" s="43">
        <v>1.58</v>
      </c>
      <c r="E50" s="44">
        <v>2.8349570710115941</v>
      </c>
      <c r="F50" s="42">
        <v>2</v>
      </c>
      <c r="G50" s="45">
        <v>0.16472886716410709</v>
      </c>
      <c r="H50" s="46">
        <v>1.7600000000000001E-2</v>
      </c>
      <c r="I50" s="47">
        <v>2044</v>
      </c>
      <c r="J50" s="8">
        <f t="shared" si="0"/>
        <v>2045</v>
      </c>
      <c r="K50" s="8">
        <f t="shared" si="1"/>
        <v>2046</v>
      </c>
      <c r="L50" s="8">
        <f t="shared" si="2"/>
        <v>2085</v>
      </c>
      <c r="M50" s="8">
        <f t="shared" si="3"/>
        <v>40</v>
      </c>
      <c r="N50" s="8">
        <f t="shared" si="4"/>
        <v>0</v>
      </c>
      <c r="O50" s="48">
        <f t="shared" si="5"/>
        <v>6.3348065988226043</v>
      </c>
      <c r="P50" s="44">
        <v>6.3348065988226088</v>
      </c>
      <c r="Q50" s="49">
        <f t="shared" si="6"/>
        <v>0</v>
      </c>
      <c r="R50" s="48">
        <f t="shared" si="7"/>
        <v>1.9691900785270788</v>
      </c>
      <c r="S50" s="50">
        <f t="shared" si="8"/>
        <v>3.2169604488160601</v>
      </c>
      <c r="T50" s="45">
        <v>1.689051810877459</v>
      </c>
      <c r="U50" s="45">
        <v>1.145905260134134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5">
        <v>0</v>
      </c>
      <c r="AH50" s="45">
        <v>0</v>
      </c>
      <c r="AI50" s="45">
        <v>0</v>
      </c>
    </row>
    <row r="51" spans="1:35" x14ac:dyDescent="0.3">
      <c r="A51" s="15" t="s">
        <v>173</v>
      </c>
      <c r="B51" s="15" t="s">
        <v>277</v>
      </c>
      <c r="C51" s="42">
        <v>1</v>
      </c>
      <c r="D51" s="43">
        <v>7</v>
      </c>
      <c r="E51" s="44">
        <v>1.006</v>
      </c>
      <c r="F51" s="42">
        <v>2</v>
      </c>
      <c r="G51" s="45">
        <v>0.25748490235329041</v>
      </c>
      <c r="H51" s="46">
        <v>2.9899999999999999E-2</v>
      </c>
      <c r="I51" s="47">
        <v>2044</v>
      </c>
      <c r="J51" s="8">
        <f t="shared" si="0"/>
        <v>2045</v>
      </c>
      <c r="K51" s="8">
        <f t="shared" si="1"/>
        <v>2046</v>
      </c>
      <c r="L51" s="8">
        <f t="shared" si="2"/>
        <v>2085</v>
      </c>
      <c r="M51" s="8">
        <f t="shared" si="3"/>
        <v>40</v>
      </c>
      <c r="N51" s="8">
        <f t="shared" si="4"/>
        <v>0</v>
      </c>
      <c r="O51" s="48">
        <f t="shared" si="5"/>
        <v>16.114659091091511</v>
      </c>
      <c r="P51" s="44">
        <v>16.11465909109149</v>
      </c>
      <c r="Q51" s="49">
        <f t="shared" si="6"/>
        <v>0</v>
      </c>
      <c r="R51" s="48">
        <f t="shared" si="7"/>
        <v>0.69475030057863363</v>
      </c>
      <c r="S51" s="50">
        <f t="shared" si="8"/>
        <v>23.194893298599748</v>
      </c>
      <c r="T51" s="45">
        <v>0.30599999999999999</v>
      </c>
      <c r="U51" s="45">
        <v>0.7</v>
      </c>
      <c r="V51" s="45">
        <v>0</v>
      </c>
      <c r="W51" s="45">
        <v>0</v>
      </c>
      <c r="X51" s="45">
        <v>0</v>
      </c>
      <c r="Y51" s="45">
        <v>0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</row>
    <row r="52" spans="1:35" x14ac:dyDescent="0.3">
      <c r="A52" s="15" t="s">
        <v>174</v>
      </c>
      <c r="B52" s="15" t="s">
        <v>277</v>
      </c>
      <c r="C52" s="42">
        <v>4</v>
      </c>
      <c r="D52" s="43">
        <v>3.32</v>
      </c>
      <c r="E52" s="44">
        <v>21.83713936824558</v>
      </c>
      <c r="F52" s="42">
        <v>8</v>
      </c>
      <c r="G52" s="45">
        <v>2.7611007066820372</v>
      </c>
      <c r="H52" s="46">
        <v>2.06E-2</v>
      </c>
      <c r="I52" s="47">
        <v>2038</v>
      </c>
      <c r="J52" s="8">
        <f t="shared" si="0"/>
        <v>2045</v>
      </c>
      <c r="K52" s="8">
        <f t="shared" si="1"/>
        <v>2046</v>
      </c>
      <c r="L52" s="8">
        <f t="shared" si="2"/>
        <v>2085</v>
      </c>
      <c r="M52" s="8">
        <f t="shared" si="3"/>
        <v>40</v>
      </c>
      <c r="N52" s="8">
        <f t="shared" si="4"/>
        <v>0</v>
      </c>
      <c r="O52" s="48">
        <f t="shared" si="5"/>
        <v>119.42425668394581</v>
      </c>
      <c r="P52" s="44">
        <v>119.4242566839458</v>
      </c>
      <c r="Q52" s="49">
        <f t="shared" si="6"/>
        <v>0</v>
      </c>
      <c r="R52" s="48">
        <f t="shared" si="7"/>
        <v>15.839480724175807</v>
      </c>
      <c r="S52" s="50">
        <f t="shared" si="8"/>
        <v>7.5396573134918814</v>
      </c>
      <c r="T52" s="45">
        <v>0.27500000000000002</v>
      </c>
      <c r="U52" s="45">
        <v>2.450980392156862</v>
      </c>
      <c r="V52" s="45">
        <v>2.402921953094963</v>
      </c>
      <c r="W52" s="45">
        <v>2.3558058363676109</v>
      </c>
      <c r="X52" s="45">
        <v>3.6953817041060568</v>
      </c>
      <c r="Y52" s="45">
        <v>3.6229232393196629</v>
      </c>
      <c r="Z52" s="45">
        <v>3.5518855287447679</v>
      </c>
      <c r="AA52" s="45">
        <v>3.4822407144556542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5">
        <v>0</v>
      </c>
      <c r="AH52" s="45">
        <v>0</v>
      </c>
      <c r="AI52" s="45">
        <v>0</v>
      </c>
    </row>
    <row r="53" spans="1:35" x14ac:dyDescent="0.3">
      <c r="A53" s="15" t="s">
        <v>175</v>
      </c>
      <c r="B53" s="15" t="s">
        <v>277</v>
      </c>
      <c r="C53" s="42">
        <v>5</v>
      </c>
      <c r="D53" s="43">
        <v>2.1800000000000002</v>
      </c>
      <c r="E53" s="44">
        <v>52.075214674444112</v>
      </c>
      <c r="F53" s="42">
        <v>5</v>
      </c>
      <c r="G53" s="45">
        <v>4.2990494521558889</v>
      </c>
      <c r="H53" s="46">
        <v>2.9399999999999999E-2</v>
      </c>
      <c r="I53" s="47">
        <v>2041</v>
      </c>
      <c r="J53" s="8">
        <f t="shared" si="0"/>
        <v>2045</v>
      </c>
      <c r="K53" s="8">
        <f t="shared" si="1"/>
        <v>2046</v>
      </c>
      <c r="L53" s="8">
        <f t="shared" si="2"/>
        <v>2085</v>
      </c>
      <c r="M53" s="8">
        <f t="shared" si="3"/>
        <v>40</v>
      </c>
      <c r="N53" s="8">
        <f t="shared" si="4"/>
        <v>0</v>
      </c>
      <c r="O53" s="48">
        <f t="shared" si="5"/>
        <v>263.71300437510024</v>
      </c>
      <c r="P53" s="44">
        <v>263.71300437510001</v>
      </c>
      <c r="Q53" s="49">
        <f t="shared" si="6"/>
        <v>0</v>
      </c>
      <c r="R53" s="48">
        <f t="shared" si="7"/>
        <v>37.383888877653476</v>
      </c>
      <c r="S53" s="50">
        <f t="shared" si="8"/>
        <v>7.0541886436201358</v>
      </c>
      <c r="T53" s="45">
        <v>12.352051914285839</v>
      </c>
      <c r="U53" s="45">
        <v>7.6884717060807448</v>
      </c>
      <c r="V53" s="45">
        <v>14.482631265921571</v>
      </c>
      <c r="W53" s="45">
        <v>15.60758580017275</v>
      </c>
      <c r="X53" s="45">
        <v>1.9444739879831969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45">
        <v>0</v>
      </c>
      <c r="AI53" s="45">
        <v>0</v>
      </c>
    </row>
    <row r="54" spans="1:35" x14ac:dyDescent="0.3">
      <c r="A54" s="15" t="s">
        <v>176</v>
      </c>
      <c r="B54" s="15" t="s">
        <v>277</v>
      </c>
      <c r="C54" s="42">
        <v>2</v>
      </c>
      <c r="D54" s="43">
        <v>1.1299999999999999</v>
      </c>
      <c r="E54" s="44">
        <v>3.056</v>
      </c>
      <c r="F54" s="42">
        <v>2</v>
      </c>
      <c r="G54" s="45">
        <v>0.1261730536150158</v>
      </c>
      <c r="H54" s="46">
        <v>2.7199999999999998E-2</v>
      </c>
      <c r="I54" s="47">
        <v>2044</v>
      </c>
      <c r="J54" s="8">
        <f t="shared" si="0"/>
        <v>2045</v>
      </c>
      <c r="K54" s="8">
        <f t="shared" si="1"/>
        <v>2046</v>
      </c>
      <c r="L54" s="8">
        <f t="shared" si="2"/>
        <v>2085</v>
      </c>
      <c r="M54" s="8">
        <f t="shared" si="3"/>
        <v>40</v>
      </c>
      <c r="N54" s="8">
        <f t="shared" si="4"/>
        <v>0</v>
      </c>
      <c r="O54" s="48">
        <f t="shared" si="5"/>
        <v>7.0878056107241969</v>
      </c>
      <c r="P54" s="44">
        <v>7.087805610724196</v>
      </c>
      <c r="Q54" s="49">
        <f t="shared" si="6"/>
        <v>0</v>
      </c>
      <c r="R54" s="48">
        <f t="shared" si="7"/>
        <v>2.108934951857238</v>
      </c>
      <c r="S54" s="50">
        <f t="shared" si="8"/>
        <v>3.360846006408261</v>
      </c>
      <c r="T54" s="45">
        <v>0.81599999999999995</v>
      </c>
      <c r="U54" s="45">
        <v>2.2400000000000002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45">
        <v>0</v>
      </c>
      <c r="AH54" s="45">
        <v>0</v>
      </c>
      <c r="AI54" s="45">
        <v>0</v>
      </c>
    </row>
    <row r="55" spans="1:35" x14ac:dyDescent="0.3">
      <c r="A55" s="15" t="s">
        <v>177</v>
      </c>
      <c r="B55" s="15" t="s">
        <v>277</v>
      </c>
      <c r="C55" s="42">
        <v>4</v>
      </c>
      <c r="D55" s="43">
        <v>1.85</v>
      </c>
      <c r="E55" s="44">
        <v>25.84105745098039</v>
      </c>
      <c r="F55" s="42">
        <v>2</v>
      </c>
      <c r="G55" s="45">
        <v>1.756069835490772</v>
      </c>
      <c r="H55" s="46">
        <v>1.0200000000000001E-2</v>
      </c>
      <c r="I55" s="47">
        <v>2026</v>
      </c>
      <c r="J55" s="8">
        <f t="shared" si="0"/>
        <v>2027</v>
      </c>
      <c r="K55" s="8">
        <f t="shared" si="1"/>
        <v>2028</v>
      </c>
      <c r="L55" s="8">
        <f t="shared" si="2"/>
        <v>2067</v>
      </c>
      <c r="M55" s="8">
        <f t="shared" si="3"/>
        <v>40</v>
      </c>
      <c r="N55" s="8">
        <f t="shared" si="4"/>
        <v>0</v>
      </c>
      <c r="O55" s="48">
        <f t="shared" si="5"/>
        <v>57.835010243328867</v>
      </c>
      <c r="P55" s="44">
        <v>57.835010243328817</v>
      </c>
      <c r="Q55" s="49">
        <f t="shared" si="6"/>
        <v>0</v>
      </c>
      <c r="R55" s="48">
        <f t="shared" si="7"/>
        <v>25.606378481353325</v>
      </c>
      <c r="S55" s="50">
        <f t="shared" si="8"/>
        <v>2.2586173318278715</v>
      </c>
      <c r="T55" s="45">
        <v>13.87243</v>
      </c>
      <c r="U55" s="45">
        <v>11.96862745098039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45">
        <v>0</v>
      </c>
      <c r="AI55" s="45">
        <v>0</v>
      </c>
    </row>
    <row r="56" spans="1:35" x14ac:dyDescent="0.3">
      <c r="A56" s="15" t="s">
        <v>178</v>
      </c>
      <c r="B56" s="15" t="s">
        <v>277</v>
      </c>
      <c r="C56" s="42">
        <v>1</v>
      </c>
      <c r="D56" s="43">
        <v>5.43</v>
      </c>
      <c r="E56" s="44">
        <v>5.3249999999999999E-2</v>
      </c>
      <c r="F56" s="42">
        <v>1</v>
      </c>
      <c r="G56" s="45">
        <v>1.0519138363987039E-2</v>
      </c>
      <c r="H56" s="46">
        <v>2.4400000000000002E-2</v>
      </c>
      <c r="I56" s="47">
        <v>2045</v>
      </c>
      <c r="J56" s="8">
        <f t="shared" ref="J56:J87" si="9">I56+F56-1</f>
        <v>2045</v>
      </c>
      <c r="K56" s="8">
        <f t="shared" ref="K56:K87" si="10">I56+F56</f>
        <v>2046</v>
      </c>
      <c r="L56" s="8">
        <f t="shared" ref="L56:L87" si="11">K56+$B$9-1</f>
        <v>2085</v>
      </c>
      <c r="M56" s="8">
        <f t="shared" ref="M56:M87" si="12">MAX(0,MIN(L56,2085)-K56+1)</f>
        <v>40</v>
      </c>
      <c r="N56" s="8">
        <f t="shared" ref="N56:N87" si="13">$B$9-M56</f>
        <v>0</v>
      </c>
      <c r="O56" s="48">
        <f t="shared" ref="O56:O87" si="14">SUMPRODUCT(C267:BJ267,$C$129:$BJ$129)</f>
        <v>0.52863314306211084</v>
      </c>
      <c r="P56" s="44">
        <v>0.52863314306211184</v>
      </c>
      <c r="Q56" s="49">
        <f t="shared" ref="Q56:Q87" si="15">O56-P56</f>
        <v>-9.9920072216264089E-16</v>
      </c>
      <c r="R56" s="48">
        <f t="shared" ref="R56:R87" si="16">SUMPRODUCT(C164:BJ164,$C$129:$BJ$129)</f>
        <v>3.6552437957764139E-2</v>
      </c>
      <c r="S56" s="50">
        <f t="shared" ref="S56:S87" si="17">IF(R56=0,0,O56/R56)</f>
        <v>14.462322422185341</v>
      </c>
      <c r="T56" s="45">
        <v>5.3249999999999999E-2</v>
      </c>
      <c r="U56" s="45">
        <v>0</v>
      </c>
      <c r="V56" s="45">
        <v>0</v>
      </c>
      <c r="W56" s="45">
        <v>0</v>
      </c>
      <c r="X56" s="45">
        <v>0</v>
      </c>
      <c r="Y56" s="45">
        <v>0</v>
      </c>
      <c r="Z56" s="45">
        <v>0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</row>
    <row r="57" spans="1:35" x14ac:dyDescent="0.3">
      <c r="A57" s="15" t="s">
        <v>179</v>
      </c>
      <c r="B57" s="15" t="s">
        <v>277</v>
      </c>
      <c r="C57" s="42">
        <v>2</v>
      </c>
      <c r="D57" s="43">
        <v>1.19</v>
      </c>
      <c r="E57" s="44">
        <v>4.2647690968858134</v>
      </c>
      <c r="F57" s="42">
        <v>4</v>
      </c>
      <c r="G57" s="45">
        <v>0.18831518439406331</v>
      </c>
      <c r="H57" s="46">
        <v>2.3599999999999999E-2</v>
      </c>
      <c r="I57" s="47">
        <v>2042</v>
      </c>
      <c r="J57" s="8">
        <f t="shared" si="9"/>
        <v>2045</v>
      </c>
      <c r="K57" s="8">
        <f t="shared" si="10"/>
        <v>2046</v>
      </c>
      <c r="L57" s="8">
        <f t="shared" si="11"/>
        <v>2085</v>
      </c>
      <c r="M57" s="8">
        <f t="shared" si="12"/>
        <v>40</v>
      </c>
      <c r="N57" s="8">
        <f t="shared" si="13"/>
        <v>0</v>
      </c>
      <c r="O57" s="48">
        <f t="shared" si="14"/>
        <v>9.1684176732534723</v>
      </c>
      <c r="P57" s="44">
        <v>9.1684176732534866</v>
      </c>
      <c r="Q57" s="49">
        <f t="shared" si="15"/>
        <v>-1.4210854715202004E-14</v>
      </c>
      <c r="R57" s="48">
        <f t="shared" si="16"/>
        <v>2.995909593201262</v>
      </c>
      <c r="S57" s="50">
        <f t="shared" si="17"/>
        <v>3.0603118645701897</v>
      </c>
      <c r="T57" s="45">
        <v>0.33477099999999999</v>
      </c>
      <c r="U57" s="45">
        <v>0.52254999999999996</v>
      </c>
      <c r="V57" s="45">
        <v>2.9051893502499042</v>
      </c>
      <c r="W57" s="45">
        <v>0.50225874663590919</v>
      </c>
      <c r="X57" s="45">
        <v>0</v>
      </c>
      <c r="Y57" s="45">
        <v>0</v>
      </c>
      <c r="Z57" s="45">
        <v>0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</row>
    <row r="58" spans="1:35" x14ac:dyDescent="0.3">
      <c r="A58" s="15" t="s">
        <v>180</v>
      </c>
      <c r="B58" s="15" t="s">
        <v>277</v>
      </c>
      <c r="C58" s="42">
        <v>3</v>
      </c>
      <c r="D58" s="43">
        <v>1.03</v>
      </c>
      <c r="E58" s="44">
        <v>8.6989920000000005</v>
      </c>
      <c r="F58" s="42">
        <v>1</v>
      </c>
      <c r="G58" s="45">
        <v>0.32596193115787869</v>
      </c>
      <c r="H58" s="46">
        <v>2.07E-2</v>
      </c>
      <c r="I58" s="47">
        <v>2045</v>
      </c>
      <c r="J58" s="8">
        <f t="shared" si="9"/>
        <v>2045</v>
      </c>
      <c r="K58" s="8">
        <f t="shared" si="10"/>
        <v>2046</v>
      </c>
      <c r="L58" s="8">
        <f t="shared" si="11"/>
        <v>2085</v>
      </c>
      <c r="M58" s="8">
        <f t="shared" si="12"/>
        <v>40</v>
      </c>
      <c r="N58" s="8">
        <f t="shared" si="13"/>
        <v>0</v>
      </c>
      <c r="O58" s="48">
        <f t="shared" si="14"/>
        <v>14.154183675715824</v>
      </c>
      <c r="P58" s="44">
        <v>14.15418367571583</v>
      </c>
      <c r="Q58" s="49">
        <f t="shared" si="15"/>
        <v>0</v>
      </c>
      <c r="R58" s="48">
        <f t="shared" si="16"/>
        <v>5.971255687795054</v>
      </c>
      <c r="S58" s="50">
        <f t="shared" si="17"/>
        <v>2.3703864673968429</v>
      </c>
      <c r="T58" s="45">
        <v>8.6989920000000005</v>
      </c>
      <c r="U58" s="45">
        <v>0</v>
      </c>
      <c r="V58" s="45">
        <v>0</v>
      </c>
      <c r="W58" s="45">
        <v>0</v>
      </c>
      <c r="X58" s="45">
        <v>0</v>
      </c>
      <c r="Y58" s="45">
        <v>0</v>
      </c>
      <c r="Z58" s="45">
        <v>0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</row>
    <row r="59" spans="1:35" x14ac:dyDescent="0.3">
      <c r="A59" s="15" t="s">
        <v>181</v>
      </c>
      <c r="B59" s="15" t="s">
        <v>277</v>
      </c>
      <c r="C59" s="42">
        <v>3</v>
      </c>
      <c r="D59" s="43">
        <v>6.35</v>
      </c>
      <c r="E59" s="44">
        <v>5.6851479773088753</v>
      </c>
      <c r="F59" s="42">
        <v>2</v>
      </c>
      <c r="G59" s="45">
        <v>1.3208728146685369</v>
      </c>
      <c r="H59" s="46">
        <v>1.5299999999999999E-2</v>
      </c>
      <c r="I59" s="47">
        <v>2026</v>
      </c>
      <c r="J59" s="8">
        <f t="shared" si="9"/>
        <v>2027</v>
      </c>
      <c r="K59" s="8">
        <f t="shared" si="10"/>
        <v>2028</v>
      </c>
      <c r="L59" s="8">
        <f t="shared" si="11"/>
        <v>2067</v>
      </c>
      <c r="M59" s="8">
        <f t="shared" si="12"/>
        <v>40</v>
      </c>
      <c r="N59" s="8">
        <f t="shared" si="13"/>
        <v>0</v>
      </c>
      <c r="O59" s="48">
        <f t="shared" si="14"/>
        <v>48.275481329609029</v>
      </c>
      <c r="P59" s="44">
        <v>48.275481329609072</v>
      </c>
      <c r="Q59" s="49">
        <f t="shared" si="15"/>
        <v>0</v>
      </c>
      <c r="R59" s="48">
        <f t="shared" si="16"/>
        <v>5.6113244741624158</v>
      </c>
      <c r="S59" s="50">
        <f t="shared" si="17"/>
        <v>8.6032239896116423</v>
      </c>
      <c r="T59" s="45">
        <v>1.9201493168394219</v>
      </c>
      <c r="U59" s="45">
        <v>3.7649986604694541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</row>
    <row r="60" spans="1:35" x14ac:dyDescent="0.3">
      <c r="A60" s="15" t="s">
        <v>182</v>
      </c>
      <c r="B60" s="15" t="s">
        <v>277</v>
      </c>
      <c r="C60" s="42">
        <v>5</v>
      </c>
      <c r="D60" s="43">
        <v>1.01</v>
      </c>
      <c r="E60" s="44">
        <v>52.287062926216237</v>
      </c>
      <c r="F60" s="42">
        <v>5</v>
      </c>
      <c r="G60" s="45">
        <v>1.9987307834406951</v>
      </c>
      <c r="H60" s="46">
        <v>2.2800000000000001E-2</v>
      </c>
      <c r="I60" s="47">
        <v>2041</v>
      </c>
      <c r="J60" s="8">
        <f t="shared" si="9"/>
        <v>2045</v>
      </c>
      <c r="K60" s="8">
        <f t="shared" si="10"/>
        <v>2046</v>
      </c>
      <c r="L60" s="8">
        <f t="shared" si="11"/>
        <v>2085</v>
      </c>
      <c r="M60" s="8">
        <f t="shared" si="12"/>
        <v>40</v>
      </c>
      <c r="N60" s="8">
        <f t="shared" si="13"/>
        <v>0</v>
      </c>
      <c r="O60" s="48">
        <f t="shared" si="14"/>
        <v>94.280714200557568</v>
      </c>
      <c r="P60" s="44">
        <v>94.280714200557725</v>
      </c>
      <c r="Q60" s="49">
        <f t="shared" si="15"/>
        <v>-1.5631940186722204E-13</v>
      </c>
      <c r="R60" s="48">
        <f t="shared" si="16"/>
        <v>37.514698234049554</v>
      </c>
      <c r="S60" s="50">
        <f t="shared" si="17"/>
        <v>2.5131673354361501</v>
      </c>
      <c r="T60" s="45">
        <v>10.022251000000001</v>
      </c>
      <c r="U60" s="45">
        <v>10.341873529411769</v>
      </c>
      <c r="V60" s="45">
        <v>14.70262014609766</v>
      </c>
      <c r="W60" s="45">
        <v>15.581077413664429</v>
      </c>
      <c r="X60" s="45">
        <v>1.6392408370423881</v>
      </c>
      <c r="Y60" s="45">
        <v>0</v>
      </c>
      <c r="Z60" s="45">
        <v>0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</row>
    <row r="61" spans="1:35" x14ac:dyDescent="0.3">
      <c r="A61" s="15" t="s">
        <v>183</v>
      </c>
      <c r="B61" s="15" t="s">
        <v>277</v>
      </c>
      <c r="C61" s="42">
        <v>4</v>
      </c>
      <c r="D61" s="43">
        <v>1</v>
      </c>
      <c r="E61" s="44">
        <v>18.906960220146431</v>
      </c>
      <c r="F61" s="42">
        <v>16</v>
      </c>
      <c r="G61" s="45">
        <v>0.7863193587144367</v>
      </c>
      <c r="H61" s="46">
        <v>1.2200000000000001E-2</v>
      </c>
      <c r="I61" s="47">
        <v>2026</v>
      </c>
      <c r="J61" s="8">
        <f t="shared" si="9"/>
        <v>2041</v>
      </c>
      <c r="K61" s="8">
        <f t="shared" si="10"/>
        <v>2042</v>
      </c>
      <c r="L61" s="8">
        <f t="shared" si="11"/>
        <v>2081</v>
      </c>
      <c r="M61" s="8">
        <f t="shared" si="12"/>
        <v>40</v>
      </c>
      <c r="N61" s="8">
        <f t="shared" si="13"/>
        <v>0</v>
      </c>
      <c r="O61" s="48">
        <f t="shared" si="14"/>
        <v>24.957788502114234</v>
      </c>
      <c r="P61" s="44">
        <v>24.957788502114209</v>
      </c>
      <c r="Q61" s="49">
        <f t="shared" si="15"/>
        <v>0</v>
      </c>
      <c r="R61" s="48">
        <f t="shared" si="16"/>
        <v>16.501608597735206</v>
      </c>
      <c r="S61" s="50">
        <f t="shared" si="17"/>
        <v>1.5124457930446618</v>
      </c>
      <c r="T61" s="45">
        <v>1.365196078431373</v>
      </c>
      <c r="U61" s="45">
        <v>1.338427527873894</v>
      </c>
      <c r="V61" s="45">
        <v>1.3121838508567589</v>
      </c>
      <c r="W61" s="45">
        <v>1.286454755741921</v>
      </c>
      <c r="X61" s="45">
        <v>1.261230152688158</v>
      </c>
      <c r="Y61" s="45">
        <v>1.236500149694272</v>
      </c>
      <c r="Z61" s="45">
        <v>1.2122550487198751</v>
      </c>
      <c r="AA61" s="45">
        <v>1.1884853418822301</v>
      </c>
      <c r="AB61" s="45">
        <v>1.165181707727676</v>
      </c>
      <c r="AC61" s="45">
        <v>1.142335007576154</v>
      </c>
      <c r="AD61" s="45">
        <v>1.119936281937405</v>
      </c>
      <c r="AE61" s="45">
        <v>1.097976746997456</v>
      </c>
      <c r="AF61" s="45">
        <v>1.0764477911739769</v>
      </c>
      <c r="AG61" s="45">
        <v>1.0553409717391931</v>
      </c>
      <c r="AH61" s="45">
        <v>1.0346480115090131</v>
      </c>
      <c r="AI61" s="45">
        <v>1.014360795597071</v>
      </c>
    </row>
    <row r="62" spans="1:35" x14ac:dyDescent="0.3">
      <c r="A62" s="15" t="s">
        <v>184</v>
      </c>
      <c r="B62" s="15" t="s">
        <v>277</v>
      </c>
      <c r="C62" s="42">
        <v>1</v>
      </c>
      <c r="D62" s="43">
        <v>1.89</v>
      </c>
      <c r="E62" s="44">
        <v>6.3222E-2</v>
      </c>
      <c r="F62" s="42">
        <v>1</v>
      </c>
      <c r="G62" s="45">
        <v>4.3470112142581117E-3</v>
      </c>
      <c r="H62" s="46">
        <v>1.8700000000000001E-2</v>
      </c>
      <c r="I62" s="47">
        <v>2045</v>
      </c>
      <c r="J62" s="8">
        <f t="shared" si="9"/>
        <v>2045</v>
      </c>
      <c r="K62" s="8">
        <f t="shared" si="10"/>
        <v>2046</v>
      </c>
      <c r="L62" s="8">
        <f t="shared" si="11"/>
        <v>2085</v>
      </c>
      <c r="M62" s="8">
        <f t="shared" si="12"/>
        <v>40</v>
      </c>
      <c r="N62" s="8">
        <f t="shared" si="13"/>
        <v>0</v>
      </c>
      <c r="O62" s="48">
        <f t="shared" si="14"/>
        <v>0.17451402682920228</v>
      </c>
      <c r="P62" s="44">
        <v>0.17451402682920231</v>
      </c>
      <c r="Q62" s="49">
        <f t="shared" si="15"/>
        <v>0</v>
      </c>
      <c r="R62" s="48">
        <f t="shared" si="16"/>
        <v>4.3397525494192762E-2</v>
      </c>
      <c r="S62" s="50">
        <f t="shared" si="17"/>
        <v>4.0212898049349581</v>
      </c>
      <c r="T62" s="45">
        <v>6.3222E-2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</row>
    <row r="63" spans="1:35" x14ac:dyDescent="0.3">
      <c r="A63" s="15" t="s">
        <v>185</v>
      </c>
      <c r="B63" s="15" t="s">
        <v>277</v>
      </c>
      <c r="C63" s="42">
        <v>5</v>
      </c>
      <c r="D63" s="43">
        <v>1.91</v>
      </c>
      <c r="E63" s="44">
        <v>79.104191791618604</v>
      </c>
      <c r="F63" s="42">
        <v>3</v>
      </c>
      <c r="G63" s="45">
        <v>5.5107907914743519</v>
      </c>
      <c r="H63" s="46">
        <v>1.9099999999999999E-2</v>
      </c>
      <c r="I63" s="47">
        <v>2043</v>
      </c>
      <c r="J63" s="8">
        <f t="shared" si="9"/>
        <v>2045</v>
      </c>
      <c r="K63" s="8">
        <f t="shared" si="10"/>
        <v>2046</v>
      </c>
      <c r="L63" s="8">
        <f t="shared" si="11"/>
        <v>2085</v>
      </c>
      <c r="M63" s="8">
        <f t="shared" si="12"/>
        <v>40</v>
      </c>
      <c r="N63" s="8">
        <f t="shared" si="13"/>
        <v>0</v>
      </c>
      <c r="O63" s="48">
        <f t="shared" si="14"/>
        <v>224.72769410117508</v>
      </c>
      <c r="P63" s="44">
        <v>224.72769410117519</v>
      </c>
      <c r="Q63" s="49">
        <f t="shared" si="15"/>
        <v>0</v>
      </c>
      <c r="R63" s="48">
        <f t="shared" si="16"/>
        <v>54.555686715192337</v>
      </c>
      <c r="S63" s="50">
        <f t="shared" si="17"/>
        <v>4.1192349988070864</v>
      </c>
      <c r="T63" s="45">
        <v>2.6953499999999999</v>
      </c>
      <c r="U63" s="45">
        <v>13.2125</v>
      </c>
      <c r="V63" s="45">
        <v>63.196341791618607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</row>
    <row r="64" spans="1:35" x14ac:dyDescent="0.3">
      <c r="A64" s="15" t="s">
        <v>186</v>
      </c>
      <c r="B64" s="15" t="s">
        <v>277</v>
      </c>
      <c r="C64" s="42">
        <v>1</v>
      </c>
      <c r="D64" s="43">
        <v>1.87</v>
      </c>
      <c r="E64" s="44">
        <v>1.149563725490196</v>
      </c>
      <c r="F64" s="42">
        <v>1</v>
      </c>
      <c r="G64" s="45">
        <v>7.8205155458853426E-2</v>
      </c>
      <c r="H64" s="46">
        <v>2.9100000000000001E-2</v>
      </c>
      <c r="I64" s="47">
        <v>2045</v>
      </c>
      <c r="J64" s="8">
        <f t="shared" si="9"/>
        <v>2045</v>
      </c>
      <c r="K64" s="8">
        <f t="shared" si="10"/>
        <v>2046</v>
      </c>
      <c r="L64" s="8">
        <f t="shared" si="11"/>
        <v>2085</v>
      </c>
      <c r="M64" s="8">
        <f t="shared" si="12"/>
        <v>40</v>
      </c>
      <c r="N64" s="8">
        <f t="shared" si="13"/>
        <v>0</v>
      </c>
      <c r="O64" s="48">
        <f t="shared" si="14"/>
        <v>4.7399396756205512</v>
      </c>
      <c r="P64" s="44">
        <v>4.7399396756205441</v>
      </c>
      <c r="Q64" s="49">
        <f t="shared" si="15"/>
        <v>7.1054273576010019E-15</v>
      </c>
      <c r="R64" s="48">
        <f t="shared" si="16"/>
        <v>0.78909590149251829</v>
      </c>
      <c r="S64" s="50">
        <f t="shared" si="17"/>
        <v>6.0067979907832436</v>
      </c>
      <c r="T64" s="45">
        <v>1.149563725490196</v>
      </c>
      <c r="U64" s="45">
        <v>0</v>
      </c>
      <c r="V64" s="45">
        <v>0</v>
      </c>
      <c r="W64" s="45">
        <v>0</v>
      </c>
      <c r="X64" s="45">
        <v>0</v>
      </c>
      <c r="Y64" s="45">
        <v>0</v>
      </c>
      <c r="Z64" s="45">
        <v>0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</row>
    <row r="65" spans="1:35" x14ac:dyDescent="0.3">
      <c r="A65" s="15" t="s">
        <v>187</v>
      </c>
      <c r="B65" s="15" t="s">
        <v>277</v>
      </c>
      <c r="C65" s="42">
        <v>4</v>
      </c>
      <c r="D65" s="43">
        <v>2.16</v>
      </c>
      <c r="E65" s="44">
        <v>35.82377963377585</v>
      </c>
      <c r="F65" s="42">
        <v>3</v>
      </c>
      <c r="G65" s="45">
        <v>2.833855896561515</v>
      </c>
      <c r="H65" s="46">
        <v>2.75E-2</v>
      </c>
      <c r="I65" s="47">
        <v>2043</v>
      </c>
      <c r="J65" s="8">
        <f t="shared" si="9"/>
        <v>2045</v>
      </c>
      <c r="K65" s="8">
        <f t="shared" si="10"/>
        <v>2046</v>
      </c>
      <c r="L65" s="8">
        <f t="shared" si="11"/>
        <v>2085</v>
      </c>
      <c r="M65" s="8">
        <f t="shared" si="12"/>
        <v>40</v>
      </c>
      <c r="N65" s="8">
        <f t="shared" si="13"/>
        <v>0</v>
      </c>
      <c r="O65" s="48">
        <f t="shared" si="14"/>
        <v>161.11026613465796</v>
      </c>
      <c r="P65" s="44">
        <v>161.1102661346581</v>
      </c>
      <c r="Q65" s="49">
        <f t="shared" si="15"/>
        <v>0</v>
      </c>
      <c r="R65" s="48">
        <f t="shared" si="16"/>
        <v>24.80752748354535</v>
      </c>
      <c r="S65" s="50">
        <f t="shared" si="17"/>
        <v>6.4944104664006206</v>
      </c>
      <c r="T65" s="45">
        <v>1.6885235294117651</v>
      </c>
      <c r="U65" s="45">
        <v>12.394360822760479</v>
      </c>
      <c r="V65" s="45">
        <v>21.74089528160361</v>
      </c>
      <c r="W65" s="45">
        <v>0</v>
      </c>
      <c r="X65" s="45">
        <v>0</v>
      </c>
      <c r="Y65" s="45">
        <v>0</v>
      </c>
      <c r="Z65" s="45">
        <v>0</v>
      </c>
      <c r="AA65" s="45">
        <v>0</v>
      </c>
      <c r="AB65" s="45">
        <v>0</v>
      </c>
      <c r="AC65" s="45">
        <v>0</v>
      </c>
      <c r="AD65" s="45">
        <v>0</v>
      </c>
      <c r="AE65" s="45">
        <v>0</v>
      </c>
      <c r="AF65" s="45">
        <v>0</v>
      </c>
      <c r="AG65" s="45">
        <v>0</v>
      </c>
      <c r="AH65" s="45">
        <v>0</v>
      </c>
      <c r="AI65" s="45">
        <v>0</v>
      </c>
    </row>
    <row r="66" spans="1:35" x14ac:dyDescent="0.3">
      <c r="A66" s="15" t="s">
        <v>188</v>
      </c>
      <c r="B66" s="15" t="s">
        <v>277</v>
      </c>
      <c r="C66" s="42">
        <v>4</v>
      </c>
      <c r="D66" s="43">
        <v>1.97</v>
      </c>
      <c r="E66" s="44">
        <v>16.347101931949251</v>
      </c>
      <c r="F66" s="42">
        <v>3</v>
      </c>
      <c r="G66" s="45">
        <v>1.1875395984794399</v>
      </c>
      <c r="H66" s="46">
        <v>1.5299999999999999E-2</v>
      </c>
      <c r="I66" s="47">
        <v>2026</v>
      </c>
      <c r="J66" s="8">
        <f t="shared" si="9"/>
        <v>2028</v>
      </c>
      <c r="K66" s="8">
        <f t="shared" si="10"/>
        <v>2029</v>
      </c>
      <c r="L66" s="8">
        <f t="shared" si="11"/>
        <v>2068</v>
      </c>
      <c r="M66" s="8">
        <f t="shared" si="12"/>
        <v>40</v>
      </c>
      <c r="N66" s="8">
        <f t="shared" si="13"/>
        <v>0</v>
      </c>
      <c r="O66" s="48">
        <f t="shared" si="14"/>
        <v>43.263339184120213</v>
      </c>
      <c r="P66" s="44">
        <v>43.263339184120262</v>
      </c>
      <c r="Q66" s="49">
        <f t="shared" si="15"/>
        <v>0</v>
      </c>
      <c r="R66" s="48">
        <f t="shared" si="16"/>
        <v>15.960418096723954</v>
      </c>
      <c r="S66" s="50">
        <f t="shared" si="17"/>
        <v>2.7106645278296608</v>
      </c>
      <c r="T66" s="45">
        <v>2.4808750000000002</v>
      </c>
      <c r="U66" s="45">
        <v>7.8944852941176462</v>
      </c>
      <c r="V66" s="45">
        <v>5.9717416378316033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45">
        <v>0</v>
      </c>
      <c r="AH66" s="45">
        <v>0</v>
      </c>
      <c r="AI66" s="45">
        <v>0</v>
      </c>
    </row>
    <row r="67" spans="1:35" x14ac:dyDescent="0.3">
      <c r="A67" s="15" t="s">
        <v>189</v>
      </c>
      <c r="B67" s="15" t="s">
        <v>277</v>
      </c>
      <c r="C67" s="42">
        <v>3</v>
      </c>
      <c r="D67" s="43">
        <v>1.49</v>
      </c>
      <c r="E67" s="44">
        <v>10.20019315820123</v>
      </c>
      <c r="F67" s="42">
        <v>4</v>
      </c>
      <c r="G67" s="45">
        <v>0.55780011737751434</v>
      </c>
      <c r="H67" s="46">
        <v>0.02</v>
      </c>
      <c r="I67" s="47">
        <v>2042</v>
      </c>
      <c r="J67" s="8">
        <f t="shared" si="9"/>
        <v>2045</v>
      </c>
      <c r="K67" s="8">
        <f t="shared" si="10"/>
        <v>2046</v>
      </c>
      <c r="L67" s="8">
        <f t="shared" si="11"/>
        <v>2085</v>
      </c>
      <c r="M67" s="8">
        <f t="shared" si="12"/>
        <v>40</v>
      </c>
      <c r="N67" s="8">
        <f t="shared" si="13"/>
        <v>0</v>
      </c>
      <c r="O67" s="48">
        <f t="shared" si="14"/>
        <v>23.56412146746592</v>
      </c>
      <c r="P67" s="44">
        <v>23.564121467465942</v>
      </c>
      <c r="Q67" s="49">
        <f t="shared" si="15"/>
        <v>0</v>
      </c>
      <c r="R67" s="48">
        <f t="shared" si="16"/>
        <v>7.0873300531076406</v>
      </c>
      <c r="S67" s="50">
        <f t="shared" si="17"/>
        <v>3.324823493599478</v>
      </c>
      <c r="T67" s="45">
        <v>0.4245162117134435</v>
      </c>
      <c r="U67" s="45">
        <v>0</v>
      </c>
      <c r="V67" s="45">
        <v>4.9362329135730416</v>
      </c>
      <c r="W67" s="45">
        <v>4.8394440329147468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</row>
    <row r="68" spans="1:35" x14ac:dyDescent="0.3">
      <c r="A68" s="15" t="s">
        <v>190</v>
      </c>
      <c r="B68" s="15" t="s">
        <v>277</v>
      </c>
      <c r="C68" s="42">
        <v>3</v>
      </c>
      <c r="D68" s="43">
        <v>1.31</v>
      </c>
      <c r="E68" s="44">
        <v>13.727192554145841</v>
      </c>
      <c r="F68" s="42">
        <v>5</v>
      </c>
      <c r="G68" s="45">
        <v>0.66623577946345458</v>
      </c>
      <c r="H68" s="46">
        <v>1.3599999999999999E-2</v>
      </c>
      <c r="I68" s="47">
        <v>2026</v>
      </c>
      <c r="J68" s="8">
        <f t="shared" si="9"/>
        <v>2030</v>
      </c>
      <c r="K68" s="8">
        <f t="shared" si="10"/>
        <v>2031</v>
      </c>
      <c r="L68" s="8">
        <f t="shared" si="11"/>
        <v>2070</v>
      </c>
      <c r="M68" s="8">
        <f t="shared" si="12"/>
        <v>40</v>
      </c>
      <c r="N68" s="8">
        <f t="shared" si="13"/>
        <v>0</v>
      </c>
      <c r="O68" s="48">
        <f t="shared" si="14"/>
        <v>23.175653045281138</v>
      </c>
      <c r="P68" s="44">
        <v>23.17565304528118</v>
      </c>
      <c r="Q68" s="49">
        <f t="shared" si="15"/>
        <v>-4.2632564145606011E-14</v>
      </c>
      <c r="R68" s="48">
        <f t="shared" si="16"/>
        <v>12.975609377603407</v>
      </c>
      <c r="S68" s="50">
        <f t="shared" si="17"/>
        <v>1.786093613860136</v>
      </c>
      <c r="T68" s="45">
        <v>0.29325000000000001</v>
      </c>
      <c r="U68" s="45">
        <v>1.3512500000000001</v>
      </c>
      <c r="V68" s="45">
        <v>2.9411764705882359</v>
      </c>
      <c r="W68" s="45">
        <v>4.6160130718954244</v>
      </c>
      <c r="X68" s="45">
        <v>4.5255030116621811</v>
      </c>
      <c r="Y68" s="45">
        <v>0</v>
      </c>
      <c r="Z68" s="45">
        <v>0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</row>
    <row r="69" spans="1:35" x14ac:dyDescent="0.3">
      <c r="A69" s="15" t="s">
        <v>191</v>
      </c>
      <c r="B69" s="15" t="s">
        <v>277</v>
      </c>
      <c r="C69" s="42">
        <v>4</v>
      </c>
      <c r="D69" s="43">
        <v>1.17</v>
      </c>
      <c r="E69" s="44">
        <v>32.593137254901961</v>
      </c>
      <c r="F69" s="42">
        <v>1</v>
      </c>
      <c r="G69" s="45">
        <v>1.3873075609709891</v>
      </c>
      <c r="H69" s="46">
        <v>2.8299999999999999E-2</v>
      </c>
      <c r="I69" s="47">
        <v>2045</v>
      </c>
      <c r="J69" s="8">
        <f t="shared" si="9"/>
        <v>2045</v>
      </c>
      <c r="K69" s="8">
        <f t="shared" si="10"/>
        <v>2046</v>
      </c>
      <c r="L69" s="8">
        <f t="shared" si="11"/>
        <v>2085</v>
      </c>
      <c r="M69" s="8">
        <f t="shared" si="12"/>
        <v>40</v>
      </c>
      <c r="N69" s="8">
        <f t="shared" si="13"/>
        <v>0</v>
      </c>
      <c r="O69" s="48">
        <f t="shared" si="14"/>
        <v>81.433326766432572</v>
      </c>
      <c r="P69" s="44">
        <v>81.433326766432458</v>
      </c>
      <c r="Q69" s="49">
        <f t="shared" si="15"/>
        <v>1.1368683772161603E-13</v>
      </c>
      <c r="R69" s="48">
        <f t="shared" si="16"/>
        <v>22.372931969177372</v>
      </c>
      <c r="S69" s="50">
        <f t="shared" si="17"/>
        <v>3.6398147046002385</v>
      </c>
      <c r="T69" s="45">
        <v>32.593137254901961</v>
      </c>
      <c r="U69" s="45">
        <v>0</v>
      </c>
      <c r="V69" s="45">
        <v>0</v>
      </c>
      <c r="W69" s="45">
        <v>0</v>
      </c>
      <c r="X69" s="45">
        <v>0</v>
      </c>
      <c r="Y69" s="45">
        <v>0</v>
      </c>
      <c r="Z69" s="45">
        <v>0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0</v>
      </c>
      <c r="AG69" s="45">
        <v>0</v>
      </c>
      <c r="AH69" s="45">
        <v>0</v>
      </c>
      <c r="AI69" s="45">
        <v>0</v>
      </c>
    </row>
    <row r="70" spans="1:35" x14ac:dyDescent="0.3">
      <c r="A70" s="15" t="s">
        <v>192</v>
      </c>
      <c r="B70" s="15" t="s">
        <v>277</v>
      </c>
      <c r="C70" s="42">
        <v>4</v>
      </c>
      <c r="D70" s="43">
        <v>2.21</v>
      </c>
      <c r="E70" s="44">
        <v>17.9843137254902</v>
      </c>
      <c r="F70" s="42">
        <v>2</v>
      </c>
      <c r="G70" s="45">
        <v>1.4600495352565841</v>
      </c>
      <c r="H70" s="46">
        <v>2.7400000000000001E-2</v>
      </c>
      <c r="I70" s="47">
        <v>2044</v>
      </c>
      <c r="J70" s="8">
        <f t="shared" si="9"/>
        <v>2045</v>
      </c>
      <c r="K70" s="8">
        <f t="shared" si="10"/>
        <v>2046</v>
      </c>
      <c r="L70" s="8">
        <f t="shared" si="11"/>
        <v>2085</v>
      </c>
      <c r="M70" s="8">
        <f t="shared" si="12"/>
        <v>40</v>
      </c>
      <c r="N70" s="8">
        <f t="shared" si="13"/>
        <v>0</v>
      </c>
      <c r="O70" s="48">
        <f t="shared" si="14"/>
        <v>82.675959264133937</v>
      </c>
      <c r="P70" s="44">
        <v>82.675959264133937</v>
      </c>
      <c r="Q70" s="49">
        <f t="shared" si="15"/>
        <v>0</v>
      </c>
      <c r="R70" s="48">
        <f t="shared" si="16"/>
        <v>12.478153701929628</v>
      </c>
      <c r="S70" s="50">
        <f t="shared" si="17"/>
        <v>6.6256564263468629</v>
      </c>
      <c r="T70" s="45">
        <v>9.6999999999999993</v>
      </c>
      <c r="U70" s="45">
        <v>8.2843137254901968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</row>
    <row r="71" spans="1:35" x14ac:dyDescent="0.3">
      <c r="A71" s="15" t="s">
        <v>193</v>
      </c>
      <c r="B71" s="15" t="s">
        <v>277</v>
      </c>
      <c r="C71" s="42">
        <v>4</v>
      </c>
      <c r="D71" s="43">
        <v>1</v>
      </c>
      <c r="E71" s="44">
        <v>14.980997693194929</v>
      </c>
      <c r="F71" s="42">
        <v>3</v>
      </c>
      <c r="G71" s="45">
        <v>0.55138295473668175</v>
      </c>
      <c r="H71" s="46">
        <v>1.6E-2</v>
      </c>
      <c r="I71" s="47">
        <v>2028</v>
      </c>
      <c r="J71" s="8">
        <f t="shared" si="9"/>
        <v>2030</v>
      </c>
      <c r="K71" s="8">
        <f t="shared" si="10"/>
        <v>2031</v>
      </c>
      <c r="L71" s="8">
        <f t="shared" si="11"/>
        <v>2070</v>
      </c>
      <c r="M71" s="8">
        <f t="shared" si="12"/>
        <v>40</v>
      </c>
      <c r="N71" s="8">
        <f t="shared" si="13"/>
        <v>0</v>
      </c>
      <c r="O71" s="48">
        <f t="shared" si="14"/>
        <v>20.301037822510342</v>
      </c>
      <c r="P71" s="44">
        <v>20.301037822510349</v>
      </c>
      <c r="Q71" s="49">
        <f t="shared" si="15"/>
        <v>0</v>
      </c>
      <c r="R71" s="48">
        <f t="shared" si="16"/>
        <v>14.031864517666509</v>
      </c>
      <c r="S71" s="50">
        <f t="shared" si="17"/>
        <v>1.4467812026656022</v>
      </c>
      <c r="T71" s="45">
        <v>0.57499999999999996</v>
      </c>
      <c r="U71" s="45">
        <v>9.2156862745098049</v>
      </c>
      <c r="V71" s="45">
        <v>5.1903114186851207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</row>
    <row r="72" spans="1:35" x14ac:dyDescent="0.3">
      <c r="A72" s="15" t="s">
        <v>194</v>
      </c>
      <c r="B72" s="15" t="s">
        <v>277</v>
      </c>
      <c r="C72" s="42">
        <v>2</v>
      </c>
      <c r="D72" s="43">
        <v>1</v>
      </c>
      <c r="E72" s="44">
        <v>4.0982568627450986</v>
      </c>
      <c r="F72" s="42">
        <v>3</v>
      </c>
      <c r="G72" s="45">
        <v>0.1496944571515007</v>
      </c>
      <c r="H72" s="46">
        <v>2.2800000000000001E-2</v>
      </c>
      <c r="I72" s="47">
        <v>2043</v>
      </c>
      <c r="J72" s="8">
        <f t="shared" si="9"/>
        <v>2045</v>
      </c>
      <c r="K72" s="8">
        <f t="shared" si="10"/>
        <v>2046</v>
      </c>
      <c r="L72" s="8">
        <f t="shared" si="11"/>
        <v>2085</v>
      </c>
      <c r="M72" s="8">
        <f t="shared" si="12"/>
        <v>40</v>
      </c>
      <c r="N72" s="8">
        <f t="shared" si="13"/>
        <v>0</v>
      </c>
      <c r="O72" s="48">
        <f t="shared" si="14"/>
        <v>7.0611312183890247</v>
      </c>
      <c r="P72" s="44">
        <v>7.061131218389038</v>
      </c>
      <c r="Q72" s="49">
        <f t="shared" si="15"/>
        <v>-1.3322676295501878E-14</v>
      </c>
      <c r="R72" s="48">
        <f t="shared" si="16"/>
        <v>2.8305132336335186</v>
      </c>
      <c r="S72" s="50">
        <f t="shared" si="17"/>
        <v>2.4946469546530539</v>
      </c>
      <c r="T72" s="45">
        <v>5.6099999999999997E-2</v>
      </c>
      <c r="U72" s="45">
        <v>1.1499999999999999</v>
      </c>
      <c r="V72" s="45">
        <v>2.892156862745098</v>
      </c>
      <c r="W72" s="45">
        <v>0</v>
      </c>
      <c r="X72" s="45">
        <v>0</v>
      </c>
      <c r="Y72" s="45">
        <v>0</v>
      </c>
      <c r="Z72" s="45">
        <v>0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</row>
    <row r="73" spans="1:35" x14ac:dyDescent="0.3">
      <c r="A73" s="15" t="s">
        <v>195</v>
      </c>
      <c r="B73" s="15" t="s">
        <v>277</v>
      </c>
      <c r="C73" s="42">
        <v>2</v>
      </c>
      <c r="D73" s="43">
        <v>1</v>
      </c>
      <c r="E73" s="44">
        <v>1.430745098039216</v>
      </c>
      <c r="F73" s="42">
        <v>3</v>
      </c>
      <c r="G73" s="45">
        <v>5.3017287701062031E-2</v>
      </c>
      <c r="H73" s="46">
        <v>2.2200000000000001E-2</v>
      </c>
      <c r="I73" s="47">
        <v>2043</v>
      </c>
      <c r="J73" s="8">
        <f t="shared" si="9"/>
        <v>2045</v>
      </c>
      <c r="K73" s="8">
        <f t="shared" si="10"/>
        <v>2046</v>
      </c>
      <c r="L73" s="8">
        <f t="shared" si="11"/>
        <v>2085</v>
      </c>
      <c r="M73" s="8">
        <f t="shared" si="12"/>
        <v>40</v>
      </c>
      <c r="N73" s="8">
        <f t="shared" si="13"/>
        <v>0</v>
      </c>
      <c r="O73" s="48">
        <f t="shared" si="14"/>
        <v>2.442288483345922</v>
      </c>
      <c r="P73" s="44">
        <v>2.4422884833459229</v>
      </c>
      <c r="Q73" s="49">
        <f t="shared" si="15"/>
        <v>0</v>
      </c>
      <c r="R73" s="48">
        <f t="shared" si="16"/>
        <v>1.0024829062129861</v>
      </c>
      <c r="S73" s="50">
        <f t="shared" si="17"/>
        <v>2.4362395290828398</v>
      </c>
      <c r="T73" s="45">
        <v>0.40799999999999997</v>
      </c>
      <c r="U73" s="45">
        <v>0.66</v>
      </c>
      <c r="V73" s="45">
        <v>0.36274509803921567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</row>
    <row r="74" spans="1:35" x14ac:dyDescent="0.3">
      <c r="A74" s="15" t="s">
        <v>196</v>
      </c>
      <c r="B74" s="15" t="s">
        <v>277</v>
      </c>
      <c r="C74" s="42">
        <v>5</v>
      </c>
      <c r="D74" s="43">
        <v>2.79</v>
      </c>
      <c r="E74" s="44">
        <v>440.52706646883632</v>
      </c>
      <c r="F74" s="42">
        <v>9</v>
      </c>
      <c r="G74" s="45">
        <v>48.286799716079912</v>
      </c>
      <c r="H74" s="46">
        <v>1.3100000000000001E-2</v>
      </c>
      <c r="I74" s="47">
        <v>2026</v>
      </c>
      <c r="J74" s="8">
        <f t="shared" si="9"/>
        <v>2034</v>
      </c>
      <c r="K74" s="8">
        <f t="shared" si="10"/>
        <v>2035</v>
      </c>
      <c r="L74" s="8">
        <f t="shared" si="11"/>
        <v>2074</v>
      </c>
      <c r="M74" s="8">
        <f t="shared" si="12"/>
        <v>40</v>
      </c>
      <c r="N74" s="8">
        <f t="shared" si="13"/>
        <v>0</v>
      </c>
      <c r="O74" s="48">
        <f t="shared" si="14"/>
        <v>1628.0284149477768</v>
      </c>
      <c r="P74" s="44">
        <v>1628.0284149477791</v>
      </c>
      <c r="Q74" s="49">
        <f t="shared" si="15"/>
        <v>-2.2737367544323206E-12</v>
      </c>
      <c r="R74" s="48">
        <f t="shared" si="16"/>
        <v>410.58211687854197</v>
      </c>
      <c r="S74" s="50">
        <f t="shared" si="17"/>
        <v>3.9651712727404997</v>
      </c>
      <c r="T74" s="45">
        <v>38.285617000000002</v>
      </c>
      <c r="U74" s="45">
        <v>60.71757058823529</v>
      </c>
      <c r="V74" s="45">
        <v>69.299691464821223</v>
      </c>
      <c r="W74" s="45">
        <v>66.232339937128245</v>
      </c>
      <c r="X74" s="45">
        <v>56.797080936693533</v>
      </c>
      <c r="Y74" s="45">
        <v>39.163724135657539</v>
      </c>
      <c r="Z74" s="45">
        <v>37.085806883251493</v>
      </c>
      <c r="AA74" s="45">
        <v>36.078342550238368</v>
      </c>
      <c r="AB74" s="45">
        <v>36.866892972810561</v>
      </c>
      <c r="AC74" s="45">
        <v>0</v>
      </c>
      <c r="AD74" s="45">
        <v>0</v>
      </c>
      <c r="AE74" s="45">
        <v>0</v>
      </c>
      <c r="AF74" s="45">
        <v>0</v>
      </c>
      <c r="AG74" s="45">
        <v>0</v>
      </c>
      <c r="AH74" s="45">
        <v>0</v>
      </c>
      <c r="AI74" s="45">
        <v>0</v>
      </c>
    </row>
    <row r="75" spans="1:35" x14ac:dyDescent="0.3">
      <c r="A75" s="15" t="s">
        <v>197</v>
      </c>
      <c r="B75" s="15" t="s">
        <v>277</v>
      </c>
      <c r="C75" s="42">
        <v>5</v>
      </c>
      <c r="D75" s="43">
        <v>2.08</v>
      </c>
      <c r="E75" s="44">
        <v>425.52253660723892</v>
      </c>
      <c r="F75" s="42">
        <v>9</v>
      </c>
      <c r="G75" s="45">
        <v>32.263830046878986</v>
      </c>
      <c r="H75" s="46">
        <v>2.53E-2</v>
      </c>
      <c r="I75" s="47">
        <v>2037</v>
      </c>
      <c r="J75" s="8">
        <f t="shared" si="9"/>
        <v>2045</v>
      </c>
      <c r="K75" s="8">
        <f t="shared" si="10"/>
        <v>2046</v>
      </c>
      <c r="L75" s="8">
        <f t="shared" si="11"/>
        <v>2085</v>
      </c>
      <c r="M75" s="8">
        <f t="shared" si="12"/>
        <v>40</v>
      </c>
      <c r="N75" s="8">
        <f t="shared" si="13"/>
        <v>0</v>
      </c>
      <c r="O75" s="48">
        <f t="shared" si="14"/>
        <v>1680.3716063420836</v>
      </c>
      <c r="P75" s="44">
        <v>1680.3716063420809</v>
      </c>
      <c r="Q75" s="49">
        <f t="shared" si="15"/>
        <v>2.7284841053187847E-12</v>
      </c>
      <c r="R75" s="48">
        <f t="shared" si="16"/>
        <v>295.95556249373374</v>
      </c>
      <c r="S75" s="50">
        <f t="shared" si="17"/>
        <v>5.677783489464443</v>
      </c>
      <c r="T75" s="45">
        <v>2.2890000000000001</v>
      </c>
      <c r="U75" s="45">
        <v>0</v>
      </c>
      <c r="V75" s="45">
        <v>2.4096501345636301</v>
      </c>
      <c r="W75" s="45">
        <v>2.36240209270944</v>
      </c>
      <c r="X75" s="45">
        <v>1.8125847258640211</v>
      </c>
      <c r="Y75" s="45">
        <v>3.6528123560440511</v>
      </c>
      <c r="Z75" s="45">
        <v>9.412496651173635</v>
      </c>
      <c r="AA75" s="45">
        <v>196.63778034441779</v>
      </c>
      <c r="AB75" s="45">
        <v>206.9458103024663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</row>
    <row r="76" spans="1:35" x14ac:dyDescent="0.3">
      <c r="A76" s="15" t="s">
        <v>198</v>
      </c>
      <c r="B76" s="15" t="s">
        <v>277</v>
      </c>
      <c r="C76" s="42">
        <v>5</v>
      </c>
      <c r="D76" s="43">
        <v>2.19</v>
      </c>
      <c r="E76" s="44">
        <v>300.06952749801542</v>
      </c>
      <c r="F76" s="42">
        <v>16</v>
      </c>
      <c r="G76" s="45">
        <v>28.127258490020012</v>
      </c>
      <c r="H76" s="46">
        <v>2.0799999999999999E-2</v>
      </c>
      <c r="I76" s="47">
        <v>2030</v>
      </c>
      <c r="J76" s="8">
        <f t="shared" si="9"/>
        <v>2045</v>
      </c>
      <c r="K76" s="8">
        <f t="shared" si="10"/>
        <v>2046</v>
      </c>
      <c r="L76" s="8">
        <f t="shared" si="11"/>
        <v>2085</v>
      </c>
      <c r="M76" s="8">
        <f t="shared" si="12"/>
        <v>40</v>
      </c>
      <c r="N76" s="8">
        <f t="shared" si="13"/>
        <v>0</v>
      </c>
      <c r="O76" s="48">
        <f t="shared" si="14"/>
        <v>1226.1776212395744</v>
      </c>
      <c r="P76" s="44">
        <v>1226.177621239573</v>
      </c>
      <c r="Q76" s="49">
        <f t="shared" si="15"/>
        <v>0</v>
      </c>
      <c r="R76" s="48">
        <f t="shared" si="16"/>
        <v>249.0060599602358</v>
      </c>
      <c r="S76" s="50">
        <f t="shared" si="17"/>
        <v>4.9242882740901353</v>
      </c>
      <c r="T76" s="45">
        <v>17.781622452902731</v>
      </c>
      <c r="U76" s="45">
        <v>44.760310890984613</v>
      </c>
      <c r="V76" s="45">
        <v>60.881413575147278</v>
      </c>
      <c r="W76" s="45">
        <v>60.865110420570353</v>
      </c>
      <c r="X76" s="45">
        <v>1.687145626153765</v>
      </c>
      <c r="Y76" s="45">
        <v>1.654064339366436</v>
      </c>
      <c r="Z76" s="45">
        <v>1.706980742380223</v>
      </c>
      <c r="AA76" s="45">
        <v>1.6735105317453161</v>
      </c>
      <c r="AB76" s="45">
        <v>0.82034829987515512</v>
      </c>
      <c r="AC76" s="45">
        <v>18.498049899145659</v>
      </c>
      <c r="AD76" s="45">
        <v>17.819945768145431</v>
      </c>
      <c r="AE76" s="45">
        <v>2.164491070224154</v>
      </c>
      <c r="AF76" s="45">
        <v>17.8100630778248</v>
      </c>
      <c r="AG76" s="45">
        <v>17.83235351972445</v>
      </c>
      <c r="AH76" s="45">
        <v>17.04563204091308</v>
      </c>
      <c r="AI76" s="45">
        <v>17.068485242911962</v>
      </c>
    </row>
    <row r="77" spans="1:35" x14ac:dyDescent="0.3">
      <c r="A77" s="15" t="s">
        <v>199</v>
      </c>
      <c r="B77" s="15" t="s">
        <v>277</v>
      </c>
      <c r="C77" s="42">
        <v>5</v>
      </c>
      <c r="D77" s="43">
        <v>1.57</v>
      </c>
      <c r="E77" s="44">
        <v>330.73302623723112</v>
      </c>
      <c r="F77" s="42">
        <v>8</v>
      </c>
      <c r="G77" s="45">
        <v>19.20741116243936</v>
      </c>
      <c r="H77" s="46">
        <v>2.5600000000000001E-2</v>
      </c>
      <c r="I77" s="47">
        <v>2038</v>
      </c>
      <c r="J77" s="8">
        <f t="shared" si="9"/>
        <v>2045</v>
      </c>
      <c r="K77" s="8">
        <f t="shared" si="10"/>
        <v>2046</v>
      </c>
      <c r="L77" s="8">
        <f t="shared" si="11"/>
        <v>2085</v>
      </c>
      <c r="M77" s="8">
        <f t="shared" si="12"/>
        <v>40</v>
      </c>
      <c r="N77" s="8">
        <f t="shared" si="13"/>
        <v>0</v>
      </c>
      <c r="O77" s="48">
        <f t="shared" si="14"/>
        <v>1012.3643996234166</v>
      </c>
      <c r="P77" s="44">
        <v>1012.364399623415</v>
      </c>
      <c r="Q77" s="49">
        <f t="shared" si="15"/>
        <v>1.5916157281026244E-12</v>
      </c>
      <c r="R77" s="48">
        <f t="shared" si="16"/>
        <v>233.00538443369669</v>
      </c>
      <c r="S77" s="50">
        <f t="shared" si="17"/>
        <v>4.3448111814407104</v>
      </c>
      <c r="T77" s="45">
        <v>9.0525000000000002</v>
      </c>
      <c r="U77" s="45">
        <v>0</v>
      </c>
      <c r="V77" s="45">
        <v>1.257208765859285</v>
      </c>
      <c r="W77" s="45">
        <v>0</v>
      </c>
      <c r="X77" s="45">
        <v>30.71324118825147</v>
      </c>
      <c r="Y77" s="45">
        <v>85.076200698133832</v>
      </c>
      <c r="Z77" s="45">
        <v>95.90090927610872</v>
      </c>
      <c r="AA77" s="45">
        <v>108.73296630887781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</row>
    <row r="78" spans="1:35" x14ac:dyDescent="0.3">
      <c r="A78" s="15" t="s">
        <v>200</v>
      </c>
      <c r="B78" s="15" t="s">
        <v>277</v>
      </c>
      <c r="C78" s="42">
        <v>5</v>
      </c>
      <c r="D78" s="43">
        <v>2.4</v>
      </c>
      <c r="E78" s="44">
        <v>249.2695662745098</v>
      </c>
      <c r="F78" s="42">
        <v>3</v>
      </c>
      <c r="G78" s="45">
        <v>22.119607656705629</v>
      </c>
      <c r="H78" s="46">
        <v>2.06E-2</v>
      </c>
      <c r="I78" s="47">
        <v>2043</v>
      </c>
      <c r="J78" s="8">
        <f t="shared" si="9"/>
        <v>2045</v>
      </c>
      <c r="K78" s="8">
        <f t="shared" si="10"/>
        <v>2046</v>
      </c>
      <c r="L78" s="8">
        <f t="shared" si="11"/>
        <v>2085</v>
      </c>
      <c r="M78" s="8">
        <f t="shared" si="12"/>
        <v>40</v>
      </c>
      <c r="N78" s="8">
        <f t="shared" si="13"/>
        <v>0</v>
      </c>
      <c r="O78" s="48">
        <f t="shared" si="14"/>
        <v>956.72631430997967</v>
      </c>
      <c r="P78" s="44">
        <v>956.72631430998092</v>
      </c>
      <c r="Q78" s="49">
        <f t="shared" si="15"/>
        <v>-1.2505552149377763E-12</v>
      </c>
      <c r="R78" s="48">
        <f t="shared" si="16"/>
        <v>174.27121046673457</v>
      </c>
      <c r="S78" s="50">
        <f t="shared" si="17"/>
        <v>5.4898701383187012</v>
      </c>
      <c r="T78" s="45">
        <v>46.741379999999999</v>
      </c>
      <c r="U78" s="45">
        <v>136.11642156862749</v>
      </c>
      <c r="V78" s="45">
        <v>66.411764705882362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</row>
    <row r="79" spans="1:35" x14ac:dyDescent="0.3">
      <c r="A79" s="15" t="s">
        <v>201</v>
      </c>
      <c r="B79" s="15" t="s">
        <v>277</v>
      </c>
      <c r="C79" s="42">
        <v>5</v>
      </c>
      <c r="D79" s="43">
        <v>2.66</v>
      </c>
      <c r="E79" s="44">
        <v>178.82622585498581</v>
      </c>
      <c r="F79" s="42">
        <v>5</v>
      </c>
      <c r="G79" s="45">
        <v>17.940904867152849</v>
      </c>
      <c r="H79" s="46">
        <v>0.01</v>
      </c>
      <c r="I79" s="47">
        <v>2026</v>
      </c>
      <c r="J79" s="8">
        <f t="shared" si="9"/>
        <v>2030</v>
      </c>
      <c r="K79" s="8">
        <f t="shared" si="10"/>
        <v>2031</v>
      </c>
      <c r="L79" s="8">
        <f t="shared" si="11"/>
        <v>2070</v>
      </c>
      <c r="M79" s="8">
        <f t="shared" si="12"/>
        <v>40</v>
      </c>
      <c r="N79" s="8">
        <f t="shared" si="13"/>
        <v>0</v>
      </c>
      <c r="O79" s="48">
        <f t="shared" si="14"/>
        <v>573.80191621733184</v>
      </c>
      <c r="P79" s="44">
        <v>573.80191621733195</v>
      </c>
      <c r="Q79" s="49">
        <f t="shared" si="15"/>
        <v>0</v>
      </c>
      <c r="R79" s="48">
        <f t="shared" si="16"/>
        <v>172.08135336064419</v>
      </c>
      <c r="S79" s="50">
        <f t="shared" si="17"/>
        <v>3.3344804943204442</v>
      </c>
      <c r="T79" s="45">
        <v>37.162975645512972</v>
      </c>
      <c r="U79" s="45">
        <v>36.434289848542129</v>
      </c>
      <c r="V79" s="45">
        <v>35.773170291305803</v>
      </c>
      <c r="W79" s="45">
        <v>35.071735579711579</v>
      </c>
      <c r="X79" s="45">
        <v>34.384054489913296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</row>
    <row r="80" spans="1:35" x14ac:dyDescent="0.3">
      <c r="A80" s="15" t="s">
        <v>202</v>
      </c>
      <c r="B80" s="15" t="s">
        <v>277</v>
      </c>
      <c r="C80" s="42">
        <v>5</v>
      </c>
      <c r="D80" s="43">
        <v>1.72</v>
      </c>
      <c r="E80" s="44">
        <v>136.4086954109938</v>
      </c>
      <c r="F80" s="42">
        <v>6</v>
      </c>
      <c r="G80" s="45">
        <v>8.8130526433135081</v>
      </c>
      <c r="H80" s="46">
        <v>1.6500000000000001E-2</v>
      </c>
      <c r="I80" s="47">
        <v>2028</v>
      </c>
      <c r="J80" s="8">
        <f t="shared" si="9"/>
        <v>2033</v>
      </c>
      <c r="K80" s="8">
        <f t="shared" si="10"/>
        <v>2034</v>
      </c>
      <c r="L80" s="8">
        <f t="shared" si="11"/>
        <v>2073</v>
      </c>
      <c r="M80" s="8">
        <f t="shared" si="12"/>
        <v>40</v>
      </c>
      <c r="N80" s="8">
        <f t="shared" si="13"/>
        <v>0</v>
      </c>
      <c r="O80" s="48">
        <f t="shared" si="14"/>
        <v>326.88870733973863</v>
      </c>
      <c r="P80" s="44">
        <v>326.888707339738</v>
      </c>
      <c r="Q80" s="49">
        <f t="shared" si="15"/>
        <v>6.2527760746888816E-13</v>
      </c>
      <c r="R80" s="48">
        <f t="shared" si="16"/>
        <v>123.36586700155247</v>
      </c>
      <c r="S80" s="50">
        <f t="shared" si="17"/>
        <v>2.6497500101517137</v>
      </c>
      <c r="T80" s="45">
        <v>7.2783009999999999</v>
      </c>
      <c r="U80" s="45">
        <v>7.1216107843137264</v>
      </c>
      <c r="V80" s="45">
        <v>10.686274509803919</v>
      </c>
      <c r="W80" s="45">
        <v>57.622068435217223</v>
      </c>
      <c r="X80" s="45">
        <v>48.665483109814467</v>
      </c>
      <c r="Y80" s="45">
        <v>5.0349575718445028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</row>
    <row r="81" spans="1:35" x14ac:dyDescent="0.3">
      <c r="A81" s="15" t="s">
        <v>203</v>
      </c>
      <c r="B81" s="15" t="s">
        <v>277</v>
      </c>
      <c r="C81" s="42">
        <v>5</v>
      </c>
      <c r="D81" s="43">
        <v>4.1900000000000004</v>
      </c>
      <c r="E81" s="44">
        <v>147.0530824718623</v>
      </c>
      <c r="F81" s="42">
        <v>6</v>
      </c>
      <c r="G81" s="45">
        <v>23.08118337197028</v>
      </c>
      <c r="H81" s="46">
        <v>1.04E-2</v>
      </c>
      <c r="I81" s="47">
        <v>2026</v>
      </c>
      <c r="J81" s="8">
        <f t="shared" si="9"/>
        <v>2031</v>
      </c>
      <c r="K81" s="8">
        <f t="shared" si="10"/>
        <v>2032</v>
      </c>
      <c r="L81" s="8">
        <f t="shared" si="11"/>
        <v>2071</v>
      </c>
      <c r="M81" s="8">
        <f t="shared" si="12"/>
        <v>40</v>
      </c>
      <c r="N81" s="8">
        <f t="shared" si="13"/>
        <v>0</v>
      </c>
      <c r="O81" s="48">
        <f t="shared" si="14"/>
        <v>739.29467029423654</v>
      </c>
      <c r="P81" s="44">
        <v>739.29467029423745</v>
      </c>
      <c r="Q81" s="49">
        <f t="shared" si="15"/>
        <v>-9.0949470177292824E-13</v>
      </c>
      <c r="R81" s="48">
        <f t="shared" si="16"/>
        <v>137.98805392350451</v>
      </c>
      <c r="S81" s="50">
        <f t="shared" si="17"/>
        <v>5.357671546727329</v>
      </c>
      <c r="T81" s="45">
        <v>4.5780000000000003</v>
      </c>
      <c r="U81" s="45">
        <v>11.73725490196078</v>
      </c>
      <c r="V81" s="45">
        <v>31.534986543637061</v>
      </c>
      <c r="W81" s="45">
        <v>31.738358549878999</v>
      </c>
      <c r="X81" s="45">
        <v>32.022330156931027</v>
      </c>
      <c r="Y81" s="45">
        <v>35.442152319454443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</row>
    <row r="82" spans="1:35" x14ac:dyDescent="0.3">
      <c r="A82" s="15" t="s">
        <v>204</v>
      </c>
      <c r="B82" s="15" t="s">
        <v>277</v>
      </c>
      <c r="C82" s="42">
        <v>5</v>
      </c>
      <c r="D82" s="43">
        <v>1.87</v>
      </c>
      <c r="E82" s="44">
        <v>128.03975833972339</v>
      </c>
      <c r="F82" s="42">
        <v>3</v>
      </c>
      <c r="G82" s="45">
        <v>8.8692900090621567</v>
      </c>
      <c r="H82" s="46">
        <v>2.86E-2</v>
      </c>
      <c r="I82" s="47">
        <v>2043</v>
      </c>
      <c r="J82" s="8">
        <f t="shared" si="9"/>
        <v>2045</v>
      </c>
      <c r="K82" s="8">
        <f t="shared" si="10"/>
        <v>2046</v>
      </c>
      <c r="L82" s="8">
        <f t="shared" si="11"/>
        <v>2085</v>
      </c>
      <c r="M82" s="8">
        <f t="shared" si="12"/>
        <v>40</v>
      </c>
      <c r="N82" s="8">
        <f t="shared" si="13"/>
        <v>0</v>
      </c>
      <c r="O82" s="48">
        <f t="shared" si="14"/>
        <v>526.90336486053047</v>
      </c>
      <c r="P82" s="44">
        <v>526.90336486053093</v>
      </c>
      <c r="Q82" s="49">
        <f t="shared" si="15"/>
        <v>0</v>
      </c>
      <c r="R82" s="48">
        <f t="shared" si="16"/>
        <v>89.682296185762368</v>
      </c>
      <c r="S82" s="50">
        <f t="shared" si="17"/>
        <v>5.8752216130721653</v>
      </c>
      <c r="T82" s="45">
        <v>43.475078871835947</v>
      </c>
      <c r="U82" s="45">
        <v>42.70097676101247</v>
      </c>
      <c r="V82" s="45">
        <v>41.863702706874967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</row>
    <row r="83" spans="1:35" x14ac:dyDescent="0.3">
      <c r="A83" s="15" t="s">
        <v>205</v>
      </c>
      <c r="B83" s="15" t="s">
        <v>277</v>
      </c>
      <c r="C83" s="42">
        <v>5</v>
      </c>
      <c r="D83" s="43">
        <v>3.05</v>
      </c>
      <c r="E83" s="44">
        <v>94.762110726643598</v>
      </c>
      <c r="F83" s="42">
        <v>2</v>
      </c>
      <c r="G83" s="45">
        <v>10.557342149920469</v>
      </c>
      <c r="H83" s="46">
        <v>2.76E-2</v>
      </c>
      <c r="I83" s="47">
        <v>2044</v>
      </c>
      <c r="J83" s="8">
        <f t="shared" si="9"/>
        <v>2045</v>
      </c>
      <c r="K83" s="8">
        <f t="shared" si="10"/>
        <v>2046</v>
      </c>
      <c r="L83" s="8">
        <f t="shared" si="11"/>
        <v>2085</v>
      </c>
      <c r="M83" s="8">
        <f t="shared" si="12"/>
        <v>40</v>
      </c>
      <c r="N83" s="8">
        <f t="shared" si="13"/>
        <v>0</v>
      </c>
      <c r="O83" s="48">
        <f t="shared" si="14"/>
        <v>602.60707653365216</v>
      </c>
      <c r="P83" s="44">
        <v>602.60707653365182</v>
      </c>
      <c r="Q83" s="49">
        <f t="shared" si="15"/>
        <v>0</v>
      </c>
      <c r="R83" s="48">
        <f t="shared" si="16"/>
        <v>65.377720102409043</v>
      </c>
      <c r="S83" s="50">
        <f t="shared" si="17"/>
        <v>9.2173155562738458</v>
      </c>
      <c r="T83" s="45">
        <v>24.044117647058819</v>
      </c>
      <c r="U83" s="45">
        <v>70.717993079584772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</row>
    <row r="84" spans="1:35" x14ac:dyDescent="0.3">
      <c r="A84" s="15" t="s">
        <v>206</v>
      </c>
      <c r="B84" s="15" t="s">
        <v>277</v>
      </c>
      <c r="C84" s="42">
        <v>5</v>
      </c>
      <c r="D84" s="43">
        <v>2.92</v>
      </c>
      <c r="E84" s="44">
        <v>104.79906144695479</v>
      </c>
      <c r="F84" s="42">
        <v>4</v>
      </c>
      <c r="G84" s="45">
        <v>11.35574368993499</v>
      </c>
      <c r="H84" s="46">
        <v>2.6599999999999999E-2</v>
      </c>
      <c r="I84" s="47">
        <v>2042</v>
      </c>
      <c r="J84" s="8">
        <f t="shared" si="9"/>
        <v>2045</v>
      </c>
      <c r="K84" s="8">
        <f t="shared" si="10"/>
        <v>2046</v>
      </c>
      <c r="L84" s="8">
        <f t="shared" si="11"/>
        <v>2085</v>
      </c>
      <c r="M84" s="8">
        <f t="shared" si="12"/>
        <v>40</v>
      </c>
      <c r="N84" s="8">
        <f t="shared" si="13"/>
        <v>0</v>
      </c>
      <c r="O84" s="48">
        <f t="shared" si="14"/>
        <v>622.83131867126122</v>
      </c>
      <c r="P84" s="44">
        <v>622.83131867126156</v>
      </c>
      <c r="Q84" s="49">
        <f t="shared" si="15"/>
        <v>0</v>
      </c>
      <c r="R84" s="48">
        <f t="shared" si="16"/>
        <v>73.624618132899045</v>
      </c>
      <c r="S84" s="50">
        <f t="shared" si="17"/>
        <v>8.4595524495216363</v>
      </c>
      <c r="T84" s="45">
        <v>5.3</v>
      </c>
      <c r="U84" s="45">
        <v>37.254901960784309</v>
      </c>
      <c r="V84" s="45">
        <v>31.43021914648212</v>
      </c>
      <c r="W84" s="45">
        <v>30.813940339688351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</row>
    <row r="85" spans="1:35" x14ac:dyDescent="0.3">
      <c r="A85" s="15" t="s">
        <v>207</v>
      </c>
      <c r="B85" s="15" t="s">
        <v>277</v>
      </c>
      <c r="C85" s="42">
        <v>5</v>
      </c>
      <c r="D85" s="43">
        <v>1</v>
      </c>
      <c r="E85" s="44">
        <v>74.022864350519669</v>
      </c>
      <c r="F85" s="42">
        <v>5</v>
      </c>
      <c r="G85" s="45">
        <v>2.7107279630580252</v>
      </c>
      <c r="H85" s="46">
        <v>1.6199999999999999E-2</v>
      </c>
      <c r="I85" s="47">
        <v>2028</v>
      </c>
      <c r="J85" s="8">
        <f t="shared" si="9"/>
        <v>2032</v>
      </c>
      <c r="K85" s="8">
        <f t="shared" si="10"/>
        <v>2033</v>
      </c>
      <c r="L85" s="8">
        <f t="shared" si="11"/>
        <v>2072</v>
      </c>
      <c r="M85" s="8">
        <f t="shared" si="12"/>
        <v>40</v>
      </c>
      <c r="N85" s="8">
        <f t="shared" si="13"/>
        <v>0</v>
      </c>
      <c r="O85" s="48">
        <f t="shared" si="14"/>
        <v>99.90628701437771</v>
      </c>
      <c r="P85" s="44">
        <v>99.906287014377781</v>
      </c>
      <c r="Q85" s="49">
        <f t="shared" si="15"/>
        <v>0</v>
      </c>
      <c r="R85" s="48">
        <f t="shared" si="16"/>
        <v>66.474747841401026</v>
      </c>
      <c r="S85" s="50">
        <f t="shared" si="17"/>
        <v>1.5029208873832725</v>
      </c>
      <c r="T85" s="45">
        <v>0.32700000000000001</v>
      </c>
      <c r="U85" s="45">
        <v>0.64117647058823535</v>
      </c>
      <c r="V85" s="45">
        <v>2.17128027681661</v>
      </c>
      <c r="W85" s="45">
        <v>34.228916480086838</v>
      </c>
      <c r="X85" s="45">
        <v>36.654491123027981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</row>
    <row r="86" spans="1:35" x14ac:dyDescent="0.3">
      <c r="A86" s="15" t="s">
        <v>208</v>
      </c>
      <c r="B86" s="15" t="s">
        <v>277</v>
      </c>
      <c r="C86" s="42">
        <v>5</v>
      </c>
      <c r="D86" s="43">
        <v>1.53</v>
      </c>
      <c r="E86" s="44">
        <v>70.521533933192913</v>
      </c>
      <c r="F86" s="42">
        <v>8</v>
      </c>
      <c r="G86" s="45">
        <v>4.0241551917247209</v>
      </c>
      <c r="H86" s="46">
        <v>1.12E-2</v>
      </c>
      <c r="I86" s="47">
        <v>2026</v>
      </c>
      <c r="J86" s="8">
        <f t="shared" si="9"/>
        <v>2033</v>
      </c>
      <c r="K86" s="8">
        <f t="shared" si="10"/>
        <v>2034</v>
      </c>
      <c r="L86" s="8">
        <f t="shared" si="11"/>
        <v>2073</v>
      </c>
      <c r="M86" s="8">
        <f t="shared" si="12"/>
        <v>40</v>
      </c>
      <c r="N86" s="8">
        <f t="shared" si="13"/>
        <v>0</v>
      </c>
      <c r="O86" s="48">
        <f t="shared" si="14"/>
        <v>129.64437600047279</v>
      </c>
      <c r="P86" s="44">
        <v>129.6443760004729</v>
      </c>
      <c r="Q86" s="49">
        <f t="shared" si="15"/>
        <v>0</v>
      </c>
      <c r="R86" s="48">
        <f t="shared" si="16"/>
        <v>63.530478679652518</v>
      </c>
      <c r="S86" s="50">
        <f t="shared" si="17"/>
        <v>2.0406642401388857</v>
      </c>
      <c r="T86" s="45">
        <v>0.54500000000000004</v>
      </c>
      <c r="U86" s="45">
        <v>1.816666666666666</v>
      </c>
      <c r="V86" s="45">
        <v>4.7145328719723194</v>
      </c>
      <c r="W86" s="45">
        <v>4.7248041854188809</v>
      </c>
      <c r="X86" s="45">
        <v>5.9412499347765131</v>
      </c>
      <c r="Y86" s="45">
        <v>12.143132967389681</v>
      </c>
      <c r="Z86" s="45">
        <v>20.519242699558529</v>
      </c>
      <c r="AA86" s="45">
        <v>20.116904607410319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</row>
    <row r="87" spans="1:35" x14ac:dyDescent="0.3">
      <c r="A87" s="15" t="s">
        <v>209</v>
      </c>
      <c r="B87" s="15" t="s">
        <v>277</v>
      </c>
      <c r="C87" s="42">
        <v>5</v>
      </c>
      <c r="D87" s="43">
        <v>1.1599999999999999</v>
      </c>
      <c r="E87" s="44">
        <v>60.444938437638022</v>
      </c>
      <c r="F87" s="42">
        <v>7</v>
      </c>
      <c r="G87" s="45">
        <v>2.610699194211024</v>
      </c>
      <c r="H87" s="46">
        <v>2.76E-2</v>
      </c>
      <c r="I87" s="47">
        <v>2039</v>
      </c>
      <c r="J87" s="8">
        <f t="shared" si="9"/>
        <v>2045</v>
      </c>
      <c r="K87" s="8">
        <f t="shared" si="10"/>
        <v>2046</v>
      </c>
      <c r="L87" s="8">
        <f t="shared" si="11"/>
        <v>2085</v>
      </c>
      <c r="M87" s="8">
        <f t="shared" si="12"/>
        <v>40</v>
      </c>
      <c r="N87" s="8">
        <f t="shared" si="13"/>
        <v>0</v>
      </c>
      <c r="O87" s="48">
        <f t="shared" si="14"/>
        <v>149.01722297066198</v>
      </c>
      <c r="P87" s="44">
        <v>149.01722297066181</v>
      </c>
      <c r="Q87" s="49">
        <f t="shared" si="15"/>
        <v>0</v>
      </c>
      <c r="R87" s="48">
        <f t="shared" si="16"/>
        <v>42.792695775082535</v>
      </c>
      <c r="S87" s="50">
        <f t="shared" si="17"/>
        <v>3.4823051053827787</v>
      </c>
      <c r="T87" s="45">
        <v>0.64117647058823535</v>
      </c>
      <c r="U87" s="45">
        <v>3.5620915032679741</v>
      </c>
      <c r="V87" s="45">
        <v>3.594959706296974</v>
      </c>
      <c r="W87" s="45">
        <v>1.8125847258640211</v>
      </c>
      <c r="X87" s="45">
        <v>17.281343851554791</v>
      </c>
      <c r="Y87" s="45">
        <v>16.94249397211254</v>
      </c>
      <c r="Z87" s="45">
        <v>16.61028820795347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</row>
    <row r="88" spans="1:35" x14ac:dyDescent="0.3">
      <c r="A88" s="15" t="s">
        <v>210</v>
      </c>
      <c r="B88" s="15" t="s">
        <v>277</v>
      </c>
      <c r="C88" s="42">
        <v>4</v>
      </c>
      <c r="D88" s="43">
        <v>1.18</v>
      </c>
      <c r="E88" s="44">
        <v>41.607442045278972</v>
      </c>
      <c r="F88" s="42">
        <v>6</v>
      </c>
      <c r="G88" s="45">
        <v>1.8709632301200541</v>
      </c>
      <c r="H88" s="46">
        <v>2.8899999999999999E-2</v>
      </c>
      <c r="I88" s="47">
        <v>2040</v>
      </c>
      <c r="J88" s="8">
        <f t="shared" ref="J88:J119" si="18">I88+F88-1</f>
        <v>2045</v>
      </c>
      <c r="K88" s="8">
        <f t="shared" ref="K88:K123" si="19">I88+F88</f>
        <v>2046</v>
      </c>
      <c r="L88" s="8">
        <f t="shared" ref="L88:L119" si="20">K88+$B$9-1</f>
        <v>2085</v>
      </c>
      <c r="M88" s="8">
        <f t="shared" ref="M88:M119" si="21">MAX(0,MIN(L88,2085)-K88+1)</f>
        <v>40</v>
      </c>
      <c r="N88" s="8">
        <f t="shared" ref="N88:N119" si="22">$B$9-M88</f>
        <v>0</v>
      </c>
      <c r="O88" s="48">
        <f t="shared" ref="O88:O119" si="23">SUMPRODUCT(C299:BJ299,$C$129:$BJ$129)</f>
        <v>112.49246535330745</v>
      </c>
      <c r="P88" s="44">
        <v>112.4924653533074</v>
      </c>
      <c r="Q88" s="49">
        <f t="shared" ref="Q88:Q119" si="24">O88-P88</f>
        <v>0</v>
      </c>
      <c r="R88" s="48">
        <f t="shared" ref="R88:R119" si="25">SUMPRODUCT(C196:BJ196,$C$129:$BJ$129)</f>
        <v>30.10081688966299</v>
      </c>
      <c r="S88" s="50">
        <f t="shared" ref="S88:S119" si="26">IF(R88=0,0,O88/R88)</f>
        <v>3.7371897834420174</v>
      </c>
      <c r="T88" s="45">
        <v>7.4971164936562857</v>
      </c>
      <c r="U88" s="45">
        <v>7.5385786763763551</v>
      </c>
      <c r="V88" s="45">
        <v>7.4831479508147654</v>
      </c>
      <c r="W88" s="45">
        <v>6.3401156688094114</v>
      </c>
      <c r="X88" s="45">
        <v>6.3933939517405829</v>
      </c>
      <c r="Y88" s="45">
        <v>6.355089303881571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</row>
    <row r="89" spans="1:35" x14ac:dyDescent="0.3">
      <c r="A89" s="15" t="s">
        <v>211</v>
      </c>
      <c r="B89" s="15" t="s">
        <v>277</v>
      </c>
      <c r="C89" s="42">
        <v>5</v>
      </c>
      <c r="D89" s="43">
        <v>2.92</v>
      </c>
      <c r="E89" s="44">
        <v>46.943104959630922</v>
      </c>
      <c r="F89" s="42">
        <v>3</v>
      </c>
      <c r="G89" s="45">
        <v>5.0433154943691987</v>
      </c>
      <c r="H89" s="46">
        <v>1.17E-2</v>
      </c>
      <c r="I89" s="47">
        <v>2026</v>
      </c>
      <c r="J89" s="8">
        <f t="shared" si="18"/>
        <v>2028</v>
      </c>
      <c r="K89" s="8">
        <f t="shared" si="19"/>
        <v>2029</v>
      </c>
      <c r="L89" s="8">
        <f t="shared" si="20"/>
        <v>2068</v>
      </c>
      <c r="M89" s="8">
        <f t="shared" si="21"/>
        <v>40</v>
      </c>
      <c r="N89" s="8">
        <f t="shared" si="22"/>
        <v>0</v>
      </c>
      <c r="O89" s="48">
        <f t="shared" si="23"/>
        <v>170.04630233112465</v>
      </c>
      <c r="P89" s="44">
        <v>170.04630233112471</v>
      </c>
      <c r="Q89" s="49">
        <f t="shared" si="24"/>
        <v>0</v>
      </c>
      <c r="R89" s="48">
        <f t="shared" si="25"/>
        <v>45.729418160081273</v>
      </c>
      <c r="S89" s="50">
        <f t="shared" si="26"/>
        <v>3.7185319466750553</v>
      </c>
      <c r="T89" s="45">
        <v>4.766</v>
      </c>
      <c r="U89" s="45">
        <v>22.06176470588235</v>
      </c>
      <c r="V89" s="45">
        <v>20.11534025374856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</row>
    <row r="90" spans="1:35" x14ac:dyDescent="0.3">
      <c r="A90" s="15" t="s">
        <v>212</v>
      </c>
      <c r="B90" s="15" t="s">
        <v>277</v>
      </c>
      <c r="C90" s="42">
        <v>4</v>
      </c>
      <c r="D90" s="43">
        <v>1</v>
      </c>
      <c r="E90" s="44">
        <v>37.825933487120338</v>
      </c>
      <c r="F90" s="42">
        <v>3</v>
      </c>
      <c r="G90" s="45">
        <v>1.3889306744452981</v>
      </c>
      <c r="H90" s="46">
        <v>1.9699999999999999E-2</v>
      </c>
      <c r="I90" s="47">
        <v>2043</v>
      </c>
      <c r="J90" s="8">
        <f t="shared" si="18"/>
        <v>2045</v>
      </c>
      <c r="K90" s="8">
        <f t="shared" si="19"/>
        <v>2046</v>
      </c>
      <c r="L90" s="8">
        <f t="shared" si="20"/>
        <v>2085</v>
      </c>
      <c r="M90" s="8">
        <f t="shared" si="21"/>
        <v>40</v>
      </c>
      <c r="N90" s="8">
        <f t="shared" si="22"/>
        <v>0</v>
      </c>
      <c r="O90" s="48">
        <f t="shared" si="23"/>
        <v>57.988208346293916</v>
      </c>
      <c r="P90" s="44">
        <v>57.98820834629398</v>
      </c>
      <c r="Q90" s="49">
        <f t="shared" si="24"/>
        <v>-6.3948846218409017E-14</v>
      </c>
      <c r="R90" s="48">
        <f t="shared" si="25"/>
        <v>26.262740314012575</v>
      </c>
      <c r="S90" s="50">
        <f t="shared" si="26"/>
        <v>2.2080029598188622</v>
      </c>
      <c r="T90" s="45">
        <v>1.853</v>
      </c>
      <c r="U90" s="45">
        <v>17.952941176470588</v>
      </c>
      <c r="V90" s="45">
        <v>18.019992310649751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</row>
    <row r="91" spans="1:35" x14ac:dyDescent="0.3">
      <c r="A91" s="15" t="s">
        <v>213</v>
      </c>
      <c r="B91" s="15" t="s">
        <v>277</v>
      </c>
      <c r="C91" s="42">
        <v>4</v>
      </c>
      <c r="D91" s="43">
        <v>2.5299999999999998</v>
      </c>
      <c r="E91" s="44">
        <v>27.53500125861034</v>
      </c>
      <c r="F91" s="42">
        <v>5</v>
      </c>
      <c r="G91" s="45">
        <v>2.540766236271681</v>
      </c>
      <c r="H91" s="46">
        <v>1.14E-2</v>
      </c>
      <c r="I91" s="47">
        <v>2026</v>
      </c>
      <c r="J91" s="8">
        <f t="shared" si="18"/>
        <v>2030</v>
      </c>
      <c r="K91" s="8">
        <f t="shared" si="19"/>
        <v>2031</v>
      </c>
      <c r="L91" s="8">
        <f t="shared" si="20"/>
        <v>2070</v>
      </c>
      <c r="M91" s="8">
        <f t="shared" si="21"/>
        <v>40</v>
      </c>
      <c r="N91" s="8">
        <f t="shared" si="22"/>
        <v>0</v>
      </c>
      <c r="O91" s="48">
        <f t="shared" si="23"/>
        <v>83.945860100196768</v>
      </c>
      <c r="P91" s="44">
        <v>83.945860100196782</v>
      </c>
      <c r="Q91" s="49">
        <f t="shared" si="24"/>
        <v>0</v>
      </c>
      <c r="R91" s="48">
        <f t="shared" si="25"/>
        <v>25.622133791853503</v>
      </c>
      <c r="S91" s="50">
        <f t="shared" si="26"/>
        <v>3.2763024649760886</v>
      </c>
      <c r="T91" s="45">
        <v>2.4167796344853612</v>
      </c>
      <c r="U91" s="45">
        <v>0</v>
      </c>
      <c r="V91" s="45">
        <v>0</v>
      </c>
      <c r="W91" s="45">
        <v>0</v>
      </c>
      <c r="X91" s="45">
        <v>25.118221624124981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</row>
    <row r="92" spans="1:35" x14ac:dyDescent="0.3">
      <c r="A92" s="15" t="s">
        <v>214</v>
      </c>
      <c r="B92" s="15" t="s">
        <v>277</v>
      </c>
      <c r="C92" s="42">
        <v>4</v>
      </c>
      <c r="D92" s="43">
        <v>1</v>
      </c>
      <c r="E92" s="44">
        <v>27.53500125861034</v>
      </c>
      <c r="F92" s="42">
        <v>5</v>
      </c>
      <c r="G92" s="45">
        <v>1.0042554293563959</v>
      </c>
      <c r="H92" s="46">
        <v>2.52E-2</v>
      </c>
      <c r="I92" s="47">
        <v>2041</v>
      </c>
      <c r="J92" s="8">
        <f t="shared" si="18"/>
        <v>2045</v>
      </c>
      <c r="K92" s="8">
        <f t="shared" si="19"/>
        <v>2046</v>
      </c>
      <c r="L92" s="8">
        <f t="shared" si="20"/>
        <v>2085</v>
      </c>
      <c r="M92" s="8">
        <f t="shared" si="21"/>
        <v>40</v>
      </c>
      <c r="N92" s="8">
        <f t="shared" si="22"/>
        <v>0</v>
      </c>
      <c r="O92" s="48">
        <f t="shared" si="23"/>
        <v>52.096453529676971</v>
      </c>
      <c r="P92" s="44">
        <v>52.096453529677007</v>
      </c>
      <c r="Q92" s="49">
        <f t="shared" si="24"/>
        <v>0</v>
      </c>
      <c r="R92" s="48">
        <f t="shared" si="25"/>
        <v>19.037622821083737</v>
      </c>
      <c r="S92" s="50">
        <f t="shared" si="26"/>
        <v>2.7364999306521258</v>
      </c>
      <c r="T92" s="45">
        <v>2.4167796344853612</v>
      </c>
      <c r="U92" s="45">
        <v>0</v>
      </c>
      <c r="V92" s="45">
        <v>0</v>
      </c>
      <c r="W92" s="45">
        <v>0</v>
      </c>
      <c r="X92" s="45">
        <v>25.118221624124981</v>
      </c>
      <c r="Y92" s="45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0</v>
      </c>
      <c r="AH92" s="45">
        <v>0</v>
      </c>
      <c r="AI92" s="45">
        <v>0</v>
      </c>
    </row>
    <row r="93" spans="1:35" x14ac:dyDescent="0.3">
      <c r="A93" s="15" t="s">
        <v>215</v>
      </c>
      <c r="B93" s="15" t="s">
        <v>277</v>
      </c>
      <c r="C93" s="42">
        <v>4</v>
      </c>
      <c r="D93" s="43">
        <v>1</v>
      </c>
      <c r="E93" s="44">
        <v>30.37038674654859</v>
      </c>
      <c r="F93" s="42">
        <v>6</v>
      </c>
      <c r="G93" s="45">
        <v>1.1308889094869781</v>
      </c>
      <c r="H93" s="46">
        <v>2.53E-2</v>
      </c>
      <c r="I93" s="47">
        <v>2040</v>
      </c>
      <c r="J93" s="8">
        <f t="shared" si="18"/>
        <v>2045</v>
      </c>
      <c r="K93" s="8">
        <f t="shared" si="19"/>
        <v>2046</v>
      </c>
      <c r="L93" s="8">
        <f t="shared" si="20"/>
        <v>2085</v>
      </c>
      <c r="M93" s="8">
        <f t="shared" si="21"/>
        <v>40</v>
      </c>
      <c r="N93" s="8">
        <f t="shared" si="22"/>
        <v>0</v>
      </c>
      <c r="O93" s="48">
        <f t="shared" si="23"/>
        <v>58.899194877605844</v>
      </c>
      <c r="P93" s="44">
        <v>58.899194877605758</v>
      </c>
      <c r="Q93" s="49">
        <f t="shared" si="24"/>
        <v>8.5265128291212022E-14</v>
      </c>
      <c r="R93" s="48">
        <f t="shared" si="25"/>
        <v>21.469156495450754</v>
      </c>
      <c r="S93" s="50">
        <f t="shared" si="26"/>
        <v>2.7434331148541582</v>
      </c>
      <c r="T93" s="45">
        <v>0.54500000000000004</v>
      </c>
      <c r="U93" s="45">
        <v>0.21372549019607839</v>
      </c>
      <c r="V93" s="45">
        <v>2.9248366013071889</v>
      </c>
      <c r="W93" s="45">
        <v>10.67368508341437</v>
      </c>
      <c r="X93" s="45">
        <v>11.07690665805791</v>
      </c>
      <c r="Y93" s="45">
        <v>4.9362329135730416</v>
      </c>
      <c r="Z93" s="45">
        <v>0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0</v>
      </c>
      <c r="AH93" s="45">
        <v>0</v>
      </c>
      <c r="AI93" s="45">
        <v>0</v>
      </c>
    </row>
    <row r="94" spans="1:35" x14ac:dyDescent="0.3">
      <c r="A94" s="15" t="s">
        <v>216</v>
      </c>
      <c r="B94" s="15" t="s">
        <v>277</v>
      </c>
      <c r="C94" s="42">
        <v>4</v>
      </c>
      <c r="D94" s="43">
        <v>1</v>
      </c>
      <c r="E94" s="44">
        <v>22.667925192798538</v>
      </c>
      <c r="F94" s="42">
        <v>4</v>
      </c>
      <c r="G94" s="45">
        <v>0.85314524515548984</v>
      </c>
      <c r="H94" s="46">
        <v>1.26E-2</v>
      </c>
      <c r="I94" s="47">
        <v>2026</v>
      </c>
      <c r="J94" s="8">
        <f t="shared" si="18"/>
        <v>2029</v>
      </c>
      <c r="K94" s="8">
        <f t="shared" si="19"/>
        <v>2030</v>
      </c>
      <c r="L94" s="8">
        <f t="shared" si="20"/>
        <v>2069</v>
      </c>
      <c r="M94" s="8">
        <f t="shared" si="21"/>
        <v>40</v>
      </c>
      <c r="N94" s="8">
        <f t="shared" si="22"/>
        <v>0</v>
      </c>
      <c r="O94" s="48">
        <f t="shared" si="23"/>
        <v>29.154125449184836</v>
      </c>
      <c r="P94" s="44">
        <v>29.15412544918486</v>
      </c>
      <c r="Q94" s="49">
        <f t="shared" si="24"/>
        <v>0</v>
      </c>
      <c r="R94" s="48">
        <f t="shared" si="25"/>
        <v>22.172570682735341</v>
      </c>
      <c r="S94" s="50">
        <f t="shared" si="26"/>
        <v>1.3148734924040937</v>
      </c>
      <c r="T94" s="45">
        <v>9.8724658271460832</v>
      </c>
      <c r="U94" s="45">
        <v>4.2622626344937213</v>
      </c>
      <c r="V94" s="45">
        <v>4.2657448752081777</v>
      </c>
      <c r="W94" s="45">
        <v>4.267451855950557</v>
      </c>
      <c r="X94" s="45">
        <v>0</v>
      </c>
      <c r="Y94" s="45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0</v>
      </c>
      <c r="AH94" s="45">
        <v>0</v>
      </c>
      <c r="AI94" s="45">
        <v>0</v>
      </c>
    </row>
    <row r="95" spans="1:35" x14ac:dyDescent="0.3">
      <c r="A95" s="15" t="s">
        <v>217</v>
      </c>
      <c r="B95" s="15" t="s">
        <v>277</v>
      </c>
      <c r="C95" s="42">
        <v>4</v>
      </c>
      <c r="D95" s="43">
        <v>1.7</v>
      </c>
      <c r="E95" s="44">
        <v>21.708014225297958</v>
      </c>
      <c r="F95" s="42">
        <v>3</v>
      </c>
      <c r="G95" s="45">
        <v>1.3542448334721069</v>
      </c>
      <c r="H95" s="46">
        <v>1.95E-2</v>
      </c>
      <c r="I95" s="47">
        <v>2043</v>
      </c>
      <c r="J95" s="8">
        <f t="shared" si="18"/>
        <v>2045</v>
      </c>
      <c r="K95" s="8">
        <f t="shared" si="19"/>
        <v>2046</v>
      </c>
      <c r="L95" s="8">
        <f t="shared" si="20"/>
        <v>2085</v>
      </c>
      <c r="M95" s="8">
        <f t="shared" si="21"/>
        <v>40</v>
      </c>
      <c r="N95" s="8">
        <f t="shared" si="22"/>
        <v>0</v>
      </c>
      <c r="O95" s="48">
        <f t="shared" si="23"/>
        <v>56.098242095354728</v>
      </c>
      <c r="P95" s="44">
        <v>56.098242095354713</v>
      </c>
      <c r="Q95" s="49">
        <f t="shared" si="24"/>
        <v>0</v>
      </c>
      <c r="R95" s="48">
        <f t="shared" si="25"/>
        <v>15.062870280860169</v>
      </c>
      <c r="S95" s="50">
        <f t="shared" si="26"/>
        <v>3.7242730667764352</v>
      </c>
      <c r="T95" s="45">
        <v>0.54500000000000004</v>
      </c>
      <c r="U95" s="45">
        <v>10.686274509803919</v>
      </c>
      <c r="V95" s="45">
        <v>10.476739715494039</v>
      </c>
      <c r="W95" s="45">
        <v>0</v>
      </c>
      <c r="X95" s="45">
        <v>0</v>
      </c>
      <c r="Y95" s="45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</row>
    <row r="96" spans="1:35" x14ac:dyDescent="0.3">
      <c r="A96" s="15" t="s">
        <v>218</v>
      </c>
      <c r="B96" s="15" t="s">
        <v>277</v>
      </c>
      <c r="C96" s="42">
        <v>4</v>
      </c>
      <c r="D96" s="43">
        <v>2.56</v>
      </c>
      <c r="E96" s="44">
        <v>18.792150992863871</v>
      </c>
      <c r="F96" s="42">
        <v>2</v>
      </c>
      <c r="G96" s="45">
        <v>1.7660464676758429</v>
      </c>
      <c r="H96" s="46">
        <v>2.1000000000000001E-2</v>
      </c>
      <c r="I96" s="47">
        <v>2044</v>
      </c>
      <c r="J96" s="8">
        <f t="shared" si="18"/>
        <v>2045</v>
      </c>
      <c r="K96" s="8">
        <f t="shared" si="19"/>
        <v>2046</v>
      </c>
      <c r="L96" s="8">
        <f t="shared" si="20"/>
        <v>2085</v>
      </c>
      <c r="M96" s="8">
        <f t="shared" si="21"/>
        <v>40</v>
      </c>
      <c r="N96" s="8">
        <f t="shared" si="22"/>
        <v>0</v>
      </c>
      <c r="O96" s="48">
        <f t="shared" si="23"/>
        <v>77.597075347777064</v>
      </c>
      <c r="P96" s="44">
        <v>77.597075347777121</v>
      </c>
      <c r="Q96" s="49">
        <f t="shared" si="24"/>
        <v>0</v>
      </c>
      <c r="R96" s="48">
        <f t="shared" si="25"/>
        <v>13.029782767841517</v>
      </c>
      <c r="S96" s="50">
        <f t="shared" si="26"/>
        <v>5.9553621676097679</v>
      </c>
      <c r="T96" s="45">
        <v>9.4891059468916605</v>
      </c>
      <c r="U96" s="45">
        <v>9.3030450459722154</v>
      </c>
      <c r="V96" s="45">
        <v>0</v>
      </c>
      <c r="W96" s="45">
        <v>0</v>
      </c>
      <c r="X96" s="45">
        <v>0</v>
      </c>
      <c r="Y96" s="45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</row>
    <row r="97" spans="1:35" x14ac:dyDescent="0.3">
      <c r="A97" s="15" t="s">
        <v>219</v>
      </c>
      <c r="B97" s="15" t="s">
        <v>277</v>
      </c>
      <c r="C97" s="42">
        <v>3</v>
      </c>
      <c r="D97" s="43">
        <v>2.4</v>
      </c>
      <c r="E97" s="44">
        <v>13.06352362143585</v>
      </c>
      <c r="F97" s="42">
        <v>2</v>
      </c>
      <c r="G97" s="45">
        <v>1.155087062918825</v>
      </c>
      <c r="H97" s="46">
        <v>1.5299999999999999E-2</v>
      </c>
      <c r="I97" s="47">
        <v>2026</v>
      </c>
      <c r="J97" s="8">
        <f t="shared" si="18"/>
        <v>2027</v>
      </c>
      <c r="K97" s="8">
        <f t="shared" si="19"/>
        <v>2028</v>
      </c>
      <c r="L97" s="8">
        <f t="shared" si="20"/>
        <v>2067</v>
      </c>
      <c r="M97" s="8">
        <f t="shared" si="21"/>
        <v>40</v>
      </c>
      <c r="N97" s="8">
        <f t="shared" si="22"/>
        <v>0</v>
      </c>
      <c r="O97" s="48">
        <f t="shared" si="23"/>
        <v>42.216315848701768</v>
      </c>
      <c r="P97" s="44">
        <v>42.216315848701832</v>
      </c>
      <c r="Q97" s="49">
        <f t="shared" si="24"/>
        <v>-6.3948846218409017E-14</v>
      </c>
      <c r="R97" s="48">
        <f t="shared" si="25"/>
        <v>12.983195115912071</v>
      </c>
      <c r="S97" s="50">
        <f t="shared" si="26"/>
        <v>3.2516122165461323</v>
      </c>
      <c r="T97" s="45">
        <v>8.9667698397233107</v>
      </c>
      <c r="U97" s="45">
        <v>4.0967537817125352</v>
      </c>
      <c r="V97" s="45">
        <v>0</v>
      </c>
      <c r="W97" s="45">
        <v>0</v>
      </c>
      <c r="X97" s="45">
        <v>0</v>
      </c>
      <c r="Y97" s="45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</row>
    <row r="98" spans="1:35" x14ac:dyDescent="0.3">
      <c r="A98" s="15" t="s">
        <v>220</v>
      </c>
      <c r="B98" s="15" t="s">
        <v>277</v>
      </c>
      <c r="C98" s="42">
        <v>4</v>
      </c>
      <c r="D98" s="43">
        <v>3.2</v>
      </c>
      <c r="E98" s="44">
        <v>16.21399452876566</v>
      </c>
      <c r="F98" s="42">
        <v>4</v>
      </c>
      <c r="G98" s="45">
        <v>1.9121951881315249</v>
      </c>
      <c r="H98" s="46">
        <v>2.7400000000000001E-2</v>
      </c>
      <c r="I98" s="47">
        <v>2042</v>
      </c>
      <c r="J98" s="8">
        <f t="shared" si="18"/>
        <v>2045</v>
      </c>
      <c r="K98" s="8">
        <f t="shared" si="19"/>
        <v>2046</v>
      </c>
      <c r="L98" s="8">
        <f t="shared" si="20"/>
        <v>2085</v>
      </c>
      <c r="M98" s="8">
        <f t="shared" si="21"/>
        <v>40</v>
      </c>
      <c r="N98" s="8">
        <f t="shared" si="22"/>
        <v>0</v>
      </c>
      <c r="O98" s="48">
        <f t="shared" si="23"/>
        <v>108.27890949004841</v>
      </c>
      <c r="P98" s="44">
        <v>108.27890949004841</v>
      </c>
      <c r="Q98" s="49">
        <f t="shared" si="24"/>
        <v>0</v>
      </c>
      <c r="R98" s="48">
        <f t="shared" si="25"/>
        <v>11.312864043414571</v>
      </c>
      <c r="S98" s="50">
        <f t="shared" si="26"/>
        <v>9.5713082977497272</v>
      </c>
      <c r="T98" s="45">
        <v>1.0686274509803919</v>
      </c>
      <c r="U98" s="45">
        <v>0.94290657439446368</v>
      </c>
      <c r="V98" s="45">
        <v>8.1605114171774051</v>
      </c>
      <c r="W98" s="45">
        <v>6.0419490862134024</v>
      </c>
      <c r="X98" s="45">
        <v>0</v>
      </c>
      <c r="Y98" s="45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</row>
    <row r="99" spans="1:35" x14ac:dyDescent="0.3">
      <c r="A99" s="15" t="s">
        <v>221</v>
      </c>
      <c r="B99" s="15" t="s">
        <v>277</v>
      </c>
      <c r="C99" s="42">
        <v>3</v>
      </c>
      <c r="D99" s="43">
        <v>1.63</v>
      </c>
      <c r="E99" s="44">
        <v>13.67299115724721</v>
      </c>
      <c r="F99" s="42">
        <v>3</v>
      </c>
      <c r="G99" s="45">
        <v>0.8207903290451386</v>
      </c>
      <c r="H99" s="46">
        <v>1.8499999999999999E-2</v>
      </c>
      <c r="I99" s="47">
        <v>2043</v>
      </c>
      <c r="J99" s="8">
        <f t="shared" si="18"/>
        <v>2045</v>
      </c>
      <c r="K99" s="8">
        <f t="shared" si="19"/>
        <v>2046</v>
      </c>
      <c r="L99" s="8">
        <f t="shared" si="20"/>
        <v>2085</v>
      </c>
      <c r="M99" s="8">
        <f t="shared" si="21"/>
        <v>40</v>
      </c>
      <c r="N99" s="8">
        <f t="shared" si="22"/>
        <v>0</v>
      </c>
      <c r="O99" s="48">
        <f t="shared" si="23"/>
        <v>32.694344155235434</v>
      </c>
      <c r="P99" s="44">
        <v>32.694344155235349</v>
      </c>
      <c r="Q99" s="49">
        <f t="shared" si="24"/>
        <v>8.5265128291212022E-14</v>
      </c>
      <c r="R99" s="48">
        <f t="shared" si="25"/>
        <v>9.521472037761324</v>
      </c>
      <c r="S99" s="50">
        <f t="shared" si="26"/>
        <v>3.4337489020156262</v>
      </c>
      <c r="T99" s="45">
        <v>1.95</v>
      </c>
      <c r="U99" s="45">
        <v>5.9607843137254903</v>
      </c>
      <c r="V99" s="45">
        <v>5.7622068435217226</v>
      </c>
      <c r="W99" s="45">
        <v>0</v>
      </c>
      <c r="X99" s="45">
        <v>0</v>
      </c>
      <c r="Y99" s="45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</row>
    <row r="100" spans="1:35" x14ac:dyDescent="0.3">
      <c r="A100" s="15" t="s">
        <v>222</v>
      </c>
      <c r="B100" s="15" t="s">
        <v>277</v>
      </c>
      <c r="C100" s="42">
        <v>3</v>
      </c>
      <c r="D100" s="43">
        <v>1</v>
      </c>
      <c r="E100" s="44">
        <v>13.67299115724721</v>
      </c>
      <c r="F100" s="42">
        <v>3</v>
      </c>
      <c r="G100" s="45">
        <v>0.50355234910744695</v>
      </c>
      <c r="H100" s="46">
        <v>1.4200000000000001E-2</v>
      </c>
      <c r="I100" s="47">
        <v>2026</v>
      </c>
      <c r="J100" s="8">
        <f t="shared" si="18"/>
        <v>2028</v>
      </c>
      <c r="K100" s="8">
        <f t="shared" si="19"/>
        <v>2029</v>
      </c>
      <c r="L100" s="8">
        <f t="shared" si="20"/>
        <v>2068</v>
      </c>
      <c r="M100" s="8">
        <f t="shared" si="21"/>
        <v>40</v>
      </c>
      <c r="N100" s="8">
        <f t="shared" si="22"/>
        <v>0</v>
      </c>
      <c r="O100" s="48">
        <f t="shared" si="23"/>
        <v>17.913409092816799</v>
      </c>
      <c r="P100" s="44">
        <v>17.913409092816799</v>
      </c>
      <c r="Q100" s="49">
        <f t="shared" si="24"/>
        <v>0</v>
      </c>
      <c r="R100" s="48">
        <f t="shared" si="25"/>
        <v>13.332359518955904</v>
      </c>
      <c r="S100" s="50">
        <f t="shared" si="26"/>
        <v>1.3436038135145976</v>
      </c>
      <c r="T100" s="45">
        <v>1.95</v>
      </c>
      <c r="U100" s="45">
        <v>5.9607843137254903</v>
      </c>
      <c r="V100" s="45">
        <v>5.7622068435217226</v>
      </c>
      <c r="W100" s="45">
        <v>0</v>
      </c>
      <c r="X100" s="45">
        <v>0</v>
      </c>
      <c r="Y100" s="45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0</v>
      </c>
    </row>
    <row r="101" spans="1:35" x14ac:dyDescent="0.3">
      <c r="A101" s="15" t="s">
        <v>223</v>
      </c>
      <c r="B101" s="15" t="s">
        <v>277</v>
      </c>
      <c r="C101" s="42">
        <v>3</v>
      </c>
      <c r="D101" s="43">
        <v>1.67</v>
      </c>
      <c r="E101" s="44">
        <v>11.881</v>
      </c>
      <c r="F101" s="42">
        <v>1</v>
      </c>
      <c r="G101" s="45">
        <v>0.72182213039097687</v>
      </c>
      <c r="H101" s="46">
        <v>2.0799999999999999E-2</v>
      </c>
      <c r="I101" s="47">
        <v>2045</v>
      </c>
      <c r="J101" s="8">
        <f t="shared" si="18"/>
        <v>2045</v>
      </c>
      <c r="K101" s="8">
        <f t="shared" si="19"/>
        <v>2046</v>
      </c>
      <c r="L101" s="8">
        <f t="shared" si="20"/>
        <v>2085</v>
      </c>
      <c r="M101" s="8">
        <f t="shared" si="21"/>
        <v>40</v>
      </c>
      <c r="N101" s="8">
        <f t="shared" si="22"/>
        <v>0</v>
      </c>
      <c r="O101" s="48">
        <f t="shared" si="23"/>
        <v>31.467060435873289</v>
      </c>
      <c r="P101" s="44">
        <v>31.46706043587325</v>
      </c>
      <c r="Q101" s="49">
        <f t="shared" si="24"/>
        <v>3.907985046680551E-14</v>
      </c>
      <c r="R101" s="48">
        <f t="shared" si="25"/>
        <v>8.1554838568299672</v>
      </c>
      <c r="S101" s="50">
        <f t="shared" si="26"/>
        <v>3.8583928296934329</v>
      </c>
      <c r="T101" s="45">
        <v>11.881</v>
      </c>
      <c r="U101" s="45">
        <v>0</v>
      </c>
      <c r="V101" s="45">
        <v>0</v>
      </c>
      <c r="W101" s="45">
        <v>0</v>
      </c>
      <c r="X101" s="45">
        <v>0</v>
      </c>
      <c r="Y101" s="45">
        <v>0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0</v>
      </c>
      <c r="AF101" s="45">
        <v>0</v>
      </c>
      <c r="AG101" s="45">
        <v>0</v>
      </c>
      <c r="AH101" s="45">
        <v>0</v>
      </c>
      <c r="AI101" s="45">
        <v>0</v>
      </c>
    </row>
    <row r="102" spans="1:35" x14ac:dyDescent="0.3">
      <c r="A102" s="15" t="s">
        <v>224</v>
      </c>
      <c r="B102" s="15" t="s">
        <v>277</v>
      </c>
      <c r="C102" s="42">
        <v>3</v>
      </c>
      <c r="D102" s="43">
        <v>2.94</v>
      </c>
      <c r="E102" s="44">
        <v>11.06142560553633</v>
      </c>
      <c r="F102" s="42">
        <v>3</v>
      </c>
      <c r="G102" s="45">
        <v>1.2043315653866939</v>
      </c>
      <c r="H102" s="46">
        <v>2.46E-2</v>
      </c>
      <c r="I102" s="47">
        <v>2043</v>
      </c>
      <c r="J102" s="8">
        <f t="shared" si="18"/>
        <v>2045</v>
      </c>
      <c r="K102" s="8">
        <f t="shared" si="19"/>
        <v>2046</v>
      </c>
      <c r="L102" s="8">
        <f t="shared" si="20"/>
        <v>2085</v>
      </c>
      <c r="M102" s="8">
        <f t="shared" si="21"/>
        <v>40</v>
      </c>
      <c r="N102" s="8">
        <f t="shared" si="22"/>
        <v>0</v>
      </c>
      <c r="O102" s="48">
        <f t="shared" si="23"/>
        <v>61.004999392736295</v>
      </c>
      <c r="P102" s="44">
        <v>61.004999392736188</v>
      </c>
      <c r="Q102" s="49">
        <f t="shared" si="24"/>
        <v>1.0658141036401503E-13</v>
      </c>
      <c r="R102" s="48">
        <f t="shared" si="25"/>
        <v>7.7456560661550578</v>
      </c>
      <c r="S102" s="50">
        <f t="shared" si="26"/>
        <v>7.8760273980276487</v>
      </c>
      <c r="T102" s="45">
        <v>0.218</v>
      </c>
      <c r="U102" s="45">
        <v>10.686274509803919</v>
      </c>
      <c r="V102" s="45">
        <v>0.1571510957324106</v>
      </c>
      <c r="W102" s="45">
        <v>0</v>
      </c>
      <c r="X102" s="45">
        <v>0</v>
      </c>
      <c r="Y102" s="45">
        <v>0</v>
      </c>
      <c r="Z102" s="45">
        <v>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0</v>
      </c>
      <c r="AH102" s="45">
        <v>0</v>
      </c>
      <c r="AI102" s="45">
        <v>0</v>
      </c>
    </row>
    <row r="103" spans="1:35" x14ac:dyDescent="0.3">
      <c r="A103" s="15" t="s">
        <v>225</v>
      </c>
      <c r="B103" s="15" t="s">
        <v>277</v>
      </c>
      <c r="C103" s="42">
        <v>3</v>
      </c>
      <c r="D103" s="43">
        <v>2.4900000000000002</v>
      </c>
      <c r="E103" s="44">
        <v>9.6976119186998293</v>
      </c>
      <c r="F103" s="42">
        <v>4</v>
      </c>
      <c r="G103" s="45">
        <v>0.87750413069423461</v>
      </c>
      <c r="H103" s="46">
        <v>1.4E-2</v>
      </c>
      <c r="I103" s="47">
        <v>2026</v>
      </c>
      <c r="J103" s="8">
        <f t="shared" si="18"/>
        <v>2029</v>
      </c>
      <c r="K103" s="8">
        <f t="shared" si="19"/>
        <v>2030</v>
      </c>
      <c r="L103" s="8">
        <f t="shared" si="20"/>
        <v>2069</v>
      </c>
      <c r="M103" s="8">
        <f t="shared" si="21"/>
        <v>40</v>
      </c>
      <c r="N103" s="8">
        <f t="shared" si="22"/>
        <v>0</v>
      </c>
      <c r="O103" s="48">
        <f t="shared" si="23"/>
        <v>30.94571259033885</v>
      </c>
      <c r="P103" s="44">
        <v>30.945712590338811</v>
      </c>
      <c r="Q103" s="49">
        <f t="shared" si="24"/>
        <v>3.907985046680551E-14</v>
      </c>
      <c r="R103" s="48">
        <f t="shared" si="25"/>
        <v>9.158891111290103</v>
      </c>
      <c r="S103" s="50">
        <f t="shared" si="26"/>
        <v>3.3787619280889016</v>
      </c>
      <c r="T103" s="45">
        <v>0.32058823529411767</v>
      </c>
      <c r="U103" s="45">
        <v>0</v>
      </c>
      <c r="V103" s="45">
        <v>0.1127017512118265</v>
      </c>
      <c r="W103" s="45">
        <v>9.2643219321938854</v>
      </c>
      <c r="X103" s="45">
        <v>0</v>
      </c>
      <c r="Y103" s="45">
        <v>0</v>
      </c>
      <c r="Z103" s="45">
        <v>0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0</v>
      </c>
      <c r="AH103" s="45">
        <v>0</v>
      </c>
      <c r="AI103" s="45">
        <v>0</v>
      </c>
    </row>
    <row r="104" spans="1:35" x14ac:dyDescent="0.3">
      <c r="A104" s="15" t="s">
        <v>226</v>
      </c>
      <c r="B104" s="15" t="s">
        <v>277</v>
      </c>
      <c r="C104" s="42">
        <v>3</v>
      </c>
      <c r="D104" s="43">
        <v>1</v>
      </c>
      <c r="E104" s="44">
        <v>12.409649055512171</v>
      </c>
      <c r="F104" s="42">
        <v>4</v>
      </c>
      <c r="G104" s="45">
        <v>0.45993344210028858</v>
      </c>
      <c r="H104" s="46">
        <v>1.6199999999999999E-2</v>
      </c>
      <c r="I104" s="47">
        <v>2031</v>
      </c>
      <c r="J104" s="8">
        <f t="shared" si="18"/>
        <v>2034</v>
      </c>
      <c r="K104" s="8">
        <f t="shared" si="19"/>
        <v>2035</v>
      </c>
      <c r="L104" s="8">
        <f t="shared" si="20"/>
        <v>2074</v>
      </c>
      <c r="M104" s="8">
        <f t="shared" si="21"/>
        <v>40</v>
      </c>
      <c r="N104" s="8">
        <f t="shared" si="22"/>
        <v>0</v>
      </c>
      <c r="O104" s="48">
        <f t="shared" si="23"/>
        <v>16.896386567607834</v>
      </c>
      <c r="P104" s="44">
        <v>16.896386567607841</v>
      </c>
      <c r="Q104" s="49">
        <f t="shared" si="24"/>
        <v>0</v>
      </c>
      <c r="R104" s="48">
        <f t="shared" si="25"/>
        <v>10.826478135594597</v>
      </c>
      <c r="S104" s="50">
        <f t="shared" si="26"/>
        <v>1.5606540147212771</v>
      </c>
      <c r="T104" s="45">
        <v>0.64117647058823535</v>
      </c>
      <c r="U104" s="45">
        <v>2.2904652056901189</v>
      </c>
      <c r="V104" s="45">
        <v>7.175784577575743</v>
      </c>
      <c r="W104" s="45">
        <v>2.3022228016580728</v>
      </c>
      <c r="X104" s="45">
        <v>0</v>
      </c>
      <c r="Y104" s="45">
        <v>0</v>
      </c>
      <c r="Z104" s="45">
        <v>0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</row>
    <row r="105" spans="1:35" x14ac:dyDescent="0.3">
      <c r="A105" s="15" t="s">
        <v>227</v>
      </c>
      <c r="B105" s="15" t="s">
        <v>277</v>
      </c>
      <c r="C105" s="42">
        <v>3</v>
      </c>
      <c r="D105" s="43">
        <v>1.33</v>
      </c>
      <c r="E105" s="44">
        <v>8.2256236894674402</v>
      </c>
      <c r="F105" s="42">
        <v>5</v>
      </c>
      <c r="G105" s="45">
        <v>0.40923047446590599</v>
      </c>
      <c r="H105" s="46">
        <v>2.9899999999999999E-2</v>
      </c>
      <c r="I105" s="47">
        <v>2041</v>
      </c>
      <c r="J105" s="8">
        <f t="shared" si="18"/>
        <v>2045</v>
      </c>
      <c r="K105" s="8">
        <f t="shared" si="19"/>
        <v>2046</v>
      </c>
      <c r="L105" s="8">
        <f t="shared" si="20"/>
        <v>2085</v>
      </c>
      <c r="M105" s="8">
        <f t="shared" si="21"/>
        <v>40</v>
      </c>
      <c r="N105" s="8">
        <f t="shared" si="22"/>
        <v>0</v>
      </c>
      <c r="O105" s="48">
        <f t="shared" si="23"/>
        <v>25.611635965573473</v>
      </c>
      <c r="P105" s="44">
        <v>25.611635965573441</v>
      </c>
      <c r="Q105" s="49">
        <f t="shared" si="24"/>
        <v>3.1974423109204508E-14</v>
      </c>
      <c r="R105" s="48">
        <f t="shared" si="25"/>
        <v>5.8329043670535103</v>
      </c>
      <c r="S105" s="50">
        <f t="shared" si="26"/>
        <v>4.3908890586716725</v>
      </c>
      <c r="T105" s="45">
        <v>0.69063823529411761</v>
      </c>
      <c r="U105" s="45">
        <v>1.492351980007689</v>
      </c>
      <c r="V105" s="45">
        <v>2.5494992499114209</v>
      </c>
      <c r="W105" s="45">
        <v>1.02710547698435</v>
      </c>
      <c r="X105" s="45">
        <v>2.466028747269863</v>
      </c>
      <c r="Y105" s="45">
        <v>0</v>
      </c>
      <c r="Z105" s="45">
        <v>0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</row>
    <row r="106" spans="1:35" x14ac:dyDescent="0.3">
      <c r="A106" s="15" t="s">
        <v>228</v>
      </c>
      <c r="B106" s="15" t="s">
        <v>277</v>
      </c>
      <c r="C106" s="42">
        <v>3</v>
      </c>
      <c r="D106" s="43">
        <v>1.43</v>
      </c>
      <c r="E106" s="44">
        <v>6.308087308727413</v>
      </c>
      <c r="F106" s="42">
        <v>3</v>
      </c>
      <c r="G106" s="45">
        <v>0.32858139973606387</v>
      </c>
      <c r="H106" s="46">
        <v>2.3E-2</v>
      </c>
      <c r="I106" s="47">
        <v>2043</v>
      </c>
      <c r="J106" s="8">
        <f t="shared" si="18"/>
        <v>2045</v>
      </c>
      <c r="K106" s="8">
        <f t="shared" si="19"/>
        <v>2046</v>
      </c>
      <c r="L106" s="8">
        <f t="shared" si="20"/>
        <v>2085</v>
      </c>
      <c r="M106" s="8">
        <f t="shared" si="21"/>
        <v>40</v>
      </c>
      <c r="N106" s="8">
        <f t="shared" si="22"/>
        <v>0</v>
      </c>
      <c r="O106" s="48">
        <f t="shared" si="23"/>
        <v>15.622277216374876</v>
      </c>
      <c r="P106" s="44">
        <v>15.622277216374879</v>
      </c>
      <c r="Q106" s="49">
        <f t="shared" si="24"/>
        <v>0</v>
      </c>
      <c r="R106" s="48">
        <f t="shared" si="25"/>
        <v>4.3447661667533239</v>
      </c>
      <c r="S106" s="50">
        <f t="shared" si="26"/>
        <v>3.5956543152813216</v>
      </c>
      <c r="T106" s="45">
        <v>1.09E-3</v>
      </c>
      <c r="U106" s="45">
        <v>1.0686274509803919</v>
      </c>
      <c r="V106" s="45">
        <v>5.2383698577470206</v>
      </c>
      <c r="W106" s="45">
        <v>0</v>
      </c>
      <c r="X106" s="45">
        <v>0</v>
      </c>
      <c r="Y106" s="45">
        <v>0</v>
      </c>
      <c r="Z106" s="45">
        <v>0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</row>
    <row r="107" spans="1:35" x14ac:dyDescent="0.3">
      <c r="A107" s="15" t="s">
        <v>229</v>
      </c>
      <c r="B107" s="15" t="s">
        <v>277</v>
      </c>
      <c r="C107" s="42">
        <v>3</v>
      </c>
      <c r="D107" s="43">
        <v>1.48</v>
      </c>
      <c r="E107" s="44">
        <v>5.6237160820498904</v>
      </c>
      <c r="F107" s="42">
        <v>4</v>
      </c>
      <c r="G107" s="45">
        <v>0.30682569203849269</v>
      </c>
      <c r="H107" s="46">
        <v>1.8800000000000001E-2</v>
      </c>
      <c r="I107" s="47">
        <v>2042</v>
      </c>
      <c r="J107" s="8">
        <f t="shared" si="18"/>
        <v>2045</v>
      </c>
      <c r="K107" s="8">
        <f t="shared" si="19"/>
        <v>2046</v>
      </c>
      <c r="L107" s="8">
        <f t="shared" si="20"/>
        <v>2085</v>
      </c>
      <c r="M107" s="8">
        <f t="shared" si="21"/>
        <v>40</v>
      </c>
      <c r="N107" s="8">
        <f t="shared" si="22"/>
        <v>0</v>
      </c>
      <c r="O107" s="48">
        <f t="shared" si="23"/>
        <v>12.366063817571277</v>
      </c>
      <c r="P107" s="44">
        <v>12.36606381757127</v>
      </c>
      <c r="Q107" s="49">
        <f t="shared" si="24"/>
        <v>0</v>
      </c>
      <c r="R107" s="48">
        <f t="shared" si="25"/>
        <v>3.9248253164904638</v>
      </c>
      <c r="S107" s="50">
        <f t="shared" si="26"/>
        <v>3.1507297319996082</v>
      </c>
      <c r="T107" s="45">
        <v>0.16200000000000001</v>
      </c>
      <c r="U107" s="45">
        <v>0.58039215686274503</v>
      </c>
      <c r="V107" s="45">
        <v>3.0324875048058439</v>
      </c>
      <c r="W107" s="45">
        <v>1.848836420381301</v>
      </c>
      <c r="X107" s="45">
        <v>0</v>
      </c>
      <c r="Y107" s="45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</row>
    <row r="108" spans="1:35" x14ac:dyDescent="0.3">
      <c r="A108" s="15" t="s">
        <v>230</v>
      </c>
      <c r="B108" s="15" t="s">
        <v>277</v>
      </c>
      <c r="C108" s="42">
        <v>3</v>
      </c>
      <c r="D108" s="43">
        <v>1</v>
      </c>
      <c r="E108" s="44">
        <v>5.2549019607843137</v>
      </c>
      <c r="F108" s="42">
        <v>2</v>
      </c>
      <c r="G108" s="45">
        <v>0.1931599037366914</v>
      </c>
      <c r="H108" s="46">
        <v>2.0400000000000001E-2</v>
      </c>
      <c r="I108" s="47">
        <v>2044</v>
      </c>
      <c r="J108" s="8">
        <f t="shared" si="18"/>
        <v>2045</v>
      </c>
      <c r="K108" s="8">
        <f t="shared" si="19"/>
        <v>2046</v>
      </c>
      <c r="L108" s="8">
        <f t="shared" si="20"/>
        <v>2085</v>
      </c>
      <c r="M108" s="8">
        <f t="shared" si="21"/>
        <v>40</v>
      </c>
      <c r="N108" s="8">
        <f t="shared" si="22"/>
        <v>0</v>
      </c>
      <c r="O108" s="48">
        <f t="shared" si="23"/>
        <v>8.2892104077590822</v>
      </c>
      <c r="P108" s="44">
        <v>8.2892104077590645</v>
      </c>
      <c r="Q108" s="49">
        <f t="shared" si="24"/>
        <v>1.7763568394002505E-14</v>
      </c>
      <c r="R108" s="48">
        <f t="shared" si="25"/>
        <v>3.6483121910454011</v>
      </c>
      <c r="S108" s="50">
        <f t="shared" si="26"/>
        <v>2.2720671844105151</v>
      </c>
      <c r="T108" s="45">
        <v>3</v>
      </c>
      <c r="U108" s="45">
        <v>2.2549019607843142</v>
      </c>
      <c r="V108" s="45">
        <v>0</v>
      </c>
      <c r="W108" s="45">
        <v>0</v>
      </c>
      <c r="X108" s="45">
        <v>0</v>
      </c>
      <c r="Y108" s="45">
        <v>0</v>
      </c>
      <c r="Z108" s="45">
        <v>0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</row>
    <row r="109" spans="1:35" x14ac:dyDescent="0.3">
      <c r="A109" s="15" t="s">
        <v>231</v>
      </c>
      <c r="B109" s="15" t="s">
        <v>277</v>
      </c>
      <c r="C109" s="42">
        <v>2</v>
      </c>
      <c r="D109" s="43">
        <v>1.5</v>
      </c>
      <c r="E109" s="44">
        <v>3.5977124183006528</v>
      </c>
      <c r="F109" s="42">
        <v>2</v>
      </c>
      <c r="G109" s="45">
        <v>0.19810861970916771</v>
      </c>
      <c r="H109" s="46">
        <v>1.24E-2</v>
      </c>
      <c r="I109" s="47">
        <v>2026</v>
      </c>
      <c r="J109" s="8">
        <f t="shared" si="18"/>
        <v>2027</v>
      </c>
      <c r="K109" s="8">
        <f t="shared" si="19"/>
        <v>2028</v>
      </c>
      <c r="L109" s="8">
        <f t="shared" si="20"/>
        <v>2067</v>
      </c>
      <c r="M109" s="8">
        <f t="shared" si="21"/>
        <v>40</v>
      </c>
      <c r="N109" s="8">
        <f t="shared" si="22"/>
        <v>0</v>
      </c>
      <c r="O109" s="48">
        <f t="shared" si="23"/>
        <v>6.8218887481205925</v>
      </c>
      <c r="P109" s="44">
        <v>6.8218887481205988</v>
      </c>
      <c r="Q109" s="49">
        <f t="shared" si="24"/>
        <v>0</v>
      </c>
      <c r="R109" s="48">
        <f t="shared" si="25"/>
        <v>3.5627899525823397</v>
      </c>
      <c r="S109" s="50">
        <f t="shared" si="26"/>
        <v>1.9147602971025646</v>
      </c>
      <c r="T109" s="45">
        <v>1.816666666666666</v>
      </c>
      <c r="U109" s="45">
        <v>1.781045751633987</v>
      </c>
      <c r="V109" s="45">
        <v>0</v>
      </c>
      <c r="W109" s="45">
        <v>0</v>
      </c>
      <c r="X109" s="45">
        <v>0</v>
      </c>
      <c r="Y109" s="45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</row>
    <row r="110" spans="1:35" x14ac:dyDescent="0.3">
      <c r="A110" s="15" t="s">
        <v>232</v>
      </c>
      <c r="B110" s="15" t="s">
        <v>277</v>
      </c>
      <c r="C110" s="42">
        <v>2</v>
      </c>
      <c r="D110" s="43">
        <v>1</v>
      </c>
      <c r="E110" s="44">
        <v>3.597</v>
      </c>
      <c r="F110" s="42">
        <v>1</v>
      </c>
      <c r="G110" s="45">
        <v>0.13085826678515761</v>
      </c>
      <c r="H110" s="46">
        <v>1.4500000000000001E-2</v>
      </c>
      <c r="I110" s="47">
        <v>2026</v>
      </c>
      <c r="J110" s="8">
        <f t="shared" si="18"/>
        <v>2026</v>
      </c>
      <c r="K110" s="8">
        <f t="shared" si="19"/>
        <v>2027</v>
      </c>
      <c r="L110" s="8">
        <f t="shared" si="20"/>
        <v>2066</v>
      </c>
      <c r="M110" s="8">
        <f t="shared" si="21"/>
        <v>40</v>
      </c>
      <c r="N110" s="8">
        <f t="shared" si="22"/>
        <v>0</v>
      </c>
      <c r="O110" s="48">
        <f t="shared" si="23"/>
        <v>4.7237526078782164</v>
      </c>
      <c r="P110" s="44">
        <v>4.7237526078782102</v>
      </c>
      <c r="Q110" s="49">
        <f t="shared" si="24"/>
        <v>0</v>
      </c>
      <c r="R110" s="48">
        <f t="shared" si="25"/>
        <v>3.597</v>
      </c>
      <c r="S110" s="50">
        <f t="shared" si="26"/>
        <v>1.3132478754179084</v>
      </c>
      <c r="T110" s="45">
        <v>3.597</v>
      </c>
      <c r="U110" s="45">
        <v>0</v>
      </c>
      <c r="V110" s="45">
        <v>0</v>
      </c>
      <c r="W110" s="45">
        <v>0</v>
      </c>
      <c r="X110" s="45">
        <v>0</v>
      </c>
      <c r="Y110" s="45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</row>
    <row r="111" spans="1:35" x14ac:dyDescent="0.3">
      <c r="A111" s="15" t="s">
        <v>233</v>
      </c>
      <c r="B111" s="15" t="s">
        <v>277</v>
      </c>
      <c r="C111" s="42">
        <v>2</v>
      </c>
      <c r="D111" s="43">
        <v>1</v>
      </c>
      <c r="E111" s="44">
        <v>3.3626563078832858</v>
      </c>
      <c r="F111" s="42">
        <v>6</v>
      </c>
      <c r="G111" s="45">
        <v>0.12686622602917241</v>
      </c>
      <c r="H111" s="46">
        <v>1.6799999999999999E-2</v>
      </c>
      <c r="I111" s="47">
        <v>2031</v>
      </c>
      <c r="J111" s="8">
        <f t="shared" si="18"/>
        <v>2036</v>
      </c>
      <c r="K111" s="8">
        <f t="shared" si="19"/>
        <v>2037</v>
      </c>
      <c r="L111" s="8">
        <f t="shared" si="20"/>
        <v>2076</v>
      </c>
      <c r="M111" s="8">
        <f t="shared" si="21"/>
        <v>40</v>
      </c>
      <c r="N111" s="8">
        <f t="shared" si="22"/>
        <v>0</v>
      </c>
      <c r="O111" s="48">
        <f t="shared" si="23"/>
        <v>4.7319792099115379</v>
      </c>
      <c r="P111" s="44">
        <v>4.7319792099115396</v>
      </c>
      <c r="Q111" s="49">
        <f t="shared" si="24"/>
        <v>0</v>
      </c>
      <c r="R111" s="48">
        <f t="shared" si="25"/>
        <v>2.8783433821670368</v>
      </c>
      <c r="S111" s="50">
        <f t="shared" si="26"/>
        <v>1.6439939859951465</v>
      </c>
      <c r="T111" s="45">
        <v>0.11586399999999999</v>
      </c>
      <c r="U111" s="45">
        <v>0.63033921568627449</v>
      </c>
      <c r="V111" s="45">
        <v>0.8165090349865437</v>
      </c>
      <c r="W111" s="45">
        <v>0.50225874663590919</v>
      </c>
      <c r="X111" s="45">
        <v>0.58703170829661966</v>
      </c>
      <c r="Y111" s="45">
        <v>0.71065360227793883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</row>
    <row r="112" spans="1:35" x14ac:dyDescent="0.3">
      <c r="A112" s="15" t="s">
        <v>234</v>
      </c>
      <c r="B112" s="15" t="s">
        <v>277</v>
      </c>
      <c r="C112" s="42">
        <v>2</v>
      </c>
      <c r="D112" s="43">
        <v>2.65</v>
      </c>
      <c r="E112" s="44">
        <v>2.8233730000000001</v>
      </c>
      <c r="F112" s="42">
        <v>1</v>
      </c>
      <c r="G112" s="45">
        <v>0.27219168689469792</v>
      </c>
      <c r="H112" s="46">
        <v>2.18E-2</v>
      </c>
      <c r="I112" s="47">
        <v>2045</v>
      </c>
      <c r="J112" s="8">
        <f t="shared" si="18"/>
        <v>2045</v>
      </c>
      <c r="K112" s="8">
        <f t="shared" si="19"/>
        <v>2046</v>
      </c>
      <c r="L112" s="8">
        <f t="shared" si="20"/>
        <v>2085</v>
      </c>
      <c r="M112" s="8">
        <f t="shared" si="21"/>
        <v>40</v>
      </c>
      <c r="N112" s="8">
        <f t="shared" si="22"/>
        <v>0</v>
      </c>
      <c r="O112" s="48">
        <f t="shared" si="23"/>
        <v>12.342486848352841</v>
      </c>
      <c r="P112" s="44">
        <v>12.34248684835282</v>
      </c>
      <c r="Q112" s="49">
        <f t="shared" si="24"/>
        <v>2.1316282072803006E-14</v>
      </c>
      <c r="R112" s="48">
        <f t="shared" si="25"/>
        <v>1.9380500735047215</v>
      </c>
      <c r="S112" s="50">
        <f t="shared" si="26"/>
        <v>6.3685077166417043</v>
      </c>
      <c r="T112" s="45">
        <v>2.8233730000000001</v>
      </c>
      <c r="U112" s="45">
        <v>0</v>
      </c>
      <c r="V112" s="45">
        <v>0</v>
      </c>
      <c r="W112" s="45">
        <v>0</v>
      </c>
      <c r="X112" s="45">
        <v>0</v>
      </c>
      <c r="Y112" s="45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0</v>
      </c>
      <c r="AI112" s="45">
        <v>0</v>
      </c>
    </row>
    <row r="113" spans="1:62" x14ac:dyDescent="0.3">
      <c r="A113" s="15" t="s">
        <v>235</v>
      </c>
      <c r="B113" s="15" t="s">
        <v>277</v>
      </c>
      <c r="C113" s="42">
        <v>2</v>
      </c>
      <c r="D113" s="43">
        <v>1</v>
      </c>
      <c r="E113" s="44">
        <v>1.7251178588928839</v>
      </c>
      <c r="F113" s="42">
        <v>3</v>
      </c>
      <c r="G113" s="45">
        <v>6.3891432487557437E-2</v>
      </c>
      <c r="H113" s="46">
        <v>1.46E-2</v>
      </c>
      <c r="I113" s="47">
        <v>2031</v>
      </c>
      <c r="J113" s="8">
        <f t="shared" si="18"/>
        <v>2033</v>
      </c>
      <c r="K113" s="8">
        <f t="shared" si="19"/>
        <v>2034</v>
      </c>
      <c r="L113" s="8">
        <f t="shared" si="20"/>
        <v>2073</v>
      </c>
      <c r="M113" s="8">
        <f t="shared" si="21"/>
        <v>40</v>
      </c>
      <c r="N113" s="8">
        <f t="shared" si="22"/>
        <v>0</v>
      </c>
      <c r="O113" s="48">
        <f t="shared" si="23"/>
        <v>2.2523279696856529</v>
      </c>
      <c r="P113" s="44">
        <v>2.2523279696856551</v>
      </c>
      <c r="Q113" s="49">
        <f t="shared" si="24"/>
        <v>0</v>
      </c>
      <c r="R113" s="48">
        <f t="shared" si="25"/>
        <v>1.5321601287831592</v>
      </c>
      <c r="S113" s="50">
        <f t="shared" si="26"/>
        <v>1.4700343178062274</v>
      </c>
      <c r="T113" s="45">
        <v>0.51287450980392157</v>
      </c>
      <c r="U113" s="45">
        <v>0.70661956939638604</v>
      </c>
      <c r="V113" s="45">
        <v>0.50562377969257677</v>
      </c>
      <c r="W113" s="45">
        <v>0</v>
      </c>
      <c r="X113" s="45">
        <v>0</v>
      </c>
      <c r="Y113" s="45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</row>
    <row r="114" spans="1:62" x14ac:dyDescent="0.3">
      <c r="A114" s="15" t="s">
        <v>236</v>
      </c>
      <c r="B114" s="15" t="s">
        <v>277</v>
      </c>
      <c r="C114" s="42">
        <v>2</v>
      </c>
      <c r="D114" s="43">
        <v>1.36</v>
      </c>
      <c r="E114" s="44">
        <v>1.3199078431372551</v>
      </c>
      <c r="F114" s="42">
        <v>3</v>
      </c>
      <c r="G114" s="45">
        <v>6.6228288230541679E-2</v>
      </c>
      <c r="H114" s="46">
        <v>1.44E-2</v>
      </c>
      <c r="I114" s="47">
        <v>2028</v>
      </c>
      <c r="J114" s="8">
        <f t="shared" si="18"/>
        <v>2030</v>
      </c>
      <c r="K114" s="8">
        <f t="shared" si="19"/>
        <v>2031</v>
      </c>
      <c r="L114" s="8">
        <f t="shared" si="20"/>
        <v>2070</v>
      </c>
      <c r="M114" s="8">
        <f t="shared" si="21"/>
        <v>40</v>
      </c>
      <c r="N114" s="8">
        <f t="shared" si="22"/>
        <v>0</v>
      </c>
      <c r="O114" s="48">
        <f t="shared" si="23"/>
        <v>2.3476752599779367</v>
      </c>
      <c r="P114" s="44">
        <v>2.347675259977934</v>
      </c>
      <c r="Q114" s="49">
        <f t="shared" si="24"/>
        <v>0</v>
      </c>
      <c r="R114" s="48">
        <f t="shared" si="25"/>
        <v>1.2392720880884163</v>
      </c>
      <c r="S114" s="50">
        <f t="shared" si="26"/>
        <v>1.8943985606899596</v>
      </c>
      <c r="T114" s="45">
        <v>0.27029999999999998</v>
      </c>
      <c r="U114" s="45">
        <v>0.53</v>
      </c>
      <c r="V114" s="45">
        <v>0.51960784313725494</v>
      </c>
      <c r="W114" s="45">
        <v>0</v>
      </c>
      <c r="X114" s="45">
        <v>0</v>
      </c>
      <c r="Y114" s="45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0</v>
      </c>
      <c r="AH114" s="45">
        <v>0</v>
      </c>
      <c r="AI114" s="45">
        <v>0</v>
      </c>
    </row>
    <row r="115" spans="1:62" x14ac:dyDescent="0.3">
      <c r="A115" s="15" t="s">
        <v>237</v>
      </c>
      <c r="B115" s="15" t="s">
        <v>277</v>
      </c>
      <c r="C115" s="42">
        <v>1</v>
      </c>
      <c r="D115" s="43">
        <v>1.32</v>
      </c>
      <c r="E115" s="44">
        <v>1.2043759999999999</v>
      </c>
      <c r="F115" s="42">
        <v>1</v>
      </c>
      <c r="G115" s="45">
        <v>5.7835800336749003E-2</v>
      </c>
      <c r="H115" s="46">
        <v>1.14E-2</v>
      </c>
      <c r="I115" s="47">
        <v>2026</v>
      </c>
      <c r="J115" s="8">
        <f t="shared" si="18"/>
        <v>2026</v>
      </c>
      <c r="K115" s="8">
        <f t="shared" si="19"/>
        <v>2027</v>
      </c>
      <c r="L115" s="8">
        <f t="shared" si="20"/>
        <v>2066</v>
      </c>
      <c r="M115" s="8">
        <f t="shared" si="21"/>
        <v>40</v>
      </c>
      <c r="N115" s="8">
        <f t="shared" si="22"/>
        <v>0</v>
      </c>
      <c r="O115" s="48">
        <f t="shared" si="23"/>
        <v>1.9657242309966367</v>
      </c>
      <c r="P115" s="44">
        <v>1.9657242309966361</v>
      </c>
      <c r="Q115" s="49">
        <f t="shared" si="24"/>
        <v>0</v>
      </c>
      <c r="R115" s="48">
        <f t="shared" si="25"/>
        <v>1.2043759999999999</v>
      </c>
      <c r="S115" s="50">
        <f t="shared" si="26"/>
        <v>1.6321516129486446</v>
      </c>
      <c r="T115" s="45">
        <v>1.2043759999999999</v>
      </c>
      <c r="U115" s="45">
        <v>0</v>
      </c>
      <c r="V115" s="45">
        <v>0</v>
      </c>
      <c r="W115" s="45">
        <v>0</v>
      </c>
      <c r="X115" s="45">
        <v>0</v>
      </c>
      <c r="Y115" s="45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</row>
    <row r="116" spans="1:62" x14ac:dyDescent="0.3">
      <c r="A116" s="15" t="s">
        <v>238</v>
      </c>
      <c r="B116" s="15" t="s">
        <v>277</v>
      </c>
      <c r="C116" s="42">
        <v>2</v>
      </c>
      <c r="D116" s="43">
        <v>1</v>
      </c>
      <c r="E116" s="44">
        <v>1.2762487058823531</v>
      </c>
      <c r="F116" s="42">
        <v>2</v>
      </c>
      <c r="G116" s="45">
        <v>4.7265933196042102E-2</v>
      </c>
      <c r="H116" s="46">
        <v>2.2599999999999999E-2</v>
      </c>
      <c r="I116" s="47">
        <v>2044</v>
      </c>
      <c r="J116" s="8">
        <f t="shared" si="18"/>
        <v>2045</v>
      </c>
      <c r="K116" s="8">
        <f t="shared" si="19"/>
        <v>2046</v>
      </c>
      <c r="L116" s="8">
        <f t="shared" si="20"/>
        <v>2085</v>
      </c>
      <c r="M116" s="8">
        <f t="shared" si="21"/>
        <v>40</v>
      </c>
      <c r="N116" s="8">
        <f t="shared" si="22"/>
        <v>0</v>
      </c>
      <c r="O116" s="48">
        <f t="shared" si="23"/>
        <v>2.2120021561951844</v>
      </c>
      <c r="P116" s="44">
        <v>2.2120021561951808</v>
      </c>
      <c r="Q116" s="49">
        <f t="shared" si="24"/>
        <v>3.5527136788005009E-15</v>
      </c>
      <c r="R116" s="48">
        <f t="shared" si="25"/>
        <v>0.89273641663915504</v>
      </c>
      <c r="S116" s="50">
        <f t="shared" si="26"/>
        <v>2.4777774435623563</v>
      </c>
      <c r="T116" s="45">
        <v>1.2149840000000001</v>
      </c>
      <c r="U116" s="45">
        <v>6.1264705882352943E-2</v>
      </c>
      <c r="V116" s="45">
        <v>0</v>
      </c>
      <c r="W116" s="45">
        <v>0</v>
      </c>
      <c r="X116" s="45">
        <v>0</v>
      </c>
      <c r="Y116" s="45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</row>
    <row r="117" spans="1:62" x14ac:dyDescent="0.3">
      <c r="A117" s="15" t="s">
        <v>239</v>
      </c>
      <c r="B117" s="15" t="s">
        <v>277</v>
      </c>
      <c r="C117" s="42">
        <v>1</v>
      </c>
      <c r="D117" s="43">
        <v>1.47</v>
      </c>
      <c r="E117" s="44">
        <v>1.0588235294117641</v>
      </c>
      <c r="F117" s="42">
        <v>1</v>
      </c>
      <c r="G117" s="45">
        <v>5.6624143307908069E-2</v>
      </c>
      <c r="H117" s="46">
        <v>1.46E-2</v>
      </c>
      <c r="I117" s="47">
        <v>2026</v>
      </c>
      <c r="J117" s="8">
        <f t="shared" si="18"/>
        <v>2026</v>
      </c>
      <c r="K117" s="8">
        <f t="shared" si="19"/>
        <v>2027</v>
      </c>
      <c r="L117" s="8">
        <f t="shared" si="20"/>
        <v>2066</v>
      </c>
      <c r="M117" s="8">
        <f t="shared" si="21"/>
        <v>40</v>
      </c>
      <c r="N117" s="8">
        <f t="shared" si="22"/>
        <v>0</v>
      </c>
      <c r="O117" s="48">
        <f t="shared" si="23"/>
        <v>2.0480437037375938</v>
      </c>
      <c r="P117" s="44">
        <v>2.0480437037375951</v>
      </c>
      <c r="Q117" s="49">
        <f t="shared" si="24"/>
        <v>0</v>
      </c>
      <c r="R117" s="48">
        <f t="shared" si="25"/>
        <v>1.0588235294117641</v>
      </c>
      <c r="S117" s="50">
        <f t="shared" si="26"/>
        <v>1.9342634979743953</v>
      </c>
      <c r="T117" s="45">
        <v>1.0588235294117641</v>
      </c>
      <c r="U117" s="45">
        <v>0</v>
      </c>
      <c r="V117" s="45">
        <v>0</v>
      </c>
      <c r="W117" s="45">
        <v>0</v>
      </c>
      <c r="X117" s="45">
        <v>0</v>
      </c>
      <c r="Y117" s="45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</row>
    <row r="118" spans="1:62" x14ac:dyDescent="0.3">
      <c r="A118" s="15" t="s">
        <v>240</v>
      </c>
      <c r="B118" s="15" t="s">
        <v>277</v>
      </c>
      <c r="C118" s="42">
        <v>1</v>
      </c>
      <c r="D118" s="43">
        <v>1.96</v>
      </c>
      <c r="E118" s="44">
        <v>0.84528292156862739</v>
      </c>
      <c r="F118" s="42">
        <v>2</v>
      </c>
      <c r="G118" s="45">
        <v>6.1019663287427868E-2</v>
      </c>
      <c r="H118" s="46">
        <v>2.81E-2</v>
      </c>
      <c r="I118" s="47">
        <v>2044</v>
      </c>
      <c r="J118" s="8">
        <f t="shared" si="18"/>
        <v>2045</v>
      </c>
      <c r="K118" s="8">
        <f t="shared" si="19"/>
        <v>2046</v>
      </c>
      <c r="L118" s="8">
        <f t="shared" si="20"/>
        <v>2085</v>
      </c>
      <c r="M118" s="8">
        <f t="shared" si="21"/>
        <v>40</v>
      </c>
      <c r="N118" s="8">
        <f t="shared" si="22"/>
        <v>0</v>
      </c>
      <c r="O118" s="48">
        <f t="shared" si="23"/>
        <v>3.5532517618258566</v>
      </c>
      <c r="P118" s="44">
        <v>3.5532517618258601</v>
      </c>
      <c r="Q118" s="49">
        <f t="shared" si="24"/>
        <v>-3.5527136788005009E-15</v>
      </c>
      <c r="R118" s="48">
        <f t="shared" si="25"/>
        <v>0.58801546674181704</v>
      </c>
      <c r="S118" s="50">
        <f t="shared" si="26"/>
        <v>6.0427862238290428</v>
      </c>
      <c r="T118" s="45">
        <v>0.56722899999999998</v>
      </c>
      <c r="U118" s="45">
        <v>0.2780539215686274</v>
      </c>
      <c r="V118" s="45">
        <v>0</v>
      </c>
      <c r="W118" s="45">
        <v>0</v>
      </c>
      <c r="X118" s="45">
        <v>0</v>
      </c>
      <c r="Y118" s="45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</row>
    <row r="119" spans="1:62" x14ac:dyDescent="0.3">
      <c r="A119" s="15" t="s">
        <v>241</v>
      </c>
      <c r="B119" s="15" t="s">
        <v>277</v>
      </c>
      <c r="C119" s="42">
        <v>1</v>
      </c>
      <c r="D119" s="43">
        <v>1.97</v>
      </c>
      <c r="E119" s="44">
        <v>0.79345245098039219</v>
      </c>
      <c r="F119" s="42">
        <v>2</v>
      </c>
      <c r="G119" s="45">
        <v>5.7876591321406538E-2</v>
      </c>
      <c r="H119" s="46">
        <v>2.7199999999999998E-2</v>
      </c>
      <c r="I119" s="47">
        <v>2044</v>
      </c>
      <c r="J119" s="8">
        <f t="shared" si="18"/>
        <v>2045</v>
      </c>
      <c r="K119" s="8">
        <f t="shared" si="19"/>
        <v>2046</v>
      </c>
      <c r="L119" s="8">
        <f t="shared" si="20"/>
        <v>2085</v>
      </c>
      <c r="M119" s="8">
        <f t="shared" si="21"/>
        <v>40</v>
      </c>
      <c r="N119" s="8">
        <f t="shared" si="22"/>
        <v>0</v>
      </c>
      <c r="O119" s="48">
        <f t="shared" si="23"/>
        <v>3.2512332621284581</v>
      </c>
      <c r="P119" s="44">
        <v>3.2512332621284572</v>
      </c>
      <c r="Q119" s="49">
        <f t="shared" si="24"/>
        <v>0</v>
      </c>
      <c r="R119" s="48">
        <f t="shared" si="25"/>
        <v>0.55489617750372289</v>
      </c>
      <c r="S119" s="50">
        <f t="shared" si="26"/>
        <v>5.8591740111719277</v>
      </c>
      <c r="T119" s="45">
        <v>0.74632500000000002</v>
      </c>
      <c r="U119" s="45">
        <v>4.7127450980392151E-2</v>
      </c>
      <c r="V119" s="45">
        <v>0</v>
      </c>
      <c r="W119" s="45">
        <v>0</v>
      </c>
      <c r="X119" s="45">
        <v>0</v>
      </c>
      <c r="Y119" s="45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0</v>
      </c>
      <c r="AH119" s="45">
        <v>0</v>
      </c>
      <c r="AI119" s="45">
        <v>0</v>
      </c>
    </row>
    <row r="120" spans="1:62" x14ac:dyDescent="0.3">
      <c r="A120" s="15" t="s">
        <v>242</v>
      </c>
      <c r="B120" s="15" t="s">
        <v>277</v>
      </c>
      <c r="C120" s="42">
        <v>1</v>
      </c>
      <c r="D120" s="43">
        <v>1</v>
      </c>
      <c r="E120" s="44">
        <v>0.35637153960392309</v>
      </c>
      <c r="F120" s="42">
        <v>3</v>
      </c>
      <c r="G120" s="45">
        <v>1.310564840975025E-2</v>
      </c>
      <c r="H120" s="46">
        <v>1.14E-2</v>
      </c>
      <c r="I120" s="47">
        <v>2027</v>
      </c>
      <c r="J120" s="8">
        <f t="shared" ref="J120:J151" si="27">I120+F120-1</f>
        <v>2029</v>
      </c>
      <c r="K120" s="8">
        <f t="shared" si="19"/>
        <v>2030</v>
      </c>
      <c r="L120" s="8">
        <f t="shared" ref="L120:L151" si="28">K120+$B$9-1</f>
        <v>2069</v>
      </c>
      <c r="M120" s="8">
        <f t="shared" ref="M120:M151" si="29">MAX(0,MIN(L120,2085)-K120+1)</f>
        <v>40</v>
      </c>
      <c r="N120" s="8">
        <f t="shared" ref="N120:N151" si="30">$B$9-M120</f>
        <v>0</v>
      </c>
      <c r="O120" s="48">
        <f t="shared" ref="O120:O151" si="31">SUMPRODUCT(C331:BJ331,$C$129:$BJ$129)</f>
        <v>0.43600189171026599</v>
      </c>
      <c r="P120" s="44">
        <v>0.43600189171026599</v>
      </c>
      <c r="Q120" s="49">
        <f t="shared" ref="Q120:Q151" si="32">O120-P120</f>
        <v>0</v>
      </c>
      <c r="R120" s="48">
        <f t="shared" ref="R120:R151" si="33">SUMPRODUCT(C228:BJ228,$C$129:$BJ$129)</f>
        <v>0.34018936375971359</v>
      </c>
      <c r="S120" s="50">
        <f t="shared" ref="S120:S151" si="34">IF(R120=0,0,O120/R120)</f>
        <v>1.2816446901562384</v>
      </c>
      <c r="T120" s="45">
        <v>3.5511764705882347E-2</v>
      </c>
      <c r="U120" s="45">
        <v>0.16027297193387161</v>
      </c>
      <c r="V120" s="45">
        <v>0.16058680296416911</v>
      </c>
      <c r="W120" s="45">
        <v>0</v>
      </c>
      <c r="X120" s="45">
        <v>0</v>
      </c>
      <c r="Y120" s="45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</row>
    <row r="121" spans="1:62" x14ac:dyDescent="0.3">
      <c r="A121" s="15" t="s">
        <v>243</v>
      </c>
      <c r="B121" s="15" t="s">
        <v>277</v>
      </c>
      <c r="C121" s="42">
        <v>1</v>
      </c>
      <c r="D121" s="43">
        <v>4.76</v>
      </c>
      <c r="E121" s="44">
        <v>0.05</v>
      </c>
      <c r="F121" s="42">
        <v>1</v>
      </c>
      <c r="G121" s="45">
        <v>8.658400749198639E-3</v>
      </c>
      <c r="H121" s="46">
        <v>1.4800000000000001E-2</v>
      </c>
      <c r="I121" s="47">
        <v>2026</v>
      </c>
      <c r="J121" s="8">
        <f t="shared" si="27"/>
        <v>2026</v>
      </c>
      <c r="K121" s="8">
        <f t="shared" si="19"/>
        <v>2027</v>
      </c>
      <c r="L121" s="8">
        <f t="shared" si="28"/>
        <v>2066</v>
      </c>
      <c r="M121" s="8">
        <f t="shared" si="29"/>
        <v>40</v>
      </c>
      <c r="N121" s="8">
        <f t="shared" si="30"/>
        <v>0</v>
      </c>
      <c r="O121" s="48">
        <f t="shared" si="31"/>
        <v>0.31439808462039015</v>
      </c>
      <c r="P121" s="44">
        <v>0.31439808462039032</v>
      </c>
      <c r="Q121" s="49">
        <f t="shared" si="32"/>
        <v>0</v>
      </c>
      <c r="R121" s="48">
        <f t="shared" si="33"/>
        <v>0.05</v>
      </c>
      <c r="S121" s="50">
        <f t="shared" si="34"/>
        <v>6.2879616924078023</v>
      </c>
      <c r="T121" s="45">
        <v>0.05</v>
      </c>
      <c r="U121" s="45">
        <v>0</v>
      </c>
      <c r="V121" s="45">
        <v>0</v>
      </c>
      <c r="W121" s="45">
        <v>0</v>
      </c>
      <c r="X121" s="45">
        <v>0</v>
      </c>
      <c r="Y121" s="45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0</v>
      </c>
      <c r="AH121" s="45">
        <v>0</v>
      </c>
      <c r="AI121" s="45">
        <v>0</v>
      </c>
    </row>
    <row r="122" spans="1:62" x14ac:dyDescent="0.3">
      <c r="A122" s="15" t="s">
        <v>244</v>
      </c>
      <c r="B122" s="15" t="s">
        <v>277</v>
      </c>
      <c r="C122" s="42">
        <v>1</v>
      </c>
      <c r="D122" s="43">
        <v>2.1</v>
      </c>
      <c r="E122" s="44">
        <v>4.2979235294117638E-2</v>
      </c>
      <c r="F122" s="42">
        <v>2</v>
      </c>
      <c r="G122" s="45">
        <v>3.324218465488399E-3</v>
      </c>
      <c r="H122" s="46">
        <v>2.3400000000000001E-2</v>
      </c>
      <c r="I122" s="47">
        <v>2044</v>
      </c>
      <c r="J122" s="8">
        <f t="shared" si="27"/>
        <v>2045</v>
      </c>
      <c r="K122" s="8">
        <f t="shared" si="19"/>
        <v>2046</v>
      </c>
      <c r="L122" s="8">
        <f t="shared" si="28"/>
        <v>2085</v>
      </c>
      <c r="M122" s="8">
        <f t="shared" si="29"/>
        <v>40</v>
      </c>
      <c r="N122" s="8">
        <f t="shared" si="30"/>
        <v>0</v>
      </c>
      <c r="O122" s="48">
        <f t="shared" si="31"/>
        <v>0.16056880216055072</v>
      </c>
      <c r="P122" s="44">
        <v>0.16056880216055081</v>
      </c>
      <c r="Q122" s="49">
        <f t="shared" si="32"/>
        <v>0</v>
      </c>
      <c r="R122" s="48">
        <f t="shared" si="33"/>
        <v>2.9898216128134827E-2</v>
      </c>
      <c r="S122" s="50">
        <f t="shared" si="34"/>
        <v>5.3705144638864333</v>
      </c>
      <c r="T122" s="45">
        <v>2.8840999999999999E-2</v>
      </c>
      <c r="U122" s="45">
        <v>1.4138235294117649E-2</v>
      </c>
      <c r="V122" s="45">
        <v>0</v>
      </c>
      <c r="W122" s="45">
        <v>0</v>
      </c>
      <c r="X122" s="45">
        <v>0</v>
      </c>
      <c r="Y122" s="45">
        <v>0</v>
      </c>
      <c r="Z122" s="45">
        <v>0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</row>
    <row r="123" spans="1:62" x14ac:dyDescent="0.3">
      <c r="A123" s="15" t="s">
        <v>245</v>
      </c>
      <c r="B123" s="15" t="s">
        <v>277</v>
      </c>
      <c r="C123" s="42">
        <v>3</v>
      </c>
      <c r="D123" s="43">
        <v>1</v>
      </c>
      <c r="E123" s="44">
        <v>9.0115145876670919</v>
      </c>
      <c r="F123" s="42">
        <v>3</v>
      </c>
      <c r="G123" s="45">
        <v>0.33086379817855699</v>
      </c>
      <c r="H123" s="46">
        <v>1.43E-2</v>
      </c>
      <c r="I123" s="47">
        <v>2028</v>
      </c>
      <c r="J123" s="8">
        <f t="shared" si="27"/>
        <v>2030</v>
      </c>
      <c r="K123" s="8">
        <f t="shared" si="19"/>
        <v>2031</v>
      </c>
      <c r="L123" s="8">
        <f t="shared" si="28"/>
        <v>2070</v>
      </c>
      <c r="M123" s="8">
        <f t="shared" si="29"/>
        <v>40</v>
      </c>
      <c r="N123" s="8">
        <f t="shared" si="30"/>
        <v>0</v>
      </c>
      <c r="O123" s="48">
        <f t="shared" si="31"/>
        <v>11.700873998129863</v>
      </c>
      <c r="P123" s="44">
        <v>11.70087399812987</v>
      </c>
      <c r="Q123" s="49">
        <f t="shared" si="32"/>
        <v>0</v>
      </c>
      <c r="R123" s="48">
        <f t="shared" si="33"/>
        <v>8.4199846040928197</v>
      </c>
      <c r="S123" s="50">
        <f t="shared" si="34"/>
        <v>1.3896550348135144</v>
      </c>
      <c r="T123" s="45">
        <v>0.56036139946174557</v>
      </c>
      <c r="U123" s="45">
        <v>3.9954466984794679</v>
      </c>
      <c r="V123" s="45">
        <v>4.4557064897258787</v>
      </c>
      <c r="W123" s="45">
        <v>0</v>
      </c>
      <c r="X123" s="45">
        <v>0</v>
      </c>
      <c r="Y123" s="45">
        <v>0</v>
      </c>
      <c r="Z123" s="45">
        <v>0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0</v>
      </c>
      <c r="AH123" s="45">
        <v>0</v>
      </c>
      <c r="AI123" s="45">
        <v>0</v>
      </c>
    </row>
    <row r="124" spans="1:62" x14ac:dyDescent="0.3">
      <c r="A124" s="4" t="s">
        <v>246</v>
      </c>
      <c r="E124" s="41">
        <f>SUM(E24:E123)</f>
        <v>3829.6469357140063</v>
      </c>
      <c r="O124" s="41">
        <f>SUM(O24:O123)</f>
        <v>13893.82223870393</v>
      </c>
      <c r="P124" s="41">
        <f>SUM(P24:P123)</f>
        <v>13893.822238703928</v>
      </c>
      <c r="Q124" s="41">
        <f>SUM(Q24:Q123)</f>
        <v>-4.766187444715797E-13</v>
      </c>
      <c r="R124" s="41">
        <f>SUM(R24:R123)</f>
        <v>3069.9606012819258</v>
      </c>
      <c r="S124" s="51">
        <f t="shared" si="34"/>
        <v>4.525733077128832</v>
      </c>
    </row>
    <row r="127" spans="1:62" x14ac:dyDescent="0.3">
      <c r="A127" s="4" t="s">
        <v>247</v>
      </c>
      <c r="C127" s="52">
        <v>2026</v>
      </c>
      <c r="D127" s="52">
        <v>2027</v>
      </c>
      <c r="E127" s="52">
        <v>2028</v>
      </c>
      <c r="F127" s="52">
        <v>2029</v>
      </c>
      <c r="G127" s="52">
        <v>2030</v>
      </c>
      <c r="H127" s="52">
        <v>2031</v>
      </c>
      <c r="I127" s="52">
        <v>2032</v>
      </c>
      <c r="J127" s="52">
        <v>2033</v>
      </c>
      <c r="K127" s="52">
        <v>2034</v>
      </c>
      <c r="L127" s="52">
        <v>2035</v>
      </c>
      <c r="M127" s="52">
        <v>2036</v>
      </c>
      <c r="N127" s="52">
        <v>2037</v>
      </c>
      <c r="O127" s="52">
        <v>2038</v>
      </c>
      <c r="P127" s="52">
        <v>2039</v>
      </c>
      <c r="Q127" s="52">
        <v>2040</v>
      </c>
      <c r="R127" s="52">
        <v>2041</v>
      </c>
      <c r="S127" s="52">
        <v>2042</v>
      </c>
      <c r="T127" s="52">
        <v>2043</v>
      </c>
      <c r="U127" s="52">
        <v>2044</v>
      </c>
      <c r="V127" s="52">
        <v>2045</v>
      </c>
      <c r="W127" s="52">
        <v>2046</v>
      </c>
      <c r="X127" s="52">
        <v>2047</v>
      </c>
      <c r="Y127" s="52">
        <v>2048</v>
      </c>
      <c r="Z127" s="52">
        <v>2049</v>
      </c>
      <c r="AA127" s="52">
        <v>2050</v>
      </c>
      <c r="AB127" s="52">
        <v>2051</v>
      </c>
      <c r="AC127" s="52">
        <v>2052</v>
      </c>
      <c r="AD127" s="52">
        <v>2053</v>
      </c>
      <c r="AE127" s="52">
        <v>2054</v>
      </c>
      <c r="AF127" s="52">
        <v>2055</v>
      </c>
      <c r="AG127" s="52">
        <v>2056</v>
      </c>
      <c r="AH127" s="52">
        <v>2057</v>
      </c>
      <c r="AI127" s="52">
        <v>2058</v>
      </c>
      <c r="AJ127" s="52">
        <v>2059</v>
      </c>
      <c r="AK127" s="52">
        <v>2060</v>
      </c>
      <c r="AL127" s="52">
        <v>2061</v>
      </c>
      <c r="AM127" s="52">
        <v>2062</v>
      </c>
      <c r="AN127" s="52">
        <v>2063</v>
      </c>
      <c r="AO127" s="52">
        <v>2064</v>
      </c>
      <c r="AP127" s="52">
        <v>2065</v>
      </c>
      <c r="AQ127" s="52">
        <v>2066</v>
      </c>
      <c r="AR127" s="52">
        <v>2067</v>
      </c>
      <c r="AS127" s="52">
        <v>2068</v>
      </c>
      <c r="AT127" s="52">
        <v>2069</v>
      </c>
      <c r="AU127" s="52">
        <v>2070</v>
      </c>
      <c r="AV127" s="52">
        <v>2071</v>
      </c>
      <c r="AW127" s="52">
        <v>2072</v>
      </c>
      <c r="AX127" s="52">
        <v>2073</v>
      </c>
      <c r="AY127" s="52">
        <v>2074</v>
      </c>
      <c r="AZ127" s="52">
        <v>2075</v>
      </c>
      <c r="BA127" s="52">
        <v>2076</v>
      </c>
      <c r="BB127" s="52">
        <v>2077</v>
      </c>
      <c r="BC127" s="52">
        <v>2078</v>
      </c>
      <c r="BD127" s="52">
        <v>2079</v>
      </c>
      <c r="BE127" s="52">
        <v>2080</v>
      </c>
      <c r="BF127" s="52">
        <v>2081</v>
      </c>
      <c r="BG127" s="52">
        <v>2082</v>
      </c>
      <c r="BH127" s="52">
        <v>2083</v>
      </c>
      <c r="BI127" s="52">
        <v>2084</v>
      </c>
      <c r="BJ127" s="52">
        <v>2085</v>
      </c>
    </row>
    <row r="128" spans="1:62" x14ac:dyDescent="0.3">
      <c r="A128" s="28" t="s">
        <v>248</v>
      </c>
      <c r="C128" s="53">
        <f t="shared" ref="C128:AH128" si="35">C127-$B$5</f>
        <v>0</v>
      </c>
      <c r="D128" s="53">
        <f t="shared" si="35"/>
        <v>1</v>
      </c>
      <c r="E128" s="53">
        <f t="shared" si="35"/>
        <v>2</v>
      </c>
      <c r="F128" s="53">
        <f t="shared" si="35"/>
        <v>3</v>
      </c>
      <c r="G128" s="53">
        <f t="shared" si="35"/>
        <v>4</v>
      </c>
      <c r="H128" s="53">
        <f t="shared" si="35"/>
        <v>5</v>
      </c>
      <c r="I128" s="53">
        <f t="shared" si="35"/>
        <v>6</v>
      </c>
      <c r="J128" s="53">
        <f t="shared" si="35"/>
        <v>7</v>
      </c>
      <c r="K128" s="53">
        <f t="shared" si="35"/>
        <v>8</v>
      </c>
      <c r="L128" s="53">
        <f t="shared" si="35"/>
        <v>9</v>
      </c>
      <c r="M128" s="53">
        <f t="shared" si="35"/>
        <v>10</v>
      </c>
      <c r="N128" s="53">
        <f t="shared" si="35"/>
        <v>11</v>
      </c>
      <c r="O128" s="53">
        <f t="shared" si="35"/>
        <v>12</v>
      </c>
      <c r="P128" s="53">
        <f t="shared" si="35"/>
        <v>13</v>
      </c>
      <c r="Q128" s="53">
        <f t="shared" si="35"/>
        <v>14</v>
      </c>
      <c r="R128" s="53">
        <f t="shared" si="35"/>
        <v>15</v>
      </c>
      <c r="S128" s="53">
        <f t="shared" si="35"/>
        <v>16</v>
      </c>
      <c r="T128" s="53">
        <f t="shared" si="35"/>
        <v>17</v>
      </c>
      <c r="U128" s="53">
        <f t="shared" si="35"/>
        <v>18</v>
      </c>
      <c r="V128" s="53">
        <f t="shared" si="35"/>
        <v>19</v>
      </c>
      <c r="W128" s="53">
        <f t="shared" si="35"/>
        <v>20</v>
      </c>
      <c r="X128" s="53">
        <f t="shared" si="35"/>
        <v>21</v>
      </c>
      <c r="Y128" s="53">
        <f t="shared" si="35"/>
        <v>22</v>
      </c>
      <c r="Z128" s="53">
        <f t="shared" si="35"/>
        <v>23</v>
      </c>
      <c r="AA128" s="53">
        <f t="shared" si="35"/>
        <v>24</v>
      </c>
      <c r="AB128" s="53">
        <f t="shared" si="35"/>
        <v>25</v>
      </c>
      <c r="AC128" s="53">
        <f t="shared" si="35"/>
        <v>26</v>
      </c>
      <c r="AD128" s="53">
        <f t="shared" si="35"/>
        <v>27</v>
      </c>
      <c r="AE128" s="53">
        <f t="shared" si="35"/>
        <v>28</v>
      </c>
      <c r="AF128" s="53">
        <f t="shared" si="35"/>
        <v>29</v>
      </c>
      <c r="AG128" s="53">
        <f t="shared" si="35"/>
        <v>30</v>
      </c>
      <c r="AH128" s="53">
        <f t="shared" si="35"/>
        <v>31</v>
      </c>
      <c r="AI128" s="53">
        <f t="shared" ref="AI128:BN128" si="36">AI127-$B$5</f>
        <v>32</v>
      </c>
      <c r="AJ128" s="53">
        <f t="shared" si="36"/>
        <v>33</v>
      </c>
      <c r="AK128" s="53">
        <f t="shared" si="36"/>
        <v>34</v>
      </c>
      <c r="AL128" s="53">
        <f t="shared" si="36"/>
        <v>35</v>
      </c>
      <c r="AM128" s="53">
        <f t="shared" si="36"/>
        <v>36</v>
      </c>
      <c r="AN128" s="53">
        <f t="shared" si="36"/>
        <v>37</v>
      </c>
      <c r="AO128" s="53">
        <f t="shared" si="36"/>
        <v>38</v>
      </c>
      <c r="AP128" s="53">
        <f t="shared" si="36"/>
        <v>39</v>
      </c>
      <c r="AQ128" s="53">
        <f t="shared" si="36"/>
        <v>40</v>
      </c>
      <c r="AR128" s="53">
        <f t="shared" si="36"/>
        <v>41</v>
      </c>
      <c r="AS128" s="53">
        <f t="shared" si="36"/>
        <v>42</v>
      </c>
      <c r="AT128" s="53">
        <f t="shared" si="36"/>
        <v>43</v>
      </c>
      <c r="AU128" s="53">
        <f t="shared" si="36"/>
        <v>44</v>
      </c>
      <c r="AV128" s="53">
        <f t="shared" si="36"/>
        <v>45</v>
      </c>
      <c r="AW128" s="53">
        <f t="shared" si="36"/>
        <v>46</v>
      </c>
      <c r="AX128" s="53">
        <f t="shared" si="36"/>
        <v>47</v>
      </c>
      <c r="AY128" s="53">
        <f t="shared" si="36"/>
        <v>48</v>
      </c>
      <c r="AZ128" s="53">
        <f t="shared" si="36"/>
        <v>49</v>
      </c>
      <c r="BA128" s="53">
        <f t="shared" si="36"/>
        <v>50</v>
      </c>
      <c r="BB128" s="53">
        <f t="shared" si="36"/>
        <v>51</v>
      </c>
      <c r="BC128" s="53">
        <f t="shared" si="36"/>
        <v>52</v>
      </c>
      <c r="BD128" s="53">
        <f t="shared" si="36"/>
        <v>53</v>
      </c>
      <c r="BE128" s="53">
        <f t="shared" si="36"/>
        <v>54</v>
      </c>
      <c r="BF128" s="53">
        <f t="shared" si="36"/>
        <v>55</v>
      </c>
      <c r="BG128" s="53">
        <f t="shared" si="36"/>
        <v>56</v>
      </c>
      <c r="BH128" s="53">
        <f t="shared" si="36"/>
        <v>57</v>
      </c>
      <c r="BI128" s="53">
        <f t="shared" si="36"/>
        <v>58</v>
      </c>
      <c r="BJ128" s="53">
        <f t="shared" si="36"/>
        <v>59</v>
      </c>
    </row>
    <row r="129" spans="1:62" x14ac:dyDescent="0.3">
      <c r="A129" s="28" t="s">
        <v>249</v>
      </c>
      <c r="C129" s="54">
        <v>1</v>
      </c>
      <c r="D129" s="54">
        <f t="shared" ref="D129:AI129" si="37">C129/(1+IF(D128&lt;=$B$7,$B$6,$B$8))</f>
        <v>0.98039215686274506</v>
      </c>
      <c r="E129" s="54">
        <f t="shared" si="37"/>
        <v>0.96116878123798533</v>
      </c>
      <c r="F129" s="54">
        <f t="shared" si="37"/>
        <v>0.94232233454704439</v>
      </c>
      <c r="G129" s="54">
        <f t="shared" si="37"/>
        <v>0.92384542602651409</v>
      </c>
      <c r="H129" s="54">
        <f t="shared" si="37"/>
        <v>0.90573080982991572</v>
      </c>
      <c r="I129" s="54">
        <f t="shared" si="37"/>
        <v>0.88797138218619187</v>
      </c>
      <c r="J129" s="54">
        <f t="shared" si="37"/>
        <v>0.87056017861391355</v>
      </c>
      <c r="K129" s="54">
        <f t="shared" si="37"/>
        <v>0.85349037119011129</v>
      </c>
      <c r="L129" s="54">
        <f t="shared" si="37"/>
        <v>0.83675526587265814</v>
      </c>
      <c r="M129" s="54">
        <f t="shared" si="37"/>
        <v>0.82034829987515501</v>
      </c>
      <c r="N129" s="54">
        <f t="shared" si="37"/>
        <v>0.80426303909328922</v>
      </c>
      <c r="O129" s="54">
        <f t="shared" si="37"/>
        <v>0.7884931755816561</v>
      </c>
      <c r="P129" s="54">
        <f t="shared" si="37"/>
        <v>0.77303252508005504</v>
      </c>
      <c r="Q129" s="54">
        <f t="shared" si="37"/>
        <v>0.75787502458828926</v>
      </c>
      <c r="R129" s="54">
        <f t="shared" si="37"/>
        <v>0.74301472998851892</v>
      </c>
      <c r="S129" s="54">
        <f t="shared" si="37"/>
        <v>0.72844581371423422</v>
      </c>
      <c r="T129" s="54">
        <f t="shared" si="37"/>
        <v>0.71416256246493548</v>
      </c>
      <c r="U129" s="54">
        <f t="shared" si="37"/>
        <v>0.70015937496562297</v>
      </c>
      <c r="V129" s="54">
        <f t="shared" si="37"/>
        <v>0.68643075977021861</v>
      </c>
      <c r="W129" s="54">
        <f t="shared" si="37"/>
        <v>0.67297133310805746</v>
      </c>
      <c r="X129" s="54">
        <f t="shared" si="37"/>
        <v>0.65977581677260533</v>
      </c>
      <c r="Y129" s="54">
        <f t="shared" si="37"/>
        <v>0.64683903605157389</v>
      </c>
      <c r="Z129" s="54">
        <f t="shared" si="37"/>
        <v>0.63415591769762147</v>
      </c>
      <c r="AA129" s="54">
        <f t="shared" si="37"/>
        <v>0.62172148793884452</v>
      </c>
      <c r="AB129" s="54">
        <f t="shared" si="37"/>
        <v>0.60953087052827892</v>
      </c>
      <c r="AC129" s="54">
        <f t="shared" si="37"/>
        <v>0.59757928483164602</v>
      </c>
      <c r="AD129" s="54">
        <f t="shared" si="37"/>
        <v>0.58586204395259411</v>
      </c>
      <c r="AE129" s="54">
        <f t="shared" si="37"/>
        <v>0.57437455289470007</v>
      </c>
      <c r="AF129" s="54">
        <f t="shared" si="37"/>
        <v>0.56311230675950985</v>
      </c>
      <c r="AG129" s="54">
        <f t="shared" si="37"/>
        <v>0.55207088897991163</v>
      </c>
      <c r="AH129" s="54">
        <f t="shared" si="37"/>
        <v>0.54391220589153866</v>
      </c>
      <c r="AI129" s="54">
        <f t="shared" si="37"/>
        <v>0.53587409447442236</v>
      </c>
      <c r="AJ129" s="54">
        <f t="shared" ref="AJ129:BO129" si="38">AI129/(1+IF(AJ128&lt;=$B$7,$B$6,$B$8))</f>
        <v>0.52795477288120429</v>
      </c>
      <c r="AK129" s="54">
        <f t="shared" si="38"/>
        <v>0.5201524855972457</v>
      </c>
      <c r="AL129" s="54">
        <f t="shared" si="38"/>
        <v>0.51246550305147365</v>
      </c>
      <c r="AM129" s="54">
        <f t="shared" si="38"/>
        <v>0.504892121232979</v>
      </c>
      <c r="AN129" s="54">
        <f t="shared" si="38"/>
        <v>0.49743066131327984</v>
      </c>
      <c r="AO129" s="54">
        <f t="shared" si="38"/>
        <v>0.4900794692741674</v>
      </c>
      <c r="AP129" s="54">
        <f t="shared" si="38"/>
        <v>0.48283691554105168</v>
      </c>
      <c r="AQ129" s="54">
        <f t="shared" si="38"/>
        <v>0.47570139462172584</v>
      </c>
      <c r="AR129" s="54">
        <f t="shared" si="38"/>
        <v>0.46867132475046885</v>
      </c>
      <c r="AS129" s="54">
        <f t="shared" si="38"/>
        <v>0.46174514753740781</v>
      </c>
      <c r="AT129" s="54">
        <f t="shared" si="38"/>
        <v>0.45492132762306192</v>
      </c>
      <c r="AU129" s="54">
        <f t="shared" si="38"/>
        <v>0.4481983523379921</v>
      </c>
      <c r="AV129" s="54">
        <f t="shared" si="38"/>
        <v>0.44157473136747993</v>
      </c>
      <c r="AW129" s="54">
        <f t="shared" si="38"/>
        <v>0.43504899642116251</v>
      </c>
      <c r="AX129" s="54">
        <f t="shared" si="38"/>
        <v>0.42861970090754931</v>
      </c>
      <c r="AY129" s="54">
        <f t="shared" si="38"/>
        <v>0.42228541961334909</v>
      </c>
      <c r="AZ129" s="54">
        <f t="shared" si="38"/>
        <v>0.41604474838753608</v>
      </c>
      <c r="BA129" s="54">
        <f t="shared" si="38"/>
        <v>0.40989630383008485</v>
      </c>
      <c r="BB129" s="54">
        <f t="shared" si="38"/>
        <v>0.40383872298530532</v>
      </c>
      <c r="BC129" s="54">
        <f t="shared" si="38"/>
        <v>0.39787066303970969</v>
      </c>
      <c r="BD129" s="54">
        <f t="shared" si="38"/>
        <v>0.39199080102434458</v>
      </c>
      <c r="BE129" s="54">
        <f t="shared" si="38"/>
        <v>0.38619783352152182</v>
      </c>
      <c r="BF129" s="54">
        <f t="shared" si="38"/>
        <v>0.38049047637588362</v>
      </c>
      <c r="BG129" s="54">
        <f t="shared" si="38"/>
        <v>0.37486746440973762</v>
      </c>
      <c r="BH129" s="54">
        <f t="shared" si="38"/>
        <v>0.36932755114259869</v>
      </c>
      <c r="BI129" s="54">
        <f t="shared" si="38"/>
        <v>0.36386950851487559</v>
      </c>
      <c r="BJ129" s="54">
        <f t="shared" si="38"/>
        <v>0.358492126615641</v>
      </c>
    </row>
    <row r="131" spans="1:62" x14ac:dyDescent="0.3">
      <c r="A131" s="4" t="s">
        <v>250</v>
      </c>
    </row>
    <row r="132" spans="1:62" x14ac:dyDescent="0.3">
      <c r="A132" s="53" t="str">
        <f t="shared" ref="A132:A163" si="39">A24</f>
        <v>project 1</v>
      </c>
      <c r="C132" s="55">
        <f t="shared" ref="C132:AH132" si="40">IF(AND(C$127&gt;=$I24,C$127&lt;$I24+$F24),INDEX($T24:$AI24,C$127-$I24+1),0)</f>
        <v>0</v>
      </c>
      <c r="D132" s="55">
        <f t="shared" si="40"/>
        <v>0</v>
      </c>
      <c r="E132" s="55">
        <f t="shared" si="40"/>
        <v>0</v>
      </c>
      <c r="F132" s="55">
        <f t="shared" si="40"/>
        <v>0</v>
      </c>
      <c r="G132" s="55">
        <f t="shared" si="40"/>
        <v>0</v>
      </c>
      <c r="H132" s="55">
        <f t="shared" si="40"/>
        <v>0</v>
      </c>
      <c r="I132" s="55">
        <f t="shared" si="40"/>
        <v>0</v>
      </c>
      <c r="J132" s="55">
        <f t="shared" si="40"/>
        <v>0</v>
      </c>
      <c r="K132" s="55">
        <f t="shared" si="40"/>
        <v>0</v>
      </c>
      <c r="L132" s="55">
        <f t="shared" si="40"/>
        <v>0</v>
      </c>
      <c r="M132" s="55">
        <f t="shared" si="40"/>
        <v>0</v>
      </c>
      <c r="N132" s="55">
        <f t="shared" si="40"/>
        <v>0</v>
      </c>
      <c r="O132" s="55">
        <f t="shared" si="40"/>
        <v>0</v>
      </c>
      <c r="P132" s="55">
        <f t="shared" si="40"/>
        <v>0</v>
      </c>
      <c r="Q132" s="55">
        <f t="shared" si="40"/>
        <v>0.65026099999999998</v>
      </c>
      <c r="R132" s="55">
        <f t="shared" si="40"/>
        <v>2.338245098039216</v>
      </c>
      <c r="S132" s="55">
        <f t="shared" si="40"/>
        <v>9.1310880430603625</v>
      </c>
      <c r="T132" s="55">
        <f t="shared" si="40"/>
        <v>13.55277853163564</v>
      </c>
      <c r="U132" s="55">
        <f t="shared" si="40"/>
        <v>10.14545890802062</v>
      </c>
      <c r="V132" s="55">
        <f t="shared" si="40"/>
        <v>0.51172069866851577</v>
      </c>
      <c r="W132" s="55">
        <f t="shared" si="40"/>
        <v>0</v>
      </c>
      <c r="X132" s="55">
        <f t="shared" si="40"/>
        <v>0</v>
      </c>
      <c r="Y132" s="55">
        <f t="shared" si="40"/>
        <v>0</v>
      </c>
      <c r="Z132" s="55">
        <f t="shared" si="40"/>
        <v>0</v>
      </c>
      <c r="AA132" s="55">
        <f t="shared" si="40"/>
        <v>0</v>
      </c>
      <c r="AB132" s="55">
        <f t="shared" si="40"/>
        <v>0</v>
      </c>
      <c r="AC132" s="55">
        <f t="shared" si="40"/>
        <v>0</v>
      </c>
      <c r="AD132" s="55">
        <f t="shared" si="40"/>
        <v>0</v>
      </c>
      <c r="AE132" s="55">
        <f t="shared" si="40"/>
        <v>0</v>
      </c>
      <c r="AF132" s="55">
        <f t="shared" si="40"/>
        <v>0</v>
      </c>
      <c r="AG132" s="55">
        <f t="shared" si="40"/>
        <v>0</v>
      </c>
      <c r="AH132" s="55">
        <f t="shared" si="40"/>
        <v>0</v>
      </c>
      <c r="AI132" s="55">
        <f t="shared" ref="AI132:BJ132" si="41">IF(AND(AI$127&gt;=$I24,AI$127&lt;$I24+$F24),INDEX($T24:$AI24,AI$127-$I24+1),0)</f>
        <v>0</v>
      </c>
      <c r="AJ132" s="55">
        <f t="shared" si="41"/>
        <v>0</v>
      </c>
      <c r="AK132" s="55">
        <f t="shared" si="41"/>
        <v>0</v>
      </c>
      <c r="AL132" s="55">
        <f t="shared" si="41"/>
        <v>0</v>
      </c>
      <c r="AM132" s="55">
        <f t="shared" si="41"/>
        <v>0</v>
      </c>
      <c r="AN132" s="55">
        <f t="shared" si="41"/>
        <v>0</v>
      </c>
      <c r="AO132" s="55">
        <f t="shared" si="41"/>
        <v>0</v>
      </c>
      <c r="AP132" s="55">
        <f t="shared" si="41"/>
        <v>0</v>
      </c>
      <c r="AQ132" s="55">
        <f t="shared" si="41"/>
        <v>0</v>
      </c>
      <c r="AR132" s="55">
        <f t="shared" si="41"/>
        <v>0</v>
      </c>
      <c r="AS132" s="55">
        <f t="shared" si="41"/>
        <v>0</v>
      </c>
      <c r="AT132" s="55">
        <f t="shared" si="41"/>
        <v>0</v>
      </c>
      <c r="AU132" s="55">
        <f t="shared" si="41"/>
        <v>0</v>
      </c>
      <c r="AV132" s="55">
        <f t="shared" si="41"/>
        <v>0</v>
      </c>
      <c r="AW132" s="55">
        <f t="shared" si="41"/>
        <v>0</v>
      </c>
      <c r="AX132" s="55">
        <f t="shared" si="41"/>
        <v>0</v>
      </c>
      <c r="AY132" s="55">
        <f t="shared" si="41"/>
        <v>0</v>
      </c>
      <c r="AZ132" s="55">
        <f t="shared" si="41"/>
        <v>0</v>
      </c>
      <c r="BA132" s="55">
        <f t="shared" si="41"/>
        <v>0</v>
      </c>
      <c r="BB132" s="55">
        <f t="shared" si="41"/>
        <v>0</v>
      </c>
      <c r="BC132" s="55">
        <f t="shared" si="41"/>
        <v>0</v>
      </c>
      <c r="BD132" s="55">
        <f t="shared" si="41"/>
        <v>0</v>
      </c>
      <c r="BE132" s="55">
        <f t="shared" si="41"/>
        <v>0</v>
      </c>
      <c r="BF132" s="55">
        <f t="shared" si="41"/>
        <v>0</v>
      </c>
      <c r="BG132" s="55">
        <f t="shared" si="41"/>
        <v>0</v>
      </c>
      <c r="BH132" s="55">
        <f t="shared" si="41"/>
        <v>0</v>
      </c>
      <c r="BI132" s="55">
        <f t="shared" si="41"/>
        <v>0</v>
      </c>
      <c r="BJ132" s="55">
        <f t="shared" si="41"/>
        <v>0</v>
      </c>
    </row>
    <row r="133" spans="1:62" x14ac:dyDescent="0.3">
      <c r="A133" s="53" t="str">
        <f t="shared" si="39"/>
        <v>project 4</v>
      </c>
      <c r="C133" s="55">
        <f t="shared" ref="C133:AH133" si="42">IF(AND(C$127&gt;=$I25,C$127&lt;$I25+$F25),INDEX($T25:$AI25,C$127-$I25+1),0)</f>
        <v>1.4237390000000001</v>
      </c>
      <c r="D133" s="55">
        <f t="shared" si="42"/>
        <v>0.25980392156862742</v>
      </c>
      <c r="E133" s="55">
        <f t="shared" si="42"/>
        <v>0</v>
      </c>
      <c r="F133" s="55">
        <f t="shared" si="42"/>
        <v>0</v>
      </c>
      <c r="G133" s="55">
        <f t="shared" si="42"/>
        <v>0</v>
      </c>
      <c r="H133" s="55">
        <f t="shared" si="42"/>
        <v>0</v>
      </c>
      <c r="I133" s="55">
        <f t="shared" si="42"/>
        <v>0</v>
      </c>
      <c r="J133" s="55">
        <f t="shared" si="42"/>
        <v>0</v>
      </c>
      <c r="K133" s="55">
        <f t="shared" si="42"/>
        <v>0</v>
      </c>
      <c r="L133" s="55">
        <f t="shared" si="42"/>
        <v>0</v>
      </c>
      <c r="M133" s="55">
        <f t="shared" si="42"/>
        <v>0</v>
      </c>
      <c r="N133" s="55">
        <f t="shared" si="42"/>
        <v>0</v>
      </c>
      <c r="O133" s="55">
        <f t="shared" si="42"/>
        <v>0</v>
      </c>
      <c r="P133" s="55">
        <f t="shared" si="42"/>
        <v>0</v>
      </c>
      <c r="Q133" s="55">
        <f t="shared" si="42"/>
        <v>0</v>
      </c>
      <c r="R133" s="55">
        <f t="shared" si="42"/>
        <v>0</v>
      </c>
      <c r="S133" s="55">
        <f t="shared" si="42"/>
        <v>0</v>
      </c>
      <c r="T133" s="55">
        <f t="shared" si="42"/>
        <v>0</v>
      </c>
      <c r="U133" s="55">
        <f t="shared" si="42"/>
        <v>0</v>
      </c>
      <c r="V133" s="55">
        <f t="shared" si="42"/>
        <v>0</v>
      </c>
      <c r="W133" s="55">
        <f t="shared" si="42"/>
        <v>0</v>
      </c>
      <c r="X133" s="55">
        <f t="shared" si="42"/>
        <v>0</v>
      </c>
      <c r="Y133" s="55">
        <f t="shared" si="42"/>
        <v>0</v>
      </c>
      <c r="Z133" s="55">
        <f t="shared" si="42"/>
        <v>0</v>
      </c>
      <c r="AA133" s="55">
        <f t="shared" si="42"/>
        <v>0</v>
      </c>
      <c r="AB133" s="55">
        <f t="shared" si="42"/>
        <v>0</v>
      </c>
      <c r="AC133" s="55">
        <f t="shared" si="42"/>
        <v>0</v>
      </c>
      <c r="AD133" s="55">
        <f t="shared" si="42"/>
        <v>0</v>
      </c>
      <c r="AE133" s="55">
        <f t="shared" si="42"/>
        <v>0</v>
      </c>
      <c r="AF133" s="55">
        <f t="shared" si="42"/>
        <v>0</v>
      </c>
      <c r="AG133" s="55">
        <f t="shared" si="42"/>
        <v>0</v>
      </c>
      <c r="AH133" s="55">
        <f t="shared" si="42"/>
        <v>0</v>
      </c>
      <c r="AI133" s="55">
        <f t="shared" ref="AI133:BJ133" si="43">IF(AND(AI$127&gt;=$I25,AI$127&lt;$I25+$F25),INDEX($T25:$AI25,AI$127-$I25+1),0)</f>
        <v>0</v>
      </c>
      <c r="AJ133" s="55">
        <f t="shared" si="43"/>
        <v>0</v>
      </c>
      <c r="AK133" s="55">
        <f t="shared" si="43"/>
        <v>0</v>
      </c>
      <c r="AL133" s="55">
        <f t="shared" si="43"/>
        <v>0</v>
      </c>
      <c r="AM133" s="55">
        <f t="shared" si="43"/>
        <v>0</v>
      </c>
      <c r="AN133" s="55">
        <f t="shared" si="43"/>
        <v>0</v>
      </c>
      <c r="AO133" s="55">
        <f t="shared" si="43"/>
        <v>0</v>
      </c>
      <c r="AP133" s="55">
        <f t="shared" si="43"/>
        <v>0</v>
      </c>
      <c r="AQ133" s="55">
        <f t="shared" si="43"/>
        <v>0</v>
      </c>
      <c r="AR133" s="55">
        <f t="shared" si="43"/>
        <v>0</v>
      </c>
      <c r="AS133" s="55">
        <f t="shared" si="43"/>
        <v>0</v>
      </c>
      <c r="AT133" s="55">
        <f t="shared" si="43"/>
        <v>0</v>
      </c>
      <c r="AU133" s="55">
        <f t="shared" si="43"/>
        <v>0</v>
      </c>
      <c r="AV133" s="55">
        <f t="shared" si="43"/>
        <v>0</v>
      </c>
      <c r="AW133" s="55">
        <f t="shared" si="43"/>
        <v>0</v>
      </c>
      <c r="AX133" s="55">
        <f t="shared" si="43"/>
        <v>0</v>
      </c>
      <c r="AY133" s="55">
        <f t="shared" si="43"/>
        <v>0</v>
      </c>
      <c r="AZ133" s="55">
        <f t="shared" si="43"/>
        <v>0</v>
      </c>
      <c r="BA133" s="55">
        <f t="shared" si="43"/>
        <v>0</v>
      </c>
      <c r="BB133" s="55">
        <f t="shared" si="43"/>
        <v>0</v>
      </c>
      <c r="BC133" s="55">
        <f t="shared" si="43"/>
        <v>0</v>
      </c>
      <c r="BD133" s="55">
        <f t="shared" si="43"/>
        <v>0</v>
      </c>
      <c r="BE133" s="55">
        <f t="shared" si="43"/>
        <v>0</v>
      </c>
      <c r="BF133" s="55">
        <f t="shared" si="43"/>
        <v>0</v>
      </c>
      <c r="BG133" s="55">
        <f t="shared" si="43"/>
        <v>0</v>
      </c>
      <c r="BH133" s="55">
        <f t="shared" si="43"/>
        <v>0</v>
      </c>
      <c r="BI133" s="55">
        <f t="shared" si="43"/>
        <v>0</v>
      </c>
      <c r="BJ133" s="55">
        <f t="shared" si="43"/>
        <v>0</v>
      </c>
    </row>
    <row r="134" spans="1:62" x14ac:dyDescent="0.3">
      <c r="A134" s="53" t="str">
        <f t="shared" si="39"/>
        <v>project 7</v>
      </c>
      <c r="C134" s="55">
        <f t="shared" ref="C134:AH134" si="44">IF(AND(C$127&gt;=$I26,C$127&lt;$I26+$F26),INDEX($T26:$AI26,C$127-$I26+1),0)</f>
        <v>0</v>
      </c>
      <c r="D134" s="55">
        <f t="shared" si="44"/>
        <v>0</v>
      </c>
      <c r="E134" s="55">
        <f t="shared" si="44"/>
        <v>0</v>
      </c>
      <c r="F134" s="55">
        <f t="shared" si="44"/>
        <v>0</v>
      </c>
      <c r="G134" s="55">
        <f t="shared" si="44"/>
        <v>0</v>
      </c>
      <c r="H134" s="55">
        <f t="shared" si="44"/>
        <v>0</v>
      </c>
      <c r="I134" s="55">
        <f t="shared" si="44"/>
        <v>0</v>
      </c>
      <c r="J134" s="55">
        <f t="shared" si="44"/>
        <v>0</v>
      </c>
      <c r="K134" s="55">
        <f t="shared" si="44"/>
        <v>0</v>
      </c>
      <c r="L134" s="55">
        <f t="shared" si="44"/>
        <v>0</v>
      </c>
      <c r="M134" s="55">
        <f t="shared" si="44"/>
        <v>0</v>
      </c>
      <c r="N134" s="55">
        <f t="shared" si="44"/>
        <v>0</v>
      </c>
      <c r="O134" s="55">
        <f t="shared" si="44"/>
        <v>0</v>
      </c>
      <c r="P134" s="55">
        <f t="shared" si="44"/>
        <v>0</v>
      </c>
      <c r="Q134" s="55">
        <f t="shared" si="44"/>
        <v>0</v>
      </c>
      <c r="R134" s="55">
        <f t="shared" si="44"/>
        <v>0</v>
      </c>
      <c r="S134" s="55">
        <f t="shared" si="44"/>
        <v>0</v>
      </c>
      <c r="T134" s="55">
        <f t="shared" si="44"/>
        <v>0</v>
      </c>
      <c r="U134" s="55">
        <f t="shared" si="44"/>
        <v>0</v>
      </c>
      <c r="V134" s="55">
        <f t="shared" si="44"/>
        <v>7.63</v>
      </c>
      <c r="W134" s="55">
        <f t="shared" si="44"/>
        <v>0</v>
      </c>
      <c r="X134" s="55">
        <f t="shared" si="44"/>
        <v>0</v>
      </c>
      <c r="Y134" s="55">
        <f t="shared" si="44"/>
        <v>0</v>
      </c>
      <c r="Z134" s="55">
        <f t="shared" si="44"/>
        <v>0</v>
      </c>
      <c r="AA134" s="55">
        <f t="shared" si="44"/>
        <v>0</v>
      </c>
      <c r="AB134" s="55">
        <f t="shared" si="44"/>
        <v>0</v>
      </c>
      <c r="AC134" s="55">
        <f t="shared" si="44"/>
        <v>0</v>
      </c>
      <c r="AD134" s="55">
        <f t="shared" si="44"/>
        <v>0</v>
      </c>
      <c r="AE134" s="55">
        <f t="shared" si="44"/>
        <v>0</v>
      </c>
      <c r="AF134" s="55">
        <f t="shared" si="44"/>
        <v>0</v>
      </c>
      <c r="AG134" s="55">
        <f t="shared" si="44"/>
        <v>0</v>
      </c>
      <c r="AH134" s="55">
        <f t="shared" si="44"/>
        <v>0</v>
      </c>
      <c r="AI134" s="55">
        <f t="shared" ref="AI134:BJ134" si="45">IF(AND(AI$127&gt;=$I26,AI$127&lt;$I26+$F26),INDEX($T26:$AI26,AI$127-$I26+1),0)</f>
        <v>0</v>
      </c>
      <c r="AJ134" s="55">
        <f t="shared" si="45"/>
        <v>0</v>
      </c>
      <c r="AK134" s="55">
        <f t="shared" si="45"/>
        <v>0</v>
      </c>
      <c r="AL134" s="55">
        <f t="shared" si="45"/>
        <v>0</v>
      </c>
      <c r="AM134" s="55">
        <f t="shared" si="45"/>
        <v>0</v>
      </c>
      <c r="AN134" s="55">
        <f t="shared" si="45"/>
        <v>0</v>
      </c>
      <c r="AO134" s="55">
        <f t="shared" si="45"/>
        <v>0</v>
      </c>
      <c r="AP134" s="55">
        <f t="shared" si="45"/>
        <v>0</v>
      </c>
      <c r="AQ134" s="55">
        <f t="shared" si="45"/>
        <v>0</v>
      </c>
      <c r="AR134" s="55">
        <f t="shared" si="45"/>
        <v>0</v>
      </c>
      <c r="AS134" s="55">
        <f t="shared" si="45"/>
        <v>0</v>
      </c>
      <c r="AT134" s="55">
        <f t="shared" si="45"/>
        <v>0</v>
      </c>
      <c r="AU134" s="55">
        <f t="shared" si="45"/>
        <v>0</v>
      </c>
      <c r="AV134" s="55">
        <f t="shared" si="45"/>
        <v>0</v>
      </c>
      <c r="AW134" s="55">
        <f t="shared" si="45"/>
        <v>0</v>
      </c>
      <c r="AX134" s="55">
        <f t="shared" si="45"/>
        <v>0</v>
      </c>
      <c r="AY134" s="55">
        <f t="shared" si="45"/>
        <v>0</v>
      </c>
      <c r="AZ134" s="55">
        <f t="shared" si="45"/>
        <v>0</v>
      </c>
      <c r="BA134" s="55">
        <f t="shared" si="45"/>
        <v>0</v>
      </c>
      <c r="BB134" s="55">
        <f t="shared" si="45"/>
        <v>0</v>
      </c>
      <c r="BC134" s="55">
        <f t="shared" si="45"/>
        <v>0</v>
      </c>
      <c r="BD134" s="55">
        <f t="shared" si="45"/>
        <v>0</v>
      </c>
      <c r="BE134" s="55">
        <f t="shared" si="45"/>
        <v>0</v>
      </c>
      <c r="BF134" s="55">
        <f t="shared" si="45"/>
        <v>0</v>
      </c>
      <c r="BG134" s="55">
        <f t="shared" si="45"/>
        <v>0</v>
      </c>
      <c r="BH134" s="55">
        <f t="shared" si="45"/>
        <v>0</v>
      </c>
      <c r="BI134" s="55">
        <f t="shared" si="45"/>
        <v>0</v>
      </c>
      <c r="BJ134" s="55">
        <f t="shared" si="45"/>
        <v>0</v>
      </c>
    </row>
    <row r="135" spans="1:62" x14ac:dyDescent="0.3">
      <c r="A135" s="53" t="str">
        <f t="shared" si="39"/>
        <v>project 8</v>
      </c>
      <c r="C135" s="55">
        <f t="shared" ref="C135:AH135" si="46">IF(AND(C$127&gt;=$I27,C$127&lt;$I27+$F27),INDEX($T27:$AI27,C$127-$I27+1),0)</f>
        <v>0</v>
      </c>
      <c r="D135" s="55">
        <f t="shared" si="46"/>
        <v>0</v>
      </c>
      <c r="E135" s="55">
        <f t="shared" si="46"/>
        <v>0</v>
      </c>
      <c r="F135" s="55">
        <f t="shared" si="46"/>
        <v>0</v>
      </c>
      <c r="G135" s="55">
        <f t="shared" si="46"/>
        <v>0</v>
      </c>
      <c r="H135" s="55">
        <f t="shared" si="46"/>
        <v>0</v>
      </c>
      <c r="I135" s="55">
        <f t="shared" si="46"/>
        <v>0</v>
      </c>
      <c r="J135" s="55">
        <f t="shared" si="46"/>
        <v>0</v>
      </c>
      <c r="K135" s="55">
        <f t="shared" si="46"/>
        <v>0</v>
      </c>
      <c r="L135" s="55">
        <f t="shared" si="46"/>
        <v>0</v>
      </c>
      <c r="M135" s="55">
        <f t="shared" si="46"/>
        <v>0</v>
      </c>
      <c r="N135" s="55">
        <f t="shared" si="46"/>
        <v>0</v>
      </c>
      <c r="O135" s="55">
        <f t="shared" si="46"/>
        <v>0</v>
      </c>
      <c r="P135" s="55">
        <f t="shared" si="46"/>
        <v>0</v>
      </c>
      <c r="Q135" s="55">
        <f t="shared" si="46"/>
        <v>0</v>
      </c>
      <c r="R135" s="55">
        <f t="shared" si="46"/>
        <v>0</v>
      </c>
      <c r="S135" s="55">
        <f t="shared" si="46"/>
        <v>0</v>
      </c>
      <c r="T135" s="55">
        <f t="shared" si="46"/>
        <v>0</v>
      </c>
      <c r="U135" s="55">
        <f t="shared" si="46"/>
        <v>0</v>
      </c>
      <c r="V135" s="55">
        <f t="shared" si="46"/>
        <v>5.45</v>
      </c>
      <c r="W135" s="55">
        <f t="shared" si="46"/>
        <v>0</v>
      </c>
      <c r="X135" s="55">
        <f t="shared" si="46"/>
        <v>0</v>
      </c>
      <c r="Y135" s="55">
        <f t="shared" si="46"/>
        <v>0</v>
      </c>
      <c r="Z135" s="55">
        <f t="shared" si="46"/>
        <v>0</v>
      </c>
      <c r="AA135" s="55">
        <f t="shared" si="46"/>
        <v>0</v>
      </c>
      <c r="AB135" s="55">
        <f t="shared" si="46"/>
        <v>0</v>
      </c>
      <c r="AC135" s="55">
        <f t="shared" si="46"/>
        <v>0</v>
      </c>
      <c r="AD135" s="55">
        <f t="shared" si="46"/>
        <v>0</v>
      </c>
      <c r="AE135" s="55">
        <f t="shared" si="46"/>
        <v>0</v>
      </c>
      <c r="AF135" s="55">
        <f t="shared" si="46"/>
        <v>0</v>
      </c>
      <c r="AG135" s="55">
        <f t="shared" si="46"/>
        <v>0</v>
      </c>
      <c r="AH135" s="55">
        <f t="shared" si="46"/>
        <v>0</v>
      </c>
      <c r="AI135" s="55">
        <f t="shared" ref="AI135:BJ135" si="47">IF(AND(AI$127&gt;=$I27,AI$127&lt;$I27+$F27),INDEX($T27:$AI27,AI$127-$I27+1),0)</f>
        <v>0</v>
      </c>
      <c r="AJ135" s="55">
        <f t="shared" si="47"/>
        <v>0</v>
      </c>
      <c r="AK135" s="55">
        <f t="shared" si="47"/>
        <v>0</v>
      </c>
      <c r="AL135" s="55">
        <f t="shared" si="47"/>
        <v>0</v>
      </c>
      <c r="AM135" s="55">
        <f t="shared" si="47"/>
        <v>0</v>
      </c>
      <c r="AN135" s="55">
        <f t="shared" si="47"/>
        <v>0</v>
      </c>
      <c r="AO135" s="55">
        <f t="shared" si="47"/>
        <v>0</v>
      </c>
      <c r="AP135" s="55">
        <f t="shared" si="47"/>
        <v>0</v>
      </c>
      <c r="AQ135" s="55">
        <f t="shared" si="47"/>
        <v>0</v>
      </c>
      <c r="AR135" s="55">
        <f t="shared" si="47"/>
        <v>0</v>
      </c>
      <c r="AS135" s="55">
        <f t="shared" si="47"/>
        <v>0</v>
      </c>
      <c r="AT135" s="55">
        <f t="shared" si="47"/>
        <v>0</v>
      </c>
      <c r="AU135" s="55">
        <f t="shared" si="47"/>
        <v>0</v>
      </c>
      <c r="AV135" s="55">
        <f t="shared" si="47"/>
        <v>0</v>
      </c>
      <c r="AW135" s="55">
        <f t="shared" si="47"/>
        <v>0</v>
      </c>
      <c r="AX135" s="55">
        <f t="shared" si="47"/>
        <v>0</v>
      </c>
      <c r="AY135" s="55">
        <f t="shared" si="47"/>
        <v>0</v>
      </c>
      <c r="AZ135" s="55">
        <f t="shared" si="47"/>
        <v>0</v>
      </c>
      <c r="BA135" s="55">
        <f t="shared" si="47"/>
        <v>0</v>
      </c>
      <c r="BB135" s="55">
        <f t="shared" si="47"/>
        <v>0</v>
      </c>
      <c r="BC135" s="55">
        <f t="shared" si="47"/>
        <v>0</v>
      </c>
      <c r="BD135" s="55">
        <f t="shared" si="47"/>
        <v>0</v>
      </c>
      <c r="BE135" s="55">
        <f t="shared" si="47"/>
        <v>0</v>
      </c>
      <c r="BF135" s="55">
        <f t="shared" si="47"/>
        <v>0</v>
      </c>
      <c r="BG135" s="55">
        <f t="shared" si="47"/>
        <v>0</v>
      </c>
      <c r="BH135" s="55">
        <f t="shared" si="47"/>
        <v>0</v>
      </c>
      <c r="BI135" s="55">
        <f t="shared" si="47"/>
        <v>0</v>
      </c>
      <c r="BJ135" s="55">
        <f t="shared" si="47"/>
        <v>0</v>
      </c>
    </row>
    <row r="136" spans="1:62" x14ac:dyDescent="0.3">
      <c r="A136" s="53" t="str">
        <f t="shared" si="39"/>
        <v>project 9</v>
      </c>
      <c r="C136" s="55">
        <f t="shared" ref="C136:AH136" si="48">IF(AND(C$127&gt;=$I28,C$127&lt;$I28+$F28),INDEX($T28:$AI28,C$127-$I28+1),0)</f>
        <v>0</v>
      </c>
      <c r="D136" s="55">
        <f t="shared" si="48"/>
        <v>0</v>
      </c>
      <c r="E136" s="55">
        <f t="shared" si="48"/>
        <v>0</v>
      </c>
      <c r="F136" s="55">
        <f t="shared" si="48"/>
        <v>4.3600000000000003</v>
      </c>
      <c r="G136" s="55">
        <f t="shared" si="48"/>
        <v>0</v>
      </c>
      <c r="H136" s="55">
        <f t="shared" si="48"/>
        <v>0</v>
      </c>
      <c r="I136" s="55">
        <f t="shared" si="48"/>
        <v>0</v>
      </c>
      <c r="J136" s="55">
        <f t="shared" si="48"/>
        <v>0</v>
      </c>
      <c r="K136" s="55">
        <f t="shared" si="48"/>
        <v>0</v>
      </c>
      <c r="L136" s="55">
        <f t="shared" si="48"/>
        <v>0</v>
      </c>
      <c r="M136" s="55">
        <f t="shared" si="48"/>
        <v>0</v>
      </c>
      <c r="N136" s="55">
        <f t="shared" si="48"/>
        <v>0</v>
      </c>
      <c r="O136" s="55">
        <f t="shared" si="48"/>
        <v>0</v>
      </c>
      <c r="P136" s="55">
        <f t="shared" si="48"/>
        <v>0</v>
      </c>
      <c r="Q136" s="55">
        <f t="shared" si="48"/>
        <v>0</v>
      </c>
      <c r="R136" s="55">
        <f t="shared" si="48"/>
        <v>0</v>
      </c>
      <c r="S136" s="55">
        <f t="shared" si="48"/>
        <v>0</v>
      </c>
      <c r="T136" s="55">
        <f t="shared" si="48"/>
        <v>0</v>
      </c>
      <c r="U136" s="55">
        <f t="shared" si="48"/>
        <v>0</v>
      </c>
      <c r="V136" s="55">
        <f t="shared" si="48"/>
        <v>0</v>
      </c>
      <c r="W136" s="55">
        <f t="shared" si="48"/>
        <v>0</v>
      </c>
      <c r="X136" s="55">
        <f t="shared" si="48"/>
        <v>0</v>
      </c>
      <c r="Y136" s="55">
        <f t="shared" si="48"/>
        <v>0</v>
      </c>
      <c r="Z136" s="55">
        <f t="shared" si="48"/>
        <v>0</v>
      </c>
      <c r="AA136" s="55">
        <f t="shared" si="48"/>
        <v>0</v>
      </c>
      <c r="AB136" s="55">
        <f t="shared" si="48"/>
        <v>0</v>
      </c>
      <c r="AC136" s="55">
        <f t="shared" si="48"/>
        <v>0</v>
      </c>
      <c r="AD136" s="55">
        <f t="shared" si="48"/>
        <v>0</v>
      </c>
      <c r="AE136" s="55">
        <f t="shared" si="48"/>
        <v>0</v>
      </c>
      <c r="AF136" s="55">
        <f t="shared" si="48"/>
        <v>0</v>
      </c>
      <c r="AG136" s="55">
        <f t="shared" si="48"/>
        <v>0</v>
      </c>
      <c r="AH136" s="55">
        <f t="shared" si="48"/>
        <v>0</v>
      </c>
      <c r="AI136" s="55">
        <f t="shared" ref="AI136:BJ136" si="49">IF(AND(AI$127&gt;=$I28,AI$127&lt;$I28+$F28),INDEX($T28:$AI28,AI$127-$I28+1),0)</f>
        <v>0</v>
      </c>
      <c r="AJ136" s="55">
        <f t="shared" si="49"/>
        <v>0</v>
      </c>
      <c r="AK136" s="55">
        <f t="shared" si="49"/>
        <v>0</v>
      </c>
      <c r="AL136" s="55">
        <f t="shared" si="49"/>
        <v>0</v>
      </c>
      <c r="AM136" s="55">
        <f t="shared" si="49"/>
        <v>0</v>
      </c>
      <c r="AN136" s="55">
        <f t="shared" si="49"/>
        <v>0</v>
      </c>
      <c r="AO136" s="55">
        <f t="shared" si="49"/>
        <v>0</v>
      </c>
      <c r="AP136" s="55">
        <f t="shared" si="49"/>
        <v>0</v>
      </c>
      <c r="AQ136" s="55">
        <f t="shared" si="49"/>
        <v>0</v>
      </c>
      <c r="AR136" s="55">
        <f t="shared" si="49"/>
        <v>0</v>
      </c>
      <c r="AS136" s="55">
        <f t="shared" si="49"/>
        <v>0</v>
      </c>
      <c r="AT136" s="55">
        <f t="shared" si="49"/>
        <v>0</v>
      </c>
      <c r="AU136" s="55">
        <f t="shared" si="49"/>
        <v>0</v>
      </c>
      <c r="AV136" s="55">
        <f t="shared" si="49"/>
        <v>0</v>
      </c>
      <c r="AW136" s="55">
        <f t="shared" si="49"/>
        <v>0</v>
      </c>
      <c r="AX136" s="55">
        <f t="shared" si="49"/>
        <v>0</v>
      </c>
      <c r="AY136" s="55">
        <f t="shared" si="49"/>
        <v>0</v>
      </c>
      <c r="AZ136" s="55">
        <f t="shared" si="49"/>
        <v>0</v>
      </c>
      <c r="BA136" s="55">
        <f t="shared" si="49"/>
        <v>0</v>
      </c>
      <c r="BB136" s="55">
        <f t="shared" si="49"/>
        <v>0</v>
      </c>
      <c r="BC136" s="55">
        <f t="shared" si="49"/>
        <v>0</v>
      </c>
      <c r="BD136" s="55">
        <f t="shared" si="49"/>
        <v>0</v>
      </c>
      <c r="BE136" s="55">
        <f t="shared" si="49"/>
        <v>0</v>
      </c>
      <c r="BF136" s="55">
        <f t="shared" si="49"/>
        <v>0</v>
      </c>
      <c r="BG136" s="55">
        <f t="shared" si="49"/>
        <v>0</v>
      </c>
      <c r="BH136" s="55">
        <f t="shared" si="49"/>
        <v>0</v>
      </c>
      <c r="BI136" s="55">
        <f t="shared" si="49"/>
        <v>0</v>
      </c>
      <c r="BJ136" s="55">
        <f t="shared" si="49"/>
        <v>0</v>
      </c>
    </row>
    <row r="137" spans="1:62" x14ac:dyDescent="0.3">
      <c r="A137" s="53" t="str">
        <f t="shared" si="39"/>
        <v>project 12</v>
      </c>
      <c r="C137" s="55">
        <f t="shared" ref="C137:AH137" si="50">IF(AND(C$127&gt;=$I29,C$127&lt;$I29+$F29),INDEX($T29:$AI29,C$127-$I29+1),0)</f>
        <v>0</v>
      </c>
      <c r="D137" s="55">
        <f t="shared" si="50"/>
        <v>0</v>
      </c>
      <c r="E137" s="55">
        <f t="shared" si="50"/>
        <v>0</v>
      </c>
      <c r="F137" s="55">
        <f t="shared" si="50"/>
        <v>0</v>
      </c>
      <c r="G137" s="55">
        <f t="shared" si="50"/>
        <v>0</v>
      </c>
      <c r="H137" s="55">
        <f t="shared" si="50"/>
        <v>0</v>
      </c>
      <c r="I137" s="55">
        <f t="shared" si="50"/>
        <v>0</v>
      </c>
      <c r="J137" s="55">
        <f t="shared" si="50"/>
        <v>0</v>
      </c>
      <c r="K137" s="55">
        <f t="shared" si="50"/>
        <v>0</v>
      </c>
      <c r="L137" s="55">
        <f t="shared" si="50"/>
        <v>0</v>
      </c>
      <c r="M137" s="55">
        <f t="shared" si="50"/>
        <v>0</v>
      </c>
      <c r="N137" s="55">
        <f t="shared" si="50"/>
        <v>0</v>
      </c>
      <c r="O137" s="55">
        <f t="shared" si="50"/>
        <v>0</v>
      </c>
      <c r="P137" s="55">
        <f t="shared" si="50"/>
        <v>0</v>
      </c>
      <c r="Q137" s="55">
        <f t="shared" si="50"/>
        <v>0</v>
      </c>
      <c r="R137" s="55">
        <f t="shared" si="50"/>
        <v>0</v>
      </c>
      <c r="S137" s="55">
        <f t="shared" si="50"/>
        <v>0</v>
      </c>
      <c r="T137" s="55">
        <f t="shared" si="50"/>
        <v>0</v>
      </c>
      <c r="U137" s="55">
        <f t="shared" si="50"/>
        <v>2.2890000000000001</v>
      </c>
      <c r="V137" s="55">
        <f t="shared" si="50"/>
        <v>0.69460784313725488</v>
      </c>
      <c r="W137" s="55">
        <f t="shared" si="50"/>
        <v>0</v>
      </c>
      <c r="X137" s="55">
        <f t="shared" si="50"/>
        <v>0</v>
      </c>
      <c r="Y137" s="55">
        <f t="shared" si="50"/>
        <v>0</v>
      </c>
      <c r="Z137" s="55">
        <f t="shared" si="50"/>
        <v>0</v>
      </c>
      <c r="AA137" s="55">
        <f t="shared" si="50"/>
        <v>0</v>
      </c>
      <c r="AB137" s="55">
        <f t="shared" si="50"/>
        <v>0</v>
      </c>
      <c r="AC137" s="55">
        <f t="shared" si="50"/>
        <v>0</v>
      </c>
      <c r="AD137" s="55">
        <f t="shared" si="50"/>
        <v>0</v>
      </c>
      <c r="AE137" s="55">
        <f t="shared" si="50"/>
        <v>0</v>
      </c>
      <c r="AF137" s="55">
        <f t="shared" si="50"/>
        <v>0</v>
      </c>
      <c r="AG137" s="55">
        <f t="shared" si="50"/>
        <v>0</v>
      </c>
      <c r="AH137" s="55">
        <f t="shared" si="50"/>
        <v>0</v>
      </c>
      <c r="AI137" s="55">
        <f t="shared" ref="AI137:BJ137" si="51">IF(AND(AI$127&gt;=$I29,AI$127&lt;$I29+$F29),INDEX($T29:$AI29,AI$127-$I29+1),0)</f>
        <v>0</v>
      </c>
      <c r="AJ137" s="55">
        <f t="shared" si="51"/>
        <v>0</v>
      </c>
      <c r="AK137" s="55">
        <f t="shared" si="51"/>
        <v>0</v>
      </c>
      <c r="AL137" s="55">
        <f t="shared" si="51"/>
        <v>0</v>
      </c>
      <c r="AM137" s="55">
        <f t="shared" si="51"/>
        <v>0</v>
      </c>
      <c r="AN137" s="55">
        <f t="shared" si="51"/>
        <v>0</v>
      </c>
      <c r="AO137" s="55">
        <f t="shared" si="51"/>
        <v>0</v>
      </c>
      <c r="AP137" s="55">
        <f t="shared" si="51"/>
        <v>0</v>
      </c>
      <c r="AQ137" s="55">
        <f t="shared" si="51"/>
        <v>0</v>
      </c>
      <c r="AR137" s="55">
        <f t="shared" si="51"/>
        <v>0</v>
      </c>
      <c r="AS137" s="55">
        <f t="shared" si="51"/>
        <v>0</v>
      </c>
      <c r="AT137" s="55">
        <f t="shared" si="51"/>
        <v>0</v>
      </c>
      <c r="AU137" s="55">
        <f t="shared" si="51"/>
        <v>0</v>
      </c>
      <c r="AV137" s="55">
        <f t="shared" si="51"/>
        <v>0</v>
      </c>
      <c r="AW137" s="55">
        <f t="shared" si="51"/>
        <v>0</v>
      </c>
      <c r="AX137" s="55">
        <f t="shared" si="51"/>
        <v>0</v>
      </c>
      <c r="AY137" s="55">
        <f t="shared" si="51"/>
        <v>0</v>
      </c>
      <c r="AZ137" s="55">
        <f t="shared" si="51"/>
        <v>0</v>
      </c>
      <c r="BA137" s="55">
        <f t="shared" si="51"/>
        <v>0</v>
      </c>
      <c r="BB137" s="55">
        <f t="shared" si="51"/>
        <v>0</v>
      </c>
      <c r="BC137" s="55">
        <f t="shared" si="51"/>
        <v>0</v>
      </c>
      <c r="BD137" s="55">
        <f t="shared" si="51"/>
        <v>0</v>
      </c>
      <c r="BE137" s="55">
        <f t="shared" si="51"/>
        <v>0</v>
      </c>
      <c r="BF137" s="55">
        <f t="shared" si="51"/>
        <v>0</v>
      </c>
      <c r="BG137" s="55">
        <f t="shared" si="51"/>
        <v>0</v>
      </c>
      <c r="BH137" s="55">
        <f t="shared" si="51"/>
        <v>0</v>
      </c>
      <c r="BI137" s="55">
        <f t="shared" si="51"/>
        <v>0</v>
      </c>
      <c r="BJ137" s="55">
        <f t="shared" si="51"/>
        <v>0</v>
      </c>
    </row>
    <row r="138" spans="1:62" x14ac:dyDescent="0.3">
      <c r="A138" s="53" t="str">
        <f t="shared" si="39"/>
        <v>project 16</v>
      </c>
      <c r="C138" s="55">
        <f t="shared" ref="C138:AH138" si="52">IF(AND(C$127&gt;=$I30,C$127&lt;$I30+$F30),INDEX($T30:$AI30,C$127-$I30+1),0)</f>
        <v>0</v>
      </c>
      <c r="D138" s="55">
        <f t="shared" si="52"/>
        <v>0</v>
      </c>
      <c r="E138" s="55">
        <f t="shared" si="52"/>
        <v>0</v>
      </c>
      <c r="F138" s="55">
        <f t="shared" si="52"/>
        <v>0</v>
      </c>
      <c r="G138" s="55">
        <f t="shared" si="52"/>
        <v>0</v>
      </c>
      <c r="H138" s="55">
        <f t="shared" si="52"/>
        <v>0</v>
      </c>
      <c r="I138" s="55">
        <f t="shared" si="52"/>
        <v>0</v>
      </c>
      <c r="J138" s="55">
        <f t="shared" si="52"/>
        <v>0</v>
      </c>
      <c r="K138" s="55">
        <f t="shared" si="52"/>
        <v>0</v>
      </c>
      <c r="L138" s="55">
        <f t="shared" si="52"/>
        <v>0</v>
      </c>
      <c r="M138" s="55">
        <f t="shared" si="52"/>
        <v>0</v>
      </c>
      <c r="N138" s="55">
        <f t="shared" si="52"/>
        <v>0</v>
      </c>
      <c r="O138" s="55">
        <f t="shared" si="52"/>
        <v>0</v>
      </c>
      <c r="P138" s="55">
        <f t="shared" si="52"/>
        <v>0</v>
      </c>
      <c r="Q138" s="55">
        <f t="shared" si="52"/>
        <v>0</v>
      </c>
      <c r="R138" s="55">
        <f t="shared" si="52"/>
        <v>0</v>
      </c>
      <c r="S138" s="55">
        <f t="shared" si="52"/>
        <v>0</v>
      </c>
      <c r="T138" s="55">
        <f t="shared" si="52"/>
        <v>0</v>
      </c>
      <c r="U138" s="55">
        <f t="shared" si="52"/>
        <v>0</v>
      </c>
      <c r="V138" s="55">
        <f t="shared" si="52"/>
        <v>2.4198</v>
      </c>
      <c r="W138" s="55">
        <f t="shared" si="52"/>
        <v>0</v>
      </c>
      <c r="X138" s="55">
        <f t="shared" si="52"/>
        <v>0</v>
      </c>
      <c r="Y138" s="55">
        <f t="shared" si="52"/>
        <v>0</v>
      </c>
      <c r="Z138" s="55">
        <f t="shared" si="52"/>
        <v>0</v>
      </c>
      <c r="AA138" s="55">
        <f t="shared" si="52"/>
        <v>0</v>
      </c>
      <c r="AB138" s="55">
        <f t="shared" si="52"/>
        <v>0</v>
      </c>
      <c r="AC138" s="55">
        <f t="shared" si="52"/>
        <v>0</v>
      </c>
      <c r="AD138" s="55">
        <f t="shared" si="52"/>
        <v>0</v>
      </c>
      <c r="AE138" s="55">
        <f t="shared" si="52"/>
        <v>0</v>
      </c>
      <c r="AF138" s="55">
        <f t="shared" si="52"/>
        <v>0</v>
      </c>
      <c r="AG138" s="55">
        <f t="shared" si="52"/>
        <v>0</v>
      </c>
      <c r="AH138" s="55">
        <f t="shared" si="52"/>
        <v>0</v>
      </c>
      <c r="AI138" s="55">
        <f t="shared" ref="AI138:BJ138" si="53">IF(AND(AI$127&gt;=$I30,AI$127&lt;$I30+$F30),INDEX($T30:$AI30,AI$127-$I30+1),0)</f>
        <v>0</v>
      </c>
      <c r="AJ138" s="55">
        <f t="shared" si="53"/>
        <v>0</v>
      </c>
      <c r="AK138" s="55">
        <f t="shared" si="53"/>
        <v>0</v>
      </c>
      <c r="AL138" s="55">
        <f t="shared" si="53"/>
        <v>0</v>
      </c>
      <c r="AM138" s="55">
        <f t="shared" si="53"/>
        <v>0</v>
      </c>
      <c r="AN138" s="55">
        <f t="shared" si="53"/>
        <v>0</v>
      </c>
      <c r="AO138" s="55">
        <f t="shared" si="53"/>
        <v>0</v>
      </c>
      <c r="AP138" s="55">
        <f t="shared" si="53"/>
        <v>0</v>
      </c>
      <c r="AQ138" s="55">
        <f t="shared" si="53"/>
        <v>0</v>
      </c>
      <c r="AR138" s="55">
        <f t="shared" si="53"/>
        <v>0</v>
      </c>
      <c r="AS138" s="55">
        <f t="shared" si="53"/>
        <v>0</v>
      </c>
      <c r="AT138" s="55">
        <f t="shared" si="53"/>
        <v>0</v>
      </c>
      <c r="AU138" s="55">
        <f t="shared" si="53"/>
        <v>0</v>
      </c>
      <c r="AV138" s="55">
        <f t="shared" si="53"/>
        <v>0</v>
      </c>
      <c r="AW138" s="55">
        <f t="shared" si="53"/>
        <v>0</v>
      </c>
      <c r="AX138" s="55">
        <f t="shared" si="53"/>
        <v>0</v>
      </c>
      <c r="AY138" s="55">
        <f t="shared" si="53"/>
        <v>0</v>
      </c>
      <c r="AZ138" s="55">
        <f t="shared" si="53"/>
        <v>0</v>
      </c>
      <c r="BA138" s="55">
        <f t="shared" si="53"/>
        <v>0</v>
      </c>
      <c r="BB138" s="55">
        <f t="shared" si="53"/>
        <v>0</v>
      </c>
      <c r="BC138" s="55">
        <f t="shared" si="53"/>
        <v>0</v>
      </c>
      <c r="BD138" s="55">
        <f t="shared" si="53"/>
        <v>0</v>
      </c>
      <c r="BE138" s="55">
        <f t="shared" si="53"/>
        <v>0</v>
      </c>
      <c r="BF138" s="55">
        <f t="shared" si="53"/>
        <v>0</v>
      </c>
      <c r="BG138" s="55">
        <f t="shared" si="53"/>
        <v>0</v>
      </c>
      <c r="BH138" s="55">
        <f t="shared" si="53"/>
        <v>0</v>
      </c>
      <c r="BI138" s="55">
        <f t="shared" si="53"/>
        <v>0</v>
      </c>
      <c r="BJ138" s="55">
        <f t="shared" si="53"/>
        <v>0</v>
      </c>
    </row>
    <row r="139" spans="1:62" x14ac:dyDescent="0.3">
      <c r="A139" s="53" t="str">
        <f t="shared" si="39"/>
        <v>project 19</v>
      </c>
      <c r="C139" s="55">
        <f t="shared" ref="C139:AH139" si="54">IF(AND(C$127&gt;=$I31,C$127&lt;$I31+$F31),INDEX($T31:$AI31,C$127-$I31+1),0)</f>
        <v>0</v>
      </c>
      <c r="D139" s="55">
        <f t="shared" si="54"/>
        <v>0</v>
      </c>
      <c r="E139" s="55">
        <f t="shared" si="54"/>
        <v>0</v>
      </c>
      <c r="F139" s="55">
        <f t="shared" si="54"/>
        <v>0</v>
      </c>
      <c r="G139" s="55">
        <f t="shared" si="54"/>
        <v>0</v>
      </c>
      <c r="H139" s="55">
        <f t="shared" si="54"/>
        <v>0</v>
      </c>
      <c r="I139" s="55">
        <f t="shared" si="54"/>
        <v>0</v>
      </c>
      <c r="J139" s="55">
        <f t="shared" si="54"/>
        <v>0</v>
      </c>
      <c r="K139" s="55">
        <f t="shared" si="54"/>
        <v>0</v>
      </c>
      <c r="L139" s="55">
        <f t="shared" si="54"/>
        <v>0</v>
      </c>
      <c r="M139" s="55">
        <f t="shared" si="54"/>
        <v>0</v>
      </c>
      <c r="N139" s="55">
        <f t="shared" si="54"/>
        <v>0</v>
      </c>
      <c r="O139" s="55">
        <f t="shared" si="54"/>
        <v>0</v>
      </c>
      <c r="P139" s="55">
        <f t="shared" si="54"/>
        <v>0</v>
      </c>
      <c r="Q139" s="55">
        <f t="shared" si="54"/>
        <v>0</v>
      </c>
      <c r="R139" s="55">
        <f t="shared" si="54"/>
        <v>0</v>
      </c>
      <c r="S139" s="55">
        <f t="shared" si="54"/>
        <v>0</v>
      </c>
      <c r="T139" s="55">
        <f t="shared" si="54"/>
        <v>0</v>
      </c>
      <c r="U139" s="55">
        <f t="shared" si="54"/>
        <v>0</v>
      </c>
      <c r="V139" s="55">
        <f t="shared" si="54"/>
        <v>2.0710000000000002</v>
      </c>
      <c r="W139" s="55">
        <f t="shared" si="54"/>
        <v>0</v>
      </c>
      <c r="X139" s="55">
        <f t="shared" si="54"/>
        <v>0</v>
      </c>
      <c r="Y139" s="55">
        <f t="shared" si="54"/>
        <v>0</v>
      </c>
      <c r="Z139" s="55">
        <f t="shared" si="54"/>
        <v>0</v>
      </c>
      <c r="AA139" s="55">
        <f t="shared" si="54"/>
        <v>0</v>
      </c>
      <c r="AB139" s="55">
        <f t="shared" si="54"/>
        <v>0</v>
      </c>
      <c r="AC139" s="55">
        <f t="shared" si="54"/>
        <v>0</v>
      </c>
      <c r="AD139" s="55">
        <f t="shared" si="54"/>
        <v>0</v>
      </c>
      <c r="AE139" s="55">
        <f t="shared" si="54"/>
        <v>0</v>
      </c>
      <c r="AF139" s="55">
        <f t="shared" si="54"/>
        <v>0</v>
      </c>
      <c r="AG139" s="55">
        <f t="shared" si="54"/>
        <v>0</v>
      </c>
      <c r="AH139" s="55">
        <f t="shared" si="54"/>
        <v>0</v>
      </c>
      <c r="AI139" s="55">
        <f t="shared" ref="AI139:BJ139" si="55">IF(AND(AI$127&gt;=$I31,AI$127&lt;$I31+$F31),INDEX($T31:$AI31,AI$127-$I31+1),0)</f>
        <v>0</v>
      </c>
      <c r="AJ139" s="55">
        <f t="shared" si="55"/>
        <v>0</v>
      </c>
      <c r="AK139" s="55">
        <f t="shared" si="55"/>
        <v>0</v>
      </c>
      <c r="AL139" s="55">
        <f t="shared" si="55"/>
        <v>0</v>
      </c>
      <c r="AM139" s="55">
        <f t="shared" si="55"/>
        <v>0</v>
      </c>
      <c r="AN139" s="55">
        <f t="shared" si="55"/>
        <v>0</v>
      </c>
      <c r="AO139" s="55">
        <f t="shared" si="55"/>
        <v>0</v>
      </c>
      <c r="AP139" s="55">
        <f t="shared" si="55"/>
        <v>0</v>
      </c>
      <c r="AQ139" s="55">
        <f t="shared" si="55"/>
        <v>0</v>
      </c>
      <c r="AR139" s="55">
        <f t="shared" si="55"/>
        <v>0</v>
      </c>
      <c r="AS139" s="55">
        <f t="shared" si="55"/>
        <v>0</v>
      </c>
      <c r="AT139" s="55">
        <f t="shared" si="55"/>
        <v>0</v>
      </c>
      <c r="AU139" s="55">
        <f t="shared" si="55"/>
        <v>0</v>
      </c>
      <c r="AV139" s="55">
        <f t="shared" si="55"/>
        <v>0</v>
      </c>
      <c r="AW139" s="55">
        <f t="shared" si="55"/>
        <v>0</v>
      </c>
      <c r="AX139" s="55">
        <f t="shared" si="55"/>
        <v>0</v>
      </c>
      <c r="AY139" s="55">
        <f t="shared" si="55"/>
        <v>0</v>
      </c>
      <c r="AZ139" s="55">
        <f t="shared" si="55"/>
        <v>0</v>
      </c>
      <c r="BA139" s="55">
        <f t="shared" si="55"/>
        <v>0</v>
      </c>
      <c r="BB139" s="55">
        <f t="shared" si="55"/>
        <v>0</v>
      </c>
      <c r="BC139" s="55">
        <f t="shared" si="55"/>
        <v>0</v>
      </c>
      <c r="BD139" s="55">
        <f t="shared" si="55"/>
        <v>0</v>
      </c>
      <c r="BE139" s="55">
        <f t="shared" si="55"/>
        <v>0</v>
      </c>
      <c r="BF139" s="55">
        <f t="shared" si="55"/>
        <v>0</v>
      </c>
      <c r="BG139" s="55">
        <f t="shared" si="55"/>
        <v>0</v>
      </c>
      <c r="BH139" s="55">
        <f t="shared" si="55"/>
        <v>0</v>
      </c>
      <c r="BI139" s="55">
        <f t="shared" si="55"/>
        <v>0</v>
      </c>
      <c r="BJ139" s="55">
        <f t="shared" si="55"/>
        <v>0</v>
      </c>
    </row>
    <row r="140" spans="1:62" x14ac:dyDescent="0.3">
      <c r="A140" s="53" t="str">
        <f t="shared" si="39"/>
        <v>project 20</v>
      </c>
      <c r="C140" s="55">
        <f t="shared" ref="C140:AH140" si="56">IF(AND(C$127&gt;=$I32,C$127&lt;$I32+$F32),INDEX($T32:$AI32,C$127-$I32+1),0)</f>
        <v>0</v>
      </c>
      <c r="D140" s="55">
        <f t="shared" si="56"/>
        <v>0</v>
      </c>
      <c r="E140" s="55">
        <f t="shared" si="56"/>
        <v>0</v>
      </c>
      <c r="F140" s="55">
        <f t="shared" si="56"/>
        <v>0</v>
      </c>
      <c r="G140" s="55">
        <f t="shared" si="56"/>
        <v>0</v>
      </c>
      <c r="H140" s="55">
        <f t="shared" si="56"/>
        <v>0</v>
      </c>
      <c r="I140" s="55">
        <f t="shared" si="56"/>
        <v>0</v>
      </c>
      <c r="J140" s="55">
        <f t="shared" si="56"/>
        <v>0</v>
      </c>
      <c r="K140" s="55">
        <f t="shared" si="56"/>
        <v>0</v>
      </c>
      <c r="L140" s="55">
        <f t="shared" si="56"/>
        <v>0</v>
      </c>
      <c r="M140" s="55">
        <f t="shared" si="56"/>
        <v>0</v>
      </c>
      <c r="N140" s="55">
        <f t="shared" si="56"/>
        <v>0</v>
      </c>
      <c r="O140" s="55">
        <f t="shared" si="56"/>
        <v>0</v>
      </c>
      <c r="P140" s="55">
        <f t="shared" si="56"/>
        <v>0</v>
      </c>
      <c r="Q140" s="55">
        <f t="shared" si="56"/>
        <v>0</v>
      </c>
      <c r="R140" s="55">
        <f t="shared" si="56"/>
        <v>0</v>
      </c>
      <c r="S140" s="55">
        <f t="shared" si="56"/>
        <v>0</v>
      </c>
      <c r="T140" s="55">
        <f t="shared" si="56"/>
        <v>0</v>
      </c>
      <c r="U140" s="55">
        <f t="shared" si="56"/>
        <v>1.6568000000000001</v>
      </c>
      <c r="V140" s="55">
        <f t="shared" si="56"/>
        <v>0.16029411764705881</v>
      </c>
      <c r="W140" s="55">
        <f t="shared" si="56"/>
        <v>0</v>
      </c>
      <c r="X140" s="55">
        <f t="shared" si="56"/>
        <v>0</v>
      </c>
      <c r="Y140" s="55">
        <f t="shared" si="56"/>
        <v>0</v>
      </c>
      <c r="Z140" s="55">
        <f t="shared" si="56"/>
        <v>0</v>
      </c>
      <c r="AA140" s="55">
        <f t="shared" si="56"/>
        <v>0</v>
      </c>
      <c r="AB140" s="55">
        <f t="shared" si="56"/>
        <v>0</v>
      </c>
      <c r="AC140" s="55">
        <f t="shared" si="56"/>
        <v>0</v>
      </c>
      <c r="AD140" s="55">
        <f t="shared" si="56"/>
        <v>0</v>
      </c>
      <c r="AE140" s="55">
        <f t="shared" si="56"/>
        <v>0</v>
      </c>
      <c r="AF140" s="55">
        <f t="shared" si="56"/>
        <v>0</v>
      </c>
      <c r="AG140" s="55">
        <f t="shared" si="56"/>
        <v>0</v>
      </c>
      <c r="AH140" s="55">
        <f t="shared" si="56"/>
        <v>0</v>
      </c>
      <c r="AI140" s="55">
        <f t="shared" ref="AI140:BJ140" si="57">IF(AND(AI$127&gt;=$I32,AI$127&lt;$I32+$F32),INDEX($T32:$AI32,AI$127-$I32+1),0)</f>
        <v>0</v>
      </c>
      <c r="AJ140" s="55">
        <f t="shared" si="57"/>
        <v>0</v>
      </c>
      <c r="AK140" s="55">
        <f t="shared" si="57"/>
        <v>0</v>
      </c>
      <c r="AL140" s="55">
        <f t="shared" si="57"/>
        <v>0</v>
      </c>
      <c r="AM140" s="55">
        <f t="shared" si="57"/>
        <v>0</v>
      </c>
      <c r="AN140" s="55">
        <f t="shared" si="57"/>
        <v>0</v>
      </c>
      <c r="AO140" s="55">
        <f t="shared" si="57"/>
        <v>0</v>
      </c>
      <c r="AP140" s="55">
        <f t="shared" si="57"/>
        <v>0</v>
      </c>
      <c r="AQ140" s="55">
        <f t="shared" si="57"/>
        <v>0</v>
      </c>
      <c r="AR140" s="55">
        <f t="shared" si="57"/>
        <v>0</v>
      </c>
      <c r="AS140" s="55">
        <f t="shared" si="57"/>
        <v>0</v>
      </c>
      <c r="AT140" s="55">
        <f t="shared" si="57"/>
        <v>0</v>
      </c>
      <c r="AU140" s="55">
        <f t="shared" si="57"/>
        <v>0</v>
      </c>
      <c r="AV140" s="55">
        <f t="shared" si="57"/>
        <v>0</v>
      </c>
      <c r="AW140" s="55">
        <f t="shared" si="57"/>
        <v>0</v>
      </c>
      <c r="AX140" s="55">
        <f t="shared" si="57"/>
        <v>0</v>
      </c>
      <c r="AY140" s="55">
        <f t="shared" si="57"/>
        <v>0</v>
      </c>
      <c r="AZ140" s="55">
        <f t="shared" si="57"/>
        <v>0</v>
      </c>
      <c r="BA140" s="55">
        <f t="shared" si="57"/>
        <v>0</v>
      </c>
      <c r="BB140" s="55">
        <f t="shared" si="57"/>
        <v>0</v>
      </c>
      <c r="BC140" s="55">
        <f t="shared" si="57"/>
        <v>0</v>
      </c>
      <c r="BD140" s="55">
        <f t="shared" si="57"/>
        <v>0</v>
      </c>
      <c r="BE140" s="55">
        <f t="shared" si="57"/>
        <v>0</v>
      </c>
      <c r="BF140" s="55">
        <f t="shared" si="57"/>
        <v>0</v>
      </c>
      <c r="BG140" s="55">
        <f t="shared" si="57"/>
        <v>0</v>
      </c>
      <c r="BH140" s="55">
        <f t="shared" si="57"/>
        <v>0</v>
      </c>
      <c r="BI140" s="55">
        <f t="shared" si="57"/>
        <v>0</v>
      </c>
      <c r="BJ140" s="55">
        <f t="shared" si="57"/>
        <v>0</v>
      </c>
    </row>
    <row r="141" spans="1:62" x14ac:dyDescent="0.3">
      <c r="A141" s="53" t="str">
        <f t="shared" si="39"/>
        <v>project 22</v>
      </c>
      <c r="C141" s="55">
        <f t="shared" ref="C141:AH141" si="58">IF(AND(C$127&gt;=$I33,C$127&lt;$I33+$F33),INDEX($T33:$AI33,C$127-$I33+1),0)</f>
        <v>1.2251620000000001</v>
      </c>
      <c r="D141" s="55">
        <f t="shared" si="58"/>
        <v>0.16029509803921571</v>
      </c>
      <c r="E141" s="55">
        <f t="shared" si="58"/>
        <v>0</v>
      </c>
      <c r="F141" s="55">
        <f t="shared" si="58"/>
        <v>0</v>
      </c>
      <c r="G141" s="55">
        <f t="shared" si="58"/>
        <v>0</v>
      </c>
      <c r="H141" s="55">
        <f t="shared" si="58"/>
        <v>0</v>
      </c>
      <c r="I141" s="55">
        <f t="shared" si="58"/>
        <v>0</v>
      </c>
      <c r="J141" s="55">
        <f t="shared" si="58"/>
        <v>0</v>
      </c>
      <c r="K141" s="55">
        <f t="shared" si="58"/>
        <v>0</v>
      </c>
      <c r="L141" s="55">
        <f t="shared" si="58"/>
        <v>0</v>
      </c>
      <c r="M141" s="55">
        <f t="shared" si="58"/>
        <v>0</v>
      </c>
      <c r="N141" s="55">
        <f t="shared" si="58"/>
        <v>0</v>
      </c>
      <c r="O141" s="55">
        <f t="shared" si="58"/>
        <v>0</v>
      </c>
      <c r="P141" s="55">
        <f t="shared" si="58"/>
        <v>0</v>
      </c>
      <c r="Q141" s="55">
        <f t="shared" si="58"/>
        <v>0</v>
      </c>
      <c r="R141" s="55">
        <f t="shared" si="58"/>
        <v>0</v>
      </c>
      <c r="S141" s="55">
        <f t="shared" si="58"/>
        <v>0</v>
      </c>
      <c r="T141" s="55">
        <f t="shared" si="58"/>
        <v>0</v>
      </c>
      <c r="U141" s="55">
        <f t="shared" si="58"/>
        <v>0</v>
      </c>
      <c r="V141" s="55">
        <f t="shared" si="58"/>
        <v>0</v>
      </c>
      <c r="W141" s="55">
        <f t="shared" si="58"/>
        <v>0</v>
      </c>
      <c r="X141" s="55">
        <f t="shared" si="58"/>
        <v>0</v>
      </c>
      <c r="Y141" s="55">
        <f t="shared" si="58"/>
        <v>0</v>
      </c>
      <c r="Z141" s="55">
        <f t="shared" si="58"/>
        <v>0</v>
      </c>
      <c r="AA141" s="55">
        <f t="shared" si="58"/>
        <v>0</v>
      </c>
      <c r="AB141" s="55">
        <f t="shared" si="58"/>
        <v>0</v>
      </c>
      <c r="AC141" s="55">
        <f t="shared" si="58"/>
        <v>0</v>
      </c>
      <c r="AD141" s="55">
        <f t="shared" si="58"/>
        <v>0</v>
      </c>
      <c r="AE141" s="55">
        <f t="shared" si="58"/>
        <v>0</v>
      </c>
      <c r="AF141" s="55">
        <f t="shared" si="58"/>
        <v>0</v>
      </c>
      <c r="AG141" s="55">
        <f t="shared" si="58"/>
        <v>0</v>
      </c>
      <c r="AH141" s="55">
        <f t="shared" si="58"/>
        <v>0</v>
      </c>
      <c r="AI141" s="55">
        <f t="shared" ref="AI141:BJ141" si="59">IF(AND(AI$127&gt;=$I33,AI$127&lt;$I33+$F33),INDEX($T33:$AI33,AI$127-$I33+1),0)</f>
        <v>0</v>
      </c>
      <c r="AJ141" s="55">
        <f t="shared" si="59"/>
        <v>0</v>
      </c>
      <c r="AK141" s="55">
        <f t="shared" si="59"/>
        <v>0</v>
      </c>
      <c r="AL141" s="55">
        <f t="shared" si="59"/>
        <v>0</v>
      </c>
      <c r="AM141" s="55">
        <f t="shared" si="59"/>
        <v>0</v>
      </c>
      <c r="AN141" s="55">
        <f t="shared" si="59"/>
        <v>0</v>
      </c>
      <c r="AO141" s="55">
        <f t="shared" si="59"/>
        <v>0</v>
      </c>
      <c r="AP141" s="55">
        <f t="shared" si="59"/>
        <v>0</v>
      </c>
      <c r="AQ141" s="55">
        <f t="shared" si="59"/>
        <v>0</v>
      </c>
      <c r="AR141" s="55">
        <f t="shared" si="59"/>
        <v>0</v>
      </c>
      <c r="AS141" s="55">
        <f t="shared" si="59"/>
        <v>0</v>
      </c>
      <c r="AT141" s="55">
        <f t="shared" si="59"/>
        <v>0</v>
      </c>
      <c r="AU141" s="55">
        <f t="shared" si="59"/>
        <v>0</v>
      </c>
      <c r="AV141" s="55">
        <f t="shared" si="59"/>
        <v>0</v>
      </c>
      <c r="AW141" s="55">
        <f t="shared" si="59"/>
        <v>0</v>
      </c>
      <c r="AX141" s="55">
        <f t="shared" si="59"/>
        <v>0</v>
      </c>
      <c r="AY141" s="55">
        <f t="shared" si="59"/>
        <v>0</v>
      </c>
      <c r="AZ141" s="55">
        <f t="shared" si="59"/>
        <v>0</v>
      </c>
      <c r="BA141" s="55">
        <f t="shared" si="59"/>
        <v>0</v>
      </c>
      <c r="BB141" s="55">
        <f t="shared" si="59"/>
        <v>0</v>
      </c>
      <c r="BC141" s="55">
        <f t="shared" si="59"/>
        <v>0</v>
      </c>
      <c r="BD141" s="55">
        <f t="shared" si="59"/>
        <v>0</v>
      </c>
      <c r="BE141" s="55">
        <f t="shared" si="59"/>
        <v>0</v>
      </c>
      <c r="BF141" s="55">
        <f t="shared" si="59"/>
        <v>0</v>
      </c>
      <c r="BG141" s="55">
        <f t="shared" si="59"/>
        <v>0</v>
      </c>
      <c r="BH141" s="55">
        <f t="shared" si="59"/>
        <v>0</v>
      </c>
      <c r="BI141" s="55">
        <f t="shared" si="59"/>
        <v>0</v>
      </c>
      <c r="BJ141" s="55">
        <f t="shared" si="59"/>
        <v>0</v>
      </c>
    </row>
    <row r="142" spans="1:62" x14ac:dyDescent="0.3">
      <c r="A142" s="53" t="str">
        <f t="shared" si="39"/>
        <v>project 23</v>
      </c>
      <c r="C142" s="55">
        <f t="shared" ref="C142:AH142" si="60">IF(AND(C$127&gt;=$I34,C$127&lt;$I34+$F34),INDEX($T34:$AI34,C$127-$I34+1),0)</f>
        <v>0.65400000000000003</v>
      </c>
      <c r="D142" s="55">
        <f t="shared" si="60"/>
        <v>0</v>
      </c>
      <c r="E142" s="55">
        <f t="shared" si="60"/>
        <v>0</v>
      </c>
      <c r="F142" s="55">
        <f t="shared" si="60"/>
        <v>0</v>
      </c>
      <c r="G142" s="55">
        <f t="shared" si="60"/>
        <v>0</v>
      </c>
      <c r="H142" s="55">
        <f t="shared" si="60"/>
        <v>0</v>
      </c>
      <c r="I142" s="55">
        <f t="shared" si="60"/>
        <v>0</v>
      </c>
      <c r="J142" s="55">
        <f t="shared" si="60"/>
        <v>0</v>
      </c>
      <c r="K142" s="55">
        <f t="shared" si="60"/>
        <v>0</v>
      </c>
      <c r="L142" s="55">
        <f t="shared" si="60"/>
        <v>0</v>
      </c>
      <c r="M142" s="55">
        <f t="shared" si="60"/>
        <v>0</v>
      </c>
      <c r="N142" s="55">
        <f t="shared" si="60"/>
        <v>0</v>
      </c>
      <c r="O142" s="55">
        <f t="shared" si="60"/>
        <v>0</v>
      </c>
      <c r="P142" s="55">
        <f t="shared" si="60"/>
        <v>0</v>
      </c>
      <c r="Q142" s="55">
        <f t="shared" si="60"/>
        <v>0</v>
      </c>
      <c r="R142" s="55">
        <f t="shared" si="60"/>
        <v>0</v>
      </c>
      <c r="S142" s="55">
        <f t="shared" si="60"/>
        <v>0</v>
      </c>
      <c r="T142" s="55">
        <f t="shared" si="60"/>
        <v>0</v>
      </c>
      <c r="U142" s="55">
        <f t="shared" si="60"/>
        <v>0</v>
      </c>
      <c r="V142" s="55">
        <f t="shared" si="60"/>
        <v>0</v>
      </c>
      <c r="W142" s="55">
        <f t="shared" si="60"/>
        <v>0</v>
      </c>
      <c r="X142" s="55">
        <f t="shared" si="60"/>
        <v>0</v>
      </c>
      <c r="Y142" s="55">
        <f t="shared" si="60"/>
        <v>0</v>
      </c>
      <c r="Z142" s="55">
        <f t="shared" si="60"/>
        <v>0</v>
      </c>
      <c r="AA142" s="55">
        <f t="shared" si="60"/>
        <v>0</v>
      </c>
      <c r="AB142" s="55">
        <f t="shared" si="60"/>
        <v>0</v>
      </c>
      <c r="AC142" s="55">
        <f t="shared" si="60"/>
        <v>0</v>
      </c>
      <c r="AD142" s="55">
        <f t="shared" si="60"/>
        <v>0</v>
      </c>
      <c r="AE142" s="55">
        <f t="shared" si="60"/>
        <v>0</v>
      </c>
      <c r="AF142" s="55">
        <f t="shared" si="60"/>
        <v>0</v>
      </c>
      <c r="AG142" s="55">
        <f t="shared" si="60"/>
        <v>0</v>
      </c>
      <c r="AH142" s="55">
        <f t="shared" si="60"/>
        <v>0</v>
      </c>
      <c r="AI142" s="55">
        <f t="shared" ref="AI142:BJ142" si="61">IF(AND(AI$127&gt;=$I34,AI$127&lt;$I34+$F34),INDEX($T34:$AI34,AI$127-$I34+1),0)</f>
        <v>0</v>
      </c>
      <c r="AJ142" s="55">
        <f t="shared" si="61"/>
        <v>0</v>
      </c>
      <c r="AK142" s="55">
        <f t="shared" si="61"/>
        <v>0</v>
      </c>
      <c r="AL142" s="55">
        <f t="shared" si="61"/>
        <v>0</v>
      </c>
      <c r="AM142" s="55">
        <f t="shared" si="61"/>
        <v>0</v>
      </c>
      <c r="AN142" s="55">
        <f t="shared" si="61"/>
        <v>0</v>
      </c>
      <c r="AO142" s="55">
        <f t="shared" si="61"/>
        <v>0</v>
      </c>
      <c r="AP142" s="55">
        <f t="shared" si="61"/>
        <v>0</v>
      </c>
      <c r="AQ142" s="55">
        <f t="shared" si="61"/>
        <v>0</v>
      </c>
      <c r="AR142" s="55">
        <f t="shared" si="61"/>
        <v>0</v>
      </c>
      <c r="AS142" s="55">
        <f t="shared" si="61"/>
        <v>0</v>
      </c>
      <c r="AT142" s="55">
        <f t="shared" si="61"/>
        <v>0</v>
      </c>
      <c r="AU142" s="55">
        <f t="shared" si="61"/>
        <v>0</v>
      </c>
      <c r="AV142" s="55">
        <f t="shared" si="61"/>
        <v>0</v>
      </c>
      <c r="AW142" s="55">
        <f t="shared" si="61"/>
        <v>0</v>
      </c>
      <c r="AX142" s="55">
        <f t="shared" si="61"/>
        <v>0</v>
      </c>
      <c r="AY142" s="55">
        <f t="shared" si="61"/>
        <v>0</v>
      </c>
      <c r="AZ142" s="55">
        <f t="shared" si="61"/>
        <v>0</v>
      </c>
      <c r="BA142" s="55">
        <f t="shared" si="61"/>
        <v>0</v>
      </c>
      <c r="BB142" s="55">
        <f t="shared" si="61"/>
        <v>0</v>
      </c>
      <c r="BC142" s="55">
        <f t="shared" si="61"/>
        <v>0</v>
      </c>
      <c r="BD142" s="55">
        <f t="shared" si="61"/>
        <v>0</v>
      </c>
      <c r="BE142" s="55">
        <f t="shared" si="61"/>
        <v>0</v>
      </c>
      <c r="BF142" s="55">
        <f t="shared" si="61"/>
        <v>0</v>
      </c>
      <c r="BG142" s="55">
        <f t="shared" si="61"/>
        <v>0</v>
      </c>
      <c r="BH142" s="55">
        <f t="shared" si="61"/>
        <v>0</v>
      </c>
      <c r="BI142" s="55">
        <f t="shared" si="61"/>
        <v>0</v>
      </c>
      <c r="BJ142" s="55">
        <f t="shared" si="61"/>
        <v>0</v>
      </c>
    </row>
    <row r="143" spans="1:62" x14ac:dyDescent="0.3">
      <c r="A143" s="53" t="str">
        <f t="shared" si="39"/>
        <v>project 24</v>
      </c>
      <c r="C143" s="55">
        <f t="shared" ref="C143:AH143" si="62">IF(AND(C$127&gt;=$I35,C$127&lt;$I35+$F35),INDEX($T35:$AI35,C$127-$I35+1),0)</f>
        <v>0</v>
      </c>
      <c r="D143" s="55">
        <f t="shared" si="62"/>
        <v>0</v>
      </c>
      <c r="E143" s="55">
        <f t="shared" si="62"/>
        <v>0</v>
      </c>
      <c r="F143" s="55">
        <f t="shared" si="62"/>
        <v>0</v>
      </c>
      <c r="G143" s="55">
        <f t="shared" si="62"/>
        <v>0</v>
      </c>
      <c r="H143" s="55">
        <f t="shared" si="62"/>
        <v>0</v>
      </c>
      <c r="I143" s="55">
        <f t="shared" si="62"/>
        <v>0</v>
      </c>
      <c r="J143" s="55">
        <f t="shared" si="62"/>
        <v>0</v>
      </c>
      <c r="K143" s="55">
        <f t="shared" si="62"/>
        <v>0</v>
      </c>
      <c r="L143" s="55">
        <f t="shared" si="62"/>
        <v>0</v>
      </c>
      <c r="M143" s="55">
        <f t="shared" si="62"/>
        <v>0</v>
      </c>
      <c r="N143" s="55">
        <f t="shared" si="62"/>
        <v>0</v>
      </c>
      <c r="O143" s="55">
        <f t="shared" si="62"/>
        <v>0</v>
      </c>
      <c r="P143" s="55">
        <f t="shared" si="62"/>
        <v>0</v>
      </c>
      <c r="Q143" s="55">
        <f t="shared" si="62"/>
        <v>0</v>
      </c>
      <c r="R143" s="55">
        <f t="shared" si="62"/>
        <v>0</v>
      </c>
      <c r="S143" s="55">
        <f t="shared" si="62"/>
        <v>0</v>
      </c>
      <c r="T143" s="55">
        <f t="shared" si="62"/>
        <v>0</v>
      </c>
      <c r="U143" s="55">
        <f t="shared" si="62"/>
        <v>0.89924999999999999</v>
      </c>
      <c r="V143" s="55">
        <f t="shared" si="62"/>
        <v>0.32058823529411767</v>
      </c>
      <c r="W143" s="55">
        <f t="shared" si="62"/>
        <v>0</v>
      </c>
      <c r="X143" s="55">
        <f t="shared" si="62"/>
        <v>0</v>
      </c>
      <c r="Y143" s="55">
        <f t="shared" si="62"/>
        <v>0</v>
      </c>
      <c r="Z143" s="55">
        <f t="shared" si="62"/>
        <v>0</v>
      </c>
      <c r="AA143" s="55">
        <f t="shared" si="62"/>
        <v>0</v>
      </c>
      <c r="AB143" s="55">
        <f t="shared" si="62"/>
        <v>0</v>
      </c>
      <c r="AC143" s="55">
        <f t="shared" si="62"/>
        <v>0</v>
      </c>
      <c r="AD143" s="55">
        <f t="shared" si="62"/>
        <v>0</v>
      </c>
      <c r="AE143" s="55">
        <f t="shared" si="62"/>
        <v>0</v>
      </c>
      <c r="AF143" s="55">
        <f t="shared" si="62"/>
        <v>0</v>
      </c>
      <c r="AG143" s="55">
        <f t="shared" si="62"/>
        <v>0</v>
      </c>
      <c r="AH143" s="55">
        <f t="shared" si="62"/>
        <v>0</v>
      </c>
      <c r="AI143" s="55">
        <f t="shared" ref="AI143:BJ143" si="63">IF(AND(AI$127&gt;=$I35,AI$127&lt;$I35+$F35),INDEX($T35:$AI35,AI$127-$I35+1),0)</f>
        <v>0</v>
      </c>
      <c r="AJ143" s="55">
        <f t="shared" si="63"/>
        <v>0</v>
      </c>
      <c r="AK143" s="55">
        <f t="shared" si="63"/>
        <v>0</v>
      </c>
      <c r="AL143" s="55">
        <f t="shared" si="63"/>
        <v>0</v>
      </c>
      <c r="AM143" s="55">
        <f t="shared" si="63"/>
        <v>0</v>
      </c>
      <c r="AN143" s="55">
        <f t="shared" si="63"/>
        <v>0</v>
      </c>
      <c r="AO143" s="55">
        <f t="shared" si="63"/>
        <v>0</v>
      </c>
      <c r="AP143" s="55">
        <f t="shared" si="63"/>
        <v>0</v>
      </c>
      <c r="AQ143" s="55">
        <f t="shared" si="63"/>
        <v>0</v>
      </c>
      <c r="AR143" s="55">
        <f t="shared" si="63"/>
        <v>0</v>
      </c>
      <c r="AS143" s="55">
        <f t="shared" si="63"/>
        <v>0</v>
      </c>
      <c r="AT143" s="55">
        <f t="shared" si="63"/>
        <v>0</v>
      </c>
      <c r="AU143" s="55">
        <f t="shared" si="63"/>
        <v>0</v>
      </c>
      <c r="AV143" s="55">
        <f t="shared" si="63"/>
        <v>0</v>
      </c>
      <c r="AW143" s="55">
        <f t="shared" si="63"/>
        <v>0</v>
      </c>
      <c r="AX143" s="55">
        <f t="shared" si="63"/>
        <v>0</v>
      </c>
      <c r="AY143" s="55">
        <f t="shared" si="63"/>
        <v>0</v>
      </c>
      <c r="AZ143" s="55">
        <f t="shared" si="63"/>
        <v>0</v>
      </c>
      <c r="BA143" s="55">
        <f t="shared" si="63"/>
        <v>0</v>
      </c>
      <c r="BB143" s="55">
        <f t="shared" si="63"/>
        <v>0</v>
      </c>
      <c r="BC143" s="55">
        <f t="shared" si="63"/>
        <v>0</v>
      </c>
      <c r="BD143" s="55">
        <f t="shared" si="63"/>
        <v>0</v>
      </c>
      <c r="BE143" s="55">
        <f t="shared" si="63"/>
        <v>0</v>
      </c>
      <c r="BF143" s="55">
        <f t="shared" si="63"/>
        <v>0</v>
      </c>
      <c r="BG143" s="55">
        <f t="shared" si="63"/>
        <v>0</v>
      </c>
      <c r="BH143" s="55">
        <f t="shared" si="63"/>
        <v>0</v>
      </c>
      <c r="BI143" s="55">
        <f t="shared" si="63"/>
        <v>0</v>
      </c>
      <c r="BJ143" s="55">
        <f t="shared" si="63"/>
        <v>0</v>
      </c>
    </row>
    <row r="144" spans="1:62" x14ac:dyDescent="0.3">
      <c r="A144" s="53" t="str">
        <f t="shared" si="39"/>
        <v>project 26</v>
      </c>
      <c r="C144" s="55">
        <f t="shared" ref="C144:AH144" si="64">IF(AND(C$127&gt;=$I36,C$127&lt;$I36+$F36),INDEX($T36:$AI36,C$127-$I36+1),0)</f>
        <v>0.32058823529411767</v>
      </c>
      <c r="D144" s="55">
        <f t="shared" si="64"/>
        <v>0</v>
      </c>
      <c r="E144" s="55">
        <f t="shared" si="64"/>
        <v>0</v>
      </c>
      <c r="F144" s="55">
        <f t="shared" si="64"/>
        <v>0</v>
      </c>
      <c r="G144" s="55">
        <f t="shared" si="64"/>
        <v>0</v>
      </c>
      <c r="H144" s="55">
        <f t="shared" si="64"/>
        <v>0</v>
      </c>
      <c r="I144" s="55">
        <f t="shared" si="64"/>
        <v>0</v>
      </c>
      <c r="J144" s="55">
        <f t="shared" si="64"/>
        <v>0</v>
      </c>
      <c r="K144" s="55">
        <f t="shared" si="64"/>
        <v>0</v>
      </c>
      <c r="L144" s="55">
        <f t="shared" si="64"/>
        <v>0</v>
      </c>
      <c r="M144" s="55">
        <f t="shared" si="64"/>
        <v>0</v>
      </c>
      <c r="N144" s="55">
        <f t="shared" si="64"/>
        <v>0</v>
      </c>
      <c r="O144" s="55">
        <f t="shared" si="64"/>
        <v>0</v>
      </c>
      <c r="P144" s="55">
        <f t="shared" si="64"/>
        <v>0</v>
      </c>
      <c r="Q144" s="55">
        <f t="shared" si="64"/>
        <v>0</v>
      </c>
      <c r="R144" s="55">
        <f t="shared" si="64"/>
        <v>0</v>
      </c>
      <c r="S144" s="55">
        <f t="shared" si="64"/>
        <v>0</v>
      </c>
      <c r="T144" s="55">
        <f t="shared" si="64"/>
        <v>0</v>
      </c>
      <c r="U144" s="55">
        <f t="shared" si="64"/>
        <v>0</v>
      </c>
      <c r="V144" s="55">
        <f t="shared" si="64"/>
        <v>0</v>
      </c>
      <c r="W144" s="55">
        <f t="shared" si="64"/>
        <v>0</v>
      </c>
      <c r="X144" s="55">
        <f t="shared" si="64"/>
        <v>0</v>
      </c>
      <c r="Y144" s="55">
        <f t="shared" si="64"/>
        <v>0</v>
      </c>
      <c r="Z144" s="55">
        <f t="shared" si="64"/>
        <v>0</v>
      </c>
      <c r="AA144" s="55">
        <f t="shared" si="64"/>
        <v>0</v>
      </c>
      <c r="AB144" s="55">
        <f t="shared" si="64"/>
        <v>0</v>
      </c>
      <c r="AC144" s="55">
        <f t="shared" si="64"/>
        <v>0</v>
      </c>
      <c r="AD144" s="55">
        <f t="shared" si="64"/>
        <v>0</v>
      </c>
      <c r="AE144" s="55">
        <f t="shared" si="64"/>
        <v>0</v>
      </c>
      <c r="AF144" s="55">
        <f t="shared" si="64"/>
        <v>0</v>
      </c>
      <c r="AG144" s="55">
        <f t="shared" si="64"/>
        <v>0</v>
      </c>
      <c r="AH144" s="55">
        <f t="shared" si="64"/>
        <v>0</v>
      </c>
      <c r="AI144" s="55">
        <f t="shared" ref="AI144:BJ144" si="65">IF(AND(AI$127&gt;=$I36,AI$127&lt;$I36+$F36),INDEX($T36:$AI36,AI$127-$I36+1),0)</f>
        <v>0</v>
      </c>
      <c r="AJ144" s="55">
        <f t="shared" si="65"/>
        <v>0</v>
      </c>
      <c r="AK144" s="55">
        <f t="shared" si="65"/>
        <v>0</v>
      </c>
      <c r="AL144" s="55">
        <f t="shared" si="65"/>
        <v>0</v>
      </c>
      <c r="AM144" s="55">
        <f t="shared" si="65"/>
        <v>0</v>
      </c>
      <c r="AN144" s="55">
        <f t="shared" si="65"/>
        <v>0</v>
      </c>
      <c r="AO144" s="55">
        <f t="shared" si="65"/>
        <v>0</v>
      </c>
      <c r="AP144" s="55">
        <f t="shared" si="65"/>
        <v>0</v>
      </c>
      <c r="AQ144" s="55">
        <f t="shared" si="65"/>
        <v>0</v>
      </c>
      <c r="AR144" s="55">
        <f t="shared" si="65"/>
        <v>0</v>
      </c>
      <c r="AS144" s="55">
        <f t="shared" si="65"/>
        <v>0</v>
      </c>
      <c r="AT144" s="55">
        <f t="shared" si="65"/>
        <v>0</v>
      </c>
      <c r="AU144" s="55">
        <f t="shared" si="65"/>
        <v>0</v>
      </c>
      <c r="AV144" s="55">
        <f t="shared" si="65"/>
        <v>0</v>
      </c>
      <c r="AW144" s="55">
        <f t="shared" si="65"/>
        <v>0</v>
      </c>
      <c r="AX144" s="55">
        <f t="shared" si="65"/>
        <v>0</v>
      </c>
      <c r="AY144" s="55">
        <f t="shared" si="65"/>
        <v>0</v>
      </c>
      <c r="AZ144" s="55">
        <f t="shared" si="65"/>
        <v>0</v>
      </c>
      <c r="BA144" s="55">
        <f t="shared" si="65"/>
        <v>0</v>
      </c>
      <c r="BB144" s="55">
        <f t="shared" si="65"/>
        <v>0</v>
      </c>
      <c r="BC144" s="55">
        <f t="shared" si="65"/>
        <v>0</v>
      </c>
      <c r="BD144" s="55">
        <f t="shared" si="65"/>
        <v>0</v>
      </c>
      <c r="BE144" s="55">
        <f t="shared" si="65"/>
        <v>0</v>
      </c>
      <c r="BF144" s="55">
        <f t="shared" si="65"/>
        <v>0</v>
      </c>
      <c r="BG144" s="55">
        <f t="shared" si="65"/>
        <v>0</v>
      </c>
      <c r="BH144" s="55">
        <f t="shared" si="65"/>
        <v>0</v>
      </c>
      <c r="BI144" s="55">
        <f t="shared" si="65"/>
        <v>0</v>
      </c>
      <c r="BJ144" s="55">
        <f t="shared" si="65"/>
        <v>0</v>
      </c>
    </row>
    <row r="145" spans="1:62" x14ac:dyDescent="0.3">
      <c r="A145" s="53" t="str">
        <f t="shared" si="39"/>
        <v>project 27</v>
      </c>
      <c r="C145" s="55">
        <f t="shared" ref="C145:AH145" si="66">IF(AND(C$127&gt;=$I37,C$127&lt;$I37+$F37),INDEX($T37:$AI37,C$127-$I37+1),0)</f>
        <v>0</v>
      </c>
      <c r="D145" s="55">
        <f t="shared" si="66"/>
        <v>0</v>
      </c>
      <c r="E145" s="55">
        <f t="shared" si="66"/>
        <v>0</v>
      </c>
      <c r="F145" s="55">
        <f t="shared" si="66"/>
        <v>0</v>
      </c>
      <c r="G145" s="55">
        <f t="shared" si="66"/>
        <v>0</v>
      </c>
      <c r="H145" s="55">
        <f t="shared" si="66"/>
        <v>0</v>
      </c>
      <c r="I145" s="55">
        <f t="shared" si="66"/>
        <v>0</v>
      </c>
      <c r="J145" s="55">
        <f t="shared" si="66"/>
        <v>0</v>
      </c>
      <c r="K145" s="55">
        <f t="shared" si="66"/>
        <v>0</v>
      </c>
      <c r="L145" s="55">
        <f t="shared" si="66"/>
        <v>0</v>
      </c>
      <c r="M145" s="55">
        <f t="shared" si="66"/>
        <v>0</v>
      </c>
      <c r="N145" s="55">
        <f t="shared" si="66"/>
        <v>0</v>
      </c>
      <c r="O145" s="55">
        <f t="shared" si="66"/>
        <v>0</v>
      </c>
      <c r="P145" s="55">
        <f t="shared" si="66"/>
        <v>0</v>
      </c>
      <c r="Q145" s="55">
        <f t="shared" si="66"/>
        <v>0</v>
      </c>
      <c r="R145" s="55">
        <f t="shared" si="66"/>
        <v>0</v>
      </c>
      <c r="S145" s="55">
        <f t="shared" si="66"/>
        <v>0</v>
      </c>
      <c r="T145" s="55">
        <f t="shared" si="66"/>
        <v>0</v>
      </c>
      <c r="U145" s="55">
        <f t="shared" si="66"/>
        <v>0.16350000000000001</v>
      </c>
      <c r="V145" s="55">
        <f t="shared" si="66"/>
        <v>0.16029411764705881</v>
      </c>
      <c r="W145" s="55">
        <f t="shared" si="66"/>
        <v>0</v>
      </c>
      <c r="X145" s="55">
        <f t="shared" si="66"/>
        <v>0</v>
      </c>
      <c r="Y145" s="55">
        <f t="shared" si="66"/>
        <v>0</v>
      </c>
      <c r="Z145" s="55">
        <f t="shared" si="66"/>
        <v>0</v>
      </c>
      <c r="AA145" s="55">
        <f t="shared" si="66"/>
        <v>0</v>
      </c>
      <c r="AB145" s="55">
        <f t="shared" si="66"/>
        <v>0</v>
      </c>
      <c r="AC145" s="55">
        <f t="shared" si="66"/>
        <v>0</v>
      </c>
      <c r="AD145" s="55">
        <f t="shared" si="66"/>
        <v>0</v>
      </c>
      <c r="AE145" s="55">
        <f t="shared" si="66"/>
        <v>0</v>
      </c>
      <c r="AF145" s="55">
        <f t="shared" si="66"/>
        <v>0</v>
      </c>
      <c r="AG145" s="55">
        <f t="shared" si="66"/>
        <v>0</v>
      </c>
      <c r="AH145" s="55">
        <f t="shared" si="66"/>
        <v>0</v>
      </c>
      <c r="AI145" s="55">
        <f t="shared" ref="AI145:BJ145" si="67">IF(AND(AI$127&gt;=$I37,AI$127&lt;$I37+$F37),INDEX($T37:$AI37,AI$127-$I37+1),0)</f>
        <v>0</v>
      </c>
      <c r="AJ145" s="55">
        <f t="shared" si="67"/>
        <v>0</v>
      </c>
      <c r="AK145" s="55">
        <f t="shared" si="67"/>
        <v>0</v>
      </c>
      <c r="AL145" s="55">
        <f t="shared" si="67"/>
        <v>0</v>
      </c>
      <c r="AM145" s="55">
        <f t="shared" si="67"/>
        <v>0</v>
      </c>
      <c r="AN145" s="55">
        <f t="shared" si="67"/>
        <v>0</v>
      </c>
      <c r="AO145" s="55">
        <f t="shared" si="67"/>
        <v>0</v>
      </c>
      <c r="AP145" s="55">
        <f t="shared" si="67"/>
        <v>0</v>
      </c>
      <c r="AQ145" s="55">
        <f t="shared" si="67"/>
        <v>0</v>
      </c>
      <c r="AR145" s="55">
        <f t="shared" si="67"/>
        <v>0</v>
      </c>
      <c r="AS145" s="55">
        <f t="shared" si="67"/>
        <v>0</v>
      </c>
      <c r="AT145" s="55">
        <f t="shared" si="67"/>
        <v>0</v>
      </c>
      <c r="AU145" s="55">
        <f t="shared" si="67"/>
        <v>0</v>
      </c>
      <c r="AV145" s="55">
        <f t="shared" si="67"/>
        <v>0</v>
      </c>
      <c r="AW145" s="55">
        <f t="shared" si="67"/>
        <v>0</v>
      </c>
      <c r="AX145" s="55">
        <f t="shared" si="67"/>
        <v>0</v>
      </c>
      <c r="AY145" s="55">
        <f t="shared" si="67"/>
        <v>0</v>
      </c>
      <c r="AZ145" s="55">
        <f t="shared" si="67"/>
        <v>0</v>
      </c>
      <c r="BA145" s="55">
        <f t="shared" si="67"/>
        <v>0</v>
      </c>
      <c r="BB145" s="55">
        <f t="shared" si="67"/>
        <v>0</v>
      </c>
      <c r="BC145" s="55">
        <f t="shared" si="67"/>
        <v>0</v>
      </c>
      <c r="BD145" s="55">
        <f t="shared" si="67"/>
        <v>0</v>
      </c>
      <c r="BE145" s="55">
        <f t="shared" si="67"/>
        <v>0</v>
      </c>
      <c r="BF145" s="55">
        <f t="shared" si="67"/>
        <v>0</v>
      </c>
      <c r="BG145" s="55">
        <f t="shared" si="67"/>
        <v>0</v>
      </c>
      <c r="BH145" s="55">
        <f t="shared" si="67"/>
        <v>0</v>
      </c>
      <c r="BI145" s="55">
        <f t="shared" si="67"/>
        <v>0</v>
      </c>
      <c r="BJ145" s="55">
        <f t="shared" si="67"/>
        <v>0</v>
      </c>
    </row>
    <row r="146" spans="1:62" x14ac:dyDescent="0.3">
      <c r="A146" s="53" t="str">
        <f t="shared" si="39"/>
        <v>project 28</v>
      </c>
      <c r="C146" s="55">
        <f t="shared" ref="C146:AH146" si="68">IF(AND(C$127&gt;=$I38,C$127&lt;$I38+$F38),INDEX($T38:$AI38,C$127-$I38+1),0)</f>
        <v>0.16350000000000001</v>
      </c>
      <c r="D146" s="55">
        <f t="shared" si="68"/>
        <v>0.16029411764705881</v>
      </c>
      <c r="E146" s="55">
        <f t="shared" si="68"/>
        <v>0</v>
      </c>
      <c r="F146" s="55">
        <f t="shared" si="68"/>
        <v>0</v>
      </c>
      <c r="G146" s="55">
        <f t="shared" si="68"/>
        <v>0</v>
      </c>
      <c r="H146" s="55">
        <f t="shared" si="68"/>
        <v>0</v>
      </c>
      <c r="I146" s="55">
        <f t="shared" si="68"/>
        <v>0</v>
      </c>
      <c r="J146" s="55">
        <f t="shared" si="68"/>
        <v>0</v>
      </c>
      <c r="K146" s="55">
        <f t="shared" si="68"/>
        <v>0</v>
      </c>
      <c r="L146" s="55">
        <f t="shared" si="68"/>
        <v>0</v>
      </c>
      <c r="M146" s="55">
        <f t="shared" si="68"/>
        <v>0</v>
      </c>
      <c r="N146" s="55">
        <f t="shared" si="68"/>
        <v>0</v>
      </c>
      <c r="O146" s="55">
        <f t="shared" si="68"/>
        <v>0</v>
      </c>
      <c r="P146" s="55">
        <f t="shared" si="68"/>
        <v>0</v>
      </c>
      <c r="Q146" s="55">
        <f t="shared" si="68"/>
        <v>0</v>
      </c>
      <c r="R146" s="55">
        <f t="shared" si="68"/>
        <v>0</v>
      </c>
      <c r="S146" s="55">
        <f t="shared" si="68"/>
        <v>0</v>
      </c>
      <c r="T146" s="55">
        <f t="shared" si="68"/>
        <v>0</v>
      </c>
      <c r="U146" s="55">
        <f t="shared" si="68"/>
        <v>0</v>
      </c>
      <c r="V146" s="55">
        <f t="shared" si="68"/>
        <v>0</v>
      </c>
      <c r="W146" s="55">
        <f t="shared" si="68"/>
        <v>0</v>
      </c>
      <c r="X146" s="55">
        <f t="shared" si="68"/>
        <v>0</v>
      </c>
      <c r="Y146" s="55">
        <f t="shared" si="68"/>
        <v>0</v>
      </c>
      <c r="Z146" s="55">
        <f t="shared" si="68"/>
        <v>0</v>
      </c>
      <c r="AA146" s="55">
        <f t="shared" si="68"/>
        <v>0</v>
      </c>
      <c r="AB146" s="55">
        <f t="shared" si="68"/>
        <v>0</v>
      </c>
      <c r="AC146" s="55">
        <f t="shared" si="68"/>
        <v>0</v>
      </c>
      <c r="AD146" s="55">
        <f t="shared" si="68"/>
        <v>0</v>
      </c>
      <c r="AE146" s="55">
        <f t="shared" si="68"/>
        <v>0</v>
      </c>
      <c r="AF146" s="55">
        <f t="shared" si="68"/>
        <v>0</v>
      </c>
      <c r="AG146" s="55">
        <f t="shared" si="68"/>
        <v>0</v>
      </c>
      <c r="AH146" s="55">
        <f t="shared" si="68"/>
        <v>0</v>
      </c>
      <c r="AI146" s="55">
        <f t="shared" ref="AI146:BJ146" si="69">IF(AND(AI$127&gt;=$I38,AI$127&lt;$I38+$F38),INDEX($T38:$AI38,AI$127-$I38+1),0)</f>
        <v>0</v>
      </c>
      <c r="AJ146" s="55">
        <f t="shared" si="69"/>
        <v>0</v>
      </c>
      <c r="AK146" s="55">
        <f t="shared" si="69"/>
        <v>0</v>
      </c>
      <c r="AL146" s="55">
        <f t="shared" si="69"/>
        <v>0</v>
      </c>
      <c r="AM146" s="55">
        <f t="shared" si="69"/>
        <v>0</v>
      </c>
      <c r="AN146" s="55">
        <f t="shared" si="69"/>
        <v>0</v>
      </c>
      <c r="AO146" s="55">
        <f t="shared" si="69"/>
        <v>0</v>
      </c>
      <c r="AP146" s="55">
        <f t="shared" si="69"/>
        <v>0</v>
      </c>
      <c r="AQ146" s="55">
        <f t="shared" si="69"/>
        <v>0</v>
      </c>
      <c r="AR146" s="55">
        <f t="shared" si="69"/>
        <v>0</v>
      </c>
      <c r="AS146" s="55">
        <f t="shared" si="69"/>
        <v>0</v>
      </c>
      <c r="AT146" s="55">
        <f t="shared" si="69"/>
        <v>0</v>
      </c>
      <c r="AU146" s="55">
        <f t="shared" si="69"/>
        <v>0</v>
      </c>
      <c r="AV146" s="55">
        <f t="shared" si="69"/>
        <v>0</v>
      </c>
      <c r="AW146" s="55">
        <f t="shared" si="69"/>
        <v>0</v>
      </c>
      <c r="AX146" s="55">
        <f t="shared" si="69"/>
        <v>0</v>
      </c>
      <c r="AY146" s="55">
        <f t="shared" si="69"/>
        <v>0</v>
      </c>
      <c r="AZ146" s="55">
        <f t="shared" si="69"/>
        <v>0</v>
      </c>
      <c r="BA146" s="55">
        <f t="shared" si="69"/>
        <v>0</v>
      </c>
      <c r="BB146" s="55">
        <f t="shared" si="69"/>
        <v>0</v>
      </c>
      <c r="BC146" s="55">
        <f t="shared" si="69"/>
        <v>0</v>
      </c>
      <c r="BD146" s="55">
        <f t="shared" si="69"/>
        <v>0</v>
      </c>
      <c r="BE146" s="55">
        <f t="shared" si="69"/>
        <v>0</v>
      </c>
      <c r="BF146" s="55">
        <f t="shared" si="69"/>
        <v>0</v>
      </c>
      <c r="BG146" s="55">
        <f t="shared" si="69"/>
        <v>0</v>
      </c>
      <c r="BH146" s="55">
        <f t="shared" si="69"/>
        <v>0</v>
      </c>
      <c r="BI146" s="55">
        <f t="shared" si="69"/>
        <v>0</v>
      </c>
      <c r="BJ146" s="55">
        <f t="shared" si="69"/>
        <v>0</v>
      </c>
    </row>
    <row r="147" spans="1:62" x14ac:dyDescent="0.3">
      <c r="A147" s="53" t="str">
        <f t="shared" si="39"/>
        <v>project 29</v>
      </c>
      <c r="C147" s="55">
        <f t="shared" ref="C147:AH147" si="70">IF(AND(C$127&gt;=$I39,C$127&lt;$I39+$F39),INDEX($T39:$AI39,C$127-$I39+1),0)</f>
        <v>0</v>
      </c>
      <c r="D147" s="55">
        <f t="shared" si="70"/>
        <v>0</v>
      </c>
      <c r="E147" s="55">
        <f t="shared" si="70"/>
        <v>0</v>
      </c>
      <c r="F147" s="55">
        <f t="shared" si="70"/>
        <v>0</v>
      </c>
      <c r="G147" s="55">
        <f t="shared" si="70"/>
        <v>0</v>
      </c>
      <c r="H147" s="55">
        <f t="shared" si="70"/>
        <v>0</v>
      </c>
      <c r="I147" s="55">
        <f t="shared" si="70"/>
        <v>0</v>
      </c>
      <c r="J147" s="55">
        <f t="shared" si="70"/>
        <v>0</v>
      </c>
      <c r="K147" s="55">
        <f t="shared" si="70"/>
        <v>0</v>
      </c>
      <c r="L147" s="55">
        <f t="shared" si="70"/>
        <v>0</v>
      </c>
      <c r="M147" s="55">
        <f t="shared" si="70"/>
        <v>0</v>
      </c>
      <c r="N147" s="55">
        <f t="shared" si="70"/>
        <v>0</v>
      </c>
      <c r="O147" s="55">
        <f t="shared" si="70"/>
        <v>0</v>
      </c>
      <c r="P147" s="55">
        <f t="shared" si="70"/>
        <v>0</v>
      </c>
      <c r="Q147" s="55">
        <f t="shared" si="70"/>
        <v>0</v>
      </c>
      <c r="R147" s="55">
        <f t="shared" si="70"/>
        <v>0</v>
      </c>
      <c r="S147" s="55">
        <f t="shared" si="70"/>
        <v>0</v>
      </c>
      <c r="T147" s="55">
        <f t="shared" si="70"/>
        <v>0</v>
      </c>
      <c r="U147" s="55">
        <f t="shared" si="70"/>
        <v>0.16350000000000001</v>
      </c>
      <c r="V147" s="55">
        <f t="shared" si="70"/>
        <v>0.16029411764705881</v>
      </c>
      <c r="W147" s="55">
        <f t="shared" si="70"/>
        <v>0</v>
      </c>
      <c r="X147" s="55">
        <f t="shared" si="70"/>
        <v>0</v>
      </c>
      <c r="Y147" s="55">
        <f t="shared" si="70"/>
        <v>0</v>
      </c>
      <c r="Z147" s="55">
        <f t="shared" si="70"/>
        <v>0</v>
      </c>
      <c r="AA147" s="55">
        <f t="shared" si="70"/>
        <v>0</v>
      </c>
      <c r="AB147" s="55">
        <f t="shared" si="70"/>
        <v>0</v>
      </c>
      <c r="AC147" s="55">
        <f t="shared" si="70"/>
        <v>0</v>
      </c>
      <c r="AD147" s="55">
        <f t="shared" si="70"/>
        <v>0</v>
      </c>
      <c r="AE147" s="55">
        <f t="shared" si="70"/>
        <v>0</v>
      </c>
      <c r="AF147" s="55">
        <f t="shared" si="70"/>
        <v>0</v>
      </c>
      <c r="AG147" s="55">
        <f t="shared" si="70"/>
        <v>0</v>
      </c>
      <c r="AH147" s="55">
        <f t="shared" si="70"/>
        <v>0</v>
      </c>
      <c r="AI147" s="55">
        <f t="shared" ref="AI147:BJ147" si="71">IF(AND(AI$127&gt;=$I39,AI$127&lt;$I39+$F39),INDEX($T39:$AI39,AI$127-$I39+1),0)</f>
        <v>0</v>
      </c>
      <c r="AJ147" s="55">
        <f t="shared" si="71"/>
        <v>0</v>
      </c>
      <c r="AK147" s="55">
        <f t="shared" si="71"/>
        <v>0</v>
      </c>
      <c r="AL147" s="55">
        <f t="shared" si="71"/>
        <v>0</v>
      </c>
      <c r="AM147" s="55">
        <f t="shared" si="71"/>
        <v>0</v>
      </c>
      <c r="AN147" s="55">
        <f t="shared" si="71"/>
        <v>0</v>
      </c>
      <c r="AO147" s="55">
        <f t="shared" si="71"/>
        <v>0</v>
      </c>
      <c r="AP147" s="55">
        <f t="shared" si="71"/>
        <v>0</v>
      </c>
      <c r="AQ147" s="55">
        <f t="shared" si="71"/>
        <v>0</v>
      </c>
      <c r="AR147" s="55">
        <f t="shared" si="71"/>
        <v>0</v>
      </c>
      <c r="AS147" s="55">
        <f t="shared" si="71"/>
        <v>0</v>
      </c>
      <c r="AT147" s="55">
        <f t="shared" si="71"/>
        <v>0</v>
      </c>
      <c r="AU147" s="55">
        <f t="shared" si="71"/>
        <v>0</v>
      </c>
      <c r="AV147" s="55">
        <f t="shared" si="71"/>
        <v>0</v>
      </c>
      <c r="AW147" s="55">
        <f t="shared" si="71"/>
        <v>0</v>
      </c>
      <c r="AX147" s="55">
        <f t="shared" si="71"/>
        <v>0</v>
      </c>
      <c r="AY147" s="55">
        <f t="shared" si="71"/>
        <v>0</v>
      </c>
      <c r="AZ147" s="55">
        <f t="shared" si="71"/>
        <v>0</v>
      </c>
      <c r="BA147" s="55">
        <f t="shared" si="71"/>
        <v>0</v>
      </c>
      <c r="BB147" s="55">
        <f t="shared" si="71"/>
        <v>0</v>
      </c>
      <c r="BC147" s="55">
        <f t="shared" si="71"/>
        <v>0</v>
      </c>
      <c r="BD147" s="55">
        <f t="shared" si="71"/>
        <v>0</v>
      </c>
      <c r="BE147" s="55">
        <f t="shared" si="71"/>
        <v>0</v>
      </c>
      <c r="BF147" s="55">
        <f t="shared" si="71"/>
        <v>0</v>
      </c>
      <c r="BG147" s="55">
        <f t="shared" si="71"/>
        <v>0</v>
      </c>
      <c r="BH147" s="55">
        <f t="shared" si="71"/>
        <v>0</v>
      </c>
      <c r="BI147" s="55">
        <f t="shared" si="71"/>
        <v>0</v>
      </c>
      <c r="BJ147" s="55">
        <f t="shared" si="71"/>
        <v>0</v>
      </c>
    </row>
    <row r="148" spans="1:62" x14ac:dyDescent="0.3">
      <c r="A148" s="53" t="str">
        <f t="shared" si="39"/>
        <v>project 32</v>
      </c>
      <c r="C148" s="55">
        <f t="shared" ref="C148:AH148" si="72">IF(AND(C$127&gt;=$I40,C$127&lt;$I40+$F40),INDEX($T40:$AI40,C$127-$I40+1),0)</f>
        <v>1.744</v>
      </c>
      <c r="D148" s="55">
        <f t="shared" si="72"/>
        <v>1.5588235294117641</v>
      </c>
      <c r="E148" s="55">
        <f t="shared" si="72"/>
        <v>12.15301806997309</v>
      </c>
      <c r="F148" s="55">
        <f t="shared" si="72"/>
        <v>0</v>
      </c>
      <c r="G148" s="55">
        <f t="shared" si="72"/>
        <v>0</v>
      </c>
      <c r="H148" s="55">
        <f t="shared" si="72"/>
        <v>0</v>
      </c>
      <c r="I148" s="55">
        <f t="shared" si="72"/>
        <v>0</v>
      </c>
      <c r="J148" s="55">
        <f t="shared" si="72"/>
        <v>0</v>
      </c>
      <c r="K148" s="55">
        <f t="shared" si="72"/>
        <v>0</v>
      </c>
      <c r="L148" s="55">
        <f t="shared" si="72"/>
        <v>0</v>
      </c>
      <c r="M148" s="55">
        <f t="shared" si="72"/>
        <v>0</v>
      </c>
      <c r="N148" s="55">
        <f t="shared" si="72"/>
        <v>0</v>
      </c>
      <c r="O148" s="55">
        <f t="shared" si="72"/>
        <v>0</v>
      </c>
      <c r="P148" s="55">
        <f t="shared" si="72"/>
        <v>0</v>
      </c>
      <c r="Q148" s="55">
        <f t="shared" si="72"/>
        <v>0</v>
      </c>
      <c r="R148" s="55">
        <f t="shared" si="72"/>
        <v>0</v>
      </c>
      <c r="S148" s="55">
        <f t="shared" si="72"/>
        <v>0</v>
      </c>
      <c r="T148" s="55">
        <f t="shared" si="72"/>
        <v>0</v>
      </c>
      <c r="U148" s="55">
        <f t="shared" si="72"/>
        <v>0</v>
      </c>
      <c r="V148" s="55">
        <f t="shared" si="72"/>
        <v>0</v>
      </c>
      <c r="W148" s="55">
        <f t="shared" si="72"/>
        <v>0</v>
      </c>
      <c r="X148" s="55">
        <f t="shared" si="72"/>
        <v>0</v>
      </c>
      <c r="Y148" s="55">
        <f t="shared" si="72"/>
        <v>0</v>
      </c>
      <c r="Z148" s="55">
        <f t="shared" si="72"/>
        <v>0</v>
      </c>
      <c r="AA148" s="55">
        <f t="shared" si="72"/>
        <v>0</v>
      </c>
      <c r="AB148" s="55">
        <f t="shared" si="72"/>
        <v>0</v>
      </c>
      <c r="AC148" s="55">
        <f t="shared" si="72"/>
        <v>0</v>
      </c>
      <c r="AD148" s="55">
        <f t="shared" si="72"/>
        <v>0</v>
      </c>
      <c r="AE148" s="55">
        <f t="shared" si="72"/>
        <v>0</v>
      </c>
      <c r="AF148" s="55">
        <f t="shared" si="72"/>
        <v>0</v>
      </c>
      <c r="AG148" s="55">
        <f t="shared" si="72"/>
        <v>0</v>
      </c>
      <c r="AH148" s="55">
        <f t="shared" si="72"/>
        <v>0</v>
      </c>
      <c r="AI148" s="55">
        <f t="shared" ref="AI148:BJ148" si="73">IF(AND(AI$127&gt;=$I40,AI$127&lt;$I40+$F40),INDEX($T40:$AI40,AI$127-$I40+1),0)</f>
        <v>0</v>
      </c>
      <c r="AJ148" s="55">
        <f t="shared" si="73"/>
        <v>0</v>
      </c>
      <c r="AK148" s="55">
        <f t="shared" si="73"/>
        <v>0</v>
      </c>
      <c r="AL148" s="55">
        <f t="shared" si="73"/>
        <v>0</v>
      </c>
      <c r="AM148" s="55">
        <f t="shared" si="73"/>
        <v>0</v>
      </c>
      <c r="AN148" s="55">
        <f t="shared" si="73"/>
        <v>0</v>
      </c>
      <c r="AO148" s="55">
        <f t="shared" si="73"/>
        <v>0</v>
      </c>
      <c r="AP148" s="55">
        <f t="shared" si="73"/>
        <v>0</v>
      </c>
      <c r="AQ148" s="55">
        <f t="shared" si="73"/>
        <v>0</v>
      </c>
      <c r="AR148" s="55">
        <f t="shared" si="73"/>
        <v>0</v>
      </c>
      <c r="AS148" s="55">
        <f t="shared" si="73"/>
        <v>0</v>
      </c>
      <c r="AT148" s="55">
        <f t="shared" si="73"/>
        <v>0</v>
      </c>
      <c r="AU148" s="55">
        <f t="shared" si="73"/>
        <v>0</v>
      </c>
      <c r="AV148" s="55">
        <f t="shared" si="73"/>
        <v>0</v>
      </c>
      <c r="AW148" s="55">
        <f t="shared" si="73"/>
        <v>0</v>
      </c>
      <c r="AX148" s="55">
        <f t="shared" si="73"/>
        <v>0</v>
      </c>
      <c r="AY148" s="55">
        <f t="shared" si="73"/>
        <v>0</v>
      </c>
      <c r="AZ148" s="55">
        <f t="shared" si="73"/>
        <v>0</v>
      </c>
      <c r="BA148" s="55">
        <f t="shared" si="73"/>
        <v>0</v>
      </c>
      <c r="BB148" s="55">
        <f t="shared" si="73"/>
        <v>0</v>
      </c>
      <c r="BC148" s="55">
        <f t="shared" si="73"/>
        <v>0</v>
      </c>
      <c r="BD148" s="55">
        <f t="shared" si="73"/>
        <v>0</v>
      </c>
      <c r="BE148" s="55">
        <f t="shared" si="73"/>
        <v>0</v>
      </c>
      <c r="BF148" s="55">
        <f t="shared" si="73"/>
        <v>0</v>
      </c>
      <c r="BG148" s="55">
        <f t="shared" si="73"/>
        <v>0</v>
      </c>
      <c r="BH148" s="55">
        <f t="shared" si="73"/>
        <v>0</v>
      </c>
      <c r="BI148" s="55">
        <f t="shared" si="73"/>
        <v>0</v>
      </c>
      <c r="BJ148" s="55">
        <f t="shared" si="73"/>
        <v>0</v>
      </c>
    </row>
    <row r="149" spans="1:62" x14ac:dyDescent="0.3">
      <c r="A149" s="53" t="str">
        <f t="shared" si="39"/>
        <v>project 33</v>
      </c>
      <c r="C149" s="55">
        <f t="shared" ref="C149:AH149" si="74">IF(AND(C$127&gt;=$I41,C$127&lt;$I41+$F41),INDEX($T41:$AI41,C$127-$I41+1),0)</f>
        <v>0</v>
      </c>
      <c r="D149" s="55">
        <f t="shared" si="74"/>
        <v>0</v>
      </c>
      <c r="E149" s="55">
        <f t="shared" si="74"/>
        <v>0</v>
      </c>
      <c r="F149" s="55">
        <f t="shared" si="74"/>
        <v>0</v>
      </c>
      <c r="G149" s="55">
        <f t="shared" si="74"/>
        <v>0</v>
      </c>
      <c r="H149" s="55">
        <f t="shared" si="74"/>
        <v>0</v>
      </c>
      <c r="I149" s="55">
        <f t="shared" si="74"/>
        <v>0</v>
      </c>
      <c r="J149" s="55">
        <f t="shared" si="74"/>
        <v>0</v>
      </c>
      <c r="K149" s="55">
        <f t="shared" si="74"/>
        <v>0</v>
      </c>
      <c r="L149" s="55">
        <f t="shared" si="74"/>
        <v>0</v>
      </c>
      <c r="M149" s="55">
        <f t="shared" si="74"/>
        <v>0</v>
      </c>
      <c r="N149" s="55">
        <f t="shared" si="74"/>
        <v>0</v>
      </c>
      <c r="O149" s="55">
        <f t="shared" si="74"/>
        <v>0</v>
      </c>
      <c r="P149" s="55">
        <f t="shared" si="74"/>
        <v>0</v>
      </c>
      <c r="Q149" s="55">
        <f t="shared" si="74"/>
        <v>0</v>
      </c>
      <c r="R149" s="55">
        <f t="shared" si="74"/>
        <v>0</v>
      </c>
      <c r="S149" s="55">
        <f t="shared" si="74"/>
        <v>0</v>
      </c>
      <c r="T149" s="55">
        <f t="shared" si="74"/>
        <v>0</v>
      </c>
      <c r="U149" s="55">
        <f t="shared" si="74"/>
        <v>7.5467250000000003</v>
      </c>
      <c r="V149" s="55">
        <f t="shared" si="74"/>
        <v>1.4269499999999999</v>
      </c>
      <c r="W149" s="55">
        <f t="shared" si="74"/>
        <v>0</v>
      </c>
      <c r="X149" s="55">
        <f t="shared" si="74"/>
        <v>0</v>
      </c>
      <c r="Y149" s="55">
        <f t="shared" si="74"/>
        <v>0</v>
      </c>
      <c r="Z149" s="55">
        <f t="shared" si="74"/>
        <v>0</v>
      </c>
      <c r="AA149" s="55">
        <f t="shared" si="74"/>
        <v>0</v>
      </c>
      <c r="AB149" s="55">
        <f t="shared" si="74"/>
        <v>0</v>
      </c>
      <c r="AC149" s="55">
        <f t="shared" si="74"/>
        <v>0</v>
      </c>
      <c r="AD149" s="55">
        <f t="shared" si="74"/>
        <v>0</v>
      </c>
      <c r="AE149" s="55">
        <f t="shared" si="74"/>
        <v>0</v>
      </c>
      <c r="AF149" s="55">
        <f t="shared" si="74"/>
        <v>0</v>
      </c>
      <c r="AG149" s="55">
        <f t="shared" si="74"/>
        <v>0</v>
      </c>
      <c r="AH149" s="55">
        <f t="shared" si="74"/>
        <v>0</v>
      </c>
      <c r="AI149" s="55">
        <f t="shared" ref="AI149:BJ149" si="75">IF(AND(AI$127&gt;=$I41,AI$127&lt;$I41+$F41),INDEX($T41:$AI41,AI$127-$I41+1),0)</f>
        <v>0</v>
      </c>
      <c r="AJ149" s="55">
        <f t="shared" si="75"/>
        <v>0</v>
      </c>
      <c r="AK149" s="55">
        <f t="shared" si="75"/>
        <v>0</v>
      </c>
      <c r="AL149" s="55">
        <f t="shared" si="75"/>
        <v>0</v>
      </c>
      <c r="AM149" s="55">
        <f t="shared" si="75"/>
        <v>0</v>
      </c>
      <c r="AN149" s="55">
        <f t="shared" si="75"/>
        <v>0</v>
      </c>
      <c r="AO149" s="55">
        <f t="shared" si="75"/>
        <v>0</v>
      </c>
      <c r="AP149" s="55">
        <f t="shared" si="75"/>
        <v>0</v>
      </c>
      <c r="AQ149" s="55">
        <f t="shared" si="75"/>
        <v>0</v>
      </c>
      <c r="AR149" s="55">
        <f t="shared" si="75"/>
        <v>0</v>
      </c>
      <c r="AS149" s="55">
        <f t="shared" si="75"/>
        <v>0</v>
      </c>
      <c r="AT149" s="55">
        <f t="shared" si="75"/>
        <v>0</v>
      </c>
      <c r="AU149" s="55">
        <f t="shared" si="75"/>
        <v>0</v>
      </c>
      <c r="AV149" s="55">
        <f t="shared" si="75"/>
        <v>0</v>
      </c>
      <c r="AW149" s="55">
        <f t="shared" si="75"/>
        <v>0</v>
      </c>
      <c r="AX149" s="55">
        <f t="shared" si="75"/>
        <v>0</v>
      </c>
      <c r="AY149" s="55">
        <f t="shared" si="75"/>
        <v>0</v>
      </c>
      <c r="AZ149" s="55">
        <f t="shared" si="75"/>
        <v>0</v>
      </c>
      <c r="BA149" s="55">
        <f t="shared" si="75"/>
        <v>0</v>
      </c>
      <c r="BB149" s="55">
        <f t="shared" si="75"/>
        <v>0</v>
      </c>
      <c r="BC149" s="55">
        <f t="shared" si="75"/>
        <v>0</v>
      </c>
      <c r="BD149" s="55">
        <f t="shared" si="75"/>
        <v>0</v>
      </c>
      <c r="BE149" s="55">
        <f t="shared" si="75"/>
        <v>0</v>
      </c>
      <c r="BF149" s="55">
        <f t="shared" si="75"/>
        <v>0</v>
      </c>
      <c r="BG149" s="55">
        <f t="shared" si="75"/>
        <v>0</v>
      </c>
      <c r="BH149" s="55">
        <f t="shared" si="75"/>
        <v>0</v>
      </c>
      <c r="BI149" s="55">
        <f t="shared" si="75"/>
        <v>0</v>
      </c>
      <c r="BJ149" s="55">
        <f t="shared" si="75"/>
        <v>0</v>
      </c>
    </row>
    <row r="150" spans="1:62" x14ac:dyDescent="0.3">
      <c r="A150" s="53" t="str">
        <f t="shared" si="39"/>
        <v>project 37</v>
      </c>
      <c r="C150" s="55">
        <f t="shared" ref="C150:AH150" si="76">IF(AND(C$127&gt;=$I42,C$127&lt;$I42+$F42),INDEX($T42:$AI42,C$127-$I42+1),0)</f>
        <v>0</v>
      </c>
      <c r="D150" s="55">
        <f t="shared" si="76"/>
        <v>0</v>
      </c>
      <c r="E150" s="55">
        <f t="shared" si="76"/>
        <v>0</v>
      </c>
      <c r="F150" s="55">
        <f t="shared" si="76"/>
        <v>0</v>
      </c>
      <c r="G150" s="55">
        <f t="shared" si="76"/>
        <v>0</v>
      </c>
      <c r="H150" s="55">
        <f t="shared" si="76"/>
        <v>0</v>
      </c>
      <c r="I150" s="55">
        <f t="shared" si="76"/>
        <v>0</v>
      </c>
      <c r="J150" s="55">
        <f t="shared" si="76"/>
        <v>0</v>
      </c>
      <c r="K150" s="55">
        <f t="shared" si="76"/>
        <v>0</v>
      </c>
      <c r="L150" s="55">
        <f t="shared" si="76"/>
        <v>0</v>
      </c>
      <c r="M150" s="55">
        <f t="shared" si="76"/>
        <v>0</v>
      </c>
      <c r="N150" s="55">
        <f t="shared" si="76"/>
        <v>0</v>
      </c>
      <c r="O150" s="55">
        <f t="shared" si="76"/>
        <v>0</v>
      </c>
      <c r="P150" s="55">
        <f t="shared" si="76"/>
        <v>0</v>
      </c>
      <c r="Q150" s="55">
        <f t="shared" si="76"/>
        <v>0</v>
      </c>
      <c r="R150" s="55">
        <f t="shared" si="76"/>
        <v>0</v>
      </c>
      <c r="S150" s="55">
        <f t="shared" si="76"/>
        <v>0</v>
      </c>
      <c r="T150" s="55">
        <f t="shared" si="76"/>
        <v>0</v>
      </c>
      <c r="U150" s="55">
        <f t="shared" si="76"/>
        <v>6.54</v>
      </c>
      <c r="V150" s="55">
        <f t="shared" si="76"/>
        <v>2.1372549019607838</v>
      </c>
      <c r="W150" s="55">
        <f t="shared" si="76"/>
        <v>0</v>
      </c>
      <c r="X150" s="55">
        <f t="shared" si="76"/>
        <v>0</v>
      </c>
      <c r="Y150" s="55">
        <f t="shared" si="76"/>
        <v>0</v>
      </c>
      <c r="Z150" s="55">
        <f t="shared" si="76"/>
        <v>0</v>
      </c>
      <c r="AA150" s="55">
        <f t="shared" si="76"/>
        <v>0</v>
      </c>
      <c r="AB150" s="55">
        <f t="shared" si="76"/>
        <v>0</v>
      </c>
      <c r="AC150" s="55">
        <f t="shared" si="76"/>
        <v>0</v>
      </c>
      <c r="AD150" s="55">
        <f t="shared" si="76"/>
        <v>0</v>
      </c>
      <c r="AE150" s="55">
        <f t="shared" si="76"/>
        <v>0</v>
      </c>
      <c r="AF150" s="55">
        <f t="shared" si="76"/>
        <v>0</v>
      </c>
      <c r="AG150" s="55">
        <f t="shared" si="76"/>
        <v>0</v>
      </c>
      <c r="AH150" s="55">
        <f t="shared" si="76"/>
        <v>0</v>
      </c>
      <c r="AI150" s="55">
        <f t="shared" ref="AI150:BJ150" si="77">IF(AND(AI$127&gt;=$I42,AI$127&lt;$I42+$F42),INDEX($T42:$AI42,AI$127-$I42+1),0)</f>
        <v>0</v>
      </c>
      <c r="AJ150" s="55">
        <f t="shared" si="77"/>
        <v>0</v>
      </c>
      <c r="AK150" s="55">
        <f t="shared" si="77"/>
        <v>0</v>
      </c>
      <c r="AL150" s="55">
        <f t="shared" si="77"/>
        <v>0</v>
      </c>
      <c r="AM150" s="55">
        <f t="shared" si="77"/>
        <v>0</v>
      </c>
      <c r="AN150" s="55">
        <f t="shared" si="77"/>
        <v>0</v>
      </c>
      <c r="AO150" s="55">
        <f t="shared" si="77"/>
        <v>0</v>
      </c>
      <c r="AP150" s="55">
        <f t="shared" si="77"/>
        <v>0</v>
      </c>
      <c r="AQ150" s="55">
        <f t="shared" si="77"/>
        <v>0</v>
      </c>
      <c r="AR150" s="55">
        <f t="shared" si="77"/>
        <v>0</v>
      </c>
      <c r="AS150" s="55">
        <f t="shared" si="77"/>
        <v>0</v>
      </c>
      <c r="AT150" s="55">
        <f t="shared" si="77"/>
        <v>0</v>
      </c>
      <c r="AU150" s="55">
        <f t="shared" si="77"/>
        <v>0</v>
      </c>
      <c r="AV150" s="55">
        <f t="shared" si="77"/>
        <v>0</v>
      </c>
      <c r="AW150" s="55">
        <f t="shared" si="77"/>
        <v>0</v>
      </c>
      <c r="AX150" s="55">
        <f t="shared" si="77"/>
        <v>0</v>
      </c>
      <c r="AY150" s="55">
        <f t="shared" si="77"/>
        <v>0</v>
      </c>
      <c r="AZ150" s="55">
        <f t="shared" si="77"/>
        <v>0</v>
      </c>
      <c r="BA150" s="55">
        <f t="shared" si="77"/>
        <v>0</v>
      </c>
      <c r="BB150" s="55">
        <f t="shared" si="77"/>
        <v>0</v>
      </c>
      <c r="BC150" s="55">
        <f t="shared" si="77"/>
        <v>0</v>
      </c>
      <c r="BD150" s="55">
        <f t="shared" si="77"/>
        <v>0</v>
      </c>
      <c r="BE150" s="55">
        <f t="shared" si="77"/>
        <v>0</v>
      </c>
      <c r="BF150" s="55">
        <f t="shared" si="77"/>
        <v>0</v>
      </c>
      <c r="BG150" s="55">
        <f t="shared" si="77"/>
        <v>0</v>
      </c>
      <c r="BH150" s="55">
        <f t="shared" si="77"/>
        <v>0</v>
      </c>
      <c r="BI150" s="55">
        <f t="shared" si="77"/>
        <v>0</v>
      </c>
      <c r="BJ150" s="55">
        <f t="shared" si="77"/>
        <v>0</v>
      </c>
    </row>
    <row r="151" spans="1:62" x14ac:dyDescent="0.3">
      <c r="A151" s="53" t="str">
        <f t="shared" si="39"/>
        <v>project 38</v>
      </c>
      <c r="C151" s="55">
        <f t="shared" ref="C151:AH151" si="78">IF(AND(C$127&gt;=$I43,C$127&lt;$I43+$F43),INDEX($T43:$AI43,C$127-$I43+1),0)</f>
        <v>2</v>
      </c>
      <c r="D151" s="55">
        <f t="shared" si="78"/>
        <v>39.2156862745098</v>
      </c>
      <c r="E151" s="55">
        <f t="shared" si="78"/>
        <v>20.583429450211462</v>
      </c>
      <c r="F151" s="55">
        <f t="shared" si="78"/>
        <v>20.179832794324959</v>
      </c>
      <c r="G151" s="55">
        <f t="shared" si="78"/>
        <v>0</v>
      </c>
      <c r="H151" s="55">
        <f t="shared" si="78"/>
        <v>0</v>
      </c>
      <c r="I151" s="55">
        <f t="shared" si="78"/>
        <v>0</v>
      </c>
      <c r="J151" s="55">
        <f t="shared" si="78"/>
        <v>0</v>
      </c>
      <c r="K151" s="55">
        <f t="shared" si="78"/>
        <v>0</v>
      </c>
      <c r="L151" s="55">
        <f t="shared" si="78"/>
        <v>0</v>
      </c>
      <c r="M151" s="55">
        <f t="shared" si="78"/>
        <v>0</v>
      </c>
      <c r="N151" s="55">
        <f t="shared" si="78"/>
        <v>0</v>
      </c>
      <c r="O151" s="55">
        <f t="shared" si="78"/>
        <v>0</v>
      </c>
      <c r="P151" s="55">
        <f t="shared" si="78"/>
        <v>0</v>
      </c>
      <c r="Q151" s="55">
        <f t="shared" si="78"/>
        <v>0</v>
      </c>
      <c r="R151" s="55">
        <f t="shared" si="78"/>
        <v>0</v>
      </c>
      <c r="S151" s="55">
        <f t="shared" si="78"/>
        <v>0</v>
      </c>
      <c r="T151" s="55">
        <f t="shared" si="78"/>
        <v>0</v>
      </c>
      <c r="U151" s="55">
        <f t="shared" si="78"/>
        <v>0</v>
      </c>
      <c r="V151" s="55">
        <f t="shared" si="78"/>
        <v>0</v>
      </c>
      <c r="W151" s="55">
        <f t="shared" si="78"/>
        <v>0</v>
      </c>
      <c r="X151" s="55">
        <f t="shared" si="78"/>
        <v>0</v>
      </c>
      <c r="Y151" s="55">
        <f t="shared" si="78"/>
        <v>0</v>
      </c>
      <c r="Z151" s="55">
        <f t="shared" si="78"/>
        <v>0</v>
      </c>
      <c r="AA151" s="55">
        <f t="shared" si="78"/>
        <v>0</v>
      </c>
      <c r="AB151" s="55">
        <f t="shared" si="78"/>
        <v>0</v>
      </c>
      <c r="AC151" s="55">
        <f t="shared" si="78"/>
        <v>0</v>
      </c>
      <c r="AD151" s="55">
        <f t="shared" si="78"/>
        <v>0</v>
      </c>
      <c r="AE151" s="55">
        <f t="shared" si="78"/>
        <v>0</v>
      </c>
      <c r="AF151" s="55">
        <f t="shared" si="78"/>
        <v>0</v>
      </c>
      <c r="AG151" s="55">
        <f t="shared" si="78"/>
        <v>0</v>
      </c>
      <c r="AH151" s="55">
        <f t="shared" si="78"/>
        <v>0</v>
      </c>
      <c r="AI151" s="55">
        <f t="shared" ref="AI151:BJ151" si="79">IF(AND(AI$127&gt;=$I43,AI$127&lt;$I43+$F43),INDEX($T43:$AI43,AI$127-$I43+1),0)</f>
        <v>0</v>
      </c>
      <c r="AJ151" s="55">
        <f t="shared" si="79"/>
        <v>0</v>
      </c>
      <c r="AK151" s="55">
        <f t="shared" si="79"/>
        <v>0</v>
      </c>
      <c r="AL151" s="55">
        <f t="shared" si="79"/>
        <v>0</v>
      </c>
      <c r="AM151" s="55">
        <f t="shared" si="79"/>
        <v>0</v>
      </c>
      <c r="AN151" s="55">
        <f t="shared" si="79"/>
        <v>0</v>
      </c>
      <c r="AO151" s="55">
        <f t="shared" si="79"/>
        <v>0</v>
      </c>
      <c r="AP151" s="55">
        <f t="shared" si="79"/>
        <v>0</v>
      </c>
      <c r="AQ151" s="55">
        <f t="shared" si="79"/>
        <v>0</v>
      </c>
      <c r="AR151" s="55">
        <f t="shared" si="79"/>
        <v>0</v>
      </c>
      <c r="AS151" s="55">
        <f t="shared" si="79"/>
        <v>0</v>
      </c>
      <c r="AT151" s="55">
        <f t="shared" si="79"/>
        <v>0</v>
      </c>
      <c r="AU151" s="55">
        <f t="shared" si="79"/>
        <v>0</v>
      </c>
      <c r="AV151" s="55">
        <f t="shared" si="79"/>
        <v>0</v>
      </c>
      <c r="AW151" s="55">
        <f t="shared" si="79"/>
        <v>0</v>
      </c>
      <c r="AX151" s="55">
        <f t="shared" si="79"/>
        <v>0</v>
      </c>
      <c r="AY151" s="55">
        <f t="shared" si="79"/>
        <v>0</v>
      </c>
      <c r="AZ151" s="55">
        <f t="shared" si="79"/>
        <v>0</v>
      </c>
      <c r="BA151" s="55">
        <f t="shared" si="79"/>
        <v>0</v>
      </c>
      <c r="BB151" s="55">
        <f t="shared" si="79"/>
        <v>0</v>
      </c>
      <c r="BC151" s="55">
        <f t="shared" si="79"/>
        <v>0</v>
      </c>
      <c r="BD151" s="55">
        <f t="shared" si="79"/>
        <v>0</v>
      </c>
      <c r="BE151" s="55">
        <f t="shared" si="79"/>
        <v>0</v>
      </c>
      <c r="BF151" s="55">
        <f t="shared" si="79"/>
        <v>0</v>
      </c>
      <c r="BG151" s="55">
        <f t="shared" si="79"/>
        <v>0</v>
      </c>
      <c r="BH151" s="55">
        <f t="shared" si="79"/>
        <v>0</v>
      </c>
      <c r="BI151" s="55">
        <f t="shared" si="79"/>
        <v>0</v>
      </c>
      <c r="BJ151" s="55">
        <f t="shared" si="79"/>
        <v>0</v>
      </c>
    </row>
    <row r="152" spans="1:62" x14ac:dyDescent="0.3">
      <c r="A152" s="53" t="str">
        <f t="shared" si="39"/>
        <v>project 39</v>
      </c>
      <c r="C152" s="55">
        <f t="shared" ref="C152:AH152" si="80">IF(AND(C$127&gt;=$I44,C$127&lt;$I44+$F44),INDEX($T44:$AI44,C$127-$I44+1),0)</f>
        <v>18.529463</v>
      </c>
      <c r="D152" s="55">
        <f t="shared" si="80"/>
        <v>1.304794117647059</v>
      </c>
      <c r="E152" s="55">
        <f t="shared" si="80"/>
        <v>0</v>
      </c>
      <c r="F152" s="55">
        <f t="shared" si="80"/>
        <v>0</v>
      </c>
      <c r="G152" s="55">
        <f t="shared" si="80"/>
        <v>0</v>
      </c>
      <c r="H152" s="55">
        <f t="shared" si="80"/>
        <v>0</v>
      </c>
      <c r="I152" s="55">
        <f t="shared" si="80"/>
        <v>0</v>
      </c>
      <c r="J152" s="55">
        <f t="shared" si="80"/>
        <v>0</v>
      </c>
      <c r="K152" s="55">
        <f t="shared" si="80"/>
        <v>0</v>
      </c>
      <c r="L152" s="55">
        <f t="shared" si="80"/>
        <v>0</v>
      </c>
      <c r="M152" s="55">
        <f t="shared" si="80"/>
        <v>0</v>
      </c>
      <c r="N152" s="55">
        <f t="shared" si="80"/>
        <v>0</v>
      </c>
      <c r="O152" s="55">
        <f t="shared" si="80"/>
        <v>0</v>
      </c>
      <c r="P152" s="55">
        <f t="shared" si="80"/>
        <v>0</v>
      </c>
      <c r="Q152" s="55">
        <f t="shared" si="80"/>
        <v>0</v>
      </c>
      <c r="R152" s="55">
        <f t="shared" si="80"/>
        <v>0</v>
      </c>
      <c r="S152" s="55">
        <f t="shared" si="80"/>
        <v>0</v>
      </c>
      <c r="T152" s="55">
        <f t="shared" si="80"/>
        <v>0</v>
      </c>
      <c r="U152" s="55">
        <f t="shared" si="80"/>
        <v>0</v>
      </c>
      <c r="V152" s="55">
        <f t="shared" si="80"/>
        <v>0</v>
      </c>
      <c r="W152" s="55">
        <f t="shared" si="80"/>
        <v>0</v>
      </c>
      <c r="X152" s="55">
        <f t="shared" si="80"/>
        <v>0</v>
      </c>
      <c r="Y152" s="55">
        <f t="shared" si="80"/>
        <v>0</v>
      </c>
      <c r="Z152" s="55">
        <f t="shared" si="80"/>
        <v>0</v>
      </c>
      <c r="AA152" s="55">
        <f t="shared" si="80"/>
        <v>0</v>
      </c>
      <c r="AB152" s="55">
        <f t="shared" si="80"/>
        <v>0</v>
      </c>
      <c r="AC152" s="55">
        <f t="shared" si="80"/>
        <v>0</v>
      </c>
      <c r="AD152" s="55">
        <f t="shared" si="80"/>
        <v>0</v>
      </c>
      <c r="AE152" s="55">
        <f t="shared" si="80"/>
        <v>0</v>
      </c>
      <c r="AF152" s="55">
        <f t="shared" si="80"/>
        <v>0</v>
      </c>
      <c r="AG152" s="55">
        <f t="shared" si="80"/>
        <v>0</v>
      </c>
      <c r="AH152" s="55">
        <f t="shared" si="80"/>
        <v>0</v>
      </c>
      <c r="AI152" s="55">
        <f t="shared" ref="AI152:BJ152" si="81">IF(AND(AI$127&gt;=$I44,AI$127&lt;$I44+$F44),INDEX($T44:$AI44,AI$127-$I44+1),0)</f>
        <v>0</v>
      </c>
      <c r="AJ152" s="55">
        <f t="shared" si="81"/>
        <v>0</v>
      </c>
      <c r="AK152" s="55">
        <f t="shared" si="81"/>
        <v>0</v>
      </c>
      <c r="AL152" s="55">
        <f t="shared" si="81"/>
        <v>0</v>
      </c>
      <c r="AM152" s="55">
        <f t="shared" si="81"/>
        <v>0</v>
      </c>
      <c r="AN152" s="55">
        <f t="shared" si="81"/>
        <v>0</v>
      </c>
      <c r="AO152" s="55">
        <f t="shared" si="81"/>
        <v>0</v>
      </c>
      <c r="AP152" s="55">
        <f t="shared" si="81"/>
        <v>0</v>
      </c>
      <c r="AQ152" s="55">
        <f t="shared" si="81"/>
        <v>0</v>
      </c>
      <c r="AR152" s="55">
        <f t="shared" si="81"/>
        <v>0</v>
      </c>
      <c r="AS152" s="55">
        <f t="shared" si="81"/>
        <v>0</v>
      </c>
      <c r="AT152" s="55">
        <f t="shared" si="81"/>
        <v>0</v>
      </c>
      <c r="AU152" s="55">
        <f t="shared" si="81"/>
        <v>0</v>
      </c>
      <c r="AV152" s="55">
        <f t="shared" si="81"/>
        <v>0</v>
      </c>
      <c r="AW152" s="55">
        <f t="shared" si="81"/>
        <v>0</v>
      </c>
      <c r="AX152" s="55">
        <f t="shared" si="81"/>
        <v>0</v>
      </c>
      <c r="AY152" s="55">
        <f t="shared" si="81"/>
        <v>0</v>
      </c>
      <c r="AZ152" s="55">
        <f t="shared" si="81"/>
        <v>0</v>
      </c>
      <c r="BA152" s="55">
        <f t="shared" si="81"/>
        <v>0</v>
      </c>
      <c r="BB152" s="55">
        <f t="shared" si="81"/>
        <v>0</v>
      </c>
      <c r="BC152" s="55">
        <f t="shared" si="81"/>
        <v>0</v>
      </c>
      <c r="BD152" s="55">
        <f t="shared" si="81"/>
        <v>0</v>
      </c>
      <c r="BE152" s="55">
        <f t="shared" si="81"/>
        <v>0</v>
      </c>
      <c r="BF152" s="55">
        <f t="shared" si="81"/>
        <v>0</v>
      </c>
      <c r="BG152" s="55">
        <f t="shared" si="81"/>
        <v>0</v>
      </c>
      <c r="BH152" s="55">
        <f t="shared" si="81"/>
        <v>0</v>
      </c>
      <c r="BI152" s="55">
        <f t="shared" si="81"/>
        <v>0</v>
      </c>
      <c r="BJ152" s="55">
        <f t="shared" si="81"/>
        <v>0</v>
      </c>
    </row>
    <row r="153" spans="1:62" x14ac:dyDescent="0.3">
      <c r="A153" s="53" t="str">
        <f t="shared" si="39"/>
        <v>project 40</v>
      </c>
      <c r="C153" s="55">
        <f t="shared" ref="C153:AH153" si="82">IF(AND(C$127&gt;=$I45,C$127&lt;$I45+$F45),INDEX($T45:$AI45,C$127-$I45+1),0)</f>
        <v>5.4128860000000003</v>
      </c>
      <c r="D153" s="55">
        <f t="shared" si="82"/>
        <v>20.303921568627452</v>
      </c>
      <c r="E153" s="55">
        <f t="shared" si="82"/>
        <v>0</v>
      </c>
      <c r="F153" s="55">
        <f t="shared" si="82"/>
        <v>0</v>
      </c>
      <c r="G153" s="55">
        <f t="shared" si="82"/>
        <v>0</v>
      </c>
      <c r="H153" s="55">
        <f t="shared" si="82"/>
        <v>0</v>
      </c>
      <c r="I153" s="55">
        <f t="shared" si="82"/>
        <v>0</v>
      </c>
      <c r="J153" s="55">
        <f t="shared" si="82"/>
        <v>0</v>
      </c>
      <c r="K153" s="55">
        <f t="shared" si="82"/>
        <v>0</v>
      </c>
      <c r="L153" s="55">
        <f t="shared" si="82"/>
        <v>0</v>
      </c>
      <c r="M153" s="55">
        <f t="shared" si="82"/>
        <v>0</v>
      </c>
      <c r="N153" s="55">
        <f t="shared" si="82"/>
        <v>0</v>
      </c>
      <c r="O153" s="55">
        <f t="shared" si="82"/>
        <v>0</v>
      </c>
      <c r="P153" s="55">
        <f t="shared" si="82"/>
        <v>0</v>
      </c>
      <c r="Q153" s="55">
        <f t="shared" si="82"/>
        <v>0</v>
      </c>
      <c r="R153" s="55">
        <f t="shared" si="82"/>
        <v>0</v>
      </c>
      <c r="S153" s="55">
        <f t="shared" si="82"/>
        <v>0</v>
      </c>
      <c r="T153" s="55">
        <f t="shared" si="82"/>
        <v>0</v>
      </c>
      <c r="U153" s="55">
        <f t="shared" si="82"/>
        <v>0</v>
      </c>
      <c r="V153" s="55">
        <f t="shared" si="82"/>
        <v>0</v>
      </c>
      <c r="W153" s="55">
        <f t="shared" si="82"/>
        <v>0</v>
      </c>
      <c r="X153" s="55">
        <f t="shared" si="82"/>
        <v>0</v>
      </c>
      <c r="Y153" s="55">
        <f t="shared" si="82"/>
        <v>0</v>
      </c>
      <c r="Z153" s="55">
        <f t="shared" si="82"/>
        <v>0</v>
      </c>
      <c r="AA153" s="55">
        <f t="shared" si="82"/>
        <v>0</v>
      </c>
      <c r="AB153" s="55">
        <f t="shared" si="82"/>
        <v>0</v>
      </c>
      <c r="AC153" s="55">
        <f t="shared" si="82"/>
        <v>0</v>
      </c>
      <c r="AD153" s="55">
        <f t="shared" si="82"/>
        <v>0</v>
      </c>
      <c r="AE153" s="55">
        <f t="shared" si="82"/>
        <v>0</v>
      </c>
      <c r="AF153" s="55">
        <f t="shared" si="82"/>
        <v>0</v>
      </c>
      <c r="AG153" s="55">
        <f t="shared" si="82"/>
        <v>0</v>
      </c>
      <c r="AH153" s="55">
        <f t="shared" si="82"/>
        <v>0</v>
      </c>
      <c r="AI153" s="55">
        <f t="shared" ref="AI153:BJ153" si="83">IF(AND(AI$127&gt;=$I45,AI$127&lt;$I45+$F45),INDEX($T45:$AI45,AI$127-$I45+1),0)</f>
        <v>0</v>
      </c>
      <c r="AJ153" s="55">
        <f t="shared" si="83"/>
        <v>0</v>
      </c>
      <c r="AK153" s="55">
        <f t="shared" si="83"/>
        <v>0</v>
      </c>
      <c r="AL153" s="55">
        <f t="shared" si="83"/>
        <v>0</v>
      </c>
      <c r="AM153" s="55">
        <f t="shared" si="83"/>
        <v>0</v>
      </c>
      <c r="AN153" s="55">
        <f t="shared" si="83"/>
        <v>0</v>
      </c>
      <c r="AO153" s="55">
        <f t="shared" si="83"/>
        <v>0</v>
      </c>
      <c r="AP153" s="55">
        <f t="shared" si="83"/>
        <v>0</v>
      </c>
      <c r="AQ153" s="55">
        <f t="shared" si="83"/>
        <v>0</v>
      </c>
      <c r="AR153" s="55">
        <f t="shared" si="83"/>
        <v>0</v>
      </c>
      <c r="AS153" s="55">
        <f t="shared" si="83"/>
        <v>0</v>
      </c>
      <c r="AT153" s="55">
        <f t="shared" si="83"/>
        <v>0</v>
      </c>
      <c r="AU153" s="55">
        <f t="shared" si="83"/>
        <v>0</v>
      </c>
      <c r="AV153" s="55">
        <f t="shared" si="83"/>
        <v>0</v>
      </c>
      <c r="AW153" s="55">
        <f t="shared" si="83"/>
        <v>0</v>
      </c>
      <c r="AX153" s="55">
        <f t="shared" si="83"/>
        <v>0</v>
      </c>
      <c r="AY153" s="55">
        <f t="shared" si="83"/>
        <v>0</v>
      </c>
      <c r="AZ153" s="55">
        <f t="shared" si="83"/>
        <v>0</v>
      </c>
      <c r="BA153" s="55">
        <f t="shared" si="83"/>
        <v>0</v>
      </c>
      <c r="BB153" s="55">
        <f t="shared" si="83"/>
        <v>0</v>
      </c>
      <c r="BC153" s="55">
        <f t="shared" si="83"/>
        <v>0</v>
      </c>
      <c r="BD153" s="55">
        <f t="shared" si="83"/>
        <v>0</v>
      </c>
      <c r="BE153" s="55">
        <f t="shared" si="83"/>
        <v>0</v>
      </c>
      <c r="BF153" s="55">
        <f t="shared" si="83"/>
        <v>0</v>
      </c>
      <c r="BG153" s="55">
        <f t="shared" si="83"/>
        <v>0</v>
      </c>
      <c r="BH153" s="55">
        <f t="shared" si="83"/>
        <v>0</v>
      </c>
      <c r="BI153" s="55">
        <f t="shared" si="83"/>
        <v>0</v>
      </c>
      <c r="BJ153" s="55">
        <f t="shared" si="83"/>
        <v>0</v>
      </c>
    </row>
    <row r="154" spans="1:62" x14ac:dyDescent="0.3">
      <c r="A154" s="53" t="str">
        <f t="shared" si="39"/>
        <v>project 41</v>
      </c>
      <c r="C154" s="55">
        <f t="shared" ref="C154:AH154" si="84">IF(AND(C$127&gt;=$I46,C$127&lt;$I46+$F46),INDEX($T46:$AI46,C$127-$I46+1),0)</f>
        <v>0</v>
      </c>
      <c r="D154" s="55">
        <f t="shared" si="84"/>
        <v>0</v>
      </c>
      <c r="E154" s="55">
        <f t="shared" si="84"/>
        <v>0</v>
      </c>
      <c r="F154" s="55">
        <f t="shared" si="84"/>
        <v>0</v>
      </c>
      <c r="G154" s="55">
        <f t="shared" si="84"/>
        <v>0</v>
      </c>
      <c r="H154" s="55">
        <f t="shared" si="84"/>
        <v>0</v>
      </c>
      <c r="I154" s="55">
        <f t="shared" si="84"/>
        <v>0</v>
      </c>
      <c r="J154" s="55">
        <f t="shared" si="84"/>
        <v>0</v>
      </c>
      <c r="K154" s="55">
        <f t="shared" si="84"/>
        <v>0</v>
      </c>
      <c r="L154" s="55">
        <f t="shared" si="84"/>
        <v>0</v>
      </c>
      <c r="M154" s="55">
        <f t="shared" si="84"/>
        <v>0</v>
      </c>
      <c r="N154" s="55">
        <f t="shared" si="84"/>
        <v>0</v>
      </c>
      <c r="O154" s="55">
        <f t="shared" si="84"/>
        <v>0</v>
      </c>
      <c r="P154" s="55">
        <f t="shared" si="84"/>
        <v>0</v>
      </c>
      <c r="Q154" s="55">
        <f t="shared" si="84"/>
        <v>0</v>
      </c>
      <c r="R154" s="55">
        <f t="shared" si="84"/>
        <v>0</v>
      </c>
      <c r="S154" s="55">
        <f t="shared" si="84"/>
        <v>0</v>
      </c>
      <c r="T154" s="55">
        <f t="shared" si="84"/>
        <v>0</v>
      </c>
      <c r="U154" s="55">
        <f t="shared" si="84"/>
        <v>0.70915499999999998</v>
      </c>
      <c r="V154" s="55">
        <f t="shared" si="84"/>
        <v>0.69525000000000003</v>
      </c>
      <c r="W154" s="55">
        <f t="shared" si="84"/>
        <v>0</v>
      </c>
      <c r="X154" s="55">
        <f t="shared" si="84"/>
        <v>0</v>
      </c>
      <c r="Y154" s="55">
        <f t="shared" si="84"/>
        <v>0</v>
      </c>
      <c r="Z154" s="55">
        <f t="shared" si="84"/>
        <v>0</v>
      </c>
      <c r="AA154" s="55">
        <f t="shared" si="84"/>
        <v>0</v>
      </c>
      <c r="AB154" s="55">
        <f t="shared" si="84"/>
        <v>0</v>
      </c>
      <c r="AC154" s="55">
        <f t="shared" si="84"/>
        <v>0</v>
      </c>
      <c r="AD154" s="55">
        <f t="shared" si="84"/>
        <v>0</v>
      </c>
      <c r="AE154" s="55">
        <f t="shared" si="84"/>
        <v>0</v>
      </c>
      <c r="AF154" s="55">
        <f t="shared" si="84"/>
        <v>0</v>
      </c>
      <c r="AG154" s="55">
        <f t="shared" si="84"/>
        <v>0</v>
      </c>
      <c r="AH154" s="55">
        <f t="shared" si="84"/>
        <v>0</v>
      </c>
      <c r="AI154" s="55">
        <f t="shared" ref="AI154:BJ154" si="85">IF(AND(AI$127&gt;=$I46,AI$127&lt;$I46+$F46),INDEX($T46:$AI46,AI$127-$I46+1),0)</f>
        <v>0</v>
      </c>
      <c r="AJ154" s="55">
        <f t="shared" si="85"/>
        <v>0</v>
      </c>
      <c r="AK154" s="55">
        <f t="shared" si="85"/>
        <v>0</v>
      </c>
      <c r="AL154" s="55">
        <f t="shared" si="85"/>
        <v>0</v>
      </c>
      <c r="AM154" s="55">
        <f t="shared" si="85"/>
        <v>0</v>
      </c>
      <c r="AN154" s="55">
        <f t="shared" si="85"/>
        <v>0</v>
      </c>
      <c r="AO154" s="55">
        <f t="shared" si="85"/>
        <v>0</v>
      </c>
      <c r="AP154" s="55">
        <f t="shared" si="85"/>
        <v>0</v>
      </c>
      <c r="AQ154" s="55">
        <f t="shared" si="85"/>
        <v>0</v>
      </c>
      <c r="AR154" s="55">
        <f t="shared" si="85"/>
        <v>0</v>
      </c>
      <c r="AS154" s="55">
        <f t="shared" si="85"/>
        <v>0</v>
      </c>
      <c r="AT154" s="55">
        <f t="shared" si="85"/>
        <v>0</v>
      </c>
      <c r="AU154" s="55">
        <f t="shared" si="85"/>
        <v>0</v>
      </c>
      <c r="AV154" s="55">
        <f t="shared" si="85"/>
        <v>0</v>
      </c>
      <c r="AW154" s="55">
        <f t="shared" si="85"/>
        <v>0</v>
      </c>
      <c r="AX154" s="55">
        <f t="shared" si="85"/>
        <v>0</v>
      </c>
      <c r="AY154" s="55">
        <f t="shared" si="85"/>
        <v>0</v>
      </c>
      <c r="AZ154" s="55">
        <f t="shared" si="85"/>
        <v>0</v>
      </c>
      <c r="BA154" s="55">
        <f t="shared" si="85"/>
        <v>0</v>
      </c>
      <c r="BB154" s="55">
        <f t="shared" si="85"/>
        <v>0</v>
      </c>
      <c r="BC154" s="55">
        <f t="shared" si="85"/>
        <v>0</v>
      </c>
      <c r="BD154" s="55">
        <f t="shared" si="85"/>
        <v>0</v>
      </c>
      <c r="BE154" s="55">
        <f t="shared" si="85"/>
        <v>0</v>
      </c>
      <c r="BF154" s="55">
        <f t="shared" si="85"/>
        <v>0</v>
      </c>
      <c r="BG154" s="55">
        <f t="shared" si="85"/>
        <v>0</v>
      </c>
      <c r="BH154" s="55">
        <f t="shared" si="85"/>
        <v>0</v>
      </c>
      <c r="BI154" s="55">
        <f t="shared" si="85"/>
        <v>0</v>
      </c>
      <c r="BJ154" s="55">
        <f t="shared" si="85"/>
        <v>0</v>
      </c>
    </row>
    <row r="155" spans="1:62" x14ac:dyDescent="0.3">
      <c r="A155" s="53" t="str">
        <f t="shared" si="39"/>
        <v>project 42</v>
      </c>
      <c r="C155" s="55">
        <f t="shared" ref="C155:AH155" si="86">IF(AND(C$127&gt;=$I47,C$127&lt;$I47+$F47),INDEX($T47:$AI47,C$127-$I47+1),0)</f>
        <v>0</v>
      </c>
      <c r="D155" s="55">
        <f t="shared" si="86"/>
        <v>0</v>
      </c>
      <c r="E155" s="55">
        <f t="shared" si="86"/>
        <v>0</v>
      </c>
      <c r="F155" s="55">
        <f t="shared" si="86"/>
        <v>0</v>
      </c>
      <c r="G155" s="55">
        <f t="shared" si="86"/>
        <v>0</v>
      </c>
      <c r="H155" s="55">
        <f t="shared" si="86"/>
        <v>0</v>
      </c>
      <c r="I155" s="55">
        <f t="shared" si="86"/>
        <v>0</v>
      </c>
      <c r="J155" s="55">
        <f t="shared" si="86"/>
        <v>0</v>
      </c>
      <c r="K155" s="55">
        <f t="shared" si="86"/>
        <v>0</v>
      </c>
      <c r="L155" s="55">
        <f t="shared" si="86"/>
        <v>0</v>
      </c>
      <c r="M155" s="55">
        <f t="shared" si="86"/>
        <v>0</v>
      </c>
      <c r="N155" s="55">
        <f t="shared" si="86"/>
        <v>0</v>
      </c>
      <c r="O155" s="55">
        <f t="shared" si="86"/>
        <v>0</v>
      </c>
      <c r="P155" s="55">
        <f t="shared" si="86"/>
        <v>0</v>
      </c>
      <c r="Q155" s="55">
        <f t="shared" si="86"/>
        <v>0</v>
      </c>
      <c r="R155" s="55">
        <f t="shared" si="86"/>
        <v>0</v>
      </c>
      <c r="S155" s="55">
        <f t="shared" si="86"/>
        <v>0</v>
      </c>
      <c r="T155" s="55">
        <f t="shared" si="86"/>
        <v>0</v>
      </c>
      <c r="U155" s="55">
        <f t="shared" si="86"/>
        <v>0</v>
      </c>
      <c r="V155" s="55">
        <f t="shared" si="86"/>
        <v>5.45E-2</v>
      </c>
      <c r="W155" s="55">
        <f t="shared" si="86"/>
        <v>0</v>
      </c>
      <c r="X155" s="55">
        <f t="shared" si="86"/>
        <v>0</v>
      </c>
      <c r="Y155" s="55">
        <f t="shared" si="86"/>
        <v>0</v>
      </c>
      <c r="Z155" s="55">
        <f t="shared" si="86"/>
        <v>0</v>
      </c>
      <c r="AA155" s="55">
        <f t="shared" si="86"/>
        <v>0</v>
      </c>
      <c r="AB155" s="55">
        <f t="shared" si="86"/>
        <v>0</v>
      </c>
      <c r="AC155" s="55">
        <f t="shared" si="86"/>
        <v>0</v>
      </c>
      <c r="AD155" s="55">
        <f t="shared" si="86"/>
        <v>0</v>
      </c>
      <c r="AE155" s="55">
        <f t="shared" si="86"/>
        <v>0</v>
      </c>
      <c r="AF155" s="55">
        <f t="shared" si="86"/>
        <v>0</v>
      </c>
      <c r="AG155" s="55">
        <f t="shared" si="86"/>
        <v>0</v>
      </c>
      <c r="AH155" s="55">
        <f t="shared" si="86"/>
        <v>0</v>
      </c>
      <c r="AI155" s="55">
        <f t="shared" ref="AI155:BJ155" si="87">IF(AND(AI$127&gt;=$I47,AI$127&lt;$I47+$F47),INDEX($T47:$AI47,AI$127-$I47+1),0)</f>
        <v>0</v>
      </c>
      <c r="AJ155" s="55">
        <f t="shared" si="87"/>
        <v>0</v>
      </c>
      <c r="AK155" s="55">
        <f t="shared" si="87"/>
        <v>0</v>
      </c>
      <c r="AL155" s="55">
        <f t="shared" si="87"/>
        <v>0</v>
      </c>
      <c r="AM155" s="55">
        <f t="shared" si="87"/>
        <v>0</v>
      </c>
      <c r="AN155" s="55">
        <f t="shared" si="87"/>
        <v>0</v>
      </c>
      <c r="AO155" s="55">
        <f t="shared" si="87"/>
        <v>0</v>
      </c>
      <c r="AP155" s="55">
        <f t="shared" si="87"/>
        <v>0</v>
      </c>
      <c r="AQ155" s="55">
        <f t="shared" si="87"/>
        <v>0</v>
      </c>
      <c r="AR155" s="55">
        <f t="shared" si="87"/>
        <v>0</v>
      </c>
      <c r="AS155" s="55">
        <f t="shared" si="87"/>
        <v>0</v>
      </c>
      <c r="AT155" s="55">
        <f t="shared" si="87"/>
        <v>0</v>
      </c>
      <c r="AU155" s="55">
        <f t="shared" si="87"/>
        <v>0</v>
      </c>
      <c r="AV155" s="55">
        <f t="shared" si="87"/>
        <v>0</v>
      </c>
      <c r="AW155" s="55">
        <f t="shared" si="87"/>
        <v>0</v>
      </c>
      <c r="AX155" s="55">
        <f t="shared" si="87"/>
        <v>0</v>
      </c>
      <c r="AY155" s="55">
        <f t="shared" si="87"/>
        <v>0</v>
      </c>
      <c r="AZ155" s="55">
        <f t="shared" si="87"/>
        <v>0</v>
      </c>
      <c r="BA155" s="55">
        <f t="shared" si="87"/>
        <v>0</v>
      </c>
      <c r="BB155" s="55">
        <f t="shared" si="87"/>
        <v>0</v>
      </c>
      <c r="BC155" s="55">
        <f t="shared" si="87"/>
        <v>0</v>
      </c>
      <c r="BD155" s="55">
        <f t="shared" si="87"/>
        <v>0</v>
      </c>
      <c r="BE155" s="55">
        <f t="shared" si="87"/>
        <v>0</v>
      </c>
      <c r="BF155" s="55">
        <f t="shared" si="87"/>
        <v>0</v>
      </c>
      <c r="BG155" s="55">
        <f t="shared" si="87"/>
        <v>0</v>
      </c>
      <c r="BH155" s="55">
        <f t="shared" si="87"/>
        <v>0</v>
      </c>
      <c r="BI155" s="55">
        <f t="shared" si="87"/>
        <v>0</v>
      </c>
      <c r="BJ155" s="55">
        <f t="shared" si="87"/>
        <v>0</v>
      </c>
    </row>
    <row r="156" spans="1:62" x14ac:dyDescent="0.3">
      <c r="A156" s="53" t="str">
        <f t="shared" si="39"/>
        <v>project 43</v>
      </c>
      <c r="C156" s="55">
        <f t="shared" ref="C156:AH156" si="88">IF(AND(C$127&gt;=$I48,C$127&lt;$I48+$F48),INDEX($T48:$AI48,C$127-$I48+1),0)</f>
        <v>0</v>
      </c>
      <c r="D156" s="55">
        <f t="shared" si="88"/>
        <v>0</v>
      </c>
      <c r="E156" s="55">
        <f t="shared" si="88"/>
        <v>0</v>
      </c>
      <c r="F156" s="55">
        <f t="shared" si="88"/>
        <v>0</v>
      </c>
      <c r="G156" s="55">
        <f t="shared" si="88"/>
        <v>0</v>
      </c>
      <c r="H156" s="55">
        <f t="shared" si="88"/>
        <v>0</v>
      </c>
      <c r="I156" s="55">
        <f t="shared" si="88"/>
        <v>0</v>
      </c>
      <c r="J156" s="55">
        <f t="shared" si="88"/>
        <v>0</v>
      </c>
      <c r="K156" s="55">
        <f t="shared" si="88"/>
        <v>0</v>
      </c>
      <c r="L156" s="55">
        <f t="shared" si="88"/>
        <v>0</v>
      </c>
      <c r="M156" s="55">
        <f t="shared" si="88"/>
        <v>0</v>
      </c>
      <c r="N156" s="55">
        <f t="shared" si="88"/>
        <v>0</v>
      </c>
      <c r="O156" s="55">
        <f t="shared" si="88"/>
        <v>0</v>
      </c>
      <c r="P156" s="55">
        <f t="shared" si="88"/>
        <v>0</v>
      </c>
      <c r="Q156" s="55">
        <f t="shared" si="88"/>
        <v>0</v>
      </c>
      <c r="R156" s="55">
        <f t="shared" si="88"/>
        <v>0</v>
      </c>
      <c r="S156" s="55">
        <f t="shared" si="88"/>
        <v>0</v>
      </c>
      <c r="T156" s="55">
        <f t="shared" si="88"/>
        <v>0</v>
      </c>
      <c r="U156" s="55">
        <f t="shared" si="88"/>
        <v>0</v>
      </c>
      <c r="V156" s="55">
        <f t="shared" si="88"/>
        <v>3.8150000000000003E-2</v>
      </c>
      <c r="W156" s="55">
        <f t="shared" si="88"/>
        <v>0</v>
      </c>
      <c r="X156" s="55">
        <f t="shared" si="88"/>
        <v>0</v>
      </c>
      <c r="Y156" s="55">
        <f t="shared" si="88"/>
        <v>0</v>
      </c>
      <c r="Z156" s="55">
        <f t="shared" si="88"/>
        <v>0</v>
      </c>
      <c r="AA156" s="55">
        <f t="shared" si="88"/>
        <v>0</v>
      </c>
      <c r="AB156" s="55">
        <f t="shared" si="88"/>
        <v>0</v>
      </c>
      <c r="AC156" s="55">
        <f t="shared" si="88"/>
        <v>0</v>
      </c>
      <c r="AD156" s="55">
        <f t="shared" si="88"/>
        <v>0</v>
      </c>
      <c r="AE156" s="55">
        <f t="shared" si="88"/>
        <v>0</v>
      </c>
      <c r="AF156" s="55">
        <f t="shared" si="88"/>
        <v>0</v>
      </c>
      <c r="AG156" s="55">
        <f t="shared" si="88"/>
        <v>0</v>
      </c>
      <c r="AH156" s="55">
        <f t="shared" si="88"/>
        <v>0</v>
      </c>
      <c r="AI156" s="55">
        <f t="shared" ref="AI156:BJ156" si="89">IF(AND(AI$127&gt;=$I48,AI$127&lt;$I48+$F48),INDEX($T48:$AI48,AI$127-$I48+1),0)</f>
        <v>0</v>
      </c>
      <c r="AJ156" s="55">
        <f t="shared" si="89"/>
        <v>0</v>
      </c>
      <c r="AK156" s="55">
        <f t="shared" si="89"/>
        <v>0</v>
      </c>
      <c r="AL156" s="55">
        <f t="shared" si="89"/>
        <v>0</v>
      </c>
      <c r="AM156" s="55">
        <f t="shared" si="89"/>
        <v>0</v>
      </c>
      <c r="AN156" s="55">
        <f t="shared" si="89"/>
        <v>0</v>
      </c>
      <c r="AO156" s="55">
        <f t="shared" si="89"/>
        <v>0</v>
      </c>
      <c r="AP156" s="55">
        <f t="shared" si="89"/>
        <v>0</v>
      </c>
      <c r="AQ156" s="55">
        <f t="shared" si="89"/>
        <v>0</v>
      </c>
      <c r="AR156" s="55">
        <f t="shared" si="89"/>
        <v>0</v>
      </c>
      <c r="AS156" s="55">
        <f t="shared" si="89"/>
        <v>0</v>
      </c>
      <c r="AT156" s="55">
        <f t="shared" si="89"/>
        <v>0</v>
      </c>
      <c r="AU156" s="55">
        <f t="shared" si="89"/>
        <v>0</v>
      </c>
      <c r="AV156" s="55">
        <f t="shared" si="89"/>
        <v>0</v>
      </c>
      <c r="AW156" s="55">
        <f t="shared" si="89"/>
        <v>0</v>
      </c>
      <c r="AX156" s="55">
        <f t="shared" si="89"/>
        <v>0</v>
      </c>
      <c r="AY156" s="55">
        <f t="shared" si="89"/>
        <v>0</v>
      </c>
      <c r="AZ156" s="55">
        <f t="shared" si="89"/>
        <v>0</v>
      </c>
      <c r="BA156" s="55">
        <f t="shared" si="89"/>
        <v>0</v>
      </c>
      <c r="BB156" s="55">
        <f t="shared" si="89"/>
        <v>0</v>
      </c>
      <c r="BC156" s="55">
        <f t="shared" si="89"/>
        <v>0</v>
      </c>
      <c r="BD156" s="55">
        <f t="shared" si="89"/>
        <v>0</v>
      </c>
      <c r="BE156" s="55">
        <f t="shared" si="89"/>
        <v>0</v>
      </c>
      <c r="BF156" s="55">
        <f t="shared" si="89"/>
        <v>0</v>
      </c>
      <c r="BG156" s="55">
        <f t="shared" si="89"/>
        <v>0</v>
      </c>
      <c r="BH156" s="55">
        <f t="shared" si="89"/>
        <v>0</v>
      </c>
      <c r="BI156" s="55">
        <f t="shared" si="89"/>
        <v>0</v>
      </c>
      <c r="BJ156" s="55">
        <f t="shared" si="89"/>
        <v>0</v>
      </c>
    </row>
    <row r="157" spans="1:62" x14ac:dyDescent="0.3">
      <c r="A157" s="53" t="str">
        <f t="shared" si="39"/>
        <v>project 44</v>
      </c>
      <c r="C157" s="55">
        <f t="shared" ref="C157:AH157" si="90">IF(AND(C$127&gt;=$I49,C$127&lt;$I49+$F49),INDEX($T49:$AI49,C$127-$I49+1),0)</f>
        <v>0</v>
      </c>
      <c r="D157" s="55">
        <f t="shared" si="90"/>
        <v>0</v>
      </c>
      <c r="E157" s="55">
        <f t="shared" si="90"/>
        <v>0</v>
      </c>
      <c r="F157" s="55">
        <f t="shared" si="90"/>
        <v>0</v>
      </c>
      <c r="G157" s="55">
        <f t="shared" si="90"/>
        <v>0</v>
      </c>
      <c r="H157" s="55">
        <f t="shared" si="90"/>
        <v>0</v>
      </c>
      <c r="I157" s="55">
        <f t="shared" si="90"/>
        <v>3.27E-2</v>
      </c>
      <c r="J157" s="55">
        <f t="shared" si="90"/>
        <v>0</v>
      </c>
      <c r="K157" s="55">
        <f t="shared" si="90"/>
        <v>0</v>
      </c>
      <c r="L157" s="55">
        <f t="shared" si="90"/>
        <v>0</v>
      </c>
      <c r="M157" s="55">
        <f t="shared" si="90"/>
        <v>0</v>
      </c>
      <c r="N157" s="55">
        <f t="shared" si="90"/>
        <v>0</v>
      </c>
      <c r="O157" s="55">
        <f t="shared" si="90"/>
        <v>0</v>
      </c>
      <c r="P157" s="55">
        <f t="shared" si="90"/>
        <v>0</v>
      </c>
      <c r="Q157" s="55">
        <f t="shared" si="90"/>
        <v>0</v>
      </c>
      <c r="R157" s="55">
        <f t="shared" si="90"/>
        <v>0</v>
      </c>
      <c r="S157" s="55">
        <f t="shared" si="90"/>
        <v>0</v>
      </c>
      <c r="T157" s="55">
        <f t="shared" si="90"/>
        <v>0</v>
      </c>
      <c r="U157" s="55">
        <f t="shared" si="90"/>
        <v>0</v>
      </c>
      <c r="V157" s="55">
        <f t="shared" si="90"/>
        <v>0</v>
      </c>
      <c r="W157" s="55">
        <f t="shared" si="90"/>
        <v>0</v>
      </c>
      <c r="X157" s="55">
        <f t="shared" si="90"/>
        <v>0</v>
      </c>
      <c r="Y157" s="55">
        <f t="shared" si="90"/>
        <v>0</v>
      </c>
      <c r="Z157" s="55">
        <f t="shared" si="90"/>
        <v>0</v>
      </c>
      <c r="AA157" s="55">
        <f t="shared" si="90"/>
        <v>0</v>
      </c>
      <c r="AB157" s="55">
        <f t="shared" si="90"/>
        <v>0</v>
      </c>
      <c r="AC157" s="55">
        <f t="shared" si="90"/>
        <v>0</v>
      </c>
      <c r="AD157" s="55">
        <f t="shared" si="90"/>
        <v>0</v>
      </c>
      <c r="AE157" s="55">
        <f t="shared" si="90"/>
        <v>0</v>
      </c>
      <c r="AF157" s="55">
        <f t="shared" si="90"/>
        <v>0</v>
      </c>
      <c r="AG157" s="55">
        <f t="shared" si="90"/>
        <v>0</v>
      </c>
      <c r="AH157" s="55">
        <f t="shared" si="90"/>
        <v>0</v>
      </c>
      <c r="AI157" s="55">
        <f t="shared" ref="AI157:BJ157" si="91">IF(AND(AI$127&gt;=$I49,AI$127&lt;$I49+$F49),INDEX($T49:$AI49,AI$127-$I49+1),0)</f>
        <v>0</v>
      </c>
      <c r="AJ157" s="55">
        <f t="shared" si="91"/>
        <v>0</v>
      </c>
      <c r="AK157" s="55">
        <f t="shared" si="91"/>
        <v>0</v>
      </c>
      <c r="AL157" s="55">
        <f t="shared" si="91"/>
        <v>0</v>
      </c>
      <c r="AM157" s="55">
        <f t="shared" si="91"/>
        <v>0</v>
      </c>
      <c r="AN157" s="55">
        <f t="shared" si="91"/>
        <v>0</v>
      </c>
      <c r="AO157" s="55">
        <f t="shared" si="91"/>
        <v>0</v>
      </c>
      <c r="AP157" s="55">
        <f t="shared" si="91"/>
        <v>0</v>
      </c>
      <c r="AQ157" s="55">
        <f t="shared" si="91"/>
        <v>0</v>
      </c>
      <c r="AR157" s="55">
        <f t="shared" si="91"/>
        <v>0</v>
      </c>
      <c r="AS157" s="55">
        <f t="shared" si="91"/>
        <v>0</v>
      </c>
      <c r="AT157" s="55">
        <f t="shared" si="91"/>
        <v>0</v>
      </c>
      <c r="AU157" s="55">
        <f t="shared" si="91"/>
        <v>0</v>
      </c>
      <c r="AV157" s="55">
        <f t="shared" si="91"/>
        <v>0</v>
      </c>
      <c r="AW157" s="55">
        <f t="shared" si="91"/>
        <v>0</v>
      </c>
      <c r="AX157" s="55">
        <f t="shared" si="91"/>
        <v>0</v>
      </c>
      <c r="AY157" s="55">
        <f t="shared" si="91"/>
        <v>0</v>
      </c>
      <c r="AZ157" s="55">
        <f t="shared" si="91"/>
        <v>0</v>
      </c>
      <c r="BA157" s="55">
        <f t="shared" si="91"/>
        <v>0</v>
      </c>
      <c r="BB157" s="55">
        <f t="shared" si="91"/>
        <v>0</v>
      </c>
      <c r="BC157" s="55">
        <f t="shared" si="91"/>
        <v>0</v>
      </c>
      <c r="BD157" s="55">
        <f t="shared" si="91"/>
        <v>0</v>
      </c>
      <c r="BE157" s="55">
        <f t="shared" si="91"/>
        <v>0</v>
      </c>
      <c r="BF157" s="55">
        <f t="shared" si="91"/>
        <v>0</v>
      </c>
      <c r="BG157" s="55">
        <f t="shared" si="91"/>
        <v>0</v>
      </c>
      <c r="BH157" s="55">
        <f t="shared" si="91"/>
        <v>0</v>
      </c>
      <c r="BI157" s="55">
        <f t="shared" si="91"/>
        <v>0</v>
      </c>
      <c r="BJ157" s="55">
        <f t="shared" si="91"/>
        <v>0</v>
      </c>
    </row>
    <row r="158" spans="1:62" x14ac:dyDescent="0.3">
      <c r="A158" s="53" t="str">
        <f t="shared" si="39"/>
        <v>project 47</v>
      </c>
      <c r="C158" s="55">
        <f t="shared" ref="C158:AH158" si="92">IF(AND(C$127&gt;=$I50,C$127&lt;$I50+$F50),INDEX($T50:$AI50,C$127-$I50+1),0)</f>
        <v>0</v>
      </c>
      <c r="D158" s="55">
        <f t="shared" si="92"/>
        <v>0</v>
      </c>
      <c r="E158" s="55">
        <f t="shared" si="92"/>
        <v>0</v>
      </c>
      <c r="F158" s="55">
        <f t="shared" si="92"/>
        <v>0</v>
      </c>
      <c r="G158" s="55">
        <f t="shared" si="92"/>
        <v>0</v>
      </c>
      <c r="H158" s="55">
        <f t="shared" si="92"/>
        <v>0</v>
      </c>
      <c r="I158" s="55">
        <f t="shared" si="92"/>
        <v>0</v>
      </c>
      <c r="J158" s="55">
        <f t="shared" si="92"/>
        <v>0</v>
      </c>
      <c r="K158" s="55">
        <f t="shared" si="92"/>
        <v>0</v>
      </c>
      <c r="L158" s="55">
        <f t="shared" si="92"/>
        <v>0</v>
      </c>
      <c r="M158" s="55">
        <f t="shared" si="92"/>
        <v>0</v>
      </c>
      <c r="N158" s="55">
        <f t="shared" si="92"/>
        <v>0</v>
      </c>
      <c r="O158" s="55">
        <f t="shared" si="92"/>
        <v>0</v>
      </c>
      <c r="P158" s="55">
        <f t="shared" si="92"/>
        <v>0</v>
      </c>
      <c r="Q158" s="55">
        <f t="shared" si="92"/>
        <v>0</v>
      </c>
      <c r="R158" s="55">
        <f t="shared" si="92"/>
        <v>0</v>
      </c>
      <c r="S158" s="55">
        <f t="shared" si="92"/>
        <v>0</v>
      </c>
      <c r="T158" s="55">
        <f t="shared" si="92"/>
        <v>0</v>
      </c>
      <c r="U158" s="55">
        <f t="shared" si="92"/>
        <v>1.689051810877459</v>
      </c>
      <c r="V158" s="55">
        <f t="shared" si="92"/>
        <v>1.145905260134134</v>
      </c>
      <c r="W158" s="55">
        <f t="shared" si="92"/>
        <v>0</v>
      </c>
      <c r="X158" s="55">
        <f t="shared" si="92"/>
        <v>0</v>
      </c>
      <c r="Y158" s="55">
        <f t="shared" si="92"/>
        <v>0</v>
      </c>
      <c r="Z158" s="55">
        <f t="shared" si="92"/>
        <v>0</v>
      </c>
      <c r="AA158" s="55">
        <f t="shared" si="92"/>
        <v>0</v>
      </c>
      <c r="AB158" s="55">
        <f t="shared" si="92"/>
        <v>0</v>
      </c>
      <c r="AC158" s="55">
        <f t="shared" si="92"/>
        <v>0</v>
      </c>
      <c r="AD158" s="55">
        <f t="shared" si="92"/>
        <v>0</v>
      </c>
      <c r="AE158" s="55">
        <f t="shared" si="92"/>
        <v>0</v>
      </c>
      <c r="AF158" s="55">
        <f t="shared" si="92"/>
        <v>0</v>
      </c>
      <c r="AG158" s="55">
        <f t="shared" si="92"/>
        <v>0</v>
      </c>
      <c r="AH158" s="55">
        <f t="shared" si="92"/>
        <v>0</v>
      </c>
      <c r="AI158" s="55">
        <f t="shared" ref="AI158:BJ158" si="93">IF(AND(AI$127&gt;=$I50,AI$127&lt;$I50+$F50),INDEX($T50:$AI50,AI$127-$I50+1),0)</f>
        <v>0</v>
      </c>
      <c r="AJ158" s="55">
        <f t="shared" si="93"/>
        <v>0</v>
      </c>
      <c r="AK158" s="55">
        <f t="shared" si="93"/>
        <v>0</v>
      </c>
      <c r="AL158" s="55">
        <f t="shared" si="93"/>
        <v>0</v>
      </c>
      <c r="AM158" s="55">
        <f t="shared" si="93"/>
        <v>0</v>
      </c>
      <c r="AN158" s="55">
        <f t="shared" si="93"/>
        <v>0</v>
      </c>
      <c r="AO158" s="55">
        <f t="shared" si="93"/>
        <v>0</v>
      </c>
      <c r="AP158" s="55">
        <f t="shared" si="93"/>
        <v>0</v>
      </c>
      <c r="AQ158" s="55">
        <f t="shared" si="93"/>
        <v>0</v>
      </c>
      <c r="AR158" s="55">
        <f t="shared" si="93"/>
        <v>0</v>
      </c>
      <c r="AS158" s="55">
        <f t="shared" si="93"/>
        <v>0</v>
      </c>
      <c r="AT158" s="55">
        <f t="shared" si="93"/>
        <v>0</v>
      </c>
      <c r="AU158" s="55">
        <f t="shared" si="93"/>
        <v>0</v>
      </c>
      <c r="AV158" s="55">
        <f t="shared" si="93"/>
        <v>0</v>
      </c>
      <c r="AW158" s="55">
        <f t="shared" si="93"/>
        <v>0</v>
      </c>
      <c r="AX158" s="55">
        <f t="shared" si="93"/>
        <v>0</v>
      </c>
      <c r="AY158" s="55">
        <f t="shared" si="93"/>
        <v>0</v>
      </c>
      <c r="AZ158" s="55">
        <f t="shared" si="93"/>
        <v>0</v>
      </c>
      <c r="BA158" s="55">
        <f t="shared" si="93"/>
        <v>0</v>
      </c>
      <c r="BB158" s="55">
        <f t="shared" si="93"/>
        <v>0</v>
      </c>
      <c r="BC158" s="55">
        <f t="shared" si="93"/>
        <v>0</v>
      </c>
      <c r="BD158" s="55">
        <f t="shared" si="93"/>
        <v>0</v>
      </c>
      <c r="BE158" s="55">
        <f t="shared" si="93"/>
        <v>0</v>
      </c>
      <c r="BF158" s="55">
        <f t="shared" si="93"/>
        <v>0</v>
      </c>
      <c r="BG158" s="55">
        <f t="shared" si="93"/>
        <v>0</v>
      </c>
      <c r="BH158" s="55">
        <f t="shared" si="93"/>
        <v>0</v>
      </c>
      <c r="BI158" s="55">
        <f t="shared" si="93"/>
        <v>0</v>
      </c>
      <c r="BJ158" s="55">
        <f t="shared" si="93"/>
        <v>0</v>
      </c>
    </row>
    <row r="159" spans="1:62" x14ac:dyDescent="0.3">
      <c r="A159" s="53" t="str">
        <f t="shared" si="39"/>
        <v>project 48</v>
      </c>
      <c r="C159" s="55">
        <f t="shared" ref="C159:AH159" si="94">IF(AND(C$127&gt;=$I51,C$127&lt;$I51+$F51),INDEX($T51:$AI51,C$127-$I51+1),0)</f>
        <v>0</v>
      </c>
      <c r="D159" s="55">
        <f t="shared" si="94"/>
        <v>0</v>
      </c>
      <c r="E159" s="55">
        <f t="shared" si="94"/>
        <v>0</v>
      </c>
      <c r="F159" s="55">
        <f t="shared" si="94"/>
        <v>0</v>
      </c>
      <c r="G159" s="55">
        <f t="shared" si="94"/>
        <v>0</v>
      </c>
      <c r="H159" s="55">
        <f t="shared" si="94"/>
        <v>0</v>
      </c>
      <c r="I159" s="55">
        <f t="shared" si="94"/>
        <v>0</v>
      </c>
      <c r="J159" s="55">
        <f t="shared" si="94"/>
        <v>0</v>
      </c>
      <c r="K159" s="55">
        <f t="shared" si="94"/>
        <v>0</v>
      </c>
      <c r="L159" s="55">
        <f t="shared" si="94"/>
        <v>0</v>
      </c>
      <c r="M159" s="55">
        <f t="shared" si="94"/>
        <v>0</v>
      </c>
      <c r="N159" s="55">
        <f t="shared" si="94"/>
        <v>0</v>
      </c>
      <c r="O159" s="55">
        <f t="shared" si="94"/>
        <v>0</v>
      </c>
      <c r="P159" s="55">
        <f t="shared" si="94"/>
        <v>0</v>
      </c>
      <c r="Q159" s="55">
        <f t="shared" si="94"/>
        <v>0</v>
      </c>
      <c r="R159" s="55">
        <f t="shared" si="94"/>
        <v>0</v>
      </c>
      <c r="S159" s="55">
        <f t="shared" si="94"/>
        <v>0</v>
      </c>
      <c r="T159" s="55">
        <f t="shared" si="94"/>
        <v>0</v>
      </c>
      <c r="U159" s="55">
        <f t="shared" si="94"/>
        <v>0.30599999999999999</v>
      </c>
      <c r="V159" s="55">
        <f t="shared" si="94"/>
        <v>0.7</v>
      </c>
      <c r="W159" s="55">
        <f t="shared" si="94"/>
        <v>0</v>
      </c>
      <c r="X159" s="55">
        <f t="shared" si="94"/>
        <v>0</v>
      </c>
      <c r="Y159" s="55">
        <f t="shared" si="94"/>
        <v>0</v>
      </c>
      <c r="Z159" s="55">
        <f t="shared" si="94"/>
        <v>0</v>
      </c>
      <c r="AA159" s="55">
        <f t="shared" si="94"/>
        <v>0</v>
      </c>
      <c r="AB159" s="55">
        <f t="shared" si="94"/>
        <v>0</v>
      </c>
      <c r="AC159" s="55">
        <f t="shared" si="94"/>
        <v>0</v>
      </c>
      <c r="AD159" s="55">
        <f t="shared" si="94"/>
        <v>0</v>
      </c>
      <c r="AE159" s="55">
        <f t="shared" si="94"/>
        <v>0</v>
      </c>
      <c r="AF159" s="55">
        <f t="shared" si="94"/>
        <v>0</v>
      </c>
      <c r="AG159" s="55">
        <f t="shared" si="94"/>
        <v>0</v>
      </c>
      <c r="AH159" s="55">
        <f t="shared" si="94"/>
        <v>0</v>
      </c>
      <c r="AI159" s="55">
        <f t="shared" ref="AI159:BJ159" si="95">IF(AND(AI$127&gt;=$I51,AI$127&lt;$I51+$F51),INDEX($T51:$AI51,AI$127-$I51+1),0)</f>
        <v>0</v>
      </c>
      <c r="AJ159" s="55">
        <f t="shared" si="95"/>
        <v>0</v>
      </c>
      <c r="AK159" s="55">
        <f t="shared" si="95"/>
        <v>0</v>
      </c>
      <c r="AL159" s="55">
        <f t="shared" si="95"/>
        <v>0</v>
      </c>
      <c r="AM159" s="55">
        <f t="shared" si="95"/>
        <v>0</v>
      </c>
      <c r="AN159" s="55">
        <f t="shared" si="95"/>
        <v>0</v>
      </c>
      <c r="AO159" s="55">
        <f t="shared" si="95"/>
        <v>0</v>
      </c>
      <c r="AP159" s="55">
        <f t="shared" si="95"/>
        <v>0</v>
      </c>
      <c r="AQ159" s="55">
        <f t="shared" si="95"/>
        <v>0</v>
      </c>
      <c r="AR159" s="55">
        <f t="shared" si="95"/>
        <v>0</v>
      </c>
      <c r="AS159" s="55">
        <f t="shared" si="95"/>
        <v>0</v>
      </c>
      <c r="AT159" s="55">
        <f t="shared" si="95"/>
        <v>0</v>
      </c>
      <c r="AU159" s="55">
        <f t="shared" si="95"/>
        <v>0</v>
      </c>
      <c r="AV159" s="55">
        <f t="shared" si="95"/>
        <v>0</v>
      </c>
      <c r="AW159" s="55">
        <f t="shared" si="95"/>
        <v>0</v>
      </c>
      <c r="AX159" s="55">
        <f t="shared" si="95"/>
        <v>0</v>
      </c>
      <c r="AY159" s="55">
        <f t="shared" si="95"/>
        <v>0</v>
      </c>
      <c r="AZ159" s="55">
        <f t="shared" si="95"/>
        <v>0</v>
      </c>
      <c r="BA159" s="55">
        <f t="shared" si="95"/>
        <v>0</v>
      </c>
      <c r="BB159" s="55">
        <f t="shared" si="95"/>
        <v>0</v>
      </c>
      <c r="BC159" s="55">
        <f t="shared" si="95"/>
        <v>0</v>
      </c>
      <c r="BD159" s="55">
        <f t="shared" si="95"/>
        <v>0</v>
      </c>
      <c r="BE159" s="55">
        <f t="shared" si="95"/>
        <v>0</v>
      </c>
      <c r="BF159" s="55">
        <f t="shared" si="95"/>
        <v>0</v>
      </c>
      <c r="BG159" s="55">
        <f t="shared" si="95"/>
        <v>0</v>
      </c>
      <c r="BH159" s="55">
        <f t="shared" si="95"/>
        <v>0</v>
      </c>
      <c r="BI159" s="55">
        <f t="shared" si="95"/>
        <v>0</v>
      </c>
      <c r="BJ159" s="55">
        <f t="shared" si="95"/>
        <v>0</v>
      </c>
    </row>
    <row r="160" spans="1:62" x14ac:dyDescent="0.3">
      <c r="A160" s="53" t="str">
        <f t="shared" si="39"/>
        <v>project 50</v>
      </c>
      <c r="C160" s="55">
        <f t="shared" ref="C160:AH160" si="96">IF(AND(C$127&gt;=$I52,C$127&lt;$I52+$F52),INDEX($T52:$AI52,C$127-$I52+1),0)</f>
        <v>0</v>
      </c>
      <c r="D160" s="55">
        <f t="shared" si="96"/>
        <v>0</v>
      </c>
      <c r="E160" s="55">
        <f t="shared" si="96"/>
        <v>0</v>
      </c>
      <c r="F160" s="55">
        <f t="shared" si="96"/>
        <v>0</v>
      </c>
      <c r="G160" s="55">
        <f t="shared" si="96"/>
        <v>0</v>
      </c>
      <c r="H160" s="55">
        <f t="shared" si="96"/>
        <v>0</v>
      </c>
      <c r="I160" s="55">
        <f t="shared" si="96"/>
        <v>0</v>
      </c>
      <c r="J160" s="55">
        <f t="shared" si="96"/>
        <v>0</v>
      </c>
      <c r="K160" s="55">
        <f t="shared" si="96"/>
        <v>0</v>
      </c>
      <c r="L160" s="55">
        <f t="shared" si="96"/>
        <v>0</v>
      </c>
      <c r="M160" s="55">
        <f t="shared" si="96"/>
        <v>0</v>
      </c>
      <c r="N160" s="55">
        <f t="shared" si="96"/>
        <v>0</v>
      </c>
      <c r="O160" s="55">
        <f t="shared" si="96"/>
        <v>0.27500000000000002</v>
      </c>
      <c r="P160" s="55">
        <f t="shared" si="96"/>
        <v>2.450980392156862</v>
      </c>
      <c r="Q160" s="55">
        <f t="shared" si="96"/>
        <v>2.402921953094963</v>
      </c>
      <c r="R160" s="55">
        <f t="shared" si="96"/>
        <v>2.3558058363676109</v>
      </c>
      <c r="S160" s="55">
        <f t="shared" si="96"/>
        <v>3.6953817041060568</v>
      </c>
      <c r="T160" s="55">
        <f t="shared" si="96"/>
        <v>3.6229232393196629</v>
      </c>
      <c r="U160" s="55">
        <f t="shared" si="96"/>
        <v>3.5518855287447679</v>
      </c>
      <c r="V160" s="55">
        <f t="shared" si="96"/>
        <v>3.4822407144556542</v>
      </c>
      <c r="W160" s="55">
        <f t="shared" si="96"/>
        <v>0</v>
      </c>
      <c r="X160" s="55">
        <f t="shared" si="96"/>
        <v>0</v>
      </c>
      <c r="Y160" s="55">
        <f t="shared" si="96"/>
        <v>0</v>
      </c>
      <c r="Z160" s="55">
        <f t="shared" si="96"/>
        <v>0</v>
      </c>
      <c r="AA160" s="55">
        <f t="shared" si="96"/>
        <v>0</v>
      </c>
      <c r="AB160" s="55">
        <f t="shared" si="96"/>
        <v>0</v>
      </c>
      <c r="AC160" s="55">
        <f t="shared" si="96"/>
        <v>0</v>
      </c>
      <c r="AD160" s="55">
        <f t="shared" si="96"/>
        <v>0</v>
      </c>
      <c r="AE160" s="55">
        <f t="shared" si="96"/>
        <v>0</v>
      </c>
      <c r="AF160" s="55">
        <f t="shared" si="96"/>
        <v>0</v>
      </c>
      <c r="AG160" s="55">
        <f t="shared" si="96"/>
        <v>0</v>
      </c>
      <c r="AH160" s="55">
        <f t="shared" si="96"/>
        <v>0</v>
      </c>
      <c r="AI160" s="55">
        <f t="shared" ref="AI160:BJ160" si="97">IF(AND(AI$127&gt;=$I52,AI$127&lt;$I52+$F52),INDEX($T52:$AI52,AI$127-$I52+1),0)</f>
        <v>0</v>
      </c>
      <c r="AJ160" s="55">
        <f t="shared" si="97"/>
        <v>0</v>
      </c>
      <c r="AK160" s="55">
        <f t="shared" si="97"/>
        <v>0</v>
      </c>
      <c r="AL160" s="55">
        <f t="shared" si="97"/>
        <v>0</v>
      </c>
      <c r="AM160" s="55">
        <f t="shared" si="97"/>
        <v>0</v>
      </c>
      <c r="AN160" s="55">
        <f t="shared" si="97"/>
        <v>0</v>
      </c>
      <c r="AO160" s="55">
        <f t="shared" si="97"/>
        <v>0</v>
      </c>
      <c r="AP160" s="55">
        <f t="shared" si="97"/>
        <v>0</v>
      </c>
      <c r="AQ160" s="55">
        <f t="shared" si="97"/>
        <v>0</v>
      </c>
      <c r="AR160" s="55">
        <f t="shared" si="97"/>
        <v>0</v>
      </c>
      <c r="AS160" s="55">
        <f t="shared" si="97"/>
        <v>0</v>
      </c>
      <c r="AT160" s="55">
        <f t="shared" si="97"/>
        <v>0</v>
      </c>
      <c r="AU160" s="55">
        <f t="shared" si="97"/>
        <v>0</v>
      </c>
      <c r="AV160" s="55">
        <f t="shared" si="97"/>
        <v>0</v>
      </c>
      <c r="AW160" s="55">
        <f t="shared" si="97"/>
        <v>0</v>
      </c>
      <c r="AX160" s="55">
        <f t="shared" si="97"/>
        <v>0</v>
      </c>
      <c r="AY160" s="55">
        <f t="shared" si="97"/>
        <v>0</v>
      </c>
      <c r="AZ160" s="55">
        <f t="shared" si="97"/>
        <v>0</v>
      </c>
      <c r="BA160" s="55">
        <f t="shared" si="97"/>
        <v>0</v>
      </c>
      <c r="BB160" s="55">
        <f t="shared" si="97"/>
        <v>0</v>
      </c>
      <c r="BC160" s="55">
        <f t="shared" si="97"/>
        <v>0</v>
      </c>
      <c r="BD160" s="55">
        <f t="shared" si="97"/>
        <v>0</v>
      </c>
      <c r="BE160" s="55">
        <f t="shared" si="97"/>
        <v>0</v>
      </c>
      <c r="BF160" s="55">
        <f t="shared" si="97"/>
        <v>0</v>
      </c>
      <c r="BG160" s="55">
        <f t="shared" si="97"/>
        <v>0</v>
      </c>
      <c r="BH160" s="55">
        <f t="shared" si="97"/>
        <v>0</v>
      </c>
      <c r="BI160" s="55">
        <f t="shared" si="97"/>
        <v>0</v>
      </c>
      <c r="BJ160" s="55">
        <f t="shared" si="97"/>
        <v>0</v>
      </c>
    </row>
    <row r="161" spans="1:62" x14ac:dyDescent="0.3">
      <c r="A161" s="53" t="str">
        <f t="shared" si="39"/>
        <v>project 51</v>
      </c>
      <c r="C161" s="55">
        <f t="shared" ref="C161:AH161" si="98">IF(AND(C$127&gt;=$I53,C$127&lt;$I53+$F53),INDEX($T53:$AI53,C$127-$I53+1),0)</f>
        <v>0</v>
      </c>
      <c r="D161" s="55">
        <f t="shared" si="98"/>
        <v>0</v>
      </c>
      <c r="E161" s="55">
        <f t="shared" si="98"/>
        <v>0</v>
      </c>
      <c r="F161" s="55">
        <f t="shared" si="98"/>
        <v>0</v>
      </c>
      <c r="G161" s="55">
        <f t="shared" si="98"/>
        <v>0</v>
      </c>
      <c r="H161" s="55">
        <f t="shared" si="98"/>
        <v>0</v>
      </c>
      <c r="I161" s="55">
        <f t="shared" si="98"/>
        <v>0</v>
      </c>
      <c r="J161" s="55">
        <f t="shared" si="98"/>
        <v>0</v>
      </c>
      <c r="K161" s="55">
        <f t="shared" si="98"/>
        <v>0</v>
      </c>
      <c r="L161" s="55">
        <f t="shared" si="98"/>
        <v>0</v>
      </c>
      <c r="M161" s="55">
        <f t="shared" si="98"/>
        <v>0</v>
      </c>
      <c r="N161" s="55">
        <f t="shared" si="98"/>
        <v>0</v>
      </c>
      <c r="O161" s="55">
        <f t="shared" si="98"/>
        <v>0</v>
      </c>
      <c r="P161" s="55">
        <f t="shared" si="98"/>
        <v>0</v>
      </c>
      <c r="Q161" s="55">
        <f t="shared" si="98"/>
        <v>0</v>
      </c>
      <c r="R161" s="55">
        <f t="shared" si="98"/>
        <v>12.352051914285839</v>
      </c>
      <c r="S161" s="55">
        <f t="shared" si="98"/>
        <v>7.6884717060807448</v>
      </c>
      <c r="T161" s="55">
        <f t="shared" si="98"/>
        <v>14.482631265921571</v>
      </c>
      <c r="U161" s="55">
        <f t="shared" si="98"/>
        <v>15.60758580017275</v>
      </c>
      <c r="V161" s="55">
        <f t="shared" si="98"/>
        <v>1.9444739879831969</v>
      </c>
      <c r="W161" s="55">
        <f t="shared" si="98"/>
        <v>0</v>
      </c>
      <c r="X161" s="55">
        <f t="shared" si="98"/>
        <v>0</v>
      </c>
      <c r="Y161" s="55">
        <f t="shared" si="98"/>
        <v>0</v>
      </c>
      <c r="Z161" s="55">
        <f t="shared" si="98"/>
        <v>0</v>
      </c>
      <c r="AA161" s="55">
        <f t="shared" si="98"/>
        <v>0</v>
      </c>
      <c r="AB161" s="55">
        <f t="shared" si="98"/>
        <v>0</v>
      </c>
      <c r="AC161" s="55">
        <f t="shared" si="98"/>
        <v>0</v>
      </c>
      <c r="AD161" s="55">
        <f t="shared" si="98"/>
        <v>0</v>
      </c>
      <c r="AE161" s="55">
        <f t="shared" si="98"/>
        <v>0</v>
      </c>
      <c r="AF161" s="55">
        <f t="shared" si="98"/>
        <v>0</v>
      </c>
      <c r="AG161" s="55">
        <f t="shared" si="98"/>
        <v>0</v>
      </c>
      <c r="AH161" s="55">
        <f t="shared" si="98"/>
        <v>0</v>
      </c>
      <c r="AI161" s="55">
        <f t="shared" ref="AI161:BJ161" si="99">IF(AND(AI$127&gt;=$I53,AI$127&lt;$I53+$F53),INDEX($T53:$AI53,AI$127-$I53+1),0)</f>
        <v>0</v>
      </c>
      <c r="AJ161" s="55">
        <f t="shared" si="99"/>
        <v>0</v>
      </c>
      <c r="AK161" s="55">
        <f t="shared" si="99"/>
        <v>0</v>
      </c>
      <c r="AL161" s="55">
        <f t="shared" si="99"/>
        <v>0</v>
      </c>
      <c r="AM161" s="55">
        <f t="shared" si="99"/>
        <v>0</v>
      </c>
      <c r="AN161" s="55">
        <f t="shared" si="99"/>
        <v>0</v>
      </c>
      <c r="AO161" s="55">
        <f t="shared" si="99"/>
        <v>0</v>
      </c>
      <c r="AP161" s="55">
        <f t="shared" si="99"/>
        <v>0</v>
      </c>
      <c r="AQ161" s="55">
        <f t="shared" si="99"/>
        <v>0</v>
      </c>
      <c r="AR161" s="55">
        <f t="shared" si="99"/>
        <v>0</v>
      </c>
      <c r="AS161" s="55">
        <f t="shared" si="99"/>
        <v>0</v>
      </c>
      <c r="AT161" s="55">
        <f t="shared" si="99"/>
        <v>0</v>
      </c>
      <c r="AU161" s="55">
        <f t="shared" si="99"/>
        <v>0</v>
      </c>
      <c r="AV161" s="55">
        <f t="shared" si="99"/>
        <v>0</v>
      </c>
      <c r="AW161" s="55">
        <f t="shared" si="99"/>
        <v>0</v>
      </c>
      <c r="AX161" s="55">
        <f t="shared" si="99"/>
        <v>0</v>
      </c>
      <c r="AY161" s="55">
        <f t="shared" si="99"/>
        <v>0</v>
      </c>
      <c r="AZ161" s="55">
        <f t="shared" si="99"/>
        <v>0</v>
      </c>
      <c r="BA161" s="55">
        <f t="shared" si="99"/>
        <v>0</v>
      </c>
      <c r="BB161" s="55">
        <f t="shared" si="99"/>
        <v>0</v>
      </c>
      <c r="BC161" s="55">
        <f t="shared" si="99"/>
        <v>0</v>
      </c>
      <c r="BD161" s="55">
        <f t="shared" si="99"/>
        <v>0</v>
      </c>
      <c r="BE161" s="55">
        <f t="shared" si="99"/>
        <v>0</v>
      </c>
      <c r="BF161" s="55">
        <f t="shared" si="99"/>
        <v>0</v>
      </c>
      <c r="BG161" s="55">
        <f t="shared" si="99"/>
        <v>0</v>
      </c>
      <c r="BH161" s="55">
        <f t="shared" si="99"/>
        <v>0</v>
      </c>
      <c r="BI161" s="55">
        <f t="shared" si="99"/>
        <v>0</v>
      </c>
      <c r="BJ161" s="55">
        <f t="shared" si="99"/>
        <v>0</v>
      </c>
    </row>
    <row r="162" spans="1:62" x14ac:dyDescent="0.3">
      <c r="A162" s="53" t="str">
        <f t="shared" si="39"/>
        <v>project 53</v>
      </c>
      <c r="C162" s="55">
        <f t="shared" ref="C162:AH162" si="100">IF(AND(C$127&gt;=$I54,C$127&lt;$I54+$F54),INDEX($T54:$AI54,C$127-$I54+1),0)</f>
        <v>0</v>
      </c>
      <c r="D162" s="55">
        <f t="shared" si="100"/>
        <v>0</v>
      </c>
      <c r="E162" s="55">
        <f t="shared" si="100"/>
        <v>0</v>
      </c>
      <c r="F162" s="55">
        <f t="shared" si="100"/>
        <v>0</v>
      </c>
      <c r="G162" s="55">
        <f t="shared" si="100"/>
        <v>0</v>
      </c>
      <c r="H162" s="55">
        <f t="shared" si="100"/>
        <v>0</v>
      </c>
      <c r="I162" s="55">
        <f t="shared" si="100"/>
        <v>0</v>
      </c>
      <c r="J162" s="55">
        <f t="shared" si="100"/>
        <v>0</v>
      </c>
      <c r="K162" s="55">
        <f t="shared" si="100"/>
        <v>0</v>
      </c>
      <c r="L162" s="55">
        <f t="shared" si="100"/>
        <v>0</v>
      </c>
      <c r="M162" s="55">
        <f t="shared" si="100"/>
        <v>0</v>
      </c>
      <c r="N162" s="55">
        <f t="shared" si="100"/>
        <v>0</v>
      </c>
      <c r="O162" s="55">
        <f t="shared" si="100"/>
        <v>0</v>
      </c>
      <c r="P162" s="55">
        <f t="shared" si="100"/>
        <v>0</v>
      </c>
      <c r="Q162" s="55">
        <f t="shared" si="100"/>
        <v>0</v>
      </c>
      <c r="R162" s="55">
        <f t="shared" si="100"/>
        <v>0</v>
      </c>
      <c r="S162" s="55">
        <f t="shared" si="100"/>
        <v>0</v>
      </c>
      <c r="T162" s="55">
        <f t="shared" si="100"/>
        <v>0</v>
      </c>
      <c r="U162" s="55">
        <f t="shared" si="100"/>
        <v>0.81599999999999995</v>
      </c>
      <c r="V162" s="55">
        <f t="shared" si="100"/>
        <v>2.2400000000000002</v>
      </c>
      <c r="W162" s="55">
        <f t="shared" si="100"/>
        <v>0</v>
      </c>
      <c r="X162" s="55">
        <f t="shared" si="100"/>
        <v>0</v>
      </c>
      <c r="Y162" s="55">
        <f t="shared" si="100"/>
        <v>0</v>
      </c>
      <c r="Z162" s="55">
        <f t="shared" si="100"/>
        <v>0</v>
      </c>
      <c r="AA162" s="55">
        <f t="shared" si="100"/>
        <v>0</v>
      </c>
      <c r="AB162" s="55">
        <f t="shared" si="100"/>
        <v>0</v>
      </c>
      <c r="AC162" s="55">
        <f t="shared" si="100"/>
        <v>0</v>
      </c>
      <c r="AD162" s="55">
        <f t="shared" si="100"/>
        <v>0</v>
      </c>
      <c r="AE162" s="55">
        <f t="shared" si="100"/>
        <v>0</v>
      </c>
      <c r="AF162" s="55">
        <f t="shared" si="100"/>
        <v>0</v>
      </c>
      <c r="AG162" s="55">
        <f t="shared" si="100"/>
        <v>0</v>
      </c>
      <c r="AH162" s="55">
        <f t="shared" si="100"/>
        <v>0</v>
      </c>
      <c r="AI162" s="55">
        <f t="shared" ref="AI162:BJ162" si="101">IF(AND(AI$127&gt;=$I54,AI$127&lt;$I54+$F54),INDEX($T54:$AI54,AI$127-$I54+1),0)</f>
        <v>0</v>
      </c>
      <c r="AJ162" s="55">
        <f t="shared" si="101"/>
        <v>0</v>
      </c>
      <c r="AK162" s="55">
        <f t="shared" si="101"/>
        <v>0</v>
      </c>
      <c r="AL162" s="55">
        <f t="shared" si="101"/>
        <v>0</v>
      </c>
      <c r="AM162" s="55">
        <f t="shared" si="101"/>
        <v>0</v>
      </c>
      <c r="AN162" s="55">
        <f t="shared" si="101"/>
        <v>0</v>
      </c>
      <c r="AO162" s="55">
        <f t="shared" si="101"/>
        <v>0</v>
      </c>
      <c r="AP162" s="55">
        <f t="shared" si="101"/>
        <v>0</v>
      </c>
      <c r="AQ162" s="55">
        <f t="shared" si="101"/>
        <v>0</v>
      </c>
      <c r="AR162" s="55">
        <f t="shared" si="101"/>
        <v>0</v>
      </c>
      <c r="AS162" s="55">
        <f t="shared" si="101"/>
        <v>0</v>
      </c>
      <c r="AT162" s="55">
        <f t="shared" si="101"/>
        <v>0</v>
      </c>
      <c r="AU162" s="55">
        <f t="shared" si="101"/>
        <v>0</v>
      </c>
      <c r="AV162" s="55">
        <f t="shared" si="101"/>
        <v>0</v>
      </c>
      <c r="AW162" s="55">
        <f t="shared" si="101"/>
        <v>0</v>
      </c>
      <c r="AX162" s="55">
        <f t="shared" si="101"/>
        <v>0</v>
      </c>
      <c r="AY162" s="55">
        <f t="shared" si="101"/>
        <v>0</v>
      </c>
      <c r="AZ162" s="55">
        <f t="shared" si="101"/>
        <v>0</v>
      </c>
      <c r="BA162" s="55">
        <f t="shared" si="101"/>
        <v>0</v>
      </c>
      <c r="BB162" s="55">
        <f t="shared" si="101"/>
        <v>0</v>
      </c>
      <c r="BC162" s="55">
        <f t="shared" si="101"/>
        <v>0</v>
      </c>
      <c r="BD162" s="55">
        <f t="shared" si="101"/>
        <v>0</v>
      </c>
      <c r="BE162" s="55">
        <f t="shared" si="101"/>
        <v>0</v>
      </c>
      <c r="BF162" s="55">
        <f t="shared" si="101"/>
        <v>0</v>
      </c>
      <c r="BG162" s="55">
        <f t="shared" si="101"/>
        <v>0</v>
      </c>
      <c r="BH162" s="55">
        <f t="shared" si="101"/>
        <v>0</v>
      </c>
      <c r="BI162" s="55">
        <f t="shared" si="101"/>
        <v>0</v>
      </c>
      <c r="BJ162" s="55">
        <f t="shared" si="101"/>
        <v>0</v>
      </c>
    </row>
    <row r="163" spans="1:62" x14ac:dyDescent="0.3">
      <c r="A163" s="53" t="str">
        <f t="shared" si="39"/>
        <v>project 55</v>
      </c>
      <c r="C163" s="55">
        <f t="shared" ref="C163:AH163" si="102">IF(AND(C$127&gt;=$I55,C$127&lt;$I55+$F55),INDEX($T55:$AI55,C$127-$I55+1),0)</f>
        <v>13.87243</v>
      </c>
      <c r="D163" s="55">
        <f t="shared" si="102"/>
        <v>11.96862745098039</v>
      </c>
      <c r="E163" s="55">
        <f t="shared" si="102"/>
        <v>0</v>
      </c>
      <c r="F163" s="55">
        <f t="shared" si="102"/>
        <v>0</v>
      </c>
      <c r="G163" s="55">
        <f t="shared" si="102"/>
        <v>0</v>
      </c>
      <c r="H163" s="55">
        <f t="shared" si="102"/>
        <v>0</v>
      </c>
      <c r="I163" s="55">
        <f t="shared" si="102"/>
        <v>0</v>
      </c>
      <c r="J163" s="55">
        <f t="shared" si="102"/>
        <v>0</v>
      </c>
      <c r="K163" s="55">
        <f t="shared" si="102"/>
        <v>0</v>
      </c>
      <c r="L163" s="55">
        <f t="shared" si="102"/>
        <v>0</v>
      </c>
      <c r="M163" s="55">
        <f t="shared" si="102"/>
        <v>0</v>
      </c>
      <c r="N163" s="55">
        <f t="shared" si="102"/>
        <v>0</v>
      </c>
      <c r="O163" s="55">
        <f t="shared" si="102"/>
        <v>0</v>
      </c>
      <c r="P163" s="55">
        <f t="shared" si="102"/>
        <v>0</v>
      </c>
      <c r="Q163" s="55">
        <f t="shared" si="102"/>
        <v>0</v>
      </c>
      <c r="R163" s="55">
        <f t="shared" si="102"/>
        <v>0</v>
      </c>
      <c r="S163" s="55">
        <f t="shared" si="102"/>
        <v>0</v>
      </c>
      <c r="T163" s="55">
        <f t="shared" si="102"/>
        <v>0</v>
      </c>
      <c r="U163" s="55">
        <f t="shared" si="102"/>
        <v>0</v>
      </c>
      <c r="V163" s="55">
        <f t="shared" si="102"/>
        <v>0</v>
      </c>
      <c r="W163" s="55">
        <f t="shared" si="102"/>
        <v>0</v>
      </c>
      <c r="X163" s="55">
        <f t="shared" si="102"/>
        <v>0</v>
      </c>
      <c r="Y163" s="55">
        <f t="shared" si="102"/>
        <v>0</v>
      </c>
      <c r="Z163" s="55">
        <f t="shared" si="102"/>
        <v>0</v>
      </c>
      <c r="AA163" s="55">
        <f t="shared" si="102"/>
        <v>0</v>
      </c>
      <c r="AB163" s="55">
        <f t="shared" si="102"/>
        <v>0</v>
      </c>
      <c r="AC163" s="55">
        <f t="shared" si="102"/>
        <v>0</v>
      </c>
      <c r="AD163" s="55">
        <f t="shared" si="102"/>
        <v>0</v>
      </c>
      <c r="AE163" s="55">
        <f t="shared" si="102"/>
        <v>0</v>
      </c>
      <c r="AF163" s="55">
        <f t="shared" si="102"/>
        <v>0</v>
      </c>
      <c r="AG163" s="55">
        <f t="shared" si="102"/>
        <v>0</v>
      </c>
      <c r="AH163" s="55">
        <f t="shared" si="102"/>
        <v>0</v>
      </c>
      <c r="AI163" s="55">
        <f t="shared" ref="AI163:BJ163" si="103">IF(AND(AI$127&gt;=$I55,AI$127&lt;$I55+$F55),INDEX($T55:$AI55,AI$127-$I55+1),0)</f>
        <v>0</v>
      </c>
      <c r="AJ163" s="55">
        <f t="shared" si="103"/>
        <v>0</v>
      </c>
      <c r="AK163" s="55">
        <f t="shared" si="103"/>
        <v>0</v>
      </c>
      <c r="AL163" s="55">
        <f t="shared" si="103"/>
        <v>0</v>
      </c>
      <c r="AM163" s="55">
        <f t="shared" si="103"/>
        <v>0</v>
      </c>
      <c r="AN163" s="55">
        <f t="shared" si="103"/>
        <v>0</v>
      </c>
      <c r="AO163" s="55">
        <f t="shared" si="103"/>
        <v>0</v>
      </c>
      <c r="AP163" s="55">
        <f t="shared" si="103"/>
        <v>0</v>
      </c>
      <c r="AQ163" s="55">
        <f t="shared" si="103"/>
        <v>0</v>
      </c>
      <c r="AR163" s="55">
        <f t="shared" si="103"/>
        <v>0</v>
      </c>
      <c r="AS163" s="55">
        <f t="shared" si="103"/>
        <v>0</v>
      </c>
      <c r="AT163" s="55">
        <f t="shared" si="103"/>
        <v>0</v>
      </c>
      <c r="AU163" s="55">
        <f t="shared" si="103"/>
        <v>0</v>
      </c>
      <c r="AV163" s="55">
        <f t="shared" si="103"/>
        <v>0</v>
      </c>
      <c r="AW163" s="55">
        <f t="shared" si="103"/>
        <v>0</v>
      </c>
      <c r="AX163" s="55">
        <f t="shared" si="103"/>
        <v>0</v>
      </c>
      <c r="AY163" s="55">
        <f t="shared" si="103"/>
        <v>0</v>
      </c>
      <c r="AZ163" s="55">
        <f t="shared" si="103"/>
        <v>0</v>
      </c>
      <c r="BA163" s="55">
        <f t="shared" si="103"/>
        <v>0</v>
      </c>
      <c r="BB163" s="55">
        <f t="shared" si="103"/>
        <v>0</v>
      </c>
      <c r="BC163" s="55">
        <f t="shared" si="103"/>
        <v>0</v>
      </c>
      <c r="BD163" s="55">
        <f t="shared" si="103"/>
        <v>0</v>
      </c>
      <c r="BE163" s="55">
        <f t="shared" si="103"/>
        <v>0</v>
      </c>
      <c r="BF163" s="55">
        <f t="shared" si="103"/>
        <v>0</v>
      </c>
      <c r="BG163" s="55">
        <f t="shared" si="103"/>
        <v>0</v>
      </c>
      <c r="BH163" s="55">
        <f t="shared" si="103"/>
        <v>0</v>
      </c>
      <c r="BI163" s="55">
        <f t="shared" si="103"/>
        <v>0</v>
      </c>
      <c r="BJ163" s="55">
        <f t="shared" si="103"/>
        <v>0</v>
      </c>
    </row>
    <row r="164" spans="1:62" x14ac:dyDescent="0.3">
      <c r="A164" s="53" t="str">
        <f t="shared" ref="A164:A195" si="104">A56</f>
        <v>project 56</v>
      </c>
      <c r="C164" s="55">
        <f t="shared" ref="C164:AH164" si="105">IF(AND(C$127&gt;=$I56,C$127&lt;$I56+$F56),INDEX($T56:$AI56,C$127-$I56+1),0)</f>
        <v>0</v>
      </c>
      <c r="D164" s="55">
        <f t="shared" si="105"/>
        <v>0</v>
      </c>
      <c r="E164" s="55">
        <f t="shared" si="105"/>
        <v>0</v>
      </c>
      <c r="F164" s="55">
        <f t="shared" si="105"/>
        <v>0</v>
      </c>
      <c r="G164" s="55">
        <f t="shared" si="105"/>
        <v>0</v>
      </c>
      <c r="H164" s="55">
        <f t="shared" si="105"/>
        <v>0</v>
      </c>
      <c r="I164" s="55">
        <f t="shared" si="105"/>
        <v>0</v>
      </c>
      <c r="J164" s="55">
        <f t="shared" si="105"/>
        <v>0</v>
      </c>
      <c r="K164" s="55">
        <f t="shared" si="105"/>
        <v>0</v>
      </c>
      <c r="L164" s="55">
        <f t="shared" si="105"/>
        <v>0</v>
      </c>
      <c r="M164" s="55">
        <f t="shared" si="105"/>
        <v>0</v>
      </c>
      <c r="N164" s="55">
        <f t="shared" si="105"/>
        <v>0</v>
      </c>
      <c r="O164" s="55">
        <f t="shared" si="105"/>
        <v>0</v>
      </c>
      <c r="P164" s="55">
        <f t="shared" si="105"/>
        <v>0</v>
      </c>
      <c r="Q164" s="55">
        <f t="shared" si="105"/>
        <v>0</v>
      </c>
      <c r="R164" s="55">
        <f t="shared" si="105"/>
        <v>0</v>
      </c>
      <c r="S164" s="55">
        <f t="shared" si="105"/>
        <v>0</v>
      </c>
      <c r="T164" s="55">
        <f t="shared" si="105"/>
        <v>0</v>
      </c>
      <c r="U164" s="55">
        <f t="shared" si="105"/>
        <v>0</v>
      </c>
      <c r="V164" s="55">
        <f t="shared" si="105"/>
        <v>5.3249999999999999E-2</v>
      </c>
      <c r="W164" s="55">
        <f t="shared" si="105"/>
        <v>0</v>
      </c>
      <c r="X164" s="55">
        <f t="shared" si="105"/>
        <v>0</v>
      </c>
      <c r="Y164" s="55">
        <f t="shared" si="105"/>
        <v>0</v>
      </c>
      <c r="Z164" s="55">
        <f t="shared" si="105"/>
        <v>0</v>
      </c>
      <c r="AA164" s="55">
        <f t="shared" si="105"/>
        <v>0</v>
      </c>
      <c r="AB164" s="55">
        <f t="shared" si="105"/>
        <v>0</v>
      </c>
      <c r="AC164" s="55">
        <f t="shared" si="105"/>
        <v>0</v>
      </c>
      <c r="AD164" s="55">
        <f t="shared" si="105"/>
        <v>0</v>
      </c>
      <c r="AE164" s="55">
        <f t="shared" si="105"/>
        <v>0</v>
      </c>
      <c r="AF164" s="55">
        <f t="shared" si="105"/>
        <v>0</v>
      </c>
      <c r="AG164" s="55">
        <f t="shared" si="105"/>
        <v>0</v>
      </c>
      <c r="AH164" s="55">
        <f t="shared" si="105"/>
        <v>0</v>
      </c>
      <c r="AI164" s="55">
        <f t="shared" ref="AI164:BJ164" si="106">IF(AND(AI$127&gt;=$I56,AI$127&lt;$I56+$F56),INDEX($T56:$AI56,AI$127-$I56+1),0)</f>
        <v>0</v>
      </c>
      <c r="AJ164" s="55">
        <f t="shared" si="106"/>
        <v>0</v>
      </c>
      <c r="AK164" s="55">
        <f t="shared" si="106"/>
        <v>0</v>
      </c>
      <c r="AL164" s="55">
        <f t="shared" si="106"/>
        <v>0</v>
      </c>
      <c r="AM164" s="55">
        <f t="shared" si="106"/>
        <v>0</v>
      </c>
      <c r="AN164" s="55">
        <f t="shared" si="106"/>
        <v>0</v>
      </c>
      <c r="AO164" s="55">
        <f t="shared" si="106"/>
        <v>0</v>
      </c>
      <c r="AP164" s="55">
        <f t="shared" si="106"/>
        <v>0</v>
      </c>
      <c r="AQ164" s="55">
        <f t="shared" si="106"/>
        <v>0</v>
      </c>
      <c r="AR164" s="55">
        <f t="shared" si="106"/>
        <v>0</v>
      </c>
      <c r="AS164" s="55">
        <f t="shared" si="106"/>
        <v>0</v>
      </c>
      <c r="AT164" s="55">
        <f t="shared" si="106"/>
        <v>0</v>
      </c>
      <c r="AU164" s="55">
        <f t="shared" si="106"/>
        <v>0</v>
      </c>
      <c r="AV164" s="55">
        <f t="shared" si="106"/>
        <v>0</v>
      </c>
      <c r="AW164" s="55">
        <f t="shared" si="106"/>
        <v>0</v>
      </c>
      <c r="AX164" s="55">
        <f t="shared" si="106"/>
        <v>0</v>
      </c>
      <c r="AY164" s="55">
        <f t="shared" si="106"/>
        <v>0</v>
      </c>
      <c r="AZ164" s="55">
        <f t="shared" si="106"/>
        <v>0</v>
      </c>
      <c r="BA164" s="55">
        <f t="shared" si="106"/>
        <v>0</v>
      </c>
      <c r="BB164" s="55">
        <f t="shared" si="106"/>
        <v>0</v>
      </c>
      <c r="BC164" s="55">
        <f t="shared" si="106"/>
        <v>0</v>
      </c>
      <c r="BD164" s="55">
        <f t="shared" si="106"/>
        <v>0</v>
      </c>
      <c r="BE164" s="55">
        <f t="shared" si="106"/>
        <v>0</v>
      </c>
      <c r="BF164" s="55">
        <f t="shared" si="106"/>
        <v>0</v>
      </c>
      <c r="BG164" s="55">
        <f t="shared" si="106"/>
        <v>0</v>
      </c>
      <c r="BH164" s="55">
        <f t="shared" si="106"/>
        <v>0</v>
      </c>
      <c r="BI164" s="55">
        <f t="shared" si="106"/>
        <v>0</v>
      </c>
      <c r="BJ164" s="55">
        <f t="shared" si="106"/>
        <v>0</v>
      </c>
    </row>
    <row r="165" spans="1:62" x14ac:dyDescent="0.3">
      <c r="A165" s="53" t="str">
        <f t="shared" si="104"/>
        <v>project 58</v>
      </c>
      <c r="C165" s="55">
        <f t="shared" ref="C165:AH165" si="107">IF(AND(C$127&gt;=$I57,C$127&lt;$I57+$F57),INDEX($T57:$AI57,C$127-$I57+1),0)</f>
        <v>0</v>
      </c>
      <c r="D165" s="55">
        <f t="shared" si="107"/>
        <v>0</v>
      </c>
      <c r="E165" s="55">
        <f t="shared" si="107"/>
        <v>0</v>
      </c>
      <c r="F165" s="55">
        <f t="shared" si="107"/>
        <v>0</v>
      </c>
      <c r="G165" s="55">
        <f t="shared" si="107"/>
        <v>0</v>
      </c>
      <c r="H165" s="55">
        <f t="shared" si="107"/>
        <v>0</v>
      </c>
      <c r="I165" s="55">
        <f t="shared" si="107"/>
        <v>0</v>
      </c>
      <c r="J165" s="55">
        <f t="shared" si="107"/>
        <v>0</v>
      </c>
      <c r="K165" s="55">
        <f t="shared" si="107"/>
        <v>0</v>
      </c>
      <c r="L165" s="55">
        <f t="shared" si="107"/>
        <v>0</v>
      </c>
      <c r="M165" s="55">
        <f t="shared" si="107"/>
        <v>0</v>
      </c>
      <c r="N165" s="55">
        <f t="shared" si="107"/>
        <v>0</v>
      </c>
      <c r="O165" s="55">
        <f t="shared" si="107"/>
        <v>0</v>
      </c>
      <c r="P165" s="55">
        <f t="shared" si="107"/>
        <v>0</v>
      </c>
      <c r="Q165" s="55">
        <f t="shared" si="107"/>
        <v>0</v>
      </c>
      <c r="R165" s="55">
        <f t="shared" si="107"/>
        <v>0</v>
      </c>
      <c r="S165" s="55">
        <f t="shared" si="107"/>
        <v>0.33477099999999999</v>
      </c>
      <c r="T165" s="55">
        <f t="shared" si="107"/>
        <v>0.52254999999999996</v>
      </c>
      <c r="U165" s="55">
        <f t="shared" si="107"/>
        <v>2.9051893502499042</v>
      </c>
      <c r="V165" s="55">
        <f t="shared" si="107"/>
        <v>0.50225874663590919</v>
      </c>
      <c r="W165" s="55">
        <f t="shared" si="107"/>
        <v>0</v>
      </c>
      <c r="X165" s="55">
        <f t="shared" si="107"/>
        <v>0</v>
      </c>
      <c r="Y165" s="55">
        <f t="shared" si="107"/>
        <v>0</v>
      </c>
      <c r="Z165" s="55">
        <f t="shared" si="107"/>
        <v>0</v>
      </c>
      <c r="AA165" s="55">
        <f t="shared" si="107"/>
        <v>0</v>
      </c>
      <c r="AB165" s="55">
        <f t="shared" si="107"/>
        <v>0</v>
      </c>
      <c r="AC165" s="55">
        <f t="shared" si="107"/>
        <v>0</v>
      </c>
      <c r="AD165" s="55">
        <f t="shared" si="107"/>
        <v>0</v>
      </c>
      <c r="AE165" s="55">
        <f t="shared" si="107"/>
        <v>0</v>
      </c>
      <c r="AF165" s="55">
        <f t="shared" si="107"/>
        <v>0</v>
      </c>
      <c r="AG165" s="55">
        <f t="shared" si="107"/>
        <v>0</v>
      </c>
      <c r="AH165" s="55">
        <f t="shared" si="107"/>
        <v>0</v>
      </c>
      <c r="AI165" s="55">
        <f t="shared" ref="AI165:BJ165" si="108">IF(AND(AI$127&gt;=$I57,AI$127&lt;$I57+$F57),INDEX($T57:$AI57,AI$127-$I57+1),0)</f>
        <v>0</v>
      </c>
      <c r="AJ165" s="55">
        <f t="shared" si="108"/>
        <v>0</v>
      </c>
      <c r="AK165" s="55">
        <f t="shared" si="108"/>
        <v>0</v>
      </c>
      <c r="AL165" s="55">
        <f t="shared" si="108"/>
        <v>0</v>
      </c>
      <c r="AM165" s="55">
        <f t="shared" si="108"/>
        <v>0</v>
      </c>
      <c r="AN165" s="55">
        <f t="shared" si="108"/>
        <v>0</v>
      </c>
      <c r="AO165" s="55">
        <f t="shared" si="108"/>
        <v>0</v>
      </c>
      <c r="AP165" s="55">
        <f t="shared" si="108"/>
        <v>0</v>
      </c>
      <c r="AQ165" s="55">
        <f t="shared" si="108"/>
        <v>0</v>
      </c>
      <c r="AR165" s="55">
        <f t="shared" si="108"/>
        <v>0</v>
      </c>
      <c r="AS165" s="55">
        <f t="shared" si="108"/>
        <v>0</v>
      </c>
      <c r="AT165" s="55">
        <f t="shared" si="108"/>
        <v>0</v>
      </c>
      <c r="AU165" s="55">
        <f t="shared" si="108"/>
        <v>0</v>
      </c>
      <c r="AV165" s="55">
        <f t="shared" si="108"/>
        <v>0</v>
      </c>
      <c r="AW165" s="55">
        <f t="shared" si="108"/>
        <v>0</v>
      </c>
      <c r="AX165" s="55">
        <f t="shared" si="108"/>
        <v>0</v>
      </c>
      <c r="AY165" s="55">
        <f t="shared" si="108"/>
        <v>0</v>
      </c>
      <c r="AZ165" s="55">
        <f t="shared" si="108"/>
        <v>0</v>
      </c>
      <c r="BA165" s="55">
        <f t="shared" si="108"/>
        <v>0</v>
      </c>
      <c r="BB165" s="55">
        <f t="shared" si="108"/>
        <v>0</v>
      </c>
      <c r="BC165" s="55">
        <f t="shared" si="108"/>
        <v>0</v>
      </c>
      <c r="BD165" s="55">
        <f t="shared" si="108"/>
        <v>0</v>
      </c>
      <c r="BE165" s="55">
        <f t="shared" si="108"/>
        <v>0</v>
      </c>
      <c r="BF165" s="55">
        <f t="shared" si="108"/>
        <v>0</v>
      </c>
      <c r="BG165" s="55">
        <f t="shared" si="108"/>
        <v>0</v>
      </c>
      <c r="BH165" s="55">
        <f t="shared" si="108"/>
        <v>0</v>
      </c>
      <c r="BI165" s="55">
        <f t="shared" si="108"/>
        <v>0</v>
      </c>
      <c r="BJ165" s="55">
        <f t="shared" si="108"/>
        <v>0</v>
      </c>
    </row>
    <row r="166" spans="1:62" x14ac:dyDescent="0.3">
      <c r="A166" s="53" t="str">
        <f t="shared" si="104"/>
        <v>project 61</v>
      </c>
      <c r="C166" s="55">
        <f t="shared" ref="C166:AH166" si="109">IF(AND(C$127&gt;=$I58,C$127&lt;$I58+$F58),INDEX($T58:$AI58,C$127-$I58+1),0)</f>
        <v>0</v>
      </c>
      <c r="D166" s="55">
        <f t="shared" si="109"/>
        <v>0</v>
      </c>
      <c r="E166" s="55">
        <f t="shared" si="109"/>
        <v>0</v>
      </c>
      <c r="F166" s="55">
        <f t="shared" si="109"/>
        <v>0</v>
      </c>
      <c r="G166" s="55">
        <f t="shared" si="109"/>
        <v>0</v>
      </c>
      <c r="H166" s="55">
        <f t="shared" si="109"/>
        <v>0</v>
      </c>
      <c r="I166" s="55">
        <f t="shared" si="109"/>
        <v>0</v>
      </c>
      <c r="J166" s="55">
        <f t="shared" si="109"/>
        <v>0</v>
      </c>
      <c r="K166" s="55">
        <f t="shared" si="109"/>
        <v>0</v>
      </c>
      <c r="L166" s="55">
        <f t="shared" si="109"/>
        <v>0</v>
      </c>
      <c r="M166" s="55">
        <f t="shared" si="109"/>
        <v>0</v>
      </c>
      <c r="N166" s="55">
        <f t="shared" si="109"/>
        <v>0</v>
      </c>
      <c r="O166" s="55">
        <f t="shared" si="109"/>
        <v>0</v>
      </c>
      <c r="P166" s="55">
        <f t="shared" si="109"/>
        <v>0</v>
      </c>
      <c r="Q166" s="55">
        <f t="shared" si="109"/>
        <v>0</v>
      </c>
      <c r="R166" s="55">
        <f t="shared" si="109"/>
        <v>0</v>
      </c>
      <c r="S166" s="55">
        <f t="shared" si="109"/>
        <v>0</v>
      </c>
      <c r="T166" s="55">
        <f t="shared" si="109"/>
        <v>0</v>
      </c>
      <c r="U166" s="55">
        <f t="shared" si="109"/>
        <v>0</v>
      </c>
      <c r="V166" s="55">
        <f t="shared" si="109"/>
        <v>8.6989920000000005</v>
      </c>
      <c r="W166" s="55">
        <f t="shared" si="109"/>
        <v>0</v>
      </c>
      <c r="X166" s="55">
        <f t="shared" si="109"/>
        <v>0</v>
      </c>
      <c r="Y166" s="55">
        <f t="shared" si="109"/>
        <v>0</v>
      </c>
      <c r="Z166" s="55">
        <f t="shared" si="109"/>
        <v>0</v>
      </c>
      <c r="AA166" s="55">
        <f t="shared" si="109"/>
        <v>0</v>
      </c>
      <c r="AB166" s="55">
        <f t="shared" si="109"/>
        <v>0</v>
      </c>
      <c r="AC166" s="55">
        <f t="shared" si="109"/>
        <v>0</v>
      </c>
      <c r="AD166" s="55">
        <f t="shared" si="109"/>
        <v>0</v>
      </c>
      <c r="AE166" s="55">
        <f t="shared" si="109"/>
        <v>0</v>
      </c>
      <c r="AF166" s="55">
        <f t="shared" si="109"/>
        <v>0</v>
      </c>
      <c r="AG166" s="55">
        <f t="shared" si="109"/>
        <v>0</v>
      </c>
      <c r="AH166" s="55">
        <f t="shared" si="109"/>
        <v>0</v>
      </c>
      <c r="AI166" s="55">
        <f t="shared" ref="AI166:BJ166" si="110">IF(AND(AI$127&gt;=$I58,AI$127&lt;$I58+$F58),INDEX($T58:$AI58,AI$127-$I58+1),0)</f>
        <v>0</v>
      </c>
      <c r="AJ166" s="55">
        <f t="shared" si="110"/>
        <v>0</v>
      </c>
      <c r="AK166" s="55">
        <f t="shared" si="110"/>
        <v>0</v>
      </c>
      <c r="AL166" s="55">
        <f t="shared" si="110"/>
        <v>0</v>
      </c>
      <c r="AM166" s="55">
        <f t="shared" si="110"/>
        <v>0</v>
      </c>
      <c r="AN166" s="55">
        <f t="shared" si="110"/>
        <v>0</v>
      </c>
      <c r="AO166" s="55">
        <f t="shared" si="110"/>
        <v>0</v>
      </c>
      <c r="AP166" s="55">
        <f t="shared" si="110"/>
        <v>0</v>
      </c>
      <c r="AQ166" s="55">
        <f t="shared" si="110"/>
        <v>0</v>
      </c>
      <c r="AR166" s="55">
        <f t="shared" si="110"/>
        <v>0</v>
      </c>
      <c r="AS166" s="55">
        <f t="shared" si="110"/>
        <v>0</v>
      </c>
      <c r="AT166" s="55">
        <f t="shared" si="110"/>
        <v>0</v>
      </c>
      <c r="AU166" s="55">
        <f t="shared" si="110"/>
        <v>0</v>
      </c>
      <c r="AV166" s="55">
        <f t="shared" si="110"/>
        <v>0</v>
      </c>
      <c r="AW166" s="55">
        <f t="shared" si="110"/>
        <v>0</v>
      </c>
      <c r="AX166" s="55">
        <f t="shared" si="110"/>
        <v>0</v>
      </c>
      <c r="AY166" s="55">
        <f t="shared" si="110"/>
        <v>0</v>
      </c>
      <c r="AZ166" s="55">
        <f t="shared" si="110"/>
        <v>0</v>
      </c>
      <c r="BA166" s="55">
        <f t="shared" si="110"/>
        <v>0</v>
      </c>
      <c r="BB166" s="55">
        <f t="shared" si="110"/>
        <v>0</v>
      </c>
      <c r="BC166" s="55">
        <f t="shared" si="110"/>
        <v>0</v>
      </c>
      <c r="BD166" s="55">
        <f t="shared" si="110"/>
        <v>0</v>
      </c>
      <c r="BE166" s="55">
        <f t="shared" si="110"/>
        <v>0</v>
      </c>
      <c r="BF166" s="55">
        <f t="shared" si="110"/>
        <v>0</v>
      </c>
      <c r="BG166" s="55">
        <f t="shared" si="110"/>
        <v>0</v>
      </c>
      <c r="BH166" s="55">
        <f t="shared" si="110"/>
        <v>0</v>
      </c>
      <c r="BI166" s="55">
        <f t="shared" si="110"/>
        <v>0</v>
      </c>
      <c r="BJ166" s="55">
        <f t="shared" si="110"/>
        <v>0</v>
      </c>
    </row>
    <row r="167" spans="1:62" x14ac:dyDescent="0.3">
      <c r="A167" s="53" t="str">
        <f t="shared" si="104"/>
        <v>project 64</v>
      </c>
      <c r="C167" s="55">
        <f t="shared" ref="C167:AH167" si="111">IF(AND(C$127&gt;=$I59,C$127&lt;$I59+$F59),INDEX($T59:$AI59,C$127-$I59+1),0)</f>
        <v>1.9201493168394219</v>
      </c>
      <c r="D167" s="55">
        <f t="shared" si="111"/>
        <v>3.7649986604694541</v>
      </c>
      <c r="E167" s="55">
        <f t="shared" si="111"/>
        <v>0</v>
      </c>
      <c r="F167" s="55">
        <f t="shared" si="111"/>
        <v>0</v>
      </c>
      <c r="G167" s="55">
        <f t="shared" si="111"/>
        <v>0</v>
      </c>
      <c r="H167" s="55">
        <f t="shared" si="111"/>
        <v>0</v>
      </c>
      <c r="I167" s="55">
        <f t="shared" si="111"/>
        <v>0</v>
      </c>
      <c r="J167" s="55">
        <f t="shared" si="111"/>
        <v>0</v>
      </c>
      <c r="K167" s="55">
        <f t="shared" si="111"/>
        <v>0</v>
      </c>
      <c r="L167" s="55">
        <f t="shared" si="111"/>
        <v>0</v>
      </c>
      <c r="M167" s="55">
        <f t="shared" si="111"/>
        <v>0</v>
      </c>
      <c r="N167" s="55">
        <f t="shared" si="111"/>
        <v>0</v>
      </c>
      <c r="O167" s="55">
        <f t="shared" si="111"/>
        <v>0</v>
      </c>
      <c r="P167" s="55">
        <f t="shared" si="111"/>
        <v>0</v>
      </c>
      <c r="Q167" s="55">
        <f t="shared" si="111"/>
        <v>0</v>
      </c>
      <c r="R167" s="55">
        <f t="shared" si="111"/>
        <v>0</v>
      </c>
      <c r="S167" s="55">
        <f t="shared" si="111"/>
        <v>0</v>
      </c>
      <c r="T167" s="55">
        <f t="shared" si="111"/>
        <v>0</v>
      </c>
      <c r="U167" s="55">
        <f t="shared" si="111"/>
        <v>0</v>
      </c>
      <c r="V167" s="55">
        <f t="shared" si="111"/>
        <v>0</v>
      </c>
      <c r="W167" s="55">
        <f t="shared" si="111"/>
        <v>0</v>
      </c>
      <c r="X167" s="55">
        <f t="shared" si="111"/>
        <v>0</v>
      </c>
      <c r="Y167" s="55">
        <f t="shared" si="111"/>
        <v>0</v>
      </c>
      <c r="Z167" s="55">
        <f t="shared" si="111"/>
        <v>0</v>
      </c>
      <c r="AA167" s="55">
        <f t="shared" si="111"/>
        <v>0</v>
      </c>
      <c r="AB167" s="55">
        <f t="shared" si="111"/>
        <v>0</v>
      </c>
      <c r="AC167" s="55">
        <f t="shared" si="111"/>
        <v>0</v>
      </c>
      <c r="AD167" s="55">
        <f t="shared" si="111"/>
        <v>0</v>
      </c>
      <c r="AE167" s="55">
        <f t="shared" si="111"/>
        <v>0</v>
      </c>
      <c r="AF167" s="55">
        <f t="shared" si="111"/>
        <v>0</v>
      </c>
      <c r="AG167" s="55">
        <f t="shared" si="111"/>
        <v>0</v>
      </c>
      <c r="AH167" s="55">
        <f t="shared" si="111"/>
        <v>0</v>
      </c>
      <c r="AI167" s="55">
        <f t="shared" ref="AI167:BJ167" si="112">IF(AND(AI$127&gt;=$I59,AI$127&lt;$I59+$F59),INDEX($T59:$AI59,AI$127-$I59+1),0)</f>
        <v>0</v>
      </c>
      <c r="AJ167" s="55">
        <f t="shared" si="112"/>
        <v>0</v>
      </c>
      <c r="AK167" s="55">
        <f t="shared" si="112"/>
        <v>0</v>
      </c>
      <c r="AL167" s="55">
        <f t="shared" si="112"/>
        <v>0</v>
      </c>
      <c r="AM167" s="55">
        <f t="shared" si="112"/>
        <v>0</v>
      </c>
      <c r="AN167" s="55">
        <f t="shared" si="112"/>
        <v>0</v>
      </c>
      <c r="AO167" s="55">
        <f t="shared" si="112"/>
        <v>0</v>
      </c>
      <c r="AP167" s="55">
        <f t="shared" si="112"/>
        <v>0</v>
      </c>
      <c r="AQ167" s="55">
        <f t="shared" si="112"/>
        <v>0</v>
      </c>
      <c r="AR167" s="55">
        <f t="shared" si="112"/>
        <v>0</v>
      </c>
      <c r="AS167" s="55">
        <f t="shared" si="112"/>
        <v>0</v>
      </c>
      <c r="AT167" s="55">
        <f t="shared" si="112"/>
        <v>0</v>
      </c>
      <c r="AU167" s="55">
        <f t="shared" si="112"/>
        <v>0</v>
      </c>
      <c r="AV167" s="55">
        <f t="shared" si="112"/>
        <v>0</v>
      </c>
      <c r="AW167" s="55">
        <f t="shared" si="112"/>
        <v>0</v>
      </c>
      <c r="AX167" s="55">
        <f t="shared" si="112"/>
        <v>0</v>
      </c>
      <c r="AY167" s="55">
        <f t="shared" si="112"/>
        <v>0</v>
      </c>
      <c r="AZ167" s="55">
        <f t="shared" si="112"/>
        <v>0</v>
      </c>
      <c r="BA167" s="55">
        <f t="shared" si="112"/>
        <v>0</v>
      </c>
      <c r="BB167" s="55">
        <f t="shared" si="112"/>
        <v>0</v>
      </c>
      <c r="BC167" s="55">
        <f t="shared" si="112"/>
        <v>0</v>
      </c>
      <c r="BD167" s="55">
        <f t="shared" si="112"/>
        <v>0</v>
      </c>
      <c r="BE167" s="55">
        <f t="shared" si="112"/>
        <v>0</v>
      </c>
      <c r="BF167" s="55">
        <f t="shared" si="112"/>
        <v>0</v>
      </c>
      <c r="BG167" s="55">
        <f t="shared" si="112"/>
        <v>0</v>
      </c>
      <c r="BH167" s="55">
        <f t="shared" si="112"/>
        <v>0</v>
      </c>
      <c r="BI167" s="55">
        <f t="shared" si="112"/>
        <v>0</v>
      </c>
      <c r="BJ167" s="55">
        <f t="shared" si="112"/>
        <v>0</v>
      </c>
    </row>
    <row r="168" spans="1:62" x14ac:dyDescent="0.3">
      <c r="A168" s="53" t="str">
        <f t="shared" si="104"/>
        <v>project 74</v>
      </c>
      <c r="C168" s="55">
        <f t="shared" ref="C168:AH168" si="113">IF(AND(C$127&gt;=$I60,C$127&lt;$I60+$F60),INDEX($T60:$AI60,C$127-$I60+1),0)</f>
        <v>0</v>
      </c>
      <c r="D168" s="55">
        <f t="shared" si="113"/>
        <v>0</v>
      </c>
      <c r="E168" s="55">
        <f t="shared" si="113"/>
        <v>0</v>
      </c>
      <c r="F168" s="55">
        <f t="shared" si="113"/>
        <v>0</v>
      </c>
      <c r="G168" s="55">
        <f t="shared" si="113"/>
        <v>0</v>
      </c>
      <c r="H168" s="55">
        <f t="shared" si="113"/>
        <v>0</v>
      </c>
      <c r="I168" s="55">
        <f t="shared" si="113"/>
        <v>0</v>
      </c>
      <c r="J168" s="55">
        <f t="shared" si="113"/>
        <v>0</v>
      </c>
      <c r="K168" s="55">
        <f t="shared" si="113"/>
        <v>0</v>
      </c>
      <c r="L168" s="55">
        <f t="shared" si="113"/>
        <v>0</v>
      </c>
      <c r="M168" s="55">
        <f t="shared" si="113"/>
        <v>0</v>
      </c>
      <c r="N168" s="55">
        <f t="shared" si="113"/>
        <v>0</v>
      </c>
      <c r="O168" s="55">
        <f t="shared" si="113"/>
        <v>0</v>
      </c>
      <c r="P168" s="55">
        <f t="shared" si="113"/>
        <v>0</v>
      </c>
      <c r="Q168" s="55">
        <f t="shared" si="113"/>
        <v>0</v>
      </c>
      <c r="R168" s="55">
        <f t="shared" si="113"/>
        <v>10.022251000000001</v>
      </c>
      <c r="S168" s="55">
        <f t="shared" si="113"/>
        <v>10.341873529411769</v>
      </c>
      <c r="T168" s="55">
        <f t="shared" si="113"/>
        <v>14.70262014609766</v>
      </c>
      <c r="U168" s="55">
        <f t="shared" si="113"/>
        <v>15.581077413664429</v>
      </c>
      <c r="V168" s="55">
        <f t="shared" si="113"/>
        <v>1.6392408370423881</v>
      </c>
      <c r="W168" s="55">
        <f t="shared" si="113"/>
        <v>0</v>
      </c>
      <c r="X168" s="55">
        <f t="shared" si="113"/>
        <v>0</v>
      </c>
      <c r="Y168" s="55">
        <f t="shared" si="113"/>
        <v>0</v>
      </c>
      <c r="Z168" s="55">
        <f t="shared" si="113"/>
        <v>0</v>
      </c>
      <c r="AA168" s="55">
        <f t="shared" si="113"/>
        <v>0</v>
      </c>
      <c r="AB168" s="55">
        <f t="shared" si="113"/>
        <v>0</v>
      </c>
      <c r="AC168" s="55">
        <f t="shared" si="113"/>
        <v>0</v>
      </c>
      <c r="AD168" s="55">
        <f t="shared" si="113"/>
        <v>0</v>
      </c>
      <c r="AE168" s="55">
        <f t="shared" si="113"/>
        <v>0</v>
      </c>
      <c r="AF168" s="55">
        <f t="shared" si="113"/>
        <v>0</v>
      </c>
      <c r="AG168" s="55">
        <f t="shared" si="113"/>
        <v>0</v>
      </c>
      <c r="AH168" s="55">
        <f t="shared" si="113"/>
        <v>0</v>
      </c>
      <c r="AI168" s="55">
        <f t="shared" ref="AI168:BJ168" si="114">IF(AND(AI$127&gt;=$I60,AI$127&lt;$I60+$F60),INDEX($T60:$AI60,AI$127-$I60+1),0)</f>
        <v>0</v>
      </c>
      <c r="AJ168" s="55">
        <f t="shared" si="114"/>
        <v>0</v>
      </c>
      <c r="AK168" s="55">
        <f t="shared" si="114"/>
        <v>0</v>
      </c>
      <c r="AL168" s="55">
        <f t="shared" si="114"/>
        <v>0</v>
      </c>
      <c r="AM168" s="55">
        <f t="shared" si="114"/>
        <v>0</v>
      </c>
      <c r="AN168" s="55">
        <f t="shared" si="114"/>
        <v>0</v>
      </c>
      <c r="AO168" s="55">
        <f t="shared" si="114"/>
        <v>0</v>
      </c>
      <c r="AP168" s="55">
        <f t="shared" si="114"/>
        <v>0</v>
      </c>
      <c r="AQ168" s="55">
        <f t="shared" si="114"/>
        <v>0</v>
      </c>
      <c r="AR168" s="55">
        <f t="shared" si="114"/>
        <v>0</v>
      </c>
      <c r="AS168" s="55">
        <f t="shared" si="114"/>
        <v>0</v>
      </c>
      <c r="AT168" s="55">
        <f t="shared" si="114"/>
        <v>0</v>
      </c>
      <c r="AU168" s="55">
        <f t="shared" si="114"/>
        <v>0</v>
      </c>
      <c r="AV168" s="55">
        <f t="shared" si="114"/>
        <v>0</v>
      </c>
      <c r="AW168" s="55">
        <f t="shared" si="114"/>
        <v>0</v>
      </c>
      <c r="AX168" s="55">
        <f t="shared" si="114"/>
        <v>0</v>
      </c>
      <c r="AY168" s="55">
        <f t="shared" si="114"/>
        <v>0</v>
      </c>
      <c r="AZ168" s="55">
        <f t="shared" si="114"/>
        <v>0</v>
      </c>
      <c r="BA168" s="55">
        <f t="shared" si="114"/>
        <v>0</v>
      </c>
      <c r="BB168" s="55">
        <f t="shared" si="114"/>
        <v>0</v>
      </c>
      <c r="BC168" s="55">
        <f t="shared" si="114"/>
        <v>0</v>
      </c>
      <c r="BD168" s="55">
        <f t="shared" si="114"/>
        <v>0</v>
      </c>
      <c r="BE168" s="55">
        <f t="shared" si="114"/>
        <v>0</v>
      </c>
      <c r="BF168" s="55">
        <f t="shared" si="114"/>
        <v>0</v>
      </c>
      <c r="BG168" s="55">
        <f t="shared" si="114"/>
        <v>0</v>
      </c>
      <c r="BH168" s="55">
        <f t="shared" si="114"/>
        <v>0</v>
      </c>
      <c r="BI168" s="55">
        <f t="shared" si="114"/>
        <v>0</v>
      </c>
      <c r="BJ168" s="55">
        <f t="shared" si="114"/>
        <v>0</v>
      </c>
    </row>
    <row r="169" spans="1:62" x14ac:dyDescent="0.3">
      <c r="A169" s="53" t="str">
        <f t="shared" si="104"/>
        <v>project 75</v>
      </c>
      <c r="C169" s="55">
        <f t="shared" ref="C169:AH169" si="115">IF(AND(C$127&gt;=$I61,C$127&lt;$I61+$F61),INDEX($T61:$AI61,C$127-$I61+1),0)</f>
        <v>1.365196078431373</v>
      </c>
      <c r="D169" s="55">
        <f t="shared" si="115"/>
        <v>1.338427527873894</v>
      </c>
      <c r="E169" s="55">
        <f t="shared" si="115"/>
        <v>1.3121838508567589</v>
      </c>
      <c r="F169" s="55">
        <f t="shared" si="115"/>
        <v>1.286454755741921</v>
      </c>
      <c r="G169" s="55">
        <f t="shared" si="115"/>
        <v>1.261230152688158</v>
      </c>
      <c r="H169" s="55">
        <f t="shared" si="115"/>
        <v>1.236500149694272</v>
      </c>
      <c r="I169" s="55">
        <f t="shared" si="115"/>
        <v>1.2122550487198751</v>
      </c>
      <c r="J169" s="55">
        <f t="shared" si="115"/>
        <v>1.1884853418822301</v>
      </c>
      <c r="K169" s="55">
        <f t="shared" si="115"/>
        <v>1.165181707727676</v>
      </c>
      <c r="L169" s="55">
        <f t="shared" si="115"/>
        <v>1.142335007576154</v>
      </c>
      <c r="M169" s="55">
        <f t="shared" si="115"/>
        <v>1.119936281937405</v>
      </c>
      <c r="N169" s="55">
        <f t="shared" si="115"/>
        <v>1.097976746997456</v>
      </c>
      <c r="O169" s="55">
        <f t="shared" si="115"/>
        <v>1.0764477911739769</v>
      </c>
      <c r="P169" s="55">
        <f t="shared" si="115"/>
        <v>1.0553409717391931</v>
      </c>
      <c r="Q169" s="55">
        <f t="shared" si="115"/>
        <v>1.0346480115090131</v>
      </c>
      <c r="R169" s="55">
        <f t="shared" si="115"/>
        <v>1.014360795597071</v>
      </c>
      <c r="S169" s="55">
        <f t="shared" si="115"/>
        <v>0</v>
      </c>
      <c r="T169" s="55">
        <f t="shared" si="115"/>
        <v>0</v>
      </c>
      <c r="U169" s="55">
        <f t="shared" si="115"/>
        <v>0</v>
      </c>
      <c r="V169" s="55">
        <f t="shared" si="115"/>
        <v>0</v>
      </c>
      <c r="W169" s="55">
        <f t="shared" si="115"/>
        <v>0</v>
      </c>
      <c r="X169" s="55">
        <f t="shared" si="115"/>
        <v>0</v>
      </c>
      <c r="Y169" s="55">
        <f t="shared" si="115"/>
        <v>0</v>
      </c>
      <c r="Z169" s="55">
        <f t="shared" si="115"/>
        <v>0</v>
      </c>
      <c r="AA169" s="55">
        <f t="shared" si="115"/>
        <v>0</v>
      </c>
      <c r="AB169" s="55">
        <f t="shared" si="115"/>
        <v>0</v>
      </c>
      <c r="AC169" s="55">
        <f t="shared" si="115"/>
        <v>0</v>
      </c>
      <c r="AD169" s="55">
        <f t="shared" si="115"/>
        <v>0</v>
      </c>
      <c r="AE169" s="55">
        <f t="shared" si="115"/>
        <v>0</v>
      </c>
      <c r="AF169" s="55">
        <f t="shared" si="115"/>
        <v>0</v>
      </c>
      <c r="AG169" s="55">
        <f t="shared" si="115"/>
        <v>0</v>
      </c>
      <c r="AH169" s="55">
        <f t="shared" si="115"/>
        <v>0</v>
      </c>
      <c r="AI169" s="55">
        <f t="shared" ref="AI169:BJ169" si="116">IF(AND(AI$127&gt;=$I61,AI$127&lt;$I61+$F61),INDEX($T61:$AI61,AI$127-$I61+1),0)</f>
        <v>0</v>
      </c>
      <c r="AJ169" s="55">
        <f t="shared" si="116"/>
        <v>0</v>
      </c>
      <c r="AK169" s="55">
        <f t="shared" si="116"/>
        <v>0</v>
      </c>
      <c r="AL169" s="55">
        <f t="shared" si="116"/>
        <v>0</v>
      </c>
      <c r="AM169" s="55">
        <f t="shared" si="116"/>
        <v>0</v>
      </c>
      <c r="AN169" s="55">
        <f t="shared" si="116"/>
        <v>0</v>
      </c>
      <c r="AO169" s="55">
        <f t="shared" si="116"/>
        <v>0</v>
      </c>
      <c r="AP169" s="55">
        <f t="shared" si="116"/>
        <v>0</v>
      </c>
      <c r="AQ169" s="55">
        <f t="shared" si="116"/>
        <v>0</v>
      </c>
      <c r="AR169" s="55">
        <f t="shared" si="116"/>
        <v>0</v>
      </c>
      <c r="AS169" s="55">
        <f t="shared" si="116"/>
        <v>0</v>
      </c>
      <c r="AT169" s="55">
        <f t="shared" si="116"/>
        <v>0</v>
      </c>
      <c r="AU169" s="55">
        <f t="shared" si="116"/>
        <v>0</v>
      </c>
      <c r="AV169" s="55">
        <f t="shared" si="116"/>
        <v>0</v>
      </c>
      <c r="AW169" s="55">
        <f t="shared" si="116"/>
        <v>0</v>
      </c>
      <c r="AX169" s="55">
        <f t="shared" si="116"/>
        <v>0</v>
      </c>
      <c r="AY169" s="55">
        <f t="shared" si="116"/>
        <v>0</v>
      </c>
      <c r="AZ169" s="55">
        <f t="shared" si="116"/>
        <v>0</v>
      </c>
      <c r="BA169" s="55">
        <f t="shared" si="116"/>
        <v>0</v>
      </c>
      <c r="BB169" s="55">
        <f t="shared" si="116"/>
        <v>0</v>
      </c>
      <c r="BC169" s="55">
        <f t="shared" si="116"/>
        <v>0</v>
      </c>
      <c r="BD169" s="55">
        <f t="shared" si="116"/>
        <v>0</v>
      </c>
      <c r="BE169" s="55">
        <f t="shared" si="116"/>
        <v>0</v>
      </c>
      <c r="BF169" s="55">
        <f t="shared" si="116"/>
        <v>0</v>
      </c>
      <c r="BG169" s="55">
        <f t="shared" si="116"/>
        <v>0</v>
      </c>
      <c r="BH169" s="55">
        <f t="shared" si="116"/>
        <v>0</v>
      </c>
      <c r="BI169" s="55">
        <f t="shared" si="116"/>
        <v>0</v>
      </c>
      <c r="BJ169" s="55">
        <f t="shared" si="116"/>
        <v>0</v>
      </c>
    </row>
    <row r="170" spans="1:62" x14ac:dyDescent="0.3">
      <c r="A170" s="53" t="str">
        <f t="shared" si="104"/>
        <v>project 77</v>
      </c>
      <c r="C170" s="55">
        <f t="shared" ref="C170:AH170" si="117">IF(AND(C$127&gt;=$I62,C$127&lt;$I62+$F62),INDEX($T62:$AI62,C$127-$I62+1),0)</f>
        <v>0</v>
      </c>
      <c r="D170" s="55">
        <f t="shared" si="117"/>
        <v>0</v>
      </c>
      <c r="E170" s="55">
        <f t="shared" si="117"/>
        <v>0</v>
      </c>
      <c r="F170" s="55">
        <f t="shared" si="117"/>
        <v>0</v>
      </c>
      <c r="G170" s="55">
        <f t="shared" si="117"/>
        <v>0</v>
      </c>
      <c r="H170" s="55">
        <f t="shared" si="117"/>
        <v>0</v>
      </c>
      <c r="I170" s="55">
        <f t="shared" si="117"/>
        <v>0</v>
      </c>
      <c r="J170" s="55">
        <f t="shared" si="117"/>
        <v>0</v>
      </c>
      <c r="K170" s="55">
        <f t="shared" si="117"/>
        <v>0</v>
      </c>
      <c r="L170" s="55">
        <f t="shared" si="117"/>
        <v>0</v>
      </c>
      <c r="M170" s="55">
        <f t="shared" si="117"/>
        <v>0</v>
      </c>
      <c r="N170" s="55">
        <f t="shared" si="117"/>
        <v>0</v>
      </c>
      <c r="O170" s="55">
        <f t="shared" si="117"/>
        <v>0</v>
      </c>
      <c r="P170" s="55">
        <f t="shared" si="117"/>
        <v>0</v>
      </c>
      <c r="Q170" s="55">
        <f t="shared" si="117"/>
        <v>0</v>
      </c>
      <c r="R170" s="55">
        <f t="shared" si="117"/>
        <v>0</v>
      </c>
      <c r="S170" s="55">
        <f t="shared" si="117"/>
        <v>0</v>
      </c>
      <c r="T170" s="55">
        <f t="shared" si="117"/>
        <v>0</v>
      </c>
      <c r="U170" s="55">
        <f t="shared" si="117"/>
        <v>0</v>
      </c>
      <c r="V170" s="55">
        <f t="shared" si="117"/>
        <v>6.3222E-2</v>
      </c>
      <c r="W170" s="55">
        <f t="shared" si="117"/>
        <v>0</v>
      </c>
      <c r="X170" s="55">
        <f t="shared" si="117"/>
        <v>0</v>
      </c>
      <c r="Y170" s="55">
        <f t="shared" si="117"/>
        <v>0</v>
      </c>
      <c r="Z170" s="55">
        <f t="shared" si="117"/>
        <v>0</v>
      </c>
      <c r="AA170" s="55">
        <f t="shared" si="117"/>
        <v>0</v>
      </c>
      <c r="AB170" s="55">
        <f t="shared" si="117"/>
        <v>0</v>
      </c>
      <c r="AC170" s="55">
        <f t="shared" si="117"/>
        <v>0</v>
      </c>
      <c r="AD170" s="55">
        <f t="shared" si="117"/>
        <v>0</v>
      </c>
      <c r="AE170" s="55">
        <f t="shared" si="117"/>
        <v>0</v>
      </c>
      <c r="AF170" s="55">
        <f t="shared" si="117"/>
        <v>0</v>
      </c>
      <c r="AG170" s="55">
        <f t="shared" si="117"/>
        <v>0</v>
      </c>
      <c r="AH170" s="55">
        <f t="shared" si="117"/>
        <v>0</v>
      </c>
      <c r="AI170" s="55">
        <f t="shared" ref="AI170:BJ170" si="118">IF(AND(AI$127&gt;=$I62,AI$127&lt;$I62+$F62),INDEX($T62:$AI62,AI$127-$I62+1),0)</f>
        <v>0</v>
      </c>
      <c r="AJ170" s="55">
        <f t="shared" si="118"/>
        <v>0</v>
      </c>
      <c r="AK170" s="55">
        <f t="shared" si="118"/>
        <v>0</v>
      </c>
      <c r="AL170" s="55">
        <f t="shared" si="118"/>
        <v>0</v>
      </c>
      <c r="AM170" s="55">
        <f t="shared" si="118"/>
        <v>0</v>
      </c>
      <c r="AN170" s="55">
        <f t="shared" si="118"/>
        <v>0</v>
      </c>
      <c r="AO170" s="55">
        <f t="shared" si="118"/>
        <v>0</v>
      </c>
      <c r="AP170" s="55">
        <f t="shared" si="118"/>
        <v>0</v>
      </c>
      <c r="AQ170" s="55">
        <f t="shared" si="118"/>
        <v>0</v>
      </c>
      <c r="AR170" s="55">
        <f t="shared" si="118"/>
        <v>0</v>
      </c>
      <c r="AS170" s="55">
        <f t="shared" si="118"/>
        <v>0</v>
      </c>
      <c r="AT170" s="55">
        <f t="shared" si="118"/>
        <v>0</v>
      </c>
      <c r="AU170" s="55">
        <f t="shared" si="118"/>
        <v>0</v>
      </c>
      <c r="AV170" s="55">
        <f t="shared" si="118"/>
        <v>0</v>
      </c>
      <c r="AW170" s="55">
        <f t="shared" si="118"/>
        <v>0</v>
      </c>
      <c r="AX170" s="55">
        <f t="shared" si="118"/>
        <v>0</v>
      </c>
      <c r="AY170" s="55">
        <f t="shared" si="118"/>
        <v>0</v>
      </c>
      <c r="AZ170" s="55">
        <f t="shared" si="118"/>
        <v>0</v>
      </c>
      <c r="BA170" s="55">
        <f t="shared" si="118"/>
        <v>0</v>
      </c>
      <c r="BB170" s="55">
        <f t="shared" si="118"/>
        <v>0</v>
      </c>
      <c r="BC170" s="55">
        <f t="shared" si="118"/>
        <v>0</v>
      </c>
      <c r="BD170" s="55">
        <f t="shared" si="118"/>
        <v>0</v>
      </c>
      <c r="BE170" s="55">
        <f t="shared" si="118"/>
        <v>0</v>
      </c>
      <c r="BF170" s="55">
        <f t="shared" si="118"/>
        <v>0</v>
      </c>
      <c r="BG170" s="55">
        <f t="shared" si="118"/>
        <v>0</v>
      </c>
      <c r="BH170" s="55">
        <f t="shared" si="118"/>
        <v>0</v>
      </c>
      <c r="BI170" s="55">
        <f t="shared" si="118"/>
        <v>0</v>
      </c>
      <c r="BJ170" s="55">
        <f t="shared" si="118"/>
        <v>0</v>
      </c>
    </row>
    <row r="171" spans="1:62" x14ac:dyDescent="0.3">
      <c r="A171" s="53" t="str">
        <f t="shared" si="104"/>
        <v>project 78</v>
      </c>
      <c r="C171" s="55">
        <f t="shared" ref="C171:AH171" si="119">IF(AND(C$127&gt;=$I63,C$127&lt;$I63+$F63),INDEX($T63:$AI63,C$127-$I63+1),0)</f>
        <v>0</v>
      </c>
      <c r="D171" s="55">
        <f t="shared" si="119"/>
        <v>0</v>
      </c>
      <c r="E171" s="55">
        <f t="shared" si="119"/>
        <v>0</v>
      </c>
      <c r="F171" s="55">
        <f t="shared" si="119"/>
        <v>0</v>
      </c>
      <c r="G171" s="55">
        <f t="shared" si="119"/>
        <v>0</v>
      </c>
      <c r="H171" s="55">
        <f t="shared" si="119"/>
        <v>0</v>
      </c>
      <c r="I171" s="55">
        <f t="shared" si="119"/>
        <v>0</v>
      </c>
      <c r="J171" s="55">
        <f t="shared" si="119"/>
        <v>0</v>
      </c>
      <c r="K171" s="55">
        <f t="shared" si="119"/>
        <v>0</v>
      </c>
      <c r="L171" s="55">
        <f t="shared" si="119"/>
        <v>0</v>
      </c>
      <c r="M171" s="55">
        <f t="shared" si="119"/>
        <v>0</v>
      </c>
      <c r="N171" s="55">
        <f t="shared" si="119"/>
        <v>0</v>
      </c>
      <c r="O171" s="55">
        <f t="shared" si="119"/>
        <v>0</v>
      </c>
      <c r="P171" s="55">
        <f t="shared" si="119"/>
        <v>0</v>
      </c>
      <c r="Q171" s="55">
        <f t="shared" si="119"/>
        <v>0</v>
      </c>
      <c r="R171" s="55">
        <f t="shared" si="119"/>
        <v>0</v>
      </c>
      <c r="S171" s="55">
        <f t="shared" si="119"/>
        <v>0</v>
      </c>
      <c r="T171" s="55">
        <f t="shared" si="119"/>
        <v>2.6953499999999999</v>
      </c>
      <c r="U171" s="55">
        <f t="shared" si="119"/>
        <v>13.2125</v>
      </c>
      <c r="V171" s="55">
        <f t="shared" si="119"/>
        <v>63.196341791618607</v>
      </c>
      <c r="W171" s="55">
        <f t="shared" si="119"/>
        <v>0</v>
      </c>
      <c r="X171" s="55">
        <f t="shared" si="119"/>
        <v>0</v>
      </c>
      <c r="Y171" s="55">
        <f t="shared" si="119"/>
        <v>0</v>
      </c>
      <c r="Z171" s="55">
        <f t="shared" si="119"/>
        <v>0</v>
      </c>
      <c r="AA171" s="55">
        <f t="shared" si="119"/>
        <v>0</v>
      </c>
      <c r="AB171" s="55">
        <f t="shared" si="119"/>
        <v>0</v>
      </c>
      <c r="AC171" s="55">
        <f t="shared" si="119"/>
        <v>0</v>
      </c>
      <c r="AD171" s="55">
        <f t="shared" si="119"/>
        <v>0</v>
      </c>
      <c r="AE171" s="55">
        <f t="shared" si="119"/>
        <v>0</v>
      </c>
      <c r="AF171" s="55">
        <f t="shared" si="119"/>
        <v>0</v>
      </c>
      <c r="AG171" s="55">
        <f t="shared" si="119"/>
        <v>0</v>
      </c>
      <c r="AH171" s="55">
        <f t="shared" si="119"/>
        <v>0</v>
      </c>
      <c r="AI171" s="55">
        <f t="shared" ref="AI171:BJ171" si="120">IF(AND(AI$127&gt;=$I63,AI$127&lt;$I63+$F63),INDEX($T63:$AI63,AI$127-$I63+1),0)</f>
        <v>0</v>
      </c>
      <c r="AJ171" s="55">
        <f t="shared" si="120"/>
        <v>0</v>
      </c>
      <c r="AK171" s="55">
        <f t="shared" si="120"/>
        <v>0</v>
      </c>
      <c r="AL171" s="55">
        <f t="shared" si="120"/>
        <v>0</v>
      </c>
      <c r="AM171" s="55">
        <f t="shared" si="120"/>
        <v>0</v>
      </c>
      <c r="AN171" s="55">
        <f t="shared" si="120"/>
        <v>0</v>
      </c>
      <c r="AO171" s="55">
        <f t="shared" si="120"/>
        <v>0</v>
      </c>
      <c r="AP171" s="55">
        <f t="shared" si="120"/>
        <v>0</v>
      </c>
      <c r="AQ171" s="55">
        <f t="shared" si="120"/>
        <v>0</v>
      </c>
      <c r="AR171" s="55">
        <f t="shared" si="120"/>
        <v>0</v>
      </c>
      <c r="AS171" s="55">
        <f t="shared" si="120"/>
        <v>0</v>
      </c>
      <c r="AT171" s="55">
        <f t="shared" si="120"/>
        <v>0</v>
      </c>
      <c r="AU171" s="55">
        <f t="shared" si="120"/>
        <v>0</v>
      </c>
      <c r="AV171" s="55">
        <f t="shared" si="120"/>
        <v>0</v>
      </c>
      <c r="AW171" s="55">
        <f t="shared" si="120"/>
        <v>0</v>
      </c>
      <c r="AX171" s="55">
        <f t="shared" si="120"/>
        <v>0</v>
      </c>
      <c r="AY171" s="55">
        <f t="shared" si="120"/>
        <v>0</v>
      </c>
      <c r="AZ171" s="55">
        <f t="shared" si="120"/>
        <v>0</v>
      </c>
      <c r="BA171" s="55">
        <f t="shared" si="120"/>
        <v>0</v>
      </c>
      <c r="BB171" s="55">
        <f t="shared" si="120"/>
        <v>0</v>
      </c>
      <c r="BC171" s="55">
        <f t="shared" si="120"/>
        <v>0</v>
      </c>
      <c r="BD171" s="55">
        <f t="shared" si="120"/>
        <v>0</v>
      </c>
      <c r="BE171" s="55">
        <f t="shared" si="120"/>
        <v>0</v>
      </c>
      <c r="BF171" s="55">
        <f t="shared" si="120"/>
        <v>0</v>
      </c>
      <c r="BG171" s="55">
        <f t="shared" si="120"/>
        <v>0</v>
      </c>
      <c r="BH171" s="55">
        <f t="shared" si="120"/>
        <v>0</v>
      </c>
      <c r="BI171" s="55">
        <f t="shared" si="120"/>
        <v>0</v>
      </c>
      <c r="BJ171" s="55">
        <f t="shared" si="120"/>
        <v>0</v>
      </c>
    </row>
    <row r="172" spans="1:62" x14ac:dyDescent="0.3">
      <c r="A172" s="53" t="str">
        <f t="shared" si="104"/>
        <v>project 84</v>
      </c>
      <c r="C172" s="55">
        <f t="shared" ref="C172:AH172" si="121">IF(AND(C$127&gt;=$I64,C$127&lt;$I64+$F64),INDEX($T64:$AI64,C$127-$I64+1),0)</f>
        <v>0</v>
      </c>
      <c r="D172" s="55">
        <f t="shared" si="121"/>
        <v>0</v>
      </c>
      <c r="E172" s="55">
        <f t="shared" si="121"/>
        <v>0</v>
      </c>
      <c r="F172" s="55">
        <f t="shared" si="121"/>
        <v>0</v>
      </c>
      <c r="G172" s="55">
        <f t="shared" si="121"/>
        <v>0</v>
      </c>
      <c r="H172" s="55">
        <f t="shared" si="121"/>
        <v>0</v>
      </c>
      <c r="I172" s="55">
        <f t="shared" si="121"/>
        <v>0</v>
      </c>
      <c r="J172" s="55">
        <f t="shared" si="121"/>
        <v>0</v>
      </c>
      <c r="K172" s="55">
        <f t="shared" si="121"/>
        <v>0</v>
      </c>
      <c r="L172" s="55">
        <f t="shared" si="121"/>
        <v>0</v>
      </c>
      <c r="M172" s="55">
        <f t="shared" si="121"/>
        <v>0</v>
      </c>
      <c r="N172" s="55">
        <f t="shared" si="121"/>
        <v>0</v>
      </c>
      <c r="O172" s="55">
        <f t="shared" si="121"/>
        <v>0</v>
      </c>
      <c r="P172" s="55">
        <f t="shared" si="121"/>
        <v>0</v>
      </c>
      <c r="Q172" s="55">
        <f t="shared" si="121"/>
        <v>0</v>
      </c>
      <c r="R172" s="55">
        <f t="shared" si="121"/>
        <v>0</v>
      </c>
      <c r="S172" s="55">
        <f t="shared" si="121"/>
        <v>0</v>
      </c>
      <c r="T172" s="55">
        <f t="shared" si="121"/>
        <v>0</v>
      </c>
      <c r="U172" s="55">
        <f t="shared" si="121"/>
        <v>0</v>
      </c>
      <c r="V172" s="55">
        <f t="shared" si="121"/>
        <v>1.149563725490196</v>
      </c>
      <c r="W172" s="55">
        <f t="shared" si="121"/>
        <v>0</v>
      </c>
      <c r="X172" s="55">
        <f t="shared" si="121"/>
        <v>0</v>
      </c>
      <c r="Y172" s="55">
        <f t="shared" si="121"/>
        <v>0</v>
      </c>
      <c r="Z172" s="55">
        <f t="shared" si="121"/>
        <v>0</v>
      </c>
      <c r="AA172" s="55">
        <f t="shared" si="121"/>
        <v>0</v>
      </c>
      <c r="AB172" s="55">
        <f t="shared" si="121"/>
        <v>0</v>
      </c>
      <c r="AC172" s="55">
        <f t="shared" si="121"/>
        <v>0</v>
      </c>
      <c r="AD172" s="55">
        <f t="shared" si="121"/>
        <v>0</v>
      </c>
      <c r="AE172" s="55">
        <f t="shared" si="121"/>
        <v>0</v>
      </c>
      <c r="AF172" s="55">
        <f t="shared" si="121"/>
        <v>0</v>
      </c>
      <c r="AG172" s="55">
        <f t="shared" si="121"/>
        <v>0</v>
      </c>
      <c r="AH172" s="55">
        <f t="shared" si="121"/>
        <v>0</v>
      </c>
      <c r="AI172" s="55">
        <f t="shared" ref="AI172:BJ172" si="122">IF(AND(AI$127&gt;=$I64,AI$127&lt;$I64+$F64),INDEX($T64:$AI64,AI$127-$I64+1),0)</f>
        <v>0</v>
      </c>
      <c r="AJ172" s="55">
        <f t="shared" si="122"/>
        <v>0</v>
      </c>
      <c r="AK172" s="55">
        <f t="shared" si="122"/>
        <v>0</v>
      </c>
      <c r="AL172" s="55">
        <f t="shared" si="122"/>
        <v>0</v>
      </c>
      <c r="AM172" s="55">
        <f t="shared" si="122"/>
        <v>0</v>
      </c>
      <c r="AN172" s="55">
        <f t="shared" si="122"/>
        <v>0</v>
      </c>
      <c r="AO172" s="55">
        <f t="shared" si="122"/>
        <v>0</v>
      </c>
      <c r="AP172" s="55">
        <f t="shared" si="122"/>
        <v>0</v>
      </c>
      <c r="AQ172" s="55">
        <f t="shared" si="122"/>
        <v>0</v>
      </c>
      <c r="AR172" s="55">
        <f t="shared" si="122"/>
        <v>0</v>
      </c>
      <c r="AS172" s="55">
        <f t="shared" si="122"/>
        <v>0</v>
      </c>
      <c r="AT172" s="55">
        <f t="shared" si="122"/>
        <v>0</v>
      </c>
      <c r="AU172" s="55">
        <f t="shared" si="122"/>
        <v>0</v>
      </c>
      <c r="AV172" s="55">
        <f t="shared" si="122"/>
        <v>0</v>
      </c>
      <c r="AW172" s="55">
        <f t="shared" si="122"/>
        <v>0</v>
      </c>
      <c r="AX172" s="55">
        <f t="shared" si="122"/>
        <v>0</v>
      </c>
      <c r="AY172" s="55">
        <f t="shared" si="122"/>
        <v>0</v>
      </c>
      <c r="AZ172" s="55">
        <f t="shared" si="122"/>
        <v>0</v>
      </c>
      <c r="BA172" s="55">
        <f t="shared" si="122"/>
        <v>0</v>
      </c>
      <c r="BB172" s="55">
        <f t="shared" si="122"/>
        <v>0</v>
      </c>
      <c r="BC172" s="55">
        <f t="shared" si="122"/>
        <v>0</v>
      </c>
      <c r="BD172" s="55">
        <f t="shared" si="122"/>
        <v>0</v>
      </c>
      <c r="BE172" s="55">
        <f t="shared" si="122"/>
        <v>0</v>
      </c>
      <c r="BF172" s="55">
        <f t="shared" si="122"/>
        <v>0</v>
      </c>
      <c r="BG172" s="55">
        <f t="shared" si="122"/>
        <v>0</v>
      </c>
      <c r="BH172" s="55">
        <f t="shared" si="122"/>
        <v>0</v>
      </c>
      <c r="BI172" s="55">
        <f t="shared" si="122"/>
        <v>0</v>
      </c>
      <c r="BJ172" s="55">
        <f t="shared" si="122"/>
        <v>0</v>
      </c>
    </row>
    <row r="173" spans="1:62" x14ac:dyDescent="0.3">
      <c r="A173" s="53" t="str">
        <f t="shared" si="104"/>
        <v>project 87</v>
      </c>
      <c r="C173" s="55">
        <f t="shared" ref="C173:AH173" si="123">IF(AND(C$127&gt;=$I65,C$127&lt;$I65+$F65),INDEX($T65:$AI65,C$127-$I65+1),0)</f>
        <v>0</v>
      </c>
      <c r="D173" s="55">
        <f t="shared" si="123"/>
        <v>0</v>
      </c>
      <c r="E173" s="55">
        <f t="shared" si="123"/>
        <v>0</v>
      </c>
      <c r="F173" s="55">
        <f t="shared" si="123"/>
        <v>0</v>
      </c>
      <c r="G173" s="55">
        <f t="shared" si="123"/>
        <v>0</v>
      </c>
      <c r="H173" s="55">
        <f t="shared" si="123"/>
        <v>0</v>
      </c>
      <c r="I173" s="55">
        <f t="shared" si="123"/>
        <v>0</v>
      </c>
      <c r="J173" s="55">
        <f t="shared" si="123"/>
        <v>0</v>
      </c>
      <c r="K173" s="55">
        <f t="shared" si="123"/>
        <v>0</v>
      </c>
      <c r="L173" s="55">
        <f t="shared" si="123"/>
        <v>0</v>
      </c>
      <c r="M173" s="55">
        <f t="shared" si="123"/>
        <v>0</v>
      </c>
      <c r="N173" s="55">
        <f t="shared" si="123"/>
        <v>0</v>
      </c>
      <c r="O173" s="55">
        <f t="shared" si="123"/>
        <v>0</v>
      </c>
      <c r="P173" s="55">
        <f t="shared" si="123"/>
        <v>0</v>
      </c>
      <c r="Q173" s="55">
        <f t="shared" si="123"/>
        <v>0</v>
      </c>
      <c r="R173" s="55">
        <f t="shared" si="123"/>
        <v>0</v>
      </c>
      <c r="S173" s="55">
        <f t="shared" si="123"/>
        <v>0</v>
      </c>
      <c r="T173" s="55">
        <f t="shared" si="123"/>
        <v>1.6885235294117651</v>
      </c>
      <c r="U173" s="55">
        <f t="shared" si="123"/>
        <v>12.394360822760479</v>
      </c>
      <c r="V173" s="55">
        <f t="shared" si="123"/>
        <v>21.74089528160361</v>
      </c>
      <c r="W173" s="55">
        <f t="shared" si="123"/>
        <v>0</v>
      </c>
      <c r="X173" s="55">
        <f t="shared" si="123"/>
        <v>0</v>
      </c>
      <c r="Y173" s="55">
        <f t="shared" si="123"/>
        <v>0</v>
      </c>
      <c r="Z173" s="55">
        <f t="shared" si="123"/>
        <v>0</v>
      </c>
      <c r="AA173" s="55">
        <f t="shared" si="123"/>
        <v>0</v>
      </c>
      <c r="AB173" s="55">
        <f t="shared" si="123"/>
        <v>0</v>
      </c>
      <c r="AC173" s="55">
        <f t="shared" si="123"/>
        <v>0</v>
      </c>
      <c r="AD173" s="55">
        <f t="shared" si="123"/>
        <v>0</v>
      </c>
      <c r="AE173" s="55">
        <f t="shared" si="123"/>
        <v>0</v>
      </c>
      <c r="AF173" s="55">
        <f t="shared" si="123"/>
        <v>0</v>
      </c>
      <c r="AG173" s="55">
        <f t="shared" si="123"/>
        <v>0</v>
      </c>
      <c r="AH173" s="55">
        <f t="shared" si="123"/>
        <v>0</v>
      </c>
      <c r="AI173" s="55">
        <f t="shared" ref="AI173:BJ173" si="124">IF(AND(AI$127&gt;=$I65,AI$127&lt;$I65+$F65),INDEX($T65:$AI65,AI$127-$I65+1),0)</f>
        <v>0</v>
      </c>
      <c r="AJ173" s="55">
        <f t="shared" si="124"/>
        <v>0</v>
      </c>
      <c r="AK173" s="55">
        <f t="shared" si="124"/>
        <v>0</v>
      </c>
      <c r="AL173" s="55">
        <f t="shared" si="124"/>
        <v>0</v>
      </c>
      <c r="AM173" s="55">
        <f t="shared" si="124"/>
        <v>0</v>
      </c>
      <c r="AN173" s="55">
        <f t="shared" si="124"/>
        <v>0</v>
      </c>
      <c r="AO173" s="55">
        <f t="shared" si="124"/>
        <v>0</v>
      </c>
      <c r="AP173" s="55">
        <f t="shared" si="124"/>
        <v>0</v>
      </c>
      <c r="AQ173" s="55">
        <f t="shared" si="124"/>
        <v>0</v>
      </c>
      <c r="AR173" s="55">
        <f t="shared" si="124"/>
        <v>0</v>
      </c>
      <c r="AS173" s="55">
        <f t="shared" si="124"/>
        <v>0</v>
      </c>
      <c r="AT173" s="55">
        <f t="shared" si="124"/>
        <v>0</v>
      </c>
      <c r="AU173" s="55">
        <f t="shared" si="124"/>
        <v>0</v>
      </c>
      <c r="AV173" s="55">
        <f t="shared" si="124"/>
        <v>0</v>
      </c>
      <c r="AW173" s="55">
        <f t="shared" si="124"/>
        <v>0</v>
      </c>
      <c r="AX173" s="55">
        <f t="shared" si="124"/>
        <v>0</v>
      </c>
      <c r="AY173" s="55">
        <f t="shared" si="124"/>
        <v>0</v>
      </c>
      <c r="AZ173" s="55">
        <f t="shared" si="124"/>
        <v>0</v>
      </c>
      <c r="BA173" s="55">
        <f t="shared" si="124"/>
        <v>0</v>
      </c>
      <c r="BB173" s="55">
        <f t="shared" si="124"/>
        <v>0</v>
      </c>
      <c r="BC173" s="55">
        <f t="shared" si="124"/>
        <v>0</v>
      </c>
      <c r="BD173" s="55">
        <f t="shared" si="124"/>
        <v>0</v>
      </c>
      <c r="BE173" s="55">
        <f t="shared" si="124"/>
        <v>0</v>
      </c>
      <c r="BF173" s="55">
        <f t="shared" si="124"/>
        <v>0</v>
      </c>
      <c r="BG173" s="55">
        <f t="shared" si="124"/>
        <v>0</v>
      </c>
      <c r="BH173" s="55">
        <f t="shared" si="124"/>
        <v>0</v>
      </c>
      <c r="BI173" s="55">
        <f t="shared" si="124"/>
        <v>0</v>
      </c>
      <c r="BJ173" s="55">
        <f t="shared" si="124"/>
        <v>0</v>
      </c>
    </row>
    <row r="174" spans="1:62" x14ac:dyDescent="0.3">
      <c r="A174" s="53" t="str">
        <f t="shared" si="104"/>
        <v>project 90</v>
      </c>
      <c r="C174" s="55">
        <f t="shared" ref="C174:AH174" si="125">IF(AND(C$127&gt;=$I66,C$127&lt;$I66+$F66),INDEX($T66:$AI66,C$127-$I66+1),0)</f>
        <v>2.4808750000000002</v>
      </c>
      <c r="D174" s="55">
        <f t="shared" si="125"/>
        <v>7.8944852941176462</v>
      </c>
      <c r="E174" s="55">
        <f t="shared" si="125"/>
        <v>5.9717416378316033</v>
      </c>
      <c r="F174" s="55">
        <f t="shared" si="125"/>
        <v>0</v>
      </c>
      <c r="G174" s="55">
        <f t="shared" si="125"/>
        <v>0</v>
      </c>
      <c r="H174" s="55">
        <f t="shared" si="125"/>
        <v>0</v>
      </c>
      <c r="I174" s="55">
        <f t="shared" si="125"/>
        <v>0</v>
      </c>
      <c r="J174" s="55">
        <f t="shared" si="125"/>
        <v>0</v>
      </c>
      <c r="K174" s="55">
        <f t="shared" si="125"/>
        <v>0</v>
      </c>
      <c r="L174" s="55">
        <f t="shared" si="125"/>
        <v>0</v>
      </c>
      <c r="M174" s="55">
        <f t="shared" si="125"/>
        <v>0</v>
      </c>
      <c r="N174" s="55">
        <f t="shared" si="125"/>
        <v>0</v>
      </c>
      <c r="O174" s="55">
        <f t="shared" si="125"/>
        <v>0</v>
      </c>
      <c r="P174" s="55">
        <f t="shared" si="125"/>
        <v>0</v>
      </c>
      <c r="Q174" s="55">
        <f t="shared" si="125"/>
        <v>0</v>
      </c>
      <c r="R174" s="55">
        <f t="shared" si="125"/>
        <v>0</v>
      </c>
      <c r="S174" s="55">
        <f t="shared" si="125"/>
        <v>0</v>
      </c>
      <c r="T174" s="55">
        <f t="shared" si="125"/>
        <v>0</v>
      </c>
      <c r="U174" s="55">
        <f t="shared" si="125"/>
        <v>0</v>
      </c>
      <c r="V174" s="55">
        <f t="shared" si="125"/>
        <v>0</v>
      </c>
      <c r="W174" s="55">
        <f t="shared" si="125"/>
        <v>0</v>
      </c>
      <c r="X174" s="55">
        <f t="shared" si="125"/>
        <v>0</v>
      </c>
      <c r="Y174" s="55">
        <f t="shared" si="125"/>
        <v>0</v>
      </c>
      <c r="Z174" s="55">
        <f t="shared" si="125"/>
        <v>0</v>
      </c>
      <c r="AA174" s="55">
        <f t="shared" si="125"/>
        <v>0</v>
      </c>
      <c r="AB174" s="55">
        <f t="shared" si="125"/>
        <v>0</v>
      </c>
      <c r="AC174" s="55">
        <f t="shared" si="125"/>
        <v>0</v>
      </c>
      <c r="AD174" s="55">
        <f t="shared" si="125"/>
        <v>0</v>
      </c>
      <c r="AE174" s="55">
        <f t="shared" si="125"/>
        <v>0</v>
      </c>
      <c r="AF174" s="55">
        <f t="shared" si="125"/>
        <v>0</v>
      </c>
      <c r="AG174" s="55">
        <f t="shared" si="125"/>
        <v>0</v>
      </c>
      <c r="AH174" s="55">
        <f t="shared" si="125"/>
        <v>0</v>
      </c>
      <c r="AI174" s="55">
        <f t="shared" ref="AI174:BJ174" si="126">IF(AND(AI$127&gt;=$I66,AI$127&lt;$I66+$F66),INDEX($T66:$AI66,AI$127-$I66+1),0)</f>
        <v>0</v>
      </c>
      <c r="AJ174" s="55">
        <f t="shared" si="126"/>
        <v>0</v>
      </c>
      <c r="AK174" s="55">
        <f t="shared" si="126"/>
        <v>0</v>
      </c>
      <c r="AL174" s="55">
        <f t="shared" si="126"/>
        <v>0</v>
      </c>
      <c r="AM174" s="55">
        <f t="shared" si="126"/>
        <v>0</v>
      </c>
      <c r="AN174" s="55">
        <f t="shared" si="126"/>
        <v>0</v>
      </c>
      <c r="AO174" s="55">
        <f t="shared" si="126"/>
        <v>0</v>
      </c>
      <c r="AP174" s="55">
        <f t="shared" si="126"/>
        <v>0</v>
      </c>
      <c r="AQ174" s="55">
        <f t="shared" si="126"/>
        <v>0</v>
      </c>
      <c r="AR174" s="55">
        <f t="shared" si="126"/>
        <v>0</v>
      </c>
      <c r="AS174" s="55">
        <f t="shared" si="126"/>
        <v>0</v>
      </c>
      <c r="AT174" s="55">
        <f t="shared" si="126"/>
        <v>0</v>
      </c>
      <c r="AU174" s="55">
        <f t="shared" si="126"/>
        <v>0</v>
      </c>
      <c r="AV174" s="55">
        <f t="shared" si="126"/>
        <v>0</v>
      </c>
      <c r="AW174" s="55">
        <f t="shared" si="126"/>
        <v>0</v>
      </c>
      <c r="AX174" s="55">
        <f t="shared" si="126"/>
        <v>0</v>
      </c>
      <c r="AY174" s="55">
        <f t="shared" si="126"/>
        <v>0</v>
      </c>
      <c r="AZ174" s="55">
        <f t="shared" si="126"/>
        <v>0</v>
      </c>
      <c r="BA174" s="55">
        <f t="shared" si="126"/>
        <v>0</v>
      </c>
      <c r="BB174" s="55">
        <f t="shared" si="126"/>
        <v>0</v>
      </c>
      <c r="BC174" s="55">
        <f t="shared" si="126"/>
        <v>0</v>
      </c>
      <c r="BD174" s="55">
        <f t="shared" si="126"/>
        <v>0</v>
      </c>
      <c r="BE174" s="55">
        <f t="shared" si="126"/>
        <v>0</v>
      </c>
      <c r="BF174" s="55">
        <f t="shared" si="126"/>
        <v>0</v>
      </c>
      <c r="BG174" s="55">
        <f t="shared" si="126"/>
        <v>0</v>
      </c>
      <c r="BH174" s="55">
        <f t="shared" si="126"/>
        <v>0</v>
      </c>
      <c r="BI174" s="55">
        <f t="shared" si="126"/>
        <v>0</v>
      </c>
      <c r="BJ174" s="55">
        <f t="shared" si="126"/>
        <v>0</v>
      </c>
    </row>
    <row r="175" spans="1:62" x14ac:dyDescent="0.3">
      <c r="A175" s="53" t="str">
        <f t="shared" si="104"/>
        <v>project 91</v>
      </c>
      <c r="C175" s="55">
        <f t="shared" ref="C175:AH175" si="127">IF(AND(C$127&gt;=$I67,C$127&lt;$I67+$F67),INDEX($T67:$AI67,C$127-$I67+1),0)</f>
        <v>0</v>
      </c>
      <c r="D175" s="55">
        <f t="shared" si="127"/>
        <v>0</v>
      </c>
      <c r="E175" s="55">
        <f t="shared" si="127"/>
        <v>0</v>
      </c>
      <c r="F175" s="55">
        <f t="shared" si="127"/>
        <v>0</v>
      </c>
      <c r="G175" s="55">
        <f t="shared" si="127"/>
        <v>0</v>
      </c>
      <c r="H175" s="55">
        <f t="shared" si="127"/>
        <v>0</v>
      </c>
      <c r="I175" s="55">
        <f t="shared" si="127"/>
        <v>0</v>
      </c>
      <c r="J175" s="55">
        <f t="shared" si="127"/>
        <v>0</v>
      </c>
      <c r="K175" s="55">
        <f t="shared" si="127"/>
        <v>0</v>
      </c>
      <c r="L175" s="55">
        <f t="shared" si="127"/>
        <v>0</v>
      </c>
      <c r="M175" s="55">
        <f t="shared" si="127"/>
        <v>0</v>
      </c>
      <c r="N175" s="55">
        <f t="shared" si="127"/>
        <v>0</v>
      </c>
      <c r="O175" s="55">
        <f t="shared" si="127"/>
        <v>0</v>
      </c>
      <c r="P175" s="55">
        <f t="shared" si="127"/>
        <v>0</v>
      </c>
      <c r="Q175" s="55">
        <f t="shared" si="127"/>
        <v>0</v>
      </c>
      <c r="R175" s="55">
        <f t="shared" si="127"/>
        <v>0</v>
      </c>
      <c r="S175" s="55">
        <f t="shared" si="127"/>
        <v>0.4245162117134435</v>
      </c>
      <c r="T175" s="55">
        <f t="shared" si="127"/>
        <v>0</v>
      </c>
      <c r="U175" s="55">
        <f t="shared" si="127"/>
        <v>4.9362329135730416</v>
      </c>
      <c r="V175" s="55">
        <f t="shared" si="127"/>
        <v>4.8394440329147468</v>
      </c>
      <c r="W175" s="55">
        <f t="shared" si="127"/>
        <v>0</v>
      </c>
      <c r="X175" s="55">
        <f t="shared" si="127"/>
        <v>0</v>
      </c>
      <c r="Y175" s="55">
        <f t="shared" si="127"/>
        <v>0</v>
      </c>
      <c r="Z175" s="55">
        <f t="shared" si="127"/>
        <v>0</v>
      </c>
      <c r="AA175" s="55">
        <f t="shared" si="127"/>
        <v>0</v>
      </c>
      <c r="AB175" s="55">
        <f t="shared" si="127"/>
        <v>0</v>
      </c>
      <c r="AC175" s="55">
        <f t="shared" si="127"/>
        <v>0</v>
      </c>
      <c r="AD175" s="55">
        <f t="shared" si="127"/>
        <v>0</v>
      </c>
      <c r="AE175" s="55">
        <f t="shared" si="127"/>
        <v>0</v>
      </c>
      <c r="AF175" s="55">
        <f t="shared" si="127"/>
        <v>0</v>
      </c>
      <c r="AG175" s="55">
        <f t="shared" si="127"/>
        <v>0</v>
      </c>
      <c r="AH175" s="55">
        <f t="shared" si="127"/>
        <v>0</v>
      </c>
      <c r="AI175" s="55">
        <f t="shared" ref="AI175:BJ175" si="128">IF(AND(AI$127&gt;=$I67,AI$127&lt;$I67+$F67),INDEX($T67:$AI67,AI$127-$I67+1),0)</f>
        <v>0</v>
      </c>
      <c r="AJ175" s="55">
        <f t="shared" si="128"/>
        <v>0</v>
      </c>
      <c r="AK175" s="55">
        <f t="shared" si="128"/>
        <v>0</v>
      </c>
      <c r="AL175" s="55">
        <f t="shared" si="128"/>
        <v>0</v>
      </c>
      <c r="AM175" s="55">
        <f t="shared" si="128"/>
        <v>0</v>
      </c>
      <c r="AN175" s="55">
        <f t="shared" si="128"/>
        <v>0</v>
      </c>
      <c r="AO175" s="55">
        <f t="shared" si="128"/>
        <v>0</v>
      </c>
      <c r="AP175" s="55">
        <f t="shared" si="128"/>
        <v>0</v>
      </c>
      <c r="AQ175" s="55">
        <f t="shared" si="128"/>
        <v>0</v>
      </c>
      <c r="AR175" s="55">
        <f t="shared" si="128"/>
        <v>0</v>
      </c>
      <c r="AS175" s="55">
        <f t="shared" si="128"/>
        <v>0</v>
      </c>
      <c r="AT175" s="55">
        <f t="shared" si="128"/>
        <v>0</v>
      </c>
      <c r="AU175" s="55">
        <f t="shared" si="128"/>
        <v>0</v>
      </c>
      <c r="AV175" s="55">
        <f t="shared" si="128"/>
        <v>0</v>
      </c>
      <c r="AW175" s="55">
        <f t="shared" si="128"/>
        <v>0</v>
      </c>
      <c r="AX175" s="55">
        <f t="shared" si="128"/>
        <v>0</v>
      </c>
      <c r="AY175" s="55">
        <f t="shared" si="128"/>
        <v>0</v>
      </c>
      <c r="AZ175" s="55">
        <f t="shared" si="128"/>
        <v>0</v>
      </c>
      <c r="BA175" s="55">
        <f t="shared" si="128"/>
        <v>0</v>
      </c>
      <c r="BB175" s="55">
        <f t="shared" si="128"/>
        <v>0</v>
      </c>
      <c r="BC175" s="55">
        <f t="shared" si="128"/>
        <v>0</v>
      </c>
      <c r="BD175" s="55">
        <f t="shared" si="128"/>
        <v>0</v>
      </c>
      <c r="BE175" s="55">
        <f t="shared" si="128"/>
        <v>0</v>
      </c>
      <c r="BF175" s="55">
        <f t="shared" si="128"/>
        <v>0</v>
      </c>
      <c r="BG175" s="55">
        <f t="shared" si="128"/>
        <v>0</v>
      </c>
      <c r="BH175" s="55">
        <f t="shared" si="128"/>
        <v>0</v>
      </c>
      <c r="BI175" s="55">
        <f t="shared" si="128"/>
        <v>0</v>
      </c>
      <c r="BJ175" s="55">
        <f t="shared" si="128"/>
        <v>0</v>
      </c>
    </row>
    <row r="176" spans="1:62" x14ac:dyDescent="0.3">
      <c r="A176" s="53" t="str">
        <f t="shared" si="104"/>
        <v>project 92</v>
      </c>
      <c r="C176" s="55">
        <f t="shared" ref="C176:AH176" si="129">IF(AND(C$127&gt;=$I68,C$127&lt;$I68+$F68),INDEX($T68:$AI68,C$127-$I68+1),0)</f>
        <v>0.29325000000000001</v>
      </c>
      <c r="D176" s="55">
        <f t="shared" si="129"/>
        <v>1.3512500000000001</v>
      </c>
      <c r="E176" s="55">
        <f t="shared" si="129"/>
        <v>2.9411764705882359</v>
      </c>
      <c r="F176" s="55">
        <f t="shared" si="129"/>
        <v>4.6160130718954244</v>
      </c>
      <c r="G176" s="55">
        <f t="shared" si="129"/>
        <v>4.5255030116621811</v>
      </c>
      <c r="H176" s="55">
        <f t="shared" si="129"/>
        <v>0</v>
      </c>
      <c r="I176" s="55">
        <f t="shared" si="129"/>
        <v>0</v>
      </c>
      <c r="J176" s="55">
        <f t="shared" si="129"/>
        <v>0</v>
      </c>
      <c r="K176" s="55">
        <f t="shared" si="129"/>
        <v>0</v>
      </c>
      <c r="L176" s="55">
        <f t="shared" si="129"/>
        <v>0</v>
      </c>
      <c r="M176" s="55">
        <f t="shared" si="129"/>
        <v>0</v>
      </c>
      <c r="N176" s="55">
        <f t="shared" si="129"/>
        <v>0</v>
      </c>
      <c r="O176" s="55">
        <f t="shared" si="129"/>
        <v>0</v>
      </c>
      <c r="P176" s="55">
        <f t="shared" si="129"/>
        <v>0</v>
      </c>
      <c r="Q176" s="55">
        <f t="shared" si="129"/>
        <v>0</v>
      </c>
      <c r="R176" s="55">
        <f t="shared" si="129"/>
        <v>0</v>
      </c>
      <c r="S176" s="55">
        <f t="shared" si="129"/>
        <v>0</v>
      </c>
      <c r="T176" s="55">
        <f t="shared" si="129"/>
        <v>0</v>
      </c>
      <c r="U176" s="55">
        <f t="shared" si="129"/>
        <v>0</v>
      </c>
      <c r="V176" s="55">
        <f t="shared" si="129"/>
        <v>0</v>
      </c>
      <c r="W176" s="55">
        <f t="shared" si="129"/>
        <v>0</v>
      </c>
      <c r="X176" s="55">
        <f t="shared" si="129"/>
        <v>0</v>
      </c>
      <c r="Y176" s="55">
        <f t="shared" si="129"/>
        <v>0</v>
      </c>
      <c r="Z176" s="55">
        <f t="shared" si="129"/>
        <v>0</v>
      </c>
      <c r="AA176" s="55">
        <f t="shared" si="129"/>
        <v>0</v>
      </c>
      <c r="AB176" s="55">
        <f t="shared" si="129"/>
        <v>0</v>
      </c>
      <c r="AC176" s="55">
        <f t="shared" si="129"/>
        <v>0</v>
      </c>
      <c r="AD176" s="55">
        <f t="shared" si="129"/>
        <v>0</v>
      </c>
      <c r="AE176" s="55">
        <f t="shared" si="129"/>
        <v>0</v>
      </c>
      <c r="AF176" s="55">
        <f t="shared" si="129"/>
        <v>0</v>
      </c>
      <c r="AG176" s="55">
        <f t="shared" si="129"/>
        <v>0</v>
      </c>
      <c r="AH176" s="55">
        <f t="shared" si="129"/>
        <v>0</v>
      </c>
      <c r="AI176" s="55">
        <f t="shared" ref="AI176:BJ176" si="130">IF(AND(AI$127&gt;=$I68,AI$127&lt;$I68+$F68),INDEX($T68:$AI68,AI$127-$I68+1),0)</f>
        <v>0</v>
      </c>
      <c r="AJ176" s="55">
        <f t="shared" si="130"/>
        <v>0</v>
      </c>
      <c r="AK176" s="55">
        <f t="shared" si="130"/>
        <v>0</v>
      </c>
      <c r="AL176" s="55">
        <f t="shared" si="130"/>
        <v>0</v>
      </c>
      <c r="AM176" s="55">
        <f t="shared" si="130"/>
        <v>0</v>
      </c>
      <c r="AN176" s="55">
        <f t="shared" si="130"/>
        <v>0</v>
      </c>
      <c r="AO176" s="55">
        <f t="shared" si="130"/>
        <v>0</v>
      </c>
      <c r="AP176" s="55">
        <f t="shared" si="130"/>
        <v>0</v>
      </c>
      <c r="AQ176" s="55">
        <f t="shared" si="130"/>
        <v>0</v>
      </c>
      <c r="AR176" s="55">
        <f t="shared" si="130"/>
        <v>0</v>
      </c>
      <c r="AS176" s="55">
        <f t="shared" si="130"/>
        <v>0</v>
      </c>
      <c r="AT176" s="55">
        <f t="shared" si="130"/>
        <v>0</v>
      </c>
      <c r="AU176" s="55">
        <f t="shared" si="130"/>
        <v>0</v>
      </c>
      <c r="AV176" s="55">
        <f t="shared" si="130"/>
        <v>0</v>
      </c>
      <c r="AW176" s="55">
        <f t="shared" si="130"/>
        <v>0</v>
      </c>
      <c r="AX176" s="55">
        <f t="shared" si="130"/>
        <v>0</v>
      </c>
      <c r="AY176" s="55">
        <f t="shared" si="130"/>
        <v>0</v>
      </c>
      <c r="AZ176" s="55">
        <f t="shared" si="130"/>
        <v>0</v>
      </c>
      <c r="BA176" s="55">
        <f t="shared" si="130"/>
        <v>0</v>
      </c>
      <c r="BB176" s="55">
        <f t="shared" si="130"/>
        <v>0</v>
      </c>
      <c r="BC176" s="55">
        <f t="shared" si="130"/>
        <v>0</v>
      </c>
      <c r="BD176" s="55">
        <f t="shared" si="130"/>
        <v>0</v>
      </c>
      <c r="BE176" s="55">
        <f t="shared" si="130"/>
        <v>0</v>
      </c>
      <c r="BF176" s="55">
        <f t="shared" si="130"/>
        <v>0</v>
      </c>
      <c r="BG176" s="55">
        <f t="shared" si="130"/>
        <v>0</v>
      </c>
      <c r="BH176" s="55">
        <f t="shared" si="130"/>
        <v>0</v>
      </c>
      <c r="BI176" s="55">
        <f t="shared" si="130"/>
        <v>0</v>
      </c>
      <c r="BJ176" s="55">
        <f t="shared" si="130"/>
        <v>0</v>
      </c>
    </row>
    <row r="177" spans="1:62" x14ac:dyDescent="0.3">
      <c r="A177" s="53" t="str">
        <f t="shared" si="104"/>
        <v>project 98</v>
      </c>
      <c r="C177" s="55">
        <f t="shared" ref="C177:AH177" si="131">IF(AND(C$127&gt;=$I69,C$127&lt;$I69+$F69),INDEX($T69:$AI69,C$127-$I69+1),0)</f>
        <v>0</v>
      </c>
      <c r="D177" s="55">
        <f t="shared" si="131"/>
        <v>0</v>
      </c>
      <c r="E177" s="55">
        <f t="shared" si="131"/>
        <v>0</v>
      </c>
      <c r="F177" s="55">
        <f t="shared" si="131"/>
        <v>0</v>
      </c>
      <c r="G177" s="55">
        <f t="shared" si="131"/>
        <v>0</v>
      </c>
      <c r="H177" s="55">
        <f t="shared" si="131"/>
        <v>0</v>
      </c>
      <c r="I177" s="55">
        <f t="shared" si="131"/>
        <v>0</v>
      </c>
      <c r="J177" s="55">
        <f t="shared" si="131"/>
        <v>0</v>
      </c>
      <c r="K177" s="55">
        <f t="shared" si="131"/>
        <v>0</v>
      </c>
      <c r="L177" s="55">
        <f t="shared" si="131"/>
        <v>0</v>
      </c>
      <c r="M177" s="55">
        <f t="shared" si="131"/>
        <v>0</v>
      </c>
      <c r="N177" s="55">
        <f t="shared" si="131"/>
        <v>0</v>
      </c>
      <c r="O177" s="55">
        <f t="shared" si="131"/>
        <v>0</v>
      </c>
      <c r="P177" s="55">
        <f t="shared" si="131"/>
        <v>0</v>
      </c>
      <c r="Q177" s="55">
        <f t="shared" si="131"/>
        <v>0</v>
      </c>
      <c r="R177" s="55">
        <f t="shared" si="131"/>
        <v>0</v>
      </c>
      <c r="S177" s="55">
        <f t="shared" si="131"/>
        <v>0</v>
      </c>
      <c r="T177" s="55">
        <f t="shared" si="131"/>
        <v>0</v>
      </c>
      <c r="U177" s="55">
        <f t="shared" si="131"/>
        <v>0</v>
      </c>
      <c r="V177" s="55">
        <f t="shared" si="131"/>
        <v>32.593137254901961</v>
      </c>
      <c r="W177" s="55">
        <f t="shared" si="131"/>
        <v>0</v>
      </c>
      <c r="X177" s="55">
        <f t="shared" si="131"/>
        <v>0</v>
      </c>
      <c r="Y177" s="55">
        <f t="shared" si="131"/>
        <v>0</v>
      </c>
      <c r="Z177" s="55">
        <f t="shared" si="131"/>
        <v>0</v>
      </c>
      <c r="AA177" s="55">
        <f t="shared" si="131"/>
        <v>0</v>
      </c>
      <c r="AB177" s="55">
        <f t="shared" si="131"/>
        <v>0</v>
      </c>
      <c r="AC177" s="55">
        <f t="shared" si="131"/>
        <v>0</v>
      </c>
      <c r="AD177" s="55">
        <f t="shared" si="131"/>
        <v>0</v>
      </c>
      <c r="AE177" s="55">
        <f t="shared" si="131"/>
        <v>0</v>
      </c>
      <c r="AF177" s="55">
        <f t="shared" si="131"/>
        <v>0</v>
      </c>
      <c r="AG177" s="55">
        <f t="shared" si="131"/>
        <v>0</v>
      </c>
      <c r="AH177" s="55">
        <f t="shared" si="131"/>
        <v>0</v>
      </c>
      <c r="AI177" s="55">
        <f t="shared" ref="AI177:BJ177" si="132">IF(AND(AI$127&gt;=$I69,AI$127&lt;$I69+$F69),INDEX($T69:$AI69,AI$127-$I69+1),0)</f>
        <v>0</v>
      </c>
      <c r="AJ177" s="55">
        <f t="shared" si="132"/>
        <v>0</v>
      </c>
      <c r="AK177" s="55">
        <f t="shared" si="132"/>
        <v>0</v>
      </c>
      <c r="AL177" s="55">
        <f t="shared" si="132"/>
        <v>0</v>
      </c>
      <c r="AM177" s="55">
        <f t="shared" si="132"/>
        <v>0</v>
      </c>
      <c r="AN177" s="55">
        <f t="shared" si="132"/>
        <v>0</v>
      </c>
      <c r="AO177" s="55">
        <f t="shared" si="132"/>
        <v>0</v>
      </c>
      <c r="AP177" s="55">
        <f t="shared" si="132"/>
        <v>0</v>
      </c>
      <c r="AQ177" s="55">
        <f t="shared" si="132"/>
        <v>0</v>
      </c>
      <c r="AR177" s="55">
        <f t="shared" si="132"/>
        <v>0</v>
      </c>
      <c r="AS177" s="55">
        <f t="shared" si="132"/>
        <v>0</v>
      </c>
      <c r="AT177" s="55">
        <f t="shared" si="132"/>
        <v>0</v>
      </c>
      <c r="AU177" s="55">
        <f t="shared" si="132"/>
        <v>0</v>
      </c>
      <c r="AV177" s="55">
        <f t="shared" si="132"/>
        <v>0</v>
      </c>
      <c r="AW177" s="55">
        <f t="shared" si="132"/>
        <v>0</v>
      </c>
      <c r="AX177" s="55">
        <f t="shared" si="132"/>
        <v>0</v>
      </c>
      <c r="AY177" s="55">
        <f t="shared" si="132"/>
        <v>0</v>
      </c>
      <c r="AZ177" s="55">
        <f t="shared" si="132"/>
        <v>0</v>
      </c>
      <c r="BA177" s="55">
        <f t="shared" si="132"/>
        <v>0</v>
      </c>
      <c r="BB177" s="55">
        <f t="shared" si="132"/>
        <v>0</v>
      </c>
      <c r="BC177" s="55">
        <f t="shared" si="132"/>
        <v>0</v>
      </c>
      <c r="BD177" s="55">
        <f t="shared" si="132"/>
        <v>0</v>
      </c>
      <c r="BE177" s="55">
        <f t="shared" si="132"/>
        <v>0</v>
      </c>
      <c r="BF177" s="55">
        <f t="shared" si="132"/>
        <v>0</v>
      </c>
      <c r="BG177" s="55">
        <f t="shared" si="132"/>
        <v>0</v>
      </c>
      <c r="BH177" s="55">
        <f t="shared" si="132"/>
        <v>0</v>
      </c>
      <c r="BI177" s="55">
        <f t="shared" si="132"/>
        <v>0</v>
      </c>
      <c r="BJ177" s="55">
        <f t="shared" si="132"/>
        <v>0</v>
      </c>
    </row>
    <row r="178" spans="1:62" x14ac:dyDescent="0.3">
      <c r="A178" s="53" t="str">
        <f t="shared" si="104"/>
        <v>project 100</v>
      </c>
      <c r="C178" s="55">
        <f t="shared" ref="C178:AH178" si="133">IF(AND(C$127&gt;=$I70,C$127&lt;$I70+$F70),INDEX($T70:$AI70,C$127-$I70+1),0)</f>
        <v>0</v>
      </c>
      <c r="D178" s="55">
        <f t="shared" si="133"/>
        <v>0</v>
      </c>
      <c r="E178" s="55">
        <f t="shared" si="133"/>
        <v>0</v>
      </c>
      <c r="F178" s="55">
        <f t="shared" si="133"/>
        <v>0</v>
      </c>
      <c r="G178" s="55">
        <f t="shared" si="133"/>
        <v>0</v>
      </c>
      <c r="H178" s="55">
        <f t="shared" si="133"/>
        <v>0</v>
      </c>
      <c r="I178" s="55">
        <f t="shared" si="133"/>
        <v>0</v>
      </c>
      <c r="J178" s="55">
        <f t="shared" si="133"/>
        <v>0</v>
      </c>
      <c r="K178" s="55">
        <f t="shared" si="133"/>
        <v>0</v>
      </c>
      <c r="L178" s="55">
        <f t="shared" si="133"/>
        <v>0</v>
      </c>
      <c r="M178" s="55">
        <f t="shared" si="133"/>
        <v>0</v>
      </c>
      <c r="N178" s="55">
        <f t="shared" si="133"/>
        <v>0</v>
      </c>
      <c r="O178" s="55">
        <f t="shared" si="133"/>
        <v>0</v>
      </c>
      <c r="P178" s="55">
        <f t="shared" si="133"/>
        <v>0</v>
      </c>
      <c r="Q178" s="55">
        <f t="shared" si="133"/>
        <v>0</v>
      </c>
      <c r="R178" s="55">
        <f t="shared" si="133"/>
        <v>0</v>
      </c>
      <c r="S178" s="55">
        <f t="shared" si="133"/>
        <v>0</v>
      </c>
      <c r="T178" s="55">
        <f t="shared" si="133"/>
        <v>0</v>
      </c>
      <c r="U178" s="55">
        <f t="shared" si="133"/>
        <v>9.6999999999999993</v>
      </c>
      <c r="V178" s="55">
        <f t="shared" si="133"/>
        <v>8.2843137254901968</v>
      </c>
      <c r="W178" s="55">
        <f t="shared" si="133"/>
        <v>0</v>
      </c>
      <c r="X178" s="55">
        <f t="shared" si="133"/>
        <v>0</v>
      </c>
      <c r="Y178" s="55">
        <f t="shared" si="133"/>
        <v>0</v>
      </c>
      <c r="Z178" s="55">
        <f t="shared" si="133"/>
        <v>0</v>
      </c>
      <c r="AA178" s="55">
        <f t="shared" si="133"/>
        <v>0</v>
      </c>
      <c r="AB178" s="55">
        <f t="shared" si="133"/>
        <v>0</v>
      </c>
      <c r="AC178" s="55">
        <f t="shared" si="133"/>
        <v>0</v>
      </c>
      <c r="AD178" s="55">
        <f t="shared" si="133"/>
        <v>0</v>
      </c>
      <c r="AE178" s="55">
        <f t="shared" si="133"/>
        <v>0</v>
      </c>
      <c r="AF178" s="55">
        <f t="shared" si="133"/>
        <v>0</v>
      </c>
      <c r="AG178" s="55">
        <f t="shared" si="133"/>
        <v>0</v>
      </c>
      <c r="AH178" s="55">
        <f t="shared" si="133"/>
        <v>0</v>
      </c>
      <c r="AI178" s="55">
        <f t="shared" ref="AI178:BJ178" si="134">IF(AND(AI$127&gt;=$I70,AI$127&lt;$I70+$F70),INDEX($T70:$AI70,AI$127-$I70+1),0)</f>
        <v>0</v>
      </c>
      <c r="AJ178" s="55">
        <f t="shared" si="134"/>
        <v>0</v>
      </c>
      <c r="AK178" s="55">
        <f t="shared" si="134"/>
        <v>0</v>
      </c>
      <c r="AL178" s="55">
        <f t="shared" si="134"/>
        <v>0</v>
      </c>
      <c r="AM178" s="55">
        <f t="shared" si="134"/>
        <v>0</v>
      </c>
      <c r="AN178" s="55">
        <f t="shared" si="134"/>
        <v>0</v>
      </c>
      <c r="AO178" s="55">
        <f t="shared" si="134"/>
        <v>0</v>
      </c>
      <c r="AP178" s="55">
        <f t="shared" si="134"/>
        <v>0</v>
      </c>
      <c r="AQ178" s="55">
        <f t="shared" si="134"/>
        <v>0</v>
      </c>
      <c r="AR178" s="55">
        <f t="shared" si="134"/>
        <v>0</v>
      </c>
      <c r="AS178" s="55">
        <f t="shared" si="134"/>
        <v>0</v>
      </c>
      <c r="AT178" s="55">
        <f t="shared" si="134"/>
        <v>0</v>
      </c>
      <c r="AU178" s="55">
        <f t="shared" si="134"/>
        <v>0</v>
      </c>
      <c r="AV178" s="55">
        <f t="shared" si="134"/>
        <v>0</v>
      </c>
      <c r="AW178" s="55">
        <f t="shared" si="134"/>
        <v>0</v>
      </c>
      <c r="AX178" s="55">
        <f t="shared" si="134"/>
        <v>0</v>
      </c>
      <c r="AY178" s="55">
        <f t="shared" si="134"/>
        <v>0</v>
      </c>
      <c r="AZ178" s="55">
        <f t="shared" si="134"/>
        <v>0</v>
      </c>
      <c r="BA178" s="55">
        <f t="shared" si="134"/>
        <v>0</v>
      </c>
      <c r="BB178" s="55">
        <f t="shared" si="134"/>
        <v>0</v>
      </c>
      <c r="BC178" s="55">
        <f t="shared" si="134"/>
        <v>0</v>
      </c>
      <c r="BD178" s="55">
        <f t="shared" si="134"/>
        <v>0</v>
      </c>
      <c r="BE178" s="55">
        <f t="shared" si="134"/>
        <v>0</v>
      </c>
      <c r="BF178" s="55">
        <f t="shared" si="134"/>
        <v>0</v>
      </c>
      <c r="BG178" s="55">
        <f t="shared" si="134"/>
        <v>0</v>
      </c>
      <c r="BH178" s="55">
        <f t="shared" si="134"/>
        <v>0</v>
      </c>
      <c r="BI178" s="55">
        <f t="shared" si="134"/>
        <v>0</v>
      </c>
      <c r="BJ178" s="55">
        <f t="shared" si="134"/>
        <v>0</v>
      </c>
    </row>
    <row r="179" spans="1:62" x14ac:dyDescent="0.3">
      <c r="A179" s="53" t="str">
        <f t="shared" si="104"/>
        <v>project 101</v>
      </c>
      <c r="C179" s="55">
        <f t="shared" ref="C179:AH179" si="135">IF(AND(C$127&gt;=$I71,C$127&lt;$I71+$F71),INDEX($T71:$AI71,C$127-$I71+1),0)</f>
        <v>0</v>
      </c>
      <c r="D179" s="55">
        <f t="shared" si="135"/>
        <v>0</v>
      </c>
      <c r="E179" s="55">
        <f t="shared" si="135"/>
        <v>0.57499999999999996</v>
      </c>
      <c r="F179" s="55">
        <f t="shared" si="135"/>
        <v>9.2156862745098049</v>
      </c>
      <c r="G179" s="55">
        <f t="shared" si="135"/>
        <v>5.1903114186851207</v>
      </c>
      <c r="H179" s="55">
        <f t="shared" si="135"/>
        <v>0</v>
      </c>
      <c r="I179" s="55">
        <f t="shared" si="135"/>
        <v>0</v>
      </c>
      <c r="J179" s="55">
        <f t="shared" si="135"/>
        <v>0</v>
      </c>
      <c r="K179" s="55">
        <f t="shared" si="135"/>
        <v>0</v>
      </c>
      <c r="L179" s="55">
        <f t="shared" si="135"/>
        <v>0</v>
      </c>
      <c r="M179" s="55">
        <f t="shared" si="135"/>
        <v>0</v>
      </c>
      <c r="N179" s="55">
        <f t="shared" si="135"/>
        <v>0</v>
      </c>
      <c r="O179" s="55">
        <f t="shared" si="135"/>
        <v>0</v>
      </c>
      <c r="P179" s="55">
        <f t="shared" si="135"/>
        <v>0</v>
      </c>
      <c r="Q179" s="55">
        <f t="shared" si="135"/>
        <v>0</v>
      </c>
      <c r="R179" s="55">
        <f t="shared" si="135"/>
        <v>0</v>
      </c>
      <c r="S179" s="55">
        <f t="shared" si="135"/>
        <v>0</v>
      </c>
      <c r="T179" s="55">
        <f t="shared" si="135"/>
        <v>0</v>
      </c>
      <c r="U179" s="55">
        <f t="shared" si="135"/>
        <v>0</v>
      </c>
      <c r="V179" s="55">
        <f t="shared" si="135"/>
        <v>0</v>
      </c>
      <c r="W179" s="55">
        <f t="shared" si="135"/>
        <v>0</v>
      </c>
      <c r="X179" s="55">
        <f t="shared" si="135"/>
        <v>0</v>
      </c>
      <c r="Y179" s="55">
        <f t="shared" si="135"/>
        <v>0</v>
      </c>
      <c r="Z179" s="55">
        <f t="shared" si="135"/>
        <v>0</v>
      </c>
      <c r="AA179" s="55">
        <f t="shared" si="135"/>
        <v>0</v>
      </c>
      <c r="AB179" s="55">
        <f t="shared" si="135"/>
        <v>0</v>
      </c>
      <c r="AC179" s="55">
        <f t="shared" si="135"/>
        <v>0</v>
      </c>
      <c r="AD179" s="55">
        <f t="shared" si="135"/>
        <v>0</v>
      </c>
      <c r="AE179" s="55">
        <f t="shared" si="135"/>
        <v>0</v>
      </c>
      <c r="AF179" s="55">
        <f t="shared" si="135"/>
        <v>0</v>
      </c>
      <c r="AG179" s="55">
        <f t="shared" si="135"/>
        <v>0</v>
      </c>
      <c r="AH179" s="55">
        <f t="shared" si="135"/>
        <v>0</v>
      </c>
      <c r="AI179" s="55">
        <f t="shared" ref="AI179:BJ179" si="136">IF(AND(AI$127&gt;=$I71,AI$127&lt;$I71+$F71),INDEX($T71:$AI71,AI$127-$I71+1),0)</f>
        <v>0</v>
      </c>
      <c r="AJ179" s="55">
        <f t="shared" si="136"/>
        <v>0</v>
      </c>
      <c r="AK179" s="55">
        <f t="shared" si="136"/>
        <v>0</v>
      </c>
      <c r="AL179" s="55">
        <f t="shared" si="136"/>
        <v>0</v>
      </c>
      <c r="AM179" s="55">
        <f t="shared" si="136"/>
        <v>0</v>
      </c>
      <c r="AN179" s="55">
        <f t="shared" si="136"/>
        <v>0</v>
      </c>
      <c r="AO179" s="55">
        <f t="shared" si="136"/>
        <v>0</v>
      </c>
      <c r="AP179" s="55">
        <f t="shared" si="136"/>
        <v>0</v>
      </c>
      <c r="AQ179" s="55">
        <f t="shared" si="136"/>
        <v>0</v>
      </c>
      <c r="AR179" s="55">
        <f t="shared" si="136"/>
        <v>0</v>
      </c>
      <c r="AS179" s="55">
        <f t="shared" si="136"/>
        <v>0</v>
      </c>
      <c r="AT179" s="55">
        <f t="shared" si="136"/>
        <v>0</v>
      </c>
      <c r="AU179" s="55">
        <f t="shared" si="136"/>
        <v>0</v>
      </c>
      <c r="AV179" s="55">
        <f t="shared" si="136"/>
        <v>0</v>
      </c>
      <c r="AW179" s="55">
        <f t="shared" si="136"/>
        <v>0</v>
      </c>
      <c r="AX179" s="55">
        <f t="shared" si="136"/>
        <v>0</v>
      </c>
      <c r="AY179" s="55">
        <f t="shared" si="136"/>
        <v>0</v>
      </c>
      <c r="AZ179" s="55">
        <f t="shared" si="136"/>
        <v>0</v>
      </c>
      <c r="BA179" s="55">
        <f t="shared" si="136"/>
        <v>0</v>
      </c>
      <c r="BB179" s="55">
        <f t="shared" si="136"/>
        <v>0</v>
      </c>
      <c r="BC179" s="55">
        <f t="shared" si="136"/>
        <v>0</v>
      </c>
      <c r="BD179" s="55">
        <f t="shared" si="136"/>
        <v>0</v>
      </c>
      <c r="BE179" s="55">
        <f t="shared" si="136"/>
        <v>0</v>
      </c>
      <c r="BF179" s="55">
        <f t="shared" si="136"/>
        <v>0</v>
      </c>
      <c r="BG179" s="55">
        <f t="shared" si="136"/>
        <v>0</v>
      </c>
      <c r="BH179" s="55">
        <f t="shared" si="136"/>
        <v>0</v>
      </c>
      <c r="BI179" s="55">
        <f t="shared" si="136"/>
        <v>0</v>
      </c>
      <c r="BJ179" s="55">
        <f t="shared" si="136"/>
        <v>0</v>
      </c>
    </row>
    <row r="180" spans="1:62" x14ac:dyDescent="0.3">
      <c r="A180" s="53" t="str">
        <f t="shared" si="104"/>
        <v>project 103</v>
      </c>
      <c r="C180" s="55">
        <f t="shared" ref="C180:AH180" si="137">IF(AND(C$127&gt;=$I72,C$127&lt;$I72+$F72),INDEX($T72:$AI72,C$127-$I72+1),0)</f>
        <v>0</v>
      </c>
      <c r="D180" s="55">
        <f t="shared" si="137"/>
        <v>0</v>
      </c>
      <c r="E180" s="55">
        <f t="shared" si="137"/>
        <v>0</v>
      </c>
      <c r="F180" s="55">
        <f t="shared" si="137"/>
        <v>0</v>
      </c>
      <c r="G180" s="55">
        <f t="shared" si="137"/>
        <v>0</v>
      </c>
      <c r="H180" s="55">
        <f t="shared" si="137"/>
        <v>0</v>
      </c>
      <c r="I180" s="55">
        <f t="shared" si="137"/>
        <v>0</v>
      </c>
      <c r="J180" s="55">
        <f t="shared" si="137"/>
        <v>0</v>
      </c>
      <c r="K180" s="55">
        <f t="shared" si="137"/>
        <v>0</v>
      </c>
      <c r="L180" s="55">
        <f t="shared" si="137"/>
        <v>0</v>
      </c>
      <c r="M180" s="55">
        <f t="shared" si="137"/>
        <v>0</v>
      </c>
      <c r="N180" s="55">
        <f t="shared" si="137"/>
        <v>0</v>
      </c>
      <c r="O180" s="55">
        <f t="shared" si="137"/>
        <v>0</v>
      </c>
      <c r="P180" s="55">
        <f t="shared" si="137"/>
        <v>0</v>
      </c>
      <c r="Q180" s="55">
        <f t="shared" si="137"/>
        <v>0</v>
      </c>
      <c r="R180" s="55">
        <f t="shared" si="137"/>
        <v>0</v>
      </c>
      <c r="S180" s="55">
        <f t="shared" si="137"/>
        <v>0</v>
      </c>
      <c r="T180" s="55">
        <f t="shared" si="137"/>
        <v>5.6099999999999997E-2</v>
      </c>
      <c r="U180" s="55">
        <f t="shared" si="137"/>
        <v>1.1499999999999999</v>
      </c>
      <c r="V180" s="55">
        <f t="shared" si="137"/>
        <v>2.892156862745098</v>
      </c>
      <c r="W180" s="55">
        <f t="shared" si="137"/>
        <v>0</v>
      </c>
      <c r="X180" s="55">
        <f t="shared" si="137"/>
        <v>0</v>
      </c>
      <c r="Y180" s="55">
        <f t="shared" si="137"/>
        <v>0</v>
      </c>
      <c r="Z180" s="55">
        <f t="shared" si="137"/>
        <v>0</v>
      </c>
      <c r="AA180" s="55">
        <f t="shared" si="137"/>
        <v>0</v>
      </c>
      <c r="AB180" s="55">
        <f t="shared" si="137"/>
        <v>0</v>
      </c>
      <c r="AC180" s="55">
        <f t="shared" si="137"/>
        <v>0</v>
      </c>
      <c r="AD180" s="55">
        <f t="shared" si="137"/>
        <v>0</v>
      </c>
      <c r="AE180" s="55">
        <f t="shared" si="137"/>
        <v>0</v>
      </c>
      <c r="AF180" s="55">
        <f t="shared" si="137"/>
        <v>0</v>
      </c>
      <c r="AG180" s="55">
        <f t="shared" si="137"/>
        <v>0</v>
      </c>
      <c r="AH180" s="55">
        <f t="shared" si="137"/>
        <v>0</v>
      </c>
      <c r="AI180" s="55">
        <f t="shared" ref="AI180:BJ180" si="138">IF(AND(AI$127&gt;=$I72,AI$127&lt;$I72+$F72),INDEX($T72:$AI72,AI$127-$I72+1),0)</f>
        <v>0</v>
      </c>
      <c r="AJ180" s="55">
        <f t="shared" si="138"/>
        <v>0</v>
      </c>
      <c r="AK180" s="55">
        <f t="shared" si="138"/>
        <v>0</v>
      </c>
      <c r="AL180" s="55">
        <f t="shared" si="138"/>
        <v>0</v>
      </c>
      <c r="AM180" s="55">
        <f t="shared" si="138"/>
        <v>0</v>
      </c>
      <c r="AN180" s="55">
        <f t="shared" si="138"/>
        <v>0</v>
      </c>
      <c r="AO180" s="55">
        <f t="shared" si="138"/>
        <v>0</v>
      </c>
      <c r="AP180" s="55">
        <f t="shared" si="138"/>
        <v>0</v>
      </c>
      <c r="AQ180" s="55">
        <f t="shared" si="138"/>
        <v>0</v>
      </c>
      <c r="AR180" s="55">
        <f t="shared" si="138"/>
        <v>0</v>
      </c>
      <c r="AS180" s="55">
        <f t="shared" si="138"/>
        <v>0</v>
      </c>
      <c r="AT180" s="55">
        <f t="shared" si="138"/>
        <v>0</v>
      </c>
      <c r="AU180" s="55">
        <f t="shared" si="138"/>
        <v>0</v>
      </c>
      <c r="AV180" s="55">
        <f t="shared" si="138"/>
        <v>0</v>
      </c>
      <c r="AW180" s="55">
        <f t="shared" si="138"/>
        <v>0</v>
      </c>
      <c r="AX180" s="55">
        <f t="shared" si="138"/>
        <v>0</v>
      </c>
      <c r="AY180" s="55">
        <f t="shared" si="138"/>
        <v>0</v>
      </c>
      <c r="AZ180" s="55">
        <f t="shared" si="138"/>
        <v>0</v>
      </c>
      <c r="BA180" s="55">
        <f t="shared" si="138"/>
        <v>0</v>
      </c>
      <c r="BB180" s="55">
        <f t="shared" si="138"/>
        <v>0</v>
      </c>
      <c r="BC180" s="55">
        <f t="shared" si="138"/>
        <v>0</v>
      </c>
      <c r="BD180" s="55">
        <f t="shared" si="138"/>
        <v>0</v>
      </c>
      <c r="BE180" s="55">
        <f t="shared" si="138"/>
        <v>0</v>
      </c>
      <c r="BF180" s="55">
        <f t="shared" si="138"/>
        <v>0</v>
      </c>
      <c r="BG180" s="55">
        <f t="shared" si="138"/>
        <v>0</v>
      </c>
      <c r="BH180" s="55">
        <f t="shared" si="138"/>
        <v>0</v>
      </c>
      <c r="BI180" s="55">
        <f t="shared" si="138"/>
        <v>0</v>
      </c>
      <c r="BJ180" s="55">
        <f t="shared" si="138"/>
        <v>0</v>
      </c>
    </row>
    <row r="181" spans="1:62" x14ac:dyDescent="0.3">
      <c r="A181" s="53" t="str">
        <f t="shared" si="104"/>
        <v>project 104</v>
      </c>
      <c r="C181" s="55">
        <f t="shared" ref="C181:AH181" si="139">IF(AND(C$127&gt;=$I73,C$127&lt;$I73+$F73),INDEX($T73:$AI73,C$127-$I73+1),0)</f>
        <v>0</v>
      </c>
      <c r="D181" s="55">
        <f t="shared" si="139"/>
        <v>0</v>
      </c>
      <c r="E181" s="55">
        <f t="shared" si="139"/>
        <v>0</v>
      </c>
      <c r="F181" s="55">
        <f t="shared" si="139"/>
        <v>0</v>
      </c>
      <c r="G181" s="55">
        <f t="shared" si="139"/>
        <v>0</v>
      </c>
      <c r="H181" s="55">
        <f t="shared" si="139"/>
        <v>0</v>
      </c>
      <c r="I181" s="55">
        <f t="shared" si="139"/>
        <v>0</v>
      </c>
      <c r="J181" s="55">
        <f t="shared" si="139"/>
        <v>0</v>
      </c>
      <c r="K181" s="55">
        <f t="shared" si="139"/>
        <v>0</v>
      </c>
      <c r="L181" s="55">
        <f t="shared" si="139"/>
        <v>0</v>
      </c>
      <c r="M181" s="55">
        <f t="shared" si="139"/>
        <v>0</v>
      </c>
      <c r="N181" s="55">
        <f t="shared" si="139"/>
        <v>0</v>
      </c>
      <c r="O181" s="55">
        <f t="shared" si="139"/>
        <v>0</v>
      </c>
      <c r="P181" s="55">
        <f t="shared" si="139"/>
        <v>0</v>
      </c>
      <c r="Q181" s="55">
        <f t="shared" si="139"/>
        <v>0</v>
      </c>
      <c r="R181" s="55">
        <f t="shared" si="139"/>
        <v>0</v>
      </c>
      <c r="S181" s="55">
        <f t="shared" si="139"/>
        <v>0</v>
      </c>
      <c r="T181" s="55">
        <f t="shared" si="139"/>
        <v>0.40799999999999997</v>
      </c>
      <c r="U181" s="55">
        <f t="shared" si="139"/>
        <v>0.66</v>
      </c>
      <c r="V181" s="55">
        <f t="shared" si="139"/>
        <v>0.36274509803921567</v>
      </c>
      <c r="W181" s="55">
        <f t="shared" si="139"/>
        <v>0</v>
      </c>
      <c r="X181" s="55">
        <f t="shared" si="139"/>
        <v>0</v>
      </c>
      <c r="Y181" s="55">
        <f t="shared" si="139"/>
        <v>0</v>
      </c>
      <c r="Z181" s="55">
        <f t="shared" si="139"/>
        <v>0</v>
      </c>
      <c r="AA181" s="55">
        <f t="shared" si="139"/>
        <v>0</v>
      </c>
      <c r="AB181" s="55">
        <f t="shared" si="139"/>
        <v>0</v>
      </c>
      <c r="AC181" s="55">
        <f t="shared" si="139"/>
        <v>0</v>
      </c>
      <c r="AD181" s="55">
        <f t="shared" si="139"/>
        <v>0</v>
      </c>
      <c r="AE181" s="55">
        <f t="shared" si="139"/>
        <v>0</v>
      </c>
      <c r="AF181" s="55">
        <f t="shared" si="139"/>
        <v>0</v>
      </c>
      <c r="AG181" s="55">
        <f t="shared" si="139"/>
        <v>0</v>
      </c>
      <c r="AH181" s="55">
        <f t="shared" si="139"/>
        <v>0</v>
      </c>
      <c r="AI181" s="55">
        <f t="shared" ref="AI181:BJ181" si="140">IF(AND(AI$127&gt;=$I73,AI$127&lt;$I73+$F73),INDEX($T73:$AI73,AI$127-$I73+1),0)</f>
        <v>0</v>
      </c>
      <c r="AJ181" s="55">
        <f t="shared" si="140"/>
        <v>0</v>
      </c>
      <c r="AK181" s="55">
        <f t="shared" si="140"/>
        <v>0</v>
      </c>
      <c r="AL181" s="55">
        <f t="shared" si="140"/>
        <v>0</v>
      </c>
      <c r="AM181" s="55">
        <f t="shared" si="140"/>
        <v>0</v>
      </c>
      <c r="AN181" s="55">
        <f t="shared" si="140"/>
        <v>0</v>
      </c>
      <c r="AO181" s="55">
        <f t="shared" si="140"/>
        <v>0</v>
      </c>
      <c r="AP181" s="55">
        <f t="shared" si="140"/>
        <v>0</v>
      </c>
      <c r="AQ181" s="55">
        <f t="shared" si="140"/>
        <v>0</v>
      </c>
      <c r="AR181" s="55">
        <f t="shared" si="140"/>
        <v>0</v>
      </c>
      <c r="AS181" s="55">
        <f t="shared" si="140"/>
        <v>0</v>
      </c>
      <c r="AT181" s="55">
        <f t="shared" si="140"/>
        <v>0</v>
      </c>
      <c r="AU181" s="55">
        <f t="shared" si="140"/>
        <v>0</v>
      </c>
      <c r="AV181" s="55">
        <f t="shared" si="140"/>
        <v>0</v>
      </c>
      <c r="AW181" s="55">
        <f t="shared" si="140"/>
        <v>0</v>
      </c>
      <c r="AX181" s="55">
        <f t="shared" si="140"/>
        <v>0</v>
      </c>
      <c r="AY181" s="55">
        <f t="shared" si="140"/>
        <v>0</v>
      </c>
      <c r="AZ181" s="55">
        <f t="shared" si="140"/>
        <v>0</v>
      </c>
      <c r="BA181" s="55">
        <f t="shared" si="140"/>
        <v>0</v>
      </c>
      <c r="BB181" s="55">
        <f t="shared" si="140"/>
        <v>0</v>
      </c>
      <c r="BC181" s="55">
        <f t="shared" si="140"/>
        <v>0</v>
      </c>
      <c r="BD181" s="55">
        <f t="shared" si="140"/>
        <v>0</v>
      </c>
      <c r="BE181" s="55">
        <f t="shared" si="140"/>
        <v>0</v>
      </c>
      <c r="BF181" s="55">
        <f t="shared" si="140"/>
        <v>0</v>
      </c>
      <c r="BG181" s="55">
        <f t="shared" si="140"/>
        <v>0</v>
      </c>
      <c r="BH181" s="55">
        <f t="shared" si="140"/>
        <v>0</v>
      </c>
      <c r="BI181" s="55">
        <f t="shared" si="140"/>
        <v>0</v>
      </c>
      <c r="BJ181" s="55">
        <f t="shared" si="140"/>
        <v>0</v>
      </c>
    </row>
    <row r="182" spans="1:62" x14ac:dyDescent="0.3">
      <c r="A182" s="53" t="str">
        <f t="shared" si="104"/>
        <v>project 106</v>
      </c>
      <c r="C182" s="55">
        <f t="shared" ref="C182:AH182" si="141">IF(AND(C$127&gt;=$I74,C$127&lt;$I74+$F74),INDEX($T74:$AI74,C$127-$I74+1),0)</f>
        <v>38.285617000000002</v>
      </c>
      <c r="D182" s="55">
        <f t="shared" si="141"/>
        <v>60.71757058823529</v>
      </c>
      <c r="E182" s="55">
        <f t="shared" si="141"/>
        <v>69.299691464821223</v>
      </c>
      <c r="F182" s="55">
        <f t="shared" si="141"/>
        <v>66.232339937128245</v>
      </c>
      <c r="G182" s="55">
        <f t="shared" si="141"/>
        <v>56.797080936693533</v>
      </c>
      <c r="H182" s="55">
        <f t="shared" si="141"/>
        <v>39.163724135657539</v>
      </c>
      <c r="I182" s="55">
        <f t="shared" si="141"/>
        <v>37.085806883251493</v>
      </c>
      <c r="J182" s="55">
        <f t="shared" si="141"/>
        <v>36.078342550238368</v>
      </c>
      <c r="K182" s="55">
        <f t="shared" si="141"/>
        <v>36.866892972810561</v>
      </c>
      <c r="L182" s="55">
        <f t="shared" si="141"/>
        <v>0</v>
      </c>
      <c r="M182" s="55">
        <f t="shared" si="141"/>
        <v>0</v>
      </c>
      <c r="N182" s="55">
        <f t="shared" si="141"/>
        <v>0</v>
      </c>
      <c r="O182" s="55">
        <f t="shared" si="141"/>
        <v>0</v>
      </c>
      <c r="P182" s="55">
        <f t="shared" si="141"/>
        <v>0</v>
      </c>
      <c r="Q182" s="55">
        <f t="shared" si="141"/>
        <v>0</v>
      </c>
      <c r="R182" s="55">
        <f t="shared" si="141"/>
        <v>0</v>
      </c>
      <c r="S182" s="55">
        <f t="shared" si="141"/>
        <v>0</v>
      </c>
      <c r="T182" s="55">
        <f t="shared" si="141"/>
        <v>0</v>
      </c>
      <c r="U182" s="55">
        <f t="shared" si="141"/>
        <v>0</v>
      </c>
      <c r="V182" s="55">
        <f t="shared" si="141"/>
        <v>0</v>
      </c>
      <c r="W182" s="55">
        <f t="shared" si="141"/>
        <v>0</v>
      </c>
      <c r="X182" s="55">
        <f t="shared" si="141"/>
        <v>0</v>
      </c>
      <c r="Y182" s="55">
        <f t="shared" si="141"/>
        <v>0</v>
      </c>
      <c r="Z182" s="55">
        <f t="shared" si="141"/>
        <v>0</v>
      </c>
      <c r="AA182" s="55">
        <f t="shared" si="141"/>
        <v>0</v>
      </c>
      <c r="AB182" s="55">
        <f t="shared" si="141"/>
        <v>0</v>
      </c>
      <c r="AC182" s="55">
        <f t="shared" si="141"/>
        <v>0</v>
      </c>
      <c r="AD182" s="55">
        <f t="shared" si="141"/>
        <v>0</v>
      </c>
      <c r="AE182" s="55">
        <f t="shared" si="141"/>
        <v>0</v>
      </c>
      <c r="AF182" s="55">
        <f t="shared" si="141"/>
        <v>0</v>
      </c>
      <c r="AG182" s="55">
        <f t="shared" si="141"/>
        <v>0</v>
      </c>
      <c r="AH182" s="55">
        <f t="shared" si="141"/>
        <v>0</v>
      </c>
      <c r="AI182" s="55">
        <f t="shared" ref="AI182:BJ182" si="142">IF(AND(AI$127&gt;=$I74,AI$127&lt;$I74+$F74),INDEX($T74:$AI74,AI$127-$I74+1),0)</f>
        <v>0</v>
      </c>
      <c r="AJ182" s="55">
        <f t="shared" si="142"/>
        <v>0</v>
      </c>
      <c r="AK182" s="55">
        <f t="shared" si="142"/>
        <v>0</v>
      </c>
      <c r="AL182" s="55">
        <f t="shared" si="142"/>
        <v>0</v>
      </c>
      <c r="AM182" s="55">
        <f t="shared" si="142"/>
        <v>0</v>
      </c>
      <c r="AN182" s="55">
        <f t="shared" si="142"/>
        <v>0</v>
      </c>
      <c r="AO182" s="55">
        <f t="shared" si="142"/>
        <v>0</v>
      </c>
      <c r="AP182" s="55">
        <f t="shared" si="142"/>
        <v>0</v>
      </c>
      <c r="AQ182" s="55">
        <f t="shared" si="142"/>
        <v>0</v>
      </c>
      <c r="AR182" s="55">
        <f t="shared" si="142"/>
        <v>0</v>
      </c>
      <c r="AS182" s="55">
        <f t="shared" si="142"/>
        <v>0</v>
      </c>
      <c r="AT182" s="55">
        <f t="shared" si="142"/>
        <v>0</v>
      </c>
      <c r="AU182" s="55">
        <f t="shared" si="142"/>
        <v>0</v>
      </c>
      <c r="AV182" s="55">
        <f t="shared" si="142"/>
        <v>0</v>
      </c>
      <c r="AW182" s="55">
        <f t="shared" si="142"/>
        <v>0</v>
      </c>
      <c r="AX182" s="55">
        <f t="shared" si="142"/>
        <v>0</v>
      </c>
      <c r="AY182" s="55">
        <f t="shared" si="142"/>
        <v>0</v>
      </c>
      <c r="AZ182" s="55">
        <f t="shared" si="142"/>
        <v>0</v>
      </c>
      <c r="BA182" s="55">
        <f t="shared" si="142"/>
        <v>0</v>
      </c>
      <c r="BB182" s="55">
        <f t="shared" si="142"/>
        <v>0</v>
      </c>
      <c r="BC182" s="55">
        <f t="shared" si="142"/>
        <v>0</v>
      </c>
      <c r="BD182" s="55">
        <f t="shared" si="142"/>
        <v>0</v>
      </c>
      <c r="BE182" s="55">
        <f t="shared" si="142"/>
        <v>0</v>
      </c>
      <c r="BF182" s="55">
        <f t="shared" si="142"/>
        <v>0</v>
      </c>
      <c r="BG182" s="55">
        <f t="shared" si="142"/>
        <v>0</v>
      </c>
      <c r="BH182" s="55">
        <f t="shared" si="142"/>
        <v>0</v>
      </c>
      <c r="BI182" s="55">
        <f t="shared" si="142"/>
        <v>0</v>
      </c>
      <c r="BJ182" s="55">
        <f t="shared" si="142"/>
        <v>0</v>
      </c>
    </row>
    <row r="183" spans="1:62" x14ac:dyDescent="0.3">
      <c r="A183" s="53" t="str">
        <f t="shared" si="104"/>
        <v>project 107</v>
      </c>
      <c r="C183" s="55">
        <f t="shared" ref="C183:AH183" si="143">IF(AND(C$127&gt;=$I75,C$127&lt;$I75+$F75),INDEX($T75:$AI75,C$127-$I75+1),0)</f>
        <v>0</v>
      </c>
      <c r="D183" s="55">
        <f t="shared" si="143"/>
        <v>0</v>
      </c>
      <c r="E183" s="55">
        <f t="shared" si="143"/>
        <v>0</v>
      </c>
      <c r="F183" s="55">
        <f t="shared" si="143"/>
        <v>0</v>
      </c>
      <c r="G183" s="55">
        <f t="shared" si="143"/>
        <v>0</v>
      </c>
      <c r="H183" s="55">
        <f t="shared" si="143"/>
        <v>0</v>
      </c>
      <c r="I183" s="55">
        <f t="shared" si="143"/>
        <v>0</v>
      </c>
      <c r="J183" s="55">
        <f t="shared" si="143"/>
        <v>0</v>
      </c>
      <c r="K183" s="55">
        <f t="shared" si="143"/>
        <v>0</v>
      </c>
      <c r="L183" s="55">
        <f t="shared" si="143"/>
        <v>0</v>
      </c>
      <c r="M183" s="55">
        <f t="shared" si="143"/>
        <v>0</v>
      </c>
      <c r="N183" s="55">
        <f t="shared" si="143"/>
        <v>2.2890000000000001</v>
      </c>
      <c r="O183" s="55">
        <f t="shared" si="143"/>
        <v>0</v>
      </c>
      <c r="P183" s="55">
        <f t="shared" si="143"/>
        <v>2.4096501345636301</v>
      </c>
      <c r="Q183" s="55">
        <f t="shared" si="143"/>
        <v>2.36240209270944</v>
      </c>
      <c r="R183" s="55">
        <f t="shared" si="143"/>
        <v>1.8125847258640211</v>
      </c>
      <c r="S183" s="55">
        <f t="shared" si="143"/>
        <v>3.6528123560440511</v>
      </c>
      <c r="T183" s="55">
        <f t="shared" si="143"/>
        <v>9.412496651173635</v>
      </c>
      <c r="U183" s="55">
        <f t="shared" si="143"/>
        <v>196.63778034441779</v>
      </c>
      <c r="V183" s="55">
        <f t="shared" si="143"/>
        <v>206.9458103024663</v>
      </c>
      <c r="W183" s="55">
        <f t="shared" si="143"/>
        <v>0</v>
      </c>
      <c r="X183" s="55">
        <f t="shared" si="143"/>
        <v>0</v>
      </c>
      <c r="Y183" s="55">
        <f t="shared" si="143"/>
        <v>0</v>
      </c>
      <c r="Z183" s="55">
        <f t="shared" si="143"/>
        <v>0</v>
      </c>
      <c r="AA183" s="55">
        <f t="shared" si="143"/>
        <v>0</v>
      </c>
      <c r="AB183" s="55">
        <f t="shared" si="143"/>
        <v>0</v>
      </c>
      <c r="AC183" s="55">
        <f t="shared" si="143"/>
        <v>0</v>
      </c>
      <c r="AD183" s="55">
        <f t="shared" si="143"/>
        <v>0</v>
      </c>
      <c r="AE183" s="55">
        <f t="shared" si="143"/>
        <v>0</v>
      </c>
      <c r="AF183" s="55">
        <f t="shared" si="143"/>
        <v>0</v>
      </c>
      <c r="AG183" s="55">
        <f t="shared" si="143"/>
        <v>0</v>
      </c>
      <c r="AH183" s="55">
        <f t="shared" si="143"/>
        <v>0</v>
      </c>
      <c r="AI183" s="55">
        <f t="shared" ref="AI183:BJ183" si="144">IF(AND(AI$127&gt;=$I75,AI$127&lt;$I75+$F75),INDEX($T75:$AI75,AI$127-$I75+1),0)</f>
        <v>0</v>
      </c>
      <c r="AJ183" s="55">
        <f t="shared" si="144"/>
        <v>0</v>
      </c>
      <c r="AK183" s="55">
        <f t="shared" si="144"/>
        <v>0</v>
      </c>
      <c r="AL183" s="55">
        <f t="shared" si="144"/>
        <v>0</v>
      </c>
      <c r="AM183" s="55">
        <f t="shared" si="144"/>
        <v>0</v>
      </c>
      <c r="AN183" s="55">
        <f t="shared" si="144"/>
        <v>0</v>
      </c>
      <c r="AO183" s="55">
        <f t="shared" si="144"/>
        <v>0</v>
      </c>
      <c r="AP183" s="55">
        <f t="shared" si="144"/>
        <v>0</v>
      </c>
      <c r="AQ183" s="55">
        <f t="shared" si="144"/>
        <v>0</v>
      </c>
      <c r="AR183" s="55">
        <f t="shared" si="144"/>
        <v>0</v>
      </c>
      <c r="AS183" s="55">
        <f t="shared" si="144"/>
        <v>0</v>
      </c>
      <c r="AT183" s="55">
        <f t="shared" si="144"/>
        <v>0</v>
      </c>
      <c r="AU183" s="55">
        <f t="shared" si="144"/>
        <v>0</v>
      </c>
      <c r="AV183" s="55">
        <f t="shared" si="144"/>
        <v>0</v>
      </c>
      <c r="AW183" s="55">
        <f t="shared" si="144"/>
        <v>0</v>
      </c>
      <c r="AX183" s="55">
        <f t="shared" si="144"/>
        <v>0</v>
      </c>
      <c r="AY183" s="55">
        <f t="shared" si="144"/>
        <v>0</v>
      </c>
      <c r="AZ183" s="55">
        <f t="shared" si="144"/>
        <v>0</v>
      </c>
      <c r="BA183" s="55">
        <f t="shared" si="144"/>
        <v>0</v>
      </c>
      <c r="BB183" s="55">
        <f t="shared" si="144"/>
        <v>0</v>
      </c>
      <c r="BC183" s="55">
        <f t="shared" si="144"/>
        <v>0</v>
      </c>
      <c r="BD183" s="55">
        <f t="shared" si="144"/>
        <v>0</v>
      </c>
      <c r="BE183" s="55">
        <f t="shared" si="144"/>
        <v>0</v>
      </c>
      <c r="BF183" s="55">
        <f t="shared" si="144"/>
        <v>0</v>
      </c>
      <c r="BG183" s="55">
        <f t="shared" si="144"/>
        <v>0</v>
      </c>
      <c r="BH183" s="55">
        <f t="shared" si="144"/>
        <v>0</v>
      </c>
      <c r="BI183" s="55">
        <f t="shared" si="144"/>
        <v>0</v>
      </c>
      <c r="BJ183" s="55">
        <f t="shared" si="144"/>
        <v>0</v>
      </c>
    </row>
    <row r="184" spans="1:62" x14ac:dyDescent="0.3">
      <c r="A184" s="53" t="str">
        <f t="shared" si="104"/>
        <v>project 108</v>
      </c>
      <c r="C184" s="55">
        <f t="shared" ref="C184:AH184" si="145">IF(AND(C$127&gt;=$I76,C$127&lt;$I76+$F76),INDEX($T76:$AI76,C$127-$I76+1),0)</f>
        <v>0</v>
      </c>
      <c r="D184" s="55">
        <f t="shared" si="145"/>
        <v>0</v>
      </c>
      <c r="E184" s="55">
        <f t="shared" si="145"/>
        <v>0</v>
      </c>
      <c r="F184" s="55">
        <f t="shared" si="145"/>
        <v>0</v>
      </c>
      <c r="G184" s="55">
        <f t="shared" si="145"/>
        <v>17.781622452902731</v>
      </c>
      <c r="H184" s="55">
        <f t="shared" si="145"/>
        <v>44.760310890984613</v>
      </c>
      <c r="I184" s="55">
        <f t="shared" si="145"/>
        <v>60.881413575147278</v>
      </c>
      <c r="J184" s="55">
        <f t="shared" si="145"/>
        <v>60.865110420570353</v>
      </c>
      <c r="K184" s="55">
        <f t="shared" si="145"/>
        <v>1.687145626153765</v>
      </c>
      <c r="L184" s="55">
        <f t="shared" si="145"/>
        <v>1.654064339366436</v>
      </c>
      <c r="M184" s="55">
        <f t="shared" si="145"/>
        <v>1.706980742380223</v>
      </c>
      <c r="N184" s="55">
        <f t="shared" si="145"/>
        <v>1.6735105317453161</v>
      </c>
      <c r="O184" s="55">
        <f t="shared" si="145"/>
        <v>0.82034829987515512</v>
      </c>
      <c r="P184" s="55">
        <f t="shared" si="145"/>
        <v>18.498049899145659</v>
      </c>
      <c r="Q184" s="55">
        <f t="shared" si="145"/>
        <v>17.819945768145431</v>
      </c>
      <c r="R184" s="55">
        <f t="shared" si="145"/>
        <v>2.164491070224154</v>
      </c>
      <c r="S184" s="55">
        <f t="shared" si="145"/>
        <v>17.8100630778248</v>
      </c>
      <c r="T184" s="55">
        <f t="shared" si="145"/>
        <v>17.83235351972445</v>
      </c>
      <c r="U184" s="55">
        <f t="shared" si="145"/>
        <v>17.04563204091308</v>
      </c>
      <c r="V184" s="55">
        <f t="shared" si="145"/>
        <v>17.068485242911962</v>
      </c>
      <c r="W184" s="55">
        <f t="shared" si="145"/>
        <v>0</v>
      </c>
      <c r="X184" s="55">
        <f t="shared" si="145"/>
        <v>0</v>
      </c>
      <c r="Y184" s="55">
        <f t="shared" si="145"/>
        <v>0</v>
      </c>
      <c r="Z184" s="55">
        <f t="shared" si="145"/>
        <v>0</v>
      </c>
      <c r="AA184" s="55">
        <f t="shared" si="145"/>
        <v>0</v>
      </c>
      <c r="AB184" s="55">
        <f t="shared" si="145"/>
        <v>0</v>
      </c>
      <c r="AC184" s="55">
        <f t="shared" si="145"/>
        <v>0</v>
      </c>
      <c r="AD184" s="55">
        <f t="shared" si="145"/>
        <v>0</v>
      </c>
      <c r="AE184" s="55">
        <f t="shared" si="145"/>
        <v>0</v>
      </c>
      <c r="AF184" s="55">
        <f t="shared" si="145"/>
        <v>0</v>
      </c>
      <c r="AG184" s="55">
        <f t="shared" si="145"/>
        <v>0</v>
      </c>
      <c r="AH184" s="55">
        <f t="shared" si="145"/>
        <v>0</v>
      </c>
      <c r="AI184" s="55">
        <f t="shared" ref="AI184:BJ184" si="146">IF(AND(AI$127&gt;=$I76,AI$127&lt;$I76+$F76),INDEX($T76:$AI76,AI$127-$I76+1),0)</f>
        <v>0</v>
      </c>
      <c r="AJ184" s="55">
        <f t="shared" si="146"/>
        <v>0</v>
      </c>
      <c r="AK184" s="55">
        <f t="shared" si="146"/>
        <v>0</v>
      </c>
      <c r="AL184" s="55">
        <f t="shared" si="146"/>
        <v>0</v>
      </c>
      <c r="AM184" s="55">
        <f t="shared" si="146"/>
        <v>0</v>
      </c>
      <c r="AN184" s="55">
        <f t="shared" si="146"/>
        <v>0</v>
      </c>
      <c r="AO184" s="55">
        <f t="shared" si="146"/>
        <v>0</v>
      </c>
      <c r="AP184" s="55">
        <f t="shared" si="146"/>
        <v>0</v>
      </c>
      <c r="AQ184" s="55">
        <f t="shared" si="146"/>
        <v>0</v>
      </c>
      <c r="AR184" s="55">
        <f t="shared" si="146"/>
        <v>0</v>
      </c>
      <c r="AS184" s="55">
        <f t="shared" si="146"/>
        <v>0</v>
      </c>
      <c r="AT184" s="55">
        <f t="shared" si="146"/>
        <v>0</v>
      </c>
      <c r="AU184" s="55">
        <f t="shared" si="146"/>
        <v>0</v>
      </c>
      <c r="AV184" s="55">
        <f t="shared" si="146"/>
        <v>0</v>
      </c>
      <c r="AW184" s="55">
        <f t="shared" si="146"/>
        <v>0</v>
      </c>
      <c r="AX184" s="55">
        <f t="shared" si="146"/>
        <v>0</v>
      </c>
      <c r="AY184" s="55">
        <f t="shared" si="146"/>
        <v>0</v>
      </c>
      <c r="AZ184" s="55">
        <f t="shared" si="146"/>
        <v>0</v>
      </c>
      <c r="BA184" s="55">
        <f t="shared" si="146"/>
        <v>0</v>
      </c>
      <c r="BB184" s="55">
        <f t="shared" si="146"/>
        <v>0</v>
      </c>
      <c r="BC184" s="55">
        <f t="shared" si="146"/>
        <v>0</v>
      </c>
      <c r="BD184" s="55">
        <f t="shared" si="146"/>
        <v>0</v>
      </c>
      <c r="BE184" s="55">
        <f t="shared" si="146"/>
        <v>0</v>
      </c>
      <c r="BF184" s="55">
        <f t="shared" si="146"/>
        <v>0</v>
      </c>
      <c r="BG184" s="55">
        <f t="shared" si="146"/>
        <v>0</v>
      </c>
      <c r="BH184" s="55">
        <f t="shared" si="146"/>
        <v>0</v>
      </c>
      <c r="BI184" s="55">
        <f t="shared" si="146"/>
        <v>0</v>
      </c>
      <c r="BJ184" s="55">
        <f t="shared" si="146"/>
        <v>0</v>
      </c>
    </row>
    <row r="185" spans="1:62" x14ac:dyDescent="0.3">
      <c r="A185" s="53" t="str">
        <f t="shared" si="104"/>
        <v>project 110</v>
      </c>
      <c r="C185" s="55">
        <f t="shared" ref="C185:AH185" si="147">IF(AND(C$127&gt;=$I77,C$127&lt;$I77+$F77),INDEX($T77:$AI77,C$127-$I77+1),0)</f>
        <v>0</v>
      </c>
      <c r="D185" s="55">
        <f t="shared" si="147"/>
        <v>0</v>
      </c>
      <c r="E185" s="55">
        <f t="shared" si="147"/>
        <v>0</v>
      </c>
      <c r="F185" s="55">
        <f t="shared" si="147"/>
        <v>0</v>
      </c>
      <c r="G185" s="55">
        <f t="shared" si="147"/>
        <v>0</v>
      </c>
      <c r="H185" s="55">
        <f t="shared" si="147"/>
        <v>0</v>
      </c>
      <c r="I185" s="55">
        <f t="shared" si="147"/>
        <v>0</v>
      </c>
      <c r="J185" s="55">
        <f t="shared" si="147"/>
        <v>0</v>
      </c>
      <c r="K185" s="55">
        <f t="shared" si="147"/>
        <v>0</v>
      </c>
      <c r="L185" s="55">
        <f t="shared" si="147"/>
        <v>0</v>
      </c>
      <c r="M185" s="55">
        <f t="shared" si="147"/>
        <v>0</v>
      </c>
      <c r="N185" s="55">
        <f t="shared" si="147"/>
        <v>0</v>
      </c>
      <c r="O185" s="55">
        <f t="shared" si="147"/>
        <v>9.0525000000000002</v>
      </c>
      <c r="P185" s="55">
        <f t="shared" si="147"/>
        <v>0</v>
      </c>
      <c r="Q185" s="55">
        <f t="shared" si="147"/>
        <v>1.257208765859285</v>
      </c>
      <c r="R185" s="55">
        <f t="shared" si="147"/>
        <v>0</v>
      </c>
      <c r="S185" s="55">
        <f t="shared" si="147"/>
        <v>30.71324118825147</v>
      </c>
      <c r="T185" s="55">
        <f t="shared" si="147"/>
        <v>85.076200698133832</v>
      </c>
      <c r="U185" s="55">
        <f t="shared" si="147"/>
        <v>95.90090927610872</v>
      </c>
      <c r="V185" s="55">
        <f t="shared" si="147"/>
        <v>108.73296630887781</v>
      </c>
      <c r="W185" s="55">
        <f t="shared" si="147"/>
        <v>0</v>
      </c>
      <c r="X185" s="55">
        <f t="shared" si="147"/>
        <v>0</v>
      </c>
      <c r="Y185" s="55">
        <f t="shared" si="147"/>
        <v>0</v>
      </c>
      <c r="Z185" s="55">
        <f t="shared" si="147"/>
        <v>0</v>
      </c>
      <c r="AA185" s="55">
        <f t="shared" si="147"/>
        <v>0</v>
      </c>
      <c r="AB185" s="55">
        <f t="shared" si="147"/>
        <v>0</v>
      </c>
      <c r="AC185" s="55">
        <f t="shared" si="147"/>
        <v>0</v>
      </c>
      <c r="AD185" s="55">
        <f t="shared" si="147"/>
        <v>0</v>
      </c>
      <c r="AE185" s="55">
        <f t="shared" si="147"/>
        <v>0</v>
      </c>
      <c r="AF185" s="55">
        <f t="shared" si="147"/>
        <v>0</v>
      </c>
      <c r="AG185" s="55">
        <f t="shared" si="147"/>
        <v>0</v>
      </c>
      <c r="AH185" s="55">
        <f t="shared" si="147"/>
        <v>0</v>
      </c>
      <c r="AI185" s="55">
        <f t="shared" ref="AI185:BJ185" si="148">IF(AND(AI$127&gt;=$I77,AI$127&lt;$I77+$F77),INDEX($T77:$AI77,AI$127-$I77+1),0)</f>
        <v>0</v>
      </c>
      <c r="AJ185" s="55">
        <f t="shared" si="148"/>
        <v>0</v>
      </c>
      <c r="AK185" s="55">
        <f t="shared" si="148"/>
        <v>0</v>
      </c>
      <c r="AL185" s="55">
        <f t="shared" si="148"/>
        <v>0</v>
      </c>
      <c r="AM185" s="55">
        <f t="shared" si="148"/>
        <v>0</v>
      </c>
      <c r="AN185" s="55">
        <f t="shared" si="148"/>
        <v>0</v>
      </c>
      <c r="AO185" s="55">
        <f t="shared" si="148"/>
        <v>0</v>
      </c>
      <c r="AP185" s="55">
        <f t="shared" si="148"/>
        <v>0</v>
      </c>
      <c r="AQ185" s="55">
        <f t="shared" si="148"/>
        <v>0</v>
      </c>
      <c r="AR185" s="55">
        <f t="shared" si="148"/>
        <v>0</v>
      </c>
      <c r="AS185" s="55">
        <f t="shared" si="148"/>
        <v>0</v>
      </c>
      <c r="AT185" s="55">
        <f t="shared" si="148"/>
        <v>0</v>
      </c>
      <c r="AU185" s="55">
        <f t="shared" si="148"/>
        <v>0</v>
      </c>
      <c r="AV185" s="55">
        <f t="shared" si="148"/>
        <v>0</v>
      </c>
      <c r="AW185" s="55">
        <f t="shared" si="148"/>
        <v>0</v>
      </c>
      <c r="AX185" s="55">
        <f t="shared" si="148"/>
        <v>0</v>
      </c>
      <c r="AY185" s="55">
        <f t="shared" si="148"/>
        <v>0</v>
      </c>
      <c r="AZ185" s="55">
        <f t="shared" si="148"/>
        <v>0</v>
      </c>
      <c r="BA185" s="55">
        <f t="shared" si="148"/>
        <v>0</v>
      </c>
      <c r="BB185" s="55">
        <f t="shared" si="148"/>
        <v>0</v>
      </c>
      <c r="BC185" s="55">
        <f t="shared" si="148"/>
        <v>0</v>
      </c>
      <c r="BD185" s="55">
        <f t="shared" si="148"/>
        <v>0</v>
      </c>
      <c r="BE185" s="55">
        <f t="shared" si="148"/>
        <v>0</v>
      </c>
      <c r="BF185" s="55">
        <f t="shared" si="148"/>
        <v>0</v>
      </c>
      <c r="BG185" s="55">
        <f t="shared" si="148"/>
        <v>0</v>
      </c>
      <c r="BH185" s="55">
        <f t="shared" si="148"/>
        <v>0</v>
      </c>
      <c r="BI185" s="55">
        <f t="shared" si="148"/>
        <v>0</v>
      </c>
      <c r="BJ185" s="55">
        <f t="shared" si="148"/>
        <v>0</v>
      </c>
    </row>
    <row r="186" spans="1:62" x14ac:dyDescent="0.3">
      <c r="A186" s="53" t="str">
        <f t="shared" si="104"/>
        <v>project 112</v>
      </c>
      <c r="C186" s="55">
        <f t="shared" ref="C186:AH186" si="149">IF(AND(C$127&gt;=$I78,C$127&lt;$I78+$F78),INDEX($T78:$AI78,C$127-$I78+1),0)</f>
        <v>0</v>
      </c>
      <c r="D186" s="55">
        <f t="shared" si="149"/>
        <v>0</v>
      </c>
      <c r="E186" s="55">
        <f t="shared" si="149"/>
        <v>0</v>
      </c>
      <c r="F186" s="55">
        <f t="shared" si="149"/>
        <v>0</v>
      </c>
      <c r="G186" s="55">
        <f t="shared" si="149"/>
        <v>0</v>
      </c>
      <c r="H186" s="55">
        <f t="shared" si="149"/>
        <v>0</v>
      </c>
      <c r="I186" s="55">
        <f t="shared" si="149"/>
        <v>0</v>
      </c>
      <c r="J186" s="55">
        <f t="shared" si="149"/>
        <v>0</v>
      </c>
      <c r="K186" s="55">
        <f t="shared" si="149"/>
        <v>0</v>
      </c>
      <c r="L186" s="55">
        <f t="shared" si="149"/>
        <v>0</v>
      </c>
      <c r="M186" s="55">
        <f t="shared" si="149"/>
        <v>0</v>
      </c>
      <c r="N186" s="55">
        <f t="shared" si="149"/>
        <v>0</v>
      </c>
      <c r="O186" s="55">
        <f t="shared" si="149"/>
        <v>0</v>
      </c>
      <c r="P186" s="55">
        <f t="shared" si="149"/>
        <v>0</v>
      </c>
      <c r="Q186" s="55">
        <f t="shared" si="149"/>
        <v>0</v>
      </c>
      <c r="R186" s="55">
        <f t="shared" si="149"/>
        <v>0</v>
      </c>
      <c r="S186" s="55">
        <f t="shared" si="149"/>
        <v>0</v>
      </c>
      <c r="T186" s="55">
        <f t="shared" si="149"/>
        <v>46.741379999999999</v>
      </c>
      <c r="U186" s="55">
        <f t="shared" si="149"/>
        <v>136.11642156862749</v>
      </c>
      <c r="V186" s="55">
        <f t="shared" si="149"/>
        <v>66.411764705882362</v>
      </c>
      <c r="W186" s="55">
        <f t="shared" si="149"/>
        <v>0</v>
      </c>
      <c r="X186" s="55">
        <f t="shared" si="149"/>
        <v>0</v>
      </c>
      <c r="Y186" s="55">
        <f t="shared" si="149"/>
        <v>0</v>
      </c>
      <c r="Z186" s="55">
        <f t="shared" si="149"/>
        <v>0</v>
      </c>
      <c r="AA186" s="55">
        <f t="shared" si="149"/>
        <v>0</v>
      </c>
      <c r="AB186" s="55">
        <f t="shared" si="149"/>
        <v>0</v>
      </c>
      <c r="AC186" s="55">
        <f t="shared" si="149"/>
        <v>0</v>
      </c>
      <c r="AD186" s="55">
        <f t="shared" si="149"/>
        <v>0</v>
      </c>
      <c r="AE186" s="55">
        <f t="shared" si="149"/>
        <v>0</v>
      </c>
      <c r="AF186" s="55">
        <f t="shared" si="149"/>
        <v>0</v>
      </c>
      <c r="AG186" s="55">
        <f t="shared" si="149"/>
        <v>0</v>
      </c>
      <c r="AH186" s="55">
        <f t="shared" si="149"/>
        <v>0</v>
      </c>
      <c r="AI186" s="55">
        <f t="shared" ref="AI186:BJ186" si="150">IF(AND(AI$127&gt;=$I78,AI$127&lt;$I78+$F78),INDEX($T78:$AI78,AI$127-$I78+1),0)</f>
        <v>0</v>
      </c>
      <c r="AJ186" s="55">
        <f t="shared" si="150"/>
        <v>0</v>
      </c>
      <c r="AK186" s="55">
        <f t="shared" si="150"/>
        <v>0</v>
      </c>
      <c r="AL186" s="55">
        <f t="shared" si="150"/>
        <v>0</v>
      </c>
      <c r="AM186" s="55">
        <f t="shared" si="150"/>
        <v>0</v>
      </c>
      <c r="AN186" s="55">
        <f t="shared" si="150"/>
        <v>0</v>
      </c>
      <c r="AO186" s="55">
        <f t="shared" si="150"/>
        <v>0</v>
      </c>
      <c r="AP186" s="55">
        <f t="shared" si="150"/>
        <v>0</v>
      </c>
      <c r="AQ186" s="55">
        <f t="shared" si="150"/>
        <v>0</v>
      </c>
      <c r="AR186" s="55">
        <f t="shared" si="150"/>
        <v>0</v>
      </c>
      <c r="AS186" s="55">
        <f t="shared" si="150"/>
        <v>0</v>
      </c>
      <c r="AT186" s="55">
        <f t="shared" si="150"/>
        <v>0</v>
      </c>
      <c r="AU186" s="55">
        <f t="shared" si="150"/>
        <v>0</v>
      </c>
      <c r="AV186" s="55">
        <f t="shared" si="150"/>
        <v>0</v>
      </c>
      <c r="AW186" s="55">
        <f t="shared" si="150"/>
        <v>0</v>
      </c>
      <c r="AX186" s="55">
        <f t="shared" si="150"/>
        <v>0</v>
      </c>
      <c r="AY186" s="55">
        <f t="shared" si="150"/>
        <v>0</v>
      </c>
      <c r="AZ186" s="55">
        <f t="shared" si="150"/>
        <v>0</v>
      </c>
      <c r="BA186" s="55">
        <f t="shared" si="150"/>
        <v>0</v>
      </c>
      <c r="BB186" s="55">
        <f t="shared" si="150"/>
        <v>0</v>
      </c>
      <c r="BC186" s="55">
        <f t="shared" si="150"/>
        <v>0</v>
      </c>
      <c r="BD186" s="55">
        <f t="shared" si="150"/>
        <v>0</v>
      </c>
      <c r="BE186" s="55">
        <f t="shared" si="150"/>
        <v>0</v>
      </c>
      <c r="BF186" s="55">
        <f t="shared" si="150"/>
        <v>0</v>
      </c>
      <c r="BG186" s="55">
        <f t="shared" si="150"/>
        <v>0</v>
      </c>
      <c r="BH186" s="55">
        <f t="shared" si="150"/>
        <v>0</v>
      </c>
      <c r="BI186" s="55">
        <f t="shared" si="150"/>
        <v>0</v>
      </c>
      <c r="BJ186" s="55">
        <f t="shared" si="150"/>
        <v>0</v>
      </c>
    </row>
    <row r="187" spans="1:62" x14ac:dyDescent="0.3">
      <c r="A187" s="53" t="str">
        <f t="shared" si="104"/>
        <v>project 116</v>
      </c>
      <c r="C187" s="55">
        <f t="shared" ref="C187:AH187" si="151">IF(AND(C$127&gt;=$I79,C$127&lt;$I79+$F79),INDEX($T79:$AI79,C$127-$I79+1),0)</f>
        <v>37.162975645512972</v>
      </c>
      <c r="D187" s="55">
        <f t="shared" si="151"/>
        <v>36.434289848542129</v>
      </c>
      <c r="E187" s="55">
        <f t="shared" si="151"/>
        <v>35.773170291305803</v>
      </c>
      <c r="F187" s="55">
        <f t="shared" si="151"/>
        <v>35.071735579711579</v>
      </c>
      <c r="G187" s="55">
        <f t="shared" si="151"/>
        <v>34.384054489913296</v>
      </c>
      <c r="H187" s="55">
        <f t="shared" si="151"/>
        <v>0</v>
      </c>
      <c r="I187" s="55">
        <f t="shared" si="151"/>
        <v>0</v>
      </c>
      <c r="J187" s="55">
        <f t="shared" si="151"/>
        <v>0</v>
      </c>
      <c r="K187" s="55">
        <f t="shared" si="151"/>
        <v>0</v>
      </c>
      <c r="L187" s="55">
        <f t="shared" si="151"/>
        <v>0</v>
      </c>
      <c r="M187" s="55">
        <f t="shared" si="151"/>
        <v>0</v>
      </c>
      <c r="N187" s="55">
        <f t="shared" si="151"/>
        <v>0</v>
      </c>
      <c r="O187" s="55">
        <f t="shared" si="151"/>
        <v>0</v>
      </c>
      <c r="P187" s="55">
        <f t="shared" si="151"/>
        <v>0</v>
      </c>
      <c r="Q187" s="55">
        <f t="shared" si="151"/>
        <v>0</v>
      </c>
      <c r="R187" s="55">
        <f t="shared" si="151"/>
        <v>0</v>
      </c>
      <c r="S187" s="55">
        <f t="shared" si="151"/>
        <v>0</v>
      </c>
      <c r="T187" s="55">
        <f t="shared" si="151"/>
        <v>0</v>
      </c>
      <c r="U187" s="55">
        <f t="shared" si="151"/>
        <v>0</v>
      </c>
      <c r="V187" s="55">
        <f t="shared" si="151"/>
        <v>0</v>
      </c>
      <c r="W187" s="55">
        <f t="shared" si="151"/>
        <v>0</v>
      </c>
      <c r="X187" s="55">
        <f t="shared" si="151"/>
        <v>0</v>
      </c>
      <c r="Y187" s="55">
        <f t="shared" si="151"/>
        <v>0</v>
      </c>
      <c r="Z187" s="55">
        <f t="shared" si="151"/>
        <v>0</v>
      </c>
      <c r="AA187" s="55">
        <f t="shared" si="151"/>
        <v>0</v>
      </c>
      <c r="AB187" s="55">
        <f t="shared" si="151"/>
        <v>0</v>
      </c>
      <c r="AC187" s="55">
        <f t="shared" si="151"/>
        <v>0</v>
      </c>
      <c r="AD187" s="55">
        <f t="shared" si="151"/>
        <v>0</v>
      </c>
      <c r="AE187" s="55">
        <f t="shared" si="151"/>
        <v>0</v>
      </c>
      <c r="AF187" s="55">
        <f t="shared" si="151"/>
        <v>0</v>
      </c>
      <c r="AG187" s="55">
        <f t="shared" si="151"/>
        <v>0</v>
      </c>
      <c r="AH187" s="55">
        <f t="shared" si="151"/>
        <v>0</v>
      </c>
      <c r="AI187" s="55">
        <f t="shared" ref="AI187:BJ187" si="152">IF(AND(AI$127&gt;=$I79,AI$127&lt;$I79+$F79),INDEX($T79:$AI79,AI$127-$I79+1),0)</f>
        <v>0</v>
      </c>
      <c r="AJ187" s="55">
        <f t="shared" si="152"/>
        <v>0</v>
      </c>
      <c r="AK187" s="55">
        <f t="shared" si="152"/>
        <v>0</v>
      </c>
      <c r="AL187" s="55">
        <f t="shared" si="152"/>
        <v>0</v>
      </c>
      <c r="AM187" s="55">
        <f t="shared" si="152"/>
        <v>0</v>
      </c>
      <c r="AN187" s="55">
        <f t="shared" si="152"/>
        <v>0</v>
      </c>
      <c r="AO187" s="55">
        <f t="shared" si="152"/>
        <v>0</v>
      </c>
      <c r="AP187" s="55">
        <f t="shared" si="152"/>
        <v>0</v>
      </c>
      <c r="AQ187" s="55">
        <f t="shared" si="152"/>
        <v>0</v>
      </c>
      <c r="AR187" s="55">
        <f t="shared" si="152"/>
        <v>0</v>
      </c>
      <c r="AS187" s="55">
        <f t="shared" si="152"/>
        <v>0</v>
      </c>
      <c r="AT187" s="55">
        <f t="shared" si="152"/>
        <v>0</v>
      </c>
      <c r="AU187" s="55">
        <f t="shared" si="152"/>
        <v>0</v>
      </c>
      <c r="AV187" s="55">
        <f t="shared" si="152"/>
        <v>0</v>
      </c>
      <c r="AW187" s="55">
        <f t="shared" si="152"/>
        <v>0</v>
      </c>
      <c r="AX187" s="55">
        <f t="shared" si="152"/>
        <v>0</v>
      </c>
      <c r="AY187" s="55">
        <f t="shared" si="152"/>
        <v>0</v>
      </c>
      <c r="AZ187" s="55">
        <f t="shared" si="152"/>
        <v>0</v>
      </c>
      <c r="BA187" s="55">
        <f t="shared" si="152"/>
        <v>0</v>
      </c>
      <c r="BB187" s="55">
        <f t="shared" si="152"/>
        <v>0</v>
      </c>
      <c r="BC187" s="55">
        <f t="shared" si="152"/>
        <v>0</v>
      </c>
      <c r="BD187" s="55">
        <f t="shared" si="152"/>
        <v>0</v>
      </c>
      <c r="BE187" s="55">
        <f t="shared" si="152"/>
        <v>0</v>
      </c>
      <c r="BF187" s="55">
        <f t="shared" si="152"/>
        <v>0</v>
      </c>
      <c r="BG187" s="55">
        <f t="shared" si="152"/>
        <v>0</v>
      </c>
      <c r="BH187" s="55">
        <f t="shared" si="152"/>
        <v>0</v>
      </c>
      <c r="BI187" s="55">
        <f t="shared" si="152"/>
        <v>0</v>
      </c>
      <c r="BJ187" s="55">
        <f t="shared" si="152"/>
        <v>0</v>
      </c>
    </row>
    <row r="188" spans="1:62" x14ac:dyDescent="0.3">
      <c r="A188" s="53" t="str">
        <f t="shared" si="104"/>
        <v>project 119</v>
      </c>
      <c r="C188" s="55">
        <f t="shared" ref="C188:AH188" si="153">IF(AND(C$127&gt;=$I80,C$127&lt;$I80+$F80),INDEX($T80:$AI80,C$127-$I80+1),0)</f>
        <v>0</v>
      </c>
      <c r="D188" s="55">
        <f t="shared" si="153"/>
        <v>0</v>
      </c>
      <c r="E188" s="55">
        <f t="shared" si="153"/>
        <v>7.2783009999999999</v>
      </c>
      <c r="F188" s="55">
        <f t="shared" si="153"/>
        <v>7.1216107843137264</v>
      </c>
      <c r="G188" s="55">
        <f t="shared" si="153"/>
        <v>10.686274509803919</v>
      </c>
      <c r="H188" s="55">
        <f t="shared" si="153"/>
        <v>57.622068435217223</v>
      </c>
      <c r="I188" s="55">
        <f t="shared" si="153"/>
        <v>48.665483109814467</v>
      </c>
      <c r="J188" s="55">
        <f t="shared" si="153"/>
        <v>5.0349575718445028</v>
      </c>
      <c r="K188" s="55">
        <f t="shared" si="153"/>
        <v>0</v>
      </c>
      <c r="L188" s="55">
        <f t="shared" si="153"/>
        <v>0</v>
      </c>
      <c r="M188" s="55">
        <f t="shared" si="153"/>
        <v>0</v>
      </c>
      <c r="N188" s="55">
        <f t="shared" si="153"/>
        <v>0</v>
      </c>
      <c r="O188" s="55">
        <f t="shared" si="153"/>
        <v>0</v>
      </c>
      <c r="P188" s="55">
        <f t="shared" si="153"/>
        <v>0</v>
      </c>
      <c r="Q188" s="55">
        <f t="shared" si="153"/>
        <v>0</v>
      </c>
      <c r="R188" s="55">
        <f t="shared" si="153"/>
        <v>0</v>
      </c>
      <c r="S188" s="55">
        <f t="shared" si="153"/>
        <v>0</v>
      </c>
      <c r="T188" s="55">
        <f t="shared" si="153"/>
        <v>0</v>
      </c>
      <c r="U188" s="55">
        <f t="shared" si="153"/>
        <v>0</v>
      </c>
      <c r="V188" s="55">
        <f t="shared" si="153"/>
        <v>0</v>
      </c>
      <c r="W188" s="55">
        <f t="shared" si="153"/>
        <v>0</v>
      </c>
      <c r="X188" s="55">
        <f t="shared" si="153"/>
        <v>0</v>
      </c>
      <c r="Y188" s="55">
        <f t="shared" si="153"/>
        <v>0</v>
      </c>
      <c r="Z188" s="55">
        <f t="shared" si="153"/>
        <v>0</v>
      </c>
      <c r="AA188" s="55">
        <f t="shared" si="153"/>
        <v>0</v>
      </c>
      <c r="AB188" s="55">
        <f t="shared" si="153"/>
        <v>0</v>
      </c>
      <c r="AC188" s="55">
        <f t="shared" si="153"/>
        <v>0</v>
      </c>
      <c r="AD188" s="55">
        <f t="shared" si="153"/>
        <v>0</v>
      </c>
      <c r="AE188" s="55">
        <f t="shared" si="153"/>
        <v>0</v>
      </c>
      <c r="AF188" s="55">
        <f t="shared" si="153"/>
        <v>0</v>
      </c>
      <c r="AG188" s="55">
        <f t="shared" si="153"/>
        <v>0</v>
      </c>
      <c r="AH188" s="55">
        <f t="shared" si="153"/>
        <v>0</v>
      </c>
      <c r="AI188" s="55">
        <f t="shared" ref="AI188:BJ188" si="154">IF(AND(AI$127&gt;=$I80,AI$127&lt;$I80+$F80),INDEX($T80:$AI80,AI$127-$I80+1),0)</f>
        <v>0</v>
      </c>
      <c r="AJ188" s="55">
        <f t="shared" si="154"/>
        <v>0</v>
      </c>
      <c r="AK188" s="55">
        <f t="shared" si="154"/>
        <v>0</v>
      </c>
      <c r="AL188" s="55">
        <f t="shared" si="154"/>
        <v>0</v>
      </c>
      <c r="AM188" s="55">
        <f t="shared" si="154"/>
        <v>0</v>
      </c>
      <c r="AN188" s="55">
        <f t="shared" si="154"/>
        <v>0</v>
      </c>
      <c r="AO188" s="55">
        <f t="shared" si="154"/>
        <v>0</v>
      </c>
      <c r="AP188" s="55">
        <f t="shared" si="154"/>
        <v>0</v>
      </c>
      <c r="AQ188" s="55">
        <f t="shared" si="154"/>
        <v>0</v>
      </c>
      <c r="AR188" s="55">
        <f t="shared" si="154"/>
        <v>0</v>
      </c>
      <c r="AS188" s="55">
        <f t="shared" si="154"/>
        <v>0</v>
      </c>
      <c r="AT188" s="55">
        <f t="shared" si="154"/>
        <v>0</v>
      </c>
      <c r="AU188" s="55">
        <f t="shared" si="154"/>
        <v>0</v>
      </c>
      <c r="AV188" s="55">
        <f t="shared" si="154"/>
        <v>0</v>
      </c>
      <c r="AW188" s="55">
        <f t="shared" si="154"/>
        <v>0</v>
      </c>
      <c r="AX188" s="55">
        <f t="shared" si="154"/>
        <v>0</v>
      </c>
      <c r="AY188" s="55">
        <f t="shared" si="154"/>
        <v>0</v>
      </c>
      <c r="AZ188" s="55">
        <f t="shared" si="154"/>
        <v>0</v>
      </c>
      <c r="BA188" s="55">
        <f t="shared" si="154"/>
        <v>0</v>
      </c>
      <c r="BB188" s="55">
        <f t="shared" si="154"/>
        <v>0</v>
      </c>
      <c r="BC188" s="55">
        <f t="shared" si="154"/>
        <v>0</v>
      </c>
      <c r="BD188" s="55">
        <f t="shared" si="154"/>
        <v>0</v>
      </c>
      <c r="BE188" s="55">
        <f t="shared" si="154"/>
        <v>0</v>
      </c>
      <c r="BF188" s="55">
        <f t="shared" si="154"/>
        <v>0</v>
      </c>
      <c r="BG188" s="55">
        <f t="shared" si="154"/>
        <v>0</v>
      </c>
      <c r="BH188" s="55">
        <f t="shared" si="154"/>
        <v>0</v>
      </c>
      <c r="BI188" s="55">
        <f t="shared" si="154"/>
        <v>0</v>
      </c>
      <c r="BJ188" s="55">
        <f t="shared" si="154"/>
        <v>0</v>
      </c>
    </row>
    <row r="189" spans="1:62" x14ac:dyDescent="0.3">
      <c r="A189" s="53" t="str">
        <f t="shared" si="104"/>
        <v>project 120</v>
      </c>
      <c r="C189" s="55">
        <f t="shared" ref="C189:AH189" si="155">IF(AND(C$127&gt;=$I81,C$127&lt;$I81+$F81),INDEX($T81:$AI81,C$127-$I81+1),0)</f>
        <v>4.5780000000000003</v>
      </c>
      <c r="D189" s="55">
        <f t="shared" si="155"/>
        <v>11.73725490196078</v>
      </c>
      <c r="E189" s="55">
        <f t="shared" si="155"/>
        <v>31.534986543637061</v>
      </c>
      <c r="F189" s="55">
        <f t="shared" si="155"/>
        <v>31.738358549878999</v>
      </c>
      <c r="G189" s="55">
        <f t="shared" si="155"/>
        <v>32.022330156931027</v>
      </c>
      <c r="H189" s="55">
        <f t="shared" si="155"/>
        <v>35.442152319454443</v>
      </c>
      <c r="I189" s="55">
        <f t="shared" si="155"/>
        <v>0</v>
      </c>
      <c r="J189" s="55">
        <f t="shared" si="155"/>
        <v>0</v>
      </c>
      <c r="K189" s="55">
        <f t="shared" si="155"/>
        <v>0</v>
      </c>
      <c r="L189" s="55">
        <f t="shared" si="155"/>
        <v>0</v>
      </c>
      <c r="M189" s="55">
        <f t="shared" si="155"/>
        <v>0</v>
      </c>
      <c r="N189" s="55">
        <f t="shared" si="155"/>
        <v>0</v>
      </c>
      <c r="O189" s="55">
        <f t="shared" si="155"/>
        <v>0</v>
      </c>
      <c r="P189" s="55">
        <f t="shared" si="155"/>
        <v>0</v>
      </c>
      <c r="Q189" s="55">
        <f t="shared" si="155"/>
        <v>0</v>
      </c>
      <c r="R189" s="55">
        <f t="shared" si="155"/>
        <v>0</v>
      </c>
      <c r="S189" s="55">
        <f t="shared" si="155"/>
        <v>0</v>
      </c>
      <c r="T189" s="55">
        <f t="shared" si="155"/>
        <v>0</v>
      </c>
      <c r="U189" s="55">
        <f t="shared" si="155"/>
        <v>0</v>
      </c>
      <c r="V189" s="55">
        <f t="shared" si="155"/>
        <v>0</v>
      </c>
      <c r="W189" s="55">
        <f t="shared" si="155"/>
        <v>0</v>
      </c>
      <c r="X189" s="55">
        <f t="shared" si="155"/>
        <v>0</v>
      </c>
      <c r="Y189" s="55">
        <f t="shared" si="155"/>
        <v>0</v>
      </c>
      <c r="Z189" s="55">
        <f t="shared" si="155"/>
        <v>0</v>
      </c>
      <c r="AA189" s="55">
        <f t="shared" si="155"/>
        <v>0</v>
      </c>
      <c r="AB189" s="55">
        <f t="shared" si="155"/>
        <v>0</v>
      </c>
      <c r="AC189" s="55">
        <f t="shared" si="155"/>
        <v>0</v>
      </c>
      <c r="AD189" s="55">
        <f t="shared" si="155"/>
        <v>0</v>
      </c>
      <c r="AE189" s="55">
        <f t="shared" si="155"/>
        <v>0</v>
      </c>
      <c r="AF189" s="55">
        <f t="shared" si="155"/>
        <v>0</v>
      </c>
      <c r="AG189" s="55">
        <f t="shared" si="155"/>
        <v>0</v>
      </c>
      <c r="AH189" s="55">
        <f t="shared" si="155"/>
        <v>0</v>
      </c>
      <c r="AI189" s="55">
        <f t="shared" ref="AI189:BJ189" si="156">IF(AND(AI$127&gt;=$I81,AI$127&lt;$I81+$F81),INDEX($T81:$AI81,AI$127-$I81+1),0)</f>
        <v>0</v>
      </c>
      <c r="AJ189" s="55">
        <f t="shared" si="156"/>
        <v>0</v>
      </c>
      <c r="AK189" s="55">
        <f t="shared" si="156"/>
        <v>0</v>
      </c>
      <c r="AL189" s="55">
        <f t="shared" si="156"/>
        <v>0</v>
      </c>
      <c r="AM189" s="55">
        <f t="shared" si="156"/>
        <v>0</v>
      </c>
      <c r="AN189" s="55">
        <f t="shared" si="156"/>
        <v>0</v>
      </c>
      <c r="AO189" s="55">
        <f t="shared" si="156"/>
        <v>0</v>
      </c>
      <c r="AP189" s="55">
        <f t="shared" si="156"/>
        <v>0</v>
      </c>
      <c r="AQ189" s="55">
        <f t="shared" si="156"/>
        <v>0</v>
      </c>
      <c r="AR189" s="55">
        <f t="shared" si="156"/>
        <v>0</v>
      </c>
      <c r="AS189" s="55">
        <f t="shared" si="156"/>
        <v>0</v>
      </c>
      <c r="AT189" s="55">
        <f t="shared" si="156"/>
        <v>0</v>
      </c>
      <c r="AU189" s="55">
        <f t="shared" si="156"/>
        <v>0</v>
      </c>
      <c r="AV189" s="55">
        <f t="shared" si="156"/>
        <v>0</v>
      </c>
      <c r="AW189" s="55">
        <f t="shared" si="156"/>
        <v>0</v>
      </c>
      <c r="AX189" s="55">
        <f t="shared" si="156"/>
        <v>0</v>
      </c>
      <c r="AY189" s="55">
        <f t="shared" si="156"/>
        <v>0</v>
      </c>
      <c r="AZ189" s="55">
        <f t="shared" si="156"/>
        <v>0</v>
      </c>
      <c r="BA189" s="55">
        <f t="shared" si="156"/>
        <v>0</v>
      </c>
      <c r="BB189" s="55">
        <f t="shared" si="156"/>
        <v>0</v>
      </c>
      <c r="BC189" s="55">
        <f t="shared" si="156"/>
        <v>0</v>
      </c>
      <c r="BD189" s="55">
        <f t="shared" si="156"/>
        <v>0</v>
      </c>
      <c r="BE189" s="55">
        <f t="shared" si="156"/>
        <v>0</v>
      </c>
      <c r="BF189" s="55">
        <f t="shared" si="156"/>
        <v>0</v>
      </c>
      <c r="BG189" s="55">
        <f t="shared" si="156"/>
        <v>0</v>
      </c>
      <c r="BH189" s="55">
        <f t="shared" si="156"/>
        <v>0</v>
      </c>
      <c r="BI189" s="55">
        <f t="shared" si="156"/>
        <v>0</v>
      </c>
      <c r="BJ189" s="55">
        <f t="shared" si="156"/>
        <v>0</v>
      </c>
    </row>
    <row r="190" spans="1:62" x14ac:dyDescent="0.3">
      <c r="A190" s="53" t="str">
        <f t="shared" si="104"/>
        <v>project 121</v>
      </c>
      <c r="C190" s="55">
        <f t="shared" ref="C190:AH190" si="157">IF(AND(C$127&gt;=$I82,C$127&lt;$I82+$F82),INDEX($T82:$AI82,C$127-$I82+1),0)</f>
        <v>0</v>
      </c>
      <c r="D190" s="55">
        <f t="shared" si="157"/>
        <v>0</v>
      </c>
      <c r="E190" s="55">
        <f t="shared" si="157"/>
        <v>0</v>
      </c>
      <c r="F190" s="55">
        <f t="shared" si="157"/>
        <v>0</v>
      </c>
      <c r="G190" s="55">
        <f t="shared" si="157"/>
        <v>0</v>
      </c>
      <c r="H190" s="55">
        <f t="shared" si="157"/>
        <v>0</v>
      </c>
      <c r="I190" s="55">
        <f t="shared" si="157"/>
        <v>0</v>
      </c>
      <c r="J190" s="55">
        <f t="shared" si="157"/>
        <v>0</v>
      </c>
      <c r="K190" s="55">
        <f t="shared" si="157"/>
        <v>0</v>
      </c>
      <c r="L190" s="55">
        <f t="shared" si="157"/>
        <v>0</v>
      </c>
      <c r="M190" s="55">
        <f t="shared" si="157"/>
        <v>0</v>
      </c>
      <c r="N190" s="55">
        <f t="shared" si="157"/>
        <v>0</v>
      </c>
      <c r="O190" s="55">
        <f t="shared" si="157"/>
        <v>0</v>
      </c>
      <c r="P190" s="55">
        <f t="shared" si="157"/>
        <v>0</v>
      </c>
      <c r="Q190" s="55">
        <f t="shared" si="157"/>
        <v>0</v>
      </c>
      <c r="R190" s="55">
        <f t="shared" si="157"/>
        <v>0</v>
      </c>
      <c r="S190" s="55">
        <f t="shared" si="157"/>
        <v>0</v>
      </c>
      <c r="T190" s="55">
        <f t="shared" si="157"/>
        <v>43.475078871835947</v>
      </c>
      <c r="U190" s="55">
        <f t="shared" si="157"/>
        <v>42.70097676101247</v>
      </c>
      <c r="V190" s="55">
        <f t="shared" si="157"/>
        <v>41.863702706874967</v>
      </c>
      <c r="W190" s="55">
        <f t="shared" si="157"/>
        <v>0</v>
      </c>
      <c r="X190" s="55">
        <f t="shared" si="157"/>
        <v>0</v>
      </c>
      <c r="Y190" s="55">
        <f t="shared" si="157"/>
        <v>0</v>
      </c>
      <c r="Z190" s="55">
        <f t="shared" si="157"/>
        <v>0</v>
      </c>
      <c r="AA190" s="55">
        <f t="shared" si="157"/>
        <v>0</v>
      </c>
      <c r="AB190" s="55">
        <f t="shared" si="157"/>
        <v>0</v>
      </c>
      <c r="AC190" s="55">
        <f t="shared" si="157"/>
        <v>0</v>
      </c>
      <c r="AD190" s="55">
        <f t="shared" si="157"/>
        <v>0</v>
      </c>
      <c r="AE190" s="55">
        <f t="shared" si="157"/>
        <v>0</v>
      </c>
      <c r="AF190" s="55">
        <f t="shared" si="157"/>
        <v>0</v>
      </c>
      <c r="AG190" s="55">
        <f t="shared" si="157"/>
        <v>0</v>
      </c>
      <c r="AH190" s="55">
        <f t="shared" si="157"/>
        <v>0</v>
      </c>
      <c r="AI190" s="55">
        <f t="shared" ref="AI190:BJ190" si="158">IF(AND(AI$127&gt;=$I82,AI$127&lt;$I82+$F82),INDEX($T82:$AI82,AI$127-$I82+1),0)</f>
        <v>0</v>
      </c>
      <c r="AJ190" s="55">
        <f t="shared" si="158"/>
        <v>0</v>
      </c>
      <c r="AK190" s="55">
        <f t="shared" si="158"/>
        <v>0</v>
      </c>
      <c r="AL190" s="55">
        <f t="shared" si="158"/>
        <v>0</v>
      </c>
      <c r="AM190" s="55">
        <f t="shared" si="158"/>
        <v>0</v>
      </c>
      <c r="AN190" s="55">
        <f t="shared" si="158"/>
        <v>0</v>
      </c>
      <c r="AO190" s="55">
        <f t="shared" si="158"/>
        <v>0</v>
      </c>
      <c r="AP190" s="55">
        <f t="shared" si="158"/>
        <v>0</v>
      </c>
      <c r="AQ190" s="55">
        <f t="shared" si="158"/>
        <v>0</v>
      </c>
      <c r="AR190" s="55">
        <f t="shared" si="158"/>
        <v>0</v>
      </c>
      <c r="AS190" s="55">
        <f t="shared" si="158"/>
        <v>0</v>
      </c>
      <c r="AT190" s="55">
        <f t="shared" si="158"/>
        <v>0</v>
      </c>
      <c r="AU190" s="55">
        <f t="shared" si="158"/>
        <v>0</v>
      </c>
      <c r="AV190" s="55">
        <f t="shared" si="158"/>
        <v>0</v>
      </c>
      <c r="AW190" s="55">
        <f t="shared" si="158"/>
        <v>0</v>
      </c>
      <c r="AX190" s="55">
        <f t="shared" si="158"/>
        <v>0</v>
      </c>
      <c r="AY190" s="55">
        <f t="shared" si="158"/>
        <v>0</v>
      </c>
      <c r="AZ190" s="55">
        <f t="shared" si="158"/>
        <v>0</v>
      </c>
      <c r="BA190" s="55">
        <f t="shared" si="158"/>
        <v>0</v>
      </c>
      <c r="BB190" s="55">
        <f t="shared" si="158"/>
        <v>0</v>
      </c>
      <c r="BC190" s="55">
        <f t="shared" si="158"/>
        <v>0</v>
      </c>
      <c r="BD190" s="55">
        <f t="shared" si="158"/>
        <v>0</v>
      </c>
      <c r="BE190" s="55">
        <f t="shared" si="158"/>
        <v>0</v>
      </c>
      <c r="BF190" s="55">
        <f t="shared" si="158"/>
        <v>0</v>
      </c>
      <c r="BG190" s="55">
        <f t="shared" si="158"/>
        <v>0</v>
      </c>
      <c r="BH190" s="55">
        <f t="shared" si="158"/>
        <v>0</v>
      </c>
      <c r="BI190" s="55">
        <f t="shared" si="158"/>
        <v>0</v>
      </c>
      <c r="BJ190" s="55">
        <f t="shared" si="158"/>
        <v>0</v>
      </c>
    </row>
    <row r="191" spans="1:62" x14ac:dyDescent="0.3">
      <c r="A191" s="53" t="str">
        <f t="shared" si="104"/>
        <v>project 125</v>
      </c>
      <c r="C191" s="55">
        <f t="shared" ref="C191:AH191" si="159">IF(AND(C$127&gt;=$I83,C$127&lt;$I83+$F83),INDEX($T83:$AI83,C$127-$I83+1),0)</f>
        <v>0</v>
      </c>
      <c r="D191" s="55">
        <f t="shared" si="159"/>
        <v>0</v>
      </c>
      <c r="E191" s="55">
        <f t="shared" si="159"/>
        <v>0</v>
      </c>
      <c r="F191" s="55">
        <f t="shared" si="159"/>
        <v>0</v>
      </c>
      <c r="G191" s="55">
        <f t="shared" si="159"/>
        <v>0</v>
      </c>
      <c r="H191" s="55">
        <f t="shared" si="159"/>
        <v>0</v>
      </c>
      <c r="I191" s="55">
        <f t="shared" si="159"/>
        <v>0</v>
      </c>
      <c r="J191" s="55">
        <f t="shared" si="159"/>
        <v>0</v>
      </c>
      <c r="K191" s="55">
        <f t="shared" si="159"/>
        <v>0</v>
      </c>
      <c r="L191" s="55">
        <f t="shared" si="159"/>
        <v>0</v>
      </c>
      <c r="M191" s="55">
        <f t="shared" si="159"/>
        <v>0</v>
      </c>
      <c r="N191" s="55">
        <f t="shared" si="159"/>
        <v>0</v>
      </c>
      <c r="O191" s="55">
        <f t="shared" si="159"/>
        <v>0</v>
      </c>
      <c r="P191" s="55">
        <f t="shared" si="159"/>
        <v>0</v>
      </c>
      <c r="Q191" s="55">
        <f t="shared" si="159"/>
        <v>0</v>
      </c>
      <c r="R191" s="55">
        <f t="shared" si="159"/>
        <v>0</v>
      </c>
      <c r="S191" s="55">
        <f t="shared" si="159"/>
        <v>0</v>
      </c>
      <c r="T191" s="55">
        <f t="shared" si="159"/>
        <v>0</v>
      </c>
      <c r="U191" s="55">
        <f t="shared" si="159"/>
        <v>24.044117647058819</v>
      </c>
      <c r="V191" s="55">
        <f t="shared" si="159"/>
        <v>70.717993079584772</v>
      </c>
      <c r="W191" s="55">
        <f t="shared" si="159"/>
        <v>0</v>
      </c>
      <c r="X191" s="55">
        <f t="shared" si="159"/>
        <v>0</v>
      </c>
      <c r="Y191" s="55">
        <f t="shared" si="159"/>
        <v>0</v>
      </c>
      <c r="Z191" s="55">
        <f t="shared" si="159"/>
        <v>0</v>
      </c>
      <c r="AA191" s="55">
        <f t="shared" si="159"/>
        <v>0</v>
      </c>
      <c r="AB191" s="55">
        <f t="shared" si="159"/>
        <v>0</v>
      </c>
      <c r="AC191" s="55">
        <f t="shared" si="159"/>
        <v>0</v>
      </c>
      <c r="AD191" s="55">
        <f t="shared" si="159"/>
        <v>0</v>
      </c>
      <c r="AE191" s="55">
        <f t="shared" si="159"/>
        <v>0</v>
      </c>
      <c r="AF191" s="55">
        <f t="shared" si="159"/>
        <v>0</v>
      </c>
      <c r="AG191" s="55">
        <f t="shared" si="159"/>
        <v>0</v>
      </c>
      <c r="AH191" s="55">
        <f t="shared" si="159"/>
        <v>0</v>
      </c>
      <c r="AI191" s="55">
        <f t="shared" ref="AI191:BJ191" si="160">IF(AND(AI$127&gt;=$I83,AI$127&lt;$I83+$F83),INDEX($T83:$AI83,AI$127-$I83+1),0)</f>
        <v>0</v>
      </c>
      <c r="AJ191" s="55">
        <f t="shared" si="160"/>
        <v>0</v>
      </c>
      <c r="AK191" s="55">
        <f t="shared" si="160"/>
        <v>0</v>
      </c>
      <c r="AL191" s="55">
        <f t="shared" si="160"/>
        <v>0</v>
      </c>
      <c r="AM191" s="55">
        <f t="shared" si="160"/>
        <v>0</v>
      </c>
      <c r="AN191" s="55">
        <f t="shared" si="160"/>
        <v>0</v>
      </c>
      <c r="AO191" s="55">
        <f t="shared" si="160"/>
        <v>0</v>
      </c>
      <c r="AP191" s="55">
        <f t="shared" si="160"/>
        <v>0</v>
      </c>
      <c r="AQ191" s="55">
        <f t="shared" si="160"/>
        <v>0</v>
      </c>
      <c r="AR191" s="55">
        <f t="shared" si="160"/>
        <v>0</v>
      </c>
      <c r="AS191" s="55">
        <f t="shared" si="160"/>
        <v>0</v>
      </c>
      <c r="AT191" s="55">
        <f t="shared" si="160"/>
        <v>0</v>
      </c>
      <c r="AU191" s="55">
        <f t="shared" si="160"/>
        <v>0</v>
      </c>
      <c r="AV191" s="55">
        <f t="shared" si="160"/>
        <v>0</v>
      </c>
      <c r="AW191" s="55">
        <f t="shared" si="160"/>
        <v>0</v>
      </c>
      <c r="AX191" s="55">
        <f t="shared" si="160"/>
        <v>0</v>
      </c>
      <c r="AY191" s="55">
        <f t="shared" si="160"/>
        <v>0</v>
      </c>
      <c r="AZ191" s="55">
        <f t="shared" si="160"/>
        <v>0</v>
      </c>
      <c r="BA191" s="55">
        <f t="shared" si="160"/>
        <v>0</v>
      </c>
      <c r="BB191" s="55">
        <f t="shared" si="160"/>
        <v>0</v>
      </c>
      <c r="BC191" s="55">
        <f t="shared" si="160"/>
        <v>0</v>
      </c>
      <c r="BD191" s="55">
        <f t="shared" si="160"/>
        <v>0</v>
      </c>
      <c r="BE191" s="55">
        <f t="shared" si="160"/>
        <v>0</v>
      </c>
      <c r="BF191" s="55">
        <f t="shared" si="160"/>
        <v>0</v>
      </c>
      <c r="BG191" s="55">
        <f t="shared" si="160"/>
        <v>0</v>
      </c>
      <c r="BH191" s="55">
        <f t="shared" si="160"/>
        <v>0</v>
      </c>
      <c r="BI191" s="55">
        <f t="shared" si="160"/>
        <v>0</v>
      </c>
      <c r="BJ191" s="55">
        <f t="shared" si="160"/>
        <v>0</v>
      </c>
    </row>
    <row r="192" spans="1:62" x14ac:dyDescent="0.3">
      <c r="A192" s="53" t="str">
        <f t="shared" si="104"/>
        <v>project 126</v>
      </c>
      <c r="C192" s="55">
        <f t="shared" ref="C192:AH192" si="161">IF(AND(C$127&gt;=$I84,C$127&lt;$I84+$F84),INDEX($T84:$AI84,C$127-$I84+1),0)</f>
        <v>0</v>
      </c>
      <c r="D192" s="55">
        <f t="shared" si="161"/>
        <v>0</v>
      </c>
      <c r="E192" s="55">
        <f t="shared" si="161"/>
        <v>0</v>
      </c>
      <c r="F192" s="55">
        <f t="shared" si="161"/>
        <v>0</v>
      </c>
      <c r="G192" s="55">
        <f t="shared" si="161"/>
        <v>0</v>
      </c>
      <c r="H192" s="55">
        <f t="shared" si="161"/>
        <v>0</v>
      </c>
      <c r="I192" s="55">
        <f t="shared" si="161"/>
        <v>0</v>
      </c>
      <c r="J192" s="55">
        <f t="shared" si="161"/>
        <v>0</v>
      </c>
      <c r="K192" s="55">
        <f t="shared" si="161"/>
        <v>0</v>
      </c>
      <c r="L192" s="55">
        <f t="shared" si="161"/>
        <v>0</v>
      </c>
      <c r="M192" s="55">
        <f t="shared" si="161"/>
        <v>0</v>
      </c>
      <c r="N192" s="55">
        <f t="shared" si="161"/>
        <v>0</v>
      </c>
      <c r="O192" s="55">
        <f t="shared" si="161"/>
        <v>0</v>
      </c>
      <c r="P192" s="55">
        <f t="shared" si="161"/>
        <v>0</v>
      </c>
      <c r="Q192" s="55">
        <f t="shared" si="161"/>
        <v>0</v>
      </c>
      <c r="R192" s="55">
        <f t="shared" si="161"/>
        <v>0</v>
      </c>
      <c r="S192" s="55">
        <f t="shared" si="161"/>
        <v>5.3</v>
      </c>
      <c r="T192" s="55">
        <f t="shared" si="161"/>
        <v>37.254901960784309</v>
      </c>
      <c r="U192" s="55">
        <f t="shared" si="161"/>
        <v>31.43021914648212</v>
      </c>
      <c r="V192" s="55">
        <f t="shared" si="161"/>
        <v>30.813940339688351</v>
      </c>
      <c r="W192" s="55">
        <f t="shared" si="161"/>
        <v>0</v>
      </c>
      <c r="X192" s="55">
        <f t="shared" si="161"/>
        <v>0</v>
      </c>
      <c r="Y192" s="55">
        <f t="shared" si="161"/>
        <v>0</v>
      </c>
      <c r="Z192" s="55">
        <f t="shared" si="161"/>
        <v>0</v>
      </c>
      <c r="AA192" s="55">
        <f t="shared" si="161"/>
        <v>0</v>
      </c>
      <c r="AB192" s="55">
        <f t="shared" si="161"/>
        <v>0</v>
      </c>
      <c r="AC192" s="55">
        <f t="shared" si="161"/>
        <v>0</v>
      </c>
      <c r="AD192" s="55">
        <f t="shared" si="161"/>
        <v>0</v>
      </c>
      <c r="AE192" s="55">
        <f t="shared" si="161"/>
        <v>0</v>
      </c>
      <c r="AF192" s="55">
        <f t="shared" si="161"/>
        <v>0</v>
      </c>
      <c r="AG192" s="55">
        <f t="shared" si="161"/>
        <v>0</v>
      </c>
      <c r="AH192" s="55">
        <f t="shared" si="161"/>
        <v>0</v>
      </c>
      <c r="AI192" s="55">
        <f t="shared" ref="AI192:BJ192" si="162">IF(AND(AI$127&gt;=$I84,AI$127&lt;$I84+$F84),INDEX($T84:$AI84,AI$127-$I84+1),0)</f>
        <v>0</v>
      </c>
      <c r="AJ192" s="55">
        <f t="shared" si="162"/>
        <v>0</v>
      </c>
      <c r="AK192" s="55">
        <f t="shared" si="162"/>
        <v>0</v>
      </c>
      <c r="AL192" s="55">
        <f t="shared" si="162"/>
        <v>0</v>
      </c>
      <c r="AM192" s="55">
        <f t="shared" si="162"/>
        <v>0</v>
      </c>
      <c r="AN192" s="55">
        <f t="shared" si="162"/>
        <v>0</v>
      </c>
      <c r="AO192" s="55">
        <f t="shared" si="162"/>
        <v>0</v>
      </c>
      <c r="AP192" s="55">
        <f t="shared" si="162"/>
        <v>0</v>
      </c>
      <c r="AQ192" s="55">
        <f t="shared" si="162"/>
        <v>0</v>
      </c>
      <c r="AR192" s="55">
        <f t="shared" si="162"/>
        <v>0</v>
      </c>
      <c r="AS192" s="55">
        <f t="shared" si="162"/>
        <v>0</v>
      </c>
      <c r="AT192" s="55">
        <f t="shared" si="162"/>
        <v>0</v>
      </c>
      <c r="AU192" s="55">
        <f t="shared" si="162"/>
        <v>0</v>
      </c>
      <c r="AV192" s="55">
        <f t="shared" si="162"/>
        <v>0</v>
      </c>
      <c r="AW192" s="55">
        <f t="shared" si="162"/>
        <v>0</v>
      </c>
      <c r="AX192" s="55">
        <f t="shared" si="162"/>
        <v>0</v>
      </c>
      <c r="AY192" s="55">
        <f t="shared" si="162"/>
        <v>0</v>
      </c>
      <c r="AZ192" s="55">
        <f t="shared" si="162"/>
        <v>0</v>
      </c>
      <c r="BA192" s="55">
        <f t="shared" si="162"/>
        <v>0</v>
      </c>
      <c r="BB192" s="55">
        <f t="shared" si="162"/>
        <v>0</v>
      </c>
      <c r="BC192" s="55">
        <f t="shared" si="162"/>
        <v>0</v>
      </c>
      <c r="BD192" s="55">
        <f t="shared" si="162"/>
        <v>0</v>
      </c>
      <c r="BE192" s="55">
        <f t="shared" si="162"/>
        <v>0</v>
      </c>
      <c r="BF192" s="55">
        <f t="shared" si="162"/>
        <v>0</v>
      </c>
      <c r="BG192" s="55">
        <f t="shared" si="162"/>
        <v>0</v>
      </c>
      <c r="BH192" s="55">
        <f t="shared" si="162"/>
        <v>0</v>
      </c>
      <c r="BI192" s="55">
        <f t="shared" si="162"/>
        <v>0</v>
      </c>
      <c r="BJ192" s="55">
        <f t="shared" si="162"/>
        <v>0</v>
      </c>
    </row>
    <row r="193" spans="1:62" x14ac:dyDescent="0.3">
      <c r="A193" s="53" t="str">
        <f t="shared" si="104"/>
        <v>project 128</v>
      </c>
      <c r="C193" s="55">
        <f t="shared" ref="C193:AH193" si="163">IF(AND(C$127&gt;=$I85,C$127&lt;$I85+$F85),INDEX($T85:$AI85,C$127-$I85+1),0)</f>
        <v>0</v>
      </c>
      <c r="D193" s="55">
        <f t="shared" si="163"/>
        <v>0</v>
      </c>
      <c r="E193" s="55">
        <f t="shared" si="163"/>
        <v>0.32700000000000001</v>
      </c>
      <c r="F193" s="55">
        <f t="shared" si="163"/>
        <v>0.64117647058823535</v>
      </c>
      <c r="G193" s="55">
        <f t="shared" si="163"/>
        <v>2.17128027681661</v>
      </c>
      <c r="H193" s="55">
        <f t="shared" si="163"/>
        <v>34.228916480086838</v>
      </c>
      <c r="I193" s="55">
        <f t="shared" si="163"/>
        <v>36.654491123027981</v>
      </c>
      <c r="J193" s="55">
        <f t="shared" si="163"/>
        <v>0</v>
      </c>
      <c r="K193" s="55">
        <f t="shared" si="163"/>
        <v>0</v>
      </c>
      <c r="L193" s="55">
        <f t="shared" si="163"/>
        <v>0</v>
      </c>
      <c r="M193" s="55">
        <f t="shared" si="163"/>
        <v>0</v>
      </c>
      <c r="N193" s="55">
        <f t="shared" si="163"/>
        <v>0</v>
      </c>
      <c r="O193" s="55">
        <f t="shared" si="163"/>
        <v>0</v>
      </c>
      <c r="P193" s="55">
        <f t="shared" si="163"/>
        <v>0</v>
      </c>
      <c r="Q193" s="55">
        <f t="shared" si="163"/>
        <v>0</v>
      </c>
      <c r="R193" s="55">
        <f t="shared" si="163"/>
        <v>0</v>
      </c>
      <c r="S193" s="55">
        <f t="shared" si="163"/>
        <v>0</v>
      </c>
      <c r="T193" s="55">
        <f t="shared" si="163"/>
        <v>0</v>
      </c>
      <c r="U193" s="55">
        <f t="shared" si="163"/>
        <v>0</v>
      </c>
      <c r="V193" s="55">
        <f t="shared" si="163"/>
        <v>0</v>
      </c>
      <c r="W193" s="55">
        <f t="shared" si="163"/>
        <v>0</v>
      </c>
      <c r="X193" s="55">
        <f t="shared" si="163"/>
        <v>0</v>
      </c>
      <c r="Y193" s="55">
        <f t="shared" si="163"/>
        <v>0</v>
      </c>
      <c r="Z193" s="55">
        <f t="shared" si="163"/>
        <v>0</v>
      </c>
      <c r="AA193" s="55">
        <f t="shared" si="163"/>
        <v>0</v>
      </c>
      <c r="AB193" s="55">
        <f t="shared" si="163"/>
        <v>0</v>
      </c>
      <c r="AC193" s="55">
        <f t="shared" si="163"/>
        <v>0</v>
      </c>
      <c r="AD193" s="55">
        <f t="shared" si="163"/>
        <v>0</v>
      </c>
      <c r="AE193" s="55">
        <f t="shared" si="163"/>
        <v>0</v>
      </c>
      <c r="AF193" s="55">
        <f t="shared" si="163"/>
        <v>0</v>
      </c>
      <c r="AG193" s="55">
        <f t="shared" si="163"/>
        <v>0</v>
      </c>
      <c r="AH193" s="55">
        <f t="shared" si="163"/>
        <v>0</v>
      </c>
      <c r="AI193" s="55">
        <f t="shared" ref="AI193:BJ193" si="164">IF(AND(AI$127&gt;=$I85,AI$127&lt;$I85+$F85),INDEX($T85:$AI85,AI$127-$I85+1),0)</f>
        <v>0</v>
      </c>
      <c r="AJ193" s="55">
        <f t="shared" si="164"/>
        <v>0</v>
      </c>
      <c r="AK193" s="55">
        <f t="shared" si="164"/>
        <v>0</v>
      </c>
      <c r="AL193" s="55">
        <f t="shared" si="164"/>
        <v>0</v>
      </c>
      <c r="AM193" s="55">
        <f t="shared" si="164"/>
        <v>0</v>
      </c>
      <c r="AN193" s="55">
        <f t="shared" si="164"/>
        <v>0</v>
      </c>
      <c r="AO193" s="55">
        <f t="shared" si="164"/>
        <v>0</v>
      </c>
      <c r="AP193" s="55">
        <f t="shared" si="164"/>
        <v>0</v>
      </c>
      <c r="AQ193" s="55">
        <f t="shared" si="164"/>
        <v>0</v>
      </c>
      <c r="AR193" s="55">
        <f t="shared" si="164"/>
        <v>0</v>
      </c>
      <c r="AS193" s="55">
        <f t="shared" si="164"/>
        <v>0</v>
      </c>
      <c r="AT193" s="55">
        <f t="shared" si="164"/>
        <v>0</v>
      </c>
      <c r="AU193" s="55">
        <f t="shared" si="164"/>
        <v>0</v>
      </c>
      <c r="AV193" s="55">
        <f t="shared" si="164"/>
        <v>0</v>
      </c>
      <c r="AW193" s="55">
        <f t="shared" si="164"/>
        <v>0</v>
      </c>
      <c r="AX193" s="55">
        <f t="shared" si="164"/>
        <v>0</v>
      </c>
      <c r="AY193" s="55">
        <f t="shared" si="164"/>
        <v>0</v>
      </c>
      <c r="AZ193" s="55">
        <f t="shared" si="164"/>
        <v>0</v>
      </c>
      <c r="BA193" s="55">
        <f t="shared" si="164"/>
        <v>0</v>
      </c>
      <c r="BB193" s="55">
        <f t="shared" si="164"/>
        <v>0</v>
      </c>
      <c r="BC193" s="55">
        <f t="shared" si="164"/>
        <v>0</v>
      </c>
      <c r="BD193" s="55">
        <f t="shared" si="164"/>
        <v>0</v>
      </c>
      <c r="BE193" s="55">
        <f t="shared" si="164"/>
        <v>0</v>
      </c>
      <c r="BF193" s="55">
        <f t="shared" si="164"/>
        <v>0</v>
      </c>
      <c r="BG193" s="55">
        <f t="shared" si="164"/>
        <v>0</v>
      </c>
      <c r="BH193" s="55">
        <f t="shared" si="164"/>
        <v>0</v>
      </c>
      <c r="BI193" s="55">
        <f t="shared" si="164"/>
        <v>0</v>
      </c>
      <c r="BJ193" s="55">
        <f t="shared" si="164"/>
        <v>0</v>
      </c>
    </row>
    <row r="194" spans="1:62" x14ac:dyDescent="0.3">
      <c r="A194" s="53" t="str">
        <f t="shared" si="104"/>
        <v>project 130</v>
      </c>
      <c r="C194" s="55">
        <f t="shared" ref="C194:AH194" si="165">IF(AND(C$127&gt;=$I86,C$127&lt;$I86+$F86),INDEX($T86:$AI86,C$127-$I86+1),0)</f>
        <v>0.54500000000000004</v>
      </c>
      <c r="D194" s="55">
        <f t="shared" si="165"/>
        <v>1.816666666666666</v>
      </c>
      <c r="E194" s="55">
        <f t="shared" si="165"/>
        <v>4.7145328719723194</v>
      </c>
      <c r="F194" s="55">
        <f t="shared" si="165"/>
        <v>4.7248041854188809</v>
      </c>
      <c r="G194" s="55">
        <f t="shared" si="165"/>
        <v>5.9412499347765131</v>
      </c>
      <c r="H194" s="55">
        <f t="shared" si="165"/>
        <v>12.143132967389681</v>
      </c>
      <c r="I194" s="55">
        <f t="shared" si="165"/>
        <v>20.519242699558529</v>
      </c>
      <c r="J194" s="55">
        <f t="shared" si="165"/>
        <v>20.116904607410319</v>
      </c>
      <c r="K194" s="55">
        <f t="shared" si="165"/>
        <v>0</v>
      </c>
      <c r="L194" s="55">
        <f t="shared" si="165"/>
        <v>0</v>
      </c>
      <c r="M194" s="55">
        <f t="shared" si="165"/>
        <v>0</v>
      </c>
      <c r="N194" s="55">
        <f t="shared" si="165"/>
        <v>0</v>
      </c>
      <c r="O194" s="55">
        <f t="shared" si="165"/>
        <v>0</v>
      </c>
      <c r="P194" s="55">
        <f t="shared" si="165"/>
        <v>0</v>
      </c>
      <c r="Q194" s="55">
        <f t="shared" si="165"/>
        <v>0</v>
      </c>
      <c r="R194" s="55">
        <f t="shared" si="165"/>
        <v>0</v>
      </c>
      <c r="S194" s="55">
        <f t="shared" si="165"/>
        <v>0</v>
      </c>
      <c r="T194" s="55">
        <f t="shared" si="165"/>
        <v>0</v>
      </c>
      <c r="U194" s="55">
        <f t="shared" si="165"/>
        <v>0</v>
      </c>
      <c r="V194" s="55">
        <f t="shared" si="165"/>
        <v>0</v>
      </c>
      <c r="W194" s="55">
        <f t="shared" si="165"/>
        <v>0</v>
      </c>
      <c r="X194" s="55">
        <f t="shared" si="165"/>
        <v>0</v>
      </c>
      <c r="Y194" s="55">
        <f t="shared" si="165"/>
        <v>0</v>
      </c>
      <c r="Z194" s="55">
        <f t="shared" si="165"/>
        <v>0</v>
      </c>
      <c r="AA194" s="55">
        <f t="shared" si="165"/>
        <v>0</v>
      </c>
      <c r="AB194" s="55">
        <f t="shared" si="165"/>
        <v>0</v>
      </c>
      <c r="AC194" s="55">
        <f t="shared" si="165"/>
        <v>0</v>
      </c>
      <c r="AD194" s="55">
        <f t="shared" si="165"/>
        <v>0</v>
      </c>
      <c r="AE194" s="55">
        <f t="shared" si="165"/>
        <v>0</v>
      </c>
      <c r="AF194" s="55">
        <f t="shared" si="165"/>
        <v>0</v>
      </c>
      <c r="AG194" s="55">
        <f t="shared" si="165"/>
        <v>0</v>
      </c>
      <c r="AH194" s="55">
        <f t="shared" si="165"/>
        <v>0</v>
      </c>
      <c r="AI194" s="55">
        <f t="shared" ref="AI194:BJ194" si="166">IF(AND(AI$127&gt;=$I86,AI$127&lt;$I86+$F86),INDEX($T86:$AI86,AI$127-$I86+1),0)</f>
        <v>0</v>
      </c>
      <c r="AJ194" s="55">
        <f t="shared" si="166"/>
        <v>0</v>
      </c>
      <c r="AK194" s="55">
        <f t="shared" si="166"/>
        <v>0</v>
      </c>
      <c r="AL194" s="55">
        <f t="shared" si="166"/>
        <v>0</v>
      </c>
      <c r="AM194" s="55">
        <f t="shared" si="166"/>
        <v>0</v>
      </c>
      <c r="AN194" s="55">
        <f t="shared" si="166"/>
        <v>0</v>
      </c>
      <c r="AO194" s="55">
        <f t="shared" si="166"/>
        <v>0</v>
      </c>
      <c r="AP194" s="55">
        <f t="shared" si="166"/>
        <v>0</v>
      </c>
      <c r="AQ194" s="55">
        <f t="shared" si="166"/>
        <v>0</v>
      </c>
      <c r="AR194" s="55">
        <f t="shared" si="166"/>
        <v>0</v>
      </c>
      <c r="AS194" s="55">
        <f t="shared" si="166"/>
        <v>0</v>
      </c>
      <c r="AT194" s="55">
        <f t="shared" si="166"/>
        <v>0</v>
      </c>
      <c r="AU194" s="55">
        <f t="shared" si="166"/>
        <v>0</v>
      </c>
      <c r="AV194" s="55">
        <f t="shared" si="166"/>
        <v>0</v>
      </c>
      <c r="AW194" s="55">
        <f t="shared" si="166"/>
        <v>0</v>
      </c>
      <c r="AX194" s="55">
        <f t="shared" si="166"/>
        <v>0</v>
      </c>
      <c r="AY194" s="55">
        <f t="shared" si="166"/>
        <v>0</v>
      </c>
      <c r="AZ194" s="55">
        <f t="shared" si="166"/>
        <v>0</v>
      </c>
      <c r="BA194" s="55">
        <f t="shared" si="166"/>
        <v>0</v>
      </c>
      <c r="BB194" s="55">
        <f t="shared" si="166"/>
        <v>0</v>
      </c>
      <c r="BC194" s="55">
        <f t="shared" si="166"/>
        <v>0</v>
      </c>
      <c r="BD194" s="55">
        <f t="shared" si="166"/>
        <v>0</v>
      </c>
      <c r="BE194" s="55">
        <f t="shared" si="166"/>
        <v>0</v>
      </c>
      <c r="BF194" s="55">
        <f t="shared" si="166"/>
        <v>0</v>
      </c>
      <c r="BG194" s="55">
        <f t="shared" si="166"/>
        <v>0</v>
      </c>
      <c r="BH194" s="55">
        <f t="shared" si="166"/>
        <v>0</v>
      </c>
      <c r="BI194" s="55">
        <f t="shared" si="166"/>
        <v>0</v>
      </c>
      <c r="BJ194" s="55">
        <f t="shared" si="166"/>
        <v>0</v>
      </c>
    </row>
    <row r="195" spans="1:62" x14ac:dyDescent="0.3">
      <c r="A195" s="53" t="str">
        <f t="shared" si="104"/>
        <v>project 133</v>
      </c>
      <c r="C195" s="55">
        <f t="shared" ref="C195:AH195" si="167">IF(AND(C$127&gt;=$I87,C$127&lt;$I87+$F87),INDEX($T87:$AI87,C$127-$I87+1),0)</f>
        <v>0</v>
      </c>
      <c r="D195" s="55">
        <f t="shared" si="167"/>
        <v>0</v>
      </c>
      <c r="E195" s="55">
        <f t="shared" si="167"/>
        <v>0</v>
      </c>
      <c r="F195" s="55">
        <f t="shared" si="167"/>
        <v>0</v>
      </c>
      <c r="G195" s="55">
        <f t="shared" si="167"/>
        <v>0</v>
      </c>
      <c r="H195" s="55">
        <f t="shared" si="167"/>
        <v>0</v>
      </c>
      <c r="I195" s="55">
        <f t="shared" si="167"/>
        <v>0</v>
      </c>
      <c r="J195" s="55">
        <f t="shared" si="167"/>
        <v>0</v>
      </c>
      <c r="K195" s="55">
        <f t="shared" si="167"/>
        <v>0</v>
      </c>
      <c r="L195" s="55">
        <f t="shared" si="167"/>
        <v>0</v>
      </c>
      <c r="M195" s="55">
        <f t="shared" si="167"/>
        <v>0</v>
      </c>
      <c r="N195" s="55">
        <f t="shared" si="167"/>
        <v>0</v>
      </c>
      <c r="O195" s="55">
        <f t="shared" si="167"/>
        <v>0</v>
      </c>
      <c r="P195" s="55">
        <f t="shared" si="167"/>
        <v>0.64117647058823535</v>
      </c>
      <c r="Q195" s="55">
        <f t="shared" si="167"/>
        <v>3.5620915032679741</v>
      </c>
      <c r="R195" s="55">
        <f t="shared" si="167"/>
        <v>3.594959706296974</v>
      </c>
      <c r="S195" s="55">
        <f t="shared" si="167"/>
        <v>1.8125847258640211</v>
      </c>
      <c r="T195" s="55">
        <f t="shared" si="167"/>
        <v>17.281343851554791</v>
      </c>
      <c r="U195" s="55">
        <f t="shared" si="167"/>
        <v>16.94249397211254</v>
      </c>
      <c r="V195" s="55">
        <f t="shared" si="167"/>
        <v>16.61028820795347</v>
      </c>
      <c r="W195" s="55">
        <f t="shared" si="167"/>
        <v>0</v>
      </c>
      <c r="X195" s="55">
        <f t="shared" si="167"/>
        <v>0</v>
      </c>
      <c r="Y195" s="55">
        <f t="shared" si="167"/>
        <v>0</v>
      </c>
      <c r="Z195" s="55">
        <f t="shared" si="167"/>
        <v>0</v>
      </c>
      <c r="AA195" s="55">
        <f t="shared" si="167"/>
        <v>0</v>
      </c>
      <c r="AB195" s="55">
        <f t="shared" si="167"/>
        <v>0</v>
      </c>
      <c r="AC195" s="55">
        <f t="shared" si="167"/>
        <v>0</v>
      </c>
      <c r="AD195" s="55">
        <f t="shared" si="167"/>
        <v>0</v>
      </c>
      <c r="AE195" s="55">
        <f t="shared" si="167"/>
        <v>0</v>
      </c>
      <c r="AF195" s="55">
        <f t="shared" si="167"/>
        <v>0</v>
      </c>
      <c r="AG195" s="55">
        <f t="shared" si="167"/>
        <v>0</v>
      </c>
      <c r="AH195" s="55">
        <f t="shared" si="167"/>
        <v>0</v>
      </c>
      <c r="AI195" s="55">
        <f t="shared" ref="AI195:BJ195" si="168">IF(AND(AI$127&gt;=$I87,AI$127&lt;$I87+$F87),INDEX($T87:$AI87,AI$127-$I87+1),0)</f>
        <v>0</v>
      </c>
      <c r="AJ195" s="55">
        <f t="shared" si="168"/>
        <v>0</v>
      </c>
      <c r="AK195" s="55">
        <f t="shared" si="168"/>
        <v>0</v>
      </c>
      <c r="AL195" s="55">
        <f t="shared" si="168"/>
        <v>0</v>
      </c>
      <c r="AM195" s="55">
        <f t="shared" si="168"/>
        <v>0</v>
      </c>
      <c r="AN195" s="55">
        <f t="shared" si="168"/>
        <v>0</v>
      </c>
      <c r="AO195" s="55">
        <f t="shared" si="168"/>
        <v>0</v>
      </c>
      <c r="AP195" s="55">
        <f t="shared" si="168"/>
        <v>0</v>
      </c>
      <c r="AQ195" s="55">
        <f t="shared" si="168"/>
        <v>0</v>
      </c>
      <c r="AR195" s="55">
        <f t="shared" si="168"/>
        <v>0</v>
      </c>
      <c r="AS195" s="55">
        <f t="shared" si="168"/>
        <v>0</v>
      </c>
      <c r="AT195" s="55">
        <f t="shared" si="168"/>
        <v>0</v>
      </c>
      <c r="AU195" s="55">
        <f t="shared" si="168"/>
        <v>0</v>
      </c>
      <c r="AV195" s="55">
        <f t="shared" si="168"/>
        <v>0</v>
      </c>
      <c r="AW195" s="55">
        <f t="shared" si="168"/>
        <v>0</v>
      </c>
      <c r="AX195" s="55">
        <f t="shared" si="168"/>
        <v>0</v>
      </c>
      <c r="AY195" s="55">
        <f t="shared" si="168"/>
        <v>0</v>
      </c>
      <c r="AZ195" s="55">
        <f t="shared" si="168"/>
        <v>0</v>
      </c>
      <c r="BA195" s="55">
        <f t="shared" si="168"/>
        <v>0</v>
      </c>
      <c r="BB195" s="55">
        <f t="shared" si="168"/>
        <v>0</v>
      </c>
      <c r="BC195" s="55">
        <f t="shared" si="168"/>
        <v>0</v>
      </c>
      <c r="BD195" s="55">
        <f t="shared" si="168"/>
        <v>0</v>
      </c>
      <c r="BE195" s="55">
        <f t="shared" si="168"/>
        <v>0</v>
      </c>
      <c r="BF195" s="55">
        <f t="shared" si="168"/>
        <v>0</v>
      </c>
      <c r="BG195" s="55">
        <f t="shared" si="168"/>
        <v>0</v>
      </c>
      <c r="BH195" s="55">
        <f t="shared" si="168"/>
        <v>0</v>
      </c>
      <c r="BI195" s="55">
        <f t="shared" si="168"/>
        <v>0</v>
      </c>
      <c r="BJ195" s="55">
        <f t="shared" si="168"/>
        <v>0</v>
      </c>
    </row>
    <row r="196" spans="1:62" x14ac:dyDescent="0.3">
      <c r="A196" s="53" t="str">
        <f t="shared" ref="A196:A227" si="169">A88</f>
        <v>project 135</v>
      </c>
      <c r="C196" s="55">
        <f t="shared" ref="C196:AH196" si="170">IF(AND(C$127&gt;=$I88,C$127&lt;$I88+$F88),INDEX($T88:$AI88,C$127-$I88+1),0)</f>
        <v>0</v>
      </c>
      <c r="D196" s="55">
        <f t="shared" si="170"/>
        <v>0</v>
      </c>
      <c r="E196" s="55">
        <f t="shared" si="170"/>
        <v>0</v>
      </c>
      <c r="F196" s="55">
        <f t="shared" si="170"/>
        <v>0</v>
      </c>
      <c r="G196" s="55">
        <f t="shared" si="170"/>
        <v>0</v>
      </c>
      <c r="H196" s="55">
        <f t="shared" si="170"/>
        <v>0</v>
      </c>
      <c r="I196" s="55">
        <f t="shared" si="170"/>
        <v>0</v>
      </c>
      <c r="J196" s="55">
        <f t="shared" si="170"/>
        <v>0</v>
      </c>
      <c r="K196" s="55">
        <f t="shared" si="170"/>
        <v>0</v>
      </c>
      <c r="L196" s="55">
        <f t="shared" si="170"/>
        <v>0</v>
      </c>
      <c r="M196" s="55">
        <f t="shared" si="170"/>
        <v>0</v>
      </c>
      <c r="N196" s="55">
        <f t="shared" si="170"/>
        <v>0</v>
      </c>
      <c r="O196" s="55">
        <f t="shared" si="170"/>
        <v>0</v>
      </c>
      <c r="P196" s="55">
        <f t="shared" si="170"/>
        <v>0</v>
      </c>
      <c r="Q196" s="55">
        <f t="shared" si="170"/>
        <v>7.4971164936562857</v>
      </c>
      <c r="R196" s="55">
        <f t="shared" si="170"/>
        <v>7.5385786763763551</v>
      </c>
      <c r="S196" s="55">
        <f t="shared" si="170"/>
        <v>7.4831479508147654</v>
      </c>
      <c r="T196" s="55">
        <f t="shared" si="170"/>
        <v>6.3401156688094114</v>
      </c>
      <c r="U196" s="55">
        <f t="shared" si="170"/>
        <v>6.3933939517405829</v>
      </c>
      <c r="V196" s="55">
        <f t="shared" si="170"/>
        <v>6.355089303881571</v>
      </c>
      <c r="W196" s="55">
        <f t="shared" si="170"/>
        <v>0</v>
      </c>
      <c r="X196" s="55">
        <f t="shared" si="170"/>
        <v>0</v>
      </c>
      <c r="Y196" s="55">
        <f t="shared" si="170"/>
        <v>0</v>
      </c>
      <c r="Z196" s="55">
        <f t="shared" si="170"/>
        <v>0</v>
      </c>
      <c r="AA196" s="55">
        <f t="shared" si="170"/>
        <v>0</v>
      </c>
      <c r="AB196" s="55">
        <f t="shared" si="170"/>
        <v>0</v>
      </c>
      <c r="AC196" s="55">
        <f t="shared" si="170"/>
        <v>0</v>
      </c>
      <c r="AD196" s="55">
        <f t="shared" si="170"/>
        <v>0</v>
      </c>
      <c r="AE196" s="55">
        <f t="shared" si="170"/>
        <v>0</v>
      </c>
      <c r="AF196" s="55">
        <f t="shared" si="170"/>
        <v>0</v>
      </c>
      <c r="AG196" s="55">
        <f t="shared" si="170"/>
        <v>0</v>
      </c>
      <c r="AH196" s="55">
        <f t="shared" si="170"/>
        <v>0</v>
      </c>
      <c r="AI196" s="55">
        <f t="shared" ref="AI196:BJ196" si="171">IF(AND(AI$127&gt;=$I88,AI$127&lt;$I88+$F88),INDEX($T88:$AI88,AI$127-$I88+1),0)</f>
        <v>0</v>
      </c>
      <c r="AJ196" s="55">
        <f t="shared" si="171"/>
        <v>0</v>
      </c>
      <c r="AK196" s="55">
        <f t="shared" si="171"/>
        <v>0</v>
      </c>
      <c r="AL196" s="55">
        <f t="shared" si="171"/>
        <v>0</v>
      </c>
      <c r="AM196" s="55">
        <f t="shared" si="171"/>
        <v>0</v>
      </c>
      <c r="AN196" s="55">
        <f t="shared" si="171"/>
        <v>0</v>
      </c>
      <c r="AO196" s="55">
        <f t="shared" si="171"/>
        <v>0</v>
      </c>
      <c r="AP196" s="55">
        <f t="shared" si="171"/>
        <v>0</v>
      </c>
      <c r="AQ196" s="55">
        <f t="shared" si="171"/>
        <v>0</v>
      </c>
      <c r="AR196" s="55">
        <f t="shared" si="171"/>
        <v>0</v>
      </c>
      <c r="AS196" s="55">
        <f t="shared" si="171"/>
        <v>0</v>
      </c>
      <c r="AT196" s="55">
        <f t="shared" si="171"/>
        <v>0</v>
      </c>
      <c r="AU196" s="55">
        <f t="shared" si="171"/>
        <v>0</v>
      </c>
      <c r="AV196" s="55">
        <f t="shared" si="171"/>
        <v>0</v>
      </c>
      <c r="AW196" s="55">
        <f t="shared" si="171"/>
        <v>0</v>
      </c>
      <c r="AX196" s="55">
        <f t="shared" si="171"/>
        <v>0</v>
      </c>
      <c r="AY196" s="55">
        <f t="shared" si="171"/>
        <v>0</v>
      </c>
      <c r="AZ196" s="55">
        <f t="shared" si="171"/>
        <v>0</v>
      </c>
      <c r="BA196" s="55">
        <f t="shared" si="171"/>
        <v>0</v>
      </c>
      <c r="BB196" s="55">
        <f t="shared" si="171"/>
        <v>0</v>
      </c>
      <c r="BC196" s="55">
        <f t="shared" si="171"/>
        <v>0</v>
      </c>
      <c r="BD196" s="55">
        <f t="shared" si="171"/>
        <v>0</v>
      </c>
      <c r="BE196" s="55">
        <f t="shared" si="171"/>
        <v>0</v>
      </c>
      <c r="BF196" s="55">
        <f t="shared" si="171"/>
        <v>0</v>
      </c>
      <c r="BG196" s="55">
        <f t="shared" si="171"/>
        <v>0</v>
      </c>
      <c r="BH196" s="55">
        <f t="shared" si="171"/>
        <v>0</v>
      </c>
      <c r="BI196" s="55">
        <f t="shared" si="171"/>
        <v>0</v>
      </c>
      <c r="BJ196" s="55">
        <f t="shared" si="171"/>
        <v>0</v>
      </c>
    </row>
    <row r="197" spans="1:62" x14ac:dyDescent="0.3">
      <c r="A197" s="53" t="str">
        <f t="shared" si="169"/>
        <v>project 137</v>
      </c>
      <c r="C197" s="55">
        <f t="shared" ref="C197:AH197" si="172">IF(AND(C$127&gt;=$I89,C$127&lt;$I89+$F89),INDEX($T89:$AI89,C$127-$I89+1),0)</f>
        <v>4.766</v>
      </c>
      <c r="D197" s="55">
        <f t="shared" si="172"/>
        <v>22.06176470588235</v>
      </c>
      <c r="E197" s="55">
        <f t="shared" si="172"/>
        <v>20.11534025374856</v>
      </c>
      <c r="F197" s="55">
        <f t="shared" si="172"/>
        <v>0</v>
      </c>
      <c r="G197" s="55">
        <f t="shared" si="172"/>
        <v>0</v>
      </c>
      <c r="H197" s="55">
        <f t="shared" si="172"/>
        <v>0</v>
      </c>
      <c r="I197" s="55">
        <f t="shared" si="172"/>
        <v>0</v>
      </c>
      <c r="J197" s="55">
        <f t="shared" si="172"/>
        <v>0</v>
      </c>
      <c r="K197" s="55">
        <f t="shared" si="172"/>
        <v>0</v>
      </c>
      <c r="L197" s="55">
        <f t="shared" si="172"/>
        <v>0</v>
      </c>
      <c r="M197" s="55">
        <f t="shared" si="172"/>
        <v>0</v>
      </c>
      <c r="N197" s="55">
        <f t="shared" si="172"/>
        <v>0</v>
      </c>
      <c r="O197" s="55">
        <f t="shared" si="172"/>
        <v>0</v>
      </c>
      <c r="P197" s="55">
        <f t="shared" si="172"/>
        <v>0</v>
      </c>
      <c r="Q197" s="55">
        <f t="shared" si="172"/>
        <v>0</v>
      </c>
      <c r="R197" s="55">
        <f t="shared" si="172"/>
        <v>0</v>
      </c>
      <c r="S197" s="55">
        <f t="shared" si="172"/>
        <v>0</v>
      </c>
      <c r="T197" s="55">
        <f t="shared" si="172"/>
        <v>0</v>
      </c>
      <c r="U197" s="55">
        <f t="shared" si="172"/>
        <v>0</v>
      </c>
      <c r="V197" s="55">
        <f t="shared" si="172"/>
        <v>0</v>
      </c>
      <c r="W197" s="55">
        <f t="shared" si="172"/>
        <v>0</v>
      </c>
      <c r="X197" s="55">
        <f t="shared" si="172"/>
        <v>0</v>
      </c>
      <c r="Y197" s="55">
        <f t="shared" si="172"/>
        <v>0</v>
      </c>
      <c r="Z197" s="55">
        <f t="shared" si="172"/>
        <v>0</v>
      </c>
      <c r="AA197" s="55">
        <f t="shared" si="172"/>
        <v>0</v>
      </c>
      <c r="AB197" s="55">
        <f t="shared" si="172"/>
        <v>0</v>
      </c>
      <c r="AC197" s="55">
        <f t="shared" si="172"/>
        <v>0</v>
      </c>
      <c r="AD197" s="55">
        <f t="shared" si="172"/>
        <v>0</v>
      </c>
      <c r="AE197" s="55">
        <f t="shared" si="172"/>
        <v>0</v>
      </c>
      <c r="AF197" s="55">
        <f t="shared" si="172"/>
        <v>0</v>
      </c>
      <c r="AG197" s="55">
        <f t="shared" si="172"/>
        <v>0</v>
      </c>
      <c r="AH197" s="55">
        <f t="shared" si="172"/>
        <v>0</v>
      </c>
      <c r="AI197" s="55">
        <f t="shared" ref="AI197:BJ197" si="173">IF(AND(AI$127&gt;=$I89,AI$127&lt;$I89+$F89),INDEX($T89:$AI89,AI$127-$I89+1),0)</f>
        <v>0</v>
      </c>
      <c r="AJ197" s="55">
        <f t="shared" si="173"/>
        <v>0</v>
      </c>
      <c r="AK197" s="55">
        <f t="shared" si="173"/>
        <v>0</v>
      </c>
      <c r="AL197" s="55">
        <f t="shared" si="173"/>
        <v>0</v>
      </c>
      <c r="AM197" s="55">
        <f t="shared" si="173"/>
        <v>0</v>
      </c>
      <c r="AN197" s="55">
        <f t="shared" si="173"/>
        <v>0</v>
      </c>
      <c r="AO197" s="55">
        <f t="shared" si="173"/>
        <v>0</v>
      </c>
      <c r="AP197" s="55">
        <f t="shared" si="173"/>
        <v>0</v>
      </c>
      <c r="AQ197" s="55">
        <f t="shared" si="173"/>
        <v>0</v>
      </c>
      <c r="AR197" s="55">
        <f t="shared" si="173"/>
        <v>0</v>
      </c>
      <c r="AS197" s="55">
        <f t="shared" si="173"/>
        <v>0</v>
      </c>
      <c r="AT197" s="55">
        <f t="shared" si="173"/>
        <v>0</v>
      </c>
      <c r="AU197" s="55">
        <f t="shared" si="173"/>
        <v>0</v>
      </c>
      <c r="AV197" s="55">
        <f t="shared" si="173"/>
        <v>0</v>
      </c>
      <c r="AW197" s="55">
        <f t="shared" si="173"/>
        <v>0</v>
      </c>
      <c r="AX197" s="55">
        <f t="shared" si="173"/>
        <v>0</v>
      </c>
      <c r="AY197" s="55">
        <f t="shared" si="173"/>
        <v>0</v>
      </c>
      <c r="AZ197" s="55">
        <f t="shared" si="173"/>
        <v>0</v>
      </c>
      <c r="BA197" s="55">
        <f t="shared" si="173"/>
        <v>0</v>
      </c>
      <c r="BB197" s="55">
        <f t="shared" si="173"/>
        <v>0</v>
      </c>
      <c r="BC197" s="55">
        <f t="shared" si="173"/>
        <v>0</v>
      </c>
      <c r="BD197" s="55">
        <f t="shared" si="173"/>
        <v>0</v>
      </c>
      <c r="BE197" s="55">
        <f t="shared" si="173"/>
        <v>0</v>
      </c>
      <c r="BF197" s="55">
        <f t="shared" si="173"/>
        <v>0</v>
      </c>
      <c r="BG197" s="55">
        <f t="shared" si="173"/>
        <v>0</v>
      </c>
      <c r="BH197" s="55">
        <f t="shared" si="173"/>
        <v>0</v>
      </c>
      <c r="BI197" s="55">
        <f t="shared" si="173"/>
        <v>0</v>
      </c>
      <c r="BJ197" s="55">
        <f t="shared" si="173"/>
        <v>0</v>
      </c>
    </row>
    <row r="198" spans="1:62" x14ac:dyDescent="0.3">
      <c r="A198" s="53" t="str">
        <f t="shared" si="169"/>
        <v>project 142</v>
      </c>
      <c r="C198" s="55">
        <f t="shared" ref="C198:AH198" si="174">IF(AND(C$127&gt;=$I90,C$127&lt;$I90+$F90),INDEX($T90:$AI90,C$127-$I90+1),0)</f>
        <v>0</v>
      </c>
      <c r="D198" s="55">
        <f t="shared" si="174"/>
        <v>0</v>
      </c>
      <c r="E198" s="55">
        <f t="shared" si="174"/>
        <v>0</v>
      </c>
      <c r="F198" s="55">
        <f t="shared" si="174"/>
        <v>0</v>
      </c>
      <c r="G198" s="55">
        <f t="shared" si="174"/>
        <v>0</v>
      </c>
      <c r="H198" s="55">
        <f t="shared" si="174"/>
        <v>0</v>
      </c>
      <c r="I198" s="55">
        <f t="shared" si="174"/>
        <v>0</v>
      </c>
      <c r="J198" s="55">
        <f t="shared" si="174"/>
        <v>0</v>
      </c>
      <c r="K198" s="55">
        <f t="shared" si="174"/>
        <v>0</v>
      </c>
      <c r="L198" s="55">
        <f t="shared" si="174"/>
        <v>0</v>
      </c>
      <c r="M198" s="55">
        <f t="shared" si="174"/>
        <v>0</v>
      </c>
      <c r="N198" s="55">
        <f t="shared" si="174"/>
        <v>0</v>
      </c>
      <c r="O198" s="55">
        <f t="shared" si="174"/>
        <v>0</v>
      </c>
      <c r="P198" s="55">
        <f t="shared" si="174"/>
        <v>0</v>
      </c>
      <c r="Q198" s="55">
        <f t="shared" si="174"/>
        <v>0</v>
      </c>
      <c r="R198" s="55">
        <f t="shared" si="174"/>
        <v>0</v>
      </c>
      <c r="S198" s="55">
        <f t="shared" si="174"/>
        <v>0</v>
      </c>
      <c r="T198" s="55">
        <f t="shared" si="174"/>
        <v>1.853</v>
      </c>
      <c r="U198" s="55">
        <f t="shared" si="174"/>
        <v>17.952941176470588</v>
      </c>
      <c r="V198" s="55">
        <f t="shared" si="174"/>
        <v>18.019992310649751</v>
      </c>
      <c r="W198" s="55">
        <f t="shared" si="174"/>
        <v>0</v>
      </c>
      <c r="X198" s="55">
        <f t="shared" si="174"/>
        <v>0</v>
      </c>
      <c r="Y198" s="55">
        <f t="shared" si="174"/>
        <v>0</v>
      </c>
      <c r="Z198" s="55">
        <f t="shared" si="174"/>
        <v>0</v>
      </c>
      <c r="AA198" s="55">
        <f t="shared" si="174"/>
        <v>0</v>
      </c>
      <c r="AB198" s="55">
        <f t="shared" si="174"/>
        <v>0</v>
      </c>
      <c r="AC198" s="55">
        <f t="shared" si="174"/>
        <v>0</v>
      </c>
      <c r="AD198" s="55">
        <f t="shared" si="174"/>
        <v>0</v>
      </c>
      <c r="AE198" s="55">
        <f t="shared" si="174"/>
        <v>0</v>
      </c>
      <c r="AF198" s="55">
        <f t="shared" si="174"/>
        <v>0</v>
      </c>
      <c r="AG198" s="55">
        <f t="shared" si="174"/>
        <v>0</v>
      </c>
      <c r="AH198" s="55">
        <f t="shared" si="174"/>
        <v>0</v>
      </c>
      <c r="AI198" s="55">
        <f t="shared" ref="AI198:BJ198" si="175">IF(AND(AI$127&gt;=$I90,AI$127&lt;$I90+$F90),INDEX($T90:$AI90,AI$127-$I90+1),0)</f>
        <v>0</v>
      </c>
      <c r="AJ198" s="55">
        <f t="shared" si="175"/>
        <v>0</v>
      </c>
      <c r="AK198" s="55">
        <f t="shared" si="175"/>
        <v>0</v>
      </c>
      <c r="AL198" s="55">
        <f t="shared" si="175"/>
        <v>0</v>
      </c>
      <c r="AM198" s="55">
        <f t="shared" si="175"/>
        <v>0</v>
      </c>
      <c r="AN198" s="55">
        <f t="shared" si="175"/>
        <v>0</v>
      </c>
      <c r="AO198" s="55">
        <f t="shared" si="175"/>
        <v>0</v>
      </c>
      <c r="AP198" s="55">
        <f t="shared" si="175"/>
        <v>0</v>
      </c>
      <c r="AQ198" s="55">
        <f t="shared" si="175"/>
        <v>0</v>
      </c>
      <c r="AR198" s="55">
        <f t="shared" si="175"/>
        <v>0</v>
      </c>
      <c r="AS198" s="55">
        <f t="shared" si="175"/>
        <v>0</v>
      </c>
      <c r="AT198" s="55">
        <f t="shared" si="175"/>
        <v>0</v>
      </c>
      <c r="AU198" s="55">
        <f t="shared" si="175"/>
        <v>0</v>
      </c>
      <c r="AV198" s="55">
        <f t="shared" si="175"/>
        <v>0</v>
      </c>
      <c r="AW198" s="55">
        <f t="shared" si="175"/>
        <v>0</v>
      </c>
      <c r="AX198" s="55">
        <f t="shared" si="175"/>
        <v>0</v>
      </c>
      <c r="AY198" s="55">
        <f t="shared" si="175"/>
        <v>0</v>
      </c>
      <c r="AZ198" s="55">
        <f t="shared" si="175"/>
        <v>0</v>
      </c>
      <c r="BA198" s="55">
        <f t="shared" si="175"/>
        <v>0</v>
      </c>
      <c r="BB198" s="55">
        <f t="shared" si="175"/>
        <v>0</v>
      </c>
      <c r="BC198" s="55">
        <f t="shared" si="175"/>
        <v>0</v>
      </c>
      <c r="BD198" s="55">
        <f t="shared" si="175"/>
        <v>0</v>
      </c>
      <c r="BE198" s="55">
        <f t="shared" si="175"/>
        <v>0</v>
      </c>
      <c r="BF198" s="55">
        <f t="shared" si="175"/>
        <v>0</v>
      </c>
      <c r="BG198" s="55">
        <f t="shared" si="175"/>
        <v>0</v>
      </c>
      <c r="BH198" s="55">
        <f t="shared" si="175"/>
        <v>0</v>
      </c>
      <c r="BI198" s="55">
        <f t="shared" si="175"/>
        <v>0</v>
      </c>
      <c r="BJ198" s="55">
        <f t="shared" si="175"/>
        <v>0</v>
      </c>
    </row>
    <row r="199" spans="1:62" x14ac:dyDescent="0.3">
      <c r="A199" s="53" t="str">
        <f t="shared" si="169"/>
        <v>project 144</v>
      </c>
      <c r="C199" s="55">
        <f t="shared" ref="C199:AH199" si="176">IF(AND(C$127&gt;=$I91,C$127&lt;$I91+$F91),INDEX($T91:$AI91,C$127-$I91+1),0)</f>
        <v>2.4167796344853612</v>
      </c>
      <c r="D199" s="55">
        <f t="shared" si="176"/>
        <v>0</v>
      </c>
      <c r="E199" s="55">
        <f t="shared" si="176"/>
        <v>0</v>
      </c>
      <c r="F199" s="55">
        <f t="shared" si="176"/>
        <v>0</v>
      </c>
      <c r="G199" s="55">
        <f t="shared" si="176"/>
        <v>25.118221624124981</v>
      </c>
      <c r="H199" s="55">
        <f t="shared" si="176"/>
        <v>0</v>
      </c>
      <c r="I199" s="55">
        <f t="shared" si="176"/>
        <v>0</v>
      </c>
      <c r="J199" s="55">
        <f t="shared" si="176"/>
        <v>0</v>
      </c>
      <c r="K199" s="55">
        <f t="shared" si="176"/>
        <v>0</v>
      </c>
      <c r="L199" s="55">
        <f t="shared" si="176"/>
        <v>0</v>
      </c>
      <c r="M199" s="55">
        <f t="shared" si="176"/>
        <v>0</v>
      </c>
      <c r="N199" s="55">
        <f t="shared" si="176"/>
        <v>0</v>
      </c>
      <c r="O199" s="55">
        <f t="shared" si="176"/>
        <v>0</v>
      </c>
      <c r="P199" s="55">
        <f t="shared" si="176"/>
        <v>0</v>
      </c>
      <c r="Q199" s="55">
        <f t="shared" si="176"/>
        <v>0</v>
      </c>
      <c r="R199" s="55">
        <f t="shared" si="176"/>
        <v>0</v>
      </c>
      <c r="S199" s="55">
        <f t="shared" si="176"/>
        <v>0</v>
      </c>
      <c r="T199" s="55">
        <f t="shared" si="176"/>
        <v>0</v>
      </c>
      <c r="U199" s="55">
        <f t="shared" si="176"/>
        <v>0</v>
      </c>
      <c r="V199" s="55">
        <f t="shared" si="176"/>
        <v>0</v>
      </c>
      <c r="W199" s="55">
        <f t="shared" si="176"/>
        <v>0</v>
      </c>
      <c r="X199" s="55">
        <f t="shared" si="176"/>
        <v>0</v>
      </c>
      <c r="Y199" s="55">
        <f t="shared" si="176"/>
        <v>0</v>
      </c>
      <c r="Z199" s="55">
        <f t="shared" si="176"/>
        <v>0</v>
      </c>
      <c r="AA199" s="55">
        <f t="shared" si="176"/>
        <v>0</v>
      </c>
      <c r="AB199" s="55">
        <f t="shared" si="176"/>
        <v>0</v>
      </c>
      <c r="AC199" s="55">
        <f t="shared" si="176"/>
        <v>0</v>
      </c>
      <c r="AD199" s="55">
        <f t="shared" si="176"/>
        <v>0</v>
      </c>
      <c r="AE199" s="55">
        <f t="shared" si="176"/>
        <v>0</v>
      </c>
      <c r="AF199" s="55">
        <f t="shared" si="176"/>
        <v>0</v>
      </c>
      <c r="AG199" s="55">
        <f t="shared" si="176"/>
        <v>0</v>
      </c>
      <c r="AH199" s="55">
        <f t="shared" si="176"/>
        <v>0</v>
      </c>
      <c r="AI199" s="55">
        <f t="shared" ref="AI199:BJ199" si="177">IF(AND(AI$127&gt;=$I91,AI$127&lt;$I91+$F91),INDEX($T91:$AI91,AI$127-$I91+1),0)</f>
        <v>0</v>
      </c>
      <c r="AJ199" s="55">
        <f t="shared" si="177"/>
        <v>0</v>
      </c>
      <c r="AK199" s="55">
        <f t="shared" si="177"/>
        <v>0</v>
      </c>
      <c r="AL199" s="55">
        <f t="shared" si="177"/>
        <v>0</v>
      </c>
      <c r="AM199" s="55">
        <f t="shared" si="177"/>
        <v>0</v>
      </c>
      <c r="AN199" s="55">
        <f t="shared" si="177"/>
        <v>0</v>
      </c>
      <c r="AO199" s="55">
        <f t="shared" si="177"/>
        <v>0</v>
      </c>
      <c r="AP199" s="55">
        <f t="shared" si="177"/>
        <v>0</v>
      </c>
      <c r="AQ199" s="55">
        <f t="shared" si="177"/>
        <v>0</v>
      </c>
      <c r="AR199" s="55">
        <f t="shared" si="177"/>
        <v>0</v>
      </c>
      <c r="AS199" s="55">
        <f t="shared" si="177"/>
        <v>0</v>
      </c>
      <c r="AT199" s="55">
        <f t="shared" si="177"/>
        <v>0</v>
      </c>
      <c r="AU199" s="55">
        <f t="shared" si="177"/>
        <v>0</v>
      </c>
      <c r="AV199" s="55">
        <f t="shared" si="177"/>
        <v>0</v>
      </c>
      <c r="AW199" s="55">
        <f t="shared" si="177"/>
        <v>0</v>
      </c>
      <c r="AX199" s="55">
        <f t="shared" si="177"/>
        <v>0</v>
      </c>
      <c r="AY199" s="55">
        <f t="shared" si="177"/>
        <v>0</v>
      </c>
      <c r="AZ199" s="55">
        <f t="shared" si="177"/>
        <v>0</v>
      </c>
      <c r="BA199" s="55">
        <f t="shared" si="177"/>
        <v>0</v>
      </c>
      <c r="BB199" s="55">
        <f t="shared" si="177"/>
        <v>0</v>
      </c>
      <c r="BC199" s="55">
        <f t="shared" si="177"/>
        <v>0</v>
      </c>
      <c r="BD199" s="55">
        <f t="shared" si="177"/>
        <v>0</v>
      </c>
      <c r="BE199" s="55">
        <f t="shared" si="177"/>
        <v>0</v>
      </c>
      <c r="BF199" s="55">
        <f t="shared" si="177"/>
        <v>0</v>
      </c>
      <c r="BG199" s="55">
        <f t="shared" si="177"/>
        <v>0</v>
      </c>
      <c r="BH199" s="55">
        <f t="shared" si="177"/>
        <v>0</v>
      </c>
      <c r="BI199" s="55">
        <f t="shared" si="177"/>
        <v>0</v>
      </c>
      <c r="BJ199" s="55">
        <f t="shared" si="177"/>
        <v>0</v>
      </c>
    </row>
    <row r="200" spans="1:62" x14ac:dyDescent="0.3">
      <c r="A200" s="53" t="str">
        <f t="shared" si="169"/>
        <v>project 145</v>
      </c>
      <c r="C200" s="55">
        <f t="shared" ref="C200:AH200" si="178">IF(AND(C$127&gt;=$I92,C$127&lt;$I92+$F92),INDEX($T92:$AI92,C$127-$I92+1),0)</f>
        <v>0</v>
      </c>
      <c r="D200" s="55">
        <f t="shared" si="178"/>
        <v>0</v>
      </c>
      <c r="E200" s="55">
        <f t="shared" si="178"/>
        <v>0</v>
      </c>
      <c r="F200" s="55">
        <f t="shared" si="178"/>
        <v>0</v>
      </c>
      <c r="G200" s="55">
        <f t="shared" si="178"/>
        <v>0</v>
      </c>
      <c r="H200" s="55">
        <f t="shared" si="178"/>
        <v>0</v>
      </c>
      <c r="I200" s="55">
        <f t="shared" si="178"/>
        <v>0</v>
      </c>
      <c r="J200" s="55">
        <f t="shared" si="178"/>
        <v>0</v>
      </c>
      <c r="K200" s="55">
        <f t="shared" si="178"/>
        <v>0</v>
      </c>
      <c r="L200" s="55">
        <f t="shared" si="178"/>
        <v>0</v>
      </c>
      <c r="M200" s="55">
        <f t="shared" si="178"/>
        <v>0</v>
      </c>
      <c r="N200" s="55">
        <f t="shared" si="178"/>
        <v>0</v>
      </c>
      <c r="O200" s="55">
        <f t="shared" si="178"/>
        <v>0</v>
      </c>
      <c r="P200" s="55">
        <f t="shared" si="178"/>
        <v>0</v>
      </c>
      <c r="Q200" s="55">
        <f t="shared" si="178"/>
        <v>0</v>
      </c>
      <c r="R200" s="55">
        <f t="shared" si="178"/>
        <v>2.4167796344853612</v>
      </c>
      <c r="S200" s="55">
        <f t="shared" si="178"/>
        <v>0</v>
      </c>
      <c r="T200" s="55">
        <f t="shared" si="178"/>
        <v>0</v>
      </c>
      <c r="U200" s="55">
        <f t="shared" si="178"/>
        <v>0</v>
      </c>
      <c r="V200" s="55">
        <f t="shared" si="178"/>
        <v>25.118221624124981</v>
      </c>
      <c r="W200" s="55">
        <f t="shared" si="178"/>
        <v>0</v>
      </c>
      <c r="X200" s="55">
        <f t="shared" si="178"/>
        <v>0</v>
      </c>
      <c r="Y200" s="55">
        <f t="shared" si="178"/>
        <v>0</v>
      </c>
      <c r="Z200" s="55">
        <f t="shared" si="178"/>
        <v>0</v>
      </c>
      <c r="AA200" s="55">
        <f t="shared" si="178"/>
        <v>0</v>
      </c>
      <c r="AB200" s="55">
        <f t="shared" si="178"/>
        <v>0</v>
      </c>
      <c r="AC200" s="55">
        <f t="shared" si="178"/>
        <v>0</v>
      </c>
      <c r="AD200" s="55">
        <f t="shared" si="178"/>
        <v>0</v>
      </c>
      <c r="AE200" s="55">
        <f t="shared" si="178"/>
        <v>0</v>
      </c>
      <c r="AF200" s="55">
        <f t="shared" si="178"/>
        <v>0</v>
      </c>
      <c r="AG200" s="55">
        <f t="shared" si="178"/>
        <v>0</v>
      </c>
      <c r="AH200" s="55">
        <f t="shared" si="178"/>
        <v>0</v>
      </c>
      <c r="AI200" s="55">
        <f t="shared" ref="AI200:BJ200" si="179">IF(AND(AI$127&gt;=$I92,AI$127&lt;$I92+$F92),INDEX($T92:$AI92,AI$127-$I92+1),0)</f>
        <v>0</v>
      </c>
      <c r="AJ200" s="55">
        <f t="shared" si="179"/>
        <v>0</v>
      </c>
      <c r="AK200" s="55">
        <f t="shared" si="179"/>
        <v>0</v>
      </c>
      <c r="AL200" s="55">
        <f t="shared" si="179"/>
        <v>0</v>
      </c>
      <c r="AM200" s="55">
        <f t="shared" si="179"/>
        <v>0</v>
      </c>
      <c r="AN200" s="55">
        <f t="shared" si="179"/>
        <v>0</v>
      </c>
      <c r="AO200" s="55">
        <f t="shared" si="179"/>
        <v>0</v>
      </c>
      <c r="AP200" s="55">
        <f t="shared" si="179"/>
        <v>0</v>
      </c>
      <c r="AQ200" s="55">
        <f t="shared" si="179"/>
        <v>0</v>
      </c>
      <c r="AR200" s="55">
        <f t="shared" si="179"/>
        <v>0</v>
      </c>
      <c r="AS200" s="55">
        <f t="shared" si="179"/>
        <v>0</v>
      </c>
      <c r="AT200" s="55">
        <f t="shared" si="179"/>
        <v>0</v>
      </c>
      <c r="AU200" s="55">
        <f t="shared" si="179"/>
        <v>0</v>
      </c>
      <c r="AV200" s="55">
        <f t="shared" si="179"/>
        <v>0</v>
      </c>
      <c r="AW200" s="55">
        <f t="shared" si="179"/>
        <v>0</v>
      </c>
      <c r="AX200" s="55">
        <f t="shared" si="179"/>
        <v>0</v>
      </c>
      <c r="AY200" s="55">
        <f t="shared" si="179"/>
        <v>0</v>
      </c>
      <c r="AZ200" s="55">
        <f t="shared" si="179"/>
        <v>0</v>
      </c>
      <c r="BA200" s="55">
        <f t="shared" si="179"/>
        <v>0</v>
      </c>
      <c r="BB200" s="55">
        <f t="shared" si="179"/>
        <v>0</v>
      </c>
      <c r="BC200" s="55">
        <f t="shared" si="179"/>
        <v>0</v>
      </c>
      <c r="BD200" s="55">
        <f t="shared" si="179"/>
        <v>0</v>
      </c>
      <c r="BE200" s="55">
        <f t="shared" si="179"/>
        <v>0</v>
      </c>
      <c r="BF200" s="55">
        <f t="shared" si="179"/>
        <v>0</v>
      </c>
      <c r="BG200" s="55">
        <f t="shared" si="179"/>
        <v>0</v>
      </c>
      <c r="BH200" s="55">
        <f t="shared" si="179"/>
        <v>0</v>
      </c>
      <c r="BI200" s="55">
        <f t="shared" si="179"/>
        <v>0</v>
      </c>
      <c r="BJ200" s="55">
        <f t="shared" si="179"/>
        <v>0</v>
      </c>
    </row>
    <row r="201" spans="1:62" x14ac:dyDescent="0.3">
      <c r="A201" s="53" t="str">
        <f t="shared" si="169"/>
        <v>project 146</v>
      </c>
      <c r="C201" s="55">
        <f t="shared" ref="C201:AH201" si="180">IF(AND(C$127&gt;=$I93,C$127&lt;$I93+$F93),INDEX($T93:$AI93,C$127-$I93+1),0)</f>
        <v>0</v>
      </c>
      <c r="D201" s="55">
        <f t="shared" si="180"/>
        <v>0</v>
      </c>
      <c r="E201" s="55">
        <f t="shared" si="180"/>
        <v>0</v>
      </c>
      <c r="F201" s="55">
        <f t="shared" si="180"/>
        <v>0</v>
      </c>
      <c r="G201" s="55">
        <f t="shared" si="180"/>
        <v>0</v>
      </c>
      <c r="H201" s="55">
        <f t="shared" si="180"/>
        <v>0</v>
      </c>
      <c r="I201" s="55">
        <f t="shared" si="180"/>
        <v>0</v>
      </c>
      <c r="J201" s="55">
        <f t="shared" si="180"/>
        <v>0</v>
      </c>
      <c r="K201" s="55">
        <f t="shared" si="180"/>
        <v>0</v>
      </c>
      <c r="L201" s="55">
        <f t="shared" si="180"/>
        <v>0</v>
      </c>
      <c r="M201" s="55">
        <f t="shared" si="180"/>
        <v>0</v>
      </c>
      <c r="N201" s="55">
        <f t="shared" si="180"/>
        <v>0</v>
      </c>
      <c r="O201" s="55">
        <f t="shared" si="180"/>
        <v>0</v>
      </c>
      <c r="P201" s="55">
        <f t="shared" si="180"/>
        <v>0</v>
      </c>
      <c r="Q201" s="55">
        <f t="shared" si="180"/>
        <v>0.54500000000000004</v>
      </c>
      <c r="R201" s="55">
        <f t="shared" si="180"/>
        <v>0.21372549019607839</v>
      </c>
      <c r="S201" s="55">
        <f t="shared" si="180"/>
        <v>2.9248366013071889</v>
      </c>
      <c r="T201" s="55">
        <f t="shared" si="180"/>
        <v>10.67368508341437</v>
      </c>
      <c r="U201" s="55">
        <f t="shared" si="180"/>
        <v>11.07690665805791</v>
      </c>
      <c r="V201" s="55">
        <f t="shared" si="180"/>
        <v>4.9362329135730416</v>
      </c>
      <c r="W201" s="55">
        <f t="shared" si="180"/>
        <v>0</v>
      </c>
      <c r="X201" s="55">
        <f t="shared" si="180"/>
        <v>0</v>
      </c>
      <c r="Y201" s="55">
        <f t="shared" si="180"/>
        <v>0</v>
      </c>
      <c r="Z201" s="55">
        <f t="shared" si="180"/>
        <v>0</v>
      </c>
      <c r="AA201" s="55">
        <f t="shared" si="180"/>
        <v>0</v>
      </c>
      <c r="AB201" s="55">
        <f t="shared" si="180"/>
        <v>0</v>
      </c>
      <c r="AC201" s="55">
        <f t="shared" si="180"/>
        <v>0</v>
      </c>
      <c r="AD201" s="55">
        <f t="shared" si="180"/>
        <v>0</v>
      </c>
      <c r="AE201" s="55">
        <f t="shared" si="180"/>
        <v>0</v>
      </c>
      <c r="AF201" s="55">
        <f t="shared" si="180"/>
        <v>0</v>
      </c>
      <c r="AG201" s="55">
        <f t="shared" si="180"/>
        <v>0</v>
      </c>
      <c r="AH201" s="55">
        <f t="shared" si="180"/>
        <v>0</v>
      </c>
      <c r="AI201" s="55">
        <f t="shared" ref="AI201:BJ201" si="181">IF(AND(AI$127&gt;=$I93,AI$127&lt;$I93+$F93),INDEX($T93:$AI93,AI$127-$I93+1),0)</f>
        <v>0</v>
      </c>
      <c r="AJ201" s="55">
        <f t="shared" si="181"/>
        <v>0</v>
      </c>
      <c r="AK201" s="55">
        <f t="shared" si="181"/>
        <v>0</v>
      </c>
      <c r="AL201" s="55">
        <f t="shared" si="181"/>
        <v>0</v>
      </c>
      <c r="AM201" s="55">
        <f t="shared" si="181"/>
        <v>0</v>
      </c>
      <c r="AN201" s="55">
        <f t="shared" si="181"/>
        <v>0</v>
      </c>
      <c r="AO201" s="55">
        <f t="shared" si="181"/>
        <v>0</v>
      </c>
      <c r="AP201" s="55">
        <f t="shared" si="181"/>
        <v>0</v>
      </c>
      <c r="AQ201" s="55">
        <f t="shared" si="181"/>
        <v>0</v>
      </c>
      <c r="AR201" s="55">
        <f t="shared" si="181"/>
        <v>0</v>
      </c>
      <c r="AS201" s="55">
        <f t="shared" si="181"/>
        <v>0</v>
      </c>
      <c r="AT201" s="55">
        <f t="shared" si="181"/>
        <v>0</v>
      </c>
      <c r="AU201" s="55">
        <f t="shared" si="181"/>
        <v>0</v>
      </c>
      <c r="AV201" s="55">
        <f t="shared" si="181"/>
        <v>0</v>
      </c>
      <c r="AW201" s="55">
        <f t="shared" si="181"/>
        <v>0</v>
      </c>
      <c r="AX201" s="55">
        <f t="shared" si="181"/>
        <v>0</v>
      </c>
      <c r="AY201" s="55">
        <f t="shared" si="181"/>
        <v>0</v>
      </c>
      <c r="AZ201" s="55">
        <f t="shared" si="181"/>
        <v>0</v>
      </c>
      <c r="BA201" s="55">
        <f t="shared" si="181"/>
        <v>0</v>
      </c>
      <c r="BB201" s="55">
        <f t="shared" si="181"/>
        <v>0</v>
      </c>
      <c r="BC201" s="55">
        <f t="shared" si="181"/>
        <v>0</v>
      </c>
      <c r="BD201" s="55">
        <f t="shared" si="181"/>
        <v>0</v>
      </c>
      <c r="BE201" s="55">
        <f t="shared" si="181"/>
        <v>0</v>
      </c>
      <c r="BF201" s="55">
        <f t="shared" si="181"/>
        <v>0</v>
      </c>
      <c r="BG201" s="55">
        <f t="shared" si="181"/>
        <v>0</v>
      </c>
      <c r="BH201" s="55">
        <f t="shared" si="181"/>
        <v>0</v>
      </c>
      <c r="BI201" s="55">
        <f t="shared" si="181"/>
        <v>0</v>
      </c>
      <c r="BJ201" s="55">
        <f t="shared" si="181"/>
        <v>0</v>
      </c>
    </row>
    <row r="202" spans="1:62" x14ac:dyDescent="0.3">
      <c r="A202" s="53" t="str">
        <f t="shared" si="169"/>
        <v>project 148</v>
      </c>
      <c r="C202" s="55">
        <f t="shared" ref="C202:AH202" si="182">IF(AND(C$127&gt;=$I94,C$127&lt;$I94+$F94),INDEX($T94:$AI94,C$127-$I94+1),0)</f>
        <v>9.8724658271460832</v>
      </c>
      <c r="D202" s="55">
        <f t="shared" si="182"/>
        <v>4.2622626344937213</v>
      </c>
      <c r="E202" s="55">
        <f t="shared" si="182"/>
        <v>4.2657448752081777</v>
      </c>
      <c r="F202" s="55">
        <f t="shared" si="182"/>
        <v>4.267451855950557</v>
      </c>
      <c r="G202" s="55">
        <f t="shared" si="182"/>
        <v>0</v>
      </c>
      <c r="H202" s="55">
        <f t="shared" si="182"/>
        <v>0</v>
      </c>
      <c r="I202" s="55">
        <f t="shared" si="182"/>
        <v>0</v>
      </c>
      <c r="J202" s="55">
        <f t="shared" si="182"/>
        <v>0</v>
      </c>
      <c r="K202" s="55">
        <f t="shared" si="182"/>
        <v>0</v>
      </c>
      <c r="L202" s="55">
        <f t="shared" si="182"/>
        <v>0</v>
      </c>
      <c r="M202" s="55">
        <f t="shared" si="182"/>
        <v>0</v>
      </c>
      <c r="N202" s="55">
        <f t="shared" si="182"/>
        <v>0</v>
      </c>
      <c r="O202" s="55">
        <f t="shared" si="182"/>
        <v>0</v>
      </c>
      <c r="P202" s="55">
        <f t="shared" si="182"/>
        <v>0</v>
      </c>
      <c r="Q202" s="55">
        <f t="shared" si="182"/>
        <v>0</v>
      </c>
      <c r="R202" s="55">
        <f t="shared" si="182"/>
        <v>0</v>
      </c>
      <c r="S202" s="55">
        <f t="shared" si="182"/>
        <v>0</v>
      </c>
      <c r="T202" s="55">
        <f t="shared" si="182"/>
        <v>0</v>
      </c>
      <c r="U202" s="55">
        <f t="shared" si="182"/>
        <v>0</v>
      </c>
      <c r="V202" s="55">
        <f t="shared" si="182"/>
        <v>0</v>
      </c>
      <c r="W202" s="55">
        <f t="shared" si="182"/>
        <v>0</v>
      </c>
      <c r="X202" s="55">
        <f t="shared" si="182"/>
        <v>0</v>
      </c>
      <c r="Y202" s="55">
        <f t="shared" si="182"/>
        <v>0</v>
      </c>
      <c r="Z202" s="55">
        <f t="shared" si="182"/>
        <v>0</v>
      </c>
      <c r="AA202" s="55">
        <f t="shared" si="182"/>
        <v>0</v>
      </c>
      <c r="AB202" s="55">
        <f t="shared" si="182"/>
        <v>0</v>
      </c>
      <c r="AC202" s="55">
        <f t="shared" si="182"/>
        <v>0</v>
      </c>
      <c r="AD202" s="55">
        <f t="shared" si="182"/>
        <v>0</v>
      </c>
      <c r="AE202" s="55">
        <f t="shared" si="182"/>
        <v>0</v>
      </c>
      <c r="AF202" s="55">
        <f t="shared" si="182"/>
        <v>0</v>
      </c>
      <c r="AG202" s="55">
        <f t="shared" si="182"/>
        <v>0</v>
      </c>
      <c r="AH202" s="55">
        <f t="shared" si="182"/>
        <v>0</v>
      </c>
      <c r="AI202" s="55">
        <f t="shared" ref="AI202:BJ202" si="183">IF(AND(AI$127&gt;=$I94,AI$127&lt;$I94+$F94),INDEX($T94:$AI94,AI$127-$I94+1),0)</f>
        <v>0</v>
      </c>
      <c r="AJ202" s="55">
        <f t="shared" si="183"/>
        <v>0</v>
      </c>
      <c r="AK202" s="55">
        <f t="shared" si="183"/>
        <v>0</v>
      </c>
      <c r="AL202" s="55">
        <f t="shared" si="183"/>
        <v>0</v>
      </c>
      <c r="AM202" s="55">
        <f t="shared" si="183"/>
        <v>0</v>
      </c>
      <c r="AN202" s="55">
        <f t="shared" si="183"/>
        <v>0</v>
      </c>
      <c r="AO202" s="55">
        <f t="shared" si="183"/>
        <v>0</v>
      </c>
      <c r="AP202" s="55">
        <f t="shared" si="183"/>
        <v>0</v>
      </c>
      <c r="AQ202" s="55">
        <f t="shared" si="183"/>
        <v>0</v>
      </c>
      <c r="AR202" s="55">
        <f t="shared" si="183"/>
        <v>0</v>
      </c>
      <c r="AS202" s="55">
        <f t="shared" si="183"/>
        <v>0</v>
      </c>
      <c r="AT202" s="55">
        <f t="shared" si="183"/>
        <v>0</v>
      </c>
      <c r="AU202" s="55">
        <f t="shared" si="183"/>
        <v>0</v>
      </c>
      <c r="AV202" s="55">
        <f t="shared" si="183"/>
        <v>0</v>
      </c>
      <c r="AW202" s="55">
        <f t="shared" si="183"/>
        <v>0</v>
      </c>
      <c r="AX202" s="55">
        <f t="shared" si="183"/>
        <v>0</v>
      </c>
      <c r="AY202" s="55">
        <f t="shared" si="183"/>
        <v>0</v>
      </c>
      <c r="AZ202" s="55">
        <f t="shared" si="183"/>
        <v>0</v>
      </c>
      <c r="BA202" s="55">
        <f t="shared" si="183"/>
        <v>0</v>
      </c>
      <c r="BB202" s="55">
        <f t="shared" si="183"/>
        <v>0</v>
      </c>
      <c r="BC202" s="55">
        <f t="shared" si="183"/>
        <v>0</v>
      </c>
      <c r="BD202" s="55">
        <f t="shared" si="183"/>
        <v>0</v>
      </c>
      <c r="BE202" s="55">
        <f t="shared" si="183"/>
        <v>0</v>
      </c>
      <c r="BF202" s="55">
        <f t="shared" si="183"/>
        <v>0</v>
      </c>
      <c r="BG202" s="55">
        <f t="shared" si="183"/>
        <v>0</v>
      </c>
      <c r="BH202" s="55">
        <f t="shared" si="183"/>
        <v>0</v>
      </c>
      <c r="BI202" s="55">
        <f t="shared" si="183"/>
        <v>0</v>
      </c>
      <c r="BJ202" s="55">
        <f t="shared" si="183"/>
        <v>0</v>
      </c>
    </row>
    <row r="203" spans="1:62" x14ac:dyDescent="0.3">
      <c r="A203" s="53" t="str">
        <f t="shared" si="169"/>
        <v>project 149</v>
      </c>
      <c r="C203" s="55">
        <f t="shared" ref="C203:AH203" si="184">IF(AND(C$127&gt;=$I95,C$127&lt;$I95+$F95),INDEX($T95:$AI95,C$127-$I95+1),0)</f>
        <v>0</v>
      </c>
      <c r="D203" s="55">
        <f t="shared" si="184"/>
        <v>0</v>
      </c>
      <c r="E203" s="55">
        <f t="shared" si="184"/>
        <v>0</v>
      </c>
      <c r="F203" s="55">
        <f t="shared" si="184"/>
        <v>0</v>
      </c>
      <c r="G203" s="55">
        <f t="shared" si="184"/>
        <v>0</v>
      </c>
      <c r="H203" s="55">
        <f t="shared" si="184"/>
        <v>0</v>
      </c>
      <c r="I203" s="55">
        <f t="shared" si="184"/>
        <v>0</v>
      </c>
      <c r="J203" s="55">
        <f t="shared" si="184"/>
        <v>0</v>
      </c>
      <c r="K203" s="55">
        <f t="shared" si="184"/>
        <v>0</v>
      </c>
      <c r="L203" s="55">
        <f t="shared" si="184"/>
        <v>0</v>
      </c>
      <c r="M203" s="55">
        <f t="shared" si="184"/>
        <v>0</v>
      </c>
      <c r="N203" s="55">
        <f t="shared" si="184"/>
        <v>0</v>
      </c>
      <c r="O203" s="55">
        <f t="shared" si="184"/>
        <v>0</v>
      </c>
      <c r="P203" s="55">
        <f t="shared" si="184"/>
        <v>0</v>
      </c>
      <c r="Q203" s="55">
        <f t="shared" si="184"/>
        <v>0</v>
      </c>
      <c r="R203" s="55">
        <f t="shared" si="184"/>
        <v>0</v>
      </c>
      <c r="S203" s="55">
        <f t="shared" si="184"/>
        <v>0</v>
      </c>
      <c r="T203" s="55">
        <f t="shared" si="184"/>
        <v>0.54500000000000004</v>
      </c>
      <c r="U203" s="55">
        <f t="shared" si="184"/>
        <v>10.686274509803919</v>
      </c>
      <c r="V203" s="55">
        <f t="shared" si="184"/>
        <v>10.476739715494039</v>
      </c>
      <c r="W203" s="55">
        <f t="shared" si="184"/>
        <v>0</v>
      </c>
      <c r="X203" s="55">
        <f t="shared" si="184"/>
        <v>0</v>
      </c>
      <c r="Y203" s="55">
        <f t="shared" si="184"/>
        <v>0</v>
      </c>
      <c r="Z203" s="55">
        <f t="shared" si="184"/>
        <v>0</v>
      </c>
      <c r="AA203" s="55">
        <f t="shared" si="184"/>
        <v>0</v>
      </c>
      <c r="AB203" s="55">
        <f t="shared" si="184"/>
        <v>0</v>
      </c>
      <c r="AC203" s="55">
        <f t="shared" si="184"/>
        <v>0</v>
      </c>
      <c r="AD203" s="55">
        <f t="shared" si="184"/>
        <v>0</v>
      </c>
      <c r="AE203" s="55">
        <f t="shared" si="184"/>
        <v>0</v>
      </c>
      <c r="AF203" s="55">
        <f t="shared" si="184"/>
        <v>0</v>
      </c>
      <c r="AG203" s="55">
        <f t="shared" si="184"/>
        <v>0</v>
      </c>
      <c r="AH203" s="55">
        <f t="shared" si="184"/>
        <v>0</v>
      </c>
      <c r="AI203" s="55">
        <f t="shared" ref="AI203:BJ203" si="185">IF(AND(AI$127&gt;=$I95,AI$127&lt;$I95+$F95),INDEX($T95:$AI95,AI$127-$I95+1),0)</f>
        <v>0</v>
      </c>
      <c r="AJ203" s="55">
        <f t="shared" si="185"/>
        <v>0</v>
      </c>
      <c r="AK203" s="55">
        <f t="shared" si="185"/>
        <v>0</v>
      </c>
      <c r="AL203" s="55">
        <f t="shared" si="185"/>
        <v>0</v>
      </c>
      <c r="AM203" s="55">
        <f t="shared" si="185"/>
        <v>0</v>
      </c>
      <c r="AN203" s="55">
        <f t="shared" si="185"/>
        <v>0</v>
      </c>
      <c r="AO203" s="55">
        <f t="shared" si="185"/>
        <v>0</v>
      </c>
      <c r="AP203" s="55">
        <f t="shared" si="185"/>
        <v>0</v>
      </c>
      <c r="AQ203" s="55">
        <f t="shared" si="185"/>
        <v>0</v>
      </c>
      <c r="AR203" s="55">
        <f t="shared" si="185"/>
        <v>0</v>
      </c>
      <c r="AS203" s="55">
        <f t="shared" si="185"/>
        <v>0</v>
      </c>
      <c r="AT203" s="55">
        <f t="shared" si="185"/>
        <v>0</v>
      </c>
      <c r="AU203" s="55">
        <f t="shared" si="185"/>
        <v>0</v>
      </c>
      <c r="AV203" s="55">
        <f t="shared" si="185"/>
        <v>0</v>
      </c>
      <c r="AW203" s="55">
        <f t="shared" si="185"/>
        <v>0</v>
      </c>
      <c r="AX203" s="55">
        <f t="shared" si="185"/>
        <v>0</v>
      </c>
      <c r="AY203" s="55">
        <f t="shared" si="185"/>
        <v>0</v>
      </c>
      <c r="AZ203" s="55">
        <f t="shared" si="185"/>
        <v>0</v>
      </c>
      <c r="BA203" s="55">
        <f t="shared" si="185"/>
        <v>0</v>
      </c>
      <c r="BB203" s="55">
        <f t="shared" si="185"/>
        <v>0</v>
      </c>
      <c r="BC203" s="55">
        <f t="shared" si="185"/>
        <v>0</v>
      </c>
      <c r="BD203" s="55">
        <f t="shared" si="185"/>
        <v>0</v>
      </c>
      <c r="BE203" s="55">
        <f t="shared" si="185"/>
        <v>0</v>
      </c>
      <c r="BF203" s="55">
        <f t="shared" si="185"/>
        <v>0</v>
      </c>
      <c r="BG203" s="55">
        <f t="shared" si="185"/>
        <v>0</v>
      </c>
      <c r="BH203" s="55">
        <f t="shared" si="185"/>
        <v>0</v>
      </c>
      <c r="BI203" s="55">
        <f t="shared" si="185"/>
        <v>0</v>
      </c>
      <c r="BJ203" s="55">
        <f t="shared" si="185"/>
        <v>0</v>
      </c>
    </row>
    <row r="204" spans="1:62" x14ac:dyDescent="0.3">
      <c r="A204" s="53" t="str">
        <f t="shared" si="169"/>
        <v>project 150</v>
      </c>
      <c r="C204" s="55">
        <f t="shared" ref="C204:AH204" si="186">IF(AND(C$127&gt;=$I96,C$127&lt;$I96+$F96),INDEX($T96:$AI96,C$127-$I96+1),0)</f>
        <v>0</v>
      </c>
      <c r="D204" s="55">
        <f t="shared" si="186"/>
        <v>0</v>
      </c>
      <c r="E204" s="55">
        <f t="shared" si="186"/>
        <v>0</v>
      </c>
      <c r="F204" s="55">
        <f t="shared" si="186"/>
        <v>0</v>
      </c>
      <c r="G204" s="55">
        <f t="shared" si="186"/>
        <v>0</v>
      </c>
      <c r="H204" s="55">
        <f t="shared" si="186"/>
        <v>0</v>
      </c>
      <c r="I204" s="55">
        <f t="shared" si="186"/>
        <v>0</v>
      </c>
      <c r="J204" s="55">
        <f t="shared" si="186"/>
        <v>0</v>
      </c>
      <c r="K204" s="55">
        <f t="shared" si="186"/>
        <v>0</v>
      </c>
      <c r="L204" s="55">
        <f t="shared" si="186"/>
        <v>0</v>
      </c>
      <c r="M204" s="55">
        <f t="shared" si="186"/>
        <v>0</v>
      </c>
      <c r="N204" s="55">
        <f t="shared" si="186"/>
        <v>0</v>
      </c>
      <c r="O204" s="55">
        <f t="shared" si="186"/>
        <v>0</v>
      </c>
      <c r="P204" s="55">
        <f t="shared" si="186"/>
        <v>0</v>
      </c>
      <c r="Q204" s="55">
        <f t="shared" si="186"/>
        <v>0</v>
      </c>
      <c r="R204" s="55">
        <f t="shared" si="186"/>
        <v>0</v>
      </c>
      <c r="S204" s="55">
        <f t="shared" si="186"/>
        <v>0</v>
      </c>
      <c r="T204" s="55">
        <f t="shared" si="186"/>
        <v>0</v>
      </c>
      <c r="U204" s="55">
        <f t="shared" si="186"/>
        <v>9.4891059468916605</v>
      </c>
      <c r="V204" s="55">
        <f t="shared" si="186"/>
        <v>9.3030450459722154</v>
      </c>
      <c r="W204" s="55">
        <f t="shared" si="186"/>
        <v>0</v>
      </c>
      <c r="X204" s="55">
        <f t="shared" si="186"/>
        <v>0</v>
      </c>
      <c r="Y204" s="55">
        <f t="shared" si="186"/>
        <v>0</v>
      </c>
      <c r="Z204" s="55">
        <f t="shared" si="186"/>
        <v>0</v>
      </c>
      <c r="AA204" s="55">
        <f t="shared" si="186"/>
        <v>0</v>
      </c>
      <c r="AB204" s="55">
        <f t="shared" si="186"/>
        <v>0</v>
      </c>
      <c r="AC204" s="55">
        <f t="shared" si="186"/>
        <v>0</v>
      </c>
      <c r="AD204" s="55">
        <f t="shared" si="186"/>
        <v>0</v>
      </c>
      <c r="AE204" s="55">
        <f t="shared" si="186"/>
        <v>0</v>
      </c>
      <c r="AF204" s="55">
        <f t="shared" si="186"/>
        <v>0</v>
      </c>
      <c r="AG204" s="55">
        <f t="shared" si="186"/>
        <v>0</v>
      </c>
      <c r="AH204" s="55">
        <f t="shared" si="186"/>
        <v>0</v>
      </c>
      <c r="AI204" s="55">
        <f t="shared" ref="AI204:BJ204" si="187">IF(AND(AI$127&gt;=$I96,AI$127&lt;$I96+$F96),INDEX($T96:$AI96,AI$127-$I96+1),0)</f>
        <v>0</v>
      </c>
      <c r="AJ204" s="55">
        <f t="shared" si="187"/>
        <v>0</v>
      </c>
      <c r="AK204" s="55">
        <f t="shared" si="187"/>
        <v>0</v>
      </c>
      <c r="AL204" s="55">
        <f t="shared" si="187"/>
        <v>0</v>
      </c>
      <c r="AM204" s="55">
        <f t="shared" si="187"/>
        <v>0</v>
      </c>
      <c r="AN204" s="55">
        <f t="shared" si="187"/>
        <v>0</v>
      </c>
      <c r="AO204" s="55">
        <f t="shared" si="187"/>
        <v>0</v>
      </c>
      <c r="AP204" s="55">
        <f t="shared" si="187"/>
        <v>0</v>
      </c>
      <c r="AQ204" s="55">
        <f t="shared" si="187"/>
        <v>0</v>
      </c>
      <c r="AR204" s="55">
        <f t="shared" si="187"/>
        <v>0</v>
      </c>
      <c r="AS204" s="55">
        <f t="shared" si="187"/>
        <v>0</v>
      </c>
      <c r="AT204" s="55">
        <f t="shared" si="187"/>
        <v>0</v>
      </c>
      <c r="AU204" s="55">
        <f t="shared" si="187"/>
        <v>0</v>
      </c>
      <c r="AV204" s="55">
        <f t="shared" si="187"/>
        <v>0</v>
      </c>
      <c r="AW204" s="55">
        <f t="shared" si="187"/>
        <v>0</v>
      </c>
      <c r="AX204" s="55">
        <f t="shared" si="187"/>
        <v>0</v>
      </c>
      <c r="AY204" s="55">
        <f t="shared" si="187"/>
        <v>0</v>
      </c>
      <c r="AZ204" s="55">
        <f t="shared" si="187"/>
        <v>0</v>
      </c>
      <c r="BA204" s="55">
        <f t="shared" si="187"/>
        <v>0</v>
      </c>
      <c r="BB204" s="55">
        <f t="shared" si="187"/>
        <v>0</v>
      </c>
      <c r="BC204" s="55">
        <f t="shared" si="187"/>
        <v>0</v>
      </c>
      <c r="BD204" s="55">
        <f t="shared" si="187"/>
        <v>0</v>
      </c>
      <c r="BE204" s="55">
        <f t="shared" si="187"/>
        <v>0</v>
      </c>
      <c r="BF204" s="55">
        <f t="shared" si="187"/>
        <v>0</v>
      </c>
      <c r="BG204" s="55">
        <f t="shared" si="187"/>
        <v>0</v>
      </c>
      <c r="BH204" s="55">
        <f t="shared" si="187"/>
        <v>0</v>
      </c>
      <c r="BI204" s="55">
        <f t="shared" si="187"/>
        <v>0</v>
      </c>
      <c r="BJ204" s="55">
        <f t="shared" si="187"/>
        <v>0</v>
      </c>
    </row>
    <row r="205" spans="1:62" x14ac:dyDescent="0.3">
      <c r="A205" s="53" t="str">
        <f t="shared" si="169"/>
        <v>project 153</v>
      </c>
      <c r="C205" s="55">
        <f t="shared" ref="C205:AH205" si="188">IF(AND(C$127&gt;=$I97,C$127&lt;$I97+$F97),INDEX($T97:$AI97,C$127-$I97+1),0)</f>
        <v>8.9667698397233107</v>
      </c>
      <c r="D205" s="55">
        <f t="shared" si="188"/>
        <v>4.0967537817125352</v>
      </c>
      <c r="E205" s="55">
        <f t="shared" si="188"/>
        <v>0</v>
      </c>
      <c r="F205" s="55">
        <f t="shared" si="188"/>
        <v>0</v>
      </c>
      <c r="G205" s="55">
        <f t="shared" si="188"/>
        <v>0</v>
      </c>
      <c r="H205" s="55">
        <f t="shared" si="188"/>
        <v>0</v>
      </c>
      <c r="I205" s="55">
        <f t="shared" si="188"/>
        <v>0</v>
      </c>
      <c r="J205" s="55">
        <f t="shared" si="188"/>
        <v>0</v>
      </c>
      <c r="K205" s="55">
        <f t="shared" si="188"/>
        <v>0</v>
      </c>
      <c r="L205" s="55">
        <f t="shared" si="188"/>
        <v>0</v>
      </c>
      <c r="M205" s="55">
        <f t="shared" si="188"/>
        <v>0</v>
      </c>
      <c r="N205" s="55">
        <f t="shared" si="188"/>
        <v>0</v>
      </c>
      <c r="O205" s="55">
        <f t="shared" si="188"/>
        <v>0</v>
      </c>
      <c r="P205" s="55">
        <f t="shared" si="188"/>
        <v>0</v>
      </c>
      <c r="Q205" s="55">
        <f t="shared" si="188"/>
        <v>0</v>
      </c>
      <c r="R205" s="55">
        <f t="shared" si="188"/>
        <v>0</v>
      </c>
      <c r="S205" s="55">
        <f t="shared" si="188"/>
        <v>0</v>
      </c>
      <c r="T205" s="55">
        <f t="shared" si="188"/>
        <v>0</v>
      </c>
      <c r="U205" s="55">
        <f t="shared" si="188"/>
        <v>0</v>
      </c>
      <c r="V205" s="55">
        <f t="shared" si="188"/>
        <v>0</v>
      </c>
      <c r="W205" s="55">
        <f t="shared" si="188"/>
        <v>0</v>
      </c>
      <c r="X205" s="55">
        <f t="shared" si="188"/>
        <v>0</v>
      </c>
      <c r="Y205" s="55">
        <f t="shared" si="188"/>
        <v>0</v>
      </c>
      <c r="Z205" s="55">
        <f t="shared" si="188"/>
        <v>0</v>
      </c>
      <c r="AA205" s="55">
        <f t="shared" si="188"/>
        <v>0</v>
      </c>
      <c r="AB205" s="55">
        <f t="shared" si="188"/>
        <v>0</v>
      </c>
      <c r="AC205" s="55">
        <f t="shared" si="188"/>
        <v>0</v>
      </c>
      <c r="AD205" s="55">
        <f t="shared" si="188"/>
        <v>0</v>
      </c>
      <c r="AE205" s="55">
        <f t="shared" si="188"/>
        <v>0</v>
      </c>
      <c r="AF205" s="55">
        <f t="shared" si="188"/>
        <v>0</v>
      </c>
      <c r="AG205" s="55">
        <f t="shared" si="188"/>
        <v>0</v>
      </c>
      <c r="AH205" s="55">
        <f t="shared" si="188"/>
        <v>0</v>
      </c>
      <c r="AI205" s="55">
        <f t="shared" ref="AI205:BJ205" si="189">IF(AND(AI$127&gt;=$I97,AI$127&lt;$I97+$F97),INDEX($T97:$AI97,AI$127-$I97+1),0)</f>
        <v>0</v>
      </c>
      <c r="AJ205" s="55">
        <f t="shared" si="189"/>
        <v>0</v>
      </c>
      <c r="AK205" s="55">
        <f t="shared" si="189"/>
        <v>0</v>
      </c>
      <c r="AL205" s="55">
        <f t="shared" si="189"/>
        <v>0</v>
      </c>
      <c r="AM205" s="55">
        <f t="shared" si="189"/>
        <v>0</v>
      </c>
      <c r="AN205" s="55">
        <f t="shared" si="189"/>
        <v>0</v>
      </c>
      <c r="AO205" s="55">
        <f t="shared" si="189"/>
        <v>0</v>
      </c>
      <c r="AP205" s="55">
        <f t="shared" si="189"/>
        <v>0</v>
      </c>
      <c r="AQ205" s="55">
        <f t="shared" si="189"/>
        <v>0</v>
      </c>
      <c r="AR205" s="55">
        <f t="shared" si="189"/>
        <v>0</v>
      </c>
      <c r="AS205" s="55">
        <f t="shared" si="189"/>
        <v>0</v>
      </c>
      <c r="AT205" s="55">
        <f t="shared" si="189"/>
        <v>0</v>
      </c>
      <c r="AU205" s="55">
        <f t="shared" si="189"/>
        <v>0</v>
      </c>
      <c r="AV205" s="55">
        <f t="shared" si="189"/>
        <v>0</v>
      </c>
      <c r="AW205" s="55">
        <f t="shared" si="189"/>
        <v>0</v>
      </c>
      <c r="AX205" s="55">
        <f t="shared" si="189"/>
        <v>0</v>
      </c>
      <c r="AY205" s="55">
        <f t="shared" si="189"/>
        <v>0</v>
      </c>
      <c r="AZ205" s="55">
        <f t="shared" si="189"/>
        <v>0</v>
      </c>
      <c r="BA205" s="55">
        <f t="shared" si="189"/>
        <v>0</v>
      </c>
      <c r="BB205" s="55">
        <f t="shared" si="189"/>
        <v>0</v>
      </c>
      <c r="BC205" s="55">
        <f t="shared" si="189"/>
        <v>0</v>
      </c>
      <c r="BD205" s="55">
        <f t="shared" si="189"/>
        <v>0</v>
      </c>
      <c r="BE205" s="55">
        <f t="shared" si="189"/>
        <v>0</v>
      </c>
      <c r="BF205" s="55">
        <f t="shared" si="189"/>
        <v>0</v>
      </c>
      <c r="BG205" s="55">
        <f t="shared" si="189"/>
        <v>0</v>
      </c>
      <c r="BH205" s="55">
        <f t="shared" si="189"/>
        <v>0</v>
      </c>
      <c r="BI205" s="55">
        <f t="shared" si="189"/>
        <v>0</v>
      </c>
      <c r="BJ205" s="55">
        <f t="shared" si="189"/>
        <v>0</v>
      </c>
    </row>
    <row r="206" spans="1:62" x14ac:dyDescent="0.3">
      <c r="A206" s="53" t="str">
        <f t="shared" si="169"/>
        <v>project 156</v>
      </c>
      <c r="C206" s="55">
        <f t="shared" ref="C206:AH206" si="190">IF(AND(C$127&gt;=$I98,C$127&lt;$I98+$F98),INDEX($T98:$AI98,C$127-$I98+1),0)</f>
        <v>0</v>
      </c>
      <c r="D206" s="55">
        <f t="shared" si="190"/>
        <v>0</v>
      </c>
      <c r="E206" s="55">
        <f t="shared" si="190"/>
        <v>0</v>
      </c>
      <c r="F206" s="55">
        <f t="shared" si="190"/>
        <v>0</v>
      </c>
      <c r="G206" s="55">
        <f t="shared" si="190"/>
        <v>0</v>
      </c>
      <c r="H206" s="55">
        <f t="shared" si="190"/>
        <v>0</v>
      </c>
      <c r="I206" s="55">
        <f t="shared" si="190"/>
        <v>0</v>
      </c>
      <c r="J206" s="55">
        <f t="shared" si="190"/>
        <v>0</v>
      </c>
      <c r="K206" s="55">
        <f t="shared" si="190"/>
        <v>0</v>
      </c>
      <c r="L206" s="55">
        <f t="shared" si="190"/>
        <v>0</v>
      </c>
      <c r="M206" s="55">
        <f t="shared" si="190"/>
        <v>0</v>
      </c>
      <c r="N206" s="55">
        <f t="shared" si="190"/>
        <v>0</v>
      </c>
      <c r="O206" s="55">
        <f t="shared" si="190"/>
        <v>0</v>
      </c>
      <c r="P206" s="55">
        <f t="shared" si="190"/>
        <v>0</v>
      </c>
      <c r="Q206" s="55">
        <f t="shared" si="190"/>
        <v>0</v>
      </c>
      <c r="R206" s="55">
        <f t="shared" si="190"/>
        <v>0</v>
      </c>
      <c r="S206" s="55">
        <f t="shared" si="190"/>
        <v>1.0686274509803919</v>
      </c>
      <c r="T206" s="55">
        <f t="shared" si="190"/>
        <v>0.94290657439446368</v>
      </c>
      <c r="U206" s="55">
        <f t="shared" si="190"/>
        <v>8.1605114171774051</v>
      </c>
      <c r="V206" s="55">
        <f t="shared" si="190"/>
        <v>6.0419490862134024</v>
      </c>
      <c r="W206" s="55">
        <f t="shared" si="190"/>
        <v>0</v>
      </c>
      <c r="X206" s="55">
        <f t="shared" si="190"/>
        <v>0</v>
      </c>
      <c r="Y206" s="55">
        <f t="shared" si="190"/>
        <v>0</v>
      </c>
      <c r="Z206" s="55">
        <f t="shared" si="190"/>
        <v>0</v>
      </c>
      <c r="AA206" s="55">
        <f t="shared" si="190"/>
        <v>0</v>
      </c>
      <c r="AB206" s="55">
        <f t="shared" si="190"/>
        <v>0</v>
      </c>
      <c r="AC206" s="55">
        <f t="shared" si="190"/>
        <v>0</v>
      </c>
      <c r="AD206" s="55">
        <f t="shared" si="190"/>
        <v>0</v>
      </c>
      <c r="AE206" s="55">
        <f t="shared" si="190"/>
        <v>0</v>
      </c>
      <c r="AF206" s="55">
        <f t="shared" si="190"/>
        <v>0</v>
      </c>
      <c r="AG206" s="55">
        <f t="shared" si="190"/>
        <v>0</v>
      </c>
      <c r="AH206" s="55">
        <f t="shared" si="190"/>
        <v>0</v>
      </c>
      <c r="AI206" s="55">
        <f t="shared" ref="AI206:BJ206" si="191">IF(AND(AI$127&gt;=$I98,AI$127&lt;$I98+$F98),INDEX($T98:$AI98,AI$127-$I98+1),0)</f>
        <v>0</v>
      </c>
      <c r="AJ206" s="55">
        <f t="shared" si="191"/>
        <v>0</v>
      </c>
      <c r="AK206" s="55">
        <f t="shared" si="191"/>
        <v>0</v>
      </c>
      <c r="AL206" s="55">
        <f t="shared" si="191"/>
        <v>0</v>
      </c>
      <c r="AM206" s="55">
        <f t="shared" si="191"/>
        <v>0</v>
      </c>
      <c r="AN206" s="55">
        <f t="shared" si="191"/>
        <v>0</v>
      </c>
      <c r="AO206" s="55">
        <f t="shared" si="191"/>
        <v>0</v>
      </c>
      <c r="AP206" s="55">
        <f t="shared" si="191"/>
        <v>0</v>
      </c>
      <c r="AQ206" s="55">
        <f t="shared" si="191"/>
        <v>0</v>
      </c>
      <c r="AR206" s="55">
        <f t="shared" si="191"/>
        <v>0</v>
      </c>
      <c r="AS206" s="55">
        <f t="shared" si="191"/>
        <v>0</v>
      </c>
      <c r="AT206" s="55">
        <f t="shared" si="191"/>
        <v>0</v>
      </c>
      <c r="AU206" s="55">
        <f t="shared" si="191"/>
        <v>0</v>
      </c>
      <c r="AV206" s="55">
        <f t="shared" si="191"/>
        <v>0</v>
      </c>
      <c r="AW206" s="55">
        <f t="shared" si="191"/>
        <v>0</v>
      </c>
      <c r="AX206" s="55">
        <f t="shared" si="191"/>
        <v>0</v>
      </c>
      <c r="AY206" s="55">
        <f t="shared" si="191"/>
        <v>0</v>
      </c>
      <c r="AZ206" s="55">
        <f t="shared" si="191"/>
        <v>0</v>
      </c>
      <c r="BA206" s="55">
        <f t="shared" si="191"/>
        <v>0</v>
      </c>
      <c r="BB206" s="55">
        <f t="shared" si="191"/>
        <v>0</v>
      </c>
      <c r="BC206" s="55">
        <f t="shared" si="191"/>
        <v>0</v>
      </c>
      <c r="BD206" s="55">
        <f t="shared" si="191"/>
        <v>0</v>
      </c>
      <c r="BE206" s="55">
        <f t="shared" si="191"/>
        <v>0</v>
      </c>
      <c r="BF206" s="55">
        <f t="shared" si="191"/>
        <v>0</v>
      </c>
      <c r="BG206" s="55">
        <f t="shared" si="191"/>
        <v>0</v>
      </c>
      <c r="BH206" s="55">
        <f t="shared" si="191"/>
        <v>0</v>
      </c>
      <c r="BI206" s="55">
        <f t="shared" si="191"/>
        <v>0</v>
      </c>
      <c r="BJ206" s="55">
        <f t="shared" si="191"/>
        <v>0</v>
      </c>
    </row>
    <row r="207" spans="1:62" x14ac:dyDescent="0.3">
      <c r="A207" s="53" t="str">
        <f t="shared" si="169"/>
        <v>project 157</v>
      </c>
      <c r="C207" s="55">
        <f t="shared" ref="C207:AH207" si="192">IF(AND(C$127&gt;=$I99,C$127&lt;$I99+$F99),INDEX($T99:$AI99,C$127-$I99+1),0)</f>
        <v>0</v>
      </c>
      <c r="D207" s="55">
        <f t="shared" si="192"/>
        <v>0</v>
      </c>
      <c r="E207" s="55">
        <f t="shared" si="192"/>
        <v>0</v>
      </c>
      <c r="F207" s="55">
        <f t="shared" si="192"/>
        <v>0</v>
      </c>
      <c r="G207" s="55">
        <f t="shared" si="192"/>
        <v>0</v>
      </c>
      <c r="H207" s="55">
        <f t="shared" si="192"/>
        <v>0</v>
      </c>
      <c r="I207" s="55">
        <f t="shared" si="192"/>
        <v>0</v>
      </c>
      <c r="J207" s="55">
        <f t="shared" si="192"/>
        <v>0</v>
      </c>
      <c r="K207" s="55">
        <f t="shared" si="192"/>
        <v>0</v>
      </c>
      <c r="L207" s="55">
        <f t="shared" si="192"/>
        <v>0</v>
      </c>
      <c r="M207" s="55">
        <f t="shared" si="192"/>
        <v>0</v>
      </c>
      <c r="N207" s="55">
        <f t="shared" si="192"/>
        <v>0</v>
      </c>
      <c r="O207" s="55">
        <f t="shared" si="192"/>
        <v>0</v>
      </c>
      <c r="P207" s="55">
        <f t="shared" si="192"/>
        <v>0</v>
      </c>
      <c r="Q207" s="55">
        <f t="shared" si="192"/>
        <v>0</v>
      </c>
      <c r="R207" s="55">
        <f t="shared" si="192"/>
        <v>0</v>
      </c>
      <c r="S207" s="55">
        <f t="shared" si="192"/>
        <v>0</v>
      </c>
      <c r="T207" s="55">
        <f t="shared" si="192"/>
        <v>1.95</v>
      </c>
      <c r="U207" s="55">
        <f t="shared" si="192"/>
        <v>5.9607843137254903</v>
      </c>
      <c r="V207" s="55">
        <f t="shared" si="192"/>
        <v>5.7622068435217226</v>
      </c>
      <c r="W207" s="55">
        <f t="shared" si="192"/>
        <v>0</v>
      </c>
      <c r="X207" s="55">
        <f t="shared" si="192"/>
        <v>0</v>
      </c>
      <c r="Y207" s="55">
        <f t="shared" si="192"/>
        <v>0</v>
      </c>
      <c r="Z207" s="55">
        <f t="shared" si="192"/>
        <v>0</v>
      </c>
      <c r="AA207" s="55">
        <f t="shared" si="192"/>
        <v>0</v>
      </c>
      <c r="AB207" s="55">
        <f t="shared" si="192"/>
        <v>0</v>
      </c>
      <c r="AC207" s="55">
        <f t="shared" si="192"/>
        <v>0</v>
      </c>
      <c r="AD207" s="55">
        <f t="shared" si="192"/>
        <v>0</v>
      </c>
      <c r="AE207" s="55">
        <f t="shared" si="192"/>
        <v>0</v>
      </c>
      <c r="AF207" s="55">
        <f t="shared" si="192"/>
        <v>0</v>
      </c>
      <c r="AG207" s="55">
        <f t="shared" si="192"/>
        <v>0</v>
      </c>
      <c r="AH207" s="55">
        <f t="shared" si="192"/>
        <v>0</v>
      </c>
      <c r="AI207" s="55">
        <f t="shared" ref="AI207:BJ207" si="193">IF(AND(AI$127&gt;=$I99,AI$127&lt;$I99+$F99),INDEX($T99:$AI99,AI$127-$I99+1),0)</f>
        <v>0</v>
      </c>
      <c r="AJ207" s="55">
        <f t="shared" si="193"/>
        <v>0</v>
      </c>
      <c r="AK207" s="55">
        <f t="shared" si="193"/>
        <v>0</v>
      </c>
      <c r="AL207" s="55">
        <f t="shared" si="193"/>
        <v>0</v>
      </c>
      <c r="AM207" s="55">
        <f t="shared" si="193"/>
        <v>0</v>
      </c>
      <c r="AN207" s="55">
        <f t="shared" si="193"/>
        <v>0</v>
      </c>
      <c r="AO207" s="55">
        <f t="shared" si="193"/>
        <v>0</v>
      </c>
      <c r="AP207" s="55">
        <f t="shared" si="193"/>
        <v>0</v>
      </c>
      <c r="AQ207" s="55">
        <f t="shared" si="193"/>
        <v>0</v>
      </c>
      <c r="AR207" s="55">
        <f t="shared" si="193"/>
        <v>0</v>
      </c>
      <c r="AS207" s="55">
        <f t="shared" si="193"/>
        <v>0</v>
      </c>
      <c r="AT207" s="55">
        <f t="shared" si="193"/>
        <v>0</v>
      </c>
      <c r="AU207" s="55">
        <f t="shared" si="193"/>
        <v>0</v>
      </c>
      <c r="AV207" s="55">
        <f t="shared" si="193"/>
        <v>0</v>
      </c>
      <c r="AW207" s="55">
        <f t="shared" si="193"/>
        <v>0</v>
      </c>
      <c r="AX207" s="55">
        <f t="shared" si="193"/>
        <v>0</v>
      </c>
      <c r="AY207" s="55">
        <f t="shared" si="193"/>
        <v>0</v>
      </c>
      <c r="AZ207" s="55">
        <f t="shared" si="193"/>
        <v>0</v>
      </c>
      <c r="BA207" s="55">
        <f t="shared" si="193"/>
        <v>0</v>
      </c>
      <c r="BB207" s="55">
        <f t="shared" si="193"/>
        <v>0</v>
      </c>
      <c r="BC207" s="55">
        <f t="shared" si="193"/>
        <v>0</v>
      </c>
      <c r="BD207" s="55">
        <f t="shared" si="193"/>
        <v>0</v>
      </c>
      <c r="BE207" s="55">
        <f t="shared" si="193"/>
        <v>0</v>
      </c>
      <c r="BF207" s="55">
        <f t="shared" si="193"/>
        <v>0</v>
      </c>
      <c r="BG207" s="55">
        <f t="shared" si="193"/>
        <v>0</v>
      </c>
      <c r="BH207" s="55">
        <f t="shared" si="193"/>
        <v>0</v>
      </c>
      <c r="BI207" s="55">
        <f t="shared" si="193"/>
        <v>0</v>
      </c>
      <c r="BJ207" s="55">
        <f t="shared" si="193"/>
        <v>0</v>
      </c>
    </row>
    <row r="208" spans="1:62" x14ac:dyDescent="0.3">
      <c r="A208" s="53" t="str">
        <f t="shared" si="169"/>
        <v>project 158</v>
      </c>
      <c r="C208" s="55">
        <f t="shared" ref="C208:AH208" si="194">IF(AND(C$127&gt;=$I100,C$127&lt;$I100+$F100),INDEX($T100:$AI100,C$127-$I100+1),0)</f>
        <v>1.95</v>
      </c>
      <c r="D208" s="55">
        <f t="shared" si="194"/>
        <v>5.9607843137254903</v>
      </c>
      <c r="E208" s="55">
        <f t="shared" si="194"/>
        <v>5.7622068435217226</v>
      </c>
      <c r="F208" s="55">
        <f t="shared" si="194"/>
        <v>0</v>
      </c>
      <c r="G208" s="55">
        <f t="shared" si="194"/>
        <v>0</v>
      </c>
      <c r="H208" s="55">
        <f t="shared" si="194"/>
        <v>0</v>
      </c>
      <c r="I208" s="55">
        <f t="shared" si="194"/>
        <v>0</v>
      </c>
      <c r="J208" s="55">
        <f t="shared" si="194"/>
        <v>0</v>
      </c>
      <c r="K208" s="55">
        <f t="shared" si="194"/>
        <v>0</v>
      </c>
      <c r="L208" s="55">
        <f t="shared" si="194"/>
        <v>0</v>
      </c>
      <c r="M208" s="55">
        <f t="shared" si="194"/>
        <v>0</v>
      </c>
      <c r="N208" s="55">
        <f t="shared" si="194"/>
        <v>0</v>
      </c>
      <c r="O208" s="55">
        <f t="shared" si="194"/>
        <v>0</v>
      </c>
      <c r="P208" s="55">
        <f t="shared" si="194"/>
        <v>0</v>
      </c>
      <c r="Q208" s="55">
        <f t="shared" si="194"/>
        <v>0</v>
      </c>
      <c r="R208" s="55">
        <f t="shared" si="194"/>
        <v>0</v>
      </c>
      <c r="S208" s="55">
        <f t="shared" si="194"/>
        <v>0</v>
      </c>
      <c r="T208" s="55">
        <f t="shared" si="194"/>
        <v>0</v>
      </c>
      <c r="U208" s="55">
        <f t="shared" si="194"/>
        <v>0</v>
      </c>
      <c r="V208" s="55">
        <f t="shared" si="194"/>
        <v>0</v>
      </c>
      <c r="W208" s="55">
        <f t="shared" si="194"/>
        <v>0</v>
      </c>
      <c r="X208" s="55">
        <f t="shared" si="194"/>
        <v>0</v>
      </c>
      <c r="Y208" s="55">
        <f t="shared" si="194"/>
        <v>0</v>
      </c>
      <c r="Z208" s="55">
        <f t="shared" si="194"/>
        <v>0</v>
      </c>
      <c r="AA208" s="55">
        <f t="shared" si="194"/>
        <v>0</v>
      </c>
      <c r="AB208" s="55">
        <f t="shared" si="194"/>
        <v>0</v>
      </c>
      <c r="AC208" s="55">
        <f t="shared" si="194"/>
        <v>0</v>
      </c>
      <c r="AD208" s="55">
        <f t="shared" si="194"/>
        <v>0</v>
      </c>
      <c r="AE208" s="55">
        <f t="shared" si="194"/>
        <v>0</v>
      </c>
      <c r="AF208" s="55">
        <f t="shared" si="194"/>
        <v>0</v>
      </c>
      <c r="AG208" s="55">
        <f t="shared" si="194"/>
        <v>0</v>
      </c>
      <c r="AH208" s="55">
        <f t="shared" si="194"/>
        <v>0</v>
      </c>
      <c r="AI208" s="55">
        <f t="shared" ref="AI208:BJ208" si="195">IF(AND(AI$127&gt;=$I100,AI$127&lt;$I100+$F100),INDEX($T100:$AI100,AI$127-$I100+1),0)</f>
        <v>0</v>
      </c>
      <c r="AJ208" s="55">
        <f t="shared" si="195"/>
        <v>0</v>
      </c>
      <c r="AK208" s="55">
        <f t="shared" si="195"/>
        <v>0</v>
      </c>
      <c r="AL208" s="55">
        <f t="shared" si="195"/>
        <v>0</v>
      </c>
      <c r="AM208" s="55">
        <f t="shared" si="195"/>
        <v>0</v>
      </c>
      <c r="AN208" s="55">
        <f t="shared" si="195"/>
        <v>0</v>
      </c>
      <c r="AO208" s="55">
        <f t="shared" si="195"/>
        <v>0</v>
      </c>
      <c r="AP208" s="55">
        <f t="shared" si="195"/>
        <v>0</v>
      </c>
      <c r="AQ208" s="55">
        <f t="shared" si="195"/>
        <v>0</v>
      </c>
      <c r="AR208" s="55">
        <f t="shared" si="195"/>
        <v>0</v>
      </c>
      <c r="AS208" s="55">
        <f t="shared" si="195"/>
        <v>0</v>
      </c>
      <c r="AT208" s="55">
        <f t="shared" si="195"/>
        <v>0</v>
      </c>
      <c r="AU208" s="55">
        <f t="shared" si="195"/>
        <v>0</v>
      </c>
      <c r="AV208" s="55">
        <f t="shared" si="195"/>
        <v>0</v>
      </c>
      <c r="AW208" s="55">
        <f t="shared" si="195"/>
        <v>0</v>
      </c>
      <c r="AX208" s="55">
        <f t="shared" si="195"/>
        <v>0</v>
      </c>
      <c r="AY208" s="55">
        <f t="shared" si="195"/>
        <v>0</v>
      </c>
      <c r="AZ208" s="55">
        <f t="shared" si="195"/>
        <v>0</v>
      </c>
      <c r="BA208" s="55">
        <f t="shared" si="195"/>
        <v>0</v>
      </c>
      <c r="BB208" s="55">
        <f t="shared" si="195"/>
        <v>0</v>
      </c>
      <c r="BC208" s="55">
        <f t="shared" si="195"/>
        <v>0</v>
      </c>
      <c r="BD208" s="55">
        <f t="shared" si="195"/>
        <v>0</v>
      </c>
      <c r="BE208" s="55">
        <f t="shared" si="195"/>
        <v>0</v>
      </c>
      <c r="BF208" s="55">
        <f t="shared" si="195"/>
        <v>0</v>
      </c>
      <c r="BG208" s="55">
        <f t="shared" si="195"/>
        <v>0</v>
      </c>
      <c r="BH208" s="55">
        <f t="shared" si="195"/>
        <v>0</v>
      </c>
      <c r="BI208" s="55">
        <f t="shared" si="195"/>
        <v>0</v>
      </c>
      <c r="BJ208" s="55">
        <f t="shared" si="195"/>
        <v>0</v>
      </c>
    </row>
    <row r="209" spans="1:62" x14ac:dyDescent="0.3">
      <c r="A209" s="53" t="str">
        <f t="shared" si="169"/>
        <v>project 161</v>
      </c>
      <c r="C209" s="55">
        <f t="shared" ref="C209:AH209" si="196">IF(AND(C$127&gt;=$I101,C$127&lt;$I101+$F101),INDEX($T101:$AI101,C$127-$I101+1),0)</f>
        <v>0</v>
      </c>
      <c r="D209" s="55">
        <f t="shared" si="196"/>
        <v>0</v>
      </c>
      <c r="E209" s="55">
        <f t="shared" si="196"/>
        <v>0</v>
      </c>
      <c r="F209" s="55">
        <f t="shared" si="196"/>
        <v>0</v>
      </c>
      <c r="G209" s="55">
        <f t="shared" si="196"/>
        <v>0</v>
      </c>
      <c r="H209" s="55">
        <f t="shared" si="196"/>
        <v>0</v>
      </c>
      <c r="I209" s="55">
        <f t="shared" si="196"/>
        <v>0</v>
      </c>
      <c r="J209" s="55">
        <f t="shared" si="196"/>
        <v>0</v>
      </c>
      <c r="K209" s="55">
        <f t="shared" si="196"/>
        <v>0</v>
      </c>
      <c r="L209" s="55">
        <f t="shared" si="196"/>
        <v>0</v>
      </c>
      <c r="M209" s="55">
        <f t="shared" si="196"/>
        <v>0</v>
      </c>
      <c r="N209" s="55">
        <f t="shared" si="196"/>
        <v>0</v>
      </c>
      <c r="O209" s="55">
        <f t="shared" si="196"/>
        <v>0</v>
      </c>
      <c r="P209" s="55">
        <f t="shared" si="196"/>
        <v>0</v>
      </c>
      <c r="Q209" s="55">
        <f t="shared" si="196"/>
        <v>0</v>
      </c>
      <c r="R209" s="55">
        <f t="shared" si="196"/>
        <v>0</v>
      </c>
      <c r="S209" s="55">
        <f t="shared" si="196"/>
        <v>0</v>
      </c>
      <c r="T209" s="55">
        <f t="shared" si="196"/>
        <v>0</v>
      </c>
      <c r="U209" s="55">
        <f t="shared" si="196"/>
        <v>0</v>
      </c>
      <c r="V209" s="55">
        <f t="shared" si="196"/>
        <v>11.881</v>
      </c>
      <c r="W209" s="55">
        <f t="shared" si="196"/>
        <v>0</v>
      </c>
      <c r="X209" s="55">
        <f t="shared" si="196"/>
        <v>0</v>
      </c>
      <c r="Y209" s="55">
        <f t="shared" si="196"/>
        <v>0</v>
      </c>
      <c r="Z209" s="55">
        <f t="shared" si="196"/>
        <v>0</v>
      </c>
      <c r="AA209" s="55">
        <f t="shared" si="196"/>
        <v>0</v>
      </c>
      <c r="AB209" s="55">
        <f t="shared" si="196"/>
        <v>0</v>
      </c>
      <c r="AC209" s="55">
        <f t="shared" si="196"/>
        <v>0</v>
      </c>
      <c r="AD209" s="55">
        <f t="shared" si="196"/>
        <v>0</v>
      </c>
      <c r="AE209" s="55">
        <f t="shared" si="196"/>
        <v>0</v>
      </c>
      <c r="AF209" s="55">
        <f t="shared" si="196"/>
        <v>0</v>
      </c>
      <c r="AG209" s="55">
        <f t="shared" si="196"/>
        <v>0</v>
      </c>
      <c r="AH209" s="55">
        <f t="shared" si="196"/>
        <v>0</v>
      </c>
      <c r="AI209" s="55">
        <f t="shared" ref="AI209:BJ209" si="197">IF(AND(AI$127&gt;=$I101,AI$127&lt;$I101+$F101),INDEX($T101:$AI101,AI$127-$I101+1),0)</f>
        <v>0</v>
      </c>
      <c r="AJ209" s="55">
        <f t="shared" si="197"/>
        <v>0</v>
      </c>
      <c r="AK209" s="55">
        <f t="shared" si="197"/>
        <v>0</v>
      </c>
      <c r="AL209" s="55">
        <f t="shared" si="197"/>
        <v>0</v>
      </c>
      <c r="AM209" s="55">
        <f t="shared" si="197"/>
        <v>0</v>
      </c>
      <c r="AN209" s="55">
        <f t="shared" si="197"/>
        <v>0</v>
      </c>
      <c r="AO209" s="55">
        <f t="shared" si="197"/>
        <v>0</v>
      </c>
      <c r="AP209" s="55">
        <f t="shared" si="197"/>
        <v>0</v>
      </c>
      <c r="AQ209" s="55">
        <f t="shared" si="197"/>
        <v>0</v>
      </c>
      <c r="AR209" s="55">
        <f t="shared" si="197"/>
        <v>0</v>
      </c>
      <c r="AS209" s="55">
        <f t="shared" si="197"/>
        <v>0</v>
      </c>
      <c r="AT209" s="55">
        <f t="shared" si="197"/>
        <v>0</v>
      </c>
      <c r="AU209" s="55">
        <f t="shared" si="197"/>
        <v>0</v>
      </c>
      <c r="AV209" s="55">
        <f t="shared" si="197"/>
        <v>0</v>
      </c>
      <c r="AW209" s="55">
        <f t="shared" si="197"/>
        <v>0</v>
      </c>
      <c r="AX209" s="55">
        <f t="shared" si="197"/>
        <v>0</v>
      </c>
      <c r="AY209" s="55">
        <f t="shared" si="197"/>
        <v>0</v>
      </c>
      <c r="AZ209" s="55">
        <f t="shared" si="197"/>
        <v>0</v>
      </c>
      <c r="BA209" s="55">
        <f t="shared" si="197"/>
        <v>0</v>
      </c>
      <c r="BB209" s="55">
        <f t="shared" si="197"/>
        <v>0</v>
      </c>
      <c r="BC209" s="55">
        <f t="shared" si="197"/>
        <v>0</v>
      </c>
      <c r="BD209" s="55">
        <f t="shared" si="197"/>
        <v>0</v>
      </c>
      <c r="BE209" s="55">
        <f t="shared" si="197"/>
        <v>0</v>
      </c>
      <c r="BF209" s="55">
        <f t="shared" si="197"/>
        <v>0</v>
      </c>
      <c r="BG209" s="55">
        <f t="shared" si="197"/>
        <v>0</v>
      </c>
      <c r="BH209" s="55">
        <f t="shared" si="197"/>
        <v>0</v>
      </c>
      <c r="BI209" s="55">
        <f t="shared" si="197"/>
        <v>0</v>
      </c>
      <c r="BJ209" s="55">
        <f t="shared" si="197"/>
        <v>0</v>
      </c>
    </row>
    <row r="210" spans="1:62" x14ac:dyDescent="0.3">
      <c r="A210" s="53" t="str">
        <f t="shared" si="169"/>
        <v>project 162</v>
      </c>
      <c r="C210" s="55">
        <f t="shared" ref="C210:AH210" si="198">IF(AND(C$127&gt;=$I102,C$127&lt;$I102+$F102),INDEX($T102:$AI102,C$127-$I102+1),0)</f>
        <v>0</v>
      </c>
      <c r="D210" s="55">
        <f t="shared" si="198"/>
        <v>0</v>
      </c>
      <c r="E210" s="55">
        <f t="shared" si="198"/>
        <v>0</v>
      </c>
      <c r="F210" s="55">
        <f t="shared" si="198"/>
        <v>0</v>
      </c>
      <c r="G210" s="55">
        <f t="shared" si="198"/>
        <v>0</v>
      </c>
      <c r="H210" s="55">
        <f t="shared" si="198"/>
        <v>0</v>
      </c>
      <c r="I210" s="55">
        <f t="shared" si="198"/>
        <v>0</v>
      </c>
      <c r="J210" s="55">
        <f t="shared" si="198"/>
        <v>0</v>
      </c>
      <c r="K210" s="55">
        <f t="shared" si="198"/>
        <v>0</v>
      </c>
      <c r="L210" s="55">
        <f t="shared" si="198"/>
        <v>0</v>
      </c>
      <c r="M210" s="55">
        <f t="shared" si="198"/>
        <v>0</v>
      </c>
      <c r="N210" s="55">
        <f t="shared" si="198"/>
        <v>0</v>
      </c>
      <c r="O210" s="55">
        <f t="shared" si="198"/>
        <v>0</v>
      </c>
      <c r="P210" s="55">
        <f t="shared" si="198"/>
        <v>0</v>
      </c>
      <c r="Q210" s="55">
        <f t="shared" si="198"/>
        <v>0</v>
      </c>
      <c r="R210" s="55">
        <f t="shared" si="198"/>
        <v>0</v>
      </c>
      <c r="S210" s="55">
        <f t="shared" si="198"/>
        <v>0</v>
      </c>
      <c r="T210" s="55">
        <f t="shared" si="198"/>
        <v>0.218</v>
      </c>
      <c r="U210" s="55">
        <f t="shared" si="198"/>
        <v>10.686274509803919</v>
      </c>
      <c r="V210" s="55">
        <f t="shared" si="198"/>
        <v>0.1571510957324106</v>
      </c>
      <c r="W210" s="55">
        <f t="shared" si="198"/>
        <v>0</v>
      </c>
      <c r="X210" s="55">
        <f t="shared" si="198"/>
        <v>0</v>
      </c>
      <c r="Y210" s="55">
        <f t="shared" si="198"/>
        <v>0</v>
      </c>
      <c r="Z210" s="55">
        <f t="shared" si="198"/>
        <v>0</v>
      </c>
      <c r="AA210" s="55">
        <f t="shared" si="198"/>
        <v>0</v>
      </c>
      <c r="AB210" s="55">
        <f t="shared" si="198"/>
        <v>0</v>
      </c>
      <c r="AC210" s="55">
        <f t="shared" si="198"/>
        <v>0</v>
      </c>
      <c r="AD210" s="55">
        <f t="shared" si="198"/>
        <v>0</v>
      </c>
      <c r="AE210" s="55">
        <f t="shared" si="198"/>
        <v>0</v>
      </c>
      <c r="AF210" s="55">
        <f t="shared" si="198"/>
        <v>0</v>
      </c>
      <c r="AG210" s="55">
        <f t="shared" si="198"/>
        <v>0</v>
      </c>
      <c r="AH210" s="55">
        <f t="shared" si="198"/>
        <v>0</v>
      </c>
      <c r="AI210" s="55">
        <f t="shared" ref="AI210:BJ210" si="199">IF(AND(AI$127&gt;=$I102,AI$127&lt;$I102+$F102),INDEX($T102:$AI102,AI$127-$I102+1),0)</f>
        <v>0</v>
      </c>
      <c r="AJ210" s="55">
        <f t="shared" si="199"/>
        <v>0</v>
      </c>
      <c r="AK210" s="55">
        <f t="shared" si="199"/>
        <v>0</v>
      </c>
      <c r="AL210" s="55">
        <f t="shared" si="199"/>
        <v>0</v>
      </c>
      <c r="AM210" s="55">
        <f t="shared" si="199"/>
        <v>0</v>
      </c>
      <c r="AN210" s="55">
        <f t="shared" si="199"/>
        <v>0</v>
      </c>
      <c r="AO210" s="55">
        <f t="shared" si="199"/>
        <v>0</v>
      </c>
      <c r="AP210" s="55">
        <f t="shared" si="199"/>
        <v>0</v>
      </c>
      <c r="AQ210" s="55">
        <f t="shared" si="199"/>
        <v>0</v>
      </c>
      <c r="AR210" s="55">
        <f t="shared" si="199"/>
        <v>0</v>
      </c>
      <c r="AS210" s="55">
        <f t="shared" si="199"/>
        <v>0</v>
      </c>
      <c r="AT210" s="55">
        <f t="shared" si="199"/>
        <v>0</v>
      </c>
      <c r="AU210" s="55">
        <f t="shared" si="199"/>
        <v>0</v>
      </c>
      <c r="AV210" s="55">
        <f t="shared" si="199"/>
        <v>0</v>
      </c>
      <c r="AW210" s="55">
        <f t="shared" si="199"/>
        <v>0</v>
      </c>
      <c r="AX210" s="55">
        <f t="shared" si="199"/>
        <v>0</v>
      </c>
      <c r="AY210" s="55">
        <f t="shared" si="199"/>
        <v>0</v>
      </c>
      <c r="AZ210" s="55">
        <f t="shared" si="199"/>
        <v>0</v>
      </c>
      <c r="BA210" s="55">
        <f t="shared" si="199"/>
        <v>0</v>
      </c>
      <c r="BB210" s="55">
        <f t="shared" si="199"/>
        <v>0</v>
      </c>
      <c r="BC210" s="55">
        <f t="shared" si="199"/>
        <v>0</v>
      </c>
      <c r="BD210" s="55">
        <f t="shared" si="199"/>
        <v>0</v>
      </c>
      <c r="BE210" s="55">
        <f t="shared" si="199"/>
        <v>0</v>
      </c>
      <c r="BF210" s="55">
        <f t="shared" si="199"/>
        <v>0</v>
      </c>
      <c r="BG210" s="55">
        <f t="shared" si="199"/>
        <v>0</v>
      </c>
      <c r="BH210" s="55">
        <f t="shared" si="199"/>
        <v>0</v>
      </c>
      <c r="BI210" s="55">
        <f t="shared" si="199"/>
        <v>0</v>
      </c>
      <c r="BJ210" s="55">
        <f t="shared" si="199"/>
        <v>0</v>
      </c>
    </row>
    <row r="211" spans="1:62" x14ac:dyDescent="0.3">
      <c r="A211" s="53" t="str">
        <f t="shared" si="169"/>
        <v>project 166</v>
      </c>
      <c r="C211" s="55">
        <f t="shared" ref="C211:AH211" si="200">IF(AND(C$127&gt;=$I103,C$127&lt;$I103+$F103),INDEX($T103:$AI103,C$127-$I103+1),0)</f>
        <v>0.32058823529411767</v>
      </c>
      <c r="D211" s="55">
        <f t="shared" si="200"/>
        <v>0</v>
      </c>
      <c r="E211" s="55">
        <f t="shared" si="200"/>
        <v>0.1127017512118265</v>
      </c>
      <c r="F211" s="55">
        <f t="shared" si="200"/>
        <v>9.2643219321938854</v>
      </c>
      <c r="G211" s="55">
        <f t="shared" si="200"/>
        <v>0</v>
      </c>
      <c r="H211" s="55">
        <f t="shared" si="200"/>
        <v>0</v>
      </c>
      <c r="I211" s="55">
        <f t="shared" si="200"/>
        <v>0</v>
      </c>
      <c r="J211" s="55">
        <f t="shared" si="200"/>
        <v>0</v>
      </c>
      <c r="K211" s="55">
        <f t="shared" si="200"/>
        <v>0</v>
      </c>
      <c r="L211" s="55">
        <f t="shared" si="200"/>
        <v>0</v>
      </c>
      <c r="M211" s="55">
        <f t="shared" si="200"/>
        <v>0</v>
      </c>
      <c r="N211" s="55">
        <f t="shared" si="200"/>
        <v>0</v>
      </c>
      <c r="O211" s="55">
        <f t="shared" si="200"/>
        <v>0</v>
      </c>
      <c r="P211" s="55">
        <f t="shared" si="200"/>
        <v>0</v>
      </c>
      <c r="Q211" s="55">
        <f t="shared" si="200"/>
        <v>0</v>
      </c>
      <c r="R211" s="55">
        <f t="shared" si="200"/>
        <v>0</v>
      </c>
      <c r="S211" s="55">
        <f t="shared" si="200"/>
        <v>0</v>
      </c>
      <c r="T211" s="55">
        <f t="shared" si="200"/>
        <v>0</v>
      </c>
      <c r="U211" s="55">
        <f t="shared" si="200"/>
        <v>0</v>
      </c>
      <c r="V211" s="55">
        <f t="shared" si="200"/>
        <v>0</v>
      </c>
      <c r="W211" s="55">
        <f t="shared" si="200"/>
        <v>0</v>
      </c>
      <c r="X211" s="55">
        <f t="shared" si="200"/>
        <v>0</v>
      </c>
      <c r="Y211" s="55">
        <f t="shared" si="200"/>
        <v>0</v>
      </c>
      <c r="Z211" s="55">
        <f t="shared" si="200"/>
        <v>0</v>
      </c>
      <c r="AA211" s="55">
        <f t="shared" si="200"/>
        <v>0</v>
      </c>
      <c r="AB211" s="55">
        <f t="shared" si="200"/>
        <v>0</v>
      </c>
      <c r="AC211" s="55">
        <f t="shared" si="200"/>
        <v>0</v>
      </c>
      <c r="AD211" s="55">
        <f t="shared" si="200"/>
        <v>0</v>
      </c>
      <c r="AE211" s="55">
        <f t="shared" si="200"/>
        <v>0</v>
      </c>
      <c r="AF211" s="55">
        <f t="shared" si="200"/>
        <v>0</v>
      </c>
      <c r="AG211" s="55">
        <f t="shared" si="200"/>
        <v>0</v>
      </c>
      <c r="AH211" s="55">
        <f t="shared" si="200"/>
        <v>0</v>
      </c>
      <c r="AI211" s="55">
        <f t="shared" ref="AI211:BJ211" si="201">IF(AND(AI$127&gt;=$I103,AI$127&lt;$I103+$F103),INDEX($T103:$AI103,AI$127-$I103+1),0)</f>
        <v>0</v>
      </c>
      <c r="AJ211" s="55">
        <f t="shared" si="201"/>
        <v>0</v>
      </c>
      <c r="AK211" s="55">
        <f t="shared" si="201"/>
        <v>0</v>
      </c>
      <c r="AL211" s="55">
        <f t="shared" si="201"/>
        <v>0</v>
      </c>
      <c r="AM211" s="55">
        <f t="shared" si="201"/>
        <v>0</v>
      </c>
      <c r="AN211" s="55">
        <f t="shared" si="201"/>
        <v>0</v>
      </c>
      <c r="AO211" s="55">
        <f t="shared" si="201"/>
        <v>0</v>
      </c>
      <c r="AP211" s="55">
        <f t="shared" si="201"/>
        <v>0</v>
      </c>
      <c r="AQ211" s="55">
        <f t="shared" si="201"/>
        <v>0</v>
      </c>
      <c r="AR211" s="55">
        <f t="shared" si="201"/>
        <v>0</v>
      </c>
      <c r="AS211" s="55">
        <f t="shared" si="201"/>
        <v>0</v>
      </c>
      <c r="AT211" s="55">
        <f t="shared" si="201"/>
        <v>0</v>
      </c>
      <c r="AU211" s="55">
        <f t="shared" si="201"/>
        <v>0</v>
      </c>
      <c r="AV211" s="55">
        <f t="shared" si="201"/>
        <v>0</v>
      </c>
      <c r="AW211" s="55">
        <f t="shared" si="201"/>
        <v>0</v>
      </c>
      <c r="AX211" s="55">
        <f t="shared" si="201"/>
        <v>0</v>
      </c>
      <c r="AY211" s="55">
        <f t="shared" si="201"/>
        <v>0</v>
      </c>
      <c r="AZ211" s="55">
        <f t="shared" si="201"/>
        <v>0</v>
      </c>
      <c r="BA211" s="55">
        <f t="shared" si="201"/>
        <v>0</v>
      </c>
      <c r="BB211" s="55">
        <f t="shared" si="201"/>
        <v>0</v>
      </c>
      <c r="BC211" s="55">
        <f t="shared" si="201"/>
        <v>0</v>
      </c>
      <c r="BD211" s="55">
        <f t="shared" si="201"/>
        <v>0</v>
      </c>
      <c r="BE211" s="55">
        <f t="shared" si="201"/>
        <v>0</v>
      </c>
      <c r="BF211" s="55">
        <f t="shared" si="201"/>
        <v>0</v>
      </c>
      <c r="BG211" s="55">
        <f t="shared" si="201"/>
        <v>0</v>
      </c>
      <c r="BH211" s="55">
        <f t="shared" si="201"/>
        <v>0</v>
      </c>
      <c r="BI211" s="55">
        <f t="shared" si="201"/>
        <v>0</v>
      </c>
      <c r="BJ211" s="55">
        <f t="shared" si="201"/>
        <v>0</v>
      </c>
    </row>
    <row r="212" spans="1:62" x14ac:dyDescent="0.3">
      <c r="A212" s="53" t="str">
        <f t="shared" si="169"/>
        <v>project 167</v>
      </c>
      <c r="C212" s="55">
        <f t="shared" ref="C212:AH212" si="202">IF(AND(C$127&gt;=$I104,C$127&lt;$I104+$F104),INDEX($T104:$AI104,C$127-$I104+1),0)</f>
        <v>0</v>
      </c>
      <c r="D212" s="55">
        <f t="shared" si="202"/>
        <v>0</v>
      </c>
      <c r="E212" s="55">
        <f t="shared" si="202"/>
        <v>0</v>
      </c>
      <c r="F212" s="55">
        <f t="shared" si="202"/>
        <v>0</v>
      </c>
      <c r="G212" s="55">
        <f t="shared" si="202"/>
        <v>0</v>
      </c>
      <c r="H212" s="55">
        <f t="shared" si="202"/>
        <v>0.64117647058823535</v>
      </c>
      <c r="I212" s="55">
        <f t="shared" si="202"/>
        <v>2.2904652056901189</v>
      </c>
      <c r="J212" s="55">
        <f t="shared" si="202"/>
        <v>7.175784577575743</v>
      </c>
      <c r="K212" s="55">
        <f t="shared" si="202"/>
        <v>2.3022228016580728</v>
      </c>
      <c r="L212" s="55">
        <f t="shared" si="202"/>
        <v>0</v>
      </c>
      <c r="M212" s="55">
        <f t="shared" si="202"/>
        <v>0</v>
      </c>
      <c r="N212" s="55">
        <f t="shared" si="202"/>
        <v>0</v>
      </c>
      <c r="O212" s="55">
        <f t="shared" si="202"/>
        <v>0</v>
      </c>
      <c r="P212" s="55">
        <f t="shared" si="202"/>
        <v>0</v>
      </c>
      <c r="Q212" s="55">
        <f t="shared" si="202"/>
        <v>0</v>
      </c>
      <c r="R212" s="55">
        <f t="shared" si="202"/>
        <v>0</v>
      </c>
      <c r="S212" s="55">
        <f t="shared" si="202"/>
        <v>0</v>
      </c>
      <c r="T212" s="55">
        <f t="shared" si="202"/>
        <v>0</v>
      </c>
      <c r="U212" s="55">
        <f t="shared" si="202"/>
        <v>0</v>
      </c>
      <c r="V212" s="55">
        <f t="shared" si="202"/>
        <v>0</v>
      </c>
      <c r="W212" s="55">
        <f t="shared" si="202"/>
        <v>0</v>
      </c>
      <c r="X212" s="55">
        <f t="shared" si="202"/>
        <v>0</v>
      </c>
      <c r="Y212" s="55">
        <f t="shared" si="202"/>
        <v>0</v>
      </c>
      <c r="Z212" s="55">
        <f t="shared" si="202"/>
        <v>0</v>
      </c>
      <c r="AA212" s="55">
        <f t="shared" si="202"/>
        <v>0</v>
      </c>
      <c r="AB212" s="55">
        <f t="shared" si="202"/>
        <v>0</v>
      </c>
      <c r="AC212" s="55">
        <f t="shared" si="202"/>
        <v>0</v>
      </c>
      <c r="AD212" s="55">
        <f t="shared" si="202"/>
        <v>0</v>
      </c>
      <c r="AE212" s="55">
        <f t="shared" si="202"/>
        <v>0</v>
      </c>
      <c r="AF212" s="55">
        <f t="shared" si="202"/>
        <v>0</v>
      </c>
      <c r="AG212" s="55">
        <f t="shared" si="202"/>
        <v>0</v>
      </c>
      <c r="AH212" s="55">
        <f t="shared" si="202"/>
        <v>0</v>
      </c>
      <c r="AI212" s="55">
        <f t="shared" ref="AI212:BJ212" si="203">IF(AND(AI$127&gt;=$I104,AI$127&lt;$I104+$F104),INDEX($T104:$AI104,AI$127-$I104+1),0)</f>
        <v>0</v>
      </c>
      <c r="AJ212" s="55">
        <f t="shared" si="203"/>
        <v>0</v>
      </c>
      <c r="AK212" s="55">
        <f t="shared" si="203"/>
        <v>0</v>
      </c>
      <c r="AL212" s="55">
        <f t="shared" si="203"/>
        <v>0</v>
      </c>
      <c r="AM212" s="55">
        <f t="shared" si="203"/>
        <v>0</v>
      </c>
      <c r="AN212" s="55">
        <f t="shared" si="203"/>
        <v>0</v>
      </c>
      <c r="AO212" s="55">
        <f t="shared" si="203"/>
        <v>0</v>
      </c>
      <c r="AP212" s="55">
        <f t="shared" si="203"/>
        <v>0</v>
      </c>
      <c r="AQ212" s="55">
        <f t="shared" si="203"/>
        <v>0</v>
      </c>
      <c r="AR212" s="55">
        <f t="shared" si="203"/>
        <v>0</v>
      </c>
      <c r="AS212" s="55">
        <f t="shared" si="203"/>
        <v>0</v>
      </c>
      <c r="AT212" s="55">
        <f t="shared" si="203"/>
        <v>0</v>
      </c>
      <c r="AU212" s="55">
        <f t="shared" si="203"/>
        <v>0</v>
      </c>
      <c r="AV212" s="55">
        <f t="shared" si="203"/>
        <v>0</v>
      </c>
      <c r="AW212" s="55">
        <f t="shared" si="203"/>
        <v>0</v>
      </c>
      <c r="AX212" s="55">
        <f t="shared" si="203"/>
        <v>0</v>
      </c>
      <c r="AY212" s="55">
        <f t="shared" si="203"/>
        <v>0</v>
      </c>
      <c r="AZ212" s="55">
        <f t="shared" si="203"/>
        <v>0</v>
      </c>
      <c r="BA212" s="55">
        <f t="shared" si="203"/>
        <v>0</v>
      </c>
      <c r="BB212" s="55">
        <f t="shared" si="203"/>
        <v>0</v>
      </c>
      <c r="BC212" s="55">
        <f t="shared" si="203"/>
        <v>0</v>
      </c>
      <c r="BD212" s="55">
        <f t="shared" si="203"/>
        <v>0</v>
      </c>
      <c r="BE212" s="55">
        <f t="shared" si="203"/>
        <v>0</v>
      </c>
      <c r="BF212" s="55">
        <f t="shared" si="203"/>
        <v>0</v>
      </c>
      <c r="BG212" s="55">
        <f t="shared" si="203"/>
        <v>0</v>
      </c>
      <c r="BH212" s="55">
        <f t="shared" si="203"/>
        <v>0</v>
      </c>
      <c r="BI212" s="55">
        <f t="shared" si="203"/>
        <v>0</v>
      </c>
      <c r="BJ212" s="55">
        <f t="shared" si="203"/>
        <v>0</v>
      </c>
    </row>
    <row r="213" spans="1:62" x14ac:dyDescent="0.3">
      <c r="A213" s="53" t="str">
        <f t="shared" si="169"/>
        <v>project 168</v>
      </c>
      <c r="C213" s="55">
        <f t="shared" ref="C213:AH213" si="204">IF(AND(C$127&gt;=$I105,C$127&lt;$I105+$F105),INDEX($T105:$AI105,C$127-$I105+1),0)</f>
        <v>0</v>
      </c>
      <c r="D213" s="55">
        <f t="shared" si="204"/>
        <v>0</v>
      </c>
      <c r="E213" s="55">
        <f t="shared" si="204"/>
        <v>0</v>
      </c>
      <c r="F213" s="55">
        <f t="shared" si="204"/>
        <v>0</v>
      </c>
      <c r="G213" s="55">
        <f t="shared" si="204"/>
        <v>0</v>
      </c>
      <c r="H213" s="55">
        <f t="shared" si="204"/>
        <v>0</v>
      </c>
      <c r="I213" s="55">
        <f t="shared" si="204"/>
        <v>0</v>
      </c>
      <c r="J213" s="55">
        <f t="shared" si="204"/>
        <v>0</v>
      </c>
      <c r="K213" s="55">
        <f t="shared" si="204"/>
        <v>0</v>
      </c>
      <c r="L213" s="55">
        <f t="shared" si="204"/>
        <v>0</v>
      </c>
      <c r="M213" s="55">
        <f t="shared" si="204"/>
        <v>0</v>
      </c>
      <c r="N213" s="55">
        <f t="shared" si="204"/>
        <v>0</v>
      </c>
      <c r="O213" s="55">
        <f t="shared" si="204"/>
        <v>0</v>
      </c>
      <c r="P213" s="55">
        <f t="shared" si="204"/>
        <v>0</v>
      </c>
      <c r="Q213" s="55">
        <f t="shared" si="204"/>
        <v>0</v>
      </c>
      <c r="R213" s="55">
        <f t="shared" si="204"/>
        <v>0.69063823529411761</v>
      </c>
      <c r="S213" s="55">
        <f t="shared" si="204"/>
        <v>1.492351980007689</v>
      </c>
      <c r="T213" s="55">
        <f t="shared" si="204"/>
        <v>2.5494992499114209</v>
      </c>
      <c r="U213" s="55">
        <f t="shared" si="204"/>
        <v>1.02710547698435</v>
      </c>
      <c r="V213" s="55">
        <f t="shared" si="204"/>
        <v>2.466028747269863</v>
      </c>
      <c r="W213" s="55">
        <f t="shared" si="204"/>
        <v>0</v>
      </c>
      <c r="X213" s="55">
        <f t="shared" si="204"/>
        <v>0</v>
      </c>
      <c r="Y213" s="55">
        <f t="shared" si="204"/>
        <v>0</v>
      </c>
      <c r="Z213" s="55">
        <f t="shared" si="204"/>
        <v>0</v>
      </c>
      <c r="AA213" s="55">
        <f t="shared" si="204"/>
        <v>0</v>
      </c>
      <c r="AB213" s="55">
        <f t="shared" si="204"/>
        <v>0</v>
      </c>
      <c r="AC213" s="55">
        <f t="shared" si="204"/>
        <v>0</v>
      </c>
      <c r="AD213" s="55">
        <f t="shared" si="204"/>
        <v>0</v>
      </c>
      <c r="AE213" s="55">
        <f t="shared" si="204"/>
        <v>0</v>
      </c>
      <c r="AF213" s="55">
        <f t="shared" si="204"/>
        <v>0</v>
      </c>
      <c r="AG213" s="55">
        <f t="shared" si="204"/>
        <v>0</v>
      </c>
      <c r="AH213" s="55">
        <f t="shared" si="204"/>
        <v>0</v>
      </c>
      <c r="AI213" s="55">
        <f t="shared" ref="AI213:BJ213" si="205">IF(AND(AI$127&gt;=$I105,AI$127&lt;$I105+$F105),INDEX($T105:$AI105,AI$127-$I105+1),0)</f>
        <v>0</v>
      </c>
      <c r="AJ213" s="55">
        <f t="shared" si="205"/>
        <v>0</v>
      </c>
      <c r="AK213" s="55">
        <f t="shared" si="205"/>
        <v>0</v>
      </c>
      <c r="AL213" s="55">
        <f t="shared" si="205"/>
        <v>0</v>
      </c>
      <c r="AM213" s="55">
        <f t="shared" si="205"/>
        <v>0</v>
      </c>
      <c r="AN213" s="55">
        <f t="shared" si="205"/>
        <v>0</v>
      </c>
      <c r="AO213" s="55">
        <f t="shared" si="205"/>
        <v>0</v>
      </c>
      <c r="AP213" s="55">
        <f t="shared" si="205"/>
        <v>0</v>
      </c>
      <c r="AQ213" s="55">
        <f t="shared" si="205"/>
        <v>0</v>
      </c>
      <c r="AR213" s="55">
        <f t="shared" si="205"/>
        <v>0</v>
      </c>
      <c r="AS213" s="55">
        <f t="shared" si="205"/>
        <v>0</v>
      </c>
      <c r="AT213" s="55">
        <f t="shared" si="205"/>
        <v>0</v>
      </c>
      <c r="AU213" s="55">
        <f t="shared" si="205"/>
        <v>0</v>
      </c>
      <c r="AV213" s="55">
        <f t="shared" si="205"/>
        <v>0</v>
      </c>
      <c r="AW213" s="55">
        <f t="shared" si="205"/>
        <v>0</v>
      </c>
      <c r="AX213" s="55">
        <f t="shared" si="205"/>
        <v>0</v>
      </c>
      <c r="AY213" s="55">
        <f t="shared" si="205"/>
        <v>0</v>
      </c>
      <c r="AZ213" s="55">
        <f t="shared" si="205"/>
        <v>0</v>
      </c>
      <c r="BA213" s="55">
        <f t="shared" si="205"/>
        <v>0</v>
      </c>
      <c r="BB213" s="55">
        <f t="shared" si="205"/>
        <v>0</v>
      </c>
      <c r="BC213" s="55">
        <f t="shared" si="205"/>
        <v>0</v>
      </c>
      <c r="BD213" s="55">
        <f t="shared" si="205"/>
        <v>0</v>
      </c>
      <c r="BE213" s="55">
        <f t="shared" si="205"/>
        <v>0</v>
      </c>
      <c r="BF213" s="55">
        <f t="shared" si="205"/>
        <v>0</v>
      </c>
      <c r="BG213" s="55">
        <f t="shared" si="205"/>
        <v>0</v>
      </c>
      <c r="BH213" s="55">
        <f t="shared" si="205"/>
        <v>0</v>
      </c>
      <c r="BI213" s="55">
        <f t="shared" si="205"/>
        <v>0</v>
      </c>
      <c r="BJ213" s="55">
        <f t="shared" si="205"/>
        <v>0</v>
      </c>
    </row>
    <row r="214" spans="1:62" x14ac:dyDescent="0.3">
      <c r="A214" s="53" t="str">
        <f t="shared" si="169"/>
        <v>project 171</v>
      </c>
      <c r="C214" s="55">
        <f t="shared" ref="C214:AH214" si="206">IF(AND(C$127&gt;=$I106,C$127&lt;$I106+$F106),INDEX($T106:$AI106,C$127-$I106+1),0)</f>
        <v>0</v>
      </c>
      <c r="D214" s="55">
        <f t="shared" si="206"/>
        <v>0</v>
      </c>
      <c r="E214" s="55">
        <f t="shared" si="206"/>
        <v>0</v>
      </c>
      <c r="F214" s="55">
        <f t="shared" si="206"/>
        <v>0</v>
      </c>
      <c r="G214" s="55">
        <f t="shared" si="206"/>
        <v>0</v>
      </c>
      <c r="H214" s="55">
        <f t="shared" si="206"/>
        <v>0</v>
      </c>
      <c r="I214" s="55">
        <f t="shared" si="206"/>
        <v>0</v>
      </c>
      <c r="J214" s="55">
        <f t="shared" si="206"/>
        <v>0</v>
      </c>
      <c r="K214" s="55">
        <f t="shared" si="206"/>
        <v>0</v>
      </c>
      <c r="L214" s="55">
        <f t="shared" si="206"/>
        <v>0</v>
      </c>
      <c r="M214" s="55">
        <f t="shared" si="206"/>
        <v>0</v>
      </c>
      <c r="N214" s="55">
        <f t="shared" si="206"/>
        <v>0</v>
      </c>
      <c r="O214" s="55">
        <f t="shared" si="206"/>
        <v>0</v>
      </c>
      <c r="P214" s="55">
        <f t="shared" si="206"/>
        <v>0</v>
      </c>
      <c r="Q214" s="55">
        <f t="shared" si="206"/>
        <v>0</v>
      </c>
      <c r="R214" s="55">
        <f t="shared" si="206"/>
        <v>0</v>
      </c>
      <c r="S214" s="55">
        <f t="shared" si="206"/>
        <v>0</v>
      </c>
      <c r="T214" s="55">
        <f t="shared" si="206"/>
        <v>1.09E-3</v>
      </c>
      <c r="U214" s="55">
        <f t="shared" si="206"/>
        <v>1.0686274509803919</v>
      </c>
      <c r="V214" s="55">
        <f t="shared" si="206"/>
        <v>5.2383698577470206</v>
      </c>
      <c r="W214" s="55">
        <f t="shared" si="206"/>
        <v>0</v>
      </c>
      <c r="X214" s="55">
        <f t="shared" si="206"/>
        <v>0</v>
      </c>
      <c r="Y214" s="55">
        <f t="shared" si="206"/>
        <v>0</v>
      </c>
      <c r="Z214" s="55">
        <f t="shared" si="206"/>
        <v>0</v>
      </c>
      <c r="AA214" s="55">
        <f t="shared" si="206"/>
        <v>0</v>
      </c>
      <c r="AB214" s="55">
        <f t="shared" si="206"/>
        <v>0</v>
      </c>
      <c r="AC214" s="55">
        <f t="shared" si="206"/>
        <v>0</v>
      </c>
      <c r="AD214" s="55">
        <f t="shared" si="206"/>
        <v>0</v>
      </c>
      <c r="AE214" s="55">
        <f t="shared" si="206"/>
        <v>0</v>
      </c>
      <c r="AF214" s="55">
        <f t="shared" si="206"/>
        <v>0</v>
      </c>
      <c r="AG214" s="55">
        <f t="shared" si="206"/>
        <v>0</v>
      </c>
      <c r="AH214" s="55">
        <f t="shared" si="206"/>
        <v>0</v>
      </c>
      <c r="AI214" s="55">
        <f t="shared" ref="AI214:BJ214" si="207">IF(AND(AI$127&gt;=$I106,AI$127&lt;$I106+$F106),INDEX($T106:$AI106,AI$127-$I106+1),0)</f>
        <v>0</v>
      </c>
      <c r="AJ214" s="55">
        <f t="shared" si="207"/>
        <v>0</v>
      </c>
      <c r="AK214" s="55">
        <f t="shared" si="207"/>
        <v>0</v>
      </c>
      <c r="AL214" s="55">
        <f t="shared" si="207"/>
        <v>0</v>
      </c>
      <c r="AM214" s="55">
        <f t="shared" si="207"/>
        <v>0</v>
      </c>
      <c r="AN214" s="55">
        <f t="shared" si="207"/>
        <v>0</v>
      </c>
      <c r="AO214" s="55">
        <f t="shared" si="207"/>
        <v>0</v>
      </c>
      <c r="AP214" s="55">
        <f t="shared" si="207"/>
        <v>0</v>
      </c>
      <c r="AQ214" s="55">
        <f t="shared" si="207"/>
        <v>0</v>
      </c>
      <c r="AR214" s="55">
        <f t="shared" si="207"/>
        <v>0</v>
      </c>
      <c r="AS214" s="55">
        <f t="shared" si="207"/>
        <v>0</v>
      </c>
      <c r="AT214" s="55">
        <f t="shared" si="207"/>
        <v>0</v>
      </c>
      <c r="AU214" s="55">
        <f t="shared" si="207"/>
        <v>0</v>
      </c>
      <c r="AV214" s="55">
        <f t="shared" si="207"/>
        <v>0</v>
      </c>
      <c r="AW214" s="55">
        <f t="shared" si="207"/>
        <v>0</v>
      </c>
      <c r="AX214" s="55">
        <f t="shared" si="207"/>
        <v>0</v>
      </c>
      <c r="AY214" s="55">
        <f t="shared" si="207"/>
        <v>0</v>
      </c>
      <c r="AZ214" s="55">
        <f t="shared" si="207"/>
        <v>0</v>
      </c>
      <c r="BA214" s="55">
        <f t="shared" si="207"/>
        <v>0</v>
      </c>
      <c r="BB214" s="55">
        <f t="shared" si="207"/>
        <v>0</v>
      </c>
      <c r="BC214" s="55">
        <f t="shared" si="207"/>
        <v>0</v>
      </c>
      <c r="BD214" s="55">
        <f t="shared" si="207"/>
        <v>0</v>
      </c>
      <c r="BE214" s="55">
        <f t="shared" si="207"/>
        <v>0</v>
      </c>
      <c r="BF214" s="55">
        <f t="shared" si="207"/>
        <v>0</v>
      </c>
      <c r="BG214" s="55">
        <f t="shared" si="207"/>
        <v>0</v>
      </c>
      <c r="BH214" s="55">
        <f t="shared" si="207"/>
        <v>0</v>
      </c>
      <c r="BI214" s="55">
        <f t="shared" si="207"/>
        <v>0</v>
      </c>
      <c r="BJ214" s="55">
        <f t="shared" si="207"/>
        <v>0</v>
      </c>
    </row>
    <row r="215" spans="1:62" x14ac:dyDescent="0.3">
      <c r="A215" s="53" t="str">
        <f t="shared" si="169"/>
        <v>project 175</v>
      </c>
      <c r="C215" s="55">
        <f t="shared" ref="C215:AH215" si="208">IF(AND(C$127&gt;=$I107,C$127&lt;$I107+$F107),INDEX($T107:$AI107,C$127-$I107+1),0)</f>
        <v>0</v>
      </c>
      <c r="D215" s="55">
        <f t="shared" si="208"/>
        <v>0</v>
      </c>
      <c r="E215" s="55">
        <f t="shared" si="208"/>
        <v>0</v>
      </c>
      <c r="F215" s="55">
        <f t="shared" si="208"/>
        <v>0</v>
      </c>
      <c r="G215" s="55">
        <f t="shared" si="208"/>
        <v>0</v>
      </c>
      <c r="H215" s="55">
        <f t="shared" si="208"/>
        <v>0</v>
      </c>
      <c r="I215" s="55">
        <f t="shared" si="208"/>
        <v>0</v>
      </c>
      <c r="J215" s="55">
        <f t="shared" si="208"/>
        <v>0</v>
      </c>
      <c r="K215" s="55">
        <f t="shared" si="208"/>
        <v>0</v>
      </c>
      <c r="L215" s="55">
        <f t="shared" si="208"/>
        <v>0</v>
      </c>
      <c r="M215" s="55">
        <f t="shared" si="208"/>
        <v>0</v>
      </c>
      <c r="N215" s="55">
        <f t="shared" si="208"/>
        <v>0</v>
      </c>
      <c r="O215" s="55">
        <f t="shared" si="208"/>
        <v>0</v>
      </c>
      <c r="P215" s="55">
        <f t="shared" si="208"/>
        <v>0</v>
      </c>
      <c r="Q215" s="55">
        <f t="shared" si="208"/>
        <v>0</v>
      </c>
      <c r="R215" s="55">
        <f t="shared" si="208"/>
        <v>0</v>
      </c>
      <c r="S215" s="55">
        <f t="shared" si="208"/>
        <v>0.16200000000000001</v>
      </c>
      <c r="T215" s="55">
        <f t="shared" si="208"/>
        <v>0.58039215686274503</v>
      </c>
      <c r="U215" s="55">
        <f t="shared" si="208"/>
        <v>3.0324875048058439</v>
      </c>
      <c r="V215" s="55">
        <f t="shared" si="208"/>
        <v>1.848836420381301</v>
      </c>
      <c r="W215" s="55">
        <f t="shared" si="208"/>
        <v>0</v>
      </c>
      <c r="X215" s="55">
        <f t="shared" si="208"/>
        <v>0</v>
      </c>
      <c r="Y215" s="55">
        <f t="shared" si="208"/>
        <v>0</v>
      </c>
      <c r="Z215" s="55">
        <f t="shared" si="208"/>
        <v>0</v>
      </c>
      <c r="AA215" s="55">
        <f t="shared" si="208"/>
        <v>0</v>
      </c>
      <c r="AB215" s="55">
        <f t="shared" si="208"/>
        <v>0</v>
      </c>
      <c r="AC215" s="55">
        <f t="shared" si="208"/>
        <v>0</v>
      </c>
      <c r="AD215" s="55">
        <f t="shared" si="208"/>
        <v>0</v>
      </c>
      <c r="AE215" s="55">
        <f t="shared" si="208"/>
        <v>0</v>
      </c>
      <c r="AF215" s="55">
        <f t="shared" si="208"/>
        <v>0</v>
      </c>
      <c r="AG215" s="55">
        <f t="shared" si="208"/>
        <v>0</v>
      </c>
      <c r="AH215" s="55">
        <f t="shared" si="208"/>
        <v>0</v>
      </c>
      <c r="AI215" s="55">
        <f t="shared" ref="AI215:BJ215" si="209">IF(AND(AI$127&gt;=$I107,AI$127&lt;$I107+$F107),INDEX($T107:$AI107,AI$127-$I107+1),0)</f>
        <v>0</v>
      </c>
      <c r="AJ215" s="55">
        <f t="shared" si="209"/>
        <v>0</v>
      </c>
      <c r="AK215" s="55">
        <f t="shared" si="209"/>
        <v>0</v>
      </c>
      <c r="AL215" s="55">
        <f t="shared" si="209"/>
        <v>0</v>
      </c>
      <c r="AM215" s="55">
        <f t="shared" si="209"/>
        <v>0</v>
      </c>
      <c r="AN215" s="55">
        <f t="shared" si="209"/>
        <v>0</v>
      </c>
      <c r="AO215" s="55">
        <f t="shared" si="209"/>
        <v>0</v>
      </c>
      <c r="AP215" s="55">
        <f t="shared" si="209"/>
        <v>0</v>
      </c>
      <c r="AQ215" s="55">
        <f t="shared" si="209"/>
        <v>0</v>
      </c>
      <c r="AR215" s="55">
        <f t="shared" si="209"/>
        <v>0</v>
      </c>
      <c r="AS215" s="55">
        <f t="shared" si="209"/>
        <v>0</v>
      </c>
      <c r="AT215" s="55">
        <f t="shared" si="209"/>
        <v>0</v>
      </c>
      <c r="AU215" s="55">
        <f t="shared" si="209"/>
        <v>0</v>
      </c>
      <c r="AV215" s="55">
        <f t="shared" si="209"/>
        <v>0</v>
      </c>
      <c r="AW215" s="55">
        <f t="shared" si="209"/>
        <v>0</v>
      </c>
      <c r="AX215" s="55">
        <f t="shared" si="209"/>
        <v>0</v>
      </c>
      <c r="AY215" s="55">
        <f t="shared" si="209"/>
        <v>0</v>
      </c>
      <c r="AZ215" s="55">
        <f t="shared" si="209"/>
        <v>0</v>
      </c>
      <c r="BA215" s="55">
        <f t="shared" si="209"/>
        <v>0</v>
      </c>
      <c r="BB215" s="55">
        <f t="shared" si="209"/>
        <v>0</v>
      </c>
      <c r="BC215" s="55">
        <f t="shared" si="209"/>
        <v>0</v>
      </c>
      <c r="BD215" s="55">
        <f t="shared" si="209"/>
        <v>0</v>
      </c>
      <c r="BE215" s="55">
        <f t="shared" si="209"/>
        <v>0</v>
      </c>
      <c r="BF215" s="55">
        <f t="shared" si="209"/>
        <v>0</v>
      </c>
      <c r="BG215" s="55">
        <f t="shared" si="209"/>
        <v>0</v>
      </c>
      <c r="BH215" s="55">
        <f t="shared" si="209"/>
        <v>0</v>
      </c>
      <c r="BI215" s="55">
        <f t="shared" si="209"/>
        <v>0</v>
      </c>
      <c r="BJ215" s="55">
        <f t="shared" si="209"/>
        <v>0</v>
      </c>
    </row>
    <row r="216" spans="1:62" x14ac:dyDescent="0.3">
      <c r="A216" s="53" t="str">
        <f t="shared" si="169"/>
        <v>project 176</v>
      </c>
      <c r="C216" s="55">
        <f t="shared" ref="C216:AH216" si="210">IF(AND(C$127&gt;=$I108,C$127&lt;$I108+$F108),INDEX($T108:$AI108,C$127-$I108+1),0)</f>
        <v>0</v>
      </c>
      <c r="D216" s="55">
        <f t="shared" si="210"/>
        <v>0</v>
      </c>
      <c r="E216" s="55">
        <f t="shared" si="210"/>
        <v>0</v>
      </c>
      <c r="F216" s="55">
        <f t="shared" si="210"/>
        <v>0</v>
      </c>
      <c r="G216" s="55">
        <f t="shared" si="210"/>
        <v>0</v>
      </c>
      <c r="H216" s="55">
        <f t="shared" si="210"/>
        <v>0</v>
      </c>
      <c r="I216" s="55">
        <f t="shared" si="210"/>
        <v>0</v>
      </c>
      <c r="J216" s="55">
        <f t="shared" si="210"/>
        <v>0</v>
      </c>
      <c r="K216" s="55">
        <f t="shared" si="210"/>
        <v>0</v>
      </c>
      <c r="L216" s="55">
        <f t="shared" si="210"/>
        <v>0</v>
      </c>
      <c r="M216" s="55">
        <f t="shared" si="210"/>
        <v>0</v>
      </c>
      <c r="N216" s="55">
        <f t="shared" si="210"/>
        <v>0</v>
      </c>
      <c r="O216" s="55">
        <f t="shared" si="210"/>
        <v>0</v>
      </c>
      <c r="P216" s="55">
        <f t="shared" si="210"/>
        <v>0</v>
      </c>
      <c r="Q216" s="55">
        <f t="shared" si="210"/>
        <v>0</v>
      </c>
      <c r="R216" s="55">
        <f t="shared" si="210"/>
        <v>0</v>
      </c>
      <c r="S216" s="55">
        <f t="shared" si="210"/>
        <v>0</v>
      </c>
      <c r="T216" s="55">
        <f t="shared" si="210"/>
        <v>0</v>
      </c>
      <c r="U216" s="55">
        <f t="shared" si="210"/>
        <v>3</v>
      </c>
      <c r="V216" s="55">
        <f t="shared" si="210"/>
        <v>2.2549019607843142</v>
      </c>
      <c r="W216" s="55">
        <f t="shared" si="210"/>
        <v>0</v>
      </c>
      <c r="X216" s="55">
        <f t="shared" si="210"/>
        <v>0</v>
      </c>
      <c r="Y216" s="55">
        <f t="shared" si="210"/>
        <v>0</v>
      </c>
      <c r="Z216" s="55">
        <f t="shared" si="210"/>
        <v>0</v>
      </c>
      <c r="AA216" s="55">
        <f t="shared" si="210"/>
        <v>0</v>
      </c>
      <c r="AB216" s="55">
        <f t="shared" si="210"/>
        <v>0</v>
      </c>
      <c r="AC216" s="55">
        <f t="shared" si="210"/>
        <v>0</v>
      </c>
      <c r="AD216" s="55">
        <f t="shared" si="210"/>
        <v>0</v>
      </c>
      <c r="AE216" s="55">
        <f t="shared" si="210"/>
        <v>0</v>
      </c>
      <c r="AF216" s="55">
        <f t="shared" si="210"/>
        <v>0</v>
      </c>
      <c r="AG216" s="55">
        <f t="shared" si="210"/>
        <v>0</v>
      </c>
      <c r="AH216" s="55">
        <f t="shared" si="210"/>
        <v>0</v>
      </c>
      <c r="AI216" s="55">
        <f t="shared" ref="AI216:BJ216" si="211">IF(AND(AI$127&gt;=$I108,AI$127&lt;$I108+$F108),INDEX($T108:$AI108,AI$127-$I108+1),0)</f>
        <v>0</v>
      </c>
      <c r="AJ216" s="55">
        <f t="shared" si="211"/>
        <v>0</v>
      </c>
      <c r="AK216" s="55">
        <f t="shared" si="211"/>
        <v>0</v>
      </c>
      <c r="AL216" s="55">
        <f t="shared" si="211"/>
        <v>0</v>
      </c>
      <c r="AM216" s="55">
        <f t="shared" si="211"/>
        <v>0</v>
      </c>
      <c r="AN216" s="55">
        <f t="shared" si="211"/>
        <v>0</v>
      </c>
      <c r="AO216" s="55">
        <f t="shared" si="211"/>
        <v>0</v>
      </c>
      <c r="AP216" s="55">
        <f t="shared" si="211"/>
        <v>0</v>
      </c>
      <c r="AQ216" s="55">
        <f t="shared" si="211"/>
        <v>0</v>
      </c>
      <c r="AR216" s="55">
        <f t="shared" si="211"/>
        <v>0</v>
      </c>
      <c r="AS216" s="55">
        <f t="shared" si="211"/>
        <v>0</v>
      </c>
      <c r="AT216" s="55">
        <f t="shared" si="211"/>
        <v>0</v>
      </c>
      <c r="AU216" s="55">
        <f t="shared" si="211"/>
        <v>0</v>
      </c>
      <c r="AV216" s="55">
        <f t="shared" si="211"/>
        <v>0</v>
      </c>
      <c r="AW216" s="55">
        <f t="shared" si="211"/>
        <v>0</v>
      </c>
      <c r="AX216" s="55">
        <f t="shared" si="211"/>
        <v>0</v>
      </c>
      <c r="AY216" s="55">
        <f t="shared" si="211"/>
        <v>0</v>
      </c>
      <c r="AZ216" s="55">
        <f t="shared" si="211"/>
        <v>0</v>
      </c>
      <c r="BA216" s="55">
        <f t="shared" si="211"/>
        <v>0</v>
      </c>
      <c r="BB216" s="55">
        <f t="shared" si="211"/>
        <v>0</v>
      </c>
      <c r="BC216" s="55">
        <f t="shared" si="211"/>
        <v>0</v>
      </c>
      <c r="BD216" s="55">
        <f t="shared" si="211"/>
        <v>0</v>
      </c>
      <c r="BE216" s="55">
        <f t="shared" si="211"/>
        <v>0</v>
      </c>
      <c r="BF216" s="55">
        <f t="shared" si="211"/>
        <v>0</v>
      </c>
      <c r="BG216" s="55">
        <f t="shared" si="211"/>
        <v>0</v>
      </c>
      <c r="BH216" s="55">
        <f t="shared" si="211"/>
        <v>0</v>
      </c>
      <c r="BI216" s="55">
        <f t="shared" si="211"/>
        <v>0</v>
      </c>
      <c r="BJ216" s="55">
        <f t="shared" si="211"/>
        <v>0</v>
      </c>
    </row>
    <row r="217" spans="1:62" x14ac:dyDescent="0.3">
      <c r="A217" s="53" t="str">
        <f t="shared" si="169"/>
        <v>project 180</v>
      </c>
      <c r="C217" s="55">
        <f t="shared" ref="C217:AH217" si="212">IF(AND(C$127&gt;=$I109,C$127&lt;$I109+$F109),INDEX($T109:$AI109,C$127-$I109+1),0)</f>
        <v>1.816666666666666</v>
      </c>
      <c r="D217" s="55">
        <f t="shared" si="212"/>
        <v>1.781045751633987</v>
      </c>
      <c r="E217" s="55">
        <f t="shared" si="212"/>
        <v>0</v>
      </c>
      <c r="F217" s="55">
        <f t="shared" si="212"/>
        <v>0</v>
      </c>
      <c r="G217" s="55">
        <f t="shared" si="212"/>
        <v>0</v>
      </c>
      <c r="H217" s="55">
        <f t="shared" si="212"/>
        <v>0</v>
      </c>
      <c r="I217" s="55">
        <f t="shared" si="212"/>
        <v>0</v>
      </c>
      <c r="J217" s="55">
        <f t="shared" si="212"/>
        <v>0</v>
      </c>
      <c r="K217" s="55">
        <f t="shared" si="212"/>
        <v>0</v>
      </c>
      <c r="L217" s="55">
        <f t="shared" si="212"/>
        <v>0</v>
      </c>
      <c r="M217" s="55">
        <f t="shared" si="212"/>
        <v>0</v>
      </c>
      <c r="N217" s="55">
        <f t="shared" si="212"/>
        <v>0</v>
      </c>
      <c r="O217" s="55">
        <f t="shared" si="212"/>
        <v>0</v>
      </c>
      <c r="P217" s="55">
        <f t="shared" si="212"/>
        <v>0</v>
      </c>
      <c r="Q217" s="55">
        <f t="shared" si="212"/>
        <v>0</v>
      </c>
      <c r="R217" s="55">
        <f t="shared" si="212"/>
        <v>0</v>
      </c>
      <c r="S217" s="55">
        <f t="shared" si="212"/>
        <v>0</v>
      </c>
      <c r="T217" s="55">
        <f t="shared" si="212"/>
        <v>0</v>
      </c>
      <c r="U217" s="55">
        <f t="shared" si="212"/>
        <v>0</v>
      </c>
      <c r="V217" s="55">
        <f t="shared" si="212"/>
        <v>0</v>
      </c>
      <c r="W217" s="55">
        <f t="shared" si="212"/>
        <v>0</v>
      </c>
      <c r="X217" s="55">
        <f t="shared" si="212"/>
        <v>0</v>
      </c>
      <c r="Y217" s="55">
        <f t="shared" si="212"/>
        <v>0</v>
      </c>
      <c r="Z217" s="55">
        <f t="shared" si="212"/>
        <v>0</v>
      </c>
      <c r="AA217" s="55">
        <f t="shared" si="212"/>
        <v>0</v>
      </c>
      <c r="AB217" s="55">
        <f t="shared" si="212"/>
        <v>0</v>
      </c>
      <c r="AC217" s="55">
        <f t="shared" si="212"/>
        <v>0</v>
      </c>
      <c r="AD217" s="55">
        <f t="shared" si="212"/>
        <v>0</v>
      </c>
      <c r="AE217" s="55">
        <f t="shared" si="212"/>
        <v>0</v>
      </c>
      <c r="AF217" s="55">
        <f t="shared" si="212"/>
        <v>0</v>
      </c>
      <c r="AG217" s="55">
        <f t="shared" si="212"/>
        <v>0</v>
      </c>
      <c r="AH217" s="55">
        <f t="shared" si="212"/>
        <v>0</v>
      </c>
      <c r="AI217" s="55">
        <f t="shared" ref="AI217:BJ217" si="213">IF(AND(AI$127&gt;=$I109,AI$127&lt;$I109+$F109),INDEX($T109:$AI109,AI$127-$I109+1),0)</f>
        <v>0</v>
      </c>
      <c r="AJ217" s="55">
        <f t="shared" si="213"/>
        <v>0</v>
      </c>
      <c r="AK217" s="55">
        <f t="shared" si="213"/>
        <v>0</v>
      </c>
      <c r="AL217" s="55">
        <f t="shared" si="213"/>
        <v>0</v>
      </c>
      <c r="AM217" s="55">
        <f t="shared" si="213"/>
        <v>0</v>
      </c>
      <c r="AN217" s="55">
        <f t="shared" si="213"/>
        <v>0</v>
      </c>
      <c r="AO217" s="55">
        <f t="shared" si="213"/>
        <v>0</v>
      </c>
      <c r="AP217" s="55">
        <f t="shared" si="213"/>
        <v>0</v>
      </c>
      <c r="AQ217" s="55">
        <f t="shared" si="213"/>
        <v>0</v>
      </c>
      <c r="AR217" s="55">
        <f t="shared" si="213"/>
        <v>0</v>
      </c>
      <c r="AS217" s="55">
        <f t="shared" si="213"/>
        <v>0</v>
      </c>
      <c r="AT217" s="55">
        <f t="shared" si="213"/>
        <v>0</v>
      </c>
      <c r="AU217" s="55">
        <f t="shared" si="213"/>
        <v>0</v>
      </c>
      <c r="AV217" s="55">
        <f t="shared" si="213"/>
        <v>0</v>
      </c>
      <c r="AW217" s="55">
        <f t="shared" si="213"/>
        <v>0</v>
      </c>
      <c r="AX217" s="55">
        <f t="shared" si="213"/>
        <v>0</v>
      </c>
      <c r="AY217" s="55">
        <f t="shared" si="213"/>
        <v>0</v>
      </c>
      <c r="AZ217" s="55">
        <f t="shared" si="213"/>
        <v>0</v>
      </c>
      <c r="BA217" s="55">
        <f t="shared" si="213"/>
        <v>0</v>
      </c>
      <c r="BB217" s="55">
        <f t="shared" si="213"/>
        <v>0</v>
      </c>
      <c r="BC217" s="55">
        <f t="shared" si="213"/>
        <v>0</v>
      </c>
      <c r="BD217" s="55">
        <f t="shared" si="213"/>
        <v>0</v>
      </c>
      <c r="BE217" s="55">
        <f t="shared" si="213"/>
        <v>0</v>
      </c>
      <c r="BF217" s="55">
        <f t="shared" si="213"/>
        <v>0</v>
      </c>
      <c r="BG217" s="55">
        <f t="shared" si="213"/>
        <v>0</v>
      </c>
      <c r="BH217" s="55">
        <f t="shared" si="213"/>
        <v>0</v>
      </c>
      <c r="BI217" s="55">
        <f t="shared" si="213"/>
        <v>0</v>
      </c>
      <c r="BJ217" s="55">
        <f t="shared" si="213"/>
        <v>0</v>
      </c>
    </row>
    <row r="218" spans="1:62" x14ac:dyDescent="0.3">
      <c r="A218" s="53" t="str">
        <f t="shared" si="169"/>
        <v>project 181</v>
      </c>
      <c r="C218" s="55">
        <f t="shared" ref="C218:AH218" si="214">IF(AND(C$127&gt;=$I110,C$127&lt;$I110+$F110),INDEX($T110:$AI110,C$127-$I110+1),0)</f>
        <v>3.597</v>
      </c>
      <c r="D218" s="55">
        <f t="shared" si="214"/>
        <v>0</v>
      </c>
      <c r="E218" s="55">
        <f t="shared" si="214"/>
        <v>0</v>
      </c>
      <c r="F218" s="55">
        <f t="shared" si="214"/>
        <v>0</v>
      </c>
      <c r="G218" s="55">
        <f t="shared" si="214"/>
        <v>0</v>
      </c>
      <c r="H218" s="55">
        <f t="shared" si="214"/>
        <v>0</v>
      </c>
      <c r="I218" s="55">
        <f t="shared" si="214"/>
        <v>0</v>
      </c>
      <c r="J218" s="55">
        <f t="shared" si="214"/>
        <v>0</v>
      </c>
      <c r="K218" s="55">
        <f t="shared" si="214"/>
        <v>0</v>
      </c>
      <c r="L218" s="55">
        <f t="shared" si="214"/>
        <v>0</v>
      </c>
      <c r="M218" s="55">
        <f t="shared" si="214"/>
        <v>0</v>
      </c>
      <c r="N218" s="55">
        <f t="shared" si="214"/>
        <v>0</v>
      </c>
      <c r="O218" s="55">
        <f t="shared" si="214"/>
        <v>0</v>
      </c>
      <c r="P218" s="55">
        <f t="shared" si="214"/>
        <v>0</v>
      </c>
      <c r="Q218" s="55">
        <f t="shared" si="214"/>
        <v>0</v>
      </c>
      <c r="R218" s="55">
        <f t="shared" si="214"/>
        <v>0</v>
      </c>
      <c r="S218" s="55">
        <f t="shared" si="214"/>
        <v>0</v>
      </c>
      <c r="T218" s="55">
        <f t="shared" si="214"/>
        <v>0</v>
      </c>
      <c r="U218" s="55">
        <f t="shared" si="214"/>
        <v>0</v>
      </c>
      <c r="V218" s="55">
        <f t="shared" si="214"/>
        <v>0</v>
      </c>
      <c r="W218" s="55">
        <f t="shared" si="214"/>
        <v>0</v>
      </c>
      <c r="X218" s="55">
        <f t="shared" si="214"/>
        <v>0</v>
      </c>
      <c r="Y218" s="55">
        <f t="shared" si="214"/>
        <v>0</v>
      </c>
      <c r="Z218" s="55">
        <f t="shared" si="214"/>
        <v>0</v>
      </c>
      <c r="AA218" s="55">
        <f t="shared" si="214"/>
        <v>0</v>
      </c>
      <c r="AB218" s="55">
        <f t="shared" si="214"/>
        <v>0</v>
      </c>
      <c r="AC218" s="55">
        <f t="shared" si="214"/>
        <v>0</v>
      </c>
      <c r="AD218" s="55">
        <f t="shared" si="214"/>
        <v>0</v>
      </c>
      <c r="AE218" s="55">
        <f t="shared" si="214"/>
        <v>0</v>
      </c>
      <c r="AF218" s="55">
        <f t="shared" si="214"/>
        <v>0</v>
      </c>
      <c r="AG218" s="55">
        <f t="shared" si="214"/>
        <v>0</v>
      </c>
      <c r="AH218" s="55">
        <f t="shared" si="214"/>
        <v>0</v>
      </c>
      <c r="AI218" s="55">
        <f t="shared" ref="AI218:BJ218" si="215">IF(AND(AI$127&gt;=$I110,AI$127&lt;$I110+$F110),INDEX($T110:$AI110,AI$127-$I110+1),0)</f>
        <v>0</v>
      </c>
      <c r="AJ218" s="55">
        <f t="shared" si="215"/>
        <v>0</v>
      </c>
      <c r="AK218" s="55">
        <f t="shared" si="215"/>
        <v>0</v>
      </c>
      <c r="AL218" s="55">
        <f t="shared" si="215"/>
        <v>0</v>
      </c>
      <c r="AM218" s="55">
        <f t="shared" si="215"/>
        <v>0</v>
      </c>
      <c r="AN218" s="55">
        <f t="shared" si="215"/>
        <v>0</v>
      </c>
      <c r="AO218" s="55">
        <f t="shared" si="215"/>
        <v>0</v>
      </c>
      <c r="AP218" s="55">
        <f t="shared" si="215"/>
        <v>0</v>
      </c>
      <c r="AQ218" s="55">
        <f t="shared" si="215"/>
        <v>0</v>
      </c>
      <c r="AR218" s="55">
        <f t="shared" si="215"/>
        <v>0</v>
      </c>
      <c r="AS218" s="55">
        <f t="shared" si="215"/>
        <v>0</v>
      </c>
      <c r="AT218" s="55">
        <f t="shared" si="215"/>
        <v>0</v>
      </c>
      <c r="AU218" s="55">
        <f t="shared" si="215"/>
        <v>0</v>
      </c>
      <c r="AV218" s="55">
        <f t="shared" si="215"/>
        <v>0</v>
      </c>
      <c r="AW218" s="55">
        <f t="shared" si="215"/>
        <v>0</v>
      </c>
      <c r="AX218" s="55">
        <f t="shared" si="215"/>
        <v>0</v>
      </c>
      <c r="AY218" s="55">
        <f t="shared" si="215"/>
        <v>0</v>
      </c>
      <c r="AZ218" s="55">
        <f t="shared" si="215"/>
        <v>0</v>
      </c>
      <c r="BA218" s="55">
        <f t="shared" si="215"/>
        <v>0</v>
      </c>
      <c r="BB218" s="55">
        <f t="shared" si="215"/>
        <v>0</v>
      </c>
      <c r="BC218" s="55">
        <f t="shared" si="215"/>
        <v>0</v>
      </c>
      <c r="BD218" s="55">
        <f t="shared" si="215"/>
        <v>0</v>
      </c>
      <c r="BE218" s="55">
        <f t="shared" si="215"/>
        <v>0</v>
      </c>
      <c r="BF218" s="55">
        <f t="shared" si="215"/>
        <v>0</v>
      </c>
      <c r="BG218" s="55">
        <f t="shared" si="215"/>
        <v>0</v>
      </c>
      <c r="BH218" s="55">
        <f t="shared" si="215"/>
        <v>0</v>
      </c>
      <c r="BI218" s="55">
        <f t="shared" si="215"/>
        <v>0</v>
      </c>
      <c r="BJ218" s="55">
        <f t="shared" si="215"/>
        <v>0</v>
      </c>
    </row>
    <row r="219" spans="1:62" x14ac:dyDescent="0.3">
      <c r="A219" s="53" t="str">
        <f t="shared" si="169"/>
        <v>project 182</v>
      </c>
      <c r="C219" s="55">
        <f t="shared" ref="C219:AH219" si="216">IF(AND(C$127&gt;=$I111,C$127&lt;$I111+$F111),INDEX($T111:$AI111,C$127-$I111+1),0)</f>
        <v>0</v>
      </c>
      <c r="D219" s="55">
        <f t="shared" si="216"/>
        <v>0</v>
      </c>
      <c r="E219" s="55">
        <f t="shared" si="216"/>
        <v>0</v>
      </c>
      <c r="F219" s="55">
        <f t="shared" si="216"/>
        <v>0</v>
      </c>
      <c r="G219" s="55">
        <f t="shared" si="216"/>
        <v>0</v>
      </c>
      <c r="H219" s="55">
        <f t="shared" si="216"/>
        <v>0.11586399999999999</v>
      </c>
      <c r="I219" s="55">
        <f t="shared" si="216"/>
        <v>0.63033921568627449</v>
      </c>
      <c r="J219" s="55">
        <f t="shared" si="216"/>
        <v>0.8165090349865437</v>
      </c>
      <c r="K219" s="55">
        <f t="shared" si="216"/>
        <v>0.50225874663590919</v>
      </c>
      <c r="L219" s="55">
        <f t="shared" si="216"/>
        <v>0.58703170829661966</v>
      </c>
      <c r="M219" s="55">
        <f t="shared" si="216"/>
        <v>0.71065360227793883</v>
      </c>
      <c r="N219" s="55">
        <f t="shared" si="216"/>
        <v>0</v>
      </c>
      <c r="O219" s="55">
        <f t="shared" si="216"/>
        <v>0</v>
      </c>
      <c r="P219" s="55">
        <f t="shared" si="216"/>
        <v>0</v>
      </c>
      <c r="Q219" s="55">
        <f t="shared" si="216"/>
        <v>0</v>
      </c>
      <c r="R219" s="55">
        <f t="shared" si="216"/>
        <v>0</v>
      </c>
      <c r="S219" s="55">
        <f t="shared" si="216"/>
        <v>0</v>
      </c>
      <c r="T219" s="55">
        <f t="shared" si="216"/>
        <v>0</v>
      </c>
      <c r="U219" s="55">
        <f t="shared" si="216"/>
        <v>0</v>
      </c>
      <c r="V219" s="55">
        <f t="shared" si="216"/>
        <v>0</v>
      </c>
      <c r="W219" s="55">
        <f t="shared" si="216"/>
        <v>0</v>
      </c>
      <c r="X219" s="55">
        <f t="shared" si="216"/>
        <v>0</v>
      </c>
      <c r="Y219" s="55">
        <f t="shared" si="216"/>
        <v>0</v>
      </c>
      <c r="Z219" s="55">
        <f t="shared" si="216"/>
        <v>0</v>
      </c>
      <c r="AA219" s="55">
        <f t="shared" si="216"/>
        <v>0</v>
      </c>
      <c r="AB219" s="55">
        <f t="shared" si="216"/>
        <v>0</v>
      </c>
      <c r="AC219" s="55">
        <f t="shared" si="216"/>
        <v>0</v>
      </c>
      <c r="AD219" s="55">
        <f t="shared" si="216"/>
        <v>0</v>
      </c>
      <c r="AE219" s="55">
        <f t="shared" si="216"/>
        <v>0</v>
      </c>
      <c r="AF219" s="55">
        <f t="shared" si="216"/>
        <v>0</v>
      </c>
      <c r="AG219" s="55">
        <f t="shared" si="216"/>
        <v>0</v>
      </c>
      <c r="AH219" s="55">
        <f t="shared" si="216"/>
        <v>0</v>
      </c>
      <c r="AI219" s="55">
        <f t="shared" ref="AI219:BJ219" si="217">IF(AND(AI$127&gt;=$I111,AI$127&lt;$I111+$F111),INDEX($T111:$AI111,AI$127-$I111+1),0)</f>
        <v>0</v>
      </c>
      <c r="AJ219" s="55">
        <f t="shared" si="217"/>
        <v>0</v>
      </c>
      <c r="AK219" s="55">
        <f t="shared" si="217"/>
        <v>0</v>
      </c>
      <c r="AL219" s="55">
        <f t="shared" si="217"/>
        <v>0</v>
      </c>
      <c r="AM219" s="55">
        <f t="shared" si="217"/>
        <v>0</v>
      </c>
      <c r="AN219" s="55">
        <f t="shared" si="217"/>
        <v>0</v>
      </c>
      <c r="AO219" s="55">
        <f t="shared" si="217"/>
        <v>0</v>
      </c>
      <c r="AP219" s="55">
        <f t="shared" si="217"/>
        <v>0</v>
      </c>
      <c r="AQ219" s="55">
        <f t="shared" si="217"/>
        <v>0</v>
      </c>
      <c r="AR219" s="55">
        <f t="shared" si="217"/>
        <v>0</v>
      </c>
      <c r="AS219" s="55">
        <f t="shared" si="217"/>
        <v>0</v>
      </c>
      <c r="AT219" s="55">
        <f t="shared" si="217"/>
        <v>0</v>
      </c>
      <c r="AU219" s="55">
        <f t="shared" si="217"/>
        <v>0</v>
      </c>
      <c r="AV219" s="55">
        <f t="shared" si="217"/>
        <v>0</v>
      </c>
      <c r="AW219" s="55">
        <f t="shared" si="217"/>
        <v>0</v>
      </c>
      <c r="AX219" s="55">
        <f t="shared" si="217"/>
        <v>0</v>
      </c>
      <c r="AY219" s="55">
        <f t="shared" si="217"/>
        <v>0</v>
      </c>
      <c r="AZ219" s="55">
        <f t="shared" si="217"/>
        <v>0</v>
      </c>
      <c r="BA219" s="55">
        <f t="shared" si="217"/>
        <v>0</v>
      </c>
      <c r="BB219" s="55">
        <f t="shared" si="217"/>
        <v>0</v>
      </c>
      <c r="BC219" s="55">
        <f t="shared" si="217"/>
        <v>0</v>
      </c>
      <c r="BD219" s="55">
        <f t="shared" si="217"/>
        <v>0</v>
      </c>
      <c r="BE219" s="55">
        <f t="shared" si="217"/>
        <v>0</v>
      </c>
      <c r="BF219" s="55">
        <f t="shared" si="217"/>
        <v>0</v>
      </c>
      <c r="BG219" s="55">
        <f t="shared" si="217"/>
        <v>0</v>
      </c>
      <c r="BH219" s="55">
        <f t="shared" si="217"/>
        <v>0</v>
      </c>
      <c r="BI219" s="55">
        <f t="shared" si="217"/>
        <v>0</v>
      </c>
      <c r="BJ219" s="55">
        <f t="shared" si="217"/>
        <v>0</v>
      </c>
    </row>
    <row r="220" spans="1:62" x14ac:dyDescent="0.3">
      <c r="A220" s="53" t="str">
        <f t="shared" si="169"/>
        <v>project 184</v>
      </c>
      <c r="C220" s="55">
        <f t="shared" ref="C220:AH220" si="218">IF(AND(C$127&gt;=$I112,C$127&lt;$I112+$F112),INDEX($T112:$AI112,C$127-$I112+1),0)</f>
        <v>0</v>
      </c>
      <c r="D220" s="55">
        <f t="shared" si="218"/>
        <v>0</v>
      </c>
      <c r="E220" s="55">
        <f t="shared" si="218"/>
        <v>0</v>
      </c>
      <c r="F220" s="55">
        <f t="shared" si="218"/>
        <v>0</v>
      </c>
      <c r="G220" s="55">
        <f t="shared" si="218"/>
        <v>0</v>
      </c>
      <c r="H220" s="55">
        <f t="shared" si="218"/>
        <v>0</v>
      </c>
      <c r="I220" s="55">
        <f t="shared" si="218"/>
        <v>0</v>
      </c>
      <c r="J220" s="55">
        <f t="shared" si="218"/>
        <v>0</v>
      </c>
      <c r="K220" s="55">
        <f t="shared" si="218"/>
        <v>0</v>
      </c>
      <c r="L220" s="55">
        <f t="shared" si="218"/>
        <v>0</v>
      </c>
      <c r="M220" s="55">
        <f t="shared" si="218"/>
        <v>0</v>
      </c>
      <c r="N220" s="55">
        <f t="shared" si="218"/>
        <v>0</v>
      </c>
      <c r="O220" s="55">
        <f t="shared" si="218"/>
        <v>0</v>
      </c>
      <c r="P220" s="55">
        <f t="shared" si="218"/>
        <v>0</v>
      </c>
      <c r="Q220" s="55">
        <f t="shared" si="218"/>
        <v>0</v>
      </c>
      <c r="R220" s="55">
        <f t="shared" si="218"/>
        <v>0</v>
      </c>
      <c r="S220" s="55">
        <f t="shared" si="218"/>
        <v>0</v>
      </c>
      <c r="T220" s="55">
        <f t="shared" si="218"/>
        <v>0</v>
      </c>
      <c r="U220" s="55">
        <f t="shared" si="218"/>
        <v>0</v>
      </c>
      <c r="V220" s="55">
        <f t="shared" si="218"/>
        <v>2.8233730000000001</v>
      </c>
      <c r="W220" s="55">
        <f t="shared" si="218"/>
        <v>0</v>
      </c>
      <c r="X220" s="55">
        <f t="shared" si="218"/>
        <v>0</v>
      </c>
      <c r="Y220" s="55">
        <f t="shared" si="218"/>
        <v>0</v>
      </c>
      <c r="Z220" s="55">
        <f t="shared" si="218"/>
        <v>0</v>
      </c>
      <c r="AA220" s="55">
        <f t="shared" si="218"/>
        <v>0</v>
      </c>
      <c r="AB220" s="55">
        <f t="shared" si="218"/>
        <v>0</v>
      </c>
      <c r="AC220" s="55">
        <f t="shared" si="218"/>
        <v>0</v>
      </c>
      <c r="AD220" s="55">
        <f t="shared" si="218"/>
        <v>0</v>
      </c>
      <c r="AE220" s="55">
        <f t="shared" si="218"/>
        <v>0</v>
      </c>
      <c r="AF220" s="55">
        <f t="shared" si="218"/>
        <v>0</v>
      </c>
      <c r="AG220" s="55">
        <f t="shared" si="218"/>
        <v>0</v>
      </c>
      <c r="AH220" s="55">
        <f t="shared" si="218"/>
        <v>0</v>
      </c>
      <c r="AI220" s="55">
        <f t="shared" ref="AI220:BJ220" si="219">IF(AND(AI$127&gt;=$I112,AI$127&lt;$I112+$F112),INDEX($T112:$AI112,AI$127-$I112+1),0)</f>
        <v>0</v>
      </c>
      <c r="AJ220" s="55">
        <f t="shared" si="219"/>
        <v>0</v>
      </c>
      <c r="AK220" s="55">
        <f t="shared" si="219"/>
        <v>0</v>
      </c>
      <c r="AL220" s="55">
        <f t="shared" si="219"/>
        <v>0</v>
      </c>
      <c r="AM220" s="55">
        <f t="shared" si="219"/>
        <v>0</v>
      </c>
      <c r="AN220" s="55">
        <f t="shared" si="219"/>
        <v>0</v>
      </c>
      <c r="AO220" s="55">
        <f t="shared" si="219"/>
        <v>0</v>
      </c>
      <c r="AP220" s="55">
        <f t="shared" si="219"/>
        <v>0</v>
      </c>
      <c r="AQ220" s="55">
        <f t="shared" si="219"/>
        <v>0</v>
      </c>
      <c r="AR220" s="55">
        <f t="shared" si="219"/>
        <v>0</v>
      </c>
      <c r="AS220" s="55">
        <f t="shared" si="219"/>
        <v>0</v>
      </c>
      <c r="AT220" s="55">
        <f t="shared" si="219"/>
        <v>0</v>
      </c>
      <c r="AU220" s="55">
        <f t="shared" si="219"/>
        <v>0</v>
      </c>
      <c r="AV220" s="55">
        <f t="shared" si="219"/>
        <v>0</v>
      </c>
      <c r="AW220" s="55">
        <f t="shared" si="219"/>
        <v>0</v>
      </c>
      <c r="AX220" s="55">
        <f t="shared" si="219"/>
        <v>0</v>
      </c>
      <c r="AY220" s="55">
        <f t="shared" si="219"/>
        <v>0</v>
      </c>
      <c r="AZ220" s="55">
        <f t="shared" si="219"/>
        <v>0</v>
      </c>
      <c r="BA220" s="55">
        <f t="shared" si="219"/>
        <v>0</v>
      </c>
      <c r="BB220" s="55">
        <f t="shared" si="219"/>
        <v>0</v>
      </c>
      <c r="BC220" s="55">
        <f t="shared" si="219"/>
        <v>0</v>
      </c>
      <c r="BD220" s="55">
        <f t="shared" si="219"/>
        <v>0</v>
      </c>
      <c r="BE220" s="55">
        <f t="shared" si="219"/>
        <v>0</v>
      </c>
      <c r="BF220" s="55">
        <f t="shared" si="219"/>
        <v>0</v>
      </c>
      <c r="BG220" s="55">
        <f t="shared" si="219"/>
        <v>0</v>
      </c>
      <c r="BH220" s="55">
        <f t="shared" si="219"/>
        <v>0</v>
      </c>
      <c r="BI220" s="55">
        <f t="shared" si="219"/>
        <v>0</v>
      </c>
      <c r="BJ220" s="55">
        <f t="shared" si="219"/>
        <v>0</v>
      </c>
    </row>
    <row r="221" spans="1:62" x14ac:dyDescent="0.3">
      <c r="A221" s="53" t="str">
        <f t="shared" si="169"/>
        <v>project 186</v>
      </c>
      <c r="C221" s="55">
        <f t="shared" ref="C221:AH221" si="220">IF(AND(C$127&gt;=$I113,C$127&lt;$I113+$F113),INDEX($T113:$AI113,C$127-$I113+1),0)</f>
        <v>0</v>
      </c>
      <c r="D221" s="55">
        <f t="shared" si="220"/>
        <v>0</v>
      </c>
      <c r="E221" s="55">
        <f t="shared" si="220"/>
        <v>0</v>
      </c>
      <c r="F221" s="55">
        <f t="shared" si="220"/>
        <v>0</v>
      </c>
      <c r="G221" s="55">
        <f t="shared" si="220"/>
        <v>0</v>
      </c>
      <c r="H221" s="55">
        <f t="shared" si="220"/>
        <v>0.51287450980392157</v>
      </c>
      <c r="I221" s="55">
        <f t="shared" si="220"/>
        <v>0.70661956939638604</v>
      </c>
      <c r="J221" s="55">
        <f t="shared" si="220"/>
        <v>0.50562377969257677</v>
      </c>
      <c r="K221" s="55">
        <f t="shared" si="220"/>
        <v>0</v>
      </c>
      <c r="L221" s="55">
        <f t="shared" si="220"/>
        <v>0</v>
      </c>
      <c r="M221" s="55">
        <f t="shared" si="220"/>
        <v>0</v>
      </c>
      <c r="N221" s="55">
        <f t="shared" si="220"/>
        <v>0</v>
      </c>
      <c r="O221" s="55">
        <f t="shared" si="220"/>
        <v>0</v>
      </c>
      <c r="P221" s="55">
        <f t="shared" si="220"/>
        <v>0</v>
      </c>
      <c r="Q221" s="55">
        <f t="shared" si="220"/>
        <v>0</v>
      </c>
      <c r="R221" s="55">
        <f t="shared" si="220"/>
        <v>0</v>
      </c>
      <c r="S221" s="55">
        <f t="shared" si="220"/>
        <v>0</v>
      </c>
      <c r="T221" s="55">
        <f t="shared" si="220"/>
        <v>0</v>
      </c>
      <c r="U221" s="55">
        <f t="shared" si="220"/>
        <v>0</v>
      </c>
      <c r="V221" s="55">
        <f t="shared" si="220"/>
        <v>0</v>
      </c>
      <c r="W221" s="55">
        <f t="shared" si="220"/>
        <v>0</v>
      </c>
      <c r="X221" s="55">
        <f t="shared" si="220"/>
        <v>0</v>
      </c>
      <c r="Y221" s="55">
        <f t="shared" si="220"/>
        <v>0</v>
      </c>
      <c r="Z221" s="55">
        <f t="shared" si="220"/>
        <v>0</v>
      </c>
      <c r="AA221" s="55">
        <f t="shared" si="220"/>
        <v>0</v>
      </c>
      <c r="AB221" s="55">
        <f t="shared" si="220"/>
        <v>0</v>
      </c>
      <c r="AC221" s="55">
        <f t="shared" si="220"/>
        <v>0</v>
      </c>
      <c r="AD221" s="55">
        <f t="shared" si="220"/>
        <v>0</v>
      </c>
      <c r="AE221" s="55">
        <f t="shared" si="220"/>
        <v>0</v>
      </c>
      <c r="AF221" s="55">
        <f t="shared" si="220"/>
        <v>0</v>
      </c>
      <c r="AG221" s="55">
        <f t="shared" si="220"/>
        <v>0</v>
      </c>
      <c r="AH221" s="55">
        <f t="shared" si="220"/>
        <v>0</v>
      </c>
      <c r="AI221" s="55">
        <f t="shared" ref="AI221:BJ221" si="221">IF(AND(AI$127&gt;=$I113,AI$127&lt;$I113+$F113),INDEX($T113:$AI113,AI$127-$I113+1),0)</f>
        <v>0</v>
      </c>
      <c r="AJ221" s="55">
        <f t="shared" si="221"/>
        <v>0</v>
      </c>
      <c r="AK221" s="55">
        <f t="shared" si="221"/>
        <v>0</v>
      </c>
      <c r="AL221" s="55">
        <f t="shared" si="221"/>
        <v>0</v>
      </c>
      <c r="AM221" s="55">
        <f t="shared" si="221"/>
        <v>0</v>
      </c>
      <c r="AN221" s="55">
        <f t="shared" si="221"/>
        <v>0</v>
      </c>
      <c r="AO221" s="55">
        <f t="shared" si="221"/>
        <v>0</v>
      </c>
      <c r="AP221" s="55">
        <f t="shared" si="221"/>
        <v>0</v>
      </c>
      <c r="AQ221" s="55">
        <f t="shared" si="221"/>
        <v>0</v>
      </c>
      <c r="AR221" s="55">
        <f t="shared" si="221"/>
        <v>0</v>
      </c>
      <c r="AS221" s="55">
        <f t="shared" si="221"/>
        <v>0</v>
      </c>
      <c r="AT221" s="55">
        <f t="shared" si="221"/>
        <v>0</v>
      </c>
      <c r="AU221" s="55">
        <f t="shared" si="221"/>
        <v>0</v>
      </c>
      <c r="AV221" s="55">
        <f t="shared" si="221"/>
        <v>0</v>
      </c>
      <c r="AW221" s="55">
        <f t="shared" si="221"/>
        <v>0</v>
      </c>
      <c r="AX221" s="55">
        <f t="shared" si="221"/>
        <v>0</v>
      </c>
      <c r="AY221" s="55">
        <f t="shared" si="221"/>
        <v>0</v>
      </c>
      <c r="AZ221" s="55">
        <f t="shared" si="221"/>
        <v>0</v>
      </c>
      <c r="BA221" s="55">
        <f t="shared" si="221"/>
        <v>0</v>
      </c>
      <c r="BB221" s="55">
        <f t="shared" si="221"/>
        <v>0</v>
      </c>
      <c r="BC221" s="55">
        <f t="shared" si="221"/>
        <v>0</v>
      </c>
      <c r="BD221" s="55">
        <f t="shared" si="221"/>
        <v>0</v>
      </c>
      <c r="BE221" s="55">
        <f t="shared" si="221"/>
        <v>0</v>
      </c>
      <c r="BF221" s="55">
        <f t="shared" si="221"/>
        <v>0</v>
      </c>
      <c r="BG221" s="55">
        <f t="shared" si="221"/>
        <v>0</v>
      </c>
      <c r="BH221" s="55">
        <f t="shared" si="221"/>
        <v>0</v>
      </c>
      <c r="BI221" s="55">
        <f t="shared" si="221"/>
        <v>0</v>
      </c>
      <c r="BJ221" s="55">
        <f t="shared" si="221"/>
        <v>0</v>
      </c>
    </row>
    <row r="222" spans="1:62" x14ac:dyDescent="0.3">
      <c r="A222" s="53" t="str">
        <f t="shared" si="169"/>
        <v>project 188</v>
      </c>
      <c r="C222" s="55">
        <f t="shared" ref="C222:AH222" si="222">IF(AND(C$127&gt;=$I114,C$127&lt;$I114+$F114),INDEX($T114:$AI114,C$127-$I114+1),0)</f>
        <v>0</v>
      </c>
      <c r="D222" s="55">
        <f t="shared" si="222"/>
        <v>0</v>
      </c>
      <c r="E222" s="55">
        <f t="shared" si="222"/>
        <v>0.27029999999999998</v>
      </c>
      <c r="F222" s="55">
        <f t="shared" si="222"/>
        <v>0.53</v>
      </c>
      <c r="G222" s="55">
        <f t="shared" si="222"/>
        <v>0.51960784313725494</v>
      </c>
      <c r="H222" s="55">
        <f t="shared" si="222"/>
        <v>0</v>
      </c>
      <c r="I222" s="55">
        <f t="shared" si="222"/>
        <v>0</v>
      </c>
      <c r="J222" s="55">
        <f t="shared" si="222"/>
        <v>0</v>
      </c>
      <c r="K222" s="55">
        <f t="shared" si="222"/>
        <v>0</v>
      </c>
      <c r="L222" s="55">
        <f t="shared" si="222"/>
        <v>0</v>
      </c>
      <c r="M222" s="55">
        <f t="shared" si="222"/>
        <v>0</v>
      </c>
      <c r="N222" s="55">
        <f t="shared" si="222"/>
        <v>0</v>
      </c>
      <c r="O222" s="55">
        <f t="shared" si="222"/>
        <v>0</v>
      </c>
      <c r="P222" s="55">
        <f t="shared" si="222"/>
        <v>0</v>
      </c>
      <c r="Q222" s="55">
        <f t="shared" si="222"/>
        <v>0</v>
      </c>
      <c r="R222" s="55">
        <f t="shared" si="222"/>
        <v>0</v>
      </c>
      <c r="S222" s="55">
        <f t="shared" si="222"/>
        <v>0</v>
      </c>
      <c r="T222" s="55">
        <f t="shared" si="222"/>
        <v>0</v>
      </c>
      <c r="U222" s="55">
        <f t="shared" si="222"/>
        <v>0</v>
      </c>
      <c r="V222" s="55">
        <f t="shared" si="222"/>
        <v>0</v>
      </c>
      <c r="W222" s="55">
        <f t="shared" si="222"/>
        <v>0</v>
      </c>
      <c r="X222" s="55">
        <f t="shared" si="222"/>
        <v>0</v>
      </c>
      <c r="Y222" s="55">
        <f t="shared" si="222"/>
        <v>0</v>
      </c>
      <c r="Z222" s="55">
        <f t="shared" si="222"/>
        <v>0</v>
      </c>
      <c r="AA222" s="55">
        <f t="shared" si="222"/>
        <v>0</v>
      </c>
      <c r="AB222" s="55">
        <f t="shared" si="222"/>
        <v>0</v>
      </c>
      <c r="AC222" s="55">
        <f t="shared" si="222"/>
        <v>0</v>
      </c>
      <c r="AD222" s="55">
        <f t="shared" si="222"/>
        <v>0</v>
      </c>
      <c r="AE222" s="55">
        <f t="shared" si="222"/>
        <v>0</v>
      </c>
      <c r="AF222" s="55">
        <f t="shared" si="222"/>
        <v>0</v>
      </c>
      <c r="AG222" s="55">
        <f t="shared" si="222"/>
        <v>0</v>
      </c>
      <c r="AH222" s="55">
        <f t="shared" si="222"/>
        <v>0</v>
      </c>
      <c r="AI222" s="55">
        <f t="shared" ref="AI222:BJ222" si="223">IF(AND(AI$127&gt;=$I114,AI$127&lt;$I114+$F114),INDEX($T114:$AI114,AI$127-$I114+1),0)</f>
        <v>0</v>
      </c>
      <c r="AJ222" s="55">
        <f t="shared" si="223"/>
        <v>0</v>
      </c>
      <c r="AK222" s="55">
        <f t="shared" si="223"/>
        <v>0</v>
      </c>
      <c r="AL222" s="55">
        <f t="shared" si="223"/>
        <v>0</v>
      </c>
      <c r="AM222" s="55">
        <f t="shared" si="223"/>
        <v>0</v>
      </c>
      <c r="AN222" s="55">
        <f t="shared" si="223"/>
        <v>0</v>
      </c>
      <c r="AO222" s="55">
        <f t="shared" si="223"/>
        <v>0</v>
      </c>
      <c r="AP222" s="55">
        <f t="shared" si="223"/>
        <v>0</v>
      </c>
      <c r="AQ222" s="55">
        <f t="shared" si="223"/>
        <v>0</v>
      </c>
      <c r="AR222" s="55">
        <f t="shared" si="223"/>
        <v>0</v>
      </c>
      <c r="AS222" s="55">
        <f t="shared" si="223"/>
        <v>0</v>
      </c>
      <c r="AT222" s="55">
        <f t="shared" si="223"/>
        <v>0</v>
      </c>
      <c r="AU222" s="55">
        <f t="shared" si="223"/>
        <v>0</v>
      </c>
      <c r="AV222" s="55">
        <f t="shared" si="223"/>
        <v>0</v>
      </c>
      <c r="AW222" s="55">
        <f t="shared" si="223"/>
        <v>0</v>
      </c>
      <c r="AX222" s="55">
        <f t="shared" si="223"/>
        <v>0</v>
      </c>
      <c r="AY222" s="55">
        <f t="shared" si="223"/>
        <v>0</v>
      </c>
      <c r="AZ222" s="55">
        <f t="shared" si="223"/>
        <v>0</v>
      </c>
      <c r="BA222" s="55">
        <f t="shared" si="223"/>
        <v>0</v>
      </c>
      <c r="BB222" s="55">
        <f t="shared" si="223"/>
        <v>0</v>
      </c>
      <c r="BC222" s="55">
        <f t="shared" si="223"/>
        <v>0</v>
      </c>
      <c r="BD222" s="55">
        <f t="shared" si="223"/>
        <v>0</v>
      </c>
      <c r="BE222" s="55">
        <f t="shared" si="223"/>
        <v>0</v>
      </c>
      <c r="BF222" s="55">
        <f t="shared" si="223"/>
        <v>0</v>
      </c>
      <c r="BG222" s="55">
        <f t="shared" si="223"/>
        <v>0</v>
      </c>
      <c r="BH222" s="55">
        <f t="shared" si="223"/>
        <v>0</v>
      </c>
      <c r="BI222" s="55">
        <f t="shared" si="223"/>
        <v>0</v>
      </c>
      <c r="BJ222" s="55">
        <f t="shared" si="223"/>
        <v>0</v>
      </c>
    </row>
    <row r="223" spans="1:62" x14ac:dyDescent="0.3">
      <c r="A223" s="53" t="str">
        <f t="shared" si="169"/>
        <v>project 190</v>
      </c>
      <c r="C223" s="55">
        <f t="shared" ref="C223:AH223" si="224">IF(AND(C$127&gt;=$I115,C$127&lt;$I115+$F115),INDEX($T115:$AI115,C$127-$I115+1),0)</f>
        <v>1.2043759999999999</v>
      </c>
      <c r="D223" s="55">
        <f t="shared" si="224"/>
        <v>0</v>
      </c>
      <c r="E223" s="55">
        <f t="shared" si="224"/>
        <v>0</v>
      </c>
      <c r="F223" s="55">
        <f t="shared" si="224"/>
        <v>0</v>
      </c>
      <c r="G223" s="55">
        <f t="shared" si="224"/>
        <v>0</v>
      </c>
      <c r="H223" s="55">
        <f t="shared" si="224"/>
        <v>0</v>
      </c>
      <c r="I223" s="55">
        <f t="shared" si="224"/>
        <v>0</v>
      </c>
      <c r="J223" s="55">
        <f t="shared" si="224"/>
        <v>0</v>
      </c>
      <c r="K223" s="55">
        <f t="shared" si="224"/>
        <v>0</v>
      </c>
      <c r="L223" s="55">
        <f t="shared" si="224"/>
        <v>0</v>
      </c>
      <c r="M223" s="55">
        <f t="shared" si="224"/>
        <v>0</v>
      </c>
      <c r="N223" s="55">
        <f t="shared" si="224"/>
        <v>0</v>
      </c>
      <c r="O223" s="55">
        <f t="shared" si="224"/>
        <v>0</v>
      </c>
      <c r="P223" s="55">
        <f t="shared" si="224"/>
        <v>0</v>
      </c>
      <c r="Q223" s="55">
        <f t="shared" si="224"/>
        <v>0</v>
      </c>
      <c r="R223" s="55">
        <f t="shared" si="224"/>
        <v>0</v>
      </c>
      <c r="S223" s="55">
        <f t="shared" si="224"/>
        <v>0</v>
      </c>
      <c r="T223" s="55">
        <f t="shared" si="224"/>
        <v>0</v>
      </c>
      <c r="U223" s="55">
        <f t="shared" si="224"/>
        <v>0</v>
      </c>
      <c r="V223" s="55">
        <f t="shared" si="224"/>
        <v>0</v>
      </c>
      <c r="W223" s="55">
        <f t="shared" si="224"/>
        <v>0</v>
      </c>
      <c r="X223" s="55">
        <f t="shared" si="224"/>
        <v>0</v>
      </c>
      <c r="Y223" s="55">
        <f t="shared" si="224"/>
        <v>0</v>
      </c>
      <c r="Z223" s="55">
        <f t="shared" si="224"/>
        <v>0</v>
      </c>
      <c r="AA223" s="55">
        <f t="shared" si="224"/>
        <v>0</v>
      </c>
      <c r="AB223" s="55">
        <f t="shared" si="224"/>
        <v>0</v>
      </c>
      <c r="AC223" s="55">
        <f t="shared" si="224"/>
        <v>0</v>
      </c>
      <c r="AD223" s="55">
        <f t="shared" si="224"/>
        <v>0</v>
      </c>
      <c r="AE223" s="55">
        <f t="shared" si="224"/>
        <v>0</v>
      </c>
      <c r="AF223" s="55">
        <f t="shared" si="224"/>
        <v>0</v>
      </c>
      <c r="AG223" s="55">
        <f t="shared" si="224"/>
        <v>0</v>
      </c>
      <c r="AH223" s="55">
        <f t="shared" si="224"/>
        <v>0</v>
      </c>
      <c r="AI223" s="55">
        <f t="shared" ref="AI223:BJ223" si="225">IF(AND(AI$127&gt;=$I115,AI$127&lt;$I115+$F115),INDEX($T115:$AI115,AI$127-$I115+1),0)</f>
        <v>0</v>
      </c>
      <c r="AJ223" s="55">
        <f t="shared" si="225"/>
        <v>0</v>
      </c>
      <c r="AK223" s="55">
        <f t="shared" si="225"/>
        <v>0</v>
      </c>
      <c r="AL223" s="55">
        <f t="shared" si="225"/>
        <v>0</v>
      </c>
      <c r="AM223" s="55">
        <f t="shared" si="225"/>
        <v>0</v>
      </c>
      <c r="AN223" s="55">
        <f t="shared" si="225"/>
        <v>0</v>
      </c>
      <c r="AO223" s="55">
        <f t="shared" si="225"/>
        <v>0</v>
      </c>
      <c r="AP223" s="55">
        <f t="shared" si="225"/>
        <v>0</v>
      </c>
      <c r="AQ223" s="55">
        <f t="shared" si="225"/>
        <v>0</v>
      </c>
      <c r="AR223" s="55">
        <f t="shared" si="225"/>
        <v>0</v>
      </c>
      <c r="AS223" s="55">
        <f t="shared" si="225"/>
        <v>0</v>
      </c>
      <c r="AT223" s="55">
        <f t="shared" si="225"/>
        <v>0</v>
      </c>
      <c r="AU223" s="55">
        <f t="shared" si="225"/>
        <v>0</v>
      </c>
      <c r="AV223" s="55">
        <f t="shared" si="225"/>
        <v>0</v>
      </c>
      <c r="AW223" s="55">
        <f t="shared" si="225"/>
        <v>0</v>
      </c>
      <c r="AX223" s="55">
        <f t="shared" si="225"/>
        <v>0</v>
      </c>
      <c r="AY223" s="55">
        <f t="shared" si="225"/>
        <v>0</v>
      </c>
      <c r="AZ223" s="55">
        <f t="shared" si="225"/>
        <v>0</v>
      </c>
      <c r="BA223" s="55">
        <f t="shared" si="225"/>
        <v>0</v>
      </c>
      <c r="BB223" s="55">
        <f t="shared" si="225"/>
        <v>0</v>
      </c>
      <c r="BC223" s="55">
        <f t="shared" si="225"/>
        <v>0</v>
      </c>
      <c r="BD223" s="55">
        <f t="shared" si="225"/>
        <v>0</v>
      </c>
      <c r="BE223" s="55">
        <f t="shared" si="225"/>
        <v>0</v>
      </c>
      <c r="BF223" s="55">
        <f t="shared" si="225"/>
        <v>0</v>
      </c>
      <c r="BG223" s="55">
        <f t="shared" si="225"/>
        <v>0</v>
      </c>
      <c r="BH223" s="55">
        <f t="shared" si="225"/>
        <v>0</v>
      </c>
      <c r="BI223" s="55">
        <f t="shared" si="225"/>
        <v>0</v>
      </c>
      <c r="BJ223" s="55">
        <f t="shared" si="225"/>
        <v>0</v>
      </c>
    </row>
    <row r="224" spans="1:62" x14ac:dyDescent="0.3">
      <c r="A224" s="53" t="str">
        <f t="shared" si="169"/>
        <v>project 192</v>
      </c>
      <c r="C224" s="55">
        <f t="shared" ref="C224:AH224" si="226">IF(AND(C$127&gt;=$I116,C$127&lt;$I116+$F116),INDEX($T116:$AI116,C$127-$I116+1),0)</f>
        <v>0</v>
      </c>
      <c r="D224" s="55">
        <f t="shared" si="226"/>
        <v>0</v>
      </c>
      <c r="E224" s="55">
        <f t="shared" si="226"/>
        <v>0</v>
      </c>
      <c r="F224" s="55">
        <f t="shared" si="226"/>
        <v>0</v>
      </c>
      <c r="G224" s="55">
        <f t="shared" si="226"/>
        <v>0</v>
      </c>
      <c r="H224" s="55">
        <f t="shared" si="226"/>
        <v>0</v>
      </c>
      <c r="I224" s="55">
        <f t="shared" si="226"/>
        <v>0</v>
      </c>
      <c r="J224" s="55">
        <f t="shared" si="226"/>
        <v>0</v>
      </c>
      <c r="K224" s="55">
        <f t="shared" si="226"/>
        <v>0</v>
      </c>
      <c r="L224" s="55">
        <f t="shared" si="226"/>
        <v>0</v>
      </c>
      <c r="M224" s="55">
        <f t="shared" si="226"/>
        <v>0</v>
      </c>
      <c r="N224" s="55">
        <f t="shared" si="226"/>
        <v>0</v>
      </c>
      <c r="O224" s="55">
        <f t="shared" si="226"/>
        <v>0</v>
      </c>
      <c r="P224" s="55">
        <f t="shared" si="226"/>
        <v>0</v>
      </c>
      <c r="Q224" s="55">
        <f t="shared" si="226"/>
        <v>0</v>
      </c>
      <c r="R224" s="55">
        <f t="shared" si="226"/>
        <v>0</v>
      </c>
      <c r="S224" s="55">
        <f t="shared" si="226"/>
        <v>0</v>
      </c>
      <c r="T224" s="55">
        <f t="shared" si="226"/>
        <v>0</v>
      </c>
      <c r="U224" s="55">
        <f t="shared" si="226"/>
        <v>1.2149840000000001</v>
      </c>
      <c r="V224" s="55">
        <f t="shared" si="226"/>
        <v>6.1264705882352943E-2</v>
      </c>
      <c r="W224" s="55">
        <f t="shared" si="226"/>
        <v>0</v>
      </c>
      <c r="X224" s="55">
        <f t="shared" si="226"/>
        <v>0</v>
      </c>
      <c r="Y224" s="55">
        <f t="shared" si="226"/>
        <v>0</v>
      </c>
      <c r="Z224" s="55">
        <f t="shared" si="226"/>
        <v>0</v>
      </c>
      <c r="AA224" s="55">
        <f t="shared" si="226"/>
        <v>0</v>
      </c>
      <c r="AB224" s="55">
        <f t="shared" si="226"/>
        <v>0</v>
      </c>
      <c r="AC224" s="55">
        <f t="shared" si="226"/>
        <v>0</v>
      </c>
      <c r="AD224" s="55">
        <f t="shared" si="226"/>
        <v>0</v>
      </c>
      <c r="AE224" s="55">
        <f t="shared" si="226"/>
        <v>0</v>
      </c>
      <c r="AF224" s="55">
        <f t="shared" si="226"/>
        <v>0</v>
      </c>
      <c r="AG224" s="55">
        <f t="shared" si="226"/>
        <v>0</v>
      </c>
      <c r="AH224" s="55">
        <f t="shared" si="226"/>
        <v>0</v>
      </c>
      <c r="AI224" s="55">
        <f t="shared" ref="AI224:BJ224" si="227">IF(AND(AI$127&gt;=$I116,AI$127&lt;$I116+$F116),INDEX($T116:$AI116,AI$127-$I116+1),0)</f>
        <v>0</v>
      </c>
      <c r="AJ224" s="55">
        <f t="shared" si="227"/>
        <v>0</v>
      </c>
      <c r="AK224" s="55">
        <f t="shared" si="227"/>
        <v>0</v>
      </c>
      <c r="AL224" s="55">
        <f t="shared" si="227"/>
        <v>0</v>
      </c>
      <c r="AM224" s="55">
        <f t="shared" si="227"/>
        <v>0</v>
      </c>
      <c r="AN224" s="55">
        <f t="shared" si="227"/>
        <v>0</v>
      </c>
      <c r="AO224" s="55">
        <f t="shared" si="227"/>
        <v>0</v>
      </c>
      <c r="AP224" s="55">
        <f t="shared" si="227"/>
        <v>0</v>
      </c>
      <c r="AQ224" s="55">
        <f t="shared" si="227"/>
        <v>0</v>
      </c>
      <c r="AR224" s="55">
        <f t="shared" si="227"/>
        <v>0</v>
      </c>
      <c r="AS224" s="55">
        <f t="shared" si="227"/>
        <v>0</v>
      </c>
      <c r="AT224" s="55">
        <f t="shared" si="227"/>
        <v>0</v>
      </c>
      <c r="AU224" s="55">
        <f t="shared" si="227"/>
        <v>0</v>
      </c>
      <c r="AV224" s="55">
        <f t="shared" si="227"/>
        <v>0</v>
      </c>
      <c r="AW224" s="55">
        <f t="shared" si="227"/>
        <v>0</v>
      </c>
      <c r="AX224" s="55">
        <f t="shared" si="227"/>
        <v>0</v>
      </c>
      <c r="AY224" s="55">
        <f t="shared" si="227"/>
        <v>0</v>
      </c>
      <c r="AZ224" s="55">
        <f t="shared" si="227"/>
        <v>0</v>
      </c>
      <c r="BA224" s="55">
        <f t="shared" si="227"/>
        <v>0</v>
      </c>
      <c r="BB224" s="55">
        <f t="shared" si="227"/>
        <v>0</v>
      </c>
      <c r="BC224" s="55">
        <f t="shared" si="227"/>
        <v>0</v>
      </c>
      <c r="BD224" s="55">
        <f t="shared" si="227"/>
        <v>0</v>
      </c>
      <c r="BE224" s="55">
        <f t="shared" si="227"/>
        <v>0</v>
      </c>
      <c r="BF224" s="55">
        <f t="shared" si="227"/>
        <v>0</v>
      </c>
      <c r="BG224" s="55">
        <f t="shared" si="227"/>
        <v>0</v>
      </c>
      <c r="BH224" s="55">
        <f t="shared" si="227"/>
        <v>0</v>
      </c>
      <c r="BI224" s="55">
        <f t="shared" si="227"/>
        <v>0</v>
      </c>
      <c r="BJ224" s="55">
        <f t="shared" si="227"/>
        <v>0</v>
      </c>
    </row>
    <row r="225" spans="1:62" x14ac:dyDescent="0.3">
      <c r="A225" s="53" t="str">
        <f t="shared" si="169"/>
        <v>project 193</v>
      </c>
      <c r="C225" s="55">
        <f t="shared" ref="C225:AH225" si="228">IF(AND(C$127&gt;=$I117,C$127&lt;$I117+$F117),INDEX($T117:$AI117,C$127-$I117+1),0)</f>
        <v>1.0588235294117641</v>
      </c>
      <c r="D225" s="55">
        <f t="shared" si="228"/>
        <v>0</v>
      </c>
      <c r="E225" s="55">
        <f t="shared" si="228"/>
        <v>0</v>
      </c>
      <c r="F225" s="55">
        <f t="shared" si="228"/>
        <v>0</v>
      </c>
      <c r="G225" s="55">
        <f t="shared" si="228"/>
        <v>0</v>
      </c>
      <c r="H225" s="55">
        <f t="shared" si="228"/>
        <v>0</v>
      </c>
      <c r="I225" s="55">
        <f t="shared" si="228"/>
        <v>0</v>
      </c>
      <c r="J225" s="55">
        <f t="shared" si="228"/>
        <v>0</v>
      </c>
      <c r="K225" s="55">
        <f t="shared" si="228"/>
        <v>0</v>
      </c>
      <c r="L225" s="55">
        <f t="shared" si="228"/>
        <v>0</v>
      </c>
      <c r="M225" s="55">
        <f t="shared" si="228"/>
        <v>0</v>
      </c>
      <c r="N225" s="55">
        <f t="shared" si="228"/>
        <v>0</v>
      </c>
      <c r="O225" s="55">
        <f t="shared" si="228"/>
        <v>0</v>
      </c>
      <c r="P225" s="55">
        <f t="shared" si="228"/>
        <v>0</v>
      </c>
      <c r="Q225" s="55">
        <f t="shared" si="228"/>
        <v>0</v>
      </c>
      <c r="R225" s="55">
        <f t="shared" si="228"/>
        <v>0</v>
      </c>
      <c r="S225" s="55">
        <f t="shared" si="228"/>
        <v>0</v>
      </c>
      <c r="T225" s="55">
        <f t="shared" si="228"/>
        <v>0</v>
      </c>
      <c r="U225" s="55">
        <f t="shared" si="228"/>
        <v>0</v>
      </c>
      <c r="V225" s="55">
        <f t="shared" si="228"/>
        <v>0</v>
      </c>
      <c r="W225" s="55">
        <f t="shared" si="228"/>
        <v>0</v>
      </c>
      <c r="X225" s="55">
        <f t="shared" si="228"/>
        <v>0</v>
      </c>
      <c r="Y225" s="55">
        <f t="shared" si="228"/>
        <v>0</v>
      </c>
      <c r="Z225" s="55">
        <f t="shared" si="228"/>
        <v>0</v>
      </c>
      <c r="AA225" s="55">
        <f t="shared" si="228"/>
        <v>0</v>
      </c>
      <c r="AB225" s="55">
        <f t="shared" si="228"/>
        <v>0</v>
      </c>
      <c r="AC225" s="55">
        <f t="shared" si="228"/>
        <v>0</v>
      </c>
      <c r="AD225" s="55">
        <f t="shared" si="228"/>
        <v>0</v>
      </c>
      <c r="AE225" s="55">
        <f t="shared" si="228"/>
        <v>0</v>
      </c>
      <c r="AF225" s="55">
        <f t="shared" si="228"/>
        <v>0</v>
      </c>
      <c r="AG225" s="55">
        <f t="shared" si="228"/>
        <v>0</v>
      </c>
      <c r="AH225" s="55">
        <f t="shared" si="228"/>
        <v>0</v>
      </c>
      <c r="AI225" s="55">
        <f t="shared" ref="AI225:BJ225" si="229">IF(AND(AI$127&gt;=$I117,AI$127&lt;$I117+$F117),INDEX($T117:$AI117,AI$127-$I117+1),0)</f>
        <v>0</v>
      </c>
      <c r="AJ225" s="55">
        <f t="shared" si="229"/>
        <v>0</v>
      </c>
      <c r="AK225" s="55">
        <f t="shared" si="229"/>
        <v>0</v>
      </c>
      <c r="AL225" s="55">
        <f t="shared" si="229"/>
        <v>0</v>
      </c>
      <c r="AM225" s="55">
        <f t="shared" si="229"/>
        <v>0</v>
      </c>
      <c r="AN225" s="55">
        <f t="shared" si="229"/>
        <v>0</v>
      </c>
      <c r="AO225" s="55">
        <f t="shared" si="229"/>
        <v>0</v>
      </c>
      <c r="AP225" s="55">
        <f t="shared" si="229"/>
        <v>0</v>
      </c>
      <c r="AQ225" s="55">
        <f t="shared" si="229"/>
        <v>0</v>
      </c>
      <c r="AR225" s="55">
        <f t="shared" si="229"/>
        <v>0</v>
      </c>
      <c r="AS225" s="55">
        <f t="shared" si="229"/>
        <v>0</v>
      </c>
      <c r="AT225" s="55">
        <f t="shared" si="229"/>
        <v>0</v>
      </c>
      <c r="AU225" s="55">
        <f t="shared" si="229"/>
        <v>0</v>
      </c>
      <c r="AV225" s="55">
        <f t="shared" si="229"/>
        <v>0</v>
      </c>
      <c r="AW225" s="55">
        <f t="shared" si="229"/>
        <v>0</v>
      </c>
      <c r="AX225" s="55">
        <f t="shared" si="229"/>
        <v>0</v>
      </c>
      <c r="AY225" s="55">
        <f t="shared" si="229"/>
        <v>0</v>
      </c>
      <c r="AZ225" s="55">
        <f t="shared" si="229"/>
        <v>0</v>
      </c>
      <c r="BA225" s="55">
        <f t="shared" si="229"/>
        <v>0</v>
      </c>
      <c r="BB225" s="55">
        <f t="shared" si="229"/>
        <v>0</v>
      </c>
      <c r="BC225" s="55">
        <f t="shared" si="229"/>
        <v>0</v>
      </c>
      <c r="BD225" s="55">
        <f t="shared" si="229"/>
        <v>0</v>
      </c>
      <c r="BE225" s="55">
        <f t="shared" si="229"/>
        <v>0</v>
      </c>
      <c r="BF225" s="55">
        <f t="shared" si="229"/>
        <v>0</v>
      </c>
      <c r="BG225" s="55">
        <f t="shared" si="229"/>
        <v>0</v>
      </c>
      <c r="BH225" s="55">
        <f t="shared" si="229"/>
        <v>0</v>
      </c>
      <c r="BI225" s="55">
        <f t="shared" si="229"/>
        <v>0</v>
      </c>
      <c r="BJ225" s="55">
        <f t="shared" si="229"/>
        <v>0</v>
      </c>
    </row>
    <row r="226" spans="1:62" x14ac:dyDescent="0.3">
      <c r="A226" s="53" t="str">
        <f t="shared" si="169"/>
        <v>project 195</v>
      </c>
      <c r="C226" s="55">
        <f t="shared" ref="C226:AH226" si="230">IF(AND(C$127&gt;=$I118,C$127&lt;$I118+$F118),INDEX($T118:$AI118,C$127-$I118+1),0)</f>
        <v>0</v>
      </c>
      <c r="D226" s="55">
        <f t="shared" si="230"/>
        <v>0</v>
      </c>
      <c r="E226" s="55">
        <f t="shared" si="230"/>
        <v>0</v>
      </c>
      <c r="F226" s="55">
        <f t="shared" si="230"/>
        <v>0</v>
      </c>
      <c r="G226" s="55">
        <f t="shared" si="230"/>
        <v>0</v>
      </c>
      <c r="H226" s="55">
        <f t="shared" si="230"/>
        <v>0</v>
      </c>
      <c r="I226" s="55">
        <f t="shared" si="230"/>
        <v>0</v>
      </c>
      <c r="J226" s="55">
        <f t="shared" si="230"/>
        <v>0</v>
      </c>
      <c r="K226" s="55">
        <f t="shared" si="230"/>
        <v>0</v>
      </c>
      <c r="L226" s="55">
        <f t="shared" si="230"/>
        <v>0</v>
      </c>
      <c r="M226" s="55">
        <f t="shared" si="230"/>
        <v>0</v>
      </c>
      <c r="N226" s="55">
        <f t="shared" si="230"/>
        <v>0</v>
      </c>
      <c r="O226" s="55">
        <f t="shared" si="230"/>
        <v>0</v>
      </c>
      <c r="P226" s="55">
        <f t="shared" si="230"/>
        <v>0</v>
      </c>
      <c r="Q226" s="55">
        <f t="shared" si="230"/>
        <v>0</v>
      </c>
      <c r="R226" s="55">
        <f t="shared" si="230"/>
        <v>0</v>
      </c>
      <c r="S226" s="55">
        <f t="shared" si="230"/>
        <v>0</v>
      </c>
      <c r="T226" s="55">
        <f t="shared" si="230"/>
        <v>0</v>
      </c>
      <c r="U226" s="55">
        <f t="shared" si="230"/>
        <v>0.56722899999999998</v>
      </c>
      <c r="V226" s="55">
        <f t="shared" si="230"/>
        <v>0.2780539215686274</v>
      </c>
      <c r="W226" s="55">
        <f t="shared" si="230"/>
        <v>0</v>
      </c>
      <c r="X226" s="55">
        <f t="shared" si="230"/>
        <v>0</v>
      </c>
      <c r="Y226" s="55">
        <f t="shared" si="230"/>
        <v>0</v>
      </c>
      <c r="Z226" s="55">
        <f t="shared" si="230"/>
        <v>0</v>
      </c>
      <c r="AA226" s="55">
        <f t="shared" si="230"/>
        <v>0</v>
      </c>
      <c r="AB226" s="55">
        <f t="shared" si="230"/>
        <v>0</v>
      </c>
      <c r="AC226" s="55">
        <f t="shared" si="230"/>
        <v>0</v>
      </c>
      <c r="AD226" s="55">
        <f t="shared" si="230"/>
        <v>0</v>
      </c>
      <c r="AE226" s="55">
        <f t="shared" si="230"/>
        <v>0</v>
      </c>
      <c r="AF226" s="55">
        <f t="shared" si="230"/>
        <v>0</v>
      </c>
      <c r="AG226" s="55">
        <f t="shared" si="230"/>
        <v>0</v>
      </c>
      <c r="AH226" s="55">
        <f t="shared" si="230"/>
        <v>0</v>
      </c>
      <c r="AI226" s="55">
        <f t="shared" ref="AI226:BJ226" si="231">IF(AND(AI$127&gt;=$I118,AI$127&lt;$I118+$F118),INDEX($T118:$AI118,AI$127-$I118+1),0)</f>
        <v>0</v>
      </c>
      <c r="AJ226" s="55">
        <f t="shared" si="231"/>
        <v>0</v>
      </c>
      <c r="AK226" s="55">
        <f t="shared" si="231"/>
        <v>0</v>
      </c>
      <c r="AL226" s="55">
        <f t="shared" si="231"/>
        <v>0</v>
      </c>
      <c r="AM226" s="55">
        <f t="shared" si="231"/>
        <v>0</v>
      </c>
      <c r="AN226" s="55">
        <f t="shared" si="231"/>
        <v>0</v>
      </c>
      <c r="AO226" s="55">
        <f t="shared" si="231"/>
        <v>0</v>
      </c>
      <c r="AP226" s="55">
        <f t="shared" si="231"/>
        <v>0</v>
      </c>
      <c r="AQ226" s="55">
        <f t="shared" si="231"/>
        <v>0</v>
      </c>
      <c r="AR226" s="55">
        <f t="shared" si="231"/>
        <v>0</v>
      </c>
      <c r="AS226" s="55">
        <f t="shared" si="231"/>
        <v>0</v>
      </c>
      <c r="AT226" s="55">
        <f t="shared" si="231"/>
        <v>0</v>
      </c>
      <c r="AU226" s="55">
        <f t="shared" si="231"/>
        <v>0</v>
      </c>
      <c r="AV226" s="55">
        <f t="shared" si="231"/>
        <v>0</v>
      </c>
      <c r="AW226" s="55">
        <f t="shared" si="231"/>
        <v>0</v>
      </c>
      <c r="AX226" s="55">
        <f t="shared" si="231"/>
        <v>0</v>
      </c>
      <c r="AY226" s="55">
        <f t="shared" si="231"/>
        <v>0</v>
      </c>
      <c r="AZ226" s="55">
        <f t="shared" si="231"/>
        <v>0</v>
      </c>
      <c r="BA226" s="55">
        <f t="shared" si="231"/>
        <v>0</v>
      </c>
      <c r="BB226" s="55">
        <f t="shared" si="231"/>
        <v>0</v>
      </c>
      <c r="BC226" s="55">
        <f t="shared" si="231"/>
        <v>0</v>
      </c>
      <c r="BD226" s="55">
        <f t="shared" si="231"/>
        <v>0</v>
      </c>
      <c r="BE226" s="55">
        <f t="shared" si="231"/>
        <v>0</v>
      </c>
      <c r="BF226" s="55">
        <f t="shared" si="231"/>
        <v>0</v>
      </c>
      <c r="BG226" s="55">
        <f t="shared" si="231"/>
        <v>0</v>
      </c>
      <c r="BH226" s="55">
        <f t="shared" si="231"/>
        <v>0</v>
      </c>
      <c r="BI226" s="55">
        <f t="shared" si="231"/>
        <v>0</v>
      </c>
      <c r="BJ226" s="55">
        <f t="shared" si="231"/>
        <v>0</v>
      </c>
    </row>
    <row r="227" spans="1:62" x14ac:dyDescent="0.3">
      <c r="A227" s="53" t="str">
        <f t="shared" si="169"/>
        <v>project 200</v>
      </c>
      <c r="C227" s="55">
        <f t="shared" ref="C227:AH227" si="232">IF(AND(C$127&gt;=$I119,C$127&lt;$I119+$F119),INDEX($T119:$AI119,C$127-$I119+1),0)</f>
        <v>0</v>
      </c>
      <c r="D227" s="55">
        <f t="shared" si="232"/>
        <v>0</v>
      </c>
      <c r="E227" s="55">
        <f t="shared" si="232"/>
        <v>0</v>
      </c>
      <c r="F227" s="55">
        <f t="shared" si="232"/>
        <v>0</v>
      </c>
      <c r="G227" s="55">
        <f t="shared" si="232"/>
        <v>0</v>
      </c>
      <c r="H227" s="55">
        <f t="shared" si="232"/>
        <v>0</v>
      </c>
      <c r="I227" s="55">
        <f t="shared" si="232"/>
        <v>0</v>
      </c>
      <c r="J227" s="55">
        <f t="shared" si="232"/>
        <v>0</v>
      </c>
      <c r="K227" s="55">
        <f t="shared" si="232"/>
        <v>0</v>
      </c>
      <c r="L227" s="55">
        <f t="shared" si="232"/>
        <v>0</v>
      </c>
      <c r="M227" s="55">
        <f t="shared" si="232"/>
        <v>0</v>
      </c>
      <c r="N227" s="55">
        <f t="shared" si="232"/>
        <v>0</v>
      </c>
      <c r="O227" s="55">
        <f t="shared" si="232"/>
        <v>0</v>
      </c>
      <c r="P227" s="55">
        <f t="shared" si="232"/>
        <v>0</v>
      </c>
      <c r="Q227" s="55">
        <f t="shared" si="232"/>
        <v>0</v>
      </c>
      <c r="R227" s="55">
        <f t="shared" si="232"/>
        <v>0</v>
      </c>
      <c r="S227" s="55">
        <f t="shared" si="232"/>
        <v>0</v>
      </c>
      <c r="T227" s="55">
        <f t="shared" si="232"/>
        <v>0</v>
      </c>
      <c r="U227" s="55">
        <f t="shared" si="232"/>
        <v>0.74632500000000002</v>
      </c>
      <c r="V227" s="55">
        <f t="shared" si="232"/>
        <v>4.7127450980392151E-2</v>
      </c>
      <c r="W227" s="55">
        <f t="shared" si="232"/>
        <v>0</v>
      </c>
      <c r="X227" s="55">
        <f t="shared" si="232"/>
        <v>0</v>
      </c>
      <c r="Y227" s="55">
        <f t="shared" si="232"/>
        <v>0</v>
      </c>
      <c r="Z227" s="55">
        <f t="shared" si="232"/>
        <v>0</v>
      </c>
      <c r="AA227" s="55">
        <f t="shared" si="232"/>
        <v>0</v>
      </c>
      <c r="AB227" s="55">
        <f t="shared" si="232"/>
        <v>0</v>
      </c>
      <c r="AC227" s="55">
        <f t="shared" si="232"/>
        <v>0</v>
      </c>
      <c r="AD227" s="55">
        <f t="shared" si="232"/>
        <v>0</v>
      </c>
      <c r="AE227" s="55">
        <f t="shared" si="232"/>
        <v>0</v>
      </c>
      <c r="AF227" s="55">
        <f t="shared" si="232"/>
        <v>0</v>
      </c>
      <c r="AG227" s="55">
        <f t="shared" si="232"/>
        <v>0</v>
      </c>
      <c r="AH227" s="55">
        <f t="shared" si="232"/>
        <v>0</v>
      </c>
      <c r="AI227" s="55">
        <f t="shared" ref="AI227:BJ227" si="233">IF(AND(AI$127&gt;=$I119,AI$127&lt;$I119+$F119),INDEX($T119:$AI119,AI$127-$I119+1),0)</f>
        <v>0</v>
      </c>
      <c r="AJ227" s="55">
        <f t="shared" si="233"/>
        <v>0</v>
      </c>
      <c r="AK227" s="55">
        <f t="shared" si="233"/>
        <v>0</v>
      </c>
      <c r="AL227" s="55">
        <f t="shared" si="233"/>
        <v>0</v>
      </c>
      <c r="AM227" s="55">
        <f t="shared" si="233"/>
        <v>0</v>
      </c>
      <c r="AN227" s="55">
        <f t="shared" si="233"/>
        <v>0</v>
      </c>
      <c r="AO227" s="55">
        <f t="shared" si="233"/>
        <v>0</v>
      </c>
      <c r="AP227" s="55">
        <f t="shared" si="233"/>
        <v>0</v>
      </c>
      <c r="AQ227" s="55">
        <f t="shared" si="233"/>
        <v>0</v>
      </c>
      <c r="AR227" s="55">
        <f t="shared" si="233"/>
        <v>0</v>
      </c>
      <c r="AS227" s="55">
        <f t="shared" si="233"/>
        <v>0</v>
      </c>
      <c r="AT227" s="55">
        <f t="shared" si="233"/>
        <v>0</v>
      </c>
      <c r="AU227" s="55">
        <f t="shared" si="233"/>
        <v>0</v>
      </c>
      <c r="AV227" s="55">
        <f t="shared" si="233"/>
        <v>0</v>
      </c>
      <c r="AW227" s="55">
        <f t="shared" si="233"/>
        <v>0</v>
      </c>
      <c r="AX227" s="55">
        <f t="shared" si="233"/>
        <v>0</v>
      </c>
      <c r="AY227" s="55">
        <f t="shared" si="233"/>
        <v>0</v>
      </c>
      <c r="AZ227" s="55">
        <f t="shared" si="233"/>
        <v>0</v>
      </c>
      <c r="BA227" s="55">
        <f t="shared" si="233"/>
        <v>0</v>
      </c>
      <c r="BB227" s="55">
        <f t="shared" si="233"/>
        <v>0</v>
      </c>
      <c r="BC227" s="55">
        <f t="shared" si="233"/>
        <v>0</v>
      </c>
      <c r="BD227" s="55">
        <f t="shared" si="233"/>
        <v>0</v>
      </c>
      <c r="BE227" s="55">
        <f t="shared" si="233"/>
        <v>0</v>
      </c>
      <c r="BF227" s="55">
        <f t="shared" si="233"/>
        <v>0</v>
      </c>
      <c r="BG227" s="55">
        <f t="shared" si="233"/>
        <v>0</v>
      </c>
      <c r="BH227" s="55">
        <f t="shared" si="233"/>
        <v>0</v>
      </c>
      <c r="BI227" s="55">
        <f t="shared" si="233"/>
        <v>0</v>
      </c>
      <c r="BJ227" s="55">
        <f t="shared" si="233"/>
        <v>0</v>
      </c>
    </row>
    <row r="228" spans="1:62" x14ac:dyDescent="0.3">
      <c r="A228" s="53" t="str">
        <f t="shared" ref="A228:A259" si="234">A120</f>
        <v>project 204</v>
      </c>
      <c r="C228" s="55">
        <f t="shared" ref="C228:AH228" si="235">IF(AND(C$127&gt;=$I120,C$127&lt;$I120+$F120),INDEX($T120:$AI120,C$127-$I120+1),0)</f>
        <v>0</v>
      </c>
      <c r="D228" s="55">
        <f t="shared" si="235"/>
        <v>3.5511764705882347E-2</v>
      </c>
      <c r="E228" s="55">
        <f t="shared" si="235"/>
        <v>0.16027297193387161</v>
      </c>
      <c r="F228" s="55">
        <f t="shared" si="235"/>
        <v>0.16058680296416911</v>
      </c>
      <c r="G228" s="55">
        <f t="shared" si="235"/>
        <v>0</v>
      </c>
      <c r="H228" s="55">
        <f t="shared" si="235"/>
        <v>0</v>
      </c>
      <c r="I228" s="55">
        <f t="shared" si="235"/>
        <v>0</v>
      </c>
      <c r="J228" s="55">
        <f t="shared" si="235"/>
        <v>0</v>
      </c>
      <c r="K228" s="55">
        <f t="shared" si="235"/>
        <v>0</v>
      </c>
      <c r="L228" s="55">
        <f t="shared" si="235"/>
        <v>0</v>
      </c>
      <c r="M228" s="55">
        <f t="shared" si="235"/>
        <v>0</v>
      </c>
      <c r="N228" s="55">
        <f t="shared" si="235"/>
        <v>0</v>
      </c>
      <c r="O228" s="55">
        <f t="shared" si="235"/>
        <v>0</v>
      </c>
      <c r="P228" s="55">
        <f t="shared" si="235"/>
        <v>0</v>
      </c>
      <c r="Q228" s="55">
        <f t="shared" si="235"/>
        <v>0</v>
      </c>
      <c r="R228" s="55">
        <f t="shared" si="235"/>
        <v>0</v>
      </c>
      <c r="S228" s="55">
        <f t="shared" si="235"/>
        <v>0</v>
      </c>
      <c r="T228" s="55">
        <f t="shared" si="235"/>
        <v>0</v>
      </c>
      <c r="U228" s="55">
        <f t="shared" si="235"/>
        <v>0</v>
      </c>
      <c r="V228" s="55">
        <f t="shared" si="235"/>
        <v>0</v>
      </c>
      <c r="W228" s="55">
        <f t="shared" si="235"/>
        <v>0</v>
      </c>
      <c r="X228" s="55">
        <f t="shared" si="235"/>
        <v>0</v>
      </c>
      <c r="Y228" s="55">
        <f t="shared" si="235"/>
        <v>0</v>
      </c>
      <c r="Z228" s="55">
        <f t="shared" si="235"/>
        <v>0</v>
      </c>
      <c r="AA228" s="55">
        <f t="shared" si="235"/>
        <v>0</v>
      </c>
      <c r="AB228" s="55">
        <f t="shared" si="235"/>
        <v>0</v>
      </c>
      <c r="AC228" s="55">
        <f t="shared" si="235"/>
        <v>0</v>
      </c>
      <c r="AD228" s="55">
        <f t="shared" si="235"/>
        <v>0</v>
      </c>
      <c r="AE228" s="55">
        <f t="shared" si="235"/>
        <v>0</v>
      </c>
      <c r="AF228" s="55">
        <f t="shared" si="235"/>
        <v>0</v>
      </c>
      <c r="AG228" s="55">
        <f t="shared" si="235"/>
        <v>0</v>
      </c>
      <c r="AH228" s="55">
        <f t="shared" si="235"/>
        <v>0</v>
      </c>
      <c r="AI228" s="55">
        <f t="shared" ref="AI228:BJ228" si="236">IF(AND(AI$127&gt;=$I120,AI$127&lt;$I120+$F120),INDEX($T120:$AI120,AI$127-$I120+1),0)</f>
        <v>0</v>
      </c>
      <c r="AJ228" s="55">
        <f t="shared" si="236"/>
        <v>0</v>
      </c>
      <c r="AK228" s="55">
        <f t="shared" si="236"/>
        <v>0</v>
      </c>
      <c r="AL228" s="55">
        <f t="shared" si="236"/>
        <v>0</v>
      </c>
      <c r="AM228" s="55">
        <f t="shared" si="236"/>
        <v>0</v>
      </c>
      <c r="AN228" s="55">
        <f t="shared" si="236"/>
        <v>0</v>
      </c>
      <c r="AO228" s="55">
        <f t="shared" si="236"/>
        <v>0</v>
      </c>
      <c r="AP228" s="55">
        <f t="shared" si="236"/>
        <v>0</v>
      </c>
      <c r="AQ228" s="55">
        <f t="shared" si="236"/>
        <v>0</v>
      </c>
      <c r="AR228" s="55">
        <f t="shared" si="236"/>
        <v>0</v>
      </c>
      <c r="AS228" s="55">
        <f t="shared" si="236"/>
        <v>0</v>
      </c>
      <c r="AT228" s="55">
        <f t="shared" si="236"/>
        <v>0</v>
      </c>
      <c r="AU228" s="55">
        <f t="shared" si="236"/>
        <v>0</v>
      </c>
      <c r="AV228" s="55">
        <f t="shared" si="236"/>
        <v>0</v>
      </c>
      <c r="AW228" s="55">
        <f t="shared" si="236"/>
        <v>0</v>
      </c>
      <c r="AX228" s="55">
        <f t="shared" si="236"/>
        <v>0</v>
      </c>
      <c r="AY228" s="55">
        <f t="shared" si="236"/>
        <v>0</v>
      </c>
      <c r="AZ228" s="55">
        <f t="shared" si="236"/>
        <v>0</v>
      </c>
      <c r="BA228" s="55">
        <f t="shared" si="236"/>
        <v>0</v>
      </c>
      <c r="BB228" s="55">
        <f t="shared" si="236"/>
        <v>0</v>
      </c>
      <c r="BC228" s="55">
        <f t="shared" si="236"/>
        <v>0</v>
      </c>
      <c r="BD228" s="55">
        <f t="shared" si="236"/>
        <v>0</v>
      </c>
      <c r="BE228" s="55">
        <f t="shared" si="236"/>
        <v>0</v>
      </c>
      <c r="BF228" s="55">
        <f t="shared" si="236"/>
        <v>0</v>
      </c>
      <c r="BG228" s="55">
        <f t="shared" si="236"/>
        <v>0</v>
      </c>
      <c r="BH228" s="55">
        <f t="shared" si="236"/>
        <v>0</v>
      </c>
      <c r="BI228" s="55">
        <f t="shared" si="236"/>
        <v>0</v>
      </c>
      <c r="BJ228" s="55">
        <f t="shared" si="236"/>
        <v>0</v>
      </c>
    </row>
    <row r="229" spans="1:62" x14ac:dyDescent="0.3">
      <c r="A229" s="53" t="str">
        <f t="shared" si="234"/>
        <v>project 211</v>
      </c>
      <c r="C229" s="55">
        <f t="shared" ref="C229:AH229" si="237">IF(AND(C$127&gt;=$I121,C$127&lt;$I121+$F121),INDEX($T121:$AI121,C$127-$I121+1),0)</f>
        <v>0.05</v>
      </c>
      <c r="D229" s="55">
        <f t="shared" si="237"/>
        <v>0</v>
      </c>
      <c r="E229" s="55">
        <f t="shared" si="237"/>
        <v>0</v>
      </c>
      <c r="F229" s="55">
        <f t="shared" si="237"/>
        <v>0</v>
      </c>
      <c r="G229" s="55">
        <f t="shared" si="237"/>
        <v>0</v>
      </c>
      <c r="H229" s="55">
        <f t="shared" si="237"/>
        <v>0</v>
      </c>
      <c r="I229" s="55">
        <f t="shared" si="237"/>
        <v>0</v>
      </c>
      <c r="J229" s="55">
        <f t="shared" si="237"/>
        <v>0</v>
      </c>
      <c r="K229" s="55">
        <f t="shared" si="237"/>
        <v>0</v>
      </c>
      <c r="L229" s="55">
        <f t="shared" si="237"/>
        <v>0</v>
      </c>
      <c r="M229" s="55">
        <f t="shared" si="237"/>
        <v>0</v>
      </c>
      <c r="N229" s="55">
        <f t="shared" si="237"/>
        <v>0</v>
      </c>
      <c r="O229" s="55">
        <f t="shared" si="237"/>
        <v>0</v>
      </c>
      <c r="P229" s="55">
        <f t="shared" si="237"/>
        <v>0</v>
      </c>
      <c r="Q229" s="55">
        <f t="shared" si="237"/>
        <v>0</v>
      </c>
      <c r="R229" s="55">
        <f t="shared" si="237"/>
        <v>0</v>
      </c>
      <c r="S229" s="55">
        <f t="shared" si="237"/>
        <v>0</v>
      </c>
      <c r="T229" s="55">
        <f t="shared" si="237"/>
        <v>0</v>
      </c>
      <c r="U229" s="55">
        <f t="shared" si="237"/>
        <v>0</v>
      </c>
      <c r="V229" s="55">
        <f t="shared" si="237"/>
        <v>0</v>
      </c>
      <c r="W229" s="55">
        <f t="shared" si="237"/>
        <v>0</v>
      </c>
      <c r="X229" s="55">
        <f t="shared" si="237"/>
        <v>0</v>
      </c>
      <c r="Y229" s="55">
        <f t="shared" si="237"/>
        <v>0</v>
      </c>
      <c r="Z229" s="55">
        <f t="shared" si="237"/>
        <v>0</v>
      </c>
      <c r="AA229" s="55">
        <f t="shared" si="237"/>
        <v>0</v>
      </c>
      <c r="AB229" s="55">
        <f t="shared" si="237"/>
        <v>0</v>
      </c>
      <c r="AC229" s="55">
        <f t="shared" si="237"/>
        <v>0</v>
      </c>
      <c r="AD229" s="55">
        <f t="shared" si="237"/>
        <v>0</v>
      </c>
      <c r="AE229" s="55">
        <f t="shared" si="237"/>
        <v>0</v>
      </c>
      <c r="AF229" s="55">
        <f t="shared" si="237"/>
        <v>0</v>
      </c>
      <c r="AG229" s="55">
        <f t="shared" si="237"/>
        <v>0</v>
      </c>
      <c r="AH229" s="55">
        <f t="shared" si="237"/>
        <v>0</v>
      </c>
      <c r="AI229" s="55">
        <f t="shared" ref="AI229:BJ229" si="238">IF(AND(AI$127&gt;=$I121,AI$127&lt;$I121+$F121),INDEX($T121:$AI121,AI$127-$I121+1),0)</f>
        <v>0</v>
      </c>
      <c r="AJ229" s="55">
        <f t="shared" si="238"/>
        <v>0</v>
      </c>
      <c r="AK229" s="55">
        <f t="shared" si="238"/>
        <v>0</v>
      </c>
      <c r="AL229" s="55">
        <f t="shared" si="238"/>
        <v>0</v>
      </c>
      <c r="AM229" s="55">
        <f t="shared" si="238"/>
        <v>0</v>
      </c>
      <c r="AN229" s="55">
        <f t="shared" si="238"/>
        <v>0</v>
      </c>
      <c r="AO229" s="55">
        <f t="shared" si="238"/>
        <v>0</v>
      </c>
      <c r="AP229" s="55">
        <f t="shared" si="238"/>
        <v>0</v>
      </c>
      <c r="AQ229" s="55">
        <f t="shared" si="238"/>
        <v>0</v>
      </c>
      <c r="AR229" s="55">
        <f t="shared" si="238"/>
        <v>0</v>
      </c>
      <c r="AS229" s="55">
        <f t="shared" si="238"/>
        <v>0</v>
      </c>
      <c r="AT229" s="55">
        <f t="shared" si="238"/>
        <v>0</v>
      </c>
      <c r="AU229" s="55">
        <f t="shared" si="238"/>
        <v>0</v>
      </c>
      <c r="AV229" s="55">
        <f t="shared" si="238"/>
        <v>0</v>
      </c>
      <c r="AW229" s="55">
        <f t="shared" si="238"/>
        <v>0</v>
      </c>
      <c r="AX229" s="55">
        <f t="shared" si="238"/>
        <v>0</v>
      </c>
      <c r="AY229" s="55">
        <f t="shared" si="238"/>
        <v>0</v>
      </c>
      <c r="AZ229" s="55">
        <f t="shared" si="238"/>
        <v>0</v>
      </c>
      <c r="BA229" s="55">
        <f t="shared" si="238"/>
        <v>0</v>
      </c>
      <c r="BB229" s="55">
        <f t="shared" si="238"/>
        <v>0</v>
      </c>
      <c r="BC229" s="55">
        <f t="shared" si="238"/>
        <v>0</v>
      </c>
      <c r="BD229" s="55">
        <f t="shared" si="238"/>
        <v>0</v>
      </c>
      <c r="BE229" s="55">
        <f t="shared" si="238"/>
        <v>0</v>
      </c>
      <c r="BF229" s="55">
        <f t="shared" si="238"/>
        <v>0</v>
      </c>
      <c r="BG229" s="55">
        <f t="shared" si="238"/>
        <v>0</v>
      </c>
      <c r="BH229" s="55">
        <f t="shared" si="238"/>
        <v>0</v>
      </c>
      <c r="BI229" s="55">
        <f t="shared" si="238"/>
        <v>0</v>
      </c>
      <c r="BJ229" s="55">
        <f t="shared" si="238"/>
        <v>0</v>
      </c>
    </row>
    <row r="230" spans="1:62" x14ac:dyDescent="0.3">
      <c r="A230" s="53" t="str">
        <f t="shared" si="234"/>
        <v>project 213</v>
      </c>
      <c r="C230" s="55">
        <f t="shared" ref="C230:AH230" si="239">IF(AND(C$127&gt;=$I122,C$127&lt;$I122+$F122),INDEX($T122:$AI122,C$127-$I122+1),0)</f>
        <v>0</v>
      </c>
      <c r="D230" s="55">
        <f t="shared" si="239"/>
        <v>0</v>
      </c>
      <c r="E230" s="55">
        <f t="shared" si="239"/>
        <v>0</v>
      </c>
      <c r="F230" s="55">
        <f t="shared" si="239"/>
        <v>0</v>
      </c>
      <c r="G230" s="55">
        <f t="shared" si="239"/>
        <v>0</v>
      </c>
      <c r="H230" s="55">
        <f t="shared" si="239"/>
        <v>0</v>
      </c>
      <c r="I230" s="55">
        <f t="shared" si="239"/>
        <v>0</v>
      </c>
      <c r="J230" s="55">
        <f t="shared" si="239"/>
        <v>0</v>
      </c>
      <c r="K230" s="55">
        <f t="shared" si="239"/>
        <v>0</v>
      </c>
      <c r="L230" s="55">
        <f t="shared" si="239"/>
        <v>0</v>
      </c>
      <c r="M230" s="55">
        <f t="shared" si="239"/>
        <v>0</v>
      </c>
      <c r="N230" s="55">
        <f t="shared" si="239"/>
        <v>0</v>
      </c>
      <c r="O230" s="55">
        <f t="shared" si="239"/>
        <v>0</v>
      </c>
      <c r="P230" s="55">
        <f t="shared" si="239"/>
        <v>0</v>
      </c>
      <c r="Q230" s="55">
        <f t="shared" si="239"/>
        <v>0</v>
      </c>
      <c r="R230" s="55">
        <f t="shared" si="239"/>
        <v>0</v>
      </c>
      <c r="S230" s="55">
        <f t="shared" si="239"/>
        <v>0</v>
      </c>
      <c r="T230" s="55">
        <f t="shared" si="239"/>
        <v>0</v>
      </c>
      <c r="U230" s="55">
        <f t="shared" si="239"/>
        <v>2.8840999999999999E-2</v>
      </c>
      <c r="V230" s="55">
        <f t="shared" si="239"/>
        <v>1.4138235294117649E-2</v>
      </c>
      <c r="W230" s="55">
        <f t="shared" si="239"/>
        <v>0</v>
      </c>
      <c r="X230" s="55">
        <f t="shared" si="239"/>
        <v>0</v>
      </c>
      <c r="Y230" s="55">
        <f t="shared" si="239"/>
        <v>0</v>
      </c>
      <c r="Z230" s="55">
        <f t="shared" si="239"/>
        <v>0</v>
      </c>
      <c r="AA230" s="55">
        <f t="shared" si="239"/>
        <v>0</v>
      </c>
      <c r="AB230" s="55">
        <f t="shared" si="239"/>
        <v>0</v>
      </c>
      <c r="AC230" s="55">
        <f t="shared" si="239"/>
        <v>0</v>
      </c>
      <c r="AD230" s="55">
        <f t="shared" si="239"/>
        <v>0</v>
      </c>
      <c r="AE230" s="55">
        <f t="shared" si="239"/>
        <v>0</v>
      </c>
      <c r="AF230" s="55">
        <f t="shared" si="239"/>
        <v>0</v>
      </c>
      <c r="AG230" s="55">
        <f t="shared" si="239"/>
        <v>0</v>
      </c>
      <c r="AH230" s="55">
        <f t="shared" si="239"/>
        <v>0</v>
      </c>
      <c r="AI230" s="55">
        <f t="shared" ref="AI230:BJ230" si="240">IF(AND(AI$127&gt;=$I122,AI$127&lt;$I122+$F122),INDEX($T122:$AI122,AI$127-$I122+1),0)</f>
        <v>0</v>
      </c>
      <c r="AJ230" s="55">
        <f t="shared" si="240"/>
        <v>0</v>
      </c>
      <c r="AK230" s="55">
        <f t="shared" si="240"/>
        <v>0</v>
      </c>
      <c r="AL230" s="55">
        <f t="shared" si="240"/>
        <v>0</v>
      </c>
      <c r="AM230" s="55">
        <f t="shared" si="240"/>
        <v>0</v>
      </c>
      <c r="AN230" s="55">
        <f t="shared" si="240"/>
        <v>0</v>
      </c>
      <c r="AO230" s="55">
        <f t="shared" si="240"/>
        <v>0</v>
      </c>
      <c r="AP230" s="55">
        <f t="shared" si="240"/>
        <v>0</v>
      </c>
      <c r="AQ230" s="55">
        <f t="shared" si="240"/>
        <v>0</v>
      </c>
      <c r="AR230" s="55">
        <f t="shared" si="240"/>
        <v>0</v>
      </c>
      <c r="AS230" s="55">
        <f t="shared" si="240"/>
        <v>0</v>
      </c>
      <c r="AT230" s="55">
        <f t="shared" si="240"/>
        <v>0</v>
      </c>
      <c r="AU230" s="55">
        <f t="shared" si="240"/>
        <v>0</v>
      </c>
      <c r="AV230" s="55">
        <f t="shared" si="240"/>
        <v>0</v>
      </c>
      <c r="AW230" s="55">
        <f t="shared" si="240"/>
        <v>0</v>
      </c>
      <c r="AX230" s="55">
        <f t="shared" si="240"/>
        <v>0</v>
      </c>
      <c r="AY230" s="55">
        <f t="shared" si="240"/>
        <v>0</v>
      </c>
      <c r="AZ230" s="55">
        <f t="shared" si="240"/>
        <v>0</v>
      </c>
      <c r="BA230" s="55">
        <f t="shared" si="240"/>
        <v>0</v>
      </c>
      <c r="BB230" s="55">
        <f t="shared" si="240"/>
        <v>0</v>
      </c>
      <c r="BC230" s="55">
        <f t="shared" si="240"/>
        <v>0</v>
      </c>
      <c r="BD230" s="55">
        <f t="shared" si="240"/>
        <v>0</v>
      </c>
      <c r="BE230" s="55">
        <f t="shared" si="240"/>
        <v>0</v>
      </c>
      <c r="BF230" s="55">
        <f t="shared" si="240"/>
        <v>0</v>
      </c>
      <c r="BG230" s="55">
        <f t="shared" si="240"/>
        <v>0</v>
      </c>
      <c r="BH230" s="55">
        <f t="shared" si="240"/>
        <v>0</v>
      </c>
      <c r="BI230" s="55">
        <f t="shared" si="240"/>
        <v>0</v>
      </c>
      <c r="BJ230" s="55">
        <f t="shared" si="240"/>
        <v>0</v>
      </c>
    </row>
    <row r="231" spans="1:62" x14ac:dyDescent="0.3">
      <c r="A231" s="53" t="str">
        <f t="shared" si="234"/>
        <v>project 218</v>
      </c>
      <c r="C231" s="55">
        <f t="shared" ref="C231:AH231" si="241">IF(AND(C$127&gt;=$I123,C$127&lt;$I123+$F123),INDEX($T123:$AI123,C$127-$I123+1),0)</f>
        <v>0</v>
      </c>
      <c r="D231" s="55">
        <f t="shared" si="241"/>
        <v>0</v>
      </c>
      <c r="E231" s="55">
        <f t="shared" si="241"/>
        <v>0.56036139946174557</v>
      </c>
      <c r="F231" s="55">
        <f t="shared" si="241"/>
        <v>3.9954466984794679</v>
      </c>
      <c r="G231" s="55">
        <f t="shared" si="241"/>
        <v>4.4557064897258787</v>
      </c>
      <c r="H231" s="55">
        <f t="shared" si="241"/>
        <v>0</v>
      </c>
      <c r="I231" s="55">
        <f t="shared" si="241"/>
        <v>0</v>
      </c>
      <c r="J231" s="55">
        <f t="shared" si="241"/>
        <v>0</v>
      </c>
      <c r="K231" s="55">
        <f t="shared" si="241"/>
        <v>0</v>
      </c>
      <c r="L231" s="55">
        <f t="shared" si="241"/>
        <v>0</v>
      </c>
      <c r="M231" s="55">
        <f t="shared" si="241"/>
        <v>0</v>
      </c>
      <c r="N231" s="55">
        <f t="shared" si="241"/>
        <v>0</v>
      </c>
      <c r="O231" s="55">
        <f t="shared" si="241"/>
        <v>0</v>
      </c>
      <c r="P231" s="55">
        <f t="shared" si="241"/>
        <v>0</v>
      </c>
      <c r="Q231" s="55">
        <f t="shared" si="241"/>
        <v>0</v>
      </c>
      <c r="R231" s="55">
        <f t="shared" si="241"/>
        <v>0</v>
      </c>
      <c r="S231" s="55">
        <f t="shared" si="241"/>
        <v>0</v>
      </c>
      <c r="T231" s="55">
        <f t="shared" si="241"/>
        <v>0</v>
      </c>
      <c r="U231" s="55">
        <f t="shared" si="241"/>
        <v>0</v>
      </c>
      <c r="V231" s="55">
        <f t="shared" si="241"/>
        <v>0</v>
      </c>
      <c r="W231" s="55">
        <f t="shared" si="241"/>
        <v>0</v>
      </c>
      <c r="X231" s="55">
        <f t="shared" si="241"/>
        <v>0</v>
      </c>
      <c r="Y231" s="55">
        <f t="shared" si="241"/>
        <v>0</v>
      </c>
      <c r="Z231" s="55">
        <f t="shared" si="241"/>
        <v>0</v>
      </c>
      <c r="AA231" s="55">
        <f t="shared" si="241"/>
        <v>0</v>
      </c>
      <c r="AB231" s="55">
        <f t="shared" si="241"/>
        <v>0</v>
      </c>
      <c r="AC231" s="55">
        <f t="shared" si="241"/>
        <v>0</v>
      </c>
      <c r="AD231" s="55">
        <f t="shared" si="241"/>
        <v>0</v>
      </c>
      <c r="AE231" s="55">
        <f t="shared" si="241"/>
        <v>0</v>
      </c>
      <c r="AF231" s="55">
        <f t="shared" si="241"/>
        <v>0</v>
      </c>
      <c r="AG231" s="55">
        <f t="shared" si="241"/>
        <v>0</v>
      </c>
      <c r="AH231" s="55">
        <f t="shared" si="241"/>
        <v>0</v>
      </c>
      <c r="AI231" s="55">
        <f t="shared" ref="AI231:BJ231" si="242">IF(AND(AI$127&gt;=$I123,AI$127&lt;$I123+$F123),INDEX($T123:$AI123,AI$127-$I123+1),0)</f>
        <v>0</v>
      </c>
      <c r="AJ231" s="55">
        <f t="shared" si="242"/>
        <v>0</v>
      </c>
      <c r="AK231" s="55">
        <f t="shared" si="242"/>
        <v>0</v>
      </c>
      <c r="AL231" s="55">
        <f t="shared" si="242"/>
        <v>0</v>
      </c>
      <c r="AM231" s="55">
        <f t="shared" si="242"/>
        <v>0</v>
      </c>
      <c r="AN231" s="55">
        <f t="shared" si="242"/>
        <v>0</v>
      </c>
      <c r="AO231" s="55">
        <f t="shared" si="242"/>
        <v>0</v>
      </c>
      <c r="AP231" s="55">
        <f t="shared" si="242"/>
        <v>0</v>
      </c>
      <c r="AQ231" s="55">
        <f t="shared" si="242"/>
        <v>0</v>
      </c>
      <c r="AR231" s="55">
        <f t="shared" si="242"/>
        <v>0</v>
      </c>
      <c r="AS231" s="55">
        <f t="shared" si="242"/>
        <v>0</v>
      </c>
      <c r="AT231" s="55">
        <f t="shared" si="242"/>
        <v>0</v>
      </c>
      <c r="AU231" s="55">
        <f t="shared" si="242"/>
        <v>0</v>
      </c>
      <c r="AV231" s="55">
        <f t="shared" si="242"/>
        <v>0</v>
      </c>
      <c r="AW231" s="55">
        <f t="shared" si="242"/>
        <v>0</v>
      </c>
      <c r="AX231" s="55">
        <f t="shared" si="242"/>
        <v>0</v>
      </c>
      <c r="AY231" s="55">
        <f t="shared" si="242"/>
        <v>0</v>
      </c>
      <c r="AZ231" s="55">
        <f t="shared" si="242"/>
        <v>0</v>
      </c>
      <c r="BA231" s="55">
        <f t="shared" si="242"/>
        <v>0</v>
      </c>
      <c r="BB231" s="55">
        <f t="shared" si="242"/>
        <v>0</v>
      </c>
      <c r="BC231" s="55">
        <f t="shared" si="242"/>
        <v>0</v>
      </c>
      <c r="BD231" s="55">
        <f t="shared" si="242"/>
        <v>0</v>
      </c>
      <c r="BE231" s="55">
        <f t="shared" si="242"/>
        <v>0</v>
      </c>
      <c r="BF231" s="55">
        <f t="shared" si="242"/>
        <v>0</v>
      </c>
      <c r="BG231" s="55">
        <f t="shared" si="242"/>
        <v>0</v>
      </c>
      <c r="BH231" s="55">
        <f t="shared" si="242"/>
        <v>0</v>
      </c>
      <c r="BI231" s="55">
        <f t="shared" si="242"/>
        <v>0</v>
      </c>
      <c r="BJ231" s="55">
        <f t="shared" si="242"/>
        <v>0</v>
      </c>
    </row>
    <row r="232" spans="1:62" x14ac:dyDescent="0.3">
      <c r="A232" s="4" t="s">
        <v>251</v>
      </c>
      <c r="C232" s="30">
        <f t="shared" ref="C232:AH232" si="243">SUM(C132:C231)</f>
        <v>167.99630100880512</v>
      </c>
      <c r="D232" s="30">
        <f t="shared" si="243"/>
        <v>238.18531251845118</v>
      </c>
      <c r="E232" s="30">
        <f t="shared" si="243"/>
        <v>223.71115974628347</v>
      </c>
      <c r="F232" s="30">
        <f t="shared" si="243"/>
        <v>203.40581969309989</v>
      </c>
      <c r="G232" s="30">
        <f t="shared" si="243"/>
        <v>200.85447329786123</v>
      </c>
      <c r="H232" s="30">
        <f t="shared" si="243"/>
        <v>225.86672035887673</v>
      </c>
      <c r="I232" s="30">
        <f t="shared" si="243"/>
        <v>208.67881643029239</v>
      </c>
      <c r="J232" s="30">
        <f t="shared" si="243"/>
        <v>131.78171788420065</v>
      </c>
      <c r="K232" s="30">
        <f t="shared" si="243"/>
        <v>42.523701854985987</v>
      </c>
      <c r="L232" s="30">
        <f t="shared" si="243"/>
        <v>3.38343105523921</v>
      </c>
      <c r="M232" s="30">
        <f t="shared" si="243"/>
        <v>3.5375706265955666</v>
      </c>
      <c r="N232" s="30">
        <f t="shared" si="243"/>
        <v>5.0604872787427722</v>
      </c>
      <c r="O232" s="30">
        <f t="shared" si="243"/>
        <v>11.224296091049132</v>
      </c>
      <c r="P232" s="30">
        <f t="shared" si="243"/>
        <v>25.055197868193581</v>
      </c>
      <c r="Q232" s="30">
        <f t="shared" si="243"/>
        <v>37.131595588242391</v>
      </c>
      <c r="R232" s="30">
        <f t="shared" si="243"/>
        <v>46.51447218302679</v>
      </c>
      <c r="S232" s="30">
        <f t="shared" si="243"/>
        <v>104.03576752546675</v>
      </c>
      <c r="T232" s="30">
        <f t="shared" si="243"/>
        <v>334.45892099898566</v>
      </c>
      <c r="U232" s="30">
        <f t="shared" si="243"/>
        <v>764.53361522123862</v>
      </c>
      <c r="V232" s="30">
        <f t="shared" si="243"/>
        <v>851.70755848436761</v>
      </c>
      <c r="W232" s="30">
        <f t="shared" si="243"/>
        <v>0</v>
      </c>
      <c r="X232" s="30">
        <f t="shared" si="243"/>
        <v>0</v>
      </c>
      <c r="Y232" s="30">
        <f t="shared" si="243"/>
        <v>0</v>
      </c>
      <c r="Z232" s="30">
        <f t="shared" si="243"/>
        <v>0</v>
      </c>
      <c r="AA232" s="30">
        <f t="shared" si="243"/>
        <v>0</v>
      </c>
      <c r="AB232" s="30">
        <f t="shared" si="243"/>
        <v>0</v>
      </c>
      <c r="AC232" s="30">
        <f t="shared" si="243"/>
        <v>0</v>
      </c>
      <c r="AD232" s="30">
        <f t="shared" si="243"/>
        <v>0</v>
      </c>
      <c r="AE232" s="30">
        <f t="shared" si="243"/>
        <v>0</v>
      </c>
      <c r="AF232" s="30">
        <f t="shared" si="243"/>
        <v>0</v>
      </c>
      <c r="AG232" s="30">
        <f t="shared" si="243"/>
        <v>0</v>
      </c>
      <c r="AH232" s="30">
        <f t="shared" si="243"/>
        <v>0</v>
      </c>
      <c r="AI232" s="30">
        <f t="shared" ref="AI232:BN232" si="244">SUM(AI132:AI231)</f>
        <v>0</v>
      </c>
      <c r="AJ232" s="30">
        <f t="shared" si="244"/>
        <v>0</v>
      </c>
      <c r="AK232" s="30">
        <f t="shared" si="244"/>
        <v>0</v>
      </c>
      <c r="AL232" s="30">
        <f t="shared" si="244"/>
        <v>0</v>
      </c>
      <c r="AM232" s="30">
        <f t="shared" si="244"/>
        <v>0</v>
      </c>
      <c r="AN232" s="30">
        <f t="shared" si="244"/>
        <v>0</v>
      </c>
      <c r="AO232" s="30">
        <f t="shared" si="244"/>
        <v>0</v>
      </c>
      <c r="AP232" s="30">
        <f t="shared" si="244"/>
        <v>0</v>
      </c>
      <c r="AQ232" s="30">
        <f t="shared" si="244"/>
        <v>0</v>
      </c>
      <c r="AR232" s="30">
        <f t="shared" si="244"/>
        <v>0</v>
      </c>
      <c r="AS232" s="30">
        <f t="shared" si="244"/>
        <v>0</v>
      </c>
      <c r="AT232" s="30">
        <f t="shared" si="244"/>
        <v>0</v>
      </c>
      <c r="AU232" s="30">
        <f t="shared" si="244"/>
        <v>0</v>
      </c>
      <c r="AV232" s="30">
        <f t="shared" si="244"/>
        <v>0</v>
      </c>
      <c r="AW232" s="30">
        <f t="shared" si="244"/>
        <v>0</v>
      </c>
      <c r="AX232" s="30">
        <f t="shared" si="244"/>
        <v>0</v>
      </c>
      <c r="AY232" s="30">
        <f t="shared" si="244"/>
        <v>0</v>
      </c>
      <c r="AZ232" s="30">
        <f t="shared" si="244"/>
        <v>0</v>
      </c>
      <c r="BA232" s="30">
        <f t="shared" si="244"/>
        <v>0</v>
      </c>
      <c r="BB232" s="30">
        <f t="shared" si="244"/>
        <v>0</v>
      </c>
      <c r="BC232" s="30">
        <f t="shared" si="244"/>
        <v>0</v>
      </c>
      <c r="BD232" s="30">
        <f t="shared" si="244"/>
        <v>0</v>
      </c>
      <c r="BE232" s="30">
        <f t="shared" si="244"/>
        <v>0</v>
      </c>
      <c r="BF232" s="30">
        <f t="shared" si="244"/>
        <v>0</v>
      </c>
      <c r="BG232" s="30">
        <f t="shared" si="244"/>
        <v>0</v>
      </c>
      <c r="BH232" s="30">
        <f t="shared" si="244"/>
        <v>0</v>
      </c>
      <c r="BI232" s="30">
        <f t="shared" si="244"/>
        <v>0</v>
      </c>
      <c r="BJ232" s="30">
        <f t="shared" si="244"/>
        <v>0</v>
      </c>
    </row>
    <row r="234" spans="1:62" x14ac:dyDescent="0.3">
      <c r="A234" s="4" t="s">
        <v>252</v>
      </c>
    </row>
    <row r="235" spans="1:62" x14ac:dyDescent="0.3">
      <c r="A235" s="53" t="str">
        <f t="shared" ref="A235:A266" si="245">A24</f>
        <v>project 1</v>
      </c>
      <c r="C235" s="55">
        <f t="shared" ref="C235:AH235" si="246">IF(AND(C$127&gt;=$K24,C$127&lt;=$L24),$G24*(1+$H24)^(C$127-$B$5),0)</f>
        <v>0</v>
      </c>
      <c r="D235" s="55">
        <f t="shared" si="246"/>
        <v>0</v>
      </c>
      <c r="E235" s="55">
        <f t="shared" si="246"/>
        <v>0</v>
      </c>
      <c r="F235" s="55">
        <f t="shared" si="246"/>
        <v>0</v>
      </c>
      <c r="G235" s="55">
        <f t="shared" si="246"/>
        <v>0</v>
      </c>
      <c r="H235" s="55">
        <f t="shared" si="246"/>
        <v>0</v>
      </c>
      <c r="I235" s="55">
        <f t="shared" si="246"/>
        <v>0</v>
      </c>
      <c r="J235" s="55">
        <f t="shared" si="246"/>
        <v>0</v>
      </c>
      <c r="K235" s="55">
        <f t="shared" si="246"/>
        <v>0</v>
      </c>
      <c r="L235" s="55">
        <f t="shared" si="246"/>
        <v>0</v>
      </c>
      <c r="M235" s="55">
        <f t="shared" si="246"/>
        <v>0</v>
      </c>
      <c r="N235" s="55">
        <f t="shared" si="246"/>
        <v>0</v>
      </c>
      <c r="O235" s="55">
        <f t="shared" si="246"/>
        <v>0</v>
      </c>
      <c r="P235" s="55">
        <f t="shared" si="246"/>
        <v>0</v>
      </c>
      <c r="Q235" s="55">
        <f t="shared" si="246"/>
        <v>0</v>
      </c>
      <c r="R235" s="55">
        <f t="shared" si="246"/>
        <v>0</v>
      </c>
      <c r="S235" s="55">
        <f t="shared" si="246"/>
        <v>0</v>
      </c>
      <c r="T235" s="55">
        <f t="shared" si="246"/>
        <v>0</v>
      </c>
      <c r="U235" s="55">
        <f t="shared" si="246"/>
        <v>0</v>
      </c>
      <c r="V235" s="55">
        <f t="shared" si="246"/>
        <v>0</v>
      </c>
      <c r="W235" s="55">
        <f t="shared" si="246"/>
        <v>17.325094080645712</v>
      </c>
      <c r="X235" s="55">
        <f t="shared" si="246"/>
        <v>17.844846903065083</v>
      </c>
      <c r="Y235" s="55">
        <f t="shared" si="246"/>
        <v>18.380192310157035</v>
      </c>
      <c r="Z235" s="55">
        <f t="shared" si="246"/>
        <v>18.931598079461747</v>
      </c>
      <c r="AA235" s="55">
        <f t="shared" si="246"/>
        <v>19.499546021845596</v>
      </c>
      <c r="AB235" s="55">
        <f t="shared" si="246"/>
        <v>20.084532402500965</v>
      </c>
      <c r="AC235" s="55">
        <f t="shared" si="246"/>
        <v>20.687068374575997</v>
      </c>
      <c r="AD235" s="55">
        <f t="shared" si="246"/>
        <v>21.307680425813274</v>
      </c>
      <c r="AE235" s="55">
        <f t="shared" si="246"/>
        <v>21.946910838587673</v>
      </c>
      <c r="AF235" s="55">
        <f t="shared" si="246"/>
        <v>22.605318163745299</v>
      </c>
      <c r="AG235" s="55">
        <f t="shared" si="246"/>
        <v>23.28347770865766</v>
      </c>
      <c r="AH235" s="55">
        <f t="shared" si="246"/>
        <v>23.981982039917394</v>
      </c>
      <c r="AI235" s="55">
        <f t="shared" ref="AI235:BJ235" si="247">IF(AND(AI$127&gt;=$K24,AI$127&lt;=$L24),$G24*(1+$H24)^(AI$127-$B$5),0)</f>
        <v>24.70144150111491</v>
      </c>
      <c r="AJ235" s="55">
        <f t="shared" si="247"/>
        <v>25.442484746148359</v>
      </c>
      <c r="AK235" s="55">
        <f t="shared" si="247"/>
        <v>26.205759288532803</v>
      </c>
      <c r="AL235" s="55">
        <f t="shared" si="247"/>
        <v>26.991932067188795</v>
      </c>
      <c r="AM235" s="55">
        <f t="shared" si="247"/>
        <v>27.801690029204455</v>
      </c>
      <c r="AN235" s="55">
        <f t="shared" si="247"/>
        <v>28.635740730080585</v>
      </c>
      <c r="AO235" s="55">
        <f t="shared" si="247"/>
        <v>29.494812951983004</v>
      </c>
      <c r="AP235" s="55">
        <f t="shared" si="247"/>
        <v>30.379657340542497</v>
      </c>
      <c r="AQ235" s="55">
        <f t="shared" si="247"/>
        <v>31.291047060758768</v>
      </c>
      <c r="AR235" s="55">
        <f t="shared" si="247"/>
        <v>32.229778472581529</v>
      </c>
      <c r="AS235" s="55">
        <f t="shared" si="247"/>
        <v>33.19667182675898</v>
      </c>
      <c r="AT235" s="55">
        <f t="shared" si="247"/>
        <v>34.192571981561748</v>
      </c>
      <c r="AU235" s="55">
        <f t="shared" si="247"/>
        <v>35.218349141008595</v>
      </c>
      <c r="AV235" s="55">
        <f t="shared" si="247"/>
        <v>36.274899615238851</v>
      </c>
      <c r="AW235" s="55">
        <f t="shared" si="247"/>
        <v>37.363146603696023</v>
      </c>
      <c r="AX235" s="55">
        <f t="shared" si="247"/>
        <v>38.484041001806908</v>
      </c>
      <c r="AY235" s="55">
        <f t="shared" si="247"/>
        <v>39.638562231861108</v>
      </c>
      <c r="AZ235" s="55">
        <f t="shared" si="247"/>
        <v>40.827719098816935</v>
      </c>
      <c r="BA235" s="55">
        <f t="shared" si="247"/>
        <v>42.052550671781447</v>
      </c>
      <c r="BB235" s="55">
        <f t="shared" si="247"/>
        <v>43.314127191934887</v>
      </c>
      <c r="BC235" s="55">
        <f t="shared" si="247"/>
        <v>44.613551007692934</v>
      </c>
      <c r="BD235" s="55">
        <f t="shared" si="247"/>
        <v>45.951957537923718</v>
      </c>
      <c r="BE235" s="55">
        <f t="shared" si="247"/>
        <v>47.33051626406143</v>
      </c>
      <c r="BF235" s="55">
        <f t="shared" si="247"/>
        <v>48.750431751983278</v>
      </c>
      <c r="BG235" s="55">
        <f t="shared" si="247"/>
        <v>50.212944704542764</v>
      </c>
      <c r="BH235" s="55">
        <f t="shared" si="247"/>
        <v>51.719333045679058</v>
      </c>
      <c r="BI235" s="55">
        <f t="shared" si="247"/>
        <v>53.270913037049425</v>
      </c>
      <c r="BJ235" s="55">
        <f t="shared" si="247"/>
        <v>54.869040428160915</v>
      </c>
    </row>
    <row r="236" spans="1:62" x14ac:dyDescent="0.3">
      <c r="A236" s="53" t="str">
        <f t="shared" si="245"/>
        <v>project 4</v>
      </c>
      <c r="C236" s="55">
        <f t="shared" ref="C236:AH236" si="248">IF(AND(C$127&gt;=$K25,C$127&lt;=$L25),$G25*(1+$H25)^(C$127-$B$5),0)</f>
        <v>0</v>
      </c>
      <c r="D236" s="55">
        <f t="shared" si="248"/>
        <v>0</v>
      </c>
      <c r="E236" s="55">
        <f t="shared" si="248"/>
        <v>0.28735815502440226</v>
      </c>
      <c r="F236" s="55">
        <f t="shared" si="248"/>
        <v>0.29143864082574877</v>
      </c>
      <c r="G236" s="55">
        <f t="shared" si="248"/>
        <v>0.29557706952547441</v>
      </c>
      <c r="H236" s="55">
        <f t="shared" si="248"/>
        <v>0.29977426391273615</v>
      </c>
      <c r="I236" s="55">
        <f t="shared" si="248"/>
        <v>0.30403105846029699</v>
      </c>
      <c r="J236" s="55">
        <f t="shared" si="248"/>
        <v>0.30834829949043324</v>
      </c>
      <c r="K236" s="55">
        <f t="shared" si="248"/>
        <v>0.31272684534319733</v>
      </c>
      <c r="L236" s="55">
        <f t="shared" si="248"/>
        <v>0.31716756654707073</v>
      </c>
      <c r="M236" s="55">
        <f t="shared" si="248"/>
        <v>0.32167134599203917</v>
      </c>
      <c r="N236" s="55">
        <f t="shared" si="248"/>
        <v>0.32623907910512612</v>
      </c>
      <c r="O236" s="55">
        <f t="shared" si="248"/>
        <v>0.33087167402841894</v>
      </c>
      <c r="P236" s="55">
        <f t="shared" si="248"/>
        <v>0.33557005179962246</v>
      </c>
      <c r="Q236" s="55">
        <f t="shared" si="248"/>
        <v>0.34033514653517705</v>
      </c>
      <c r="R236" s="55">
        <f t="shared" si="248"/>
        <v>0.34516790561597666</v>
      </c>
      <c r="S236" s="55">
        <f t="shared" si="248"/>
        <v>0.35006928987572344</v>
      </c>
      <c r="T236" s="55">
        <f t="shared" si="248"/>
        <v>0.35504027379195868</v>
      </c>
      <c r="U236" s="55">
        <f t="shared" si="248"/>
        <v>0.3600818456798045</v>
      </c>
      <c r="V236" s="55">
        <f t="shared" si="248"/>
        <v>0.36519500788845771</v>
      </c>
      <c r="W236" s="55">
        <f t="shared" si="248"/>
        <v>0.37038077700047389</v>
      </c>
      <c r="X236" s="55">
        <f t="shared" si="248"/>
        <v>0.37564018403388061</v>
      </c>
      <c r="Y236" s="55">
        <f t="shared" si="248"/>
        <v>0.38097427464716177</v>
      </c>
      <c r="Z236" s="55">
        <f t="shared" si="248"/>
        <v>0.38638410934715139</v>
      </c>
      <c r="AA236" s="55">
        <f t="shared" si="248"/>
        <v>0.39187076369988094</v>
      </c>
      <c r="AB236" s="55">
        <f t="shared" si="248"/>
        <v>0.39743532854441926</v>
      </c>
      <c r="AC236" s="55">
        <f t="shared" si="248"/>
        <v>0.40307891020975001</v>
      </c>
      <c r="AD236" s="55">
        <f t="shared" si="248"/>
        <v>0.4088026307347285</v>
      </c>
      <c r="AE236" s="55">
        <f t="shared" si="248"/>
        <v>0.41460762809116158</v>
      </c>
      <c r="AF236" s="55">
        <f t="shared" si="248"/>
        <v>0.42049505641005608</v>
      </c>
      <c r="AG236" s="55">
        <f t="shared" si="248"/>
        <v>0.4264660862110789</v>
      </c>
      <c r="AH236" s="55">
        <f t="shared" si="248"/>
        <v>0.43252190463527629</v>
      </c>
      <c r="AI236" s="55">
        <f t="shared" ref="AI236:BJ236" si="249">IF(AND(AI$127&gt;=$K25,AI$127&lt;=$L25),$G25*(1+$H25)^(AI$127-$B$5),0)</f>
        <v>0.43866371568109713</v>
      </c>
      <c r="AJ236" s="55">
        <f t="shared" si="249"/>
        <v>0.4448927404437687</v>
      </c>
      <c r="AK236" s="55">
        <f t="shared" si="249"/>
        <v>0.45121021735807021</v>
      </c>
      <c r="AL236" s="55">
        <f t="shared" si="249"/>
        <v>0.45761740244455479</v>
      </c>
      <c r="AM236" s="55">
        <f t="shared" si="249"/>
        <v>0.46411556955926753</v>
      </c>
      <c r="AN236" s="55">
        <f t="shared" si="249"/>
        <v>0.47070601064700912</v>
      </c>
      <c r="AO236" s="55">
        <f t="shared" si="249"/>
        <v>0.47739003599819668</v>
      </c>
      <c r="AP236" s="55">
        <f t="shared" si="249"/>
        <v>0.48416897450937108</v>
      </c>
      <c r="AQ236" s="55">
        <f t="shared" si="249"/>
        <v>0.49104417394740407</v>
      </c>
      <c r="AR236" s="55">
        <f t="shared" si="249"/>
        <v>0.49801700121745723</v>
      </c>
      <c r="AS236" s="55">
        <f t="shared" si="249"/>
        <v>0</v>
      </c>
      <c r="AT236" s="55">
        <f t="shared" si="249"/>
        <v>0</v>
      </c>
      <c r="AU236" s="55">
        <f t="shared" si="249"/>
        <v>0</v>
      </c>
      <c r="AV236" s="55">
        <f t="shared" si="249"/>
        <v>0</v>
      </c>
      <c r="AW236" s="55">
        <f t="shared" si="249"/>
        <v>0</v>
      </c>
      <c r="AX236" s="55">
        <f t="shared" si="249"/>
        <v>0</v>
      </c>
      <c r="AY236" s="55">
        <f t="shared" si="249"/>
        <v>0</v>
      </c>
      <c r="AZ236" s="55">
        <f t="shared" si="249"/>
        <v>0</v>
      </c>
      <c r="BA236" s="55">
        <f t="shared" si="249"/>
        <v>0</v>
      </c>
      <c r="BB236" s="55">
        <f t="shared" si="249"/>
        <v>0</v>
      </c>
      <c r="BC236" s="55">
        <f t="shared" si="249"/>
        <v>0</v>
      </c>
      <c r="BD236" s="55">
        <f t="shared" si="249"/>
        <v>0</v>
      </c>
      <c r="BE236" s="55">
        <f t="shared" si="249"/>
        <v>0</v>
      </c>
      <c r="BF236" s="55">
        <f t="shared" si="249"/>
        <v>0</v>
      </c>
      <c r="BG236" s="55">
        <f t="shared" si="249"/>
        <v>0</v>
      </c>
      <c r="BH236" s="55">
        <f t="shared" si="249"/>
        <v>0</v>
      </c>
      <c r="BI236" s="55">
        <f t="shared" si="249"/>
        <v>0</v>
      </c>
      <c r="BJ236" s="55">
        <f t="shared" si="249"/>
        <v>0</v>
      </c>
    </row>
    <row r="237" spans="1:62" x14ac:dyDescent="0.3">
      <c r="A237" s="53" t="str">
        <f t="shared" si="245"/>
        <v>project 7</v>
      </c>
      <c r="C237" s="55">
        <f t="shared" ref="C237:AH237" si="250">IF(AND(C$127&gt;=$K26,C$127&lt;=$L26),$G26*(1+$H26)^(C$127-$B$5),0)</f>
        <v>0</v>
      </c>
      <c r="D237" s="55">
        <f t="shared" si="250"/>
        <v>0</v>
      </c>
      <c r="E237" s="55">
        <f t="shared" si="250"/>
        <v>0</v>
      </c>
      <c r="F237" s="55">
        <f t="shared" si="250"/>
        <v>0</v>
      </c>
      <c r="G237" s="55">
        <f t="shared" si="250"/>
        <v>0</v>
      </c>
      <c r="H237" s="55">
        <f t="shared" si="250"/>
        <v>0</v>
      </c>
      <c r="I237" s="55">
        <f t="shared" si="250"/>
        <v>0</v>
      </c>
      <c r="J237" s="55">
        <f t="shared" si="250"/>
        <v>0</v>
      </c>
      <c r="K237" s="55">
        <f t="shared" si="250"/>
        <v>0</v>
      </c>
      <c r="L237" s="55">
        <f t="shared" si="250"/>
        <v>0</v>
      </c>
      <c r="M237" s="55">
        <f t="shared" si="250"/>
        <v>0</v>
      </c>
      <c r="N237" s="55">
        <f t="shared" si="250"/>
        <v>0</v>
      </c>
      <c r="O237" s="55">
        <f t="shared" si="250"/>
        <v>0</v>
      </c>
      <c r="P237" s="55">
        <f t="shared" si="250"/>
        <v>0</v>
      </c>
      <c r="Q237" s="55">
        <f t="shared" si="250"/>
        <v>0</v>
      </c>
      <c r="R237" s="55">
        <f t="shared" si="250"/>
        <v>0</v>
      </c>
      <c r="S237" s="55">
        <f t="shared" si="250"/>
        <v>0</v>
      </c>
      <c r="T237" s="55">
        <f t="shared" si="250"/>
        <v>0</v>
      </c>
      <c r="U237" s="55">
        <f t="shared" si="250"/>
        <v>0</v>
      </c>
      <c r="V237" s="55">
        <f t="shared" si="250"/>
        <v>0</v>
      </c>
      <c r="W237" s="55">
        <f t="shared" si="250"/>
        <v>0.71647569786344545</v>
      </c>
      <c r="X237" s="55">
        <f t="shared" si="250"/>
        <v>0.73718184553169896</v>
      </c>
      <c r="Y237" s="55">
        <f t="shared" si="250"/>
        <v>0.75848640086756502</v>
      </c>
      <c r="Z237" s="55">
        <f t="shared" si="250"/>
        <v>0.78040665785263763</v>
      </c>
      <c r="AA237" s="55">
        <f t="shared" si="250"/>
        <v>0.80296041026457887</v>
      </c>
      <c r="AB237" s="55">
        <f t="shared" si="250"/>
        <v>0.82616596612122506</v>
      </c>
      <c r="AC237" s="55">
        <f t="shared" si="250"/>
        <v>0.85004216254212839</v>
      </c>
      <c r="AD237" s="55">
        <f t="shared" si="250"/>
        <v>0.87460838103959582</v>
      </c>
      <c r="AE237" s="55">
        <f t="shared" si="250"/>
        <v>0.89988456325164001</v>
      </c>
      <c r="AF237" s="55">
        <f t="shared" si="250"/>
        <v>0.92589122712961247</v>
      </c>
      <c r="AG237" s="55">
        <f t="shared" si="250"/>
        <v>0.9526494835936582</v>
      </c>
      <c r="AH237" s="55">
        <f t="shared" si="250"/>
        <v>0.9801810536695148</v>
      </c>
      <c r="AI237" s="55">
        <f t="shared" ref="AI237:BJ237" si="251">IF(AND(AI$127&gt;=$K26,AI$127&lt;=$L26),$G26*(1+$H26)^(AI$127-$B$5),0)</f>
        <v>1.0085082861205639</v>
      </c>
      <c r="AJ237" s="55">
        <f t="shared" si="251"/>
        <v>1.0376541755894479</v>
      </c>
      <c r="AK237" s="55">
        <f t="shared" si="251"/>
        <v>1.067642381263983</v>
      </c>
      <c r="AL237" s="55">
        <f t="shared" si="251"/>
        <v>1.098497246082512</v>
      </c>
      <c r="AM237" s="55">
        <f t="shared" si="251"/>
        <v>1.1302438164942965</v>
      </c>
      <c r="AN237" s="55">
        <f t="shared" si="251"/>
        <v>1.1629078627909817</v>
      </c>
      <c r="AO237" s="55">
        <f t="shared" si="251"/>
        <v>1.1965159000256409</v>
      </c>
      <c r="AP237" s="55">
        <f t="shared" si="251"/>
        <v>1.2310952095363819</v>
      </c>
      <c r="AQ237" s="55">
        <f t="shared" si="251"/>
        <v>1.2666738610919834</v>
      </c>
      <c r="AR237" s="55">
        <f t="shared" si="251"/>
        <v>1.3032807356775415</v>
      </c>
      <c r="AS237" s="55">
        <f t="shared" si="251"/>
        <v>1.3409455489386224</v>
      </c>
      <c r="AT237" s="55">
        <f t="shared" si="251"/>
        <v>1.3796988753029482</v>
      </c>
      <c r="AU237" s="55">
        <f t="shared" si="251"/>
        <v>1.4195721727992037</v>
      </c>
      <c r="AV237" s="55">
        <f t="shared" si="251"/>
        <v>1.4605978085931004</v>
      </c>
      <c r="AW237" s="55">
        <f t="shared" si="251"/>
        <v>1.5028090852614411</v>
      </c>
      <c r="AX237" s="55">
        <f t="shared" si="251"/>
        <v>1.5462402678254965</v>
      </c>
      <c r="AY237" s="55">
        <f t="shared" si="251"/>
        <v>1.5909266115656533</v>
      </c>
      <c r="AZ237" s="55">
        <f t="shared" si="251"/>
        <v>1.6369043906399006</v>
      </c>
      <c r="BA237" s="55">
        <f t="shared" si="251"/>
        <v>1.6842109275293935</v>
      </c>
      <c r="BB237" s="55">
        <f t="shared" si="251"/>
        <v>1.7328846233349928</v>
      </c>
      <c r="BC237" s="55">
        <f t="shared" si="251"/>
        <v>1.7829649889493739</v>
      </c>
      <c r="BD237" s="55">
        <f t="shared" si="251"/>
        <v>1.834492677130011</v>
      </c>
      <c r="BE237" s="55">
        <f t="shared" si="251"/>
        <v>1.8875095154990682</v>
      </c>
      <c r="BF237" s="55">
        <f t="shared" si="251"/>
        <v>1.942058540496991</v>
      </c>
      <c r="BG237" s="55">
        <f t="shared" si="251"/>
        <v>1.9981840323173543</v>
      </c>
      <c r="BH237" s="55">
        <f t="shared" si="251"/>
        <v>2.0559315508513252</v>
      </c>
      <c r="BI237" s="55">
        <f t="shared" si="251"/>
        <v>2.1153479726709286</v>
      </c>
      <c r="BJ237" s="55">
        <f t="shared" si="251"/>
        <v>2.1764815290811184</v>
      </c>
    </row>
    <row r="238" spans="1:62" x14ac:dyDescent="0.3">
      <c r="A238" s="53" t="str">
        <f t="shared" si="245"/>
        <v>project 8</v>
      </c>
      <c r="C238" s="55">
        <f t="shared" ref="C238:AH238" si="252">IF(AND(C$127&gt;=$K27,C$127&lt;=$L27),$G27*(1+$H27)^(C$127-$B$5),0)</f>
        <v>0</v>
      </c>
      <c r="D238" s="55">
        <f t="shared" si="252"/>
        <v>0</v>
      </c>
      <c r="E238" s="55">
        <f t="shared" si="252"/>
        <v>0</v>
      </c>
      <c r="F238" s="55">
        <f t="shared" si="252"/>
        <v>0</v>
      </c>
      <c r="G238" s="55">
        <f t="shared" si="252"/>
        <v>0</v>
      </c>
      <c r="H238" s="55">
        <f t="shared" si="252"/>
        <v>0</v>
      </c>
      <c r="I238" s="55">
        <f t="shared" si="252"/>
        <v>0</v>
      </c>
      <c r="J238" s="55">
        <f t="shared" si="252"/>
        <v>0</v>
      </c>
      <c r="K238" s="55">
        <f t="shared" si="252"/>
        <v>0</v>
      </c>
      <c r="L238" s="55">
        <f t="shared" si="252"/>
        <v>0</v>
      </c>
      <c r="M238" s="55">
        <f t="shared" si="252"/>
        <v>0</v>
      </c>
      <c r="N238" s="55">
        <f t="shared" si="252"/>
        <v>0</v>
      </c>
      <c r="O238" s="55">
        <f t="shared" si="252"/>
        <v>0</v>
      </c>
      <c r="P238" s="55">
        <f t="shared" si="252"/>
        <v>0</v>
      </c>
      <c r="Q238" s="55">
        <f t="shared" si="252"/>
        <v>0</v>
      </c>
      <c r="R238" s="55">
        <f t="shared" si="252"/>
        <v>0</v>
      </c>
      <c r="S238" s="55">
        <f t="shared" si="252"/>
        <v>0</v>
      </c>
      <c r="T238" s="55">
        <f t="shared" si="252"/>
        <v>0</v>
      </c>
      <c r="U238" s="55">
        <f t="shared" si="252"/>
        <v>0</v>
      </c>
      <c r="V238" s="55">
        <f t="shared" si="252"/>
        <v>0</v>
      </c>
      <c r="W238" s="55">
        <f t="shared" si="252"/>
        <v>0.34110951916058585</v>
      </c>
      <c r="X238" s="55">
        <f t="shared" si="252"/>
        <v>0.35049003093750203</v>
      </c>
      <c r="Y238" s="55">
        <f t="shared" si="252"/>
        <v>0.36012850678828334</v>
      </c>
      <c r="Z238" s="55">
        <f t="shared" si="252"/>
        <v>0.37003204072496115</v>
      </c>
      <c r="AA238" s="55">
        <f t="shared" si="252"/>
        <v>0.38020792184489755</v>
      </c>
      <c r="AB238" s="55">
        <f t="shared" si="252"/>
        <v>0.39066363969563234</v>
      </c>
      <c r="AC238" s="55">
        <f t="shared" si="252"/>
        <v>0.40140688978726224</v>
      </c>
      <c r="AD238" s="55">
        <f t="shared" si="252"/>
        <v>0.41244557925641195</v>
      </c>
      <c r="AE238" s="55">
        <f t="shared" si="252"/>
        <v>0.42378783268596326</v>
      </c>
      <c r="AF238" s="55">
        <f t="shared" si="252"/>
        <v>0.43544199808482736</v>
      </c>
      <c r="AG238" s="55">
        <f t="shared" si="252"/>
        <v>0.44741665303216011</v>
      </c>
      <c r="AH238" s="55">
        <f t="shared" si="252"/>
        <v>0.45972061099054445</v>
      </c>
      <c r="AI238" s="55">
        <f t="shared" ref="AI238:BJ238" si="253">IF(AND(AI$127&gt;=$K27,AI$127&lt;=$L27),$G27*(1+$H27)^(AI$127-$B$5),0)</f>
        <v>0.47236292779278444</v>
      </c>
      <c r="AJ238" s="55">
        <f t="shared" si="253"/>
        <v>0.48535290830708611</v>
      </c>
      <c r="AK238" s="55">
        <f t="shared" si="253"/>
        <v>0.49870011328553093</v>
      </c>
      <c r="AL238" s="55">
        <f t="shared" si="253"/>
        <v>0.51241436640088311</v>
      </c>
      <c r="AM238" s="55">
        <f t="shared" si="253"/>
        <v>0.52650576147690742</v>
      </c>
      <c r="AN238" s="55">
        <f t="shared" si="253"/>
        <v>0.54098466991752248</v>
      </c>
      <c r="AO238" s="55">
        <f t="shared" si="253"/>
        <v>0.55586174834025426</v>
      </c>
      <c r="AP238" s="55">
        <f t="shared" si="253"/>
        <v>0.57114794641961131</v>
      </c>
      <c r="AQ238" s="55">
        <f t="shared" si="253"/>
        <v>0.5868545149461506</v>
      </c>
      <c r="AR238" s="55">
        <f t="shared" si="253"/>
        <v>0.60299301410716977</v>
      </c>
      <c r="AS238" s="55">
        <f t="shared" si="253"/>
        <v>0.619575321995117</v>
      </c>
      <c r="AT238" s="55">
        <f t="shared" si="253"/>
        <v>0.63661364334998272</v>
      </c>
      <c r="AU238" s="55">
        <f t="shared" si="253"/>
        <v>0.65412051854210729</v>
      </c>
      <c r="AV238" s="55">
        <f t="shared" si="253"/>
        <v>0.67210883280201539</v>
      </c>
      <c r="AW238" s="55">
        <f t="shared" si="253"/>
        <v>0.69059182570407085</v>
      </c>
      <c r="AX238" s="55">
        <f t="shared" si="253"/>
        <v>0.70958310091093268</v>
      </c>
      <c r="AY238" s="55">
        <f t="shared" si="253"/>
        <v>0.7290966361859833</v>
      </c>
      <c r="AZ238" s="55">
        <f t="shared" si="253"/>
        <v>0.74914679368109793</v>
      </c>
      <c r="BA238" s="55">
        <f t="shared" si="253"/>
        <v>0.76974833050732827</v>
      </c>
      <c r="BB238" s="55">
        <f t="shared" si="253"/>
        <v>0.79091640959627962</v>
      </c>
      <c r="BC238" s="55">
        <f t="shared" si="253"/>
        <v>0.81266661086017744</v>
      </c>
      <c r="BD238" s="55">
        <f t="shared" si="253"/>
        <v>0.83501494265883247</v>
      </c>
      <c r="BE238" s="55">
        <f t="shared" si="253"/>
        <v>0.85797785358195033</v>
      </c>
      <c r="BF238" s="55">
        <f t="shared" si="253"/>
        <v>0.88157224455545402</v>
      </c>
      <c r="BG238" s="55">
        <f t="shared" si="253"/>
        <v>0.90581548128072897</v>
      </c>
      <c r="BH238" s="55">
        <f t="shared" si="253"/>
        <v>0.93072540701594919</v>
      </c>
      <c r="BI238" s="55">
        <f t="shared" si="253"/>
        <v>0.95632035570888796</v>
      </c>
      <c r="BJ238" s="55">
        <f t="shared" si="253"/>
        <v>0.98261916549088224</v>
      </c>
    </row>
    <row r="239" spans="1:62" x14ac:dyDescent="0.3">
      <c r="A239" s="53" t="str">
        <f t="shared" si="245"/>
        <v>project 9</v>
      </c>
      <c r="C239" s="55">
        <f t="shared" ref="C239:AH239" si="254">IF(AND(C$127&gt;=$K28,C$127&lt;=$L28),$G28*(1+$H28)^(C$127-$B$5),0)</f>
        <v>0</v>
      </c>
      <c r="D239" s="55">
        <f t="shared" si="254"/>
        <v>0</v>
      </c>
      <c r="E239" s="55">
        <f t="shared" si="254"/>
        <v>0</v>
      </c>
      <c r="F239" s="55">
        <f t="shared" si="254"/>
        <v>0</v>
      </c>
      <c r="G239" s="55">
        <f t="shared" si="254"/>
        <v>0.16921346457040828</v>
      </c>
      <c r="H239" s="55">
        <f t="shared" si="254"/>
        <v>0.17197164404290594</v>
      </c>
      <c r="I239" s="55">
        <f t="shared" si="254"/>
        <v>0.1747747818408053</v>
      </c>
      <c r="J239" s="55">
        <f t="shared" si="254"/>
        <v>0.17762361078481043</v>
      </c>
      <c r="K239" s="55">
        <f t="shared" si="254"/>
        <v>0.18051887564060282</v>
      </c>
      <c r="L239" s="55">
        <f t="shared" si="254"/>
        <v>0.18346133331354464</v>
      </c>
      <c r="M239" s="55">
        <f t="shared" si="254"/>
        <v>0.18645175304655542</v>
      </c>
      <c r="N239" s="55">
        <f t="shared" si="254"/>
        <v>0.18949091662121428</v>
      </c>
      <c r="O239" s="55">
        <f t="shared" si="254"/>
        <v>0.19257961856214004</v>
      </c>
      <c r="P239" s="55">
        <f t="shared" si="254"/>
        <v>0.19571866634470292</v>
      </c>
      <c r="Q239" s="55">
        <f t="shared" si="254"/>
        <v>0.19890888060612158</v>
      </c>
      <c r="R239" s="55">
        <f t="shared" si="254"/>
        <v>0.20215109536000136</v>
      </c>
      <c r="S239" s="55">
        <f t="shared" si="254"/>
        <v>0.20544615821436935</v>
      </c>
      <c r="T239" s="55">
        <f t="shared" si="254"/>
        <v>0.20879493059326357</v>
      </c>
      <c r="U239" s="55">
        <f t="shared" si="254"/>
        <v>0.21219828796193377</v>
      </c>
      <c r="V239" s="55">
        <f t="shared" si="254"/>
        <v>0.21565712005571328</v>
      </c>
      <c r="W239" s="55">
        <f t="shared" si="254"/>
        <v>0.21917233111262138</v>
      </c>
      <c r="X239" s="55">
        <f t="shared" si="254"/>
        <v>0.22274484010975709</v>
      </c>
      <c r="Y239" s="55">
        <f t="shared" si="254"/>
        <v>0.22637558100354613</v>
      </c>
      <c r="Z239" s="55">
        <f t="shared" si="254"/>
        <v>0.23006550297390393</v>
      </c>
      <c r="AA239" s="55">
        <f t="shared" si="254"/>
        <v>0.23381557067237854</v>
      </c>
      <c r="AB239" s="55">
        <f t="shared" si="254"/>
        <v>0.23762676447433828</v>
      </c>
      <c r="AC239" s="55">
        <f t="shared" si="254"/>
        <v>0.24150008073527002</v>
      </c>
      <c r="AD239" s="55">
        <f t="shared" si="254"/>
        <v>0.24543653205125493</v>
      </c>
      <c r="AE239" s="55">
        <f t="shared" si="254"/>
        <v>0.24943714752369037</v>
      </c>
      <c r="AF239" s="55">
        <f t="shared" si="254"/>
        <v>0.25350297302832653</v>
      </c>
      <c r="AG239" s="55">
        <f t="shared" si="254"/>
        <v>0.25763507148868819</v>
      </c>
      <c r="AH239" s="55">
        <f t="shared" si="254"/>
        <v>0.26183452315395384</v>
      </c>
      <c r="AI239" s="55">
        <f t="shared" ref="AI239:BJ239" si="255">IF(AND(AI$127&gt;=$K28,AI$127&lt;=$L28),$G28*(1+$H28)^(AI$127-$B$5),0)</f>
        <v>0.26610242588136324</v>
      </c>
      <c r="AJ239" s="55">
        <f t="shared" si="255"/>
        <v>0.27043989542322944</v>
      </c>
      <c r="AK239" s="55">
        <f t="shared" si="255"/>
        <v>0.27484806571862808</v>
      </c>
      <c r="AL239" s="55">
        <f t="shared" si="255"/>
        <v>0.2793280891898417</v>
      </c>
      <c r="AM239" s="55">
        <f t="shared" si="255"/>
        <v>0.2838811370436361</v>
      </c>
      <c r="AN239" s="55">
        <f t="shared" si="255"/>
        <v>0.28850839957744739</v>
      </c>
      <c r="AO239" s="55">
        <f t="shared" si="255"/>
        <v>0.29321108649055971</v>
      </c>
      <c r="AP239" s="55">
        <f t="shared" si="255"/>
        <v>0.29799042720035585</v>
      </c>
      <c r="AQ239" s="55">
        <f t="shared" si="255"/>
        <v>0.30284767116372163</v>
      </c>
      <c r="AR239" s="55">
        <f t="shared" si="255"/>
        <v>0.3077840882036903</v>
      </c>
      <c r="AS239" s="55">
        <f t="shared" si="255"/>
        <v>0.31280096884141045</v>
      </c>
      <c r="AT239" s="55">
        <f t="shared" si="255"/>
        <v>0.31789962463352545</v>
      </c>
      <c r="AU239" s="55">
        <f t="shared" si="255"/>
        <v>0</v>
      </c>
      <c r="AV239" s="55">
        <f t="shared" si="255"/>
        <v>0</v>
      </c>
      <c r="AW239" s="55">
        <f t="shared" si="255"/>
        <v>0</v>
      </c>
      <c r="AX239" s="55">
        <f t="shared" si="255"/>
        <v>0</v>
      </c>
      <c r="AY239" s="55">
        <f t="shared" si="255"/>
        <v>0</v>
      </c>
      <c r="AZ239" s="55">
        <f t="shared" si="255"/>
        <v>0</v>
      </c>
      <c r="BA239" s="55">
        <f t="shared" si="255"/>
        <v>0</v>
      </c>
      <c r="BB239" s="55">
        <f t="shared" si="255"/>
        <v>0</v>
      </c>
      <c r="BC239" s="55">
        <f t="shared" si="255"/>
        <v>0</v>
      </c>
      <c r="BD239" s="55">
        <f t="shared" si="255"/>
        <v>0</v>
      </c>
      <c r="BE239" s="55">
        <f t="shared" si="255"/>
        <v>0</v>
      </c>
      <c r="BF239" s="55">
        <f t="shared" si="255"/>
        <v>0</v>
      </c>
      <c r="BG239" s="55">
        <f t="shared" si="255"/>
        <v>0</v>
      </c>
      <c r="BH239" s="55">
        <f t="shared" si="255"/>
        <v>0</v>
      </c>
      <c r="BI239" s="55">
        <f t="shared" si="255"/>
        <v>0</v>
      </c>
      <c r="BJ239" s="55">
        <f t="shared" si="255"/>
        <v>0</v>
      </c>
    </row>
    <row r="240" spans="1:62" x14ac:dyDescent="0.3">
      <c r="A240" s="53" t="str">
        <f t="shared" si="245"/>
        <v>project 12</v>
      </c>
      <c r="C240" s="55">
        <f t="shared" ref="C240:AH240" si="256">IF(AND(C$127&gt;=$K29,C$127&lt;=$L29),$G29*(1+$H29)^(C$127-$B$5),0)</f>
        <v>0</v>
      </c>
      <c r="D240" s="55">
        <f t="shared" si="256"/>
        <v>0</v>
      </c>
      <c r="E240" s="55">
        <f t="shared" si="256"/>
        <v>0</v>
      </c>
      <c r="F240" s="55">
        <f t="shared" si="256"/>
        <v>0</v>
      </c>
      <c r="G240" s="55">
        <f t="shared" si="256"/>
        <v>0</v>
      </c>
      <c r="H240" s="55">
        <f t="shared" si="256"/>
        <v>0</v>
      </c>
      <c r="I240" s="55">
        <f t="shared" si="256"/>
        <v>0</v>
      </c>
      <c r="J240" s="55">
        <f t="shared" si="256"/>
        <v>0</v>
      </c>
      <c r="K240" s="55">
        <f t="shared" si="256"/>
        <v>0</v>
      </c>
      <c r="L240" s="55">
        <f t="shared" si="256"/>
        <v>0</v>
      </c>
      <c r="M240" s="55">
        <f t="shared" si="256"/>
        <v>0</v>
      </c>
      <c r="N240" s="55">
        <f t="shared" si="256"/>
        <v>0</v>
      </c>
      <c r="O240" s="55">
        <f t="shared" si="256"/>
        <v>0</v>
      </c>
      <c r="P240" s="55">
        <f t="shared" si="256"/>
        <v>0</v>
      </c>
      <c r="Q240" s="55">
        <f t="shared" si="256"/>
        <v>0</v>
      </c>
      <c r="R240" s="55">
        <f t="shared" si="256"/>
        <v>0</v>
      </c>
      <c r="S240" s="55">
        <f t="shared" si="256"/>
        <v>0</v>
      </c>
      <c r="T240" s="55">
        <f t="shared" si="256"/>
        <v>0</v>
      </c>
      <c r="U240" s="55">
        <f t="shared" si="256"/>
        <v>0</v>
      </c>
      <c r="V240" s="55">
        <f t="shared" si="256"/>
        <v>0</v>
      </c>
      <c r="W240" s="55">
        <f t="shared" si="256"/>
        <v>0.35983933827096337</v>
      </c>
      <c r="X240" s="55">
        <f t="shared" si="256"/>
        <v>0.36815162698502257</v>
      </c>
      <c r="Y240" s="55">
        <f t="shared" si="256"/>
        <v>0.37665592956837651</v>
      </c>
      <c r="Z240" s="55">
        <f t="shared" si="256"/>
        <v>0.38535668154140601</v>
      </c>
      <c r="AA240" s="55">
        <f t="shared" si="256"/>
        <v>0.39425842088501245</v>
      </c>
      <c r="AB240" s="55">
        <f t="shared" si="256"/>
        <v>0.40336579040745613</v>
      </c>
      <c r="AC240" s="55">
        <f t="shared" si="256"/>
        <v>0.41268354016586828</v>
      </c>
      <c r="AD240" s="55">
        <f t="shared" si="256"/>
        <v>0.4222165299436999</v>
      </c>
      <c r="AE240" s="55">
        <f t="shared" si="256"/>
        <v>0.43196973178539921</v>
      </c>
      <c r="AF240" s="55">
        <f t="shared" si="256"/>
        <v>0.44194823258964189</v>
      </c>
      <c r="AG240" s="55">
        <f t="shared" si="256"/>
        <v>0.45215723676246261</v>
      </c>
      <c r="AH240" s="55">
        <f t="shared" si="256"/>
        <v>0.46260206893167544</v>
      </c>
      <c r="AI240" s="55">
        <f t="shared" ref="AI240:BJ240" si="257">IF(AND(AI$127&gt;=$K29,AI$127&lt;=$L29),$G29*(1+$H29)^(AI$127-$B$5),0)</f>
        <v>0.47328817672399703</v>
      </c>
      <c r="AJ240" s="55">
        <f t="shared" si="257"/>
        <v>0.4842211336063213</v>
      </c>
      <c r="AK240" s="55">
        <f t="shared" si="257"/>
        <v>0.49540664179262728</v>
      </c>
      <c r="AL240" s="55">
        <f t="shared" si="257"/>
        <v>0.50685053521803691</v>
      </c>
      <c r="AM240" s="55">
        <f t="shared" si="257"/>
        <v>0.5185587825815734</v>
      </c>
      <c r="AN240" s="55">
        <f t="shared" si="257"/>
        <v>0.53053749045920773</v>
      </c>
      <c r="AO240" s="55">
        <f t="shared" si="257"/>
        <v>0.54279290648881529</v>
      </c>
      <c r="AP240" s="55">
        <f t="shared" si="257"/>
        <v>0.55533142262870705</v>
      </c>
      <c r="AQ240" s="55">
        <f t="shared" si="257"/>
        <v>0.56815957849143006</v>
      </c>
      <c r="AR240" s="55">
        <f t="shared" si="257"/>
        <v>0.58128406475458194</v>
      </c>
      <c r="AS240" s="55">
        <f t="shared" si="257"/>
        <v>0.59471172665041272</v>
      </c>
      <c r="AT240" s="55">
        <f t="shared" si="257"/>
        <v>0.60844956753603729</v>
      </c>
      <c r="AU240" s="55">
        <f t="shared" si="257"/>
        <v>0.62250475254611959</v>
      </c>
      <c r="AV240" s="55">
        <f t="shared" si="257"/>
        <v>0.63688461232993476</v>
      </c>
      <c r="AW240" s="55">
        <f t="shared" si="257"/>
        <v>0.65159664687475627</v>
      </c>
      <c r="AX240" s="55">
        <f t="shared" si="257"/>
        <v>0.66664852941756303</v>
      </c>
      <c r="AY240" s="55">
        <f t="shared" si="257"/>
        <v>0.68204811044710856</v>
      </c>
      <c r="AZ240" s="55">
        <f t="shared" si="257"/>
        <v>0.69780342179843668</v>
      </c>
      <c r="BA240" s="55">
        <f t="shared" si="257"/>
        <v>0.71392268084198052</v>
      </c>
      <c r="BB240" s="55">
        <f t="shared" si="257"/>
        <v>0.73041429476943032</v>
      </c>
      <c r="BC240" s="55">
        <f t="shared" si="257"/>
        <v>0.74728686497860386</v>
      </c>
      <c r="BD240" s="55">
        <f t="shared" si="257"/>
        <v>0.76454919155960943</v>
      </c>
      <c r="BE240" s="55">
        <f t="shared" si="257"/>
        <v>0.78221027788463637</v>
      </c>
      <c r="BF240" s="55">
        <f t="shared" si="257"/>
        <v>0.80027933530377149</v>
      </c>
      <c r="BG240" s="55">
        <f t="shared" si="257"/>
        <v>0.81876578794928856</v>
      </c>
      <c r="BH240" s="55">
        <f t="shared" si="257"/>
        <v>0.83767927765091688</v>
      </c>
      <c r="BI240" s="55">
        <f t="shared" si="257"/>
        <v>0.85702966896465294</v>
      </c>
      <c r="BJ240" s="55">
        <f t="shared" si="257"/>
        <v>0.87682705431773644</v>
      </c>
    </row>
    <row r="241" spans="1:62" x14ac:dyDescent="0.3">
      <c r="A241" s="53" t="str">
        <f t="shared" si="245"/>
        <v>project 16</v>
      </c>
      <c r="C241" s="55">
        <f t="shared" ref="C241:AH241" si="258">IF(AND(C$127&gt;=$K30,C$127&lt;=$L30),$G30*(1+$H30)^(C$127-$B$5),0)</f>
        <v>0</v>
      </c>
      <c r="D241" s="55">
        <f t="shared" si="258"/>
        <v>0</v>
      </c>
      <c r="E241" s="55">
        <f t="shared" si="258"/>
        <v>0</v>
      </c>
      <c r="F241" s="55">
        <f t="shared" si="258"/>
        <v>0</v>
      </c>
      <c r="G241" s="55">
        <f t="shared" si="258"/>
        <v>0</v>
      </c>
      <c r="H241" s="55">
        <f t="shared" si="258"/>
        <v>0</v>
      </c>
      <c r="I241" s="55">
        <f t="shared" si="258"/>
        <v>0</v>
      </c>
      <c r="J241" s="55">
        <f t="shared" si="258"/>
        <v>0</v>
      </c>
      <c r="K241" s="55">
        <f t="shared" si="258"/>
        <v>0</v>
      </c>
      <c r="L241" s="55">
        <f t="shared" si="258"/>
        <v>0</v>
      </c>
      <c r="M241" s="55">
        <f t="shared" si="258"/>
        <v>0</v>
      </c>
      <c r="N241" s="55">
        <f t="shared" si="258"/>
        <v>0</v>
      </c>
      <c r="O241" s="55">
        <f t="shared" si="258"/>
        <v>0</v>
      </c>
      <c r="P241" s="55">
        <f t="shared" si="258"/>
        <v>0</v>
      </c>
      <c r="Q241" s="55">
        <f t="shared" si="258"/>
        <v>0</v>
      </c>
      <c r="R241" s="55">
        <f t="shared" si="258"/>
        <v>0</v>
      </c>
      <c r="S241" s="55">
        <f t="shared" si="258"/>
        <v>0</v>
      </c>
      <c r="T241" s="55">
        <f t="shared" si="258"/>
        <v>0</v>
      </c>
      <c r="U241" s="55">
        <f t="shared" si="258"/>
        <v>0</v>
      </c>
      <c r="V241" s="55">
        <f t="shared" si="258"/>
        <v>0</v>
      </c>
      <c r="W241" s="55">
        <f t="shared" si="258"/>
        <v>0.18703752804332069</v>
      </c>
      <c r="X241" s="55">
        <f t="shared" si="258"/>
        <v>0.19038549979529615</v>
      </c>
      <c r="Y241" s="55">
        <f t="shared" si="258"/>
        <v>0.19379340024163197</v>
      </c>
      <c r="Z241" s="55">
        <f t="shared" si="258"/>
        <v>0.19726230210595719</v>
      </c>
      <c r="AA241" s="55">
        <f t="shared" si="258"/>
        <v>0.20079329731365381</v>
      </c>
      <c r="AB241" s="55">
        <f t="shared" si="258"/>
        <v>0.20438749733556824</v>
      </c>
      <c r="AC241" s="55">
        <f t="shared" si="258"/>
        <v>0.2080460335378749</v>
      </c>
      <c r="AD241" s="55">
        <f t="shared" si="258"/>
        <v>0.21177005753820288</v>
      </c>
      <c r="AE241" s="55">
        <f t="shared" si="258"/>
        <v>0.21556074156813673</v>
      </c>
      <c r="AF241" s="55">
        <f t="shared" si="258"/>
        <v>0.21941927884220638</v>
      </c>
      <c r="AG241" s="55">
        <f t="shared" si="258"/>
        <v>0.2233468839334819</v>
      </c>
      <c r="AH241" s="55">
        <f t="shared" si="258"/>
        <v>0.22734479315589123</v>
      </c>
      <c r="AI241" s="55">
        <f t="shared" ref="AI241:BJ241" si="259">IF(AND(AI$127&gt;=$K30,AI$127&lt;=$L30),$G30*(1+$H30)^(AI$127-$B$5),0)</f>
        <v>0.23141426495338172</v>
      </c>
      <c r="AJ241" s="55">
        <f t="shared" si="259"/>
        <v>0.23555658029604726</v>
      </c>
      <c r="AK241" s="55">
        <f t="shared" si="259"/>
        <v>0.23977304308334649</v>
      </c>
      <c r="AL241" s="55">
        <f t="shared" si="259"/>
        <v>0.24406498055453843</v>
      </c>
      <c r="AM241" s="55">
        <f t="shared" si="259"/>
        <v>0.2484337437064647</v>
      </c>
      <c r="AN241" s="55">
        <f t="shared" si="259"/>
        <v>0.25288070771881044</v>
      </c>
      <c r="AO241" s="55">
        <f t="shared" si="259"/>
        <v>0.25740727238697714</v>
      </c>
      <c r="AP241" s="55">
        <f t="shared" si="259"/>
        <v>0.26201486256270407</v>
      </c>
      <c r="AQ241" s="55">
        <f t="shared" si="259"/>
        <v>0.2667049286025765</v>
      </c>
      <c r="AR241" s="55">
        <f t="shared" si="259"/>
        <v>0.27147894682456264</v>
      </c>
      <c r="AS241" s="55">
        <f t="shared" si="259"/>
        <v>0.27633841997272224</v>
      </c>
      <c r="AT241" s="55">
        <f t="shared" si="259"/>
        <v>0.28128487769023403</v>
      </c>
      <c r="AU241" s="55">
        <f t="shared" si="259"/>
        <v>0.28631987700088923</v>
      </c>
      <c r="AV241" s="55">
        <f t="shared" si="259"/>
        <v>0.29144500279920521</v>
      </c>
      <c r="AW241" s="55">
        <f t="shared" si="259"/>
        <v>0.29666186834931096</v>
      </c>
      <c r="AX241" s="55">
        <f t="shared" si="259"/>
        <v>0.30197211579276362</v>
      </c>
      <c r="AY241" s="55">
        <f t="shared" si="259"/>
        <v>0.30737741666545415</v>
      </c>
      <c r="AZ241" s="55">
        <f t="shared" si="259"/>
        <v>0.31287947242376579</v>
      </c>
      <c r="BA241" s="55">
        <f t="shared" si="259"/>
        <v>0.31848001498015122</v>
      </c>
      <c r="BB241" s="55">
        <f t="shared" si="259"/>
        <v>0.32418080724829595</v>
      </c>
      <c r="BC241" s="55">
        <f t="shared" si="259"/>
        <v>0.32998364369804051</v>
      </c>
      <c r="BD241" s="55">
        <f t="shared" si="259"/>
        <v>0.33589035092023545</v>
      </c>
      <c r="BE241" s="55">
        <f t="shared" si="259"/>
        <v>0.34190278820170766</v>
      </c>
      <c r="BF241" s="55">
        <f t="shared" si="259"/>
        <v>0.34802284811051826</v>
      </c>
      <c r="BG241" s="55">
        <f t="shared" si="259"/>
        <v>0.3542524570916965</v>
      </c>
      <c r="BH241" s="55">
        <f t="shared" si="259"/>
        <v>0.3605935760736379</v>
      </c>
      <c r="BI241" s="55">
        <f t="shared" si="259"/>
        <v>0.36704820108535602</v>
      </c>
      <c r="BJ241" s="55">
        <f t="shared" si="259"/>
        <v>0.37361836388478398</v>
      </c>
    </row>
    <row r="242" spans="1:62" x14ac:dyDescent="0.3">
      <c r="A242" s="53" t="str">
        <f t="shared" si="245"/>
        <v>project 19</v>
      </c>
      <c r="C242" s="55">
        <f t="shared" ref="C242:AH242" si="260">IF(AND(C$127&gt;=$K31,C$127&lt;=$L31),$G31*(1+$H31)^(C$127-$B$5),0)</f>
        <v>0</v>
      </c>
      <c r="D242" s="55">
        <f t="shared" si="260"/>
        <v>0</v>
      </c>
      <c r="E242" s="55">
        <f t="shared" si="260"/>
        <v>0</v>
      </c>
      <c r="F242" s="55">
        <f t="shared" si="260"/>
        <v>0</v>
      </c>
      <c r="G242" s="55">
        <f t="shared" si="260"/>
        <v>0</v>
      </c>
      <c r="H242" s="55">
        <f t="shared" si="260"/>
        <v>0</v>
      </c>
      <c r="I242" s="55">
        <f t="shared" si="260"/>
        <v>0</v>
      </c>
      <c r="J242" s="55">
        <f t="shared" si="260"/>
        <v>0</v>
      </c>
      <c r="K242" s="55">
        <f t="shared" si="260"/>
        <v>0</v>
      </c>
      <c r="L242" s="55">
        <f t="shared" si="260"/>
        <v>0</v>
      </c>
      <c r="M242" s="55">
        <f t="shared" si="260"/>
        <v>0</v>
      </c>
      <c r="N242" s="55">
        <f t="shared" si="260"/>
        <v>0</v>
      </c>
      <c r="O242" s="55">
        <f t="shared" si="260"/>
        <v>0</v>
      </c>
      <c r="P242" s="55">
        <f t="shared" si="260"/>
        <v>0</v>
      </c>
      <c r="Q242" s="55">
        <f t="shared" si="260"/>
        <v>0</v>
      </c>
      <c r="R242" s="55">
        <f t="shared" si="260"/>
        <v>0</v>
      </c>
      <c r="S242" s="55">
        <f t="shared" si="260"/>
        <v>0</v>
      </c>
      <c r="T242" s="55">
        <f t="shared" si="260"/>
        <v>0</v>
      </c>
      <c r="U242" s="55">
        <f t="shared" si="260"/>
        <v>0</v>
      </c>
      <c r="V242" s="55">
        <f t="shared" si="260"/>
        <v>0</v>
      </c>
      <c r="W242" s="55">
        <f t="shared" si="260"/>
        <v>0.18300052733589758</v>
      </c>
      <c r="X242" s="55">
        <f t="shared" si="260"/>
        <v>0.18817944225950348</v>
      </c>
      <c r="Y242" s="55">
        <f t="shared" si="260"/>
        <v>0.19350492047544743</v>
      </c>
      <c r="Z242" s="55">
        <f t="shared" si="260"/>
        <v>0.1989811097249026</v>
      </c>
      <c r="AA242" s="55">
        <f t="shared" si="260"/>
        <v>0.20461227513011734</v>
      </c>
      <c r="AB242" s="55">
        <f t="shared" si="260"/>
        <v>0.2104028025162997</v>
      </c>
      <c r="AC242" s="55">
        <f t="shared" si="260"/>
        <v>0.216357201827511</v>
      </c>
      <c r="AD242" s="55">
        <f t="shared" si="260"/>
        <v>0.22248011063922951</v>
      </c>
      <c r="AE242" s="55">
        <f t="shared" si="260"/>
        <v>0.22877629777031977</v>
      </c>
      <c r="AF242" s="55">
        <f t="shared" si="260"/>
        <v>0.2352506669972198</v>
      </c>
      <c r="AG242" s="55">
        <f t="shared" si="260"/>
        <v>0.24190826087324113</v>
      </c>
      <c r="AH242" s="55">
        <f t="shared" si="260"/>
        <v>0.24875426465595385</v>
      </c>
      <c r="AI242" s="55">
        <f t="shared" ref="AI242:BJ242" si="261">IF(AND(AI$127&gt;=$K31,AI$127&lt;=$L31),$G31*(1+$H31)^(AI$127-$B$5),0)</f>
        <v>0.25579401034571736</v>
      </c>
      <c r="AJ242" s="55">
        <f t="shared" si="261"/>
        <v>0.26303298083850118</v>
      </c>
      <c r="AK242" s="55">
        <f t="shared" si="261"/>
        <v>0.27047681419623076</v>
      </c>
      <c r="AL242" s="55">
        <f t="shared" si="261"/>
        <v>0.27813130803798408</v>
      </c>
      <c r="AM242" s="55">
        <f t="shared" si="261"/>
        <v>0.28600242405545906</v>
      </c>
      <c r="AN242" s="55">
        <f t="shared" si="261"/>
        <v>0.29409629265622855</v>
      </c>
      <c r="AO242" s="55">
        <f t="shared" si="261"/>
        <v>0.30241921773839986</v>
      </c>
      <c r="AP242" s="55">
        <f t="shared" si="261"/>
        <v>0.31097768160039657</v>
      </c>
      <c r="AQ242" s="55">
        <f t="shared" si="261"/>
        <v>0.31977834998968779</v>
      </c>
      <c r="AR242" s="55">
        <f t="shared" si="261"/>
        <v>0.328828077294396</v>
      </c>
      <c r="AS242" s="55">
        <f t="shared" si="261"/>
        <v>0.33813391188182745</v>
      </c>
      <c r="AT242" s="55">
        <f t="shared" si="261"/>
        <v>0.3477031015880831</v>
      </c>
      <c r="AU242" s="55">
        <f t="shared" si="261"/>
        <v>0.35754309936302592</v>
      </c>
      <c r="AV242" s="55">
        <f t="shared" si="261"/>
        <v>0.36766156907499953</v>
      </c>
      <c r="AW242" s="55">
        <f t="shared" si="261"/>
        <v>0.37806639147982207</v>
      </c>
      <c r="AX242" s="55">
        <f t="shared" si="261"/>
        <v>0.38876567035870102</v>
      </c>
      <c r="AY242" s="55">
        <f t="shared" si="261"/>
        <v>0.39976773882985234</v>
      </c>
      <c r="AZ242" s="55">
        <f t="shared" si="261"/>
        <v>0.41108116583873711</v>
      </c>
      <c r="BA242" s="55">
        <f t="shared" si="261"/>
        <v>0.4227147628319734</v>
      </c>
      <c r="BB242" s="55">
        <f t="shared" si="261"/>
        <v>0.43467759062011818</v>
      </c>
      <c r="BC242" s="55">
        <f t="shared" si="261"/>
        <v>0.44697896643466772</v>
      </c>
      <c r="BD242" s="55">
        <f t="shared" si="261"/>
        <v>0.45962847118476874</v>
      </c>
      <c r="BE242" s="55">
        <f t="shared" si="261"/>
        <v>0.47263595691929777</v>
      </c>
      <c r="BF242" s="55">
        <f t="shared" si="261"/>
        <v>0.48601155450011385</v>
      </c>
      <c r="BG242" s="55">
        <f t="shared" si="261"/>
        <v>0.49976568149246708</v>
      </c>
      <c r="BH242" s="55">
        <f t="shared" si="261"/>
        <v>0.51390905027870404</v>
      </c>
      <c r="BI242" s="55">
        <f t="shared" si="261"/>
        <v>0.52845267640159133</v>
      </c>
      <c r="BJ242" s="55">
        <f t="shared" si="261"/>
        <v>0.54340788714375632</v>
      </c>
    </row>
    <row r="243" spans="1:62" x14ac:dyDescent="0.3">
      <c r="A243" s="53" t="str">
        <f t="shared" si="245"/>
        <v>project 20</v>
      </c>
      <c r="C243" s="55">
        <f t="shared" ref="C243:AH243" si="262">IF(AND(C$127&gt;=$K32,C$127&lt;=$L32),$G32*(1+$H32)^(C$127-$B$5),0)</f>
        <v>0</v>
      </c>
      <c r="D243" s="55">
        <f t="shared" si="262"/>
        <v>0</v>
      </c>
      <c r="E243" s="55">
        <f t="shared" si="262"/>
        <v>0</v>
      </c>
      <c r="F243" s="55">
        <f t="shared" si="262"/>
        <v>0</v>
      </c>
      <c r="G243" s="55">
        <f t="shared" si="262"/>
        <v>0</v>
      </c>
      <c r="H243" s="55">
        <f t="shared" si="262"/>
        <v>0</v>
      </c>
      <c r="I243" s="55">
        <f t="shared" si="262"/>
        <v>0</v>
      </c>
      <c r="J243" s="55">
        <f t="shared" si="262"/>
        <v>0</v>
      </c>
      <c r="K243" s="55">
        <f t="shared" si="262"/>
        <v>0</v>
      </c>
      <c r="L243" s="55">
        <f t="shared" si="262"/>
        <v>0</v>
      </c>
      <c r="M243" s="55">
        <f t="shared" si="262"/>
        <v>0</v>
      </c>
      <c r="N243" s="55">
        <f t="shared" si="262"/>
        <v>0</v>
      </c>
      <c r="O243" s="55">
        <f t="shared" si="262"/>
        <v>0</v>
      </c>
      <c r="P243" s="55">
        <f t="shared" si="262"/>
        <v>0</v>
      </c>
      <c r="Q243" s="55">
        <f t="shared" si="262"/>
        <v>0</v>
      </c>
      <c r="R243" s="55">
        <f t="shared" si="262"/>
        <v>0</v>
      </c>
      <c r="S243" s="55">
        <f t="shared" si="262"/>
        <v>0</v>
      </c>
      <c r="T243" s="55">
        <f t="shared" si="262"/>
        <v>0</v>
      </c>
      <c r="U243" s="55">
        <f t="shared" si="262"/>
        <v>0</v>
      </c>
      <c r="V243" s="55">
        <f t="shared" si="262"/>
        <v>0</v>
      </c>
      <c r="W243" s="55">
        <f t="shared" si="262"/>
        <v>0.16623500196190005</v>
      </c>
      <c r="X243" s="55">
        <f t="shared" si="262"/>
        <v>0.16942671399956852</v>
      </c>
      <c r="Y243" s="55">
        <f t="shared" si="262"/>
        <v>0.17267970690836029</v>
      </c>
      <c r="Z243" s="55">
        <f t="shared" si="262"/>
        <v>0.17599515728100082</v>
      </c>
      <c r="AA243" s="55">
        <f t="shared" si="262"/>
        <v>0.17937426430079606</v>
      </c>
      <c r="AB243" s="55">
        <f t="shared" si="262"/>
        <v>0.18281825017537137</v>
      </c>
      <c r="AC243" s="55">
        <f t="shared" si="262"/>
        <v>0.18632836057873856</v>
      </c>
      <c r="AD243" s="55">
        <f t="shared" si="262"/>
        <v>0.18990586510185029</v>
      </c>
      <c r="AE243" s="55">
        <f t="shared" si="262"/>
        <v>0.19355205771180586</v>
      </c>
      <c r="AF243" s="55">
        <f t="shared" si="262"/>
        <v>0.19726825721987254</v>
      </c>
      <c r="AG243" s="55">
        <f t="shared" si="262"/>
        <v>0.20105580775849413</v>
      </c>
      <c r="AH243" s="55">
        <f t="shared" si="262"/>
        <v>0.20491607926745725</v>
      </c>
      <c r="AI243" s="55">
        <f t="shared" ref="AI243:BJ243" si="263">IF(AND(AI$127&gt;=$K32,AI$127&lt;=$L32),$G32*(1+$H32)^(AI$127-$B$5),0)</f>
        <v>0.20885046798939244</v>
      </c>
      <c r="AJ243" s="55">
        <f t="shared" si="263"/>
        <v>0.21286039697478878</v>
      </c>
      <c r="AK243" s="55">
        <f t="shared" si="263"/>
        <v>0.21694731659670477</v>
      </c>
      <c r="AL243" s="55">
        <f t="shared" si="263"/>
        <v>0.22111270507536152</v>
      </c>
      <c r="AM243" s="55">
        <f t="shared" si="263"/>
        <v>0.22535806901280847</v>
      </c>
      <c r="AN243" s="55">
        <f t="shared" si="263"/>
        <v>0.22968494393785441</v>
      </c>
      <c r="AO243" s="55">
        <f t="shared" si="263"/>
        <v>0.23409489486146129</v>
      </c>
      <c r="AP243" s="55">
        <f t="shared" si="263"/>
        <v>0.23858951684280136</v>
      </c>
      <c r="AQ243" s="55">
        <f t="shared" si="263"/>
        <v>0.24317043556618317</v>
      </c>
      <c r="AR243" s="55">
        <f t="shared" si="263"/>
        <v>0.24783930792905393</v>
      </c>
      <c r="AS243" s="55">
        <f t="shared" si="263"/>
        <v>0.25259782264129177</v>
      </c>
      <c r="AT243" s="55">
        <f t="shared" si="263"/>
        <v>0.2574477008360046</v>
      </c>
      <c r="AU243" s="55">
        <f t="shared" si="263"/>
        <v>0.26239069669205589</v>
      </c>
      <c r="AV243" s="55">
        <f t="shared" si="263"/>
        <v>0.26742859806854347</v>
      </c>
      <c r="AW243" s="55">
        <f t="shared" si="263"/>
        <v>0.27256322715145953</v>
      </c>
      <c r="AX243" s="55">
        <f t="shared" si="263"/>
        <v>0.27779644111276758</v>
      </c>
      <c r="AY243" s="55">
        <f t="shared" si="263"/>
        <v>0.28313013278213267</v>
      </c>
      <c r="AZ243" s="55">
        <f t="shared" si="263"/>
        <v>0.28856623133154968</v>
      </c>
      <c r="BA243" s="55">
        <f t="shared" si="263"/>
        <v>0.29410670297311542</v>
      </c>
      <c r="BB243" s="55">
        <f t="shared" si="263"/>
        <v>0.29975355167019929</v>
      </c>
      <c r="BC243" s="55">
        <f t="shared" si="263"/>
        <v>0.30550881986226719</v>
      </c>
      <c r="BD243" s="55">
        <f t="shared" si="263"/>
        <v>0.31137458920362265</v>
      </c>
      <c r="BE243" s="55">
        <f t="shared" si="263"/>
        <v>0.31735298131633238</v>
      </c>
      <c r="BF243" s="55">
        <f t="shared" si="263"/>
        <v>0.32344615855760595</v>
      </c>
      <c r="BG243" s="55">
        <f t="shared" si="263"/>
        <v>0.32965632480191204</v>
      </c>
      <c r="BH243" s="55">
        <f t="shared" si="263"/>
        <v>0.3359857262381088</v>
      </c>
      <c r="BI243" s="55">
        <f t="shared" si="263"/>
        <v>0.34243665218188057</v>
      </c>
      <c r="BJ243" s="55">
        <f t="shared" si="263"/>
        <v>0.34901143590377259</v>
      </c>
    </row>
    <row r="244" spans="1:62" x14ac:dyDescent="0.3">
      <c r="A244" s="53" t="str">
        <f t="shared" si="245"/>
        <v>project 22</v>
      </c>
      <c r="C244" s="55">
        <f t="shared" ref="C244:AH244" si="264">IF(AND(C$127&gt;=$K33,C$127&lt;=$L33),$G33*(1+$H33)^(C$127-$B$5),0)</f>
        <v>0</v>
      </c>
      <c r="D244" s="55">
        <f t="shared" si="264"/>
        <v>0</v>
      </c>
      <c r="E244" s="55">
        <f t="shared" si="264"/>
        <v>0.19702721689669994</v>
      </c>
      <c r="F244" s="55">
        <f t="shared" si="264"/>
        <v>0.20004173331521946</v>
      </c>
      <c r="G244" s="55">
        <f t="shared" si="264"/>
        <v>0.20310237183494231</v>
      </c>
      <c r="H244" s="55">
        <f t="shared" si="264"/>
        <v>0.20620983812401697</v>
      </c>
      <c r="I244" s="55">
        <f t="shared" si="264"/>
        <v>0.20936484864731439</v>
      </c>
      <c r="J244" s="55">
        <f t="shared" si="264"/>
        <v>0.21256813083161835</v>
      </c>
      <c r="K244" s="55">
        <f t="shared" si="264"/>
        <v>0.21582042323334211</v>
      </c>
      <c r="L244" s="55">
        <f t="shared" si="264"/>
        <v>0.21912247570881227</v>
      </c>
      <c r="M244" s="55">
        <f t="shared" si="264"/>
        <v>0.22247504958715708</v>
      </c>
      <c r="N244" s="55">
        <f t="shared" si="264"/>
        <v>0.2258789178458406</v>
      </c>
      <c r="O244" s="55">
        <f t="shared" si="264"/>
        <v>0.22933486528888197</v>
      </c>
      <c r="P244" s="55">
        <f t="shared" si="264"/>
        <v>0.23284368872780192</v>
      </c>
      <c r="Q244" s="55">
        <f t="shared" si="264"/>
        <v>0.23640619716533726</v>
      </c>
      <c r="R244" s="55">
        <f t="shared" si="264"/>
        <v>0.24002321198196694</v>
      </c>
      <c r="S244" s="55">
        <f t="shared" si="264"/>
        <v>0.24369556712529103</v>
      </c>
      <c r="T244" s="55">
        <f t="shared" si="264"/>
        <v>0.24742410930230802</v>
      </c>
      <c r="U244" s="55">
        <f t="shared" si="264"/>
        <v>0.25120969817463334</v>
      </c>
      <c r="V244" s="55">
        <f t="shared" si="264"/>
        <v>0.25505320655670527</v>
      </c>
      <c r="W244" s="55">
        <f t="shared" si="264"/>
        <v>0.25895552061702282</v>
      </c>
      <c r="X244" s="55">
        <f t="shared" si="264"/>
        <v>0.26291754008246332</v>
      </c>
      <c r="Y244" s="55">
        <f t="shared" si="264"/>
        <v>0.26694017844572498</v>
      </c>
      <c r="Z244" s="55">
        <f t="shared" si="264"/>
        <v>0.27102436317594464</v>
      </c>
      <c r="AA244" s="55">
        <f t="shared" si="264"/>
        <v>0.2751710359325365</v>
      </c>
      <c r="AB244" s="55">
        <f t="shared" si="264"/>
        <v>0.27938115278230441</v>
      </c>
      <c r="AC244" s="55">
        <f t="shared" si="264"/>
        <v>0.28365568441987365</v>
      </c>
      <c r="AD244" s="55">
        <f t="shared" si="264"/>
        <v>0.28799561639149773</v>
      </c>
      <c r="AE244" s="55">
        <f t="shared" si="264"/>
        <v>0.29240194932228769</v>
      </c>
      <c r="AF244" s="55">
        <f t="shared" si="264"/>
        <v>0.29687569914691869</v>
      </c>
      <c r="AG244" s="55">
        <f t="shared" si="264"/>
        <v>0.30141789734386654</v>
      </c>
      <c r="AH244" s="55">
        <f t="shared" si="264"/>
        <v>0.30602959117322776</v>
      </c>
      <c r="AI244" s="55">
        <f t="shared" ref="AI244:BJ244" si="265">IF(AND(AI$127&gt;=$K33,AI$127&lt;=$L33),$G33*(1+$H33)^(AI$127-$B$5),0)</f>
        <v>0.31071184391817808</v>
      </c>
      <c r="AJ244" s="55">
        <f t="shared" si="265"/>
        <v>0.31546573513012627</v>
      </c>
      <c r="AK244" s="55">
        <f t="shared" si="265"/>
        <v>0.3202923608776172</v>
      </c>
      <c r="AL244" s="55">
        <f t="shared" si="265"/>
        <v>0.32519283399904475</v>
      </c>
      <c r="AM244" s="55">
        <f t="shared" si="265"/>
        <v>0.33016828435923018</v>
      </c>
      <c r="AN244" s="55">
        <f t="shared" si="265"/>
        <v>0.33521985910992641</v>
      </c>
      <c r="AO244" s="55">
        <f t="shared" si="265"/>
        <v>0.34034872295430824</v>
      </c>
      <c r="AP244" s="55">
        <f t="shared" si="265"/>
        <v>0.34555605841550918</v>
      </c>
      <c r="AQ244" s="55">
        <f t="shared" si="265"/>
        <v>0.35084306610926647</v>
      </c>
      <c r="AR244" s="55">
        <f t="shared" si="265"/>
        <v>0.35621096502073835</v>
      </c>
      <c r="AS244" s="55">
        <f t="shared" si="265"/>
        <v>0</v>
      </c>
      <c r="AT244" s="55">
        <f t="shared" si="265"/>
        <v>0</v>
      </c>
      <c r="AU244" s="55">
        <f t="shared" si="265"/>
        <v>0</v>
      </c>
      <c r="AV244" s="55">
        <f t="shared" si="265"/>
        <v>0</v>
      </c>
      <c r="AW244" s="55">
        <f t="shared" si="265"/>
        <v>0</v>
      </c>
      <c r="AX244" s="55">
        <f t="shared" si="265"/>
        <v>0</v>
      </c>
      <c r="AY244" s="55">
        <f t="shared" si="265"/>
        <v>0</v>
      </c>
      <c r="AZ244" s="55">
        <f t="shared" si="265"/>
        <v>0</v>
      </c>
      <c r="BA244" s="55">
        <f t="shared" si="265"/>
        <v>0</v>
      </c>
      <c r="BB244" s="55">
        <f t="shared" si="265"/>
        <v>0</v>
      </c>
      <c r="BC244" s="55">
        <f t="shared" si="265"/>
        <v>0</v>
      </c>
      <c r="BD244" s="55">
        <f t="shared" si="265"/>
        <v>0</v>
      </c>
      <c r="BE244" s="55">
        <f t="shared" si="265"/>
        <v>0</v>
      </c>
      <c r="BF244" s="55">
        <f t="shared" si="265"/>
        <v>0</v>
      </c>
      <c r="BG244" s="55">
        <f t="shared" si="265"/>
        <v>0</v>
      </c>
      <c r="BH244" s="55">
        <f t="shared" si="265"/>
        <v>0</v>
      </c>
      <c r="BI244" s="55">
        <f t="shared" si="265"/>
        <v>0</v>
      </c>
      <c r="BJ244" s="55">
        <f t="shared" si="265"/>
        <v>0</v>
      </c>
    </row>
    <row r="245" spans="1:62" x14ac:dyDescent="0.3">
      <c r="A245" s="53" t="str">
        <f t="shared" si="245"/>
        <v>project 23</v>
      </c>
      <c r="C245" s="55">
        <f t="shared" ref="C245:AH245" si="266">IF(AND(C$127&gt;=$K34,C$127&lt;=$L34),$G34*(1+$H34)^(C$127-$B$5),0)</f>
        <v>0</v>
      </c>
      <c r="D245" s="55">
        <f t="shared" si="266"/>
        <v>4.0325354869750592E-2</v>
      </c>
      <c r="E245" s="55">
        <f t="shared" si="266"/>
        <v>4.0926202657309875E-2</v>
      </c>
      <c r="F245" s="55">
        <f t="shared" si="266"/>
        <v>4.1536003076903791E-2</v>
      </c>
      <c r="G245" s="55">
        <f t="shared" si="266"/>
        <v>4.2154889522749657E-2</v>
      </c>
      <c r="H245" s="55">
        <f t="shared" si="266"/>
        <v>4.2782997376638626E-2</v>
      </c>
      <c r="I245" s="55">
        <f t="shared" si="266"/>
        <v>4.3420464037550538E-2</v>
      </c>
      <c r="J245" s="55">
        <f t="shared" si="266"/>
        <v>4.4067428951710036E-2</v>
      </c>
      <c r="K245" s="55">
        <f t="shared" si="266"/>
        <v>4.4724033643090522E-2</v>
      </c>
      <c r="L245" s="55">
        <f t="shared" si="266"/>
        <v>4.5390421744372564E-2</v>
      </c>
      <c r="M245" s="55">
        <f t="shared" si="266"/>
        <v>4.6066739028363717E-2</v>
      </c>
      <c r="N245" s="55">
        <f t="shared" si="266"/>
        <v>4.6753133439886338E-2</v>
      </c>
      <c r="O245" s="55">
        <f t="shared" si="266"/>
        <v>4.7449755128140647E-2</v>
      </c>
      <c r="P245" s="55">
        <f t="shared" si="266"/>
        <v>4.8156756479549936E-2</v>
      </c>
      <c r="Q245" s="55">
        <f t="shared" si="266"/>
        <v>4.8874292151095226E-2</v>
      </c>
      <c r="R245" s="55">
        <f t="shared" si="266"/>
        <v>4.960251910414655E-2</v>
      </c>
      <c r="S245" s="55">
        <f t="shared" si="266"/>
        <v>5.0341596638798329E-2</v>
      </c>
      <c r="T245" s="55">
        <f t="shared" si="266"/>
        <v>5.1091686428716421E-2</v>
      </c>
      <c r="U245" s="55">
        <f t="shared" si="266"/>
        <v>5.1852952556504295E-2</v>
      </c>
      <c r="V245" s="55">
        <f t="shared" si="266"/>
        <v>5.262556154959621E-2</v>
      </c>
      <c r="W245" s="55">
        <f t="shared" si="266"/>
        <v>5.34096824166852E-2</v>
      </c>
      <c r="X245" s="55">
        <f t="shared" si="266"/>
        <v>5.4205486684693799E-2</v>
      </c>
      <c r="Y245" s="55">
        <f t="shared" si="266"/>
        <v>5.501314843629574E-2</v>
      </c>
      <c r="Z245" s="55">
        <f t="shared" si="266"/>
        <v>5.5832844347996541E-2</v>
      </c>
      <c r="AA245" s="55">
        <f t="shared" si="266"/>
        <v>5.6664753728781693E-2</v>
      </c>
      <c r="AB245" s="55">
        <f t="shared" si="266"/>
        <v>5.7509058559340527E-2</v>
      </c>
      <c r="AC245" s="55">
        <f t="shared" si="266"/>
        <v>5.8365943531874707E-2</v>
      </c>
      <c r="AD245" s="55">
        <f t="shared" si="266"/>
        <v>5.9235596090499644E-2</v>
      </c>
      <c r="AE245" s="55">
        <f t="shared" si="266"/>
        <v>6.0118206472248095E-2</v>
      </c>
      <c r="AF245" s="55">
        <f t="shared" si="266"/>
        <v>6.1013967748684589E-2</v>
      </c>
      <c r="AG245" s="55">
        <f t="shared" si="266"/>
        <v>6.1923075868139978E-2</v>
      </c>
      <c r="AH245" s="55">
        <f t="shared" si="266"/>
        <v>6.2845729698575256E-2</v>
      </c>
      <c r="AI245" s="55">
        <f t="shared" ref="AI245:BJ245" si="267">IF(AND(AI$127&gt;=$K34,AI$127&lt;=$L34),$G34*(1+$H34)^(AI$127-$B$5),0)</f>
        <v>6.3782131071084033E-2</v>
      </c>
      <c r="AJ245" s="55">
        <f t="shared" si="267"/>
        <v>6.4732484824043188E-2</v>
      </c>
      <c r="AK245" s="55">
        <f t="shared" si="267"/>
        <v>6.5696998847921434E-2</v>
      </c>
      <c r="AL245" s="55">
        <f t="shared" si="267"/>
        <v>6.6675884130755453E-2</v>
      </c>
      <c r="AM245" s="55">
        <f t="shared" si="267"/>
        <v>6.7669354804303722E-2</v>
      </c>
      <c r="AN245" s="55">
        <f t="shared" si="267"/>
        <v>6.8677628190887838E-2</v>
      </c>
      <c r="AO245" s="55">
        <f t="shared" si="267"/>
        <v>6.9700924850932058E-2</v>
      </c>
      <c r="AP245" s="55">
        <f t="shared" si="267"/>
        <v>7.0739468631210944E-2</v>
      </c>
      <c r="AQ245" s="55">
        <f t="shared" si="267"/>
        <v>7.1793486713815996E-2</v>
      </c>
      <c r="AR245" s="55">
        <f t="shared" si="267"/>
        <v>0</v>
      </c>
      <c r="AS245" s="55">
        <f t="shared" si="267"/>
        <v>0</v>
      </c>
      <c r="AT245" s="55">
        <f t="shared" si="267"/>
        <v>0</v>
      </c>
      <c r="AU245" s="55">
        <f t="shared" si="267"/>
        <v>0</v>
      </c>
      <c r="AV245" s="55">
        <f t="shared" si="267"/>
        <v>0</v>
      </c>
      <c r="AW245" s="55">
        <f t="shared" si="267"/>
        <v>0</v>
      </c>
      <c r="AX245" s="55">
        <f t="shared" si="267"/>
        <v>0</v>
      </c>
      <c r="AY245" s="55">
        <f t="shared" si="267"/>
        <v>0</v>
      </c>
      <c r="AZ245" s="55">
        <f t="shared" si="267"/>
        <v>0</v>
      </c>
      <c r="BA245" s="55">
        <f t="shared" si="267"/>
        <v>0</v>
      </c>
      <c r="BB245" s="55">
        <f t="shared" si="267"/>
        <v>0</v>
      </c>
      <c r="BC245" s="55">
        <f t="shared" si="267"/>
        <v>0</v>
      </c>
      <c r="BD245" s="55">
        <f t="shared" si="267"/>
        <v>0</v>
      </c>
      <c r="BE245" s="55">
        <f t="shared" si="267"/>
        <v>0</v>
      </c>
      <c r="BF245" s="55">
        <f t="shared" si="267"/>
        <v>0</v>
      </c>
      <c r="BG245" s="55">
        <f t="shared" si="267"/>
        <v>0</v>
      </c>
      <c r="BH245" s="55">
        <f t="shared" si="267"/>
        <v>0</v>
      </c>
      <c r="BI245" s="55">
        <f t="shared" si="267"/>
        <v>0</v>
      </c>
      <c r="BJ245" s="55">
        <f t="shared" si="267"/>
        <v>0</v>
      </c>
    </row>
    <row r="246" spans="1:62" x14ac:dyDescent="0.3">
      <c r="A246" s="53" t="str">
        <f t="shared" si="245"/>
        <v>project 24</v>
      </c>
      <c r="C246" s="55">
        <f t="shared" ref="C246:AH246" si="268">IF(AND(C$127&gt;=$K35,C$127&lt;=$L35),$G35*(1+$H35)^(C$127-$B$5),0)</f>
        <v>0</v>
      </c>
      <c r="D246" s="55">
        <f t="shared" si="268"/>
        <v>0</v>
      </c>
      <c r="E246" s="55">
        <f t="shared" si="268"/>
        <v>0</v>
      </c>
      <c r="F246" s="55">
        <f t="shared" si="268"/>
        <v>0</v>
      </c>
      <c r="G246" s="55">
        <f t="shared" si="268"/>
        <v>0</v>
      </c>
      <c r="H246" s="55">
        <f t="shared" si="268"/>
        <v>0</v>
      </c>
      <c r="I246" s="55">
        <f t="shared" si="268"/>
        <v>0</v>
      </c>
      <c r="J246" s="55">
        <f t="shared" si="268"/>
        <v>0</v>
      </c>
      <c r="K246" s="55">
        <f t="shared" si="268"/>
        <v>0</v>
      </c>
      <c r="L246" s="55">
        <f t="shared" si="268"/>
        <v>0</v>
      </c>
      <c r="M246" s="55">
        <f t="shared" si="268"/>
        <v>0</v>
      </c>
      <c r="N246" s="55">
        <f t="shared" si="268"/>
        <v>0</v>
      </c>
      <c r="O246" s="55">
        <f t="shared" si="268"/>
        <v>0</v>
      </c>
      <c r="P246" s="55">
        <f t="shared" si="268"/>
        <v>0</v>
      </c>
      <c r="Q246" s="55">
        <f t="shared" si="268"/>
        <v>0</v>
      </c>
      <c r="R246" s="55">
        <f t="shared" si="268"/>
        <v>0</v>
      </c>
      <c r="S246" s="55">
        <f t="shared" si="268"/>
        <v>0</v>
      </c>
      <c r="T246" s="55">
        <f t="shared" si="268"/>
        <v>0</v>
      </c>
      <c r="U246" s="55">
        <f t="shared" si="268"/>
        <v>0</v>
      </c>
      <c r="V246" s="55">
        <f t="shared" si="268"/>
        <v>0</v>
      </c>
      <c r="W246" s="55">
        <f t="shared" si="268"/>
        <v>9.5813016053814745E-2</v>
      </c>
      <c r="X246" s="55">
        <f t="shared" si="268"/>
        <v>9.7844251994155626E-2</v>
      </c>
      <c r="Y246" s="55">
        <f t="shared" si="268"/>
        <v>9.9918550136431736E-2</v>
      </c>
      <c r="Z246" s="55">
        <f t="shared" si="268"/>
        <v>0.10203682339932409</v>
      </c>
      <c r="AA246" s="55">
        <f t="shared" si="268"/>
        <v>0.10420000405538977</v>
      </c>
      <c r="AB246" s="55">
        <f t="shared" si="268"/>
        <v>0.10640904414136405</v>
      </c>
      <c r="AC246" s="55">
        <f t="shared" si="268"/>
        <v>0.10866491587716098</v>
      </c>
      <c r="AD246" s="55">
        <f t="shared" si="268"/>
        <v>0.11096861209375679</v>
      </c>
      <c r="AE246" s="55">
        <f t="shared" si="268"/>
        <v>0.11332114667014447</v>
      </c>
      <c r="AF246" s="55">
        <f t="shared" si="268"/>
        <v>0.11572355497955152</v>
      </c>
      <c r="AG246" s="55">
        <f t="shared" si="268"/>
        <v>0.11817689434511802</v>
      </c>
      <c r="AH246" s="55">
        <f t="shared" si="268"/>
        <v>0.12068224450523453</v>
      </c>
      <c r="AI246" s="55">
        <f t="shared" ref="AI246:BJ246" si="269">IF(AND(AI$127&gt;=$K35,AI$127&lt;=$L35),$G35*(1+$H35)^(AI$127-$B$5),0)</f>
        <v>0.12324070808874552</v>
      </c>
      <c r="AJ246" s="55">
        <f t="shared" si="269"/>
        <v>0.12585341110022694</v>
      </c>
      <c r="AK246" s="55">
        <f t="shared" si="269"/>
        <v>0.12852150341555174</v>
      </c>
      <c r="AL246" s="55">
        <f t="shared" si="269"/>
        <v>0.13124615928796146</v>
      </c>
      <c r="AM246" s="55">
        <f t="shared" si="269"/>
        <v>0.13402857786486624</v>
      </c>
      <c r="AN246" s="55">
        <f t="shared" si="269"/>
        <v>0.13686998371560141</v>
      </c>
      <c r="AO246" s="55">
        <f t="shared" si="269"/>
        <v>0.13977162737037219</v>
      </c>
      <c r="AP246" s="55">
        <f t="shared" si="269"/>
        <v>0.14273478587062408</v>
      </c>
      <c r="AQ246" s="55">
        <f t="shared" si="269"/>
        <v>0.14576076333108132</v>
      </c>
      <c r="AR246" s="55">
        <f t="shared" si="269"/>
        <v>0.14885089151370026</v>
      </c>
      <c r="AS246" s="55">
        <f t="shared" si="269"/>
        <v>0.15200653041379072</v>
      </c>
      <c r="AT246" s="55">
        <f t="shared" si="269"/>
        <v>0.15522906885856308</v>
      </c>
      <c r="AU246" s="55">
        <f t="shared" si="269"/>
        <v>0.15851992511836463</v>
      </c>
      <c r="AV246" s="55">
        <f t="shared" si="269"/>
        <v>0.16188054753087397</v>
      </c>
      <c r="AW246" s="55">
        <f t="shared" si="269"/>
        <v>0.16531241513852854</v>
      </c>
      <c r="AX246" s="55">
        <f t="shared" si="269"/>
        <v>0.16881703833946535</v>
      </c>
      <c r="AY246" s="55">
        <f t="shared" si="269"/>
        <v>0.17239595955226203</v>
      </c>
      <c r="AZ246" s="55">
        <f t="shared" si="269"/>
        <v>0.17605075389476998</v>
      </c>
      <c r="BA246" s="55">
        <f t="shared" si="269"/>
        <v>0.17978302987733913</v>
      </c>
      <c r="BB246" s="55">
        <f t="shared" si="269"/>
        <v>0.18359443011073873</v>
      </c>
      <c r="BC246" s="55">
        <f t="shared" si="269"/>
        <v>0.18748663202908641</v>
      </c>
      <c r="BD246" s="55">
        <f t="shared" si="269"/>
        <v>0.19146134862810305</v>
      </c>
      <c r="BE246" s="55">
        <f t="shared" si="269"/>
        <v>0.19552032921901885</v>
      </c>
      <c r="BF246" s="55">
        <f t="shared" si="269"/>
        <v>0.19966536019846204</v>
      </c>
      <c r="BG246" s="55">
        <f t="shared" si="269"/>
        <v>0.2038982658346695</v>
      </c>
      <c r="BH246" s="55">
        <f t="shared" si="269"/>
        <v>0.2082209090703645</v>
      </c>
      <c r="BI246" s="55">
        <f t="shared" si="269"/>
        <v>0.21263519234265627</v>
      </c>
      <c r="BJ246" s="55">
        <f t="shared" si="269"/>
        <v>0.21714305842032058</v>
      </c>
    </row>
    <row r="247" spans="1:62" x14ac:dyDescent="0.3">
      <c r="A247" s="53" t="str">
        <f t="shared" si="245"/>
        <v>project 26</v>
      </c>
      <c r="C247" s="55">
        <f t="shared" ref="C247:AH247" si="270">IF(AND(C$127&gt;=$K36,C$127&lt;=$L36),$G36*(1+$H36)^(C$127-$B$5),0)</f>
        <v>0</v>
      </c>
      <c r="D247" s="55">
        <f t="shared" si="270"/>
        <v>3.4813687246425418E-2</v>
      </c>
      <c r="E247" s="55">
        <f t="shared" si="270"/>
        <v>3.5346336661295726E-2</v>
      </c>
      <c r="F247" s="55">
        <f t="shared" si="270"/>
        <v>3.5887135612213558E-2</v>
      </c>
      <c r="G247" s="55">
        <f t="shared" si="270"/>
        <v>3.6436208787080426E-2</v>
      </c>
      <c r="H247" s="55">
        <f t="shared" si="270"/>
        <v>3.6993682781522763E-2</v>
      </c>
      <c r="I247" s="55">
        <f t="shared" si="270"/>
        <v>3.7559686128080055E-2</v>
      </c>
      <c r="J247" s="55">
        <f t="shared" si="270"/>
        <v>3.8134349325839687E-2</v>
      </c>
      <c r="K247" s="55">
        <f t="shared" si="270"/>
        <v>3.8717804870525029E-2</v>
      </c>
      <c r="L247" s="55">
        <f t="shared" si="270"/>
        <v>3.9310187285044068E-2</v>
      </c>
      <c r="M247" s="55">
        <f t="shared" si="270"/>
        <v>3.9911633150505242E-2</v>
      </c>
      <c r="N247" s="55">
        <f t="shared" si="270"/>
        <v>4.0522281137707977E-2</v>
      </c>
      <c r="O247" s="55">
        <f t="shared" si="270"/>
        <v>4.1142272039114913E-2</v>
      </c>
      <c r="P247" s="55">
        <f t="shared" si="270"/>
        <v>4.1771748801313374E-2</v>
      </c>
      <c r="Q247" s="55">
        <f t="shared" si="270"/>
        <v>4.241085655797347E-2</v>
      </c>
      <c r="R247" s="55">
        <f t="shared" si="270"/>
        <v>4.3059742663310467E-2</v>
      </c>
      <c r="S247" s="55">
        <f t="shared" si="270"/>
        <v>4.3718556726059114E-2</v>
      </c>
      <c r="T247" s="55">
        <f t="shared" si="270"/>
        <v>4.4387450643967818E-2</v>
      </c>
      <c r="U247" s="55">
        <f t="shared" si="270"/>
        <v>4.5066578638820534E-2</v>
      </c>
      <c r="V247" s="55">
        <f t="shared" si="270"/>
        <v>4.5756097291994494E-2</v>
      </c>
      <c r="W247" s="55">
        <f t="shared" si="270"/>
        <v>4.6456165580562002E-2</v>
      </c>
      <c r="X247" s="55">
        <f t="shared" si="270"/>
        <v>4.716694491394461E-2</v>
      </c>
      <c r="Y247" s="55">
        <f t="shared" si="270"/>
        <v>4.7888599171127956E-2</v>
      </c>
      <c r="Z247" s="55">
        <f t="shared" si="270"/>
        <v>4.8621294738446223E-2</v>
      </c>
      <c r="AA247" s="55">
        <f t="shared" si="270"/>
        <v>4.9365200547944445E-2</v>
      </c>
      <c r="AB247" s="55">
        <f t="shared" si="270"/>
        <v>5.0120488116328007E-2</v>
      </c>
      <c r="AC247" s="55">
        <f t="shared" si="270"/>
        <v>5.0887331584507825E-2</v>
      </c>
      <c r="AD247" s="55">
        <f t="shared" si="270"/>
        <v>5.1665907757750797E-2</v>
      </c>
      <c r="AE247" s="55">
        <f t="shared" si="270"/>
        <v>5.2456396146444387E-2</v>
      </c>
      <c r="AF247" s="55">
        <f t="shared" si="270"/>
        <v>5.325897900748499E-2</v>
      </c>
      <c r="AG247" s="55">
        <f t="shared" si="270"/>
        <v>5.4073841386299511E-2</v>
      </c>
      <c r="AH247" s="55">
        <f t="shared" si="270"/>
        <v>5.4901171159509897E-2</v>
      </c>
      <c r="AI247" s="55">
        <f t="shared" ref="AI247:BJ247" si="271">IF(AND(AI$127&gt;=$K36,AI$127&lt;=$L36),$G36*(1+$H36)^(AI$127-$B$5),0)</f>
        <v>5.5741159078250398E-2</v>
      </c>
      <c r="AJ247" s="55">
        <f t="shared" si="271"/>
        <v>5.6593998812147626E-2</v>
      </c>
      <c r="AK247" s="55">
        <f t="shared" si="271"/>
        <v>5.7459886993973495E-2</v>
      </c>
      <c r="AL247" s="55">
        <f t="shared" si="271"/>
        <v>5.8339023264981291E-2</v>
      </c>
      <c r="AM247" s="55">
        <f t="shared" si="271"/>
        <v>5.9231610320935504E-2</v>
      </c>
      <c r="AN247" s="55">
        <f t="shared" si="271"/>
        <v>6.0137853958845827E-2</v>
      </c>
      <c r="AO247" s="55">
        <f t="shared" si="271"/>
        <v>6.1057963124416158E-2</v>
      </c>
      <c r="AP247" s="55">
        <f t="shared" si="271"/>
        <v>6.1992149960219733E-2</v>
      </c>
      <c r="AQ247" s="55">
        <f t="shared" si="271"/>
        <v>6.2940629854611102E-2</v>
      </c>
      <c r="AR247" s="55">
        <f t="shared" si="271"/>
        <v>0</v>
      </c>
      <c r="AS247" s="55">
        <f t="shared" si="271"/>
        <v>0</v>
      </c>
      <c r="AT247" s="55">
        <f t="shared" si="271"/>
        <v>0</v>
      </c>
      <c r="AU247" s="55">
        <f t="shared" si="271"/>
        <v>0</v>
      </c>
      <c r="AV247" s="55">
        <f t="shared" si="271"/>
        <v>0</v>
      </c>
      <c r="AW247" s="55">
        <f t="shared" si="271"/>
        <v>0</v>
      </c>
      <c r="AX247" s="55">
        <f t="shared" si="271"/>
        <v>0</v>
      </c>
      <c r="AY247" s="55">
        <f t="shared" si="271"/>
        <v>0</v>
      </c>
      <c r="AZ247" s="55">
        <f t="shared" si="271"/>
        <v>0</v>
      </c>
      <c r="BA247" s="55">
        <f t="shared" si="271"/>
        <v>0</v>
      </c>
      <c r="BB247" s="55">
        <f t="shared" si="271"/>
        <v>0</v>
      </c>
      <c r="BC247" s="55">
        <f t="shared" si="271"/>
        <v>0</v>
      </c>
      <c r="BD247" s="55">
        <f t="shared" si="271"/>
        <v>0</v>
      </c>
      <c r="BE247" s="55">
        <f t="shared" si="271"/>
        <v>0</v>
      </c>
      <c r="BF247" s="55">
        <f t="shared" si="271"/>
        <v>0</v>
      </c>
      <c r="BG247" s="55">
        <f t="shared" si="271"/>
        <v>0</v>
      </c>
      <c r="BH247" s="55">
        <f t="shared" si="271"/>
        <v>0</v>
      </c>
      <c r="BI247" s="55">
        <f t="shared" si="271"/>
        <v>0</v>
      </c>
      <c r="BJ247" s="55">
        <f t="shared" si="271"/>
        <v>0</v>
      </c>
    </row>
    <row r="248" spans="1:62" x14ac:dyDescent="0.3">
      <c r="A248" s="53" t="str">
        <f t="shared" si="245"/>
        <v>project 27</v>
      </c>
      <c r="C248" s="55">
        <f t="shared" ref="C248:AH248" si="272">IF(AND(C$127&gt;=$K37,C$127&lt;=$L37),$G37*(1+$H37)^(C$127-$B$5),0)</f>
        <v>0</v>
      </c>
      <c r="D248" s="55">
        <f t="shared" si="272"/>
        <v>0</v>
      </c>
      <c r="E248" s="55">
        <f t="shared" si="272"/>
        <v>0</v>
      </c>
      <c r="F248" s="55">
        <f t="shared" si="272"/>
        <v>0</v>
      </c>
      <c r="G248" s="55">
        <f t="shared" si="272"/>
        <v>0</v>
      </c>
      <c r="H248" s="55">
        <f t="shared" si="272"/>
        <v>0</v>
      </c>
      <c r="I248" s="55">
        <f t="shared" si="272"/>
        <v>0</v>
      </c>
      <c r="J248" s="55">
        <f t="shared" si="272"/>
        <v>0</v>
      </c>
      <c r="K248" s="55">
        <f t="shared" si="272"/>
        <v>0</v>
      </c>
      <c r="L248" s="55">
        <f t="shared" si="272"/>
        <v>0</v>
      </c>
      <c r="M248" s="55">
        <f t="shared" si="272"/>
        <v>0</v>
      </c>
      <c r="N248" s="55">
        <f t="shared" si="272"/>
        <v>0</v>
      </c>
      <c r="O248" s="55">
        <f t="shared" si="272"/>
        <v>0</v>
      </c>
      <c r="P248" s="55">
        <f t="shared" si="272"/>
        <v>0</v>
      </c>
      <c r="Q248" s="55">
        <f t="shared" si="272"/>
        <v>0</v>
      </c>
      <c r="R248" s="55">
        <f t="shared" si="272"/>
        <v>0</v>
      </c>
      <c r="S248" s="55">
        <f t="shared" si="272"/>
        <v>0</v>
      </c>
      <c r="T248" s="55">
        <f t="shared" si="272"/>
        <v>0</v>
      </c>
      <c r="U248" s="55">
        <f t="shared" si="272"/>
        <v>0</v>
      </c>
      <c r="V248" s="55">
        <f t="shared" si="272"/>
        <v>0</v>
      </c>
      <c r="W248" s="55">
        <f t="shared" si="272"/>
        <v>8.05306268369229E-2</v>
      </c>
      <c r="X248" s="55">
        <f t="shared" si="272"/>
        <v>8.2278141439284122E-2</v>
      </c>
      <c r="Y248" s="55">
        <f t="shared" si="272"/>
        <v>8.4063577108516599E-2</v>
      </c>
      <c r="Z248" s="55">
        <f t="shared" si="272"/>
        <v>8.5887756731771417E-2</v>
      </c>
      <c r="AA248" s="55">
        <f t="shared" si="272"/>
        <v>8.7751521052850875E-2</v>
      </c>
      <c r="AB248" s="55">
        <f t="shared" si="272"/>
        <v>8.965572905969775E-2</v>
      </c>
      <c r="AC248" s="55">
        <f t="shared" si="272"/>
        <v>9.1601258380293205E-2</v>
      </c>
      <c r="AD248" s="55">
        <f t="shared" si="272"/>
        <v>9.3589005687145552E-2</v>
      </c>
      <c r="AE248" s="55">
        <f t="shared" si="272"/>
        <v>9.5619887110556634E-2</v>
      </c>
      <c r="AF248" s="55">
        <f t="shared" si="272"/>
        <v>9.7694838660855723E-2</v>
      </c>
      <c r="AG248" s="55">
        <f t="shared" si="272"/>
        <v>9.9814816659796302E-2</v>
      </c>
      <c r="AH248" s="55">
        <f t="shared" si="272"/>
        <v>0.10198079818131388</v>
      </c>
      <c r="AI248" s="55">
        <f t="shared" ref="AI248:BJ248" si="273">IF(AND(AI$127&gt;=$K37,AI$127&lt;=$L37),$G37*(1+$H37)^(AI$127-$B$5),0)</f>
        <v>0.10419378150184842</v>
      </c>
      <c r="AJ248" s="55">
        <f t="shared" si="273"/>
        <v>0.10645478656043854</v>
      </c>
      <c r="AK248" s="55">
        <f t="shared" si="273"/>
        <v>0.10876485542880009</v>
      </c>
      <c r="AL248" s="55">
        <f t="shared" si="273"/>
        <v>0.11112505279160503</v>
      </c>
      <c r="AM248" s="55">
        <f t="shared" si="273"/>
        <v>0.1135364664371829</v>
      </c>
      <c r="AN248" s="55">
        <f t="shared" si="273"/>
        <v>0.11600020775886977</v>
      </c>
      <c r="AO248" s="55">
        <f t="shared" si="273"/>
        <v>0.11851741226723725</v>
      </c>
      <c r="AP248" s="55">
        <f t="shared" si="273"/>
        <v>0.1210892401134363</v>
      </c>
      <c r="AQ248" s="55">
        <f t="shared" si="273"/>
        <v>0.12371687662389792</v>
      </c>
      <c r="AR248" s="55">
        <f t="shared" si="273"/>
        <v>0.12640153284663652</v>
      </c>
      <c r="AS248" s="55">
        <f t="shared" si="273"/>
        <v>0.12914444610940853</v>
      </c>
      <c r="AT248" s="55">
        <f t="shared" si="273"/>
        <v>0.13194688058998269</v>
      </c>
      <c r="AU248" s="55">
        <f t="shared" si="273"/>
        <v>0.13481012789878535</v>
      </c>
      <c r="AV248" s="55">
        <f t="shared" si="273"/>
        <v>0.13773550767418899</v>
      </c>
      <c r="AW248" s="55">
        <f t="shared" si="273"/>
        <v>0.14072436819071893</v>
      </c>
      <c r="AX248" s="55">
        <f t="shared" si="273"/>
        <v>0.14377808698045749</v>
      </c>
      <c r="AY248" s="55">
        <f t="shared" si="273"/>
        <v>0.14689807146793349</v>
      </c>
      <c r="AZ248" s="55">
        <f t="shared" si="273"/>
        <v>0.15008575961878765</v>
      </c>
      <c r="BA248" s="55">
        <f t="shared" si="273"/>
        <v>0.15334262060251538</v>
      </c>
      <c r="BB248" s="55">
        <f t="shared" si="273"/>
        <v>0.15667015546958996</v>
      </c>
      <c r="BC248" s="55">
        <f t="shared" si="273"/>
        <v>0.1600698978432801</v>
      </c>
      <c r="BD248" s="55">
        <f t="shared" si="273"/>
        <v>0.16354341462647926</v>
      </c>
      <c r="BE248" s="55">
        <f t="shared" si="273"/>
        <v>0.1670923067238739</v>
      </c>
      <c r="BF248" s="55">
        <f t="shared" si="273"/>
        <v>0.17071820977978194</v>
      </c>
      <c r="BG248" s="55">
        <f t="shared" si="273"/>
        <v>0.17442279493200327</v>
      </c>
      <c r="BH248" s="55">
        <f t="shared" si="273"/>
        <v>0.17820776958202778</v>
      </c>
      <c r="BI248" s="55">
        <f t="shared" si="273"/>
        <v>0.18207487818195781</v>
      </c>
      <c r="BJ248" s="55">
        <f t="shared" si="273"/>
        <v>0.18602590303850627</v>
      </c>
    </row>
    <row r="249" spans="1:62" x14ac:dyDescent="0.3">
      <c r="A249" s="53" t="str">
        <f t="shared" si="245"/>
        <v>project 28</v>
      </c>
      <c r="C249" s="55">
        <f t="shared" ref="C249:AH249" si="274">IF(AND(C$127&gt;=$K38,C$127&lt;=$L38),$G38*(1+$H38)^(C$127-$B$5),0)</f>
        <v>0</v>
      </c>
      <c r="D249" s="55">
        <f t="shared" si="274"/>
        <v>0</v>
      </c>
      <c r="E249" s="55">
        <f t="shared" si="274"/>
        <v>7.9910677714847569E-2</v>
      </c>
      <c r="F249" s="55">
        <f t="shared" si="274"/>
        <v>7.8312464160550627E-2</v>
      </c>
      <c r="G249" s="55">
        <f t="shared" si="274"/>
        <v>7.6746214877339611E-2</v>
      </c>
      <c r="H249" s="55">
        <f t="shared" si="274"/>
        <v>7.5211290579792811E-2</v>
      </c>
      <c r="I249" s="55">
        <f t="shared" si="274"/>
        <v>7.3707064768196953E-2</v>
      </c>
      <c r="J249" s="55">
        <f t="shared" si="274"/>
        <v>7.2232923472833013E-2</v>
      </c>
      <c r="K249" s="55">
        <f t="shared" si="274"/>
        <v>7.0788265003376344E-2</v>
      </c>
      <c r="L249" s="55">
        <f t="shared" si="274"/>
        <v>6.9372499703308818E-2</v>
      </c>
      <c r="M249" s="55">
        <f t="shared" si="274"/>
        <v>6.7985049709242643E-2</v>
      </c>
      <c r="N249" s="55">
        <f t="shared" si="274"/>
        <v>6.6625348715057778E-2</v>
      </c>
      <c r="O249" s="55">
        <f t="shared" si="274"/>
        <v>6.5292841740756627E-2</v>
      </c>
      <c r="P249" s="55">
        <f t="shared" si="274"/>
        <v>6.3986984905941499E-2</v>
      </c>
      <c r="Q249" s="55">
        <f t="shared" si="274"/>
        <v>6.2707245207822657E-2</v>
      </c>
      <c r="R249" s="55">
        <f t="shared" si="274"/>
        <v>6.1453100303666207E-2</v>
      </c>
      <c r="S249" s="55">
        <f t="shared" si="274"/>
        <v>6.0224038297592881E-2</v>
      </c>
      <c r="T249" s="55">
        <f t="shared" si="274"/>
        <v>5.9019557531641023E-2</v>
      </c>
      <c r="U249" s="55">
        <f t="shared" si="274"/>
        <v>5.7839166381008202E-2</v>
      </c>
      <c r="V249" s="55">
        <f t="shared" si="274"/>
        <v>5.6682383053388033E-2</v>
      </c>
      <c r="W249" s="55">
        <f t="shared" si="274"/>
        <v>5.5548735392320275E-2</v>
      </c>
      <c r="X249" s="55">
        <f t="shared" si="274"/>
        <v>5.4437760684473868E-2</v>
      </c>
      <c r="Y249" s="55">
        <f t="shared" si="274"/>
        <v>5.3349005470784389E-2</v>
      </c>
      <c r="Z249" s="55">
        <f t="shared" si="274"/>
        <v>5.2282025361368695E-2</v>
      </c>
      <c r="AA249" s="55">
        <f t="shared" si="274"/>
        <v>5.1236384854141323E-2</v>
      </c>
      <c r="AB249" s="55">
        <f t="shared" si="274"/>
        <v>5.0211657157058491E-2</v>
      </c>
      <c r="AC249" s="55">
        <f t="shared" si="274"/>
        <v>4.9207424013917325E-2</v>
      </c>
      <c r="AD249" s="55">
        <f t="shared" si="274"/>
        <v>4.8223275533638969E-2</v>
      </c>
      <c r="AE249" s="55">
        <f t="shared" si="274"/>
        <v>4.725881002296619E-2</v>
      </c>
      <c r="AF249" s="55">
        <f t="shared" si="274"/>
        <v>4.6313633822506868E-2</v>
      </c>
      <c r="AG249" s="55">
        <f t="shared" si="274"/>
        <v>4.538736114605673E-2</v>
      </c>
      <c r="AH249" s="55">
        <f t="shared" si="274"/>
        <v>4.447961392313559E-2</v>
      </c>
      <c r="AI249" s="55">
        <f t="shared" ref="AI249:BJ249" si="275">IF(AND(AI$127&gt;=$K38,AI$127&lt;=$L38),$G38*(1+$H38)^(AI$127-$B$5),0)</f>
        <v>4.3590021644672877E-2</v>
      </c>
      <c r="AJ249" s="55">
        <f t="shared" si="275"/>
        <v>4.2718221211779421E-2</v>
      </c>
      <c r="AK249" s="55">
        <f t="shared" si="275"/>
        <v>4.1863856787543834E-2</v>
      </c>
      <c r="AL249" s="55">
        <f t="shared" si="275"/>
        <v>4.1026579651792953E-2</v>
      </c>
      <c r="AM249" s="55">
        <f t="shared" si="275"/>
        <v>4.0206048058757091E-2</v>
      </c>
      <c r="AN249" s="55">
        <f t="shared" si="275"/>
        <v>3.9401927097581946E-2</v>
      </c>
      <c r="AO249" s="55">
        <f t="shared" si="275"/>
        <v>3.8613888555630305E-2</v>
      </c>
      <c r="AP249" s="55">
        <f t="shared" si="275"/>
        <v>3.7841610784517699E-2</v>
      </c>
      <c r="AQ249" s="55">
        <f t="shared" si="275"/>
        <v>3.7084778568827345E-2</v>
      </c>
      <c r="AR249" s="55">
        <f t="shared" si="275"/>
        <v>3.6343082997450801E-2</v>
      </c>
      <c r="AS249" s="55">
        <f t="shared" si="275"/>
        <v>0</v>
      </c>
      <c r="AT249" s="55">
        <f t="shared" si="275"/>
        <v>0</v>
      </c>
      <c r="AU249" s="55">
        <f t="shared" si="275"/>
        <v>0</v>
      </c>
      <c r="AV249" s="55">
        <f t="shared" si="275"/>
        <v>0</v>
      </c>
      <c r="AW249" s="55">
        <f t="shared" si="275"/>
        <v>0</v>
      </c>
      <c r="AX249" s="55">
        <f t="shared" si="275"/>
        <v>0</v>
      </c>
      <c r="AY249" s="55">
        <f t="shared" si="275"/>
        <v>0</v>
      </c>
      <c r="AZ249" s="55">
        <f t="shared" si="275"/>
        <v>0</v>
      </c>
      <c r="BA249" s="55">
        <f t="shared" si="275"/>
        <v>0</v>
      </c>
      <c r="BB249" s="55">
        <f t="shared" si="275"/>
        <v>0</v>
      </c>
      <c r="BC249" s="55">
        <f t="shared" si="275"/>
        <v>0</v>
      </c>
      <c r="BD249" s="55">
        <f t="shared" si="275"/>
        <v>0</v>
      </c>
      <c r="BE249" s="55">
        <f t="shared" si="275"/>
        <v>0</v>
      </c>
      <c r="BF249" s="55">
        <f t="shared" si="275"/>
        <v>0</v>
      </c>
      <c r="BG249" s="55">
        <f t="shared" si="275"/>
        <v>0</v>
      </c>
      <c r="BH249" s="55">
        <f t="shared" si="275"/>
        <v>0</v>
      </c>
      <c r="BI249" s="55">
        <f t="shared" si="275"/>
        <v>0</v>
      </c>
      <c r="BJ249" s="55">
        <f t="shared" si="275"/>
        <v>0</v>
      </c>
    </row>
    <row r="250" spans="1:62" x14ac:dyDescent="0.3">
      <c r="A250" s="53" t="str">
        <f t="shared" si="245"/>
        <v>project 29</v>
      </c>
      <c r="C250" s="55">
        <f t="shared" ref="C250:AH250" si="276">IF(AND(C$127&gt;=$K39,C$127&lt;=$L39),$G39*(1+$H39)^(C$127-$B$5),0)</f>
        <v>0</v>
      </c>
      <c r="D250" s="55">
        <f t="shared" si="276"/>
        <v>0</v>
      </c>
      <c r="E250" s="55">
        <f t="shared" si="276"/>
        <v>0</v>
      </c>
      <c r="F250" s="55">
        <f t="shared" si="276"/>
        <v>0</v>
      </c>
      <c r="G250" s="55">
        <f t="shared" si="276"/>
        <v>0</v>
      </c>
      <c r="H250" s="55">
        <f t="shared" si="276"/>
        <v>0</v>
      </c>
      <c r="I250" s="55">
        <f t="shared" si="276"/>
        <v>0</v>
      </c>
      <c r="J250" s="55">
        <f t="shared" si="276"/>
        <v>0</v>
      </c>
      <c r="K250" s="55">
        <f t="shared" si="276"/>
        <v>0</v>
      </c>
      <c r="L250" s="55">
        <f t="shared" si="276"/>
        <v>0</v>
      </c>
      <c r="M250" s="55">
        <f t="shared" si="276"/>
        <v>0</v>
      </c>
      <c r="N250" s="55">
        <f t="shared" si="276"/>
        <v>0</v>
      </c>
      <c r="O250" s="55">
        <f t="shared" si="276"/>
        <v>0</v>
      </c>
      <c r="P250" s="55">
        <f t="shared" si="276"/>
        <v>0</v>
      </c>
      <c r="Q250" s="55">
        <f t="shared" si="276"/>
        <v>0</v>
      </c>
      <c r="R250" s="55">
        <f t="shared" si="276"/>
        <v>0</v>
      </c>
      <c r="S250" s="55">
        <f t="shared" si="276"/>
        <v>0</v>
      </c>
      <c r="T250" s="55">
        <f t="shared" si="276"/>
        <v>0</v>
      </c>
      <c r="U250" s="55">
        <f t="shared" si="276"/>
        <v>0</v>
      </c>
      <c r="V250" s="55">
        <f t="shared" si="276"/>
        <v>0</v>
      </c>
      <c r="W250" s="55">
        <f t="shared" si="276"/>
        <v>3.5324296178149757E-2</v>
      </c>
      <c r="X250" s="55">
        <f t="shared" si="276"/>
        <v>3.5960133509356451E-2</v>
      </c>
      <c r="Y250" s="55">
        <f t="shared" si="276"/>
        <v>3.6607415912524865E-2</v>
      </c>
      <c r="Z250" s="55">
        <f t="shared" si="276"/>
        <v>3.7266349398950321E-2</v>
      </c>
      <c r="AA250" s="55">
        <f t="shared" si="276"/>
        <v>3.7937143688131419E-2</v>
      </c>
      <c r="AB250" s="55">
        <f t="shared" si="276"/>
        <v>3.8620012274517793E-2</v>
      </c>
      <c r="AC250" s="55">
        <f t="shared" si="276"/>
        <v>3.9315172495459114E-2</v>
      </c>
      <c r="AD250" s="55">
        <f t="shared" si="276"/>
        <v>4.0022845600377374E-2</v>
      </c>
      <c r="AE250" s="55">
        <f t="shared" si="276"/>
        <v>4.0743256821184161E-2</v>
      </c>
      <c r="AF250" s="55">
        <f t="shared" si="276"/>
        <v>4.1476635443965487E-2</v>
      </c>
      <c r="AG250" s="55">
        <f t="shared" si="276"/>
        <v>4.2223214881956864E-2</v>
      </c>
      <c r="AH250" s="55">
        <f t="shared" si="276"/>
        <v>4.2983232749832088E-2</v>
      </c>
      <c r="AI250" s="55">
        <f t="shared" ref="AI250:BJ250" si="277">IF(AND(AI$127&gt;=$K39,AI$127&lt;=$L39),$G39*(1+$H39)^(AI$127-$B$5),0)</f>
        <v>4.3756930939329065E-2</v>
      </c>
      <c r="AJ250" s="55">
        <f t="shared" si="277"/>
        <v>4.4544555696236991E-2</v>
      </c>
      <c r="AK250" s="55">
        <f t="shared" si="277"/>
        <v>4.5346357698769255E-2</v>
      </c>
      <c r="AL250" s="55">
        <f t="shared" si="277"/>
        <v>4.6162592137347108E-2</v>
      </c>
      <c r="AM250" s="55">
        <f t="shared" si="277"/>
        <v>4.6993518795819353E-2</v>
      </c>
      <c r="AN250" s="55">
        <f t="shared" si="277"/>
        <v>4.7839402134144102E-2</v>
      </c>
      <c r="AO250" s="55">
        <f t="shared" si="277"/>
        <v>4.8700511372558694E-2</v>
      </c>
      <c r="AP250" s="55">
        <f t="shared" si="277"/>
        <v>4.9577120577264759E-2</v>
      </c>
      <c r="AQ250" s="55">
        <f t="shared" si="277"/>
        <v>5.0469508747655524E-2</v>
      </c>
      <c r="AR250" s="55">
        <f t="shared" si="277"/>
        <v>5.1377959905113312E-2</v>
      </c>
      <c r="AS250" s="55">
        <f t="shared" si="277"/>
        <v>5.2302763183405362E-2</v>
      </c>
      <c r="AT250" s="55">
        <f t="shared" si="277"/>
        <v>5.3244212920706663E-2</v>
      </c>
      <c r="AU250" s="55">
        <f t="shared" si="277"/>
        <v>5.4202608753279369E-2</v>
      </c>
      <c r="AV250" s="55">
        <f t="shared" si="277"/>
        <v>5.5178255710838411E-2</v>
      </c>
      <c r="AW250" s="55">
        <f t="shared" si="277"/>
        <v>5.6171464313633498E-2</v>
      </c>
      <c r="AX250" s="55">
        <f t="shared" si="277"/>
        <v>5.7182550671278906E-2</v>
      </c>
      <c r="AY250" s="55">
        <f t="shared" si="277"/>
        <v>5.8211836583361924E-2</v>
      </c>
      <c r="AZ250" s="55">
        <f t="shared" si="277"/>
        <v>5.9259649641862443E-2</v>
      </c>
      <c r="BA250" s="55">
        <f t="shared" si="277"/>
        <v>6.0326323335415967E-2</v>
      </c>
      <c r="BB250" s="55">
        <f t="shared" si="277"/>
        <v>6.141219715545345E-2</v>
      </c>
      <c r="BC250" s="55">
        <f t="shared" si="277"/>
        <v>6.2517616704251613E-2</v>
      </c>
      <c r="BD250" s="55">
        <f t="shared" si="277"/>
        <v>6.3642933804928151E-2</v>
      </c>
      <c r="BE250" s="55">
        <f t="shared" si="277"/>
        <v>6.4788506613416841E-2</v>
      </c>
      <c r="BF250" s="55">
        <f t="shared" si="277"/>
        <v>6.5954699732458363E-2</v>
      </c>
      <c r="BG250" s="55">
        <f t="shared" si="277"/>
        <v>6.7141884327642606E-2</v>
      </c>
      <c r="BH250" s="55">
        <f t="shared" si="277"/>
        <v>6.8350438245540171E-2</v>
      </c>
      <c r="BI250" s="55">
        <f t="shared" si="277"/>
        <v>6.9580746133959911E-2</v>
      </c>
      <c r="BJ250" s="55">
        <f t="shared" si="277"/>
        <v>7.0833199564371188E-2</v>
      </c>
    </row>
    <row r="251" spans="1:62" x14ac:dyDescent="0.3">
      <c r="A251" s="53" t="str">
        <f t="shared" si="245"/>
        <v>project 32</v>
      </c>
      <c r="C251" s="55">
        <f t="shared" ref="C251:AH251" si="278">IF(AND(C$127&gt;=$K40,C$127&lt;=$L40),$G40*(1+$H40)^(C$127-$B$5),0)</f>
        <v>0</v>
      </c>
      <c r="D251" s="55">
        <f t="shared" si="278"/>
        <v>0</v>
      </c>
      <c r="E251" s="55">
        <f t="shared" si="278"/>
        <v>0</v>
      </c>
      <c r="F251" s="55">
        <f t="shared" si="278"/>
        <v>1.9454409736784344</v>
      </c>
      <c r="G251" s="55">
        <f t="shared" si="278"/>
        <v>1.9734553236994041</v>
      </c>
      <c r="H251" s="55">
        <f t="shared" si="278"/>
        <v>2.0018730803606752</v>
      </c>
      <c r="I251" s="55">
        <f t="shared" si="278"/>
        <v>2.0307000527178691</v>
      </c>
      <c r="J251" s="55">
        <f t="shared" si="278"/>
        <v>2.0599421334770067</v>
      </c>
      <c r="K251" s="55">
        <f t="shared" si="278"/>
        <v>2.0896053001990755</v>
      </c>
      <c r="L251" s="55">
        <f t="shared" si="278"/>
        <v>2.119695616521942</v>
      </c>
      <c r="M251" s="55">
        <f t="shared" si="278"/>
        <v>2.1502192333998584</v>
      </c>
      <c r="N251" s="55">
        <f t="shared" si="278"/>
        <v>2.1811823903608163</v>
      </c>
      <c r="O251" s="55">
        <f t="shared" si="278"/>
        <v>2.2125914167820127</v>
      </c>
      <c r="P251" s="55">
        <f t="shared" si="278"/>
        <v>2.2444527331836732</v>
      </c>
      <c r="Q251" s="55">
        <f t="shared" si="278"/>
        <v>2.2767728525415185</v>
      </c>
      <c r="R251" s="55">
        <f t="shared" si="278"/>
        <v>2.3095583816181162</v>
      </c>
      <c r="S251" s="55">
        <f t="shared" si="278"/>
        <v>2.3428160223134173</v>
      </c>
      <c r="T251" s="55">
        <f t="shared" si="278"/>
        <v>2.3765525730347306</v>
      </c>
      <c r="U251" s="55">
        <f t="shared" si="278"/>
        <v>2.410774930086431</v>
      </c>
      <c r="V251" s="55">
        <f t="shared" si="278"/>
        <v>2.4454900890796756</v>
      </c>
      <c r="W251" s="55">
        <f t="shared" si="278"/>
        <v>2.480705146362423</v>
      </c>
      <c r="X251" s="55">
        <f t="shared" si="278"/>
        <v>2.5164273004700419</v>
      </c>
      <c r="Y251" s="55">
        <f t="shared" si="278"/>
        <v>2.5526638535968105</v>
      </c>
      <c r="Z251" s="55">
        <f t="shared" si="278"/>
        <v>2.5894222130886049</v>
      </c>
      <c r="AA251" s="55">
        <f t="shared" si="278"/>
        <v>2.6267098929570811</v>
      </c>
      <c r="AB251" s="55">
        <f t="shared" si="278"/>
        <v>2.6645345154156628</v>
      </c>
      <c r="AC251" s="55">
        <f t="shared" si="278"/>
        <v>2.7029038124376492</v>
      </c>
      <c r="AD251" s="55">
        <f t="shared" si="278"/>
        <v>2.7418256273367509</v>
      </c>
      <c r="AE251" s="55">
        <f t="shared" si="278"/>
        <v>2.7813079163704004</v>
      </c>
      <c r="AF251" s="55">
        <f t="shared" si="278"/>
        <v>2.8213587503661341</v>
      </c>
      <c r="AG251" s="55">
        <f t="shared" si="278"/>
        <v>2.8619863163714063</v>
      </c>
      <c r="AH251" s="55">
        <f t="shared" si="278"/>
        <v>2.903198919327155</v>
      </c>
      <c r="AI251" s="55">
        <f t="shared" ref="AI251:BJ251" si="279">IF(AND(AI$127&gt;=$K40,AI$127&lt;=$L40),$G40*(1+$H40)^(AI$127-$B$5),0)</f>
        <v>2.9450049837654664</v>
      </c>
      <c r="AJ251" s="55">
        <f t="shared" si="279"/>
        <v>2.9874130555316887</v>
      </c>
      <c r="AK251" s="55">
        <f t="shared" si="279"/>
        <v>3.0304318035313456</v>
      </c>
      <c r="AL251" s="55">
        <f t="shared" si="279"/>
        <v>3.0740700215021968</v>
      </c>
      <c r="AM251" s="55">
        <f t="shared" si="279"/>
        <v>3.1183366298118287</v>
      </c>
      <c r="AN251" s="55">
        <f t="shared" si="279"/>
        <v>3.1632406772811188</v>
      </c>
      <c r="AO251" s="55">
        <f t="shared" si="279"/>
        <v>3.2087913430339676</v>
      </c>
      <c r="AP251" s="55">
        <f t="shared" si="279"/>
        <v>3.2549979383736565</v>
      </c>
      <c r="AQ251" s="55">
        <f t="shared" si="279"/>
        <v>3.3018699086862378</v>
      </c>
      <c r="AR251" s="55">
        <f t="shared" si="279"/>
        <v>3.349416835371319</v>
      </c>
      <c r="AS251" s="55">
        <f t="shared" si="279"/>
        <v>3.3976484378006671</v>
      </c>
      <c r="AT251" s="55">
        <f t="shared" si="279"/>
        <v>0</v>
      </c>
      <c r="AU251" s="55">
        <f t="shared" si="279"/>
        <v>0</v>
      </c>
      <c r="AV251" s="55">
        <f t="shared" si="279"/>
        <v>0</v>
      </c>
      <c r="AW251" s="55">
        <f t="shared" si="279"/>
        <v>0</v>
      </c>
      <c r="AX251" s="55">
        <f t="shared" si="279"/>
        <v>0</v>
      </c>
      <c r="AY251" s="55">
        <f t="shared" si="279"/>
        <v>0</v>
      </c>
      <c r="AZ251" s="55">
        <f t="shared" si="279"/>
        <v>0</v>
      </c>
      <c r="BA251" s="55">
        <f t="shared" si="279"/>
        <v>0</v>
      </c>
      <c r="BB251" s="55">
        <f t="shared" si="279"/>
        <v>0</v>
      </c>
      <c r="BC251" s="55">
        <f t="shared" si="279"/>
        <v>0</v>
      </c>
      <c r="BD251" s="55">
        <f t="shared" si="279"/>
        <v>0</v>
      </c>
      <c r="BE251" s="55">
        <f t="shared" si="279"/>
        <v>0</v>
      </c>
      <c r="BF251" s="55">
        <f t="shared" si="279"/>
        <v>0</v>
      </c>
      <c r="BG251" s="55">
        <f t="shared" si="279"/>
        <v>0</v>
      </c>
      <c r="BH251" s="55">
        <f t="shared" si="279"/>
        <v>0</v>
      </c>
      <c r="BI251" s="55">
        <f t="shared" si="279"/>
        <v>0</v>
      </c>
      <c r="BJ251" s="55">
        <f t="shared" si="279"/>
        <v>0</v>
      </c>
    </row>
    <row r="252" spans="1:62" x14ac:dyDescent="0.3">
      <c r="A252" s="53" t="str">
        <f t="shared" si="245"/>
        <v>project 33</v>
      </c>
      <c r="C252" s="55">
        <f t="shared" ref="C252:AH252" si="280">IF(AND(C$127&gt;=$K41,C$127&lt;=$L41),$G41*(1+$H41)^(C$127-$B$5),0)</f>
        <v>0</v>
      </c>
      <c r="D252" s="55">
        <f t="shared" si="280"/>
        <v>0</v>
      </c>
      <c r="E252" s="55">
        <f t="shared" si="280"/>
        <v>0</v>
      </c>
      <c r="F252" s="55">
        <f t="shared" si="280"/>
        <v>0</v>
      </c>
      <c r="G252" s="55">
        <f t="shared" si="280"/>
        <v>0</v>
      </c>
      <c r="H252" s="55">
        <f t="shared" si="280"/>
        <v>0</v>
      </c>
      <c r="I252" s="55">
        <f t="shared" si="280"/>
        <v>0</v>
      </c>
      <c r="J252" s="55">
        <f t="shared" si="280"/>
        <v>0</v>
      </c>
      <c r="K252" s="55">
        <f t="shared" si="280"/>
        <v>0</v>
      </c>
      <c r="L252" s="55">
        <f t="shared" si="280"/>
        <v>0</v>
      </c>
      <c r="M252" s="55">
        <f t="shared" si="280"/>
        <v>0</v>
      </c>
      <c r="N252" s="55">
        <f t="shared" si="280"/>
        <v>0</v>
      </c>
      <c r="O252" s="55">
        <f t="shared" si="280"/>
        <v>0</v>
      </c>
      <c r="P252" s="55">
        <f t="shared" si="280"/>
        <v>0</v>
      </c>
      <c r="Q252" s="55">
        <f t="shared" si="280"/>
        <v>0</v>
      </c>
      <c r="R252" s="55">
        <f t="shared" si="280"/>
        <v>0</v>
      </c>
      <c r="S252" s="55">
        <f t="shared" si="280"/>
        <v>0</v>
      </c>
      <c r="T252" s="55">
        <f t="shared" si="280"/>
        <v>0</v>
      </c>
      <c r="U252" s="55">
        <f t="shared" si="280"/>
        <v>0</v>
      </c>
      <c r="V252" s="55">
        <f t="shared" si="280"/>
        <v>0</v>
      </c>
      <c r="W252" s="55">
        <f t="shared" si="280"/>
        <v>2.0244040807883952</v>
      </c>
      <c r="X252" s="55">
        <f t="shared" si="280"/>
        <v>2.0851362032120471</v>
      </c>
      <c r="Y252" s="55">
        <f t="shared" si="280"/>
        <v>2.1476902893084087</v>
      </c>
      <c r="Z252" s="55">
        <f t="shared" si="280"/>
        <v>2.212120997987661</v>
      </c>
      <c r="AA252" s="55">
        <f t="shared" si="280"/>
        <v>2.2784846279272903</v>
      </c>
      <c r="AB252" s="55">
        <f t="shared" si="280"/>
        <v>2.346839166765109</v>
      </c>
      <c r="AC252" s="55">
        <f t="shared" si="280"/>
        <v>2.4172443417680629</v>
      </c>
      <c r="AD252" s="55">
        <f t="shared" si="280"/>
        <v>2.4897616720211042</v>
      </c>
      <c r="AE252" s="55">
        <f t="shared" si="280"/>
        <v>2.5644545221817374</v>
      </c>
      <c r="AF252" s="55">
        <f t="shared" si="280"/>
        <v>2.6413881578471892</v>
      </c>
      <c r="AG252" s="55">
        <f t="shared" si="280"/>
        <v>2.720629802582605</v>
      </c>
      <c r="AH252" s="55">
        <f t="shared" si="280"/>
        <v>2.8022486966600835</v>
      </c>
      <c r="AI252" s="55">
        <f t="shared" ref="AI252:BJ252" si="281">IF(AND(AI$127&gt;=$K41,AI$127&lt;=$L41),$G41*(1+$H41)^(AI$127-$B$5),0)</f>
        <v>2.8863161575598855</v>
      </c>
      <c r="AJ252" s="55">
        <f t="shared" si="281"/>
        <v>2.9729056422866824</v>
      </c>
      <c r="AK252" s="55">
        <f t="shared" si="281"/>
        <v>3.0620928115552823</v>
      </c>
      <c r="AL252" s="55">
        <f t="shared" si="281"/>
        <v>3.1539555959019414</v>
      </c>
      <c r="AM252" s="55">
        <f t="shared" si="281"/>
        <v>3.2485742637789992</v>
      </c>
      <c r="AN252" s="55">
        <f t="shared" si="281"/>
        <v>3.346031491692369</v>
      </c>
      <c r="AO252" s="55">
        <f t="shared" si="281"/>
        <v>3.4464124364431399</v>
      </c>
      <c r="AP252" s="55">
        <f t="shared" si="281"/>
        <v>3.5498048095364347</v>
      </c>
      <c r="AQ252" s="55">
        <f t="shared" si="281"/>
        <v>3.6562989538225268</v>
      </c>
      <c r="AR252" s="55">
        <f t="shared" si="281"/>
        <v>3.765987922437203</v>
      </c>
      <c r="AS252" s="55">
        <f t="shared" si="281"/>
        <v>3.8789675601103193</v>
      </c>
      <c r="AT252" s="55">
        <f t="shared" si="281"/>
        <v>3.9953365869136288</v>
      </c>
      <c r="AU252" s="55">
        <f t="shared" si="281"/>
        <v>4.1151966845210373</v>
      </c>
      <c r="AV252" s="55">
        <f t="shared" si="281"/>
        <v>4.2386525850566681</v>
      </c>
      <c r="AW252" s="55">
        <f t="shared" si="281"/>
        <v>4.3658121626083686</v>
      </c>
      <c r="AX252" s="55">
        <f t="shared" si="281"/>
        <v>4.4967865274866199</v>
      </c>
      <c r="AY252" s="55">
        <f t="shared" si="281"/>
        <v>4.631690123311218</v>
      </c>
      <c r="AZ252" s="55">
        <f t="shared" si="281"/>
        <v>4.7706408270105536</v>
      </c>
      <c r="BA252" s="55">
        <f t="shared" si="281"/>
        <v>4.9137600518208711</v>
      </c>
      <c r="BB252" s="55">
        <f t="shared" si="281"/>
        <v>5.0611728533754974</v>
      </c>
      <c r="BC252" s="55">
        <f t="shared" si="281"/>
        <v>5.2130080389767617</v>
      </c>
      <c r="BD252" s="55">
        <f t="shared" si="281"/>
        <v>5.369398280146064</v>
      </c>
      <c r="BE252" s="55">
        <f t="shared" si="281"/>
        <v>5.530480228550446</v>
      </c>
      <c r="BF252" s="55">
        <f t="shared" si="281"/>
        <v>5.6963946354069597</v>
      </c>
      <c r="BG252" s="55">
        <f t="shared" si="281"/>
        <v>5.867286474469168</v>
      </c>
      <c r="BH252" s="55">
        <f t="shared" si="281"/>
        <v>6.0433050687032432</v>
      </c>
      <c r="BI252" s="55">
        <f t="shared" si="281"/>
        <v>6.2246042207643404</v>
      </c>
      <c r="BJ252" s="55">
        <f t="shared" si="281"/>
        <v>6.4113423473872713</v>
      </c>
    </row>
    <row r="253" spans="1:62" x14ac:dyDescent="0.3">
      <c r="A253" s="53" t="str">
        <f t="shared" si="245"/>
        <v>project 37</v>
      </c>
      <c r="C253" s="55">
        <f t="shared" ref="C253:AH253" si="282">IF(AND(C$127&gt;=$K42,C$127&lt;=$L42),$G42*(1+$H42)^(C$127-$B$5),0)</f>
        <v>0</v>
      </c>
      <c r="D253" s="55">
        <f t="shared" si="282"/>
        <v>0</v>
      </c>
      <c r="E253" s="55">
        <f t="shared" si="282"/>
        <v>0</v>
      </c>
      <c r="F253" s="55">
        <f t="shared" si="282"/>
        <v>0</v>
      </c>
      <c r="G253" s="55">
        <f t="shared" si="282"/>
        <v>0</v>
      </c>
      <c r="H253" s="55">
        <f t="shared" si="282"/>
        <v>0</v>
      </c>
      <c r="I253" s="55">
        <f t="shared" si="282"/>
        <v>0</v>
      </c>
      <c r="J253" s="55">
        <f t="shared" si="282"/>
        <v>0</v>
      </c>
      <c r="K253" s="55">
        <f t="shared" si="282"/>
        <v>0</v>
      </c>
      <c r="L253" s="55">
        <f t="shared" si="282"/>
        <v>0</v>
      </c>
      <c r="M253" s="55">
        <f t="shared" si="282"/>
        <v>0</v>
      </c>
      <c r="N253" s="55">
        <f t="shared" si="282"/>
        <v>0</v>
      </c>
      <c r="O253" s="55">
        <f t="shared" si="282"/>
        <v>0</v>
      </c>
      <c r="P253" s="55">
        <f t="shared" si="282"/>
        <v>0</v>
      </c>
      <c r="Q253" s="55">
        <f t="shared" si="282"/>
        <v>0</v>
      </c>
      <c r="R253" s="55">
        <f t="shared" si="282"/>
        <v>0</v>
      </c>
      <c r="S253" s="55">
        <f t="shared" si="282"/>
        <v>0</v>
      </c>
      <c r="T253" s="55">
        <f t="shared" si="282"/>
        <v>0</v>
      </c>
      <c r="U253" s="55">
        <f t="shared" si="282"/>
        <v>0</v>
      </c>
      <c r="V253" s="55">
        <f t="shared" si="282"/>
        <v>0</v>
      </c>
      <c r="W253" s="55">
        <f t="shared" si="282"/>
        <v>0.8786702904494007</v>
      </c>
      <c r="X253" s="55">
        <f t="shared" si="282"/>
        <v>0.89641943031647853</v>
      </c>
      <c r="Y253" s="55">
        <f t="shared" si="282"/>
        <v>0.91452710280887139</v>
      </c>
      <c r="Z253" s="55">
        <f t="shared" si="282"/>
        <v>0.93300055028561069</v>
      </c>
      <c r="AA253" s="55">
        <f t="shared" si="282"/>
        <v>0.95184716140137993</v>
      </c>
      <c r="AB253" s="55">
        <f t="shared" si="282"/>
        <v>0.9710744740616879</v>
      </c>
      <c r="AC253" s="55">
        <f t="shared" si="282"/>
        <v>0.99069017843773399</v>
      </c>
      <c r="AD253" s="55">
        <f t="shared" si="282"/>
        <v>1.010702120042176</v>
      </c>
      <c r="AE253" s="55">
        <f t="shared" si="282"/>
        <v>1.0311183028670281</v>
      </c>
      <c r="AF253" s="55">
        <f t="shared" si="282"/>
        <v>1.0519468925849418</v>
      </c>
      <c r="AG253" s="55">
        <f t="shared" si="282"/>
        <v>1.0731962198151577</v>
      </c>
      <c r="AH253" s="55">
        <f t="shared" si="282"/>
        <v>1.094874783455424</v>
      </c>
      <c r="AI253" s="55">
        <f t="shared" ref="AI253:BJ253" si="283">IF(AND(AI$127&gt;=$K42,AI$127&lt;=$L42),$G42*(1+$H42)^(AI$127-$B$5),0)</f>
        <v>1.1169912540812237</v>
      </c>
      <c r="AJ253" s="55">
        <f t="shared" si="283"/>
        <v>1.1395544774136643</v>
      </c>
      <c r="AK253" s="55">
        <f t="shared" si="283"/>
        <v>1.1625734778574204</v>
      </c>
      <c r="AL253" s="55">
        <f t="shared" si="283"/>
        <v>1.1860574621101403</v>
      </c>
      <c r="AM253" s="55">
        <f t="shared" si="283"/>
        <v>1.2100158228447648</v>
      </c>
      <c r="AN253" s="55">
        <f t="shared" si="283"/>
        <v>1.2344581424662293</v>
      </c>
      <c r="AO253" s="55">
        <f t="shared" si="283"/>
        <v>1.2593941969440472</v>
      </c>
      <c r="AP253" s="55">
        <f t="shared" si="283"/>
        <v>1.2848339597223168</v>
      </c>
      <c r="AQ253" s="55">
        <f t="shared" si="283"/>
        <v>1.3107876057087076</v>
      </c>
      <c r="AR253" s="55">
        <f t="shared" si="283"/>
        <v>1.3372655153440234</v>
      </c>
      <c r="AS253" s="55">
        <f t="shared" si="283"/>
        <v>1.3642782787539727</v>
      </c>
      <c r="AT253" s="55">
        <f t="shared" si="283"/>
        <v>1.3918366999848029</v>
      </c>
      <c r="AU253" s="55">
        <f t="shared" si="283"/>
        <v>1.4199518013244958</v>
      </c>
      <c r="AV253" s="55">
        <f t="shared" si="283"/>
        <v>1.4486348277112506</v>
      </c>
      <c r="AW253" s="55">
        <f t="shared" si="283"/>
        <v>1.477897251231018</v>
      </c>
      <c r="AX253" s="55">
        <f t="shared" si="283"/>
        <v>1.5077507757058848</v>
      </c>
      <c r="AY253" s="55">
        <f t="shared" si="283"/>
        <v>1.5382073413751434</v>
      </c>
      <c r="AZ253" s="55">
        <f t="shared" si="283"/>
        <v>1.5692791296709214</v>
      </c>
      <c r="BA253" s="55">
        <f t="shared" si="283"/>
        <v>1.6009785680902737</v>
      </c>
      <c r="BB253" s="55">
        <f t="shared" si="283"/>
        <v>1.6333183351656975</v>
      </c>
      <c r="BC253" s="55">
        <f t="shared" si="283"/>
        <v>1.6663113655360446</v>
      </c>
      <c r="BD253" s="55">
        <f t="shared" si="283"/>
        <v>1.6999708551198724</v>
      </c>
      <c r="BE253" s="55">
        <f t="shared" si="283"/>
        <v>1.7343102663932939</v>
      </c>
      <c r="BF253" s="55">
        <f t="shared" si="283"/>
        <v>1.7693433337744386</v>
      </c>
      <c r="BG253" s="55">
        <f t="shared" si="283"/>
        <v>1.8050840691166823</v>
      </c>
      <c r="BH253" s="55">
        <f t="shared" si="283"/>
        <v>1.8415467673128392</v>
      </c>
      <c r="BI253" s="55">
        <f t="shared" si="283"/>
        <v>1.8787460120125585</v>
      </c>
      <c r="BJ253" s="55">
        <f t="shared" si="283"/>
        <v>1.916696681455212</v>
      </c>
    </row>
    <row r="254" spans="1:62" x14ac:dyDescent="0.3">
      <c r="A254" s="53" t="str">
        <f t="shared" si="245"/>
        <v>project 38</v>
      </c>
      <c r="C254" s="55">
        <f t="shared" ref="C254:AH254" si="284">IF(AND(C$127&gt;=$K43,C$127&lt;=$L43),$G43*(1+$H43)^(C$127-$B$5),0)</f>
        <v>0</v>
      </c>
      <c r="D254" s="55">
        <f t="shared" si="284"/>
        <v>0</v>
      </c>
      <c r="E254" s="55">
        <f t="shared" si="284"/>
        <v>0</v>
      </c>
      <c r="F254" s="55">
        <f t="shared" si="284"/>
        <v>0</v>
      </c>
      <c r="G254" s="55">
        <f t="shared" si="284"/>
        <v>6.2316351390470723</v>
      </c>
      <c r="H254" s="55">
        <f t="shared" si="284"/>
        <v>6.305168433687828</v>
      </c>
      <c r="I254" s="55">
        <f t="shared" si="284"/>
        <v>6.3795694212053444</v>
      </c>
      <c r="J254" s="55">
        <f t="shared" si="284"/>
        <v>6.4548483403755688</v>
      </c>
      <c r="K254" s="55">
        <f t="shared" si="284"/>
        <v>6.5310155507920005</v>
      </c>
      <c r="L254" s="55">
        <f t="shared" si="284"/>
        <v>6.6080815342913457</v>
      </c>
      <c r="M254" s="55">
        <f t="shared" si="284"/>
        <v>6.6860568963959839</v>
      </c>
      <c r="N254" s="55">
        <f t="shared" si="284"/>
        <v>6.7649523677734571</v>
      </c>
      <c r="O254" s="55">
        <f t="shared" si="284"/>
        <v>6.844778805713184</v>
      </c>
      <c r="P254" s="55">
        <f t="shared" si="284"/>
        <v>6.9255471956205987</v>
      </c>
      <c r="Q254" s="55">
        <f t="shared" si="284"/>
        <v>7.0072686525289223</v>
      </c>
      <c r="R254" s="55">
        <f t="shared" si="284"/>
        <v>7.0899544226287645</v>
      </c>
      <c r="S254" s="55">
        <f t="shared" si="284"/>
        <v>7.173615884815784</v>
      </c>
      <c r="T254" s="55">
        <f t="shared" si="284"/>
        <v>7.2582645522566107</v>
      </c>
      <c r="U254" s="55">
        <f t="shared" si="284"/>
        <v>7.3439120739732386</v>
      </c>
      <c r="V254" s="55">
        <f t="shared" si="284"/>
        <v>7.4305702364461226</v>
      </c>
      <c r="W254" s="55">
        <f t="shared" si="284"/>
        <v>7.5182509652361871</v>
      </c>
      <c r="X254" s="55">
        <f t="shared" si="284"/>
        <v>7.6069663266259742</v>
      </c>
      <c r="Y254" s="55">
        <f t="shared" si="284"/>
        <v>7.6967285292801613</v>
      </c>
      <c r="Z254" s="55">
        <f t="shared" si="284"/>
        <v>7.787549925925668</v>
      </c>
      <c r="AA254" s="55">
        <f t="shared" si="284"/>
        <v>7.8794430150515913</v>
      </c>
      <c r="AB254" s="55">
        <f t="shared" si="284"/>
        <v>7.9724204426291996</v>
      </c>
      <c r="AC254" s="55">
        <f t="shared" si="284"/>
        <v>8.0664950038522232</v>
      </c>
      <c r="AD254" s="55">
        <f t="shared" si="284"/>
        <v>8.1616796448976814</v>
      </c>
      <c r="AE254" s="55">
        <f t="shared" si="284"/>
        <v>8.2579874647074742</v>
      </c>
      <c r="AF254" s="55">
        <f t="shared" si="284"/>
        <v>8.3554317167910206</v>
      </c>
      <c r="AG254" s="55">
        <f t="shared" si="284"/>
        <v>8.4540258110491564</v>
      </c>
      <c r="AH254" s="55">
        <f t="shared" si="284"/>
        <v>8.5537833156195369</v>
      </c>
      <c r="AI254" s="55">
        <f t="shared" ref="AI254:BJ254" si="285">IF(AND(AI$127&gt;=$K43,AI$127&lt;=$L43),$G43*(1+$H43)^(AI$127-$B$5),0)</f>
        <v>8.6547179587438485</v>
      </c>
      <c r="AJ254" s="55">
        <f t="shared" si="285"/>
        <v>8.7568436306570252</v>
      </c>
      <c r="AK254" s="55">
        <f t="shared" si="285"/>
        <v>8.8601743854987784</v>
      </c>
      <c r="AL254" s="55">
        <f t="shared" si="285"/>
        <v>8.9647244432476647</v>
      </c>
      <c r="AM254" s="55">
        <f t="shared" si="285"/>
        <v>9.0705081916779857</v>
      </c>
      <c r="AN254" s="55">
        <f t="shared" si="285"/>
        <v>9.1775401883397869</v>
      </c>
      <c r="AO254" s="55">
        <f t="shared" si="285"/>
        <v>9.2858351625621971</v>
      </c>
      <c r="AP254" s="55">
        <f t="shared" si="285"/>
        <v>9.3954080174804311</v>
      </c>
      <c r="AQ254" s="55">
        <f t="shared" si="285"/>
        <v>9.5062738320867002</v>
      </c>
      <c r="AR254" s="55">
        <f t="shared" si="285"/>
        <v>9.6184478633053239</v>
      </c>
      <c r="AS254" s="55">
        <f t="shared" si="285"/>
        <v>9.7319455480923267</v>
      </c>
      <c r="AT254" s="55">
        <f t="shared" si="285"/>
        <v>9.8467825055598173</v>
      </c>
      <c r="AU254" s="55">
        <f t="shared" si="285"/>
        <v>0</v>
      </c>
      <c r="AV254" s="55">
        <f t="shared" si="285"/>
        <v>0</v>
      </c>
      <c r="AW254" s="55">
        <f t="shared" si="285"/>
        <v>0</v>
      </c>
      <c r="AX254" s="55">
        <f t="shared" si="285"/>
        <v>0</v>
      </c>
      <c r="AY254" s="55">
        <f t="shared" si="285"/>
        <v>0</v>
      </c>
      <c r="AZ254" s="55">
        <f t="shared" si="285"/>
        <v>0</v>
      </c>
      <c r="BA254" s="55">
        <f t="shared" si="285"/>
        <v>0</v>
      </c>
      <c r="BB254" s="55">
        <f t="shared" si="285"/>
        <v>0</v>
      </c>
      <c r="BC254" s="55">
        <f t="shared" si="285"/>
        <v>0</v>
      </c>
      <c r="BD254" s="55">
        <f t="shared" si="285"/>
        <v>0</v>
      </c>
      <c r="BE254" s="55">
        <f t="shared" si="285"/>
        <v>0</v>
      </c>
      <c r="BF254" s="55">
        <f t="shared" si="285"/>
        <v>0</v>
      </c>
      <c r="BG254" s="55">
        <f t="shared" si="285"/>
        <v>0</v>
      </c>
      <c r="BH254" s="55">
        <f t="shared" si="285"/>
        <v>0</v>
      </c>
      <c r="BI254" s="55">
        <f t="shared" si="285"/>
        <v>0</v>
      </c>
      <c r="BJ254" s="55">
        <f t="shared" si="285"/>
        <v>0</v>
      </c>
    </row>
    <row r="255" spans="1:62" x14ac:dyDescent="0.3">
      <c r="A255" s="53" t="str">
        <f t="shared" si="245"/>
        <v>project 39</v>
      </c>
      <c r="C255" s="55">
        <f t="shared" ref="C255:AH255" si="286">IF(AND(C$127&gt;=$K44,C$127&lt;=$L44),$G44*(1+$H44)^(C$127-$B$5),0)</f>
        <v>0</v>
      </c>
      <c r="D255" s="55">
        <f t="shared" si="286"/>
        <v>0</v>
      </c>
      <c r="E255" s="55">
        <f t="shared" si="286"/>
        <v>0.75040145634881883</v>
      </c>
      <c r="F255" s="55">
        <f t="shared" si="286"/>
        <v>0.75858083222302086</v>
      </c>
      <c r="G255" s="55">
        <f t="shared" si="286"/>
        <v>0.76684936329425168</v>
      </c>
      <c r="H255" s="55">
        <f t="shared" si="286"/>
        <v>0.775208021354159</v>
      </c>
      <c r="I255" s="55">
        <f t="shared" si="286"/>
        <v>0.78365778878691927</v>
      </c>
      <c r="J255" s="55">
        <f t="shared" si="286"/>
        <v>0.79219965868469666</v>
      </c>
      <c r="K255" s="55">
        <f t="shared" si="286"/>
        <v>0.8008346349643598</v>
      </c>
      <c r="L255" s="55">
        <f t="shared" si="286"/>
        <v>0.8095637324854712</v>
      </c>
      <c r="M255" s="55">
        <f t="shared" si="286"/>
        <v>0.8183879771695628</v>
      </c>
      <c r="N255" s="55">
        <f t="shared" si="286"/>
        <v>0.8273084061207111</v>
      </c>
      <c r="O255" s="55">
        <f t="shared" si="286"/>
        <v>0.83632606774742657</v>
      </c>
      <c r="P255" s="55">
        <f t="shared" si="286"/>
        <v>0.84544202188587358</v>
      </c>
      <c r="Q255" s="55">
        <f t="shared" si="286"/>
        <v>0.85465733992442949</v>
      </c>
      <c r="R255" s="55">
        <f t="shared" si="286"/>
        <v>0.86397310492960566</v>
      </c>
      <c r="S255" s="55">
        <f t="shared" si="286"/>
        <v>0.87339041177333843</v>
      </c>
      <c r="T255" s="55">
        <f t="shared" si="286"/>
        <v>0.88291036726166761</v>
      </c>
      <c r="U255" s="55">
        <f t="shared" si="286"/>
        <v>0.89253409026481989</v>
      </c>
      <c r="V255" s="55">
        <f t="shared" si="286"/>
        <v>0.90226271184870632</v>
      </c>
      <c r="W255" s="55">
        <f t="shared" si="286"/>
        <v>0.91209737540785718</v>
      </c>
      <c r="X255" s="55">
        <f t="shared" si="286"/>
        <v>0.92203923679980282</v>
      </c>
      <c r="Y255" s="55">
        <f t="shared" si="286"/>
        <v>0.93208946448092045</v>
      </c>
      <c r="Z255" s="55">
        <f t="shared" si="286"/>
        <v>0.94224923964376239</v>
      </c>
      <c r="AA255" s="55">
        <f t="shared" si="286"/>
        <v>0.95251975635587938</v>
      </c>
      <c r="AB255" s="55">
        <f t="shared" si="286"/>
        <v>0.96290222170015827</v>
      </c>
      <c r="AC255" s="55">
        <f t="shared" si="286"/>
        <v>0.97339785591668992</v>
      </c>
      <c r="AD255" s="55">
        <f t="shared" si="286"/>
        <v>0.98400789254618193</v>
      </c>
      <c r="AE255" s="55">
        <f t="shared" si="286"/>
        <v>0.99473357857493505</v>
      </c>
      <c r="AF255" s="55">
        <f t="shared" si="286"/>
        <v>1.005576174581402</v>
      </c>
      <c r="AG255" s="55">
        <f t="shared" si="286"/>
        <v>1.016536954884339</v>
      </c>
      <c r="AH255" s="55">
        <f t="shared" si="286"/>
        <v>1.0276172076925782</v>
      </c>
      <c r="AI255" s="55">
        <f t="shared" ref="AI255:BJ255" si="287">IF(AND(AI$127&gt;=$K44,AI$127&lt;=$L44),$G44*(1+$H44)^(AI$127-$B$5),0)</f>
        <v>1.0388182352564275</v>
      </c>
      <c r="AJ255" s="55">
        <f t="shared" si="287"/>
        <v>1.0501413540207225</v>
      </c>
      <c r="AK255" s="55">
        <f t="shared" si="287"/>
        <v>1.0615878947795481</v>
      </c>
      <c r="AL255" s="55">
        <f t="shared" si="287"/>
        <v>1.0731592028326453</v>
      </c>
      <c r="AM255" s="55">
        <f t="shared" si="287"/>
        <v>1.084856638143521</v>
      </c>
      <c r="AN255" s="55">
        <f t="shared" si="287"/>
        <v>1.0966815754992854</v>
      </c>
      <c r="AO255" s="55">
        <f t="shared" si="287"/>
        <v>1.1086354046722275</v>
      </c>
      <c r="AP255" s="55">
        <f t="shared" si="287"/>
        <v>1.1207195305831545</v>
      </c>
      <c r="AQ255" s="55">
        <f t="shared" si="287"/>
        <v>1.1329353734665109</v>
      </c>
      <c r="AR255" s="55">
        <f t="shared" si="287"/>
        <v>1.1452843690372958</v>
      </c>
      <c r="AS255" s="55">
        <f t="shared" si="287"/>
        <v>0</v>
      </c>
      <c r="AT255" s="55">
        <f t="shared" si="287"/>
        <v>0</v>
      </c>
      <c r="AU255" s="55">
        <f t="shared" si="287"/>
        <v>0</v>
      </c>
      <c r="AV255" s="55">
        <f t="shared" si="287"/>
        <v>0</v>
      </c>
      <c r="AW255" s="55">
        <f t="shared" si="287"/>
        <v>0</v>
      </c>
      <c r="AX255" s="55">
        <f t="shared" si="287"/>
        <v>0</v>
      </c>
      <c r="AY255" s="55">
        <f t="shared" si="287"/>
        <v>0</v>
      </c>
      <c r="AZ255" s="55">
        <f t="shared" si="287"/>
        <v>0</v>
      </c>
      <c r="BA255" s="55">
        <f t="shared" si="287"/>
        <v>0</v>
      </c>
      <c r="BB255" s="55">
        <f t="shared" si="287"/>
        <v>0</v>
      </c>
      <c r="BC255" s="55">
        <f t="shared" si="287"/>
        <v>0</v>
      </c>
      <c r="BD255" s="55">
        <f t="shared" si="287"/>
        <v>0</v>
      </c>
      <c r="BE255" s="55">
        <f t="shared" si="287"/>
        <v>0</v>
      </c>
      <c r="BF255" s="55">
        <f t="shared" si="287"/>
        <v>0</v>
      </c>
      <c r="BG255" s="55">
        <f t="shared" si="287"/>
        <v>0</v>
      </c>
      <c r="BH255" s="55">
        <f t="shared" si="287"/>
        <v>0</v>
      </c>
      <c r="BI255" s="55">
        <f t="shared" si="287"/>
        <v>0</v>
      </c>
      <c r="BJ255" s="55">
        <f t="shared" si="287"/>
        <v>0</v>
      </c>
    </row>
    <row r="256" spans="1:62" x14ac:dyDescent="0.3">
      <c r="A256" s="53" t="str">
        <f t="shared" si="245"/>
        <v>project 40</v>
      </c>
      <c r="C256" s="55">
        <f t="shared" ref="C256:AH256" si="288">IF(AND(C$127&gt;=$K45,C$127&lt;=$L45),$G45*(1+$H45)^(C$127-$B$5),0)</f>
        <v>0</v>
      </c>
      <c r="D256" s="55">
        <f t="shared" si="288"/>
        <v>0</v>
      </c>
      <c r="E256" s="55">
        <f t="shared" si="288"/>
        <v>0.96160301530892101</v>
      </c>
      <c r="F256" s="55">
        <f t="shared" si="288"/>
        <v>0.97333457209568985</v>
      </c>
      <c r="G256" s="55">
        <f t="shared" si="288"/>
        <v>0.98520925387525726</v>
      </c>
      <c r="H256" s="55">
        <f t="shared" si="288"/>
        <v>0.99722880677253545</v>
      </c>
      <c r="I256" s="55">
        <f t="shared" si="288"/>
        <v>1.0093949982151604</v>
      </c>
      <c r="J256" s="55">
        <f t="shared" si="288"/>
        <v>1.0217096171933853</v>
      </c>
      <c r="K256" s="55">
        <f t="shared" si="288"/>
        <v>1.0341744745231447</v>
      </c>
      <c r="L256" s="55">
        <f t="shared" si="288"/>
        <v>1.0467914031123269</v>
      </c>
      <c r="M256" s="55">
        <f t="shared" si="288"/>
        <v>1.0595622582302975</v>
      </c>
      <c r="N256" s="55">
        <f t="shared" si="288"/>
        <v>1.0724889177807071</v>
      </c>
      <c r="O256" s="55">
        <f t="shared" si="288"/>
        <v>1.0855732825776319</v>
      </c>
      <c r="P256" s="55">
        <f t="shared" si="288"/>
        <v>1.098817276625079</v>
      </c>
      <c r="Q256" s="55">
        <f t="shared" si="288"/>
        <v>1.1122228473999047</v>
      </c>
      <c r="R256" s="55">
        <f t="shared" si="288"/>
        <v>1.1257919661381837</v>
      </c>
      <c r="S256" s="55">
        <f t="shared" si="288"/>
        <v>1.1395266281250693</v>
      </c>
      <c r="T256" s="55">
        <f t="shared" si="288"/>
        <v>1.1534288529881953</v>
      </c>
      <c r="U256" s="55">
        <f t="shared" si="288"/>
        <v>1.1675006849946512</v>
      </c>
      <c r="V256" s="55">
        <f t="shared" si="288"/>
        <v>1.181744193351586</v>
      </c>
      <c r="W256" s="55">
        <f t="shared" si="288"/>
        <v>1.1961614725104754</v>
      </c>
      <c r="X256" s="55">
        <f t="shared" si="288"/>
        <v>1.2107546424751032</v>
      </c>
      <c r="Y256" s="55">
        <f t="shared" si="288"/>
        <v>1.2255258491132994</v>
      </c>
      <c r="Z256" s="55">
        <f t="shared" si="288"/>
        <v>1.2404772644724817</v>
      </c>
      <c r="AA256" s="55">
        <f t="shared" si="288"/>
        <v>1.255611087099046</v>
      </c>
      <c r="AB256" s="55">
        <f t="shared" si="288"/>
        <v>1.2709295423616542</v>
      </c>
      <c r="AC256" s="55">
        <f t="shared" si="288"/>
        <v>1.2864348827784668</v>
      </c>
      <c r="AD256" s="55">
        <f t="shared" si="288"/>
        <v>1.3021293883483638</v>
      </c>
      <c r="AE256" s="55">
        <f t="shared" si="288"/>
        <v>1.318015366886214</v>
      </c>
      <c r="AF256" s="55">
        <f t="shared" si="288"/>
        <v>1.3340951543622257</v>
      </c>
      <c r="AG256" s="55">
        <f t="shared" si="288"/>
        <v>1.350371115245445</v>
      </c>
      <c r="AH256" s="55">
        <f t="shared" si="288"/>
        <v>1.3668456428514393</v>
      </c>
      <c r="AI256" s="55">
        <f t="shared" ref="AI256:BJ256" si="289">IF(AND(AI$127&gt;=$K45,AI$127&lt;=$L45),$G45*(1+$H45)^(AI$127-$B$5),0)</f>
        <v>1.3835211596942267</v>
      </c>
      <c r="AJ256" s="55">
        <f t="shared" si="289"/>
        <v>1.4004001178424963</v>
      </c>
      <c r="AK256" s="55">
        <f t="shared" si="289"/>
        <v>1.4174849992801748</v>
      </c>
      <c r="AL256" s="55">
        <f t="shared" si="289"/>
        <v>1.434778316271393</v>
      </c>
      <c r="AM256" s="55">
        <f t="shared" si="289"/>
        <v>1.4522826117299041</v>
      </c>
      <c r="AN256" s="55">
        <f t="shared" si="289"/>
        <v>1.470000459593009</v>
      </c>
      <c r="AO256" s="55">
        <f t="shared" si="289"/>
        <v>1.4879344652000435</v>
      </c>
      <c r="AP256" s="55">
        <f t="shared" si="289"/>
        <v>1.506087265675484</v>
      </c>
      <c r="AQ256" s="55">
        <f t="shared" si="289"/>
        <v>1.5244615303167248</v>
      </c>
      <c r="AR256" s="55">
        <f t="shared" si="289"/>
        <v>1.5430599609865889</v>
      </c>
      <c r="AS256" s="55">
        <f t="shared" si="289"/>
        <v>0</v>
      </c>
      <c r="AT256" s="55">
        <f t="shared" si="289"/>
        <v>0</v>
      </c>
      <c r="AU256" s="55">
        <f t="shared" si="289"/>
        <v>0</v>
      </c>
      <c r="AV256" s="55">
        <f t="shared" si="289"/>
        <v>0</v>
      </c>
      <c r="AW256" s="55">
        <f t="shared" si="289"/>
        <v>0</v>
      </c>
      <c r="AX256" s="55">
        <f t="shared" si="289"/>
        <v>0</v>
      </c>
      <c r="AY256" s="55">
        <f t="shared" si="289"/>
        <v>0</v>
      </c>
      <c r="AZ256" s="55">
        <f t="shared" si="289"/>
        <v>0</v>
      </c>
      <c r="BA256" s="55">
        <f t="shared" si="289"/>
        <v>0</v>
      </c>
      <c r="BB256" s="55">
        <f t="shared" si="289"/>
        <v>0</v>
      </c>
      <c r="BC256" s="55">
        <f t="shared" si="289"/>
        <v>0</v>
      </c>
      <c r="BD256" s="55">
        <f t="shared" si="289"/>
        <v>0</v>
      </c>
      <c r="BE256" s="55">
        <f t="shared" si="289"/>
        <v>0</v>
      </c>
      <c r="BF256" s="55">
        <f t="shared" si="289"/>
        <v>0</v>
      </c>
      <c r="BG256" s="55">
        <f t="shared" si="289"/>
        <v>0</v>
      </c>
      <c r="BH256" s="55">
        <f t="shared" si="289"/>
        <v>0</v>
      </c>
      <c r="BI256" s="55">
        <f t="shared" si="289"/>
        <v>0</v>
      </c>
      <c r="BJ256" s="55">
        <f t="shared" si="289"/>
        <v>0</v>
      </c>
    </row>
    <row r="257" spans="1:62" x14ac:dyDescent="0.3">
      <c r="A257" s="53" t="str">
        <f t="shared" si="245"/>
        <v>project 41</v>
      </c>
      <c r="C257" s="55">
        <f t="shared" ref="C257:AH257" si="290">IF(AND(C$127&gt;=$K46,C$127&lt;=$L46),$G46*(1+$H46)^(C$127-$B$5),0)</f>
        <v>0</v>
      </c>
      <c r="D257" s="55">
        <f t="shared" si="290"/>
        <v>0</v>
      </c>
      <c r="E257" s="55">
        <f t="shared" si="290"/>
        <v>0</v>
      </c>
      <c r="F257" s="55">
        <f t="shared" si="290"/>
        <v>0</v>
      </c>
      <c r="G257" s="55">
        <f t="shared" si="290"/>
        <v>0</v>
      </c>
      <c r="H257" s="55">
        <f t="shared" si="290"/>
        <v>0</v>
      </c>
      <c r="I257" s="55">
        <f t="shared" si="290"/>
        <v>0</v>
      </c>
      <c r="J257" s="55">
        <f t="shared" si="290"/>
        <v>0</v>
      </c>
      <c r="K257" s="55">
        <f t="shared" si="290"/>
        <v>0</v>
      </c>
      <c r="L257" s="55">
        <f t="shared" si="290"/>
        <v>0</v>
      </c>
      <c r="M257" s="55">
        <f t="shared" si="290"/>
        <v>0</v>
      </c>
      <c r="N257" s="55">
        <f t="shared" si="290"/>
        <v>0</v>
      </c>
      <c r="O257" s="55">
        <f t="shared" si="290"/>
        <v>0</v>
      </c>
      <c r="P257" s="55">
        <f t="shared" si="290"/>
        <v>0</v>
      </c>
      <c r="Q257" s="55">
        <f t="shared" si="290"/>
        <v>0</v>
      </c>
      <c r="R257" s="55">
        <f t="shared" si="290"/>
        <v>0</v>
      </c>
      <c r="S257" s="55">
        <f t="shared" si="290"/>
        <v>0</v>
      </c>
      <c r="T257" s="55">
        <f t="shared" si="290"/>
        <v>0</v>
      </c>
      <c r="U257" s="55">
        <f t="shared" si="290"/>
        <v>0</v>
      </c>
      <c r="V257" s="55">
        <f t="shared" si="290"/>
        <v>0</v>
      </c>
      <c r="W257" s="55">
        <f t="shared" si="290"/>
        <v>0.17297479648307332</v>
      </c>
      <c r="X257" s="55">
        <f t="shared" si="290"/>
        <v>0.17686672940394246</v>
      </c>
      <c r="Y257" s="55">
        <f t="shared" si="290"/>
        <v>0.18084623081553114</v>
      </c>
      <c r="Z257" s="55">
        <f t="shared" si="290"/>
        <v>0.18491527100888058</v>
      </c>
      <c r="AA257" s="55">
        <f t="shared" si="290"/>
        <v>0.18907586460658038</v>
      </c>
      <c r="AB257" s="55">
        <f t="shared" si="290"/>
        <v>0.19333007156022838</v>
      </c>
      <c r="AC257" s="55">
        <f t="shared" si="290"/>
        <v>0.19767999817033355</v>
      </c>
      <c r="AD257" s="55">
        <f t="shared" si="290"/>
        <v>0.20212779812916601</v>
      </c>
      <c r="AE257" s="55">
        <f t="shared" si="290"/>
        <v>0.20667567358707226</v>
      </c>
      <c r="AF257" s="55">
        <f t="shared" si="290"/>
        <v>0.21132587624278137</v>
      </c>
      <c r="AG257" s="55">
        <f t="shared" si="290"/>
        <v>0.21608070845824398</v>
      </c>
      <c r="AH257" s="55">
        <f t="shared" si="290"/>
        <v>0.22094252439855444</v>
      </c>
      <c r="AI257" s="55">
        <f t="shared" ref="AI257:BJ257" si="291">IF(AND(AI$127&gt;=$K46,AI$127&lt;=$L46),$G46*(1+$H46)^(AI$127-$B$5),0)</f>
        <v>0.22591373119752187</v>
      </c>
      <c r="AJ257" s="55">
        <f t="shared" si="291"/>
        <v>0.23099679014946611</v>
      </c>
      <c r="AK257" s="55">
        <f t="shared" si="291"/>
        <v>0.23619421792782905</v>
      </c>
      <c r="AL257" s="55">
        <f t="shared" si="291"/>
        <v>0.24150858783120521</v>
      </c>
      <c r="AM257" s="55">
        <f t="shared" si="291"/>
        <v>0.24694253105740729</v>
      </c>
      <c r="AN257" s="55">
        <f t="shared" si="291"/>
        <v>0.25249873800619899</v>
      </c>
      <c r="AO257" s="55">
        <f t="shared" si="291"/>
        <v>0.25817995961133844</v>
      </c>
      <c r="AP257" s="55">
        <f t="shared" si="291"/>
        <v>0.26398900870259356</v>
      </c>
      <c r="AQ257" s="55">
        <f t="shared" si="291"/>
        <v>0.26992876139840188</v>
      </c>
      <c r="AR257" s="55">
        <f t="shared" si="291"/>
        <v>0.27600215852986587</v>
      </c>
      <c r="AS257" s="55">
        <f t="shared" si="291"/>
        <v>0.28221220709678779</v>
      </c>
      <c r="AT257" s="55">
        <f t="shared" si="291"/>
        <v>0.28856198175646552</v>
      </c>
      <c r="AU257" s="55">
        <f t="shared" si="291"/>
        <v>0.295054626345986</v>
      </c>
      <c r="AV257" s="55">
        <f t="shared" si="291"/>
        <v>0.30169335543877068</v>
      </c>
      <c r="AW257" s="55">
        <f t="shared" si="291"/>
        <v>0.30848145593614301</v>
      </c>
      <c r="AX257" s="55">
        <f t="shared" si="291"/>
        <v>0.31542228869470623</v>
      </c>
      <c r="AY257" s="55">
        <f t="shared" si="291"/>
        <v>0.32251929019033704</v>
      </c>
      <c r="AZ257" s="55">
        <f t="shared" si="291"/>
        <v>0.32977597421961963</v>
      </c>
      <c r="BA257" s="55">
        <f t="shared" si="291"/>
        <v>0.33719593363956096</v>
      </c>
      <c r="BB257" s="55">
        <f t="shared" si="291"/>
        <v>0.34478284214645116</v>
      </c>
      <c r="BC257" s="55">
        <f t="shared" si="291"/>
        <v>0.35254045609474627</v>
      </c>
      <c r="BD257" s="55">
        <f t="shared" si="291"/>
        <v>0.36047261635687811</v>
      </c>
      <c r="BE257" s="55">
        <f t="shared" si="291"/>
        <v>0.36858325022490779</v>
      </c>
      <c r="BF257" s="55">
        <f t="shared" si="291"/>
        <v>0.37687637335496815</v>
      </c>
      <c r="BG257" s="55">
        <f t="shared" si="291"/>
        <v>0.38535609175545499</v>
      </c>
      <c r="BH257" s="55">
        <f t="shared" si="291"/>
        <v>0.39402660381995258</v>
      </c>
      <c r="BI257" s="55">
        <f t="shared" si="291"/>
        <v>0.40289220240590157</v>
      </c>
      <c r="BJ257" s="55">
        <f t="shared" si="291"/>
        <v>0.41195727696003426</v>
      </c>
    </row>
    <row r="258" spans="1:62" x14ac:dyDescent="0.3">
      <c r="A258" s="53" t="str">
        <f t="shared" si="245"/>
        <v>project 42</v>
      </c>
      <c r="C258" s="55">
        <f t="shared" ref="C258:AH258" si="292">IF(AND(C$127&gt;=$K47,C$127&lt;=$L47),$G47*(1+$H47)^(C$127-$B$5),0)</f>
        <v>0</v>
      </c>
      <c r="D258" s="55">
        <f t="shared" si="292"/>
        <v>0</v>
      </c>
      <c r="E258" s="55">
        <f t="shared" si="292"/>
        <v>0</v>
      </c>
      <c r="F258" s="55">
        <f t="shared" si="292"/>
        <v>0</v>
      </c>
      <c r="G258" s="55">
        <f t="shared" si="292"/>
        <v>0</v>
      </c>
      <c r="H258" s="55">
        <f t="shared" si="292"/>
        <v>0</v>
      </c>
      <c r="I258" s="55">
        <f t="shared" si="292"/>
        <v>0</v>
      </c>
      <c r="J258" s="55">
        <f t="shared" si="292"/>
        <v>0</v>
      </c>
      <c r="K258" s="55">
        <f t="shared" si="292"/>
        <v>0</v>
      </c>
      <c r="L258" s="55">
        <f t="shared" si="292"/>
        <v>0</v>
      </c>
      <c r="M258" s="55">
        <f t="shared" si="292"/>
        <v>0</v>
      </c>
      <c r="N258" s="55">
        <f t="shared" si="292"/>
        <v>0</v>
      </c>
      <c r="O258" s="55">
        <f t="shared" si="292"/>
        <v>0</v>
      </c>
      <c r="P258" s="55">
        <f t="shared" si="292"/>
        <v>0</v>
      </c>
      <c r="Q258" s="55">
        <f t="shared" si="292"/>
        <v>0</v>
      </c>
      <c r="R258" s="55">
        <f t="shared" si="292"/>
        <v>0</v>
      </c>
      <c r="S258" s="55">
        <f t="shared" si="292"/>
        <v>0</v>
      </c>
      <c r="T258" s="55">
        <f t="shared" si="292"/>
        <v>0</v>
      </c>
      <c r="U258" s="55">
        <f t="shared" si="292"/>
        <v>0</v>
      </c>
      <c r="V258" s="55">
        <f t="shared" si="292"/>
        <v>0</v>
      </c>
      <c r="W258" s="55">
        <f t="shared" si="292"/>
        <v>3.2999785946631094E-3</v>
      </c>
      <c r="X258" s="55">
        <f t="shared" si="292"/>
        <v>3.3851180424054176E-3</v>
      </c>
      <c r="Y258" s="55">
        <f t="shared" si="292"/>
        <v>3.4724540878994774E-3</v>
      </c>
      <c r="Z258" s="55">
        <f t="shared" si="292"/>
        <v>3.5620434033672849E-3</v>
      </c>
      <c r="AA258" s="55">
        <f t="shared" si="292"/>
        <v>3.6539441231741611E-3</v>
      </c>
      <c r="AB258" s="55">
        <f t="shared" si="292"/>
        <v>3.7482158815520549E-3</v>
      </c>
      <c r="AC258" s="55">
        <f t="shared" si="292"/>
        <v>3.8449198512960974E-3</v>
      </c>
      <c r="AD258" s="55">
        <f t="shared" si="292"/>
        <v>3.9441187834595376E-3</v>
      </c>
      <c r="AE258" s="55">
        <f t="shared" si="292"/>
        <v>4.0458770480727938E-3</v>
      </c>
      <c r="AF258" s="55">
        <f t="shared" si="292"/>
        <v>4.1502606759130714E-3</v>
      </c>
      <c r="AG258" s="55">
        <f t="shared" si="292"/>
        <v>4.2573374013516289E-3</v>
      </c>
      <c r="AH258" s="55">
        <f t="shared" si="292"/>
        <v>4.3671767063065024E-3</v>
      </c>
      <c r="AI258" s="55">
        <f t="shared" ref="AI258:BJ258" si="293">IF(AND(AI$127&gt;=$K47,AI$127&lt;=$L47),$G47*(1+$H47)^(AI$127-$B$5),0)</f>
        <v>4.4798498653292095E-3</v>
      </c>
      <c r="AJ258" s="55">
        <f t="shared" si="293"/>
        <v>4.5954299918547041E-3</v>
      </c>
      <c r="AK258" s="55">
        <f t="shared" si="293"/>
        <v>4.713992085644555E-3</v>
      </c>
      <c r="AL258" s="55">
        <f t="shared" si="293"/>
        <v>4.8356130814541853E-3</v>
      </c>
      <c r="AM258" s="55">
        <f t="shared" si="293"/>
        <v>4.9603718989557032E-3</v>
      </c>
      <c r="AN258" s="55">
        <f t="shared" si="293"/>
        <v>5.0883494939487611E-3</v>
      </c>
      <c r="AO258" s="55">
        <f t="shared" si="293"/>
        <v>5.2196289108926387E-3</v>
      </c>
      <c r="AP258" s="55">
        <f t="shared" si="293"/>
        <v>5.3542953367936704E-3</v>
      </c>
      <c r="AQ258" s="55">
        <f t="shared" si="293"/>
        <v>5.4924361564829462E-3</v>
      </c>
      <c r="AR258" s="55">
        <f t="shared" si="293"/>
        <v>5.6341410093202074E-3</v>
      </c>
      <c r="AS258" s="55">
        <f t="shared" si="293"/>
        <v>5.7795018473606689E-3</v>
      </c>
      <c r="AT258" s="55">
        <f t="shared" si="293"/>
        <v>5.9286129950225754E-3</v>
      </c>
      <c r="AU258" s="55">
        <f t="shared" si="293"/>
        <v>6.0815712102941571E-3</v>
      </c>
      <c r="AV258" s="55">
        <f t="shared" si="293"/>
        <v>6.2384757475197452E-3</v>
      </c>
      <c r="AW258" s="55">
        <f t="shared" si="293"/>
        <v>6.3994284218057557E-3</v>
      </c>
      <c r="AX258" s="55">
        <f t="shared" si="293"/>
        <v>6.5645336750883455E-3</v>
      </c>
      <c r="AY258" s="55">
        <f t="shared" si="293"/>
        <v>6.7338986439056253E-3</v>
      </c>
      <c r="AZ258" s="55">
        <f t="shared" si="293"/>
        <v>6.907633228918391E-3</v>
      </c>
      <c r="BA258" s="55">
        <f t="shared" si="293"/>
        <v>7.0858501662244859E-3</v>
      </c>
      <c r="BB258" s="55">
        <f t="shared" si="293"/>
        <v>7.2686651005130784E-3</v>
      </c>
      <c r="BC258" s="55">
        <f t="shared" si="293"/>
        <v>7.4561966601063151E-3</v>
      </c>
      <c r="BD258" s="55">
        <f t="shared" si="293"/>
        <v>7.6485665339370585E-3</v>
      </c>
      <c r="BE258" s="55">
        <f t="shared" si="293"/>
        <v>7.8458995505126354E-3</v>
      </c>
      <c r="BF258" s="55">
        <f t="shared" si="293"/>
        <v>8.048323758915862E-3</v>
      </c>
      <c r="BG258" s="55">
        <f t="shared" si="293"/>
        <v>8.2559705118958916E-3</v>
      </c>
      <c r="BH258" s="55">
        <f t="shared" si="293"/>
        <v>8.4689745511028081E-3</v>
      </c>
      <c r="BI258" s="55">
        <f t="shared" si="293"/>
        <v>8.6874740945212577E-3</v>
      </c>
      <c r="BJ258" s="55">
        <f t="shared" si="293"/>
        <v>8.9116109261599095E-3</v>
      </c>
    </row>
    <row r="259" spans="1:62" x14ac:dyDescent="0.3">
      <c r="A259" s="53" t="str">
        <f t="shared" si="245"/>
        <v>project 43</v>
      </c>
      <c r="C259" s="55">
        <f t="shared" ref="C259:AH259" si="294">IF(AND(C$127&gt;=$K48,C$127&lt;=$L48),$G48*(1+$H48)^(C$127-$B$5),0)</f>
        <v>0</v>
      </c>
      <c r="D259" s="55">
        <f t="shared" si="294"/>
        <v>0</v>
      </c>
      <c r="E259" s="55">
        <f t="shared" si="294"/>
        <v>0</v>
      </c>
      <c r="F259" s="55">
        <f t="shared" si="294"/>
        <v>0</v>
      </c>
      <c r="G259" s="55">
        <f t="shared" si="294"/>
        <v>0</v>
      </c>
      <c r="H259" s="55">
        <f t="shared" si="294"/>
        <v>0</v>
      </c>
      <c r="I259" s="55">
        <f t="shared" si="294"/>
        <v>0</v>
      </c>
      <c r="J259" s="55">
        <f t="shared" si="294"/>
        <v>0</v>
      </c>
      <c r="K259" s="55">
        <f t="shared" si="294"/>
        <v>0</v>
      </c>
      <c r="L259" s="55">
        <f t="shared" si="294"/>
        <v>0</v>
      </c>
      <c r="M259" s="55">
        <f t="shared" si="294"/>
        <v>0</v>
      </c>
      <c r="N259" s="55">
        <f t="shared" si="294"/>
        <v>0</v>
      </c>
      <c r="O259" s="55">
        <f t="shared" si="294"/>
        <v>0</v>
      </c>
      <c r="P259" s="55">
        <f t="shared" si="294"/>
        <v>0</v>
      </c>
      <c r="Q259" s="55">
        <f t="shared" si="294"/>
        <v>0</v>
      </c>
      <c r="R259" s="55">
        <f t="shared" si="294"/>
        <v>0</v>
      </c>
      <c r="S259" s="55">
        <f t="shared" si="294"/>
        <v>0</v>
      </c>
      <c r="T259" s="55">
        <f t="shared" si="294"/>
        <v>0</v>
      </c>
      <c r="U259" s="55">
        <f t="shared" si="294"/>
        <v>0</v>
      </c>
      <c r="V259" s="55">
        <f t="shared" si="294"/>
        <v>0</v>
      </c>
      <c r="W259" s="55">
        <f t="shared" si="294"/>
        <v>3.0378524008126727E-3</v>
      </c>
      <c r="X259" s="55">
        <f t="shared" si="294"/>
        <v>3.0937488849876256E-3</v>
      </c>
      <c r="Y259" s="55">
        <f t="shared" si="294"/>
        <v>3.1506738644713978E-3</v>
      </c>
      <c r="Z259" s="55">
        <f t="shared" si="294"/>
        <v>3.2086462635776713E-3</v>
      </c>
      <c r="AA259" s="55">
        <f t="shared" si="294"/>
        <v>3.2676853548275009E-3</v>
      </c>
      <c r="AB259" s="55">
        <f t="shared" si="294"/>
        <v>3.327810765356327E-3</v>
      </c>
      <c r="AC259" s="55">
        <f t="shared" si="294"/>
        <v>3.3890424834388836E-3</v>
      </c>
      <c r="AD259" s="55">
        <f t="shared" si="294"/>
        <v>3.4514008651341591E-3</v>
      </c>
      <c r="AE259" s="55">
        <f t="shared" si="294"/>
        <v>3.5149066410526276E-3</v>
      </c>
      <c r="AF259" s="55">
        <f t="shared" si="294"/>
        <v>3.5795809232479956E-3</v>
      </c>
      <c r="AG259" s="55">
        <f t="shared" si="294"/>
        <v>3.6454452122357587E-3</v>
      </c>
      <c r="AH259" s="55">
        <f t="shared" si="294"/>
        <v>3.7125214041408964E-3</v>
      </c>
      <c r="AI259" s="55">
        <f t="shared" ref="AI259:BJ259" si="295">IF(AND(AI$127&gt;=$K48,AI$127&lt;=$L48),$G48*(1+$H48)^(AI$127-$B$5),0)</f>
        <v>3.780831797977089E-3</v>
      </c>
      <c r="AJ259" s="55">
        <f t="shared" si="295"/>
        <v>3.8503991030598679E-3</v>
      </c>
      <c r="AK259" s="55">
        <f t="shared" si="295"/>
        <v>3.9212464465561694E-3</v>
      </c>
      <c r="AL259" s="55">
        <f t="shared" si="295"/>
        <v>3.9933973811728026E-3</v>
      </c>
      <c r="AM259" s="55">
        <f t="shared" si="295"/>
        <v>4.0668758929863821E-3</v>
      </c>
      <c r="AN259" s="55">
        <f t="shared" si="295"/>
        <v>4.141706409417331E-3</v>
      </c>
      <c r="AO259" s="55">
        <f t="shared" si="295"/>
        <v>4.2179138073506102E-3</v>
      </c>
      <c r="AP259" s="55">
        <f t="shared" si="295"/>
        <v>4.2955234214058606E-3</v>
      </c>
      <c r="AQ259" s="55">
        <f t="shared" si="295"/>
        <v>4.3745610523597302E-3</v>
      </c>
      <c r="AR259" s="55">
        <f t="shared" si="295"/>
        <v>4.4550529757231483E-3</v>
      </c>
      <c r="AS259" s="55">
        <f t="shared" si="295"/>
        <v>4.5370259504764546E-3</v>
      </c>
      <c r="AT259" s="55">
        <f t="shared" si="295"/>
        <v>4.6205072279652216E-3</v>
      </c>
      <c r="AU259" s="55">
        <f t="shared" si="295"/>
        <v>4.7055245609597821E-3</v>
      </c>
      <c r="AV259" s="55">
        <f t="shared" si="295"/>
        <v>4.7921062128814407E-3</v>
      </c>
      <c r="AW259" s="55">
        <f t="shared" si="295"/>
        <v>4.8802809671984601E-3</v>
      </c>
      <c r="AX259" s="55">
        <f t="shared" si="295"/>
        <v>4.9700781369949112E-3</v>
      </c>
      <c r="AY259" s="55">
        <f t="shared" si="295"/>
        <v>5.0615275747156177E-3</v>
      </c>
      <c r="AZ259" s="55">
        <f t="shared" si="295"/>
        <v>5.1546596820903848E-3</v>
      </c>
      <c r="BA259" s="55">
        <f t="shared" si="295"/>
        <v>5.2495054202408489E-3</v>
      </c>
      <c r="BB259" s="55">
        <f t="shared" si="295"/>
        <v>5.3460963199732803E-3</v>
      </c>
      <c r="BC259" s="55">
        <f t="shared" si="295"/>
        <v>5.444464492260789E-3</v>
      </c>
      <c r="BD259" s="55">
        <f t="shared" si="295"/>
        <v>5.5446426389183859E-3</v>
      </c>
      <c r="BE259" s="55">
        <f t="shared" si="295"/>
        <v>5.6466640634744852E-3</v>
      </c>
      <c r="BF259" s="55">
        <f t="shared" si="295"/>
        <v>5.7505626822424152E-3</v>
      </c>
      <c r="BG259" s="55">
        <f t="shared" si="295"/>
        <v>5.8563730355956755E-3</v>
      </c>
      <c r="BH259" s="55">
        <f t="shared" si="295"/>
        <v>5.9641302994506368E-3</v>
      </c>
      <c r="BI259" s="55">
        <f t="shared" si="295"/>
        <v>6.0738702969605285E-3</v>
      </c>
      <c r="BJ259" s="55">
        <f t="shared" si="295"/>
        <v>6.1856295104246017E-3</v>
      </c>
    </row>
    <row r="260" spans="1:62" x14ac:dyDescent="0.3">
      <c r="A260" s="53" t="str">
        <f t="shared" si="245"/>
        <v>project 44</v>
      </c>
      <c r="C260" s="55">
        <f t="shared" ref="C260:AH260" si="296">IF(AND(C$127&gt;=$K49,C$127&lt;=$L49),$G49*(1+$H49)^(C$127-$B$5),0)</f>
        <v>0</v>
      </c>
      <c r="D260" s="55">
        <f t="shared" si="296"/>
        <v>0</v>
      </c>
      <c r="E260" s="55">
        <f t="shared" si="296"/>
        <v>0</v>
      </c>
      <c r="F260" s="55">
        <f t="shared" si="296"/>
        <v>0</v>
      </c>
      <c r="G260" s="55">
        <f t="shared" si="296"/>
        <v>0</v>
      </c>
      <c r="H260" s="55">
        <f t="shared" si="296"/>
        <v>0</v>
      </c>
      <c r="I260" s="55">
        <f t="shared" si="296"/>
        <v>0</v>
      </c>
      <c r="J260" s="55">
        <f t="shared" si="296"/>
        <v>1.2869703139203063E-3</v>
      </c>
      <c r="K260" s="55">
        <f t="shared" si="296"/>
        <v>1.3015130784676057E-3</v>
      </c>
      <c r="L260" s="55">
        <f t="shared" si="296"/>
        <v>1.3162201762542897E-3</v>
      </c>
      <c r="M260" s="55">
        <f t="shared" si="296"/>
        <v>1.3310934642459633E-3</v>
      </c>
      <c r="N260" s="55">
        <f t="shared" si="296"/>
        <v>1.3461348203919427E-3</v>
      </c>
      <c r="O260" s="55">
        <f t="shared" si="296"/>
        <v>1.3613461438623717E-3</v>
      </c>
      <c r="P260" s="55">
        <f t="shared" si="296"/>
        <v>1.3767293552880168E-3</v>
      </c>
      <c r="Q260" s="55">
        <f t="shared" si="296"/>
        <v>1.3922863970027715E-3</v>
      </c>
      <c r="R260" s="55">
        <f t="shared" si="296"/>
        <v>1.4080192332889029E-3</v>
      </c>
      <c r="S260" s="55">
        <f t="shared" si="296"/>
        <v>1.4239298506250673E-3</v>
      </c>
      <c r="T260" s="55">
        <f t="shared" si="296"/>
        <v>1.4400202579371306E-3</v>
      </c>
      <c r="U260" s="55">
        <f t="shared" si="296"/>
        <v>1.4562924868518204E-3</v>
      </c>
      <c r="V260" s="55">
        <f t="shared" si="296"/>
        <v>1.472748591953246E-3</v>
      </c>
      <c r="W260" s="55">
        <f t="shared" si="296"/>
        <v>1.4893906510423179E-3</v>
      </c>
      <c r="X260" s="55">
        <f t="shared" si="296"/>
        <v>1.5062207653990963E-3</v>
      </c>
      <c r="Y260" s="55">
        <f t="shared" si="296"/>
        <v>1.5232410600481061E-3</v>
      </c>
      <c r="Z260" s="55">
        <f t="shared" si="296"/>
        <v>1.5404536840266498E-3</v>
      </c>
      <c r="AA260" s="55">
        <f t="shared" si="296"/>
        <v>1.5578608106561508E-3</v>
      </c>
      <c r="AB260" s="55">
        <f t="shared" si="296"/>
        <v>1.5754646378165656E-3</v>
      </c>
      <c r="AC260" s="55">
        <f t="shared" si="296"/>
        <v>1.5932673882238927E-3</v>
      </c>
      <c r="AD260" s="55">
        <f t="shared" si="296"/>
        <v>1.6112713097108226E-3</v>
      </c>
      <c r="AE260" s="55">
        <f t="shared" si="296"/>
        <v>1.6294786755105552E-3</v>
      </c>
      <c r="AF260" s="55">
        <f t="shared" si="296"/>
        <v>1.6478917845438249E-3</v>
      </c>
      <c r="AG260" s="55">
        <f t="shared" si="296"/>
        <v>1.6665129617091702E-3</v>
      </c>
      <c r="AH260" s="55">
        <f t="shared" si="296"/>
        <v>1.6853445581764841E-3</v>
      </c>
      <c r="AI260" s="55">
        <f t="shared" ref="AI260:BJ260" si="297">IF(AND(AI$127&gt;=$K49,AI$127&lt;=$L49),$G49*(1+$H49)^(AI$127-$B$5),0)</f>
        <v>1.7043889516838778E-3</v>
      </c>
      <c r="AJ260" s="55">
        <f t="shared" si="297"/>
        <v>1.7236485468379058E-3</v>
      </c>
      <c r="AK260" s="55">
        <f t="shared" si="297"/>
        <v>1.7431257754171744E-3</v>
      </c>
      <c r="AL260" s="55">
        <f t="shared" si="297"/>
        <v>1.7628230966793884E-3</v>
      </c>
      <c r="AM260" s="55">
        <f t="shared" si="297"/>
        <v>1.7827429976718658E-3</v>
      </c>
      <c r="AN260" s="55">
        <f t="shared" si="297"/>
        <v>1.8028879935455581E-3</v>
      </c>
      <c r="AO260" s="55">
        <f t="shared" si="297"/>
        <v>1.8232606278726232E-3</v>
      </c>
      <c r="AP260" s="55">
        <f t="shared" si="297"/>
        <v>1.8438634729675838E-3</v>
      </c>
      <c r="AQ260" s="55">
        <f t="shared" si="297"/>
        <v>1.8646991302121174E-3</v>
      </c>
      <c r="AR260" s="55">
        <f t="shared" si="297"/>
        <v>1.8857702303835145E-3</v>
      </c>
      <c r="AS260" s="55">
        <f t="shared" si="297"/>
        <v>1.9070794339868483E-3</v>
      </c>
      <c r="AT260" s="55">
        <f t="shared" si="297"/>
        <v>1.9286294315908996E-3</v>
      </c>
      <c r="AU260" s="55">
        <f t="shared" si="297"/>
        <v>1.9504229441678772E-3</v>
      </c>
      <c r="AV260" s="55">
        <f t="shared" si="297"/>
        <v>1.9724627234369747E-3</v>
      </c>
      <c r="AW260" s="55">
        <f t="shared" si="297"/>
        <v>1.9947515522118126E-3</v>
      </c>
      <c r="AX260" s="55">
        <f t="shared" si="297"/>
        <v>0</v>
      </c>
      <c r="AY260" s="55">
        <f t="shared" si="297"/>
        <v>0</v>
      </c>
      <c r="AZ260" s="55">
        <f t="shared" si="297"/>
        <v>0</v>
      </c>
      <c r="BA260" s="55">
        <f t="shared" si="297"/>
        <v>0</v>
      </c>
      <c r="BB260" s="55">
        <f t="shared" si="297"/>
        <v>0</v>
      </c>
      <c r="BC260" s="55">
        <f t="shared" si="297"/>
        <v>0</v>
      </c>
      <c r="BD260" s="55">
        <f t="shared" si="297"/>
        <v>0</v>
      </c>
      <c r="BE260" s="55">
        <f t="shared" si="297"/>
        <v>0</v>
      </c>
      <c r="BF260" s="55">
        <f t="shared" si="297"/>
        <v>0</v>
      </c>
      <c r="BG260" s="55">
        <f t="shared" si="297"/>
        <v>0</v>
      </c>
      <c r="BH260" s="55">
        <f t="shared" si="297"/>
        <v>0</v>
      </c>
      <c r="BI260" s="55">
        <f t="shared" si="297"/>
        <v>0</v>
      </c>
      <c r="BJ260" s="55">
        <f t="shared" si="297"/>
        <v>0</v>
      </c>
    </row>
    <row r="261" spans="1:62" x14ac:dyDescent="0.3">
      <c r="A261" s="53" t="str">
        <f t="shared" si="245"/>
        <v>project 47</v>
      </c>
      <c r="C261" s="55">
        <f t="shared" ref="C261:AH261" si="298">IF(AND(C$127&gt;=$K50,C$127&lt;=$L50),$G50*(1+$H50)^(C$127-$B$5),0)</f>
        <v>0</v>
      </c>
      <c r="D261" s="55">
        <f t="shared" si="298"/>
        <v>0</v>
      </c>
      <c r="E261" s="55">
        <f t="shared" si="298"/>
        <v>0</v>
      </c>
      <c r="F261" s="55">
        <f t="shared" si="298"/>
        <v>0</v>
      </c>
      <c r="G261" s="55">
        <f t="shared" si="298"/>
        <v>0</v>
      </c>
      <c r="H261" s="55">
        <f t="shared" si="298"/>
        <v>0</v>
      </c>
      <c r="I261" s="55">
        <f t="shared" si="298"/>
        <v>0</v>
      </c>
      <c r="J261" s="55">
        <f t="shared" si="298"/>
        <v>0</v>
      </c>
      <c r="K261" s="55">
        <f t="shared" si="298"/>
        <v>0</v>
      </c>
      <c r="L261" s="55">
        <f t="shared" si="298"/>
        <v>0</v>
      </c>
      <c r="M261" s="55">
        <f t="shared" si="298"/>
        <v>0</v>
      </c>
      <c r="N261" s="55">
        <f t="shared" si="298"/>
        <v>0</v>
      </c>
      <c r="O261" s="55">
        <f t="shared" si="298"/>
        <v>0</v>
      </c>
      <c r="P261" s="55">
        <f t="shared" si="298"/>
        <v>0</v>
      </c>
      <c r="Q261" s="55">
        <f t="shared" si="298"/>
        <v>0</v>
      </c>
      <c r="R261" s="55">
        <f t="shared" si="298"/>
        <v>0</v>
      </c>
      <c r="S261" s="55">
        <f t="shared" si="298"/>
        <v>0</v>
      </c>
      <c r="T261" s="55">
        <f t="shared" si="298"/>
        <v>0</v>
      </c>
      <c r="U261" s="55">
        <f t="shared" si="298"/>
        <v>0</v>
      </c>
      <c r="V261" s="55">
        <f t="shared" si="298"/>
        <v>0</v>
      </c>
      <c r="W261" s="55">
        <f t="shared" si="298"/>
        <v>0.23351333042277395</v>
      </c>
      <c r="X261" s="55">
        <f t="shared" si="298"/>
        <v>0.23762316503821473</v>
      </c>
      <c r="Y261" s="55">
        <f t="shared" si="298"/>
        <v>0.24180533274288735</v>
      </c>
      <c r="Z261" s="55">
        <f t="shared" si="298"/>
        <v>0.24606110659916219</v>
      </c>
      <c r="AA261" s="55">
        <f t="shared" si="298"/>
        <v>0.25039178207530743</v>
      </c>
      <c r="AB261" s="55">
        <f t="shared" si="298"/>
        <v>0.25479867743983287</v>
      </c>
      <c r="AC261" s="55">
        <f t="shared" si="298"/>
        <v>0.25928313416277393</v>
      </c>
      <c r="AD261" s="55">
        <f t="shared" si="298"/>
        <v>0.26384651732403874</v>
      </c>
      <c r="AE261" s="55">
        <f t="shared" si="298"/>
        <v>0.26849021602894185</v>
      </c>
      <c r="AF261" s="55">
        <f t="shared" si="298"/>
        <v>0.27321564383105118</v>
      </c>
      <c r="AG261" s="55">
        <f t="shared" si="298"/>
        <v>0.27802423916247776</v>
      </c>
      <c r="AH261" s="55">
        <f t="shared" si="298"/>
        <v>0.28291746577173743</v>
      </c>
      <c r="AI261" s="55">
        <f t="shared" ref="AI261:BJ261" si="299">IF(AND(AI$127&gt;=$K50,AI$127&lt;=$L50),$G50*(1+$H50)^(AI$127-$B$5),0)</f>
        <v>0.28789681316931998</v>
      </c>
      <c r="AJ261" s="55">
        <f t="shared" si="299"/>
        <v>0.29296379708110004</v>
      </c>
      <c r="AK261" s="55">
        <f t="shared" si="299"/>
        <v>0.29811995990972739</v>
      </c>
      <c r="AL261" s="55">
        <f t="shared" si="299"/>
        <v>0.30336687120413863</v>
      </c>
      <c r="AM261" s="55">
        <f t="shared" si="299"/>
        <v>0.30870612813733145</v>
      </c>
      <c r="AN261" s="55">
        <f t="shared" si="299"/>
        <v>0.3141393559925485</v>
      </c>
      <c r="AO261" s="55">
        <f t="shared" si="299"/>
        <v>0.31966820865801743</v>
      </c>
      <c r="AP261" s="55">
        <f t="shared" si="299"/>
        <v>0.32529436913039855</v>
      </c>
      <c r="AQ261" s="55">
        <f t="shared" si="299"/>
        <v>0.33101955002709349</v>
      </c>
      <c r="AR261" s="55">
        <f t="shared" si="299"/>
        <v>0.33684549410757036</v>
      </c>
      <c r="AS261" s="55">
        <f t="shared" si="299"/>
        <v>0.34277397480386362</v>
      </c>
      <c r="AT261" s="55">
        <f t="shared" si="299"/>
        <v>0.34880679676041171</v>
      </c>
      <c r="AU261" s="55">
        <f t="shared" si="299"/>
        <v>0.35494579638339491</v>
      </c>
      <c r="AV261" s="55">
        <f t="shared" si="299"/>
        <v>0.36119284239974264</v>
      </c>
      <c r="AW261" s="55">
        <f t="shared" si="299"/>
        <v>0.36754983642597822</v>
      </c>
      <c r="AX261" s="55">
        <f t="shared" si="299"/>
        <v>0.37401871354707544</v>
      </c>
      <c r="AY261" s="55">
        <f t="shared" si="299"/>
        <v>0.38060144290550391</v>
      </c>
      <c r="AZ261" s="55">
        <f t="shared" si="299"/>
        <v>0.38730002830064086</v>
      </c>
      <c r="BA261" s="55">
        <f t="shared" si="299"/>
        <v>0.39411650879873211</v>
      </c>
      <c r="BB261" s="55">
        <f t="shared" si="299"/>
        <v>0.40105295935358987</v>
      </c>
      <c r="BC261" s="55">
        <f t="shared" si="299"/>
        <v>0.40811149143821307</v>
      </c>
      <c r="BD261" s="55">
        <f t="shared" si="299"/>
        <v>0.41529425368752565</v>
      </c>
      <c r="BE261" s="55">
        <f t="shared" si="299"/>
        <v>0.42260343255242605</v>
      </c>
      <c r="BF261" s="55">
        <f t="shared" si="299"/>
        <v>0.43004125296534884</v>
      </c>
      <c r="BG261" s="55">
        <f t="shared" si="299"/>
        <v>0.43760997901753895</v>
      </c>
      <c r="BH261" s="55">
        <f t="shared" si="299"/>
        <v>0.44531191464824765</v>
      </c>
      <c r="BI261" s="55">
        <f t="shared" si="299"/>
        <v>0.45314940434605688</v>
      </c>
      <c r="BJ261" s="55">
        <f t="shared" si="299"/>
        <v>0.46112483386254749</v>
      </c>
    </row>
    <row r="262" spans="1:62" x14ac:dyDescent="0.3">
      <c r="A262" s="53" t="str">
        <f t="shared" si="245"/>
        <v>project 48</v>
      </c>
      <c r="C262" s="55">
        <f t="shared" ref="C262:AH262" si="300">IF(AND(C$127&gt;=$K51,C$127&lt;=$L51),$G51*(1+$H51)^(C$127-$B$5),0)</f>
        <v>0</v>
      </c>
      <c r="D262" s="55">
        <f t="shared" si="300"/>
        <v>0</v>
      </c>
      <c r="E262" s="55">
        <f t="shared" si="300"/>
        <v>0</v>
      </c>
      <c r="F262" s="55">
        <f t="shared" si="300"/>
        <v>0</v>
      </c>
      <c r="G262" s="55">
        <f t="shared" si="300"/>
        <v>0</v>
      </c>
      <c r="H262" s="55">
        <f t="shared" si="300"/>
        <v>0</v>
      </c>
      <c r="I262" s="55">
        <f t="shared" si="300"/>
        <v>0</v>
      </c>
      <c r="J262" s="55">
        <f t="shared" si="300"/>
        <v>0</v>
      </c>
      <c r="K262" s="55">
        <f t="shared" si="300"/>
        <v>0</v>
      </c>
      <c r="L262" s="55">
        <f t="shared" si="300"/>
        <v>0</v>
      </c>
      <c r="M262" s="55">
        <f t="shared" si="300"/>
        <v>0</v>
      </c>
      <c r="N262" s="55">
        <f t="shared" si="300"/>
        <v>0</v>
      </c>
      <c r="O262" s="55">
        <f t="shared" si="300"/>
        <v>0</v>
      </c>
      <c r="P262" s="55">
        <f t="shared" si="300"/>
        <v>0</v>
      </c>
      <c r="Q262" s="55">
        <f t="shared" si="300"/>
        <v>0</v>
      </c>
      <c r="R262" s="55">
        <f t="shared" si="300"/>
        <v>0</v>
      </c>
      <c r="S262" s="55">
        <f t="shared" si="300"/>
        <v>0</v>
      </c>
      <c r="T262" s="55">
        <f t="shared" si="300"/>
        <v>0</v>
      </c>
      <c r="U262" s="55">
        <f t="shared" si="300"/>
        <v>0</v>
      </c>
      <c r="V262" s="55">
        <f t="shared" si="300"/>
        <v>0</v>
      </c>
      <c r="W262" s="55">
        <f t="shared" si="300"/>
        <v>0.46414420460990563</v>
      </c>
      <c r="X262" s="55">
        <f t="shared" si="300"/>
        <v>0.47802211632774183</v>
      </c>
      <c r="Y262" s="55">
        <f t="shared" si="300"/>
        <v>0.4923149776059414</v>
      </c>
      <c r="Z262" s="55">
        <f t="shared" si="300"/>
        <v>0.507035195436359</v>
      </c>
      <c r="AA262" s="55">
        <f t="shared" si="300"/>
        <v>0.52219554777990618</v>
      </c>
      <c r="AB262" s="55">
        <f t="shared" si="300"/>
        <v>0.53780919465852539</v>
      </c>
      <c r="AC262" s="55">
        <f t="shared" si="300"/>
        <v>0.55388968957881535</v>
      </c>
      <c r="AD262" s="55">
        <f t="shared" si="300"/>
        <v>0.57045099129722199</v>
      </c>
      <c r="AE262" s="55">
        <f t="shared" si="300"/>
        <v>0.58750747593700903</v>
      </c>
      <c r="AF262" s="55">
        <f t="shared" si="300"/>
        <v>0.60507394946752557</v>
      </c>
      <c r="AG262" s="55">
        <f t="shared" si="300"/>
        <v>0.62316566055660461</v>
      </c>
      <c r="AH262" s="55">
        <f t="shared" si="300"/>
        <v>0.64179831380724717</v>
      </c>
      <c r="AI262" s="55">
        <f t="shared" ref="AI262:BJ262" si="301">IF(AND(AI$127&gt;=$K51,AI$127&lt;=$L51),$G51*(1+$H51)^(AI$127-$B$5),0)</f>
        <v>0.66098808339008386</v>
      </c>
      <c r="AJ262" s="55">
        <f t="shared" si="301"/>
        <v>0.68075162708344739</v>
      </c>
      <c r="AK262" s="55">
        <f t="shared" si="301"/>
        <v>0.70110610073324253</v>
      </c>
      <c r="AL262" s="55">
        <f t="shared" si="301"/>
        <v>0.72206917314516661</v>
      </c>
      <c r="AM262" s="55">
        <f t="shared" si="301"/>
        <v>0.74365904142220707</v>
      </c>
      <c r="AN262" s="55">
        <f t="shared" si="301"/>
        <v>0.76589444676073115</v>
      </c>
      <c r="AO262" s="55">
        <f t="shared" si="301"/>
        <v>0.78879469071887709</v>
      </c>
      <c r="AP262" s="55">
        <f t="shared" si="301"/>
        <v>0.81237965197137152</v>
      </c>
      <c r="AQ262" s="55">
        <f t="shared" si="301"/>
        <v>0.83666980356531551</v>
      </c>
      <c r="AR262" s="55">
        <f t="shared" si="301"/>
        <v>0.86168623069191852</v>
      </c>
      <c r="AS262" s="55">
        <f t="shared" si="301"/>
        <v>0.88745064898960702</v>
      </c>
      <c r="AT262" s="55">
        <f t="shared" si="301"/>
        <v>0.91398542339439637</v>
      </c>
      <c r="AU262" s="55">
        <f t="shared" si="301"/>
        <v>0.94131358755388894</v>
      </c>
      <c r="AV262" s="55">
        <f t="shared" si="301"/>
        <v>0.96945886382175017</v>
      </c>
      <c r="AW262" s="55">
        <f t="shared" si="301"/>
        <v>0.99844568385002053</v>
      </c>
      <c r="AX262" s="55">
        <f t="shared" si="301"/>
        <v>1.0282992097971364</v>
      </c>
      <c r="AY262" s="55">
        <f t="shared" si="301"/>
        <v>1.0590453561700706</v>
      </c>
      <c r="AZ262" s="55">
        <f t="shared" si="301"/>
        <v>1.0907108123195557</v>
      </c>
      <c r="BA262" s="55">
        <f t="shared" si="301"/>
        <v>1.1233230656079107</v>
      </c>
      <c r="BB262" s="55">
        <f t="shared" si="301"/>
        <v>1.1569104252695872</v>
      </c>
      <c r="BC262" s="55">
        <f t="shared" si="301"/>
        <v>1.1915020469851481</v>
      </c>
      <c r="BD262" s="55">
        <f t="shared" si="301"/>
        <v>1.2271279581900041</v>
      </c>
      <c r="BE262" s="55">
        <f t="shared" si="301"/>
        <v>1.2638190841398853</v>
      </c>
      <c r="BF262" s="55">
        <f t="shared" si="301"/>
        <v>1.3016072747556677</v>
      </c>
      <c r="BG262" s="55">
        <f t="shared" si="301"/>
        <v>1.3405253322708621</v>
      </c>
      <c r="BH262" s="55">
        <f t="shared" si="301"/>
        <v>1.380607039705761</v>
      </c>
      <c r="BI262" s="55">
        <f t="shared" si="301"/>
        <v>1.4218871901929635</v>
      </c>
      <c r="BJ262" s="55">
        <f t="shared" si="301"/>
        <v>1.4644016171797332</v>
      </c>
    </row>
    <row r="263" spans="1:62" x14ac:dyDescent="0.3">
      <c r="A263" s="53" t="str">
        <f t="shared" si="245"/>
        <v>project 50</v>
      </c>
      <c r="C263" s="55">
        <f t="shared" ref="C263:AH263" si="302">IF(AND(C$127&gt;=$K52,C$127&lt;=$L52),$G52*(1+$H52)^(C$127-$B$5),0)</f>
        <v>0</v>
      </c>
      <c r="D263" s="55">
        <f t="shared" si="302"/>
        <v>0</v>
      </c>
      <c r="E263" s="55">
        <f t="shared" si="302"/>
        <v>0</v>
      </c>
      <c r="F263" s="55">
        <f t="shared" si="302"/>
        <v>0</v>
      </c>
      <c r="G263" s="55">
        <f t="shared" si="302"/>
        <v>0</v>
      </c>
      <c r="H263" s="55">
        <f t="shared" si="302"/>
        <v>0</v>
      </c>
      <c r="I263" s="55">
        <f t="shared" si="302"/>
        <v>0</v>
      </c>
      <c r="J263" s="55">
        <f t="shared" si="302"/>
        <v>0</v>
      </c>
      <c r="K263" s="55">
        <f t="shared" si="302"/>
        <v>0</v>
      </c>
      <c r="L263" s="55">
        <f t="shared" si="302"/>
        <v>0</v>
      </c>
      <c r="M263" s="55">
        <f t="shared" si="302"/>
        <v>0</v>
      </c>
      <c r="N263" s="55">
        <f t="shared" si="302"/>
        <v>0</v>
      </c>
      <c r="O263" s="55">
        <f t="shared" si="302"/>
        <v>0</v>
      </c>
      <c r="P263" s="55">
        <f t="shared" si="302"/>
        <v>0</v>
      </c>
      <c r="Q263" s="55">
        <f t="shared" si="302"/>
        <v>0</v>
      </c>
      <c r="R263" s="55">
        <f t="shared" si="302"/>
        <v>0</v>
      </c>
      <c r="S263" s="55">
        <f t="shared" si="302"/>
        <v>0</v>
      </c>
      <c r="T263" s="55">
        <f t="shared" si="302"/>
        <v>0</v>
      </c>
      <c r="U263" s="55">
        <f t="shared" si="302"/>
        <v>0</v>
      </c>
      <c r="V263" s="55">
        <f t="shared" si="302"/>
        <v>0</v>
      </c>
      <c r="W263" s="55">
        <f t="shared" si="302"/>
        <v>4.1513899253931505</v>
      </c>
      <c r="X263" s="55">
        <f t="shared" si="302"/>
        <v>4.2369085578562489</v>
      </c>
      <c r="Y263" s="55">
        <f t="shared" si="302"/>
        <v>4.3241888741480885</v>
      </c>
      <c r="Z263" s="55">
        <f t="shared" si="302"/>
        <v>4.4132671649555384</v>
      </c>
      <c r="AA263" s="55">
        <f t="shared" si="302"/>
        <v>4.5041804685536224</v>
      </c>
      <c r="AB263" s="55">
        <f t="shared" si="302"/>
        <v>4.5969665862058262</v>
      </c>
      <c r="AC263" s="55">
        <f t="shared" si="302"/>
        <v>4.6916640978816666</v>
      </c>
      <c r="AD263" s="55">
        <f t="shared" si="302"/>
        <v>4.7883123782980279</v>
      </c>
      <c r="AE263" s="55">
        <f t="shared" si="302"/>
        <v>4.8869516132909672</v>
      </c>
      <c r="AF263" s="55">
        <f t="shared" si="302"/>
        <v>4.9876228165247607</v>
      </c>
      <c r="AG263" s="55">
        <f t="shared" si="302"/>
        <v>5.0903678465451705</v>
      </c>
      <c r="AH263" s="55">
        <f t="shared" si="302"/>
        <v>5.1952294241840011</v>
      </c>
      <c r="AI263" s="55">
        <f t="shared" ref="AI263:BJ263" si="303">IF(AND(AI$127&gt;=$K52,AI$127&lt;=$L52),$G52*(1+$H52)^(AI$127-$B$5),0)</f>
        <v>5.3022511503221903</v>
      </c>
      <c r="AJ263" s="55">
        <f t="shared" si="303"/>
        <v>5.4114775240188271</v>
      </c>
      <c r="AK263" s="55">
        <f t="shared" si="303"/>
        <v>5.5229539610136156</v>
      </c>
      <c r="AL263" s="55">
        <f t="shared" si="303"/>
        <v>5.6367268126104948</v>
      </c>
      <c r="AM263" s="55">
        <f t="shared" si="303"/>
        <v>5.7528433849502703</v>
      </c>
      <c r="AN263" s="55">
        <f t="shared" si="303"/>
        <v>5.8713519586802461</v>
      </c>
      <c r="AO263" s="55">
        <f t="shared" si="303"/>
        <v>5.9923018090290583</v>
      </c>
      <c r="AP263" s="55">
        <f t="shared" si="303"/>
        <v>6.1157432262950584</v>
      </c>
      <c r="AQ263" s="55">
        <f t="shared" si="303"/>
        <v>6.2417275367567342</v>
      </c>
      <c r="AR263" s="55">
        <f t="shared" si="303"/>
        <v>6.3703071240139231</v>
      </c>
      <c r="AS263" s="55">
        <f t="shared" si="303"/>
        <v>6.5015354507686096</v>
      </c>
      <c r="AT263" s="55">
        <f t="shared" si="303"/>
        <v>6.6354670810544425</v>
      </c>
      <c r="AU263" s="55">
        <f t="shared" si="303"/>
        <v>6.7721577029241633</v>
      </c>
      <c r="AV263" s="55">
        <f t="shared" si="303"/>
        <v>6.9116641516044002</v>
      </c>
      <c r="AW263" s="55">
        <f t="shared" si="303"/>
        <v>7.0540444331274506</v>
      </c>
      <c r="AX263" s="55">
        <f t="shared" si="303"/>
        <v>7.1993577484498763</v>
      </c>
      <c r="AY263" s="55">
        <f t="shared" si="303"/>
        <v>7.3476645180679423</v>
      </c>
      <c r="AZ263" s="55">
        <f t="shared" si="303"/>
        <v>7.49902640714014</v>
      </c>
      <c r="BA263" s="55">
        <f t="shared" si="303"/>
        <v>7.6535063511272279</v>
      </c>
      <c r="BB263" s="55">
        <f t="shared" si="303"/>
        <v>7.8111685819604491</v>
      </c>
      <c r="BC263" s="55">
        <f t="shared" si="303"/>
        <v>7.9720786547488327</v>
      </c>
      <c r="BD263" s="55">
        <f t="shared" si="303"/>
        <v>8.1363034750366587</v>
      </c>
      <c r="BE263" s="55">
        <f t="shared" si="303"/>
        <v>8.3039113266224138</v>
      </c>
      <c r="BF263" s="55">
        <f t="shared" si="303"/>
        <v>8.4749718999508339</v>
      </c>
      <c r="BG263" s="55">
        <f t="shared" si="303"/>
        <v>8.6495563210898201</v>
      </c>
      <c r="BH263" s="55">
        <f t="shared" si="303"/>
        <v>8.8277371813042702</v>
      </c>
      <c r="BI263" s="55">
        <f t="shared" si="303"/>
        <v>9.0095885672391383</v>
      </c>
      <c r="BJ263" s="55">
        <f t="shared" si="303"/>
        <v>9.1951860917242634</v>
      </c>
    </row>
    <row r="264" spans="1:62" x14ac:dyDescent="0.3">
      <c r="A264" s="53" t="str">
        <f t="shared" si="245"/>
        <v>project 51</v>
      </c>
      <c r="C264" s="55">
        <f t="shared" ref="C264:AH264" si="304">IF(AND(C$127&gt;=$K53,C$127&lt;=$L53),$G53*(1+$H53)^(C$127-$B$5),0)</f>
        <v>0</v>
      </c>
      <c r="D264" s="55">
        <f t="shared" si="304"/>
        <v>0</v>
      </c>
      <c r="E264" s="55">
        <f t="shared" si="304"/>
        <v>0</v>
      </c>
      <c r="F264" s="55">
        <f t="shared" si="304"/>
        <v>0</v>
      </c>
      <c r="G264" s="55">
        <f t="shared" si="304"/>
        <v>0</v>
      </c>
      <c r="H264" s="55">
        <f t="shared" si="304"/>
        <v>0</v>
      </c>
      <c r="I264" s="55">
        <f t="shared" si="304"/>
        <v>0</v>
      </c>
      <c r="J264" s="55">
        <f t="shared" si="304"/>
        <v>0</v>
      </c>
      <c r="K264" s="55">
        <f t="shared" si="304"/>
        <v>0</v>
      </c>
      <c r="L264" s="55">
        <f t="shared" si="304"/>
        <v>0</v>
      </c>
      <c r="M264" s="55">
        <f t="shared" si="304"/>
        <v>0</v>
      </c>
      <c r="N264" s="55">
        <f t="shared" si="304"/>
        <v>0</v>
      </c>
      <c r="O264" s="55">
        <f t="shared" si="304"/>
        <v>0</v>
      </c>
      <c r="P264" s="55">
        <f t="shared" si="304"/>
        <v>0</v>
      </c>
      <c r="Q264" s="55">
        <f t="shared" si="304"/>
        <v>0</v>
      </c>
      <c r="R264" s="55">
        <f t="shared" si="304"/>
        <v>0</v>
      </c>
      <c r="S264" s="55">
        <f t="shared" si="304"/>
        <v>0</v>
      </c>
      <c r="T264" s="55">
        <f t="shared" si="304"/>
        <v>0</v>
      </c>
      <c r="U264" s="55">
        <f t="shared" si="304"/>
        <v>0</v>
      </c>
      <c r="V264" s="55">
        <f t="shared" si="304"/>
        <v>0</v>
      </c>
      <c r="W264" s="55">
        <f t="shared" si="304"/>
        <v>7.6745994666428636</v>
      </c>
      <c r="X264" s="55">
        <f t="shared" si="304"/>
        <v>7.9002326909621647</v>
      </c>
      <c r="Y264" s="55">
        <f t="shared" si="304"/>
        <v>8.1324995320764533</v>
      </c>
      <c r="Z264" s="55">
        <f t="shared" si="304"/>
        <v>8.3715950183194998</v>
      </c>
      <c r="AA264" s="55">
        <f t="shared" si="304"/>
        <v>8.6177199118580958</v>
      </c>
      <c r="AB264" s="55">
        <f t="shared" si="304"/>
        <v>8.8710808772667242</v>
      </c>
      <c r="AC264" s="55">
        <f t="shared" si="304"/>
        <v>9.1318906550583669</v>
      </c>
      <c r="AD264" s="55">
        <f t="shared" si="304"/>
        <v>9.4003682403170838</v>
      </c>
      <c r="AE264" s="55">
        <f t="shared" si="304"/>
        <v>9.6767390665824085</v>
      </c>
      <c r="AF264" s="55">
        <f t="shared" si="304"/>
        <v>9.9612351951399329</v>
      </c>
      <c r="AG264" s="55">
        <f t="shared" si="304"/>
        <v>10.254095509877047</v>
      </c>
      <c r="AH264" s="55">
        <f t="shared" si="304"/>
        <v>10.555565917867433</v>
      </c>
      <c r="AI264" s="55">
        <f t="shared" ref="AI264:BJ264" si="305">IF(AND(AI$127&gt;=$K53,AI$127&lt;=$L53),$G53*(1+$H53)^(AI$127-$B$5),0)</f>
        <v>10.865899555852737</v>
      </c>
      <c r="AJ264" s="55">
        <f t="shared" si="305"/>
        <v>11.185357002794808</v>
      </c>
      <c r="AK264" s="55">
        <f t="shared" si="305"/>
        <v>11.514206498676977</v>
      </c>
      <c r="AL264" s="55">
        <f t="shared" si="305"/>
        <v>11.852724169738082</v>
      </c>
      <c r="AM264" s="55">
        <f t="shared" si="305"/>
        <v>12.201194260328382</v>
      </c>
      <c r="AN264" s="55">
        <f t="shared" si="305"/>
        <v>12.559909371582039</v>
      </c>
      <c r="AO264" s="55">
        <f t="shared" si="305"/>
        <v>12.92917070710655</v>
      </c>
      <c r="AP264" s="55">
        <f t="shared" si="305"/>
        <v>13.309288325895483</v>
      </c>
      <c r="AQ264" s="55">
        <f t="shared" si="305"/>
        <v>13.700581402676814</v>
      </c>
      <c r="AR264" s="55">
        <f t="shared" si="305"/>
        <v>14.103378495915512</v>
      </c>
      <c r="AS264" s="55">
        <f t="shared" si="305"/>
        <v>14.51801782369543</v>
      </c>
      <c r="AT264" s="55">
        <f t="shared" si="305"/>
        <v>14.944847547712078</v>
      </c>
      <c r="AU264" s="55">
        <f t="shared" si="305"/>
        <v>15.384226065614815</v>
      </c>
      <c r="AV264" s="55">
        <f t="shared" si="305"/>
        <v>15.836522311943895</v>
      </c>
      <c r="AW264" s="55">
        <f t="shared" si="305"/>
        <v>16.302116067915044</v>
      </c>
      <c r="AX264" s="55">
        <f t="shared" si="305"/>
        <v>16.781398280311748</v>
      </c>
      <c r="AY264" s="55">
        <f t="shared" si="305"/>
        <v>17.274771389752917</v>
      </c>
      <c r="AZ264" s="55">
        <f t="shared" si="305"/>
        <v>17.782649668611658</v>
      </c>
      <c r="BA264" s="55">
        <f t="shared" si="305"/>
        <v>18.305459568868841</v>
      </c>
      <c r="BB264" s="55">
        <f t="shared" si="305"/>
        <v>18.843640080193584</v>
      </c>
      <c r="BC264" s="55">
        <f t="shared" si="305"/>
        <v>19.397643098551278</v>
      </c>
      <c r="BD264" s="55">
        <f t="shared" si="305"/>
        <v>19.967933805648688</v>
      </c>
      <c r="BE264" s="55">
        <f t="shared" si="305"/>
        <v>20.55499105953476</v>
      </c>
      <c r="BF264" s="55">
        <f t="shared" si="305"/>
        <v>21.159307796685088</v>
      </c>
      <c r="BG264" s="55">
        <f t="shared" si="305"/>
        <v>21.78139144590763</v>
      </c>
      <c r="BH264" s="55">
        <f t="shared" si="305"/>
        <v>22.42176435441732</v>
      </c>
      <c r="BI264" s="55">
        <f t="shared" si="305"/>
        <v>23.080964226437189</v>
      </c>
      <c r="BJ264" s="55">
        <f t="shared" si="305"/>
        <v>23.759544574694441</v>
      </c>
    </row>
    <row r="265" spans="1:62" x14ac:dyDescent="0.3">
      <c r="A265" s="53" t="str">
        <f t="shared" si="245"/>
        <v>project 53</v>
      </c>
      <c r="C265" s="55">
        <f t="shared" ref="C265:AH265" si="306">IF(AND(C$127&gt;=$K54,C$127&lt;=$L54),$G54*(1+$H54)^(C$127-$B$5),0)</f>
        <v>0</v>
      </c>
      <c r="D265" s="55">
        <f t="shared" si="306"/>
        <v>0</v>
      </c>
      <c r="E265" s="55">
        <f t="shared" si="306"/>
        <v>0</v>
      </c>
      <c r="F265" s="55">
        <f t="shared" si="306"/>
        <v>0</v>
      </c>
      <c r="G265" s="55">
        <f t="shared" si="306"/>
        <v>0</v>
      </c>
      <c r="H265" s="55">
        <f t="shared" si="306"/>
        <v>0</v>
      </c>
      <c r="I265" s="55">
        <f t="shared" si="306"/>
        <v>0</v>
      </c>
      <c r="J265" s="55">
        <f t="shared" si="306"/>
        <v>0</v>
      </c>
      <c r="K265" s="55">
        <f t="shared" si="306"/>
        <v>0</v>
      </c>
      <c r="L265" s="55">
        <f t="shared" si="306"/>
        <v>0</v>
      </c>
      <c r="M265" s="55">
        <f t="shared" si="306"/>
        <v>0</v>
      </c>
      <c r="N265" s="55">
        <f t="shared" si="306"/>
        <v>0</v>
      </c>
      <c r="O265" s="55">
        <f t="shared" si="306"/>
        <v>0</v>
      </c>
      <c r="P265" s="55">
        <f t="shared" si="306"/>
        <v>0</v>
      </c>
      <c r="Q265" s="55">
        <f t="shared" si="306"/>
        <v>0</v>
      </c>
      <c r="R265" s="55">
        <f t="shared" si="306"/>
        <v>0</v>
      </c>
      <c r="S265" s="55">
        <f t="shared" si="306"/>
        <v>0</v>
      </c>
      <c r="T265" s="55">
        <f t="shared" si="306"/>
        <v>0</v>
      </c>
      <c r="U265" s="55">
        <f t="shared" si="306"/>
        <v>0</v>
      </c>
      <c r="V265" s="55">
        <f t="shared" si="306"/>
        <v>0</v>
      </c>
      <c r="W265" s="55">
        <f t="shared" si="306"/>
        <v>0.21580764642142988</v>
      </c>
      <c r="X265" s="55">
        <f t="shared" si="306"/>
        <v>0.22167761440409273</v>
      </c>
      <c r="Y265" s="55">
        <f t="shared" si="306"/>
        <v>0.22770724551588406</v>
      </c>
      <c r="Z265" s="55">
        <f t="shared" si="306"/>
        <v>0.23390088259391609</v>
      </c>
      <c r="AA265" s="55">
        <f t="shared" si="306"/>
        <v>0.24026298660047055</v>
      </c>
      <c r="AB265" s="55">
        <f t="shared" si="306"/>
        <v>0.24679813983600332</v>
      </c>
      <c r="AC265" s="55">
        <f t="shared" si="306"/>
        <v>0.2535110492395426</v>
      </c>
      <c r="AD265" s="55">
        <f t="shared" si="306"/>
        <v>0.26040654977885813</v>
      </c>
      <c r="AE265" s="55">
        <f t="shared" si="306"/>
        <v>0.26748960793284304</v>
      </c>
      <c r="AF265" s="55">
        <f t="shared" si="306"/>
        <v>0.2747653252686163</v>
      </c>
      <c r="AG265" s="55">
        <f t="shared" si="306"/>
        <v>0.28223894211592265</v>
      </c>
      <c r="AH265" s="55">
        <f t="shared" si="306"/>
        <v>0.2899158413414758</v>
      </c>
      <c r="AI265" s="55">
        <f t="shared" ref="AI265:BJ265" si="307">IF(AND(AI$127&gt;=$K54,AI$127&lt;=$L54),$G54*(1+$H54)^(AI$127-$B$5),0)</f>
        <v>0.29780155222596388</v>
      </c>
      <c r="AJ265" s="55">
        <f t="shared" si="307"/>
        <v>0.30590175444651008</v>
      </c>
      <c r="AK265" s="55">
        <f t="shared" si="307"/>
        <v>0.31422228216745512</v>
      </c>
      <c r="AL265" s="55">
        <f t="shared" si="307"/>
        <v>0.32276912824240989</v>
      </c>
      <c r="AM265" s="55">
        <f t="shared" si="307"/>
        <v>0.33154844853060339</v>
      </c>
      <c r="AN265" s="55">
        <f t="shared" si="307"/>
        <v>0.3405665663306357</v>
      </c>
      <c r="AO265" s="55">
        <f t="shared" si="307"/>
        <v>0.34982997693482898</v>
      </c>
      <c r="AP265" s="55">
        <f t="shared" si="307"/>
        <v>0.35934535230745634</v>
      </c>
      <c r="AQ265" s="55">
        <f t="shared" si="307"/>
        <v>0.36911954589021906</v>
      </c>
      <c r="AR265" s="55">
        <f t="shared" si="307"/>
        <v>0.37915959753843298</v>
      </c>
      <c r="AS265" s="55">
        <f t="shared" si="307"/>
        <v>0.38947273859147835</v>
      </c>
      <c r="AT265" s="55">
        <f t="shared" si="307"/>
        <v>0.40006639708116654</v>
      </c>
      <c r="AU265" s="55">
        <f t="shared" si="307"/>
        <v>0.41094820308177415</v>
      </c>
      <c r="AV265" s="55">
        <f t="shared" si="307"/>
        <v>0.42212599420559838</v>
      </c>
      <c r="AW265" s="55">
        <f t="shared" si="307"/>
        <v>0.43360782124799063</v>
      </c>
      <c r="AX265" s="55">
        <f t="shared" si="307"/>
        <v>0.44540195398593602</v>
      </c>
      <c r="AY265" s="55">
        <f t="shared" si="307"/>
        <v>0.45751688713435334</v>
      </c>
      <c r="AZ265" s="55">
        <f t="shared" si="307"/>
        <v>0.46996134646440774</v>
      </c>
      <c r="BA265" s="55">
        <f t="shared" si="307"/>
        <v>0.48274429508823957</v>
      </c>
      <c r="BB265" s="55">
        <f t="shared" si="307"/>
        <v>0.49587493991463971</v>
      </c>
      <c r="BC265" s="55">
        <f t="shared" si="307"/>
        <v>0.50936273828031775</v>
      </c>
      <c r="BD265" s="55">
        <f t="shared" si="307"/>
        <v>0.52321740476154244</v>
      </c>
      <c r="BE265" s="55">
        <f t="shared" si="307"/>
        <v>0.53744891817105633</v>
      </c>
      <c r="BF265" s="55">
        <f t="shared" si="307"/>
        <v>0.55206752874530896</v>
      </c>
      <c r="BG265" s="55">
        <f t="shared" si="307"/>
        <v>0.56708376552718132</v>
      </c>
      <c r="BH265" s="55">
        <f t="shared" si="307"/>
        <v>0.5825084439495205</v>
      </c>
      <c r="BI265" s="55">
        <f t="shared" si="307"/>
        <v>0.59835267362494748</v>
      </c>
      <c r="BJ265" s="55">
        <f t="shared" si="307"/>
        <v>0.61462786634754585</v>
      </c>
    </row>
    <row r="266" spans="1:62" x14ac:dyDescent="0.3">
      <c r="A266" s="53" t="str">
        <f t="shared" si="245"/>
        <v>project 55</v>
      </c>
      <c r="C266" s="55">
        <f t="shared" ref="C266:AH266" si="308">IF(AND(C$127&gt;=$K55,C$127&lt;=$L55),$G55*(1+$H55)^(C$127-$B$5),0)</f>
        <v>0</v>
      </c>
      <c r="D266" s="55">
        <f t="shared" si="308"/>
        <v>0</v>
      </c>
      <c r="E266" s="55">
        <f t="shared" si="308"/>
        <v>1.7920763616404682</v>
      </c>
      <c r="F266" s="55">
        <f t="shared" si="308"/>
        <v>1.8103555405292011</v>
      </c>
      <c r="G266" s="55">
        <f t="shared" si="308"/>
        <v>1.8288211670425991</v>
      </c>
      <c r="H266" s="55">
        <f t="shared" si="308"/>
        <v>1.8474751429464336</v>
      </c>
      <c r="I266" s="55">
        <f t="shared" si="308"/>
        <v>1.8663193894044876</v>
      </c>
      <c r="J266" s="55">
        <f t="shared" si="308"/>
        <v>1.8853558471764134</v>
      </c>
      <c r="K266" s="55">
        <f t="shared" si="308"/>
        <v>1.9045864768176126</v>
      </c>
      <c r="L266" s="55">
        <f t="shared" si="308"/>
        <v>1.9240132588811525</v>
      </c>
      <c r="M266" s="55">
        <f t="shared" si="308"/>
        <v>1.94363819412174</v>
      </c>
      <c r="N266" s="55">
        <f t="shared" si="308"/>
        <v>1.9634633037017819</v>
      </c>
      <c r="O266" s="55">
        <f t="shared" si="308"/>
        <v>1.9834906293995402</v>
      </c>
      <c r="P266" s="55">
        <f t="shared" si="308"/>
        <v>2.0037222338194156</v>
      </c>
      <c r="Q266" s="55">
        <f t="shared" si="308"/>
        <v>2.0241602006043742</v>
      </c>
      <c r="R266" s="55">
        <f t="shared" si="308"/>
        <v>2.0448066346505387</v>
      </c>
      <c r="S266" s="55">
        <f t="shared" si="308"/>
        <v>2.0656636623239741</v>
      </c>
      <c r="T266" s="55">
        <f t="shared" si="308"/>
        <v>2.0867334316796788</v>
      </c>
      <c r="U266" s="55">
        <f t="shared" si="308"/>
        <v>2.1080181126828115</v>
      </c>
      <c r="V266" s="55">
        <f t="shared" si="308"/>
        <v>2.1295198974321763</v>
      </c>
      <c r="W266" s="55">
        <f t="shared" si="308"/>
        <v>2.1512410003859848</v>
      </c>
      <c r="X266" s="55">
        <f t="shared" si="308"/>
        <v>2.1731836585899216</v>
      </c>
      <c r="Y266" s="55">
        <f t="shared" si="308"/>
        <v>2.1953501319075395</v>
      </c>
      <c r="Z266" s="55">
        <f t="shared" si="308"/>
        <v>2.2177427032529966</v>
      </c>
      <c r="AA266" s="55">
        <f t="shared" si="308"/>
        <v>2.2403636788261769</v>
      </c>
      <c r="AB266" s="55">
        <f t="shared" si="308"/>
        <v>2.2632153883502042</v>
      </c>
      <c r="AC266" s="55">
        <f t="shared" si="308"/>
        <v>2.2863001853113758</v>
      </c>
      <c r="AD266" s="55">
        <f t="shared" si="308"/>
        <v>2.309620447201552</v>
      </c>
      <c r="AE266" s="55">
        <f t="shared" si="308"/>
        <v>2.3331785757630081</v>
      </c>
      <c r="AF266" s="55">
        <f t="shared" si="308"/>
        <v>2.3569769972357903</v>
      </c>
      <c r="AG266" s="55">
        <f t="shared" si="308"/>
        <v>2.3810181626075959</v>
      </c>
      <c r="AH266" s="55">
        <f t="shared" si="308"/>
        <v>2.4053045478661939</v>
      </c>
      <c r="AI266" s="55">
        <f t="shared" ref="AI266:BJ266" si="309">IF(AND(AI$127&gt;=$K55,AI$127&lt;=$L55),$G55*(1+$H55)^(AI$127-$B$5),0)</f>
        <v>2.429838654254429</v>
      </c>
      <c r="AJ266" s="55">
        <f t="shared" si="309"/>
        <v>2.454623008527824</v>
      </c>
      <c r="AK266" s="55">
        <f t="shared" si="309"/>
        <v>2.4796601632148083</v>
      </c>
      <c r="AL266" s="55">
        <f t="shared" si="309"/>
        <v>2.5049526968795992</v>
      </c>
      <c r="AM266" s="55">
        <f t="shared" si="309"/>
        <v>2.5305032143877715</v>
      </c>
      <c r="AN266" s="55">
        <f t="shared" si="309"/>
        <v>2.5563143471745264</v>
      </c>
      <c r="AO266" s="55">
        <f t="shared" si="309"/>
        <v>2.5823887535157071</v>
      </c>
      <c r="AP266" s="55">
        <f t="shared" si="309"/>
        <v>2.6087291188015675</v>
      </c>
      <c r="AQ266" s="55">
        <f t="shared" si="309"/>
        <v>2.6353381558133435</v>
      </c>
      <c r="AR266" s="55">
        <f t="shared" si="309"/>
        <v>2.6622186050026397</v>
      </c>
      <c r="AS266" s="55">
        <f t="shared" si="309"/>
        <v>0</v>
      </c>
      <c r="AT266" s="55">
        <f t="shared" si="309"/>
        <v>0</v>
      </c>
      <c r="AU266" s="55">
        <f t="shared" si="309"/>
        <v>0</v>
      </c>
      <c r="AV266" s="55">
        <f t="shared" si="309"/>
        <v>0</v>
      </c>
      <c r="AW266" s="55">
        <f t="shared" si="309"/>
        <v>0</v>
      </c>
      <c r="AX266" s="55">
        <f t="shared" si="309"/>
        <v>0</v>
      </c>
      <c r="AY266" s="55">
        <f t="shared" si="309"/>
        <v>0</v>
      </c>
      <c r="AZ266" s="55">
        <f t="shared" si="309"/>
        <v>0</v>
      </c>
      <c r="BA266" s="55">
        <f t="shared" si="309"/>
        <v>0</v>
      </c>
      <c r="BB266" s="55">
        <f t="shared" si="309"/>
        <v>0</v>
      </c>
      <c r="BC266" s="55">
        <f t="shared" si="309"/>
        <v>0</v>
      </c>
      <c r="BD266" s="55">
        <f t="shared" si="309"/>
        <v>0</v>
      </c>
      <c r="BE266" s="55">
        <f t="shared" si="309"/>
        <v>0</v>
      </c>
      <c r="BF266" s="55">
        <f t="shared" si="309"/>
        <v>0</v>
      </c>
      <c r="BG266" s="55">
        <f t="shared" si="309"/>
        <v>0</v>
      </c>
      <c r="BH266" s="55">
        <f t="shared" si="309"/>
        <v>0</v>
      </c>
      <c r="BI266" s="55">
        <f t="shared" si="309"/>
        <v>0</v>
      </c>
      <c r="BJ266" s="55">
        <f t="shared" si="309"/>
        <v>0</v>
      </c>
    </row>
    <row r="267" spans="1:62" x14ac:dyDescent="0.3">
      <c r="A267" s="53" t="str">
        <f t="shared" ref="A267:A298" si="310">A56</f>
        <v>project 56</v>
      </c>
      <c r="C267" s="55">
        <f t="shared" ref="C267:AH267" si="311">IF(AND(C$127&gt;=$K56,C$127&lt;=$L56),$G56*(1+$H56)^(C$127-$B$5),0)</f>
        <v>0</v>
      </c>
      <c r="D267" s="55">
        <f t="shared" si="311"/>
        <v>0</v>
      </c>
      <c r="E267" s="55">
        <f t="shared" si="311"/>
        <v>0</v>
      </c>
      <c r="F267" s="55">
        <f t="shared" si="311"/>
        <v>0</v>
      </c>
      <c r="G267" s="55">
        <f t="shared" si="311"/>
        <v>0</v>
      </c>
      <c r="H267" s="55">
        <f t="shared" si="311"/>
        <v>0</v>
      </c>
      <c r="I267" s="55">
        <f t="shared" si="311"/>
        <v>0</v>
      </c>
      <c r="J267" s="55">
        <f t="shared" si="311"/>
        <v>0</v>
      </c>
      <c r="K267" s="55">
        <f t="shared" si="311"/>
        <v>0</v>
      </c>
      <c r="L267" s="55">
        <f t="shared" si="311"/>
        <v>0</v>
      </c>
      <c r="M267" s="55">
        <f t="shared" si="311"/>
        <v>0</v>
      </c>
      <c r="N267" s="55">
        <f t="shared" si="311"/>
        <v>0</v>
      </c>
      <c r="O267" s="55">
        <f t="shared" si="311"/>
        <v>0</v>
      </c>
      <c r="P267" s="55">
        <f t="shared" si="311"/>
        <v>0</v>
      </c>
      <c r="Q267" s="55">
        <f t="shared" si="311"/>
        <v>0</v>
      </c>
      <c r="R267" s="55">
        <f t="shared" si="311"/>
        <v>0</v>
      </c>
      <c r="S267" s="55">
        <f t="shared" si="311"/>
        <v>0</v>
      </c>
      <c r="T267" s="55">
        <f t="shared" si="311"/>
        <v>0</v>
      </c>
      <c r="U267" s="55">
        <f t="shared" si="311"/>
        <v>0</v>
      </c>
      <c r="V267" s="55">
        <f t="shared" si="311"/>
        <v>0</v>
      </c>
      <c r="W267" s="55">
        <f t="shared" si="311"/>
        <v>1.7036154247963061E-2</v>
      </c>
      <c r="X267" s="55">
        <f t="shared" si="311"/>
        <v>1.745183641161336E-2</v>
      </c>
      <c r="Y267" s="55">
        <f t="shared" si="311"/>
        <v>1.7877661220056722E-2</v>
      </c>
      <c r="Z267" s="55">
        <f t="shared" si="311"/>
        <v>1.8313876153826104E-2</v>
      </c>
      <c r="AA267" s="55">
        <f t="shared" si="311"/>
        <v>1.8760734731979457E-2</v>
      </c>
      <c r="AB267" s="55">
        <f t="shared" si="311"/>
        <v>1.9218496659439758E-2</v>
      </c>
      <c r="AC267" s="55">
        <f t="shared" si="311"/>
        <v>1.9687427977930088E-2</v>
      </c>
      <c r="AD267" s="55">
        <f t="shared" si="311"/>
        <v>2.0167801220591579E-2</v>
      </c>
      <c r="AE267" s="55">
        <f t="shared" si="311"/>
        <v>2.0659895570374013E-2</v>
      </c>
      <c r="AF267" s="55">
        <f t="shared" si="311"/>
        <v>2.1163997022291138E-2</v>
      </c>
      <c r="AG267" s="55">
        <f t="shared" si="311"/>
        <v>2.1680398549635039E-2</v>
      </c>
      <c r="AH267" s="55">
        <f t="shared" si="311"/>
        <v>2.2209400274246133E-2</v>
      </c>
      <c r="AI267" s="55">
        <f t="shared" ref="AI267:BJ267" si="312">IF(AND(AI$127&gt;=$K56,AI$127&lt;=$L56),$G56*(1+$H56)^(AI$127-$B$5),0)</f>
        <v>2.2751309640937734E-2</v>
      </c>
      <c r="AJ267" s="55">
        <f t="shared" si="312"/>
        <v>2.3306441596176612E-2</v>
      </c>
      <c r="AK267" s="55">
        <f t="shared" si="312"/>
        <v>2.3875118771123322E-2</v>
      </c>
      <c r="AL267" s="55">
        <f t="shared" si="312"/>
        <v>2.4457671669138731E-2</v>
      </c>
      <c r="AM267" s="55">
        <f t="shared" si="312"/>
        <v>2.5054438857865711E-2</v>
      </c>
      <c r="AN267" s="55">
        <f t="shared" si="312"/>
        <v>2.5665767165997638E-2</v>
      </c>
      <c r="AO267" s="55">
        <f t="shared" si="312"/>
        <v>2.6292011884847977E-2</v>
      </c>
      <c r="AP267" s="55">
        <f t="shared" si="312"/>
        <v>2.6933536974838263E-2</v>
      </c>
      <c r="AQ267" s="55">
        <f t="shared" si="312"/>
        <v>2.7590715277024315E-2</v>
      </c>
      <c r="AR267" s="55">
        <f t="shared" si="312"/>
        <v>2.826392872978371E-2</v>
      </c>
      <c r="AS267" s="55">
        <f t="shared" si="312"/>
        <v>2.8953568590790426E-2</v>
      </c>
      <c r="AT267" s="55">
        <f t="shared" si="312"/>
        <v>2.9660035664405709E-2</v>
      </c>
      <c r="AU267" s="55">
        <f t="shared" si="312"/>
        <v>3.0383740534617208E-2</v>
      </c>
      <c r="AV267" s="55">
        <f t="shared" si="312"/>
        <v>3.1125103803661867E-2</v>
      </c>
      <c r="AW267" s="55">
        <f t="shared" si="312"/>
        <v>3.1884556336471213E-2</v>
      </c>
      <c r="AX267" s="55">
        <f t="shared" si="312"/>
        <v>3.2662539511081105E-2</v>
      </c>
      <c r="AY267" s="55">
        <f t="shared" si="312"/>
        <v>3.3459505475151481E-2</v>
      </c>
      <c r="AZ267" s="55">
        <f t="shared" si="312"/>
        <v>3.427591740874518E-2</v>
      </c>
      <c r="BA267" s="55">
        <f t="shared" si="312"/>
        <v>3.5112249793518555E-2</v>
      </c>
      <c r="BB267" s="55">
        <f t="shared" si="312"/>
        <v>3.5968988688480405E-2</v>
      </c>
      <c r="BC267" s="55">
        <f t="shared" si="312"/>
        <v>3.6846632012479327E-2</v>
      </c>
      <c r="BD267" s="55">
        <f t="shared" si="312"/>
        <v>3.7745689833583826E-2</v>
      </c>
      <c r="BE267" s="55">
        <f t="shared" si="312"/>
        <v>3.8666684665523261E-2</v>
      </c>
      <c r="BF267" s="55">
        <f t="shared" si="312"/>
        <v>3.9610151771362026E-2</v>
      </c>
      <c r="BG267" s="55">
        <f t="shared" si="312"/>
        <v>4.0576639474583252E-2</v>
      </c>
      <c r="BH267" s="55">
        <f t="shared" si="312"/>
        <v>4.1566709477763093E-2</v>
      </c>
      <c r="BI267" s="55">
        <f t="shared" si="312"/>
        <v>4.2580937189020507E-2</v>
      </c>
      <c r="BJ267" s="55">
        <f t="shared" si="312"/>
        <v>4.3619912056432605E-2</v>
      </c>
    </row>
    <row r="268" spans="1:62" x14ac:dyDescent="0.3">
      <c r="A268" s="53" t="str">
        <f t="shared" si="310"/>
        <v>project 58</v>
      </c>
      <c r="C268" s="55">
        <f t="shared" ref="C268:AH268" si="313">IF(AND(C$127&gt;=$K57,C$127&lt;=$L57),$G57*(1+$H57)^(C$127-$B$5),0)</f>
        <v>0</v>
      </c>
      <c r="D268" s="55">
        <f t="shared" si="313"/>
        <v>0</v>
      </c>
      <c r="E268" s="55">
        <f t="shared" si="313"/>
        <v>0</v>
      </c>
      <c r="F268" s="55">
        <f t="shared" si="313"/>
        <v>0</v>
      </c>
      <c r="G268" s="55">
        <f t="shared" si="313"/>
        <v>0</v>
      </c>
      <c r="H268" s="55">
        <f t="shared" si="313"/>
        <v>0</v>
      </c>
      <c r="I268" s="55">
        <f t="shared" si="313"/>
        <v>0</v>
      </c>
      <c r="J268" s="55">
        <f t="shared" si="313"/>
        <v>0</v>
      </c>
      <c r="K268" s="55">
        <f t="shared" si="313"/>
        <v>0</v>
      </c>
      <c r="L268" s="55">
        <f t="shared" si="313"/>
        <v>0</v>
      </c>
      <c r="M268" s="55">
        <f t="shared" si="313"/>
        <v>0</v>
      </c>
      <c r="N268" s="55">
        <f t="shared" si="313"/>
        <v>0</v>
      </c>
      <c r="O268" s="55">
        <f t="shared" si="313"/>
        <v>0</v>
      </c>
      <c r="P268" s="55">
        <f t="shared" si="313"/>
        <v>0</v>
      </c>
      <c r="Q268" s="55">
        <f t="shared" si="313"/>
        <v>0</v>
      </c>
      <c r="R268" s="55">
        <f t="shared" si="313"/>
        <v>0</v>
      </c>
      <c r="S268" s="55">
        <f t="shared" si="313"/>
        <v>0</v>
      </c>
      <c r="T268" s="55">
        <f t="shared" si="313"/>
        <v>0</v>
      </c>
      <c r="U268" s="55">
        <f t="shared" si="313"/>
        <v>0</v>
      </c>
      <c r="V268" s="55">
        <f t="shared" si="313"/>
        <v>0</v>
      </c>
      <c r="W268" s="55">
        <f t="shared" si="313"/>
        <v>0.30025543964713197</v>
      </c>
      <c r="X268" s="55">
        <f t="shared" si="313"/>
        <v>0.30734146802280427</v>
      </c>
      <c r="Y268" s="55">
        <f t="shared" si="313"/>
        <v>0.31459472666814248</v>
      </c>
      <c r="Z268" s="55">
        <f t="shared" si="313"/>
        <v>0.3220191622175107</v>
      </c>
      <c r="AA268" s="55">
        <f t="shared" si="313"/>
        <v>0.3296188144458439</v>
      </c>
      <c r="AB268" s="55">
        <f t="shared" si="313"/>
        <v>0.33739781846676586</v>
      </c>
      <c r="AC268" s="55">
        <f t="shared" si="313"/>
        <v>0.34536040698258152</v>
      </c>
      <c r="AD268" s="55">
        <f t="shared" si="313"/>
        <v>0.3535109125873705</v>
      </c>
      <c r="AE268" s="55">
        <f t="shared" si="313"/>
        <v>0.36185377012443243</v>
      </c>
      <c r="AF268" s="55">
        <f t="shared" si="313"/>
        <v>0.37039351909936902</v>
      </c>
      <c r="AG268" s="55">
        <f t="shared" si="313"/>
        <v>0.37913480615011408</v>
      </c>
      <c r="AH268" s="55">
        <f t="shared" si="313"/>
        <v>0.38808238757525682</v>
      </c>
      <c r="AI268" s="55">
        <f t="shared" ref="AI268:BJ268" si="314">IF(AND(AI$127&gt;=$K57,AI$127&lt;=$L57),$G57*(1+$H57)^(AI$127-$B$5),0)</f>
        <v>0.39724113192203286</v>
      </c>
      <c r="AJ268" s="55">
        <f t="shared" si="314"/>
        <v>0.40661602263539287</v>
      </c>
      <c r="AK268" s="55">
        <f t="shared" si="314"/>
        <v>0.41621216076958817</v>
      </c>
      <c r="AL268" s="55">
        <f t="shared" si="314"/>
        <v>0.42603476776375043</v>
      </c>
      <c r="AM268" s="55">
        <f t="shared" si="314"/>
        <v>0.43608918828297494</v>
      </c>
      <c r="AN268" s="55">
        <f t="shared" si="314"/>
        <v>0.44638089312645318</v>
      </c>
      <c r="AO268" s="55">
        <f t="shared" si="314"/>
        <v>0.4569154822042375</v>
      </c>
      <c r="AP268" s="55">
        <f t="shared" si="314"/>
        <v>0.46769868758425748</v>
      </c>
      <c r="AQ268" s="55">
        <f t="shared" si="314"/>
        <v>0.47873637661124591</v>
      </c>
      <c r="AR268" s="55">
        <f t="shared" si="314"/>
        <v>0.49003455509927141</v>
      </c>
      <c r="AS268" s="55">
        <f t="shared" si="314"/>
        <v>0.50159937059961424</v>
      </c>
      <c r="AT268" s="55">
        <f t="shared" si="314"/>
        <v>0.51343711574576512</v>
      </c>
      <c r="AU268" s="55">
        <f t="shared" si="314"/>
        <v>0.52555423167736526</v>
      </c>
      <c r="AV268" s="55">
        <f t="shared" si="314"/>
        <v>0.53795731154495097</v>
      </c>
      <c r="AW268" s="55">
        <f t="shared" si="314"/>
        <v>0.55065310409741175</v>
      </c>
      <c r="AX268" s="55">
        <f t="shared" si="314"/>
        <v>0.56364851735411081</v>
      </c>
      <c r="AY268" s="55">
        <f t="shared" si="314"/>
        <v>0.57695062236366779</v>
      </c>
      <c r="AZ268" s="55">
        <f t="shared" si="314"/>
        <v>0.59056665705145039</v>
      </c>
      <c r="BA268" s="55">
        <f t="shared" si="314"/>
        <v>0.60450403015786458</v>
      </c>
      <c r="BB268" s="55">
        <f t="shared" si="314"/>
        <v>0.61877032526959019</v>
      </c>
      <c r="BC268" s="55">
        <f t="shared" si="314"/>
        <v>0.63337330494595256</v>
      </c>
      <c r="BD268" s="55">
        <f t="shared" si="314"/>
        <v>0.64832091494267696</v>
      </c>
      <c r="BE268" s="55">
        <f t="shared" si="314"/>
        <v>0.66362128853532409</v>
      </c>
      <c r="BF268" s="55">
        <f t="shared" si="314"/>
        <v>0.67928275094475798</v>
      </c>
      <c r="BG268" s="55">
        <f t="shared" si="314"/>
        <v>0.6953138238670542</v>
      </c>
      <c r="BH268" s="55">
        <f t="shared" si="314"/>
        <v>0.71172323011031668</v>
      </c>
      <c r="BI268" s="55">
        <f t="shared" si="314"/>
        <v>0.72851989834092012</v>
      </c>
      <c r="BJ268" s="55">
        <f t="shared" si="314"/>
        <v>0.74571296794176589</v>
      </c>
    </row>
    <row r="269" spans="1:62" x14ac:dyDescent="0.3">
      <c r="A269" s="53" t="str">
        <f t="shared" si="310"/>
        <v>project 61</v>
      </c>
      <c r="C269" s="55">
        <f t="shared" ref="C269:AH269" si="315">IF(AND(C$127&gt;=$K58,C$127&lt;=$L58),$G58*(1+$H58)^(C$127-$B$5),0)</f>
        <v>0</v>
      </c>
      <c r="D269" s="55">
        <f t="shared" si="315"/>
        <v>0</v>
      </c>
      <c r="E269" s="55">
        <f t="shared" si="315"/>
        <v>0</v>
      </c>
      <c r="F269" s="55">
        <f t="shared" si="315"/>
        <v>0</v>
      </c>
      <c r="G269" s="55">
        <f t="shared" si="315"/>
        <v>0</v>
      </c>
      <c r="H269" s="55">
        <f t="shared" si="315"/>
        <v>0</v>
      </c>
      <c r="I269" s="55">
        <f t="shared" si="315"/>
        <v>0</v>
      </c>
      <c r="J269" s="55">
        <f t="shared" si="315"/>
        <v>0</v>
      </c>
      <c r="K269" s="55">
        <f t="shared" si="315"/>
        <v>0</v>
      </c>
      <c r="L269" s="55">
        <f t="shared" si="315"/>
        <v>0</v>
      </c>
      <c r="M269" s="55">
        <f t="shared" si="315"/>
        <v>0</v>
      </c>
      <c r="N269" s="55">
        <f t="shared" si="315"/>
        <v>0</v>
      </c>
      <c r="O269" s="55">
        <f t="shared" si="315"/>
        <v>0</v>
      </c>
      <c r="P269" s="55">
        <f t="shared" si="315"/>
        <v>0</v>
      </c>
      <c r="Q269" s="55">
        <f t="shared" si="315"/>
        <v>0</v>
      </c>
      <c r="R269" s="55">
        <f t="shared" si="315"/>
        <v>0</v>
      </c>
      <c r="S269" s="55">
        <f t="shared" si="315"/>
        <v>0</v>
      </c>
      <c r="T269" s="55">
        <f t="shared" si="315"/>
        <v>0</v>
      </c>
      <c r="U269" s="55">
        <f t="shared" si="315"/>
        <v>0</v>
      </c>
      <c r="V269" s="55">
        <f t="shared" si="315"/>
        <v>0</v>
      </c>
      <c r="W269" s="55">
        <f t="shared" si="315"/>
        <v>0.4910539146176422</v>
      </c>
      <c r="X269" s="55">
        <f t="shared" si="315"/>
        <v>0.50121873065022737</v>
      </c>
      <c r="Y269" s="55">
        <f t="shared" si="315"/>
        <v>0.51159395837468691</v>
      </c>
      <c r="Z269" s="55">
        <f t="shared" si="315"/>
        <v>0.52218395331304301</v>
      </c>
      <c r="AA269" s="55">
        <f t="shared" si="315"/>
        <v>0.53299316114662298</v>
      </c>
      <c r="AB269" s="55">
        <f t="shared" si="315"/>
        <v>0.54402611958235803</v>
      </c>
      <c r="AC269" s="55">
        <f t="shared" si="315"/>
        <v>0.55528746025771281</v>
      </c>
      <c r="AD269" s="55">
        <f t="shared" si="315"/>
        <v>0.56678191068504746</v>
      </c>
      <c r="AE269" s="55">
        <f t="shared" si="315"/>
        <v>0.57851429623622785</v>
      </c>
      <c r="AF269" s="55">
        <f t="shared" si="315"/>
        <v>0.59048954216831784</v>
      </c>
      <c r="AG269" s="55">
        <f t="shared" si="315"/>
        <v>0.6027126756912019</v>
      </c>
      <c r="AH269" s="55">
        <f t="shared" si="315"/>
        <v>0.61518882807800979</v>
      </c>
      <c r="AI269" s="55">
        <f t="shared" ref="AI269:BJ269" si="316">IF(AND(AI$127&gt;=$K58,AI$127&lt;=$L58),$G58*(1+$H58)^(AI$127-$B$5),0)</f>
        <v>0.62792323681922446</v>
      </c>
      <c r="AJ269" s="55">
        <f t="shared" si="316"/>
        <v>0.64092124782138238</v>
      </c>
      <c r="AK269" s="55">
        <f t="shared" si="316"/>
        <v>0.65418831765128493</v>
      </c>
      <c r="AL269" s="55">
        <f t="shared" si="316"/>
        <v>0.66773001582666647</v>
      </c>
      <c r="AM269" s="55">
        <f t="shared" si="316"/>
        <v>0.68155202715427843</v>
      </c>
      <c r="AN269" s="55">
        <f t="shared" si="316"/>
        <v>0.69566015411637205</v>
      </c>
      <c r="AO269" s="55">
        <f t="shared" si="316"/>
        <v>0.71006031930658076</v>
      </c>
      <c r="AP269" s="55">
        <f t="shared" si="316"/>
        <v>0.72475856791622706</v>
      </c>
      <c r="AQ269" s="55">
        <f t="shared" si="316"/>
        <v>0.73976107027209281</v>
      </c>
      <c r="AR269" s="55">
        <f t="shared" si="316"/>
        <v>0.75507412442672517</v>
      </c>
      <c r="AS269" s="55">
        <f t="shared" si="316"/>
        <v>0.77070415880235832</v>
      </c>
      <c r="AT269" s="55">
        <f t="shared" si="316"/>
        <v>0.78665773488956725</v>
      </c>
      <c r="AU269" s="55">
        <f t="shared" si="316"/>
        <v>0.80294155000178102</v>
      </c>
      <c r="AV269" s="55">
        <f t="shared" si="316"/>
        <v>0.81956244008681811</v>
      </c>
      <c r="AW269" s="55">
        <f t="shared" si="316"/>
        <v>0.83652738259661497</v>
      </c>
      <c r="AX269" s="55">
        <f t="shared" si="316"/>
        <v>0.85384349941636484</v>
      </c>
      <c r="AY269" s="55">
        <f t="shared" si="316"/>
        <v>0.87151805985428343</v>
      </c>
      <c r="AZ269" s="55">
        <f t="shared" si="316"/>
        <v>0.88955848369326707</v>
      </c>
      <c r="BA269" s="55">
        <f t="shared" si="316"/>
        <v>0.90797234430571772</v>
      </c>
      <c r="BB269" s="55">
        <f t="shared" si="316"/>
        <v>0.92676737183284608</v>
      </c>
      <c r="BC269" s="55">
        <f t="shared" si="316"/>
        <v>0.94595145642978584</v>
      </c>
      <c r="BD269" s="55">
        <f t="shared" si="316"/>
        <v>0.96553265157788248</v>
      </c>
      <c r="BE269" s="55">
        <f t="shared" si="316"/>
        <v>0.98551917746554429</v>
      </c>
      <c r="BF269" s="55">
        <f t="shared" si="316"/>
        <v>1.0059194244390814</v>
      </c>
      <c r="BG269" s="55">
        <f t="shared" si="316"/>
        <v>1.02674195652497</v>
      </c>
      <c r="BH269" s="55">
        <f t="shared" si="316"/>
        <v>1.0479955150250369</v>
      </c>
      <c r="BI269" s="55">
        <f t="shared" si="316"/>
        <v>1.0696890221860551</v>
      </c>
      <c r="BJ269" s="55">
        <f t="shared" si="316"/>
        <v>1.0918315849453064</v>
      </c>
    </row>
    <row r="270" spans="1:62" x14ac:dyDescent="0.3">
      <c r="A270" s="53" t="str">
        <f t="shared" si="310"/>
        <v>project 64</v>
      </c>
      <c r="C270" s="55">
        <f t="shared" ref="C270:AH270" si="317">IF(AND(C$127&gt;=$K59,C$127&lt;=$L59),$G59*(1+$H59)^(C$127-$B$5),0)</f>
        <v>0</v>
      </c>
      <c r="D270" s="55">
        <f t="shared" si="317"/>
        <v>0</v>
      </c>
      <c r="E270" s="55">
        <f t="shared" si="317"/>
        <v>1.3616007259145801</v>
      </c>
      <c r="F270" s="55">
        <f t="shared" si="317"/>
        <v>1.3824332170210734</v>
      </c>
      <c r="G270" s="55">
        <f t="shared" si="317"/>
        <v>1.4035844452414956</v>
      </c>
      <c r="H270" s="55">
        <f t="shared" si="317"/>
        <v>1.4250592872536909</v>
      </c>
      <c r="I270" s="55">
        <f t="shared" si="317"/>
        <v>1.4468626943486722</v>
      </c>
      <c r="J270" s="55">
        <f t="shared" si="317"/>
        <v>1.4689996935722069</v>
      </c>
      <c r="K270" s="55">
        <f t="shared" si="317"/>
        <v>1.4914753888838617</v>
      </c>
      <c r="L270" s="55">
        <f t="shared" si="317"/>
        <v>1.5142949623337851</v>
      </c>
      <c r="M270" s="55">
        <f t="shared" si="317"/>
        <v>1.5374636752574917</v>
      </c>
      <c r="N270" s="55">
        <f t="shared" si="317"/>
        <v>1.5609868694889317</v>
      </c>
      <c r="O270" s="55">
        <f t="shared" si="317"/>
        <v>1.5848699685921124</v>
      </c>
      <c r="P270" s="55">
        <f t="shared" si="317"/>
        <v>1.609118479111572</v>
      </c>
      <c r="Q270" s="55">
        <f t="shared" si="317"/>
        <v>1.633737991841979</v>
      </c>
      <c r="R270" s="55">
        <f t="shared" si="317"/>
        <v>1.6587341831171614</v>
      </c>
      <c r="S270" s="55">
        <f t="shared" si="317"/>
        <v>1.6841128161188537</v>
      </c>
      <c r="T270" s="55">
        <f t="shared" si="317"/>
        <v>1.7098797422054723</v>
      </c>
      <c r="U270" s="55">
        <f t="shared" si="317"/>
        <v>1.7360409022612162</v>
      </c>
      <c r="V270" s="55">
        <f t="shared" si="317"/>
        <v>1.7626023280658132</v>
      </c>
      <c r="W270" s="55">
        <f t="shared" si="317"/>
        <v>1.7895701436852198</v>
      </c>
      <c r="X270" s="55">
        <f t="shared" si="317"/>
        <v>1.8169505668836041</v>
      </c>
      <c r="Y270" s="55">
        <f t="shared" si="317"/>
        <v>1.8447499105569229</v>
      </c>
      <c r="Z270" s="55">
        <f t="shared" si="317"/>
        <v>1.8729745841884442</v>
      </c>
      <c r="AA270" s="55">
        <f t="shared" si="317"/>
        <v>1.9016310953265272</v>
      </c>
      <c r="AB270" s="55">
        <f t="shared" si="317"/>
        <v>1.9307260510850235</v>
      </c>
      <c r="AC270" s="55">
        <f t="shared" si="317"/>
        <v>1.9602661596666242</v>
      </c>
      <c r="AD270" s="55">
        <f t="shared" si="317"/>
        <v>1.9902582319095237</v>
      </c>
      <c r="AE270" s="55">
        <f t="shared" si="317"/>
        <v>2.0207091828577397</v>
      </c>
      <c r="AF270" s="55">
        <f t="shared" si="317"/>
        <v>2.0516260333554635</v>
      </c>
      <c r="AG270" s="55">
        <f t="shared" si="317"/>
        <v>2.083015911665802</v>
      </c>
      <c r="AH270" s="55">
        <f t="shared" si="317"/>
        <v>2.114886055114289</v>
      </c>
      <c r="AI270" s="55">
        <f t="shared" ref="AI270:BJ270" si="318">IF(AND(AI$127&gt;=$K59,AI$127&lt;=$L59),$G59*(1+$H59)^(AI$127-$B$5),0)</f>
        <v>2.1472438117575372</v>
      </c>
      <c r="AJ270" s="55">
        <f t="shared" si="318"/>
        <v>2.1800966420774275</v>
      </c>
      <c r="AK270" s="55">
        <f t="shared" si="318"/>
        <v>2.2134521207012128</v>
      </c>
      <c r="AL270" s="55">
        <f t="shared" si="318"/>
        <v>2.2473179381479413</v>
      </c>
      <c r="AM270" s="55">
        <f t="shared" si="318"/>
        <v>2.2817019026016045</v>
      </c>
      <c r="AN270" s="55">
        <f t="shared" si="318"/>
        <v>2.3166119417114097</v>
      </c>
      <c r="AO270" s="55">
        <f t="shared" si="318"/>
        <v>2.352056104419594</v>
      </c>
      <c r="AP270" s="55">
        <f t="shared" si="318"/>
        <v>2.3880425628172137</v>
      </c>
      <c r="AQ270" s="55">
        <f t="shared" si="318"/>
        <v>2.4245796140283171</v>
      </c>
      <c r="AR270" s="55">
        <f t="shared" si="318"/>
        <v>2.4616756821229511</v>
      </c>
      <c r="AS270" s="55">
        <f t="shared" si="318"/>
        <v>0</v>
      </c>
      <c r="AT270" s="55">
        <f t="shared" si="318"/>
        <v>0</v>
      </c>
      <c r="AU270" s="55">
        <f t="shared" si="318"/>
        <v>0</v>
      </c>
      <c r="AV270" s="55">
        <f t="shared" si="318"/>
        <v>0</v>
      </c>
      <c r="AW270" s="55">
        <f t="shared" si="318"/>
        <v>0</v>
      </c>
      <c r="AX270" s="55">
        <f t="shared" si="318"/>
        <v>0</v>
      </c>
      <c r="AY270" s="55">
        <f t="shared" si="318"/>
        <v>0</v>
      </c>
      <c r="AZ270" s="55">
        <f t="shared" si="318"/>
        <v>0</v>
      </c>
      <c r="BA270" s="55">
        <f t="shared" si="318"/>
        <v>0</v>
      </c>
      <c r="BB270" s="55">
        <f t="shared" si="318"/>
        <v>0</v>
      </c>
      <c r="BC270" s="55">
        <f t="shared" si="318"/>
        <v>0</v>
      </c>
      <c r="BD270" s="55">
        <f t="shared" si="318"/>
        <v>0</v>
      </c>
      <c r="BE270" s="55">
        <f t="shared" si="318"/>
        <v>0</v>
      </c>
      <c r="BF270" s="55">
        <f t="shared" si="318"/>
        <v>0</v>
      </c>
      <c r="BG270" s="55">
        <f t="shared" si="318"/>
        <v>0</v>
      </c>
      <c r="BH270" s="55">
        <f t="shared" si="318"/>
        <v>0</v>
      </c>
      <c r="BI270" s="55">
        <f t="shared" si="318"/>
        <v>0</v>
      </c>
      <c r="BJ270" s="55">
        <f t="shared" si="318"/>
        <v>0</v>
      </c>
    </row>
    <row r="271" spans="1:62" x14ac:dyDescent="0.3">
      <c r="A271" s="53" t="str">
        <f t="shared" si="310"/>
        <v>project 74</v>
      </c>
      <c r="C271" s="55">
        <f t="shared" ref="C271:AH271" si="319">IF(AND(C$127&gt;=$K60,C$127&lt;=$L60),$G60*(1+$H60)^(C$127-$B$5),0)</f>
        <v>0</v>
      </c>
      <c r="D271" s="55">
        <f t="shared" si="319"/>
        <v>0</v>
      </c>
      <c r="E271" s="55">
        <f t="shared" si="319"/>
        <v>0</v>
      </c>
      <c r="F271" s="55">
        <f t="shared" si="319"/>
        <v>0</v>
      </c>
      <c r="G271" s="55">
        <f t="shared" si="319"/>
        <v>0</v>
      </c>
      <c r="H271" s="55">
        <f t="shared" si="319"/>
        <v>0</v>
      </c>
      <c r="I271" s="55">
        <f t="shared" si="319"/>
        <v>0</v>
      </c>
      <c r="J271" s="55">
        <f t="shared" si="319"/>
        <v>0</v>
      </c>
      <c r="K271" s="55">
        <f t="shared" si="319"/>
        <v>0</v>
      </c>
      <c r="L271" s="55">
        <f t="shared" si="319"/>
        <v>0</v>
      </c>
      <c r="M271" s="55">
        <f t="shared" si="319"/>
        <v>0</v>
      </c>
      <c r="N271" s="55">
        <f t="shared" si="319"/>
        <v>0</v>
      </c>
      <c r="O271" s="55">
        <f t="shared" si="319"/>
        <v>0</v>
      </c>
      <c r="P271" s="55">
        <f t="shared" si="319"/>
        <v>0</v>
      </c>
      <c r="Q271" s="55">
        <f t="shared" si="319"/>
        <v>0</v>
      </c>
      <c r="R271" s="55">
        <f t="shared" si="319"/>
        <v>0</v>
      </c>
      <c r="S271" s="55">
        <f t="shared" si="319"/>
        <v>0</v>
      </c>
      <c r="T271" s="55">
        <f t="shared" si="319"/>
        <v>0</v>
      </c>
      <c r="U271" s="55">
        <f t="shared" si="319"/>
        <v>0</v>
      </c>
      <c r="V271" s="55">
        <f t="shared" si="319"/>
        <v>0</v>
      </c>
      <c r="W271" s="55">
        <f t="shared" si="319"/>
        <v>3.137391303418831</v>
      </c>
      <c r="X271" s="55">
        <f t="shared" si="319"/>
        <v>3.2089238251367806</v>
      </c>
      <c r="Y271" s="55">
        <f t="shared" si="319"/>
        <v>3.2820872883498988</v>
      </c>
      <c r="Z271" s="55">
        <f t="shared" si="319"/>
        <v>3.3569188785242763</v>
      </c>
      <c r="AA271" s="55">
        <f t="shared" si="319"/>
        <v>3.4334566289546289</v>
      </c>
      <c r="AB271" s="55">
        <f t="shared" si="319"/>
        <v>3.5117394400947943</v>
      </c>
      <c r="AC271" s="55">
        <f t="shared" si="319"/>
        <v>3.5918070993289546</v>
      </c>
      <c r="AD271" s="55">
        <f t="shared" si="319"/>
        <v>3.6737003011936542</v>
      </c>
      <c r="AE271" s="55">
        <f t="shared" si="319"/>
        <v>3.7574606680608693</v>
      </c>
      <c r="AF271" s="55">
        <f t="shared" si="319"/>
        <v>3.8431307712926568</v>
      </c>
      <c r="AG271" s="55">
        <f t="shared" si="319"/>
        <v>3.9307541528781291</v>
      </c>
      <c r="AH271" s="55">
        <f t="shared" si="319"/>
        <v>4.0203753475637498</v>
      </c>
      <c r="AI271" s="55">
        <f t="shared" ref="AI271:BJ271" si="320">IF(AND(AI$127&gt;=$K60,AI$127&lt;=$L60),$G60*(1+$H60)^(AI$127-$B$5),0)</f>
        <v>4.1120399054882029</v>
      </c>
      <c r="AJ271" s="55">
        <f t="shared" si="320"/>
        <v>4.205794415333334</v>
      </c>
      <c r="AK271" s="55">
        <f t="shared" si="320"/>
        <v>4.3016865280029322</v>
      </c>
      <c r="AL271" s="55">
        <f t="shared" si="320"/>
        <v>4.3997649808413986</v>
      </c>
      <c r="AM271" s="55">
        <f t="shared" si="320"/>
        <v>4.5000796224045825</v>
      </c>
      <c r="AN271" s="55">
        <f t="shared" si="320"/>
        <v>4.6026814377954066</v>
      </c>
      <c r="AO271" s="55">
        <f t="shared" si="320"/>
        <v>4.7076225745771412</v>
      </c>
      <c r="AP271" s="55">
        <f t="shared" si="320"/>
        <v>4.8149563692774997</v>
      </c>
      <c r="AQ271" s="55">
        <f t="shared" si="320"/>
        <v>4.9247373744970258</v>
      </c>
      <c r="AR271" s="55">
        <f t="shared" si="320"/>
        <v>5.0370213866355584</v>
      </c>
      <c r="AS271" s="55">
        <f t="shared" si="320"/>
        <v>5.1518654742508465</v>
      </c>
      <c r="AT271" s="55">
        <f t="shared" si="320"/>
        <v>5.2693280070637663</v>
      </c>
      <c r="AU271" s="55">
        <f t="shared" si="320"/>
        <v>5.3894686856248191</v>
      </c>
      <c r="AV271" s="55">
        <f t="shared" si="320"/>
        <v>5.512348571657065</v>
      </c>
      <c r="AW271" s="55">
        <f t="shared" si="320"/>
        <v>5.6380301190908453</v>
      </c>
      <c r="AX271" s="55">
        <f t="shared" si="320"/>
        <v>5.766577205806116</v>
      </c>
      <c r="AY271" s="55">
        <f t="shared" si="320"/>
        <v>5.8980551660984943</v>
      </c>
      <c r="AZ271" s="55">
        <f t="shared" si="320"/>
        <v>6.0325308238855397</v>
      </c>
      <c r="BA271" s="55">
        <f t="shared" si="320"/>
        <v>6.1700725266701291</v>
      </c>
      <c r="BB271" s="55">
        <f t="shared" si="320"/>
        <v>6.3107501802782071</v>
      </c>
      <c r="BC271" s="55">
        <f t="shared" si="320"/>
        <v>6.4546352843885497</v>
      </c>
      <c r="BD271" s="55">
        <f t="shared" si="320"/>
        <v>6.6018009688726087</v>
      </c>
      <c r="BE271" s="55">
        <f t="shared" si="320"/>
        <v>6.7523220309629028</v>
      </c>
      <c r="BF271" s="55">
        <f t="shared" si="320"/>
        <v>6.9062749732688564</v>
      </c>
      <c r="BG271" s="55">
        <f t="shared" si="320"/>
        <v>7.0637380426593852</v>
      </c>
      <c r="BH271" s="55">
        <f t="shared" si="320"/>
        <v>7.2247912700320178</v>
      </c>
      <c r="BI271" s="55">
        <f t="shared" si="320"/>
        <v>7.389516510988746</v>
      </c>
      <c r="BJ271" s="55">
        <f t="shared" si="320"/>
        <v>7.5579974874392883</v>
      </c>
    </row>
    <row r="272" spans="1:62" x14ac:dyDescent="0.3">
      <c r="A272" s="53" t="str">
        <f t="shared" si="310"/>
        <v>project 75</v>
      </c>
      <c r="C272" s="55">
        <f t="shared" ref="C272:AH272" si="321">IF(AND(C$127&gt;=$K61,C$127&lt;=$L61),$G61*(1+$H61)^(C$127-$B$5),0)</f>
        <v>0</v>
      </c>
      <c r="D272" s="55">
        <f t="shared" si="321"/>
        <v>0</v>
      </c>
      <c r="E272" s="55">
        <f t="shared" si="321"/>
        <v>0</v>
      </c>
      <c r="F272" s="55">
        <f t="shared" si="321"/>
        <v>0</v>
      </c>
      <c r="G272" s="55">
        <f t="shared" si="321"/>
        <v>0</v>
      </c>
      <c r="H272" s="55">
        <f t="shared" si="321"/>
        <v>0</v>
      </c>
      <c r="I272" s="55">
        <f t="shared" si="321"/>
        <v>0</v>
      </c>
      <c r="J272" s="55">
        <f t="shared" si="321"/>
        <v>0</v>
      </c>
      <c r="K272" s="55">
        <f t="shared" si="321"/>
        <v>0</v>
      </c>
      <c r="L272" s="55">
        <f t="shared" si="321"/>
        <v>0</v>
      </c>
      <c r="M272" s="55">
        <f t="shared" si="321"/>
        <v>0</v>
      </c>
      <c r="N272" s="55">
        <f t="shared" si="321"/>
        <v>0</v>
      </c>
      <c r="O272" s="55">
        <f t="shared" si="321"/>
        <v>0</v>
      </c>
      <c r="P272" s="55">
        <f t="shared" si="321"/>
        <v>0</v>
      </c>
      <c r="Q272" s="55">
        <f t="shared" si="321"/>
        <v>0</v>
      </c>
      <c r="R272" s="55">
        <f t="shared" si="321"/>
        <v>0</v>
      </c>
      <c r="S272" s="55">
        <f t="shared" si="321"/>
        <v>0.95468543183460941</v>
      </c>
      <c r="T272" s="55">
        <f t="shared" si="321"/>
        <v>0.96633259410299166</v>
      </c>
      <c r="U272" s="55">
        <f t="shared" si="321"/>
        <v>0.97812185175104815</v>
      </c>
      <c r="V272" s="55">
        <f t="shared" si="321"/>
        <v>0.99005493834241087</v>
      </c>
      <c r="W272" s="55">
        <f t="shared" si="321"/>
        <v>1.0021336085901884</v>
      </c>
      <c r="X272" s="55">
        <f t="shared" si="321"/>
        <v>1.0143596386149887</v>
      </c>
      <c r="Y272" s="55">
        <f t="shared" si="321"/>
        <v>1.0267348262060914</v>
      </c>
      <c r="Z272" s="55">
        <f t="shared" si="321"/>
        <v>1.0392609910858057</v>
      </c>
      <c r="AA272" s="55">
        <f t="shared" si="321"/>
        <v>1.0519399751770526</v>
      </c>
      <c r="AB272" s="55">
        <f t="shared" si="321"/>
        <v>1.0647736428742125</v>
      </c>
      <c r="AC272" s="55">
        <f t="shared" si="321"/>
        <v>1.0777638813172783</v>
      </c>
      <c r="AD272" s="55">
        <f t="shared" si="321"/>
        <v>1.0909126006693488</v>
      </c>
      <c r="AE272" s="55">
        <f t="shared" si="321"/>
        <v>1.1042217343975151</v>
      </c>
      <c r="AF272" s="55">
        <f t="shared" si="321"/>
        <v>1.1176932395571648</v>
      </c>
      <c r="AG272" s="55">
        <f t="shared" si="321"/>
        <v>1.1313290970797623</v>
      </c>
      <c r="AH272" s="55">
        <f t="shared" si="321"/>
        <v>1.1451313120641353</v>
      </c>
      <c r="AI272" s="55">
        <f t="shared" ref="AI272:BJ272" si="322">IF(AND(AI$127&gt;=$K61,AI$127&lt;=$L61),$G61*(1+$H61)^(AI$127-$B$5),0)</f>
        <v>1.1591019140713175</v>
      </c>
      <c r="AJ272" s="55">
        <f t="shared" si="322"/>
        <v>1.1732429574229877</v>
      </c>
      <c r="AK272" s="55">
        <f t="shared" si="322"/>
        <v>1.187556521503548</v>
      </c>
      <c r="AL272" s="55">
        <f t="shared" si="322"/>
        <v>1.2020447110658914</v>
      </c>
      <c r="AM272" s="55">
        <f t="shared" si="322"/>
        <v>1.2167096565408955</v>
      </c>
      <c r="AN272" s="55">
        <f t="shared" si="322"/>
        <v>1.2315535143506944</v>
      </c>
      <c r="AO272" s="55">
        <f t="shared" si="322"/>
        <v>1.2465784672257727</v>
      </c>
      <c r="AP272" s="55">
        <f t="shared" si="322"/>
        <v>1.2617867245259271</v>
      </c>
      <c r="AQ272" s="55">
        <f t="shared" si="322"/>
        <v>1.2771805225651434</v>
      </c>
      <c r="AR272" s="55">
        <f t="shared" si="322"/>
        <v>1.2927621249404382</v>
      </c>
      <c r="AS272" s="55">
        <f t="shared" si="322"/>
        <v>1.3085338228647116</v>
      </c>
      <c r="AT272" s="55">
        <f t="shared" si="322"/>
        <v>1.324497935503661</v>
      </c>
      <c r="AU272" s="55">
        <f t="shared" si="322"/>
        <v>1.3406568103168059</v>
      </c>
      <c r="AV272" s="55">
        <f t="shared" si="322"/>
        <v>1.3570128234026708</v>
      </c>
      <c r="AW272" s="55">
        <f t="shared" si="322"/>
        <v>1.3735683798481835</v>
      </c>
      <c r="AX272" s="55">
        <f t="shared" si="322"/>
        <v>1.3903259140823314</v>
      </c>
      <c r="AY272" s="55">
        <f t="shared" si="322"/>
        <v>1.4072878902341355</v>
      </c>
      <c r="AZ272" s="55">
        <f t="shared" si="322"/>
        <v>1.4244568024949922</v>
      </c>
      <c r="BA272" s="55">
        <f t="shared" si="322"/>
        <v>1.4418351754854311</v>
      </c>
      <c r="BB272" s="55">
        <f t="shared" si="322"/>
        <v>1.4594255646263532</v>
      </c>
      <c r="BC272" s="55">
        <f t="shared" si="322"/>
        <v>1.4772305565147947</v>
      </c>
      <c r="BD272" s="55">
        <f t="shared" si="322"/>
        <v>1.4952527693042752</v>
      </c>
      <c r="BE272" s="55">
        <f t="shared" si="322"/>
        <v>1.5134948530897874</v>
      </c>
      <c r="BF272" s="55">
        <f t="shared" si="322"/>
        <v>1.5319594902974829</v>
      </c>
      <c r="BG272" s="55">
        <f t="shared" si="322"/>
        <v>0</v>
      </c>
      <c r="BH272" s="55">
        <f t="shared" si="322"/>
        <v>0</v>
      </c>
      <c r="BI272" s="55">
        <f t="shared" si="322"/>
        <v>0</v>
      </c>
      <c r="BJ272" s="55">
        <f t="shared" si="322"/>
        <v>0</v>
      </c>
    </row>
    <row r="273" spans="1:62" x14ac:dyDescent="0.3">
      <c r="A273" s="53" t="str">
        <f t="shared" si="310"/>
        <v>project 77</v>
      </c>
      <c r="C273" s="55">
        <f t="shared" ref="C273:AH273" si="323">IF(AND(C$127&gt;=$K62,C$127&lt;=$L62),$G62*(1+$H62)^(C$127-$B$5),0)</f>
        <v>0</v>
      </c>
      <c r="D273" s="55">
        <f t="shared" si="323"/>
        <v>0</v>
      </c>
      <c r="E273" s="55">
        <f t="shared" si="323"/>
        <v>0</v>
      </c>
      <c r="F273" s="55">
        <f t="shared" si="323"/>
        <v>0</v>
      </c>
      <c r="G273" s="55">
        <f t="shared" si="323"/>
        <v>0</v>
      </c>
      <c r="H273" s="55">
        <f t="shared" si="323"/>
        <v>0</v>
      </c>
      <c r="I273" s="55">
        <f t="shared" si="323"/>
        <v>0</v>
      </c>
      <c r="J273" s="55">
        <f t="shared" si="323"/>
        <v>0</v>
      </c>
      <c r="K273" s="55">
        <f t="shared" si="323"/>
        <v>0</v>
      </c>
      <c r="L273" s="55">
        <f t="shared" si="323"/>
        <v>0</v>
      </c>
      <c r="M273" s="55">
        <f t="shared" si="323"/>
        <v>0</v>
      </c>
      <c r="N273" s="55">
        <f t="shared" si="323"/>
        <v>0</v>
      </c>
      <c r="O273" s="55">
        <f t="shared" si="323"/>
        <v>0</v>
      </c>
      <c r="P273" s="55">
        <f t="shared" si="323"/>
        <v>0</v>
      </c>
      <c r="Q273" s="55">
        <f t="shared" si="323"/>
        <v>0</v>
      </c>
      <c r="R273" s="55">
        <f t="shared" si="323"/>
        <v>0</v>
      </c>
      <c r="S273" s="55">
        <f t="shared" si="323"/>
        <v>0</v>
      </c>
      <c r="T273" s="55">
        <f t="shared" si="323"/>
        <v>0</v>
      </c>
      <c r="U273" s="55">
        <f t="shared" si="323"/>
        <v>0</v>
      </c>
      <c r="V273" s="55">
        <f t="shared" si="323"/>
        <v>0</v>
      </c>
      <c r="W273" s="55">
        <f t="shared" si="323"/>
        <v>6.2967562764597758E-3</v>
      </c>
      <c r="X273" s="55">
        <f t="shared" si="323"/>
        <v>6.4145056188295736E-3</v>
      </c>
      <c r="Y273" s="55">
        <f t="shared" si="323"/>
        <v>6.5344568739016846E-3</v>
      </c>
      <c r="Z273" s="55">
        <f t="shared" si="323"/>
        <v>6.656651217443646E-3</v>
      </c>
      <c r="AA273" s="55">
        <f t="shared" si="323"/>
        <v>6.781130595209843E-3</v>
      </c>
      <c r="AB273" s="55">
        <f t="shared" si="323"/>
        <v>6.9079377373402655E-3</v>
      </c>
      <c r="AC273" s="55">
        <f t="shared" si="323"/>
        <v>7.0371161730285294E-3</v>
      </c>
      <c r="AD273" s="55">
        <f t="shared" si="323"/>
        <v>7.1687102454641603E-3</v>
      </c>
      <c r="AE273" s="55">
        <f t="shared" si="323"/>
        <v>7.3027651270543403E-3</v>
      </c>
      <c r="AF273" s="55">
        <f t="shared" si="323"/>
        <v>7.4393268349302556E-3</v>
      </c>
      <c r="AG273" s="55">
        <f t="shared" si="323"/>
        <v>7.5784422467434507E-3</v>
      </c>
      <c r="AH273" s="55">
        <f t="shared" si="323"/>
        <v>7.7201591167575532E-3</v>
      </c>
      <c r="AI273" s="55">
        <f t="shared" ref="AI273:BJ273" si="324">IF(AND(AI$127&gt;=$K62,AI$127&lt;=$L62),$G62*(1+$H62)^(AI$127-$B$5),0)</f>
        <v>7.8645260922409199E-3</v>
      </c>
      <c r="AJ273" s="55">
        <f t="shared" si="324"/>
        <v>8.011592730165825E-3</v>
      </c>
      <c r="AK273" s="55">
        <f t="shared" si="324"/>
        <v>8.161409514219925E-3</v>
      </c>
      <c r="AL273" s="55">
        <f t="shared" si="324"/>
        <v>8.3140278721358356E-3</v>
      </c>
      <c r="AM273" s="55">
        <f t="shared" si="324"/>
        <v>8.4695001933447756E-3</v>
      </c>
      <c r="AN273" s="55">
        <f t="shared" si="324"/>
        <v>8.6278798469603211E-3</v>
      </c>
      <c r="AO273" s="55">
        <f t="shared" si="324"/>
        <v>8.7892212000984793E-3</v>
      </c>
      <c r="AP273" s="55">
        <f t="shared" si="324"/>
        <v>8.9535796365403184E-3</v>
      </c>
      <c r="AQ273" s="55">
        <f t="shared" si="324"/>
        <v>9.1210115757436247E-3</v>
      </c>
      <c r="AR273" s="55">
        <f t="shared" si="324"/>
        <v>9.2915744922100283E-3</v>
      </c>
      <c r="AS273" s="55">
        <f t="shared" si="324"/>
        <v>9.4653269352143552E-3</v>
      </c>
      <c r="AT273" s="55">
        <f t="shared" si="324"/>
        <v>9.6423285489028628E-3</v>
      </c>
      <c r="AU273" s="55">
        <f t="shared" si="324"/>
        <v>9.8226400927673464E-3</v>
      </c>
      <c r="AV273" s="55">
        <f t="shared" si="324"/>
        <v>1.0006323462502093E-2</v>
      </c>
      <c r="AW273" s="55">
        <f t="shared" si="324"/>
        <v>1.0193441711250882E-2</v>
      </c>
      <c r="AX273" s="55">
        <f t="shared" si="324"/>
        <v>1.0384059071251273E-2</v>
      </c>
      <c r="AY273" s="55">
        <f t="shared" si="324"/>
        <v>1.0578240975883673E-2</v>
      </c>
      <c r="AZ273" s="55">
        <f t="shared" si="324"/>
        <v>1.0776054082132695E-2</v>
      </c>
      <c r="BA273" s="55">
        <f t="shared" si="324"/>
        <v>1.0977566293468577E-2</v>
      </c>
      <c r="BB273" s="55">
        <f t="shared" si="324"/>
        <v>1.1182846783156437E-2</v>
      </c>
      <c r="BC273" s="55">
        <f t="shared" si="324"/>
        <v>1.1391966018001463E-2</v>
      </c>
      <c r="BD273" s="55">
        <f t="shared" si="324"/>
        <v>1.1604995782538092E-2</v>
      </c>
      <c r="BE273" s="55">
        <f t="shared" si="324"/>
        <v>1.182200920367155E-2</v>
      </c>
      <c r="BF273" s="55">
        <f t="shared" si="324"/>
        <v>1.2043080775780207E-2</v>
      </c>
      <c r="BG273" s="55">
        <f t="shared" si="324"/>
        <v>1.2268286386287297E-2</v>
      </c>
      <c r="BH273" s="55">
        <f t="shared" si="324"/>
        <v>1.2497703341710869E-2</v>
      </c>
      <c r="BI273" s="55">
        <f t="shared" si="324"/>
        <v>1.2731410394200861E-2</v>
      </c>
      <c r="BJ273" s="55">
        <f t="shared" si="324"/>
        <v>1.2969487768572416E-2</v>
      </c>
    </row>
    <row r="274" spans="1:62" x14ac:dyDescent="0.3">
      <c r="A274" s="53" t="str">
        <f t="shared" si="310"/>
        <v>project 78</v>
      </c>
      <c r="C274" s="55">
        <f t="shared" ref="C274:AH274" si="325">IF(AND(C$127&gt;=$K63,C$127&lt;=$L63),$G63*(1+$H63)^(C$127-$B$5),0)</f>
        <v>0</v>
      </c>
      <c r="D274" s="55">
        <f t="shared" si="325"/>
        <v>0</v>
      </c>
      <c r="E274" s="55">
        <f t="shared" si="325"/>
        <v>0</v>
      </c>
      <c r="F274" s="55">
        <f t="shared" si="325"/>
        <v>0</v>
      </c>
      <c r="G274" s="55">
        <f t="shared" si="325"/>
        <v>0</v>
      </c>
      <c r="H274" s="55">
        <f t="shared" si="325"/>
        <v>0</v>
      </c>
      <c r="I274" s="55">
        <f t="shared" si="325"/>
        <v>0</v>
      </c>
      <c r="J274" s="55">
        <f t="shared" si="325"/>
        <v>0</v>
      </c>
      <c r="K274" s="55">
        <f t="shared" si="325"/>
        <v>0</v>
      </c>
      <c r="L274" s="55">
        <f t="shared" si="325"/>
        <v>0</v>
      </c>
      <c r="M274" s="55">
        <f t="shared" si="325"/>
        <v>0</v>
      </c>
      <c r="N274" s="55">
        <f t="shared" si="325"/>
        <v>0</v>
      </c>
      <c r="O274" s="55">
        <f t="shared" si="325"/>
        <v>0</v>
      </c>
      <c r="P274" s="55">
        <f t="shared" si="325"/>
        <v>0</v>
      </c>
      <c r="Q274" s="55">
        <f t="shared" si="325"/>
        <v>0</v>
      </c>
      <c r="R274" s="55">
        <f t="shared" si="325"/>
        <v>0</v>
      </c>
      <c r="S274" s="55">
        <f t="shared" si="325"/>
        <v>0</v>
      </c>
      <c r="T274" s="55">
        <f t="shared" si="325"/>
        <v>0</v>
      </c>
      <c r="U274" s="55">
        <f t="shared" si="325"/>
        <v>0</v>
      </c>
      <c r="V274" s="55">
        <f t="shared" si="325"/>
        <v>0</v>
      </c>
      <c r="W274" s="55">
        <f t="shared" si="325"/>
        <v>8.0454428797586761</v>
      </c>
      <c r="X274" s="55">
        <f t="shared" si="325"/>
        <v>8.1991108387620653</v>
      </c>
      <c r="Y274" s="55">
        <f t="shared" si="325"/>
        <v>8.3557138557824207</v>
      </c>
      <c r="Z274" s="55">
        <f t="shared" si="325"/>
        <v>8.5153079904278624</v>
      </c>
      <c r="AA274" s="55">
        <f t="shared" si="325"/>
        <v>8.6779503730450358</v>
      </c>
      <c r="AB274" s="55">
        <f t="shared" si="325"/>
        <v>8.8436992251701945</v>
      </c>
      <c r="AC274" s="55">
        <f t="shared" si="325"/>
        <v>9.0126138803709441</v>
      </c>
      <c r="AD274" s="55">
        <f t="shared" si="325"/>
        <v>9.184754805486028</v>
      </c>
      <c r="AE274" s="55">
        <f t="shared" si="325"/>
        <v>9.3601836222708101</v>
      </c>
      <c r="AF274" s="55">
        <f t="shared" si="325"/>
        <v>9.5389631294561799</v>
      </c>
      <c r="AG274" s="55">
        <f t="shared" si="325"/>
        <v>9.7211573252287931</v>
      </c>
      <c r="AH274" s="55">
        <f t="shared" si="325"/>
        <v>9.9068314301406613</v>
      </c>
      <c r="AI274" s="55">
        <f t="shared" ref="AI274:BJ274" si="326">IF(AND(AI$127&gt;=$K63,AI$127&lt;=$L63),$G63*(1+$H63)^(AI$127-$B$5),0)</f>
        <v>10.096051910456348</v>
      </c>
      <c r="AJ274" s="55">
        <f t="shared" si="326"/>
        <v>10.288886501946061</v>
      </c>
      <c r="AK274" s="55">
        <f t="shared" si="326"/>
        <v>10.485404234133231</v>
      </c>
      <c r="AL274" s="55">
        <f t="shared" si="326"/>
        <v>10.685675455005173</v>
      </c>
      <c r="AM274" s="55">
        <f t="shared" si="326"/>
        <v>10.889771856195772</v>
      </c>
      <c r="AN274" s="55">
        <f t="shared" si="326"/>
        <v>11.097766498649108</v>
      </c>
      <c r="AO274" s="55">
        <f t="shared" si="326"/>
        <v>11.309733838773305</v>
      </c>
      <c r="AP274" s="55">
        <f t="shared" si="326"/>
        <v>11.525749755093875</v>
      </c>
      <c r="AQ274" s="55">
        <f t="shared" si="326"/>
        <v>11.745891575416167</v>
      </c>
      <c r="AR274" s="55">
        <f t="shared" si="326"/>
        <v>11.970238104506615</v>
      </c>
      <c r="AS274" s="55">
        <f t="shared" si="326"/>
        <v>12.198869652302688</v>
      </c>
      <c r="AT274" s="55">
        <f t="shared" si="326"/>
        <v>12.431868062661671</v>
      </c>
      <c r="AU274" s="55">
        <f t="shared" si="326"/>
        <v>12.669316742658507</v>
      </c>
      <c r="AV274" s="55">
        <f t="shared" si="326"/>
        <v>12.911300692443278</v>
      </c>
      <c r="AW274" s="55">
        <f t="shared" si="326"/>
        <v>13.157906535668946</v>
      </c>
      <c r="AX274" s="55">
        <f t="shared" si="326"/>
        <v>13.409222550500223</v>
      </c>
      <c r="AY274" s="55">
        <f t="shared" si="326"/>
        <v>13.665338701214774</v>
      </c>
      <c r="AZ274" s="55">
        <f t="shared" si="326"/>
        <v>13.926346670407975</v>
      </c>
      <c r="BA274" s="55">
        <f t="shared" si="326"/>
        <v>14.192339891812766</v>
      </c>
      <c r="BB274" s="55">
        <f t="shared" si="326"/>
        <v>14.463413583746389</v>
      </c>
      <c r="BC274" s="55">
        <f t="shared" si="326"/>
        <v>14.739664783195941</v>
      </c>
      <c r="BD274" s="55">
        <f t="shared" si="326"/>
        <v>15.021192380554982</v>
      </c>
      <c r="BE274" s="55">
        <f t="shared" si="326"/>
        <v>15.308097155023582</v>
      </c>
      <c r="BF274" s="55">
        <f t="shared" si="326"/>
        <v>15.600481810684528</v>
      </c>
      <c r="BG274" s="55">
        <f t="shared" si="326"/>
        <v>15.898451013268604</v>
      </c>
      <c r="BH274" s="55">
        <f t="shared" si="326"/>
        <v>16.202111427622032</v>
      </c>
      <c r="BI274" s="55">
        <f t="shared" si="326"/>
        <v>16.511571755889609</v>
      </c>
      <c r="BJ274" s="55">
        <f t="shared" si="326"/>
        <v>16.826942776427099</v>
      </c>
    </row>
    <row r="275" spans="1:62" x14ac:dyDescent="0.3">
      <c r="A275" s="53" t="str">
        <f t="shared" si="310"/>
        <v>project 84</v>
      </c>
      <c r="C275" s="55">
        <f t="shared" ref="C275:AH275" si="327">IF(AND(C$127&gt;=$K64,C$127&lt;=$L64),$G64*(1+$H64)^(C$127-$B$5),0)</f>
        <v>0</v>
      </c>
      <c r="D275" s="55">
        <f t="shared" si="327"/>
        <v>0</v>
      </c>
      <c r="E275" s="55">
        <f t="shared" si="327"/>
        <v>0</v>
      </c>
      <c r="F275" s="55">
        <f t="shared" si="327"/>
        <v>0</v>
      </c>
      <c r="G275" s="55">
        <f t="shared" si="327"/>
        <v>0</v>
      </c>
      <c r="H275" s="55">
        <f t="shared" si="327"/>
        <v>0</v>
      </c>
      <c r="I275" s="55">
        <f t="shared" si="327"/>
        <v>0</v>
      </c>
      <c r="J275" s="55">
        <f t="shared" si="327"/>
        <v>0</v>
      </c>
      <c r="K275" s="55">
        <f t="shared" si="327"/>
        <v>0</v>
      </c>
      <c r="L275" s="55">
        <f t="shared" si="327"/>
        <v>0</v>
      </c>
      <c r="M275" s="55">
        <f t="shared" si="327"/>
        <v>0</v>
      </c>
      <c r="N275" s="55">
        <f t="shared" si="327"/>
        <v>0</v>
      </c>
      <c r="O275" s="55">
        <f t="shared" si="327"/>
        <v>0</v>
      </c>
      <c r="P275" s="55">
        <f t="shared" si="327"/>
        <v>0</v>
      </c>
      <c r="Q275" s="55">
        <f t="shared" si="327"/>
        <v>0</v>
      </c>
      <c r="R275" s="55">
        <f t="shared" si="327"/>
        <v>0</v>
      </c>
      <c r="S275" s="55">
        <f t="shared" si="327"/>
        <v>0</v>
      </c>
      <c r="T275" s="55">
        <f t="shared" si="327"/>
        <v>0</v>
      </c>
      <c r="U275" s="55">
        <f t="shared" si="327"/>
        <v>0</v>
      </c>
      <c r="V275" s="55">
        <f t="shared" si="327"/>
        <v>0</v>
      </c>
      <c r="W275" s="55">
        <f t="shared" si="327"/>
        <v>0.13879919511327607</v>
      </c>
      <c r="X275" s="55">
        <f t="shared" si="327"/>
        <v>0.14283825169107239</v>
      </c>
      <c r="Y275" s="55">
        <f t="shared" si="327"/>
        <v>0.1469948448152826</v>
      </c>
      <c r="Z275" s="55">
        <f t="shared" si="327"/>
        <v>0.15127239479940729</v>
      </c>
      <c r="AA275" s="55">
        <f t="shared" si="327"/>
        <v>0.15567442148807006</v>
      </c>
      <c r="AB275" s="55">
        <f t="shared" si="327"/>
        <v>0.1602045471533729</v>
      </c>
      <c r="AC275" s="55">
        <f t="shared" si="327"/>
        <v>0.16486649947553605</v>
      </c>
      <c r="AD275" s="55">
        <f t="shared" si="327"/>
        <v>0.16966411461027409</v>
      </c>
      <c r="AE275" s="55">
        <f t="shared" si="327"/>
        <v>0.17460134034543309</v>
      </c>
      <c r="AF275" s="55">
        <f t="shared" si="327"/>
        <v>0.17968223934948516</v>
      </c>
      <c r="AG275" s="55">
        <f t="shared" si="327"/>
        <v>0.1849109925145552</v>
      </c>
      <c r="AH275" s="55">
        <f t="shared" si="327"/>
        <v>0.19029190239672875</v>
      </c>
      <c r="AI275" s="55">
        <f t="shared" ref="AI275:BJ275" si="328">IF(AND(AI$127&gt;=$K64,AI$127&lt;=$L64),$G64*(1+$H64)^(AI$127-$B$5),0)</f>
        <v>0.19582939675647351</v>
      </c>
      <c r="AJ275" s="55">
        <f t="shared" si="328"/>
        <v>0.20152803220208687</v>
      </c>
      <c r="AK275" s="55">
        <f t="shared" si="328"/>
        <v>0.20739249793916759</v>
      </c>
      <c r="AL275" s="55">
        <f t="shared" si="328"/>
        <v>0.21342761962919732</v>
      </c>
      <c r="AM275" s="55">
        <f t="shared" si="328"/>
        <v>0.21963836336040701</v>
      </c>
      <c r="AN275" s="55">
        <f t="shared" si="328"/>
        <v>0.22602983973419483</v>
      </c>
      <c r="AO275" s="55">
        <f t="shared" si="328"/>
        <v>0.23260730807045987</v>
      </c>
      <c r="AP275" s="55">
        <f t="shared" si="328"/>
        <v>0.23937618073531022</v>
      </c>
      <c r="AQ275" s="55">
        <f t="shared" si="328"/>
        <v>0.24634202759470775</v>
      </c>
      <c r="AR275" s="55">
        <f t="shared" si="328"/>
        <v>0.25351058059771375</v>
      </c>
      <c r="AS275" s="55">
        <f t="shared" si="328"/>
        <v>0.2608877384931072</v>
      </c>
      <c r="AT275" s="55">
        <f t="shared" si="328"/>
        <v>0.26847957168325653</v>
      </c>
      <c r="AU275" s="55">
        <f t="shared" si="328"/>
        <v>0.27629232721923935</v>
      </c>
      <c r="AV275" s="55">
        <f t="shared" si="328"/>
        <v>0.28433243394131918</v>
      </c>
      <c r="AW275" s="55">
        <f t="shared" si="328"/>
        <v>0.29260650776901154</v>
      </c>
      <c r="AX275" s="55">
        <f t="shared" si="328"/>
        <v>0.30112135714508975</v>
      </c>
      <c r="AY275" s="55">
        <f t="shared" si="328"/>
        <v>0.30988398863801186</v>
      </c>
      <c r="AZ275" s="55">
        <f t="shared" si="328"/>
        <v>0.31890161270737799</v>
      </c>
      <c r="BA275" s="55">
        <f t="shared" si="328"/>
        <v>0.32818164963716268</v>
      </c>
      <c r="BB275" s="55">
        <f t="shared" si="328"/>
        <v>0.33773173564160403</v>
      </c>
      <c r="BC275" s="55">
        <f t="shared" si="328"/>
        <v>0.34755972914877475</v>
      </c>
      <c r="BD275" s="55">
        <f t="shared" si="328"/>
        <v>0.35767371726700409</v>
      </c>
      <c r="BE275" s="55">
        <f t="shared" si="328"/>
        <v>0.36808202243947385</v>
      </c>
      <c r="BF275" s="55">
        <f t="shared" si="328"/>
        <v>0.37879320929246252</v>
      </c>
      <c r="BG275" s="55">
        <f t="shared" si="328"/>
        <v>0.38981609168287312</v>
      </c>
      <c r="BH275" s="55">
        <f t="shared" si="328"/>
        <v>0.40115973995084481</v>
      </c>
      <c r="BI275" s="55">
        <f t="shared" si="328"/>
        <v>0.41283348838341438</v>
      </c>
      <c r="BJ275" s="55">
        <f t="shared" si="328"/>
        <v>0.42484694289537156</v>
      </c>
    </row>
    <row r="276" spans="1:62" x14ac:dyDescent="0.3">
      <c r="A276" s="53" t="str">
        <f t="shared" si="310"/>
        <v>project 87</v>
      </c>
      <c r="C276" s="55">
        <f t="shared" ref="C276:AH276" si="329">IF(AND(C$127&gt;=$K65,C$127&lt;=$L65),$G65*(1+$H65)^(C$127-$B$5),0)</f>
        <v>0</v>
      </c>
      <c r="D276" s="55">
        <f t="shared" si="329"/>
        <v>0</v>
      </c>
      <c r="E276" s="55">
        <f t="shared" si="329"/>
        <v>0</v>
      </c>
      <c r="F276" s="55">
        <f t="shared" si="329"/>
        <v>0</v>
      </c>
      <c r="G276" s="55">
        <f t="shared" si="329"/>
        <v>0</v>
      </c>
      <c r="H276" s="55">
        <f t="shared" si="329"/>
        <v>0</v>
      </c>
      <c r="I276" s="55">
        <f t="shared" si="329"/>
        <v>0</v>
      </c>
      <c r="J276" s="55">
        <f t="shared" si="329"/>
        <v>0</v>
      </c>
      <c r="K276" s="55">
        <f t="shared" si="329"/>
        <v>0</v>
      </c>
      <c r="L276" s="55">
        <f t="shared" si="329"/>
        <v>0</v>
      </c>
      <c r="M276" s="55">
        <f t="shared" si="329"/>
        <v>0</v>
      </c>
      <c r="N276" s="55">
        <f t="shared" si="329"/>
        <v>0</v>
      </c>
      <c r="O276" s="55">
        <f t="shared" si="329"/>
        <v>0</v>
      </c>
      <c r="P276" s="55">
        <f t="shared" si="329"/>
        <v>0</v>
      </c>
      <c r="Q276" s="55">
        <f t="shared" si="329"/>
        <v>0</v>
      </c>
      <c r="R276" s="55">
        <f t="shared" si="329"/>
        <v>0</v>
      </c>
      <c r="S276" s="55">
        <f t="shared" si="329"/>
        <v>0</v>
      </c>
      <c r="T276" s="55">
        <f t="shared" si="329"/>
        <v>0</v>
      </c>
      <c r="U276" s="55">
        <f t="shared" si="329"/>
        <v>0</v>
      </c>
      <c r="V276" s="55">
        <f t="shared" si="329"/>
        <v>0</v>
      </c>
      <c r="W276" s="55">
        <f t="shared" si="329"/>
        <v>4.8754462546117594</v>
      </c>
      <c r="X276" s="55">
        <f t="shared" si="329"/>
        <v>5.0095210266135837</v>
      </c>
      <c r="Y276" s="55">
        <f t="shared" si="329"/>
        <v>5.1472828548454572</v>
      </c>
      <c r="Z276" s="55">
        <f t="shared" si="329"/>
        <v>5.2888331333537071</v>
      </c>
      <c r="AA276" s="55">
        <f t="shared" si="329"/>
        <v>5.4342760445209342</v>
      </c>
      <c r="AB276" s="55">
        <f t="shared" si="329"/>
        <v>5.5837186357452611</v>
      </c>
      <c r="AC276" s="55">
        <f t="shared" si="329"/>
        <v>5.7372708982282559</v>
      </c>
      <c r="AD276" s="55">
        <f t="shared" si="329"/>
        <v>5.8950458479295333</v>
      </c>
      <c r="AE276" s="55">
        <f t="shared" si="329"/>
        <v>6.057159608747595</v>
      </c>
      <c r="AF276" s="55">
        <f t="shared" si="329"/>
        <v>6.2237314979881555</v>
      </c>
      <c r="AG276" s="55">
        <f t="shared" si="329"/>
        <v>6.3948841141828296</v>
      </c>
      <c r="AH276" s="55">
        <f t="shared" si="329"/>
        <v>6.5707434273228573</v>
      </c>
      <c r="AI276" s="55">
        <f t="shared" ref="AI276:BJ276" si="330">IF(AND(AI$127&gt;=$K65,AI$127&lt;=$L65),$G65*(1+$H65)^(AI$127-$B$5),0)</f>
        <v>6.7514388715742362</v>
      </c>
      <c r="AJ276" s="55">
        <f t="shared" si="330"/>
        <v>6.9371034405425283</v>
      </c>
      <c r="AK276" s="55">
        <f t="shared" si="330"/>
        <v>7.1278737851574476</v>
      </c>
      <c r="AL276" s="55">
        <f t="shared" si="330"/>
        <v>7.3238903142492786</v>
      </c>
      <c r="AM276" s="55">
        <f t="shared" si="330"/>
        <v>7.5252972978911341</v>
      </c>
      <c r="AN276" s="55">
        <f t="shared" si="330"/>
        <v>7.7322429735831415</v>
      </c>
      <c r="AO276" s="55">
        <f t="shared" si="330"/>
        <v>7.9448796553566767</v>
      </c>
      <c r="AP276" s="55">
        <f t="shared" si="330"/>
        <v>8.163363845878985</v>
      </c>
      <c r="AQ276" s="55">
        <f t="shared" si="330"/>
        <v>8.387856351640659</v>
      </c>
      <c r="AR276" s="55">
        <f t="shared" si="330"/>
        <v>8.6185224013107771</v>
      </c>
      <c r="AS276" s="55">
        <f t="shared" si="330"/>
        <v>8.8555317673468235</v>
      </c>
      <c r="AT276" s="55">
        <f t="shared" si="330"/>
        <v>9.0990588909488608</v>
      </c>
      <c r="AU276" s="55">
        <f t="shared" si="330"/>
        <v>9.3492830104499554</v>
      </c>
      <c r="AV276" s="55">
        <f t="shared" si="330"/>
        <v>9.6063882932373321</v>
      </c>
      <c r="AW276" s="55">
        <f t="shared" si="330"/>
        <v>9.8705639713013582</v>
      </c>
      <c r="AX276" s="55">
        <f t="shared" si="330"/>
        <v>10.142004480512144</v>
      </c>
      <c r="AY276" s="55">
        <f t="shared" si="330"/>
        <v>10.420909603726228</v>
      </c>
      <c r="AZ276" s="55">
        <f t="shared" si="330"/>
        <v>10.707484617828701</v>
      </c>
      <c r="BA276" s="55">
        <f t="shared" si="330"/>
        <v>11.001940444818992</v>
      </c>
      <c r="BB276" s="55">
        <f t="shared" si="330"/>
        <v>11.304493807051513</v>
      </c>
      <c r="BC276" s="55">
        <f t="shared" si="330"/>
        <v>11.615367386745429</v>
      </c>
      <c r="BD276" s="55">
        <f t="shared" si="330"/>
        <v>11.934789989880931</v>
      </c>
      <c r="BE276" s="55">
        <f t="shared" si="330"/>
        <v>12.262996714602657</v>
      </c>
      <c r="BF276" s="55">
        <f t="shared" si="330"/>
        <v>12.600229124254231</v>
      </c>
      <c r="BG276" s="55">
        <f t="shared" si="330"/>
        <v>12.946735425171221</v>
      </c>
      <c r="BH276" s="55">
        <f t="shared" si="330"/>
        <v>13.302770649363433</v>
      </c>
      <c r="BI276" s="55">
        <f t="shared" si="330"/>
        <v>13.668596842220929</v>
      </c>
      <c r="BJ276" s="55">
        <f t="shared" si="330"/>
        <v>14.044483255382003</v>
      </c>
    </row>
    <row r="277" spans="1:62" x14ac:dyDescent="0.3">
      <c r="A277" s="53" t="str">
        <f t="shared" si="310"/>
        <v>project 90</v>
      </c>
      <c r="C277" s="55">
        <f t="shared" ref="C277:AH277" si="331">IF(AND(C$127&gt;=$K66,C$127&lt;=$L66),$G66*(1+$H66)^(C$127-$B$5),0)</f>
        <v>0</v>
      </c>
      <c r="D277" s="55">
        <f t="shared" si="331"/>
        <v>0</v>
      </c>
      <c r="E277" s="55">
        <f t="shared" si="331"/>
        <v>0</v>
      </c>
      <c r="F277" s="55">
        <f t="shared" si="331"/>
        <v>1.2428858927479831</v>
      </c>
      <c r="G277" s="55">
        <f t="shared" si="331"/>
        <v>1.2619020469070272</v>
      </c>
      <c r="H277" s="55">
        <f t="shared" si="331"/>
        <v>1.281209148224705</v>
      </c>
      <c r="I277" s="55">
        <f t="shared" si="331"/>
        <v>1.3008116481925429</v>
      </c>
      <c r="J277" s="55">
        <f t="shared" si="331"/>
        <v>1.3207140664098889</v>
      </c>
      <c r="K277" s="55">
        <f t="shared" si="331"/>
        <v>1.3409209916259601</v>
      </c>
      <c r="L277" s="55">
        <f t="shared" si="331"/>
        <v>1.3614370827978375</v>
      </c>
      <c r="M277" s="55">
        <f t="shared" si="331"/>
        <v>1.3822670701646445</v>
      </c>
      <c r="N277" s="55">
        <f t="shared" si="331"/>
        <v>1.4034157563381637</v>
      </c>
      <c r="O277" s="55">
        <f t="shared" si="331"/>
        <v>1.4248880174101377</v>
      </c>
      <c r="P277" s="55">
        <f t="shared" si="331"/>
        <v>1.4466888040765129</v>
      </c>
      <c r="Q277" s="55">
        <f t="shared" si="331"/>
        <v>1.4688231427788836</v>
      </c>
      <c r="R277" s="55">
        <f t="shared" si="331"/>
        <v>1.4912961368634006</v>
      </c>
      <c r="S277" s="55">
        <f t="shared" si="331"/>
        <v>1.5141129677574106</v>
      </c>
      <c r="T277" s="55">
        <f t="shared" si="331"/>
        <v>1.5372788961640991</v>
      </c>
      <c r="U277" s="55">
        <f t="shared" si="331"/>
        <v>1.56079926327541</v>
      </c>
      <c r="V277" s="55">
        <f t="shared" si="331"/>
        <v>1.5846794920035239</v>
      </c>
      <c r="W277" s="55">
        <f t="shared" si="331"/>
        <v>1.6089250882311774</v>
      </c>
      <c r="X277" s="55">
        <f t="shared" si="331"/>
        <v>1.6335416420811149</v>
      </c>
      <c r="Y277" s="55">
        <f t="shared" si="331"/>
        <v>1.6585348292049558</v>
      </c>
      <c r="Z277" s="55">
        <f t="shared" si="331"/>
        <v>1.6839104120917918</v>
      </c>
      <c r="AA277" s="55">
        <f t="shared" si="331"/>
        <v>1.709674241396796</v>
      </c>
      <c r="AB277" s="55">
        <f t="shared" si="331"/>
        <v>1.7358322572901674</v>
      </c>
      <c r="AC277" s="55">
        <f t="shared" si="331"/>
        <v>1.762390490826707</v>
      </c>
      <c r="AD277" s="55">
        <f t="shared" si="331"/>
        <v>1.7893550653363557</v>
      </c>
      <c r="AE277" s="55">
        <f t="shared" si="331"/>
        <v>1.816732197836002</v>
      </c>
      <c r="AF277" s="55">
        <f t="shared" si="331"/>
        <v>1.8445282004628931</v>
      </c>
      <c r="AG277" s="55">
        <f t="shared" si="331"/>
        <v>1.8727494819299753</v>
      </c>
      <c r="AH277" s="55">
        <f t="shared" si="331"/>
        <v>1.901402549003504</v>
      </c>
      <c r="AI277" s="55">
        <f t="shared" ref="AI277:BJ277" si="332">IF(AND(AI$127&gt;=$K66,AI$127&lt;=$L66),$G66*(1+$H66)^(AI$127-$B$5),0)</f>
        <v>1.9304940080032575</v>
      </c>
      <c r="AJ277" s="55">
        <f t="shared" si="332"/>
        <v>1.9600305663257076</v>
      </c>
      <c r="AK277" s="55">
        <f t="shared" si="332"/>
        <v>1.9900190339904911</v>
      </c>
      <c r="AL277" s="55">
        <f t="shared" si="332"/>
        <v>2.0204663252105459</v>
      </c>
      <c r="AM277" s="55">
        <f t="shared" si="332"/>
        <v>2.0513794599862671</v>
      </c>
      <c r="AN277" s="55">
        <f t="shared" si="332"/>
        <v>2.0827655657240571</v>
      </c>
      <c r="AO277" s="55">
        <f t="shared" si="332"/>
        <v>2.114631878879635</v>
      </c>
      <c r="AP277" s="55">
        <f t="shared" si="332"/>
        <v>2.1469857466264934</v>
      </c>
      <c r="AQ277" s="55">
        <f t="shared" si="332"/>
        <v>2.1798346285498789</v>
      </c>
      <c r="AR277" s="55">
        <f t="shared" si="332"/>
        <v>2.2131860983666929</v>
      </c>
      <c r="AS277" s="55">
        <f t="shared" si="332"/>
        <v>2.2470478456717027</v>
      </c>
      <c r="AT277" s="55">
        <f t="shared" si="332"/>
        <v>0</v>
      </c>
      <c r="AU277" s="55">
        <f t="shared" si="332"/>
        <v>0</v>
      </c>
      <c r="AV277" s="55">
        <f t="shared" si="332"/>
        <v>0</v>
      </c>
      <c r="AW277" s="55">
        <f t="shared" si="332"/>
        <v>0</v>
      </c>
      <c r="AX277" s="55">
        <f t="shared" si="332"/>
        <v>0</v>
      </c>
      <c r="AY277" s="55">
        <f t="shared" si="332"/>
        <v>0</v>
      </c>
      <c r="AZ277" s="55">
        <f t="shared" si="332"/>
        <v>0</v>
      </c>
      <c r="BA277" s="55">
        <f t="shared" si="332"/>
        <v>0</v>
      </c>
      <c r="BB277" s="55">
        <f t="shared" si="332"/>
        <v>0</v>
      </c>
      <c r="BC277" s="55">
        <f t="shared" si="332"/>
        <v>0</v>
      </c>
      <c r="BD277" s="55">
        <f t="shared" si="332"/>
        <v>0</v>
      </c>
      <c r="BE277" s="55">
        <f t="shared" si="332"/>
        <v>0</v>
      </c>
      <c r="BF277" s="55">
        <f t="shared" si="332"/>
        <v>0</v>
      </c>
      <c r="BG277" s="55">
        <f t="shared" si="332"/>
        <v>0</v>
      </c>
      <c r="BH277" s="55">
        <f t="shared" si="332"/>
        <v>0</v>
      </c>
      <c r="BI277" s="55">
        <f t="shared" si="332"/>
        <v>0</v>
      </c>
      <c r="BJ277" s="55">
        <f t="shared" si="332"/>
        <v>0</v>
      </c>
    </row>
    <row r="278" spans="1:62" x14ac:dyDescent="0.3">
      <c r="A278" s="53" t="str">
        <f t="shared" si="310"/>
        <v>project 91</v>
      </c>
      <c r="C278" s="55">
        <f t="shared" ref="C278:AH278" si="333">IF(AND(C$127&gt;=$K67,C$127&lt;=$L67),$G67*(1+$H67)^(C$127-$B$5),0)</f>
        <v>0</v>
      </c>
      <c r="D278" s="55">
        <f t="shared" si="333"/>
        <v>0</v>
      </c>
      <c r="E278" s="55">
        <f t="shared" si="333"/>
        <v>0</v>
      </c>
      <c r="F278" s="55">
        <f t="shared" si="333"/>
        <v>0</v>
      </c>
      <c r="G278" s="55">
        <f t="shared" si="333"/>
        <v>0</v>
      </c>
      <c r="H278" s="55">
        <f t="shared" si="333"/>
        <v>0</v>
      </c>
      <c r="I278" s="55">
        <f t="shared" si="333"/>
        <v>0</v>
      </c>
      <c r="J278" s="55">
        <f t="shared" si="333"/>
        <v>0</v>
      </c>
      <c r="K278" s="55">
        <f t="shared" si="333"/>
        <v>0</v>
      </c>
      <c r="L278" s="55">
        <f t="shared" si="333"/>
        <v>0</v>
      </c>
      <c r="M278" s="55">
        <f t="shared" si="333"/>
        <v>0</v>
      </c>
      <c r="N278" s="55">
        <f t="shared" si="333"/>
        <v>0</v>
      </c>
      <c r="O278" s="55">
        <f t="shared" si="333"/>
        <v>0</v>
      </c>
      <c r="P278" s="55">
        <f t="shared" si="333"/>
        <v>0</v>
      </c>
      <c r="Q278" s="55">
        <f t="shared" si="333"/>
        <v>0</v>
      </c>
      <c r="R278" s="55">
        <f t="shared" si="333"/>
        <v>0</v>
      </c>
      <c r="S278" s="55">
        <f t="shared" si="333"/>
        <v>0</v>
      </c>
      <c r="T278" s="55">
        <f t="shared" si="333"/>
        <v>0</v>
      </c>
      <c r="U278" s="55">
        <f t="shared" si="333"/>
        <v>0</v>
      </c>
      <c r="V278" s="55">
        <f t="shared" si="333"/>
        <v>0</v>
      </c>
      <c r="W278" s="55">
        <f t="shared" si="333"/>
        <v>0.82886163189353779</v>
      </c>
      <c r="X278" s="55">
        <f t="shared" si="333"/>
        <v>0.84543886453140848</v>
      </c>
      <c r="Y278" s="55">
        <f t="shared" si="333"/>
        <v>0.86234764182203671</v>
      </c>
      <c r="Z278" s="55">
        <f t="shared" si="333"/>
        <v>0.87959459465847722</v>
      </c>
      <c r="AA278" s="55">
        <f t="shared" si="333"/>
        <v>0.89718648655164679</v>
      </c>
      <c r="AB278" s="55">
        <f t="shared" si="333"/>
        <v>0.91513021628267976</v>
      </c>
      <c r="AC278" s="55">
        <f t="shared" si="333"/>
        <v>0.93343282060833344</v>
      </c>
      <c r="AD278" s="55">
        <f t="shared" si="333"/>
        <v>0.95210147702049996</v>
      </c>
      <c r="AE278" s="55">
        <f t="shared" si="333"/>
        <v>0.9711435065609102</v>
      </c>
      <c r="AF278" s="55">
        <f t="shared" si="333"/>
        <v>0.99056637669212821</v>
      </c>
      <c r="AG278" s="55">
        <f t="shared" si="333"/>
        <v>1.010377704225971</v>
      </c>
      <c r="AH278" s="55">
        <f t="shared" si="333"/>
        <v>1.03058525831049</v>
      </c>
      <c r="AI278" s="55">
        <f t="shared" ref="AI278:BJ278" si="334">IF(AND(AI$127&gt;=$K67,AI$127&lt;=$L67),$G67*(1+$H67)^(AI$127-$B$5),0)</f>
        <v>1.0511969634767</v>
      </c>
      <c r="AJ278" s="55">
        <f t="shared" si="334"/>
        <v>1.0722209027462342</v>
      </c>
      <c r="AK278" s="55">
        <f t="shared" si="334"/>
        <v>1.0936653208011586</v>
      </c>
      <c r="AL278" s="55">
        <f t="shared" si="334"/>
        <v>1.1155386272171819</v>
      </c>
      <c r="AM278" s="55">
        <f t="shared" si="334"/>
        <v>1.1378493997615255</v>
      </c>
      <c r="AN278" s="55">
        <f t="shared" si="334"/>
        <v>1.1606063877567561</v>
      </c>
      <c r="AO278" s="55">
        <f t="shared" si="334"/>
        <v>1.1838185155118914</v>
      </c>
      <c r="AP278" s="55">
        <f t="shared" si="334"/>
        <v>1.2074948858221288</v>
      </c>
      <c r="AQ278" s="55">
        <f t="shared" si="334"/>
        <v>1.2316447835385715</v>
      </c>
      <c r="AR278" s="55">
        <f t="shared" si="334"/>
        <v>1.2562776792093431</v>
      </c>
      <c r="AS278" s="55">
        <f t="shared" si="334"/>
        <v>1.2814032327935299</v>
      </c>
      <c r="AT278" s="55">
        <f t="shared" si="334"/>
        <v>1.3070312974494003</v>
      </c>
      <c r="AU278" s="55">
        <f t="shared" si="334"/>
        <v>1.3331719233983885</v>
      </c>
      <c r="AV278" s="55">
        <f t="shared" si="334"/>
        <v>1.3598353618663561</v>
      </c>
      <c r="AW278" s="55">
        <f t="shared" si="334"/>
        <v>1.3870320691036835</v>
      </c>
      <c r="AX278" s="55">
        <f t="shared" si="334"/>
        <v>1.4147727104857566</v>
      </c>
      <c r="AY278" s="55">
        <f t="shared" si="334"/>
        <v>1.4430681646954719</v>
      </c>
      <c r="AZ278" s="55">
        <f t="shared" si="334"/>
        <v>1.4719295279893816</v>
      </c>
      <c r="BA278" s="55">
        <f t="shared" si="334"/>
        <v>1.5013681185491692</v>
      </c>
      <c r="BB278" s="55">
        <f t="shared" si="334"/>
        <v>1.5313954809201524</v>
      </c>
      <c r="BC278" s="55">
        <f t="shared" si="334"/>
        <v>1.5620233905385557</v>
      </c>
      <c r="BD278" s="55">
        <f t="shared" si="334"/>
        <v>1.5932638583493266</v>
      </c>
      <c r="BE278" s="55">
        <f t="shared" si="334"/>
        <v>1.6251291355163133</v>
      </c>
      <c r="BF278" s="55">
        <f t="shared" si="334"/>
        <v>1.6576317182266391</v>
      </c>
      <c r="BG278" s="55">
        <f t="shared" si="334"/>
        <v>1.6907843525911719</v>
      </c>
      <c r="BH278" s="55">
        <f t="shared" si="334"/>
        <v>1.7246000396429955</v>
      </c>
      <c r="BI278" s="55">
        <f t="shared" si="334"/>
        <v>1.7590920404358554</v>
      </c>
      <c r="BJ278" s="55">
        <f t="shared" si="334"/>
        <v>1.7942738812445724</v>
      </c>
    </row>
    <row r="279" spans="1:62" x14ac:dyDescent="0.3">
      <c r="A279" s="53" t="str">
        <f t="shared" si="310"/>
        <v>project 92</v>
      </c>
      <c r="C279" s="55">
        <f t="shared" ref="C279:AH279" si="335">IF(AND(C$127&gt;=$K68,C$127&lt;=$L68),$G68*(1+$H68)^(C$127-$B$5),0)</f>
        <v>0</v>
      </c>
      <c r="D279" s="55">
        <f t="shared" si="335"/>
        <v>0</v>
      </c>
      <c r="E279" s="55">
        <f t="shared" si="335"/>
        <v>0</v>
      </c>
      <c r="F279" s="55">
        <f t="shared" si="335"/>
        <v>0</v>
      </c>
      <c r="G279" s="55">
        <f t="shared" si="335"/>
        <v>0</v>
      </c>
      <c r="H279" s="55">
        <f t="shared" si="335"/>
        <v>0.71278895530282749</v>
      </c>
      <c r="I279" s="55">
        <f t="shared" si="335"/>
        <v>0.72248288509494596</v>
      </c>
      <c r="J279" s="55">
        <f t="shared" si="335"/>
        <v>0.73230865233223719</v>
      </c>
      <c r="K279" s="55">
        <f t="shared" si="335"/>
        <v>0.74226805000395557</v>
      </c>
      <c r="L279" s="55">
        <f t="shared" si="335"/>
        <v>0.75236289548400948</v>
      </c>
      <c r="M279" s="55">
        <f t="shared" si="335"/>
        <v>0.76259503086259184</v>
      </c>
      <c r="N279" s="55">
        <f t="shared" si="335"/>
        <v>0.77296632328232318</v>
      </c>
      <c r="O279" s="55">
        <f t="shared" si="335"/>
        <v>0.7834786652789627</v>
      </c>
      <c r="P279" s="55">
        <f t="shared" si="335"/>
        <v>0.79413397512675665</v>
      </c>
      <c r="Q279" s="55">
        <f t="shared" si="335"/>
        <v>0.80493419718848058</v>
      </c>
      <c r="R279" s="55">
        <f t="shared" si="335"/>
        <v>0.81588130227024391</v>
      </c>
      <c r="S279" s="55">
        <f t="shared" si="335"/>
        <v>0.82697728798111914</v>
      </c>
      <c r="T279" s="55">
        <f t="shared" si="335"/>
        <v>0.83822417909766234</v>
      </c>
      <c r="U279" s="55">
        <f t="shared" si="335"/>
        <v>0.84962402793339065</v>
      </c>
      <c r="V279" s="55">
        <f t="shared" si="335"/>
        <v>0.86117891471328467</v>
      </c>
      <c r="W279" s="55">
        <f t="shared" si="335"/>
        <v>0.8728909479533854</v>
      </c>
      <c r="X279" s="55">
        <f t="shared" si="335"/>
        <v>0.88476226484555143</v>
      </c>
      <c r="Y279" s="55">
        <f t="shared" si="335"/>
        <v>0.896795031647451</v>
      </c>
      <c r="Z279" s="55">
        <f t="shared" si="335"/>
        <v>0.90899144407785626</v>
      </c>
      <c r="AA279" s="55">
        <f t="shared" si="335"/>
        <v>0.92135372771731516</v>
      </c>
      <c r="AB279" s="55">
        <f t="shared" si="335"/>
        <v>0.93388413841427065</v>
      </c>
      <c r="AC279" s="55">
        <f t="shared" si="335"/>
        <v>0.94658496269670467</v>
      </c>
      <c r="AD279" s="55">
        <f t="shared" si="335"/>
        <v>0.95945851818937977</v>
      </c>
      <c r="AE279" s="55">
        <f t="shared" si="335"/>
        <v>0.97250715403675536</v>
      </c>
      <c r="AF279" s="55">
        <f t="shared" si="335"/>
        <v>0.98573325133165524</v>
      </c>
      <c r="AG279" s="55">
        <f t="shared" si="335"/>
        <v>0.99913922354976592</v>
      </c>
      <c r="AH279" s="55">
        <f t="shared" si="335"/>
        <v>1.0127275169900427</v>
      </c>
      <c r="AI279" s="55">
        <f t="shared" ref="AI279:BJ279" si="336">IF(AND(AI$127&gt;=$K68,AI$127&lt;=$L68),$G68*(1+$H68)^(AI$127-$B$5),0)</f>
        <v>1.0265006112211073</v>
      </c>
      <c r="AJ279" s="55">
        <f t="shared" si="336"/>
        <v>1.0404610195337143</v>
      </c>
      <c r="AK279" s="55">
        <f t="shared" si="336"/>
        <v>1.0546112893993729</v>
      </c>
      <c r="AL279" s="55">
        <f t="shared" si="336"/>
        <v>1.0689540029352043</v>
      </c>
      <c r="AM279" s="55">
        <f t="shared" si="336"/>
        <v>1.0834917773751231</v>
      </c>
      <c r="AN279" s="55">
        <f t="shared" si="336"/>
        <v>1.0982272655474248</v>
      </c>
      <c r="AO279" s="55">
        <f t="shared" si="336"/>
        <v>1.1131631563588698</v>
      </c>
      <c r="AP279" s="55">
        <f t="shared" si="336"/>
        <v>1.1283021752853504</v>
      </c>
      <c r="AQ279" s="55">
        <f t="shared" si="336"/>
        <v>1.1436470848692311</v>
      </c>
      <c r="AR279" s="55">
        <f t="shared" si="336"/>
        <v>1.1592006852234527</v>
      </c>
      <c r="AS279" s="55">
        <f t="shared" si="336"/>
        <v>1.1749658145424915</v>
      </c>
      <c r="AT279" s="55">
        <f t="shared" si="336"/>
        <v>1.1909453496202695</v>
      </c>
      <c r="AU279" s="55">
        <f t="shared" si="336"/>
        <v>1.2071422063751052</v>
      </c>
      <c r="AV279" s="55">
        <f t="shared" si="336"/>
        <v>0</v>
      </c>
      <c r="AW279" s="55">
        <f t="shared" si="336"/>
        <v>0</v>
      </c>
      <c r="AX279" s="55">
        <f t="shared" si="336"/>
        <v>0</v>
      </c>
      <c r="AY279" s="55">
        <f t="shared" si="336"/>
        <v>0</v>
      </c>
      <c r="AZ279" s="55">
        <f t="shared" si="336"/>
        <v>0</v>
      </c>
      <c r="BA279" s="55">
        <f t="shared" si="336"/>
        <v>0</v>
      </c>
      <c r="BB279" s="55">
        <f t="shared" si="336"/>
        <v>0</v>
      </c>
      <c r="BC279" s="55">
        <f t="shared" si="336"/>
        <v>0</v>
      </c>
      <c r="BD279" s="55">
        <f t="shared" si="336"/>
        <v>0</v>
      </c>
      <c r="BE279" s="55">
        <f t="shared" si="336"/>
        <v>0</v>
      </c>
      <c r="BF279" s="55">
        <f t="shared" si="336"/>
        <v>0</v>
      </c>
      <c r="BG279" s="55">
        <f t="shared" si="336"/>
        <v>0</v>
      </c>
      <c r="BH279" s="55">
        <f t="shared" si="336"/>
        <v>0</v>
      </c>
      <c r="BI279" s="55">
        <f t="shared" si="336"/>
        <v>0</v>
      </c>
      <c r="BJ279" s="55">
        <f t="shared" si="336"/>
        <v>0</v>
      </c>
    </row>
    <row r="280" spans="1:62" x14ac:dyDescent="0.3">
      <c r="A280" s="53" t="str">
        <f t="shared" si="310"/>
        <v>project 98</v>
      </c>
      <c r="C280" s="55">
        <f t="shared" ref="C280:AH280" si="337">IF(AND(C$127&gt;=$K69,C$127&lt;=$L69),$G69*(1+$H69)^(C$127-$B$5),0)</f>
        <v>0</v>
      </c>
      <c r="D280" s="55">
        <f t="shared" si="337"/>
        <v>0</v>
      </c>
      <c r="E280" s="55">
        <f t="shared" si="337"/>
        <v>0</v>
      </c>
      <c r="F280" s="55">
        <f t="shared" si="337"/>
        <v>0</v>
      </c>
      <c r="G280" s="55">
        <f t="shared" si="337"/>
        <v>0</v>
      </c>
      <c r="H280" s="55">
        <f t="shared" si="337"/>
        <v>0</v>
      </c>
      <c r="I280" s="55">
        <f t="shared" si="337"/>
        <v>0</v>
      </c>
      <c r="J280" s="55">
        <f t="shared" si="337"/>
        <v>0</v>
      </c>
      <c r="K280" s="55">
        <f t="shared" si="337"/>
        <v>0</v>
      </c>
      <c r="L280" s="55">
        <f t="shared" si="337"/>
        <v>0</v>
      </c>
      <c r="M280" s="55">
        <f t="shared" si="337"/>
        <v>0</v>
      </c>
      <c r="N280" s="55">
        <f t="shared" si="337"/>
        <v>0</v>
      </c>
      <c r="O280" s="55">
        <f t="shared" si="337"/>
        <v>0</v>
      </c>
      <c r="P280" s="55">
        <f t="shared" si="337"/>
        <v>0</v>
      </c>
      <c r="Q280" s="55">
        <f t="shared" si="337"/>
        <v>0</v>
      </c>
      <c r="R280" s="55">
        <f t="shared" si="337"/>
        <v>0</v>
      </c>
      <c r="S280" s="55">
        <f t="shared" si="337"/>
        <v>0</v>
      </c>
      <c r="T280" s="55">
        <f t="shared" si="337"/>
        <v>0</v>
      </c>
      <c r="U280" s="55">
        <f t="shared" si="337"/>
        <v>0</v>
      </c>
      <c r="V280" s="55">
        <f t="shared" si="337"/>
        <v>0</v>
      </c>
      <c r="W280" s="55">
        <f t="shared" si="337"/>
        <v>2.4242057071302114</v>
      </c>
      <c r="X280" s="55">
        <f t="shared" si="337"/>
        <v>2.4928107286419965</v>
      </c>
      <c r="Y280" s="55">
        <f t="shared" si="337"/>
        <v>2.5633572722625648</v>
      </c>
      <c r="Z280" s="55">
        <f t="shared" si="337"/>
        <v>2.6359002830675955</v>
      </c>
      <c r="AA280" s="55">
        <f t="shared" si="337"/>
        <v>2.7104962610784087</v>
      </c>
      <c r="AB280" s="55">
        <f t="shared" si="337"/>
        <v>2.7872033052669281</v>
      </c>
      <c r="AC280" s="55">
        <f t="shared" si="337"/>
        <v>2.866081158805982</v>
      </c>
      <c r="AD280" s="55">
        <f t="shared" si="337"/>
        <v>2.9471912556001909</v>
      </c>
      <c r="AE280" s="55">
        <f t="shared" si="337"/>
        <v>3.0305967681336772</v>
      </c>
      <c r="AF280" s="55">
        <f t="shared" si="337"/>
        <v>3.1163626566718601</v>
      </c>
      <c r="AG280" s="55">
        <f t="shared" si="337"/>
        <v>3.2045557198556738</v>
      </c>
      <c r="AH280" s="55">
        <f t="shared" si="337"/>
        <v>3.2952446467275891</v>
      </c>
      <c r="AI280" s="55">
        <f t="shared" ref="AI280:BJ280" si="338">IF(AND(AI$127&gt;=$K69,AI$127&lt;=$L69),$G69*(1+$H69)^(AI$127-$B$5),0)</f>
        <v>3.3885000702299806</v>
      </c>
      <c r="AJ280" s="55">
        <f t="shared" si="338"/>
        <v>3.4843946222174886</v>
      </c>
      <c r="AK280" s="55">
        <f t="shared" si="338"/>
        <v>3.5830029900262441</v>
      </c>
      <c r="AL280" s="55">
        <f t="shared" si="338"/>
        <v>3.6844019746439867</v>
      </c>
      <c r="AM280" s="55">
        <f t="shared" si="338"/>
        <v>3.7886705505264118</v>
      </c>
      <c r="AN280" s="55">
        <f t="shared" si="338"/>
        <v>3.8958899271063094</v>
      </c>
      <c r="AO280" s="55">
        <f t="shared" si="338"/>
        <v>4.0061436120434184</v>
      </c>
      <c r="AP280" s="55">
        <f t="shared" si="338"/>
        <v>4.1195174762642468</v>
      </c>
      <c r="AQ280" s="55">
        <f t="shared" si="338"/>
        <v>4.2360998208425249</v>
      </c>
      <c r="AR280" s="55">
        <f t="shared" si="338"/>
        <v>4.3559814457723691</v>
      </c>
      <c r="AS280" s="55">
        <f t="shared" si="338"/>
        <v>4.4792557206877275</v>
      </c>
      <c r="AT280" s="55">
        <f t="shared" si="338"/>
        <v>4.6060186575831894</v>
      </c>
      <c r="AU280" s="55">
        <f t="shared" si="338"/>
        <v>4.7363689855927946</v>
      </c>
      <c r="AV280" s="55">
        <f t="shared" si="338"/>
        <v>4.8704082278850702</v>
      </c>
      <c r="AW280" s="55">
        <f t="shared" si="338"/>
        <v>5.0082407807342184</v>
      </c>
      <c r="AX280" s="55">
        <f t="shared" si="338"/>
        <v>5.1499739948289971</v>
      </c>
      <c r="AY280" s="55">
        <f t="shared" si="338"/>
        <v>5.2957182588826583</v>
      </c>
      <c r="AZ280" s="55">
        <f t="shared" si="338"/>
        <v>5.4455870856090369</v>
      </c>
      <c r="BA280" s="55">
        <f t="shared" si="338"/>
        <v>5.5996972001317724</v>
      </c>
      <c r="BB280" s="55">
        <f t="shared" si="338"/>
        <v>5.7581686308955016</v>
      </c>
      <c r="BC280" s="55">
        <f t="shared" si="338"/>
        <v>5.9211248031498469</v>
      </c>
      <c r="BD280" s="55">
        <f t="shared" si="338"/>
        <v>6.0886926350789858</v>
      </c>
      <c r="BE280" s="55">
        <f t="shared" si="338"/>
        <v>6.2610026366517229</v>
      </c>
      <c r="BF280" s="55">
        <f t="shared" si="338"/>
        <v>6.4381890112689657</v>
      </c>
      <c r="BG280" s="55">
        <f t="shared" si="338"/>
        <v>6.6203897602878783</v>
      </c>
      <c r="BH280" s="55">
        <f t="shared" si="338"/>
        <v>6.8077467905040256</v>
      </c>
      <c r="BI280" s="55">
        <f t="shared" si="338"/>
        <v>7.0004060246752902</v>
      </c>
      <c r="BJ280" s="55">
        <f t="shared" si="338"/>
        <v>7.1985175151735996</v>
      </c>
    </row>
    <row r="281" spans="1:62" x14ac:dyDescent="0.3">
      <c r="A281" s="53" t="str">
        <f t="shared" si="310"/>
        <v>project 100</v>
      </c>
      <c r="C281" s="55">
        <f t="shared" ref="C281:AH281" si="339">IF(AND(C$127&gt;=$K70,C$127&lt;=$L70),$G70*(1+$H70)^(C$127-$B$5),0)</f>
        <v>0</v>
      </c>
      <c r="D281" s="55">
        <f t="shared" si="339"/>
        <v>0</v>
      </c>
      <c r="E281" s="55">
        <f t="shared" si="339"/>
        <v>0</v>
      </c>
      <c r="F281" s="55">
        <f t="shared" si="339"/>
        <v>0</v>
      </c>
      <c r="G281" s="55">
        <f t="shared" si="339"/>
        <v>0</v>
      </c>
      <c r="H281" s="55">
        <f t="shared" si="339"/>
        <v>0</v>
      </c>
      <c r="I281" s="55">
        <f t="shared" si="339"/>
        <v>0</v>
      </c>
      <c r="J281" s="55">
        <f t="shared" si="339"/>
        <v>0</v>
      </c>
      <c r="K281" s="55">
        <f t="shared" si="339"/>
        <v>0</v>
      </c>
      <c r="L281" s="55">
        <f t="shared" si="339"/>
        <v>0</v>
      </c>
      <c r="M281" s="55">
        <f t="shared" si="339"/>
        <v>0</v>
      </c>
      <c r="N281" s="55">
        <f t="shared" si="339"/>
        <v>0</v>
      </c>
      <c r="O281" s="55">
        <f t="shared" si="339"/>
        <v>0</v>
      </c>
      <c r="P281" s="55">
        <f t="shared" si="339"/>
        <v>0</v>
      </c>
      <c r="Q281" s="55">
        <f t="shared" si="339"/>
        <v>0</v>
      </c>
      <c r="R281" s="55">
        <f t="shared" si="339"/>
        <v>0</v>
      </c>
      <c r="S281" s="55">
        <f t="shared" si="339"/>
        <v>0</v>
      </c>
      <c r="T281" s="55">
        <f t="shared" si="339"/>
        <v>0</v>
      </c>
      <c r="U281" s="55">
        <f t="shared" si="339"/>
        <v>0</v>
      </c>
      <c r="V281" s="55">
        <f t="shared" si="339"/>
        <v>0</v>
      </c>
      <c r="W281" s="55">
        <f t="shared" si="339"/>
        <v>2.5070258855280749</v>
      </c>
      <c r="X281" s="55">
        <f t="shared" si="339"/>
        <v>2.5757183947915441</v>
      </c>
      <c r="Y281" s="55">
        <f t="shared" si="339"/>
        <v>2.6462930788088328</v>
      </c>
      <c r="Z281" s="55">
        <f t="shared" si="339"/>
        <v>2.7188015091681956</v>
      </c>
      <c r="AA281" s="55">
        <f t="shared" si="339"/>
        <v>2.7932966705194042</v>
      </c>
      <c r="AB281" s="55">
        <f t="shared" si="339"/>
        <v>2.8698329992916358</v>
      </c>
      <c r="AC281" s="55">
        <f t="shared" si="339"/>
        <v>2.9484664234722273</v>
      </c>
      <c r="AD281" s="55">
        <f t="shared" si="339"/>
        <v>3.0292544034753668</v>
      </c>
      <c r="AE281" s="55">
        <f t="shared" si="339"/>
        <v>3.1122559741305915</v>
      </c>
      <c r="AF281" s="55">
        <f t="shared" si="339"/>
        <v>3.1975317878217702</v>
      </c>
      <c r="AG281" s="55">
        <f t="shared" si="339"/>
        <v>3.285144158808087</v>
      </c>
      <c r="AH281" s="55">
        <f t="shared" si="339"/>
        <v>3.3751571087594296</v>
      </c>
      <c r="AI281" s="55">
        <f t="shared" ref="AI281:BJ281" si="340">IF(AND(AI$127&gt;=$K70,AI$127&lt;=$L70),$G70*(1+$H70)^(AI$127-$B$5),0)</f>
        <v>3.467636413539438</v>
      </c>
      <c r="AJ281" s="55">
        <f t="shared" si="340"/>
        <v>3.5626496512704189</v>
      </c>
      <c r="AK281" s="55">
        <f t="shared" si="340"/>
        <v>3.6602662517152287</v>
      </c>
      <c r="AL281" s="55">
        <f t="shared" si="340"/>
        <v>3.760557547012227</v>
      </c>
      <c r="AM281" s="55">
        <f t="shared" si="340"/>
        <v>3.8635968238003615</v>
      </c>
      <c r="AN281" s="55">
        <f t="shared" si="340"/>
        <v>3.9694593767724915</v>
      </c>
      <c r="AO281" s="55">
        <f t="shared" si="340"/>
        <v>4.078222563696059</v>
      </c>
      <c r="AP281" s="55">
        <f t="shared" si="340"/>
        <v>4.1899658619413316</v>
      </c>
      <c r="AQ281" s="55">
        <f t="shared" si="340"/>
        <v>4.3047709265585246</v>
      </c>
      <c r="AR281" s="55">
        <f t="shared" si="340"/>
        <v>4.4227216499462276</v>
      </c>
      <c r="AS281" s="55">
        <f t="shared" si="340"/>
        <v>4.5439042231547555</v>
      </c>
      <c r="AT281" s="55">
        <f t="shared" si="340"/>
        <v>4.668407198869196</v>
      </c>
      <c r="AU281" s="55">
        <f t="shared" si="340"/>
        <v>4.7963215561182118</v>
      </c>
      <c r="AV281" s="55">
        <f t="shared" si="340"/>
        <v>4.9277407667558517</v>
      </c>
      <c r="AW281" s="55">
        <f t="shared" si="340"/>
        <v>5.0627608637649617</v>
      </c>
      <c r="AX281" s="55">
        <f t="shared" si="340"/>
        <v>5.2014805114321243</v>
      </c>
      <c r="AY281" s="55">
        <f t="shared" si="340"/>
        <v>5.3440010774453643</v>
      </c>
      <c r="AZ281" s="55">
        <f t="shared" si="340"/>
        <v>5.4904267069673676</v>
      </c>
      <c r="BA281" s="55">
        <f t="shared" si="340"/>
        <v>5.6408643987382741</v>
      </c>
      <c r="BB281" s="55">
        <f t="shared" si="340"/>
        <v>5.7954240832637041</v>
      </c>
      <c r="BC281" s="55">
        <f t="shared" si="340"/>
        <v>5.9542187031451288</v>
      </c>
      <c r="BD281" s="55">
        <f t="shared" si="340"/>
        <v>6.1173642956113055</v>
      </c>
      <c r="BE281" s="55">
        <f t="shared" si="340"/>
        <v>6.2849800773110562</v>
      </c>
      <c r="BF281" s="55">
        <f t="shared" si="340"/>
        <v>6.4571885314293809</v>
      </c>
      <c r="BG281" s="55">
        <f t="shared" si="340"/>
        <v>6.6341154971905461</v>
      </c>
      <c r="BH281" s="55">
        <f t="shared" si="340"/>
        <v>6.8158902618135677</v>
      </c>
      <c r="BI281" s="55">
        <f t="shared" si="340"/>
        <v>7.0026456549872611</v>
      </c>
      <c r="BJ281" s="55">
        <f t="shared" si="340"/>
        <v>7.1945181459339134</v>
      </c>
    </row>
    <row r="282" spans="1:62" x14ac:dyDescent="0.3">
      <c r="A282" s="53" t="str">
        <f t="shared" si="310"/>
        <v>project 101</v>
      </c>
      <c r="C282" s="55">
        <f t="shared" ref="C282:AH282" si="341">IF(AND(C$127&gt;=$K71,C$127&lt;=$L71),$G71*(1+$H71)^(C$127-$B$5),0)</f>
        <v>0</v>
      </c>
      <c r="D282" s="55">
        <f t="shared" si="341"/>
        <v>0</v>
      </c>
      <c r="E282" s="55">
        <f t="shared" si="341"/>
        <v>0</v>
      </c>
      <c r="F282" s="55">
        <f t="shared" si="341"/>
        <v>0</v>
      </c>
      <c r="G282" s="55">
        <f t="shared" si="341"/>
        <v>0</v>
      </c>
      <c r="H282" s="55">
        <f t="shared" si="341"/>
        <v>0.5969278973809018</v>
      </c>
      <c r="I282" s="55">
        <f t="shared" si="341"/>
        <v>0.60647874373899624</v>
      </c>
      <c r="J282" s="55">
        <f t="shared" si="341"/>
        <v>0.61618240363882015</v>
      </c>
      <c r="K282" s="55">
        <f t="shared" si="341"/>
        <v>0.62604132209704133</v>
      </c>
      <c r="L282" s="55">
        <f t="shared" si="341"/>
        <v>0.63605798325059404</v>
      </c>
      <c r="M282" s="55">
        <f t="shared" si="341"/>
        <v>0.64623491098260355</v>
      </c>
      <c r="N282" s="55">
        <f t="shared" si="341"/>
        <v>0.65657466955832511</v>
      </c>
      <c r="O282" s="55">
        <f t="shared" si="341"/>
        <v>0.66707986427125843</v>
      </c>
      <c r="P282" s="55">
        <f t="shared" si="341"/>
        <v>0.67775314209959858</v>
      </c>
      <c r="Q282" s="55">
        <f t="shared" si="341"/>
        <v>0.68859719237319206</v>
      </c>
      <c r="R282" s="55">
        <f t="shared" si="341"/>
        <v>0.69961474745116314</v>
      </c>
      <c r="S282" s="55">
        <f t="shared" si="341"/>
        <v>0.71080858341038178</v>
      </c>
      <c r="T282" s="55">
        <f t="shared" si="341"/>
        <v>0.7221815207449479</v>
      </c>
      <c r="U282" s="55">
        <f t="shared" si="341"/>
        <v>0.73373642507686698</v>
      </c>
      <c r="V282" s="55">
        <f t="shared" si="341"/>
        <v>0.74547620787809687</v>
      </c>
      <c r="W282" s="55">
        <f t="shared" si="341"/>
        <v>0.75740382720414645</v>
      </c>
      <c r="X282" s="55">
        <f t="shared" si="341"/>
        <v>0.76952228843941284</v>
      </c>
      <c r="Y282" s="55">
        <f t="shared" si="341"/>
        <v>0.78183464505444333</v>
      </c>
      <c r="Z282" s="55">
        <f t="shared" si="341"/>
        <v>0.79434399937531452</v>
      </c>
      <c r="AA282" s="55">
        <f t="shared" si="341"/>
        <v>0.80705350336531967</v>
      </c>
      <c r="AB282" s="55">
        <f t="shared" si="341"/>
        <v>0.81996635941916485</v>
      </c>
      <c r="AC282" s="55">
        <f t="shared" si="341"/>
        <v>0.83308582116987151</v>
      </c>
      <c r="AD282" s="55">
        <f t="shared" si="341"/>
        <v>0.84641519430858925</v>
      </c>
      <c r="AE282" s="55">
        <f t="shared" si="341"/>
        <v>0.85995783741752685</v>
      </c>
      <c r="AF282" s="55">
        <f t="shared" si="341"/>
        <v>0.87371716281620726</v>
      </c>
      <c r="AG282" s="55">
        <f t="shared" si="341"/>
        <v>0.88769663742126659</v>
      </c>
      <c r="AH282" s="55">
        <f t="shared" si="341"/>
        <v>0.90189978362000678</v>
      </c>
      <c r="AI282" s="55">
        <f t="shared" ref="AI282:BJ282" si="342">IF(AND(AI$127&gt;=$K71,AI$127&lt;=$L71),$G71*(1+$H71)^(AI$127-$B$5),0)</f>
        <v>0.91633018015792689</v>
      </c>
      <c r="AJ282" s="55">
        <f t="shared" si="342"/>
        <v>0.93099146304045377</v>
      </c>
      <c r="AK282" s="55">
        <f t="shared" si="342"/>
        <v>0.94588732644910101</v>
      </c>
      <c r="AL282" s="55">
        <f t="shared" si="342"/>
        <v>0.96102152367228666</v>
      </c>
      <c r="AM282" s="55">
        <f t="shared" si="342"/>
        <v>0.97639786805104323</v>
      </c>
      <c r="AN282" s="55">
        <f t="shared" si="342"/>
        <v>0.99202023393986005</v>
      </c>
      <c r="AO282" s="55">
        <f t="shared" si="342"/>
        <v>1.0078925576828976</v>
      </c>
      <c r="AP282" s="55">
        <f t="shared" si="342"/>
        <v>1.024018838605824</v>
      </c>
      <c r="AQ282" s="55">
        <f t="shared" si="342"/>
        <v>1.0404031400235172</v>
      </c>
      <c r="AR282" s="55">
        <f t="shared" si="342"/>
        <v>1.0570495902638937</v>
      </c>
      <c r="AS282" s="55">
        <f t="shared" si="342"/>
        <v>1.073962383708116</v>
      </c>
      <c r="AT282" s="55">
        <f t="shared" si="342"/>
        <v>1.0911457818474457</v>
      </c>
      <c r="AU282" s="55">
        <f t="shared" si="342"/>
        <v>1.1086041143570049</v>
      </c>
      <c r="AV282" s="55">
        <f t="shared" si="342"/>
        <v>0</v>
      </c>
      <c r="AW282" s="55">
        <f t="shared" si="342"/>
        <v>0</v>
      </c>
      <c r="AX282" s="55">
        <f t="shared" si="342"/>
        <v>0</v>
      </c>
      <c r="AY282" s="55">
        <f t="shared" si="342"/>
        <v>0</v>
      </c>
      <c r="AZ282" s="55">
        <f t="shared" si="342"/>
        <v>0</v>
      </c>
      <c r="BA282" s="55">
        <f t="shared" si="342"/>
        <v>0</v>
      </c>
      <c r="BB282" s="55">
        <f t="shared" si="342"/>
        <v>0</v>
      </c>
      <c r="BC282" s="55">
        <f t="shared" si="342"/>
        <v>0</v>
      </c>
      <c r="BD282" s="55">
        <f t="shared" si="342"/>
        <v>0</v>
      </c>
      <c r="BE282" s="55">
        <f t="shared" si="342"/>
        <v>0</v>
      </c>
      <c r="BF282" s="55">
        <f t="shared" si="342"/>
        <v>0</v>
      </c>
      <c r="BG282" s="55">
        <f t="shared" si="342"/>
        <v>0</v>
      </c>
      <c r="BH282" s="55">
        <f t="shared" si="342"/>
        <v>0</v>
      </c>
      <c r="BI282" s="55">
        <f t="shared" si="342"/>
        <v>0</v>
      </c>
      <c r="BJ282" s="55">
        <f t="shared" si="342"/>
        <v>0</v>
      </c>
    </row>
    <row r="283" spans="1:62" x14ac:dyDescent="0.3">
      <c r="A283" s="53" t="str">
        <f t="shared" si="310"/>
        <v>project 103</v>
      </c>
      <c r="C283" s="55">
        <f t="shared" ref="C283:AH283" si="343">IF(AND(C$127&gt;=$K72,C$127&lt;=$L72),$G72*(1+$H72)^(C$127-$B$5),0)</f>
        <v>0</v>
      </c>
      <c r="D283" s="55">
        <f t="shared" si="343"/>
        <v>0</v>
      </c>
      <c r="E283" s="55">
        <f t="shared" si="343"/>
        <v>0</v>
      </c>
      <c r="F283" s="55">
        <f t="shared" si="343"/>
        <v>0</v>
      </c>
      <c r="G283" s="55">
        <f t="shared" si="343"/>
        <v>0</v>
      </c>
      <c r="H283" s="55">
        <f t="shared" si="343"/>
        <v>0</v>
      </c>
      <c r="I283" s="55">
        <f t="shared" si="343"/>
        <v>0</v>
      </c>
      <c r="J283" s="55">
        <f t="shared" si="343"/>
        <v>0</v>
      </c>
      <c r="K283" s="55">
        <f t="shared" si="343"/>
        <v>0</v>
      </c>
      <c r="L283" s="55">
        <f t="shared" si="343"/>
        <v>0</v>
      </c>
      <c r="M283" s="55">
        <f t="shared" si="343"/>
        <v>0</v>
      </c>
      <c r="N283" s="55">
        <f t="shared" si="343"/>
        <v>0</v>
      </c>
      <c r="O283" s="55">
        <f t="shared" si="343"/>
        <v>0</v>
      </c>
      <c r="P283" s="55">
        <f t="shared" si="343"/>
        <v>0</v>
      </c>
      <c r="Q283" s="55">
        <f t="shared" si="343"/>
        <v>0</v>
      </c>
      <c r="R283" s="55">
        <f t="shared" si="343"/>
        <v>0</v>
      </c>
      <c r="S283" s="55">
        <f t="shared" si="343"/>
        <v>0</v>
      </c>
      <c r="T283" s="55">
        <f t="shared" si="343"/>
        <v>0</v>
      </c>
      <c r="U283" s="55">
        <f t="shared" si="343"/>
        <v>0</v>
      </c>
      <c r="V283" s="55">
        <f t="shared" si="343"/>
        <v>0</v>
      </c>
      <c r="W283" s="55">
        <f t="shared" si="343"/>
        <v>0.23497416056636039</v>
      </c>
      <c r="X283" s="55">
        <f t="shared" si="343"/>
        <v>0.2403315714272734</v>
      </c>
      <c r="Y283" s="55">
        <f t="shared" si="343"/>
        <v>0.24581113125581522</v>
      </c>
      <c r="Z283" s="55">
        <f t="shared" si="343"/>
        <v>0.25141562504844778</v>
      </c>
      <c r="AA283" s="55">
        <f t="shared" si="343"/>
        <v>0.25714790129955234</v>
      </c>
      <c r="AB283" s="55">
        <f t="shared" si="343"/>
        <v>0.26301087344918211</v>
      </c>
      <c r="AC283" s="55">
        <f t="shared" si="343"/>
        <v>0.26900752136382339</v>
      </c>
      <c r="AD283" s="55">
        <f t="shared" si="343"/>
        <v>0.27514089285091853</v>
      </c>
      <c r="AE283" s="55">
        <f t="shared" si="343"/>
        <v>0.28141410520791943</v>
      </c>
      <c r="AF283" s="55">
        <f t="shared" si="343"/>
        <v>0.28783034680665998</v>
      </c>
      <c r="AG283" s="55">
        <f t="shared" si="343"/>
        <v>0.29439287871385178</v>
      </c>
      <c r="AH283" s="55">
        <f t="shared" si="343"/>
        <v>0.30110503634852759</v>
      </c>
      <c r="AI283" s="55">
        <f t="shared" ref="AI283:BJ283" si="344">IF(AND(AI$127&gt;=$K72,AI$127&lt;=$L72),$G72*(1+$H72)^(AI$127-$B$5),0)</f>
        <v>0.30797023117727396</v>
      </c>
      <c r="AJ283" s="55">
        <f t="shared" si="344"/>
        <v>0.31499195244811579</v>
      </c>
      <c r="AK283" s="55">
        <f t="shared" si="344"/>
        <v>0.32217376896393274</v>
      </c>
      <c r="AL283" s="55">
        <f t="shared" si="344"/>
        <v>0.32951933089631041</v>
      </c>
      <c r="AM283" s="55">
        <f t="shared" si="344"/>
        <v>0.33703237164074623</v>
      </c>
      <c r="AN283" s="55">
        <f t="shared" si="344"/>
        <v>0.34471670971415524</v>
      </c>
      <c r="AO283" s="55">
        <f t="shared" si="344"/>
        <v>0.35257625069563786</v>
      </c>
      <c r="AP283" s="55">
        <f t="shared" si="344"/>
        <v>0.36061498921149843</v>
      </c>
      <c r="AQ283" s="55">
        <f t="shared" si="344"/>
        <v>0.36883701096552052</v>
      </c>
      <c r="AR283" s="55">
        <f t="shared" si="344"/>
        <v>0.37724649481553441</v>
      </c>
      <c r="AS283" s="55">
        <f t="shared" si="344"/>
        <v>0.38584771489732844</v>
      </c>
      <c r="AT283" s="55">
        <f t="shared" si="344"/>
        <v>0.39464504279698753</v>
      </c>
      <c r="AU283" s="55">
        <f t="shared" si="344"/>
        <v>0.40364294977275877</v>
      </c>
      <c r="AV283" s="55">
        <f t="shared" si="344"/>
        <v>0.41284600902757768</v>
      </c>
      <c r="AW283" s="55">
        <f t="shared" si="344"/>
        <v>0.42225889803340638</v>
      </c>
      <c r="AX283" s="55">
        <f t="shared" si="344"/>
        <v>0.43188640090856806</v>
      </c>
      <c r="AY283" s="55">
        <f t="shared" si="344"/>
        <v>0.44173341084928325</v>
      </c>
      <c r="AZ283" s="55">
        <f t="shared" si="344"/>
        <v>0.45180493261664689</v>
      </c>
      <c r="BA283" s="55">
        <f t="shared" si="344"/>
        <v>0.46210608508030643</v>
      </c>
      <c r="BB283" s="55">
        <f t="shared" si="344"/>
        <v>0.47264210382013733</v>
      </c>
      <c r="BC283" s="55">
        <f t="shared" si="344"/>
        <v>0.48341834378723636</v>
      </c>
      <c r="BD283" s="55">
        <f t="shared" si="344"/>
        <v>0.49444028202558543</v>
      </c>
      <c r="BE283" s="55">
        <f t="shared" si="344"/>
        <v>0.50571352045576867</v>
      </c>
      <c r="BF283" s="55">
        <f t="shared" si="344"/>
        <v>0.51724378872216015</v>
      </c>
      <c r="BG283" s="55">
        <f t="shared" si="344"/>
        <v>0.52903694710502525</v>
      </c>
      <c r="BH283" s="55">
        <f t="shared" si="344"/>
        <v>0.5410989894990198</v>
      </c>
      <c r="BI283" s="55">
        <f t="shared" si="344"/>
        <v>0.55343604645959732</v>
      </c>
      <c r="BJ283" s="55">
        <f t="shared" si="344"/>
        <v>0.566054388318876</v>
      </c>
    </row>
    <row r="284" spans="1:62" x14ac:dyDescent="0.3">
      <c r="A284" s="53" t="str">
        <f t="shared" si="310"/>
        <v>project 104</v>
      </c>
      <c r="C284" s="55">
        <f t="shared" ref="C284:AH284" si="345">IF(AND(C$127&gt;=$K73,C$127&lt;=$L73),$G73*(1+$H73)^(C$127-$B$5),0)</f>
        <v>0</v>
      </c>
      <c r="D284" s="55">
        <f t="shared" si="345"/>
        <v>0</v>
      </c>
      <c r="E284" s="55">
        <f t="shared" si="345"/>
        <v>0</v>
      </c>
      <c r="F284" s="55">
        <f t="shared" si="345"/>
        <v>0</v>
      </c>
      <c r="G284" s="55">
        <f t="shared" si="345"/>
        <v>0</v>
      </c>
      <c r="H284" s="55">
        <f t="shared" si="345"/>
        <v>0</v>
      </c>
      <c r="I284" s="55">
        <f t="shared" si="345"/>
        <v>0</v>
      </c>
      <c r="J284" s="55">
        <f t="shared" si="345"/>
        <v>0</v>
      </c>
      <c r="K284" s="55">
        <f t="shared" si="345"/>
        <v>0</v>
      </c>
      <c r="L284" s="55">
        <f t="shared" si="345"/>
        <v>0</v>
      </c>
      <c r="M284" s="55">
        <f t="shared" si="345"/>
        <v>0</v>
      </c>
      <c r="N284" s="55">
        <f t="shared" si="345"/>
        <v>0</v>
      </c>
      <c r="O284" s="55">
        <f t="shared" si="345"/>
        <v>0</v>
      </c>
      <c r="P284" s="55">
        <f t="shared" si="345"/>
        <v>0</v>
      </c>
      <c r="Q284" s="55">
        <f t="shared" si="345"/>
        <v>0</v>
      </c>
      <c r="R284" s="55">
        <f t="shared" si="345"/>
        <v>0</v>
      </c>
      <c r="S284" s="55">
        <f t="shared" si="345"/>
        <v>0</v>
      </c>
      <c r="T284" s="55">
        <f t="shared" si="345"/>
        <v>0</v>
      </c>
      <c r="U284" s="55">
        <f t="shared" si="345"/>
        <v>0</v>
      </c>
      <c r="V284" s="55">
        <f t="shared" si="345"/>
        <v>0</v>
      </c>
      <c r="W284" s="55">
        <f t="shared" si="345"/>
        <v>8.2249835565986348E-2</v>
      </c>
      <c r="X284" s="55">
        <f t="shared" si="345"/>
        <v>8.4075781915551234E-2</v>
      </c>
      <c r="Y284" s="55">
        <f t="shared" si="345"/>
        <v>8.5942264274076474E-2</v>
      </c>
      <c r="Z284" s="55">
        <f t="shared" si="345"/>
        <v>8.7850182540960955E-2</v>
      </c>
      <c r="AA284" s="55">
        <f t="shared" si="345"/>
        <v>8.9800456593370312E-2</v>
      </c>
      <c r="AB284" s="55">
        <f t="shared" si="345"/>
        <v>9.1794026729743142E-2</v>
      </c>
      <c r="AC284" s="55">
        <f t="shared" si="345"/>
        <v>9.3831854123143418E-2</v>
      </c>
      <c r="AD284" s="55">
        <f t="shared" si="345"/>
        <v>9.5914921284677199E-2</v>
      </c>
      <c r="AE284" s="55">
        <f t="shared" si="345"/>
        <v>9.8044232537197032E-2</v>
      </c>
      <c r="AF284" s="55">
        <f t="shared" si="345"/>
        <v>0.1002208144995228</v>
      </c>
      <c r="AG284" s="55">
        <f t="shared" si="345"/>
        <v>0.10244571658141223</v>
      </c>
      <c r="AH284" s="55">
        <f t="shared" si="345"/>
        <v>0.10472001148951955</v>
      </c>
      <c r="AI284" s="55">
        <f t="shared" ref="AI284:BJ284" si="346">IF(AND(AI$127&gt;=$K73,AI$127&lt;=$L73),$G73*(1+$H73)^(AI$127-$B$5),0)</f>
        <v>0.1070447957445869</v>
      </c>
      <c r="AJ284" s="55">
        <f t="shared" si="346"/>
        <v>0.10942119021011674</v>
      </c>
      <c r="AK284" s="55">
        <f t="shared" si="346"/>
        <v>0.11185034063278132</v>
      </c>
      <c r="AL284" s="55">
        <f t="shared" si="346"/>
        <v>0.11433341819482906</v>
      </c>
      <c r="AM284" s="55">
        <f t="shared" si="346"/>
        <v>0.11687162007875426</v>
      </c>
      <c r="AN284" s="55">
        <f t="shared" si="346"/>
        <v>0.11946617004450261</v>
      </c>
      <c r="AO284" s="55">
        <f t="shared" si="346"/>
        <v>0.12211831901949055</v>
      </c>
      <c r="AP284" s="55">
        <f t="shared" si="346"/>
        <v>0.12482934570172323</v>
      </c>
      <c r="AQ284" s="55">
        <f t="shared" si="346"/>
        <v>0.1276005571763015</v>
      </c>
      <c r="AR284" s="55">
        <f t="shared" si="346"/>
        <v>0.13043328954561542</v>
      </c>
      <c r="AS284" s="55">
        <f t="shared" si="346"/>
        <v>0.13332890857352805</v>
      </c>
      <c r="AT284" s="55">
        <f t="shared" si="346"/>
        <v>0.13628881034386039</v>
      </c>
      <c r="AU284" s="55">
        <f t="shared" si="346"/>
        <v>0.13931442193349408</v>
      </c>
      <c r="AV284" s="55">
        <f t="shared" si="346"/>
        <v>0.14240720210041763</v>
      </c>
      <c r="AW284" s="55">
        <f t="shared" si="346"/>
        <v>0.14556864198704692</v>
      </c>
      <c r="AX284" s="55">
        <f t="shared" si="346"/>
        <v>0.14880026583915934</v>
      </c>
      <c r="AY284" s="55">
        <f t="shared" si="346"/>
        <v>0.1521036317407887</v>
      </c>
      <c r="AZ284" s="55">
        <f t="shared" si="346"/>
        <v>0.15548033236543421</v>
      </c>
      <c r="BA284" s="55">
        <f t="shared" si="346"/>
        <v>0.15893199574394684</v>
      </c>
      <c r="BB284" s="55">
        <f t="shared" si="346"/>
        <v>0.16246028604946244</v>
      </c>
      <c r="BC284" s="55">
        <f t="shared" si="346"/>
        <v>0.16606690439976055</v>
      </c>
      <c r="BD284" s="55">
        <f t="shared" si="346"/>
        <v>0.1697535896774352</v>
      </c>
      <c r="BE284" s="55">
        <f t="shared" si="346"/>
        <v>0.17352211936827427</v>
      </c>
      <c r="BF284" s="55">
        <f t="shared" si="346"/>
        <v>0.17737431041824994</v>
      </c>
      <c r="BG284" s="55">
        <f t="shared" si="346"/>
        <v>0.18131202010953512</v>
      </c>
      <c r="BH284" s="55">
        <f t="shared" si="346"/>
        <v>0.18533714695596681</v>
      </c>
      <c r="BI284" s="55">
        <f t="shared" si="346"/>
        <v>0.18945163161838924</v>
      </c>
      <c r="BJ284" s="55">
        <f t="shared" si="346"/>
        <v>0.19365745784031746</v>
      </c>
    </row>
    <row r="285" spans="1:62" x14ac:dyDescent="0.3">
      <c r="A285" s="53" t="str">
        <f t="shared" si="310"/>
        <v>project 106</v>
      </c>
      <c r="C285" s="55">
        <f t="shared" ref="C285:AH285" si="347">IF(AND(C$127&gt;=$K74,C$127&lt;=$L74),$G74*(1+$H74)^(C$127-$B$5),0)</f>
        <v>0</v>
      </c>
      <c r="D285" s="55">
        <f t="shared" si="347"/>
        <v>0</v>
      </c>
      <c r="E285" s="55">
        <f t="shared" si="347"/>
        <v>0</v>
      </c>
      <c r="F285" s="55">
        <f t="shared" si="347"/>
        <v>0</v>
      </c>
      <c r="G285" s="55">
        <f t="shared" si="347"/>
        <v>0</v>
      </c>
      <c r="H285" s="55">
        <f t="shared" si="347"/>
        <v>0</v>
      </c>
      <c r="I285" s="55">
        <f t="shared" si="347"/>
        <v>0</v>
      </c>
      <c r="J285" s="55">
        <f t="shared" si="347"/>
        <v>0</v>
      </c>
      <c r="K285" s="55">
        <f t="shared" si="347"/>
        <v>0</v>
      </c>
      <c r="L285" s="55">
        <f t="shared" si="347"/>
        <v>54.287427327471164</v>
      </c>
      <c r="M285" s="55">
        <f t="shared" si="347"/>
        <v>54.998592625461043</v>
      </c>
      <c r="N285" s="55">
        <f t="shared" si="347"/>
        <v>55.719074188854592</v>
      </c>
      <c r="O285" s="55">
        <f t="shared" si="347"/>
        <v>56.448994060728587</v>
      </c>
      <c r="P285" s="55">
        <f t="shared" si="347"/>
        <v>57.188475882924138</v>
      </c>
      <c r="Q285" s="55">
        <f t="shared" si="347"/>
        <v>57.937644916990443</v>
      </c>
      <c r="R285" s="55">
        <f t="shared" si="347"/>
        <v>58.696628065403026</v>
      </c>
      <c r="S285" s="55">
        <f t="shared" si="347"/>
        <v>59.465553893059813</v>
      </c>
      <c r="T285" s="55">
        <f t="shared" si="347"/>
        <v>60.244552649058903</v>
      </c>
      <c r="U285" s="55">
        <f t="shared" si="347"/>
        <v>61.033756288761587</v>
      </c>
      <c r="V285" s="55">
        <f t="shared" si="347"/>
        <v>61.833298496144373</v>
      </c>
      <c r="W285" s="55">
        <f t="shared" si="347"/>
        <v>62.64331470644386</v>
      </c>
      <c r="X285" s="55">
        <f t="shared" si="347"/>
        <v>63.463942129098285</v>
      </c>
      <c r="Y285" s="55">
        <f t="shared" si="347"/>
        <v>64.295319770989465</v>
      </c>
      <c r="Z285" s="55">
        <f t="shared" si="347"/>
        <v>65.137588459989431</v>
      </c>
      <c r="AA285" s="55">
        <f t="shared" si="347"/>
        <v>65.990890868815313</v>
      </c>
      <c r="AB285" s="55">
        <f t="shared" si="347"/>
        <v>66.855371539196796</v>
      </c>
      <c r="AC285" s="55">
        <f t="shared" si="347"/>
        <v>67.731176906360275</v>
      </c>
      <c r="AD285" s="55">
        <f t="shared" si="347"/>
        <v>68.618455323833615</v>
      </c>
      <c r="AE285" s="55">
        <f t="shared" si="347"/>
        <v>69.517357088575821</v>
      </c>
      <c r="AF285" s="55">
        <f t="shared" si="347"/>
        <v>70.428034466436188</v>
      </c>
      <c r="AG285" s="55">
        <f t="shared" si="347"/>
        <v>71.350641717946488</v>
      </c>
      <c r="AH285" s="55">
        <f t="shared" si="347"/>
        <v>72.285335124451606</v>
      </c>
      <c r="AI285" s="55">
        <f t="shared" ref="AI285:BJ285" si="348">IF(AND(AI$127&gt;=$K74,AI$127&lt;=$L74),$G74*(1+$H74)^(AI$127-$B$5),0)</f>
        <v>73.232273014581935</v>
      </c>
      <c r="AJ285" s="55">
        <f t="shared" si="348"/>
        <v>74.191615791072962</v>
      </c>
      <c r="AK285" s="55">
        <f t="shared" si="348"/>
        <v>75.163525957936031</v>
      </c>
      <c r="AL285" s="55">
        <f t="shared" si="348"/>
        <v>76.14816814798499</v>
      </c>
      <c r="AM285" s="55">
        <f t="shared" si="348"/>
        <v>77.145709150723604</v>
      </c>
      <c r="AN285" s="55">
        <f t="shared" si="348"/>
        <v>78.156317940598086</v>
      </c>
      <c r="AO285" s="55">
        <f t="shared" si="348"/>
        <v>79.180165705619928</v>
      </c>
      <c r="AP285" s="55">
        <f t="shared" si="348"/>
        <v>80.217425876363563</v>
      </c>
      <c r="AQ285" s="55">
        <f t="shared" si="348"/>
        <v>81.268274155343917</v>
      </c>
      <c r="AR285" s="55">
        <f t="shared" si="348"/>
        <v>82.332888546778932</v>
      </c>
      <c r="AS285" s="55">
        <f t="shared" si="348"/>
        <v>83.411449386741751</v>
      </c>
      <c r="AT285" s="55">
        <f t="shared" si="348"/>
        <v>84.504139373708085</v>
      </c>
      <c r="AU285" s="55">
        <f t="shared" si="348"/>
        <v>85.611143599503663</v>
      </c>
      <c r="AV285" s="55">
        <f t="shared" si="348"/>
        <v>86.732649580657167</v>
      </c>
      <c r="AW285" s="55">
        <f t="shared" si="348"/>
        <v>87.868847290163785</v>
      </c>
      <c r="AX285" s="55">
        <f t="shared" si="348"/>
        <v>89.019929189664936</v>
      </c>
      <c r="AY285" s="55">
        <f t="shared" si="348"/>
        <v>90.186090262049561</v>
      </c>
      <c r="AZ285" s="55">
        <f t="shared" si="348"/>
        <v>0</v>
      </c>
      <c r="BA285" s="55">
        <f t="shared" si="348"/>
        <v>0</v>
      </c>
      <c r="BB285" s="55">
        <f t="shared" si="348"/>
        <v>0</v>
      </c>
      <c r="BC285" s="55">
        <f t="shared" si="348"/>
        <v>0</v>
      </c>
      <c r="BD285" s="55">
        <f t="shared" si="348"/>
        <v>0</v>
      </c>
      <c r="BE285" s="55">
        <f t="shared" si="348"/>
        <v>0</v>
      </c>
      <c r="BF285" s="55">
        <f t="shared" si="348"/>
        <v>0</v>
      </c>
      <c r="BG285" s="55">
        <f t="shared" si="348"/>
        <v>0</v>
      </c>
      <c r="BH285" s="55">
        <f t="shared" si="348"/>
        <v>0</v>
      </c>
      <c r="BI285" s="55">
        <f t="shared" si="348"/>
        <v>0</v>
      </c>
      <c r="BJ285" s="55">
        <f t="shared" si="348"/>
        <v>0</v>
      </c>
    </row>
    <row r="286" spans="1:62" x14ac:dyDescent="0.3">
      <c r="A286" s="53" t="str">
        <f t="shared" si="310"/>
        <v>project 107</v>
      </c>
      <c r="C286" s="55">
        <f t="shared" ref="C286:AH286" si="349">IF(AND(C$127&gt;=$K75,C$127&lt;=$L75),$G75*(1+$H75)^(C$127-$B$5),0)</f>
        <v>0</v>
      </c>
      <c r="D286" s="55">
        <f t="shared" si="349"/>
        <v>0</v>
      </c>
      <c r="E286" s="55">
        <f t="shared" si="349"/>
        <v>0</v>
      </c>
      <c r="F286" s="55">
        <f t="shared" si="349"/>
        <v>0</v>
      </c>
      <c r="G286" s="55">
        <f t="shared" si="349"/>
        <v>0</v>
      </c>
      <c r="H286" s="55">
        <f t="shared" si="349"/>
        <v>0</v>
      </c>
      <c r="I286" s="55">
        <f t="shared" si="349"/>
        <v>0</v>
      </c>
      <c r="J286" s="55">
        <f t="shared" si="349"/>
        <v>0</v>
      </c>
      <c r="K286" s="55">
        <f t="shared" si="349"/>
        <v>0</v>
      </c>
      <c r="L286" s="55">
        <f t="shared" si="349"/>
        <v>0</v>
      </c>
      <c r="M286" s="55">
        <f t="shared" si="349"/>
        <v>0</v>
      </c>
      <c r="N286" s="55">
        <f t="shared" si="349"/>
        <v>0</v>
      </c>
      <c r="O286" s="55">
        <f t="shared" si="349"/>
        <v>0</v>
      </c>
      <c r="P286" s="55">
        <f t="shared" si="349"/>
        <v>0</v>
      </c>
      <c r="Q286" s="55">
        <f t="shared" si="349"/>
        <v>0</v>
      </c>
      <c r="R286" s="55">
        <f t="shared" si="349"/>
        <v>0</v>
      </c>
      <c r="S286" s="55">
        <f t="shared" si="349"/>
        <v>0</v>
      </c>
      <c r="T286" s="55">
        <f t="shared" si="349"/>
        <v>0</v>
      </c>
      <c r="U286" s="55">
        <f t="shared" si="349"/>
        <v>0</v>
      </c>
      <c r="V286" s="55">
        <f t="shared" si="349"/>
        <v>0</v>
      </c>
      <c r="W286" s="55">
        <f t="shared" si="349"/>
        <v>53.178375803528617</v>
      </c>
      <c r="X286" s="55">
        <f t="shared" si="349"/>
        <v>54.523788711357888</v>
      </c>
      <c r="Y286" s="55">
        <f t="shared" si="349"/>
        <v>55.903240565755247</v>
      </c>
      <c r="Z286" s="55">
        <f t="shared" si="349"/>
        <v>57.317592552068859</v>
      </c>
      <c r="AA286" s="55">
        <f t="shared" si="349"/>
        <v>58.767727643636221</v>
      </c>
      <c r="AB286" s="55">
        <f t="shared" si="349"/>
        <v>60.254551153020216</v>
      </c>
      <c r="AC286" s="55">
        <f t="shared" si="349"/>
        <v>61.778991297191645</v>
      </c>
      <c r="AD286" s="55">
        <f t="shared" si="349"/>
        <v>63.341999777010606</v>
      </c>
      <c r="AE286" s="55">
        <f t="shared" si="349"/>
        <v>64.944552371368985</v>
      </c>
      <c r="AF286" s="55">
        <f t="shared" si="349"/>
        <v>66.587649546364617</v>
      </c>
      <c r="AG286" s="55">
        <f t="shared" si="349"/>
        <v>68.272317079887657</v>
      </c>
      <c r="AH286" s="55">
        <f t="shared" si="349"/>
        <v>69.999606702008819</v>
      </c>
      <c r="AI286" s="55">
        <f t="shared" ref="AI286:BJ286" si="350">IF(AND(AI$127&gt;=$K75,AI$127&lt;=$L75),$G75*(1+$H75)^(AI$127-$B$5),0)</f>
        <v>71.770596751569656</v>
      </c>
      <c r="AJ286" s="55">
        <f t="shared" si="350"/>
        <v>73.586392849384367</v>
      </c>
      <c r="AK286" s="55">
        <f t="shared" si="350"/>
        <v>75.448128588473807</v>
      </c>
      <c r="AL286" s="55">
        <f t="shared" si="350"/>
        <v>77.356966241762208</v>
      </c>
      <c r="AM286" s="55">
        <f t="shared" si="350"/>
        <v>79.314097487678808</v>
      </c>
      <c r="AN286" s="55">
        <f t="shared" si="350"/>
        <v>81.320744154117094</v>
      </c>
      <c r="AO286" s="55">
        <f t="shared" si="350"/>
        <v>83.378158981216259</v>
      </c>
      <c r="AP286" s="55">
        <f t="shared" si="350"/>
        <v>85.487626403441041</v>
      </c>
      <c r="AQ286" s="55">
        <f t="shared" si="350"/>
        <v>87.65046335144811</v>
      </c>
      <c r="AR286" s="55">
        <f t="shared" si="350"/>
        <v>89.868020074239766</v>
      </c>
      <c r="AS286" s="55">
        <f t="shared" si="350"/>
        <v>92.141680982118046</v>
      </c>
      <c r="AT286" s="55">
        <f t="shared" si="350"/>
        <v>94.472865510965647</v>
      </c>
      <c r="AU286" s="55">
        <f t="shared" si="350"/>
        <v>96.863029008393099</v>
      </c>
      <c r="AV286" s="55">
        <f t="shared" si="350"/>
        <v>99.313663642305428</v>
      </c>
      <c r="AW286" s="55">
        <f t="shared" si="350"/>
        <v>101.82629933245579</v>
      </c>
      <c r="AX286" s="55">
        <f t="shared" si="350"/>
        <v>104.40250470556691</v>
      </c>
      <c r="AY286" s="55">
        <f t="shared" si="350"/>
        <v>107.04388807461778</v>
      </c>
      <c r="AZ286" s="55">
        <f t="shared" si="350"/>
        <v>109.75209844290563</v>
      </c>
      <c r="BA286" s="55">
        <f t="shared" si="350"/>
        <v>112.52882653351116</v>
      </c>
      <c r="BB286" s="55">
        <f t="shared" si="350"/>
        <v>115.37580584480901</v>
      </c>
      <c r="BC286" s="55">
        <f t="shared" si="350"/>
        <v>118.2948137326827</v>
      </c>
      <c r="BD286" s="55">
        <f t="shared" si="350"/>
        <v>121.28767252011957</v>
      </c>
      <c r="BE286" s="55">
        <f t="shared" si="350"/>
        <v>124.35625063487861</v>
      </c>
      <c r="BF286" s="55">
        <f t="shared" si="350"/>
        <v>127.50246377594105</v>
      </c>
      <c r="BG286" s="55">
        <f t="shared" si="350"/>
        <v>130.7282761094724</v>
      </c>
      <c r="BH286" s="55">
        <f t="shared" si="350"/>
        <v>134.03570149504205</v>
      </c>
      <c r="BI286" s="55">
        <f t="shared" si="350"/>
        <v>137.42680474286666</v>
      </c>
      <c r="BJ286" s="55">
        <f t="shared" si="350"/>
        <v>140.9037029028612</v>
      </c>
    </row>
    <row r="287" spans="1:62" x14ac:dyDescent="0.3">
      <c r="A287" s="53" t="str">
        <f t="shared" si="310"/>
        <v>project 108</v>
      </c>
      <c r="C287" s="55">
        <f t="shared" ref="C287:AH287" si="351">IF(AND(C$127&gt;=$K76,C$127&lt;=$L76),$G76*(1+$H76)^(C$127-$B$5),0)</f>
        <v>0</v>
      </c>
      <c r="D287" s="55">
        <f t="shared" si="351"/>
        <v>0</v>
      </c>
      <c r="E287" s="55">
        <f t="shared" si="351"/>
        <v>0</v>
      </c>
      <c r="F287" s="55">
        <f t="shared" si="351"/>
        <v>0</v>
      </c>
      <c r="G287" s="55">
        <f t="shared" si="351"/>
        <v>0</v>
      </c>
      <c r="H287" s="55">
        <f t="shared" si="351"/>
        <v>0</v>
      </c>
      <c r="I287" s="55">
        <f t="shared" si="351"/>
        <v>0</v>
      </c>
      <c r="J287" s="55">
        <f t="shared" si="351"/>
        <v>0</v>
      </c>
      <c r="K287" s="55">
        <f t="shared" si="351"/>
        <v>0</v>
      </c>
      <c r="L287" s="55">
        <f t="shared" si="351"/>
        <v>0</v>
      </c>
      <c r="M287" s="55">
        <f t="shared" si="351"/>
        <v>0</v>
      </c>
      <c r="N287" s="55">
        <f t="shared" si="351"/>
        <v>0</v>
      </c>
      <c r="O287" s="55">
        <f t="shared" si="351"/>
        <v>0</v>
      </c>
      <c r="P287" s="55">
        <f t="shared" si="351"/>
        <v>0</v>
      </c>
      <c r="Q287" s="55">
        <f t="shared" si="351"/>
        <v>0</v>
      </c>
      <c r="R287" s="55">
        <f t="shared" si="351"/>
        <v>0</v>
      </c>
      <c r="S287" s="55">
        <f t="shared" si="351"/>
        <v>0</v>
      </c>
      <c r="T287" s="55">
        <f t="shared" si="351"/>
        <v>0</v>
      </c>
      <c r="U287" s="55">
        <f t="shared" si="351"/>
        <v>0</v>
      </c>
      <c r="V287" s="55">
        <f t="shared" si="351"/>
        <v>0</v>
      </c>
      <c r="W287" s="55">
        <f t="shared" si="351"/>
        <v>42.456152239427119</v>
      </c>
      <c r="X287" s="55">
        <f t="shared" si="351"/>
        <v>43.339240206007197</v>
      </c>
      <c r="Y287" s="55">
        <f t="shared" si="351"/>
        <v>44.240696402292151</v>
      </c>
      <c r="Z287" s="55">
        <f t="shared" si="351"/>
        <v>45.16090288745982</v>
      </c>
      <c r="AA287" s="55">
        <f t="shared" si="351"/>
        <v>46.10024966751898</v>
      </c>
      <c r="AB287" s="55">
        <f t="shared" si="351"/>
        <v>47.059134860603379</v>
      </c>
      <c r="AC287" s="55">
        <f t="shared" si="351"/>
        <v>48.037964865703927</v>
      </c>
      <c r="AD287" s="55">
        <f t="shared" si="351"/>
        <v>49.037154534910563</v>
      </c>
      <c r="AE287" s="55">
        <f t="shared" si="351"/>
        <v>50.057127349236701</v>
      </c>
      <c r="AF287" s="55">
        <f t="shared" si="351"/>
        <v>51.098315598100825</v>
      </c>
      <c r="AG287" s="55">
        <f t="shared" si="351"/>
        <v>52.161160562541326</v>
      </c>
      <c r="AH287" s="55">
        <f t="shared" si="351"/>
        <v>53.246112702242186</v>
      </c>
      <c r="AI287" s="55">
        <f t="shared" ref="AI287:BJ287" si="352">IF(AND(AI$127&gt;=$K76,AI$127&lt;=$L76),$G76*(1+$H76)^(AI$127-$B$5),0)</f>
        <v>54.353631846448806</v>
      </c>
      <c r="AJ287" s="55">
        <f t="shared" si="352"/>
        <v>55.484187388854942</v>
      </c>
      <c r="AK287" s="55">
        <f t="shared" si="352"/>
        <v>56.63825848654313</v>
      </c>
      <c r="AL287" s="55">
        <f t="shared" si="352"/>
        <v>57.816334263063219</v>
      </c>
      <c r="AM287" s="55">
        <f t="shared" si="352"/>
        <v>59.018914015734936</v>
      </c>
      <c r="AN287" s="55">
        <f t="shared" si="352"/>
        <v>60.246507427262223</v>
      </c>
      <c r="AO287" s="55">
        <f t="shared" si="352"/>
        <v>61.499634781749272</v>
      </c>
      <c r="AP287" s="55">
        <f t="shared" si="352"/>
        <v>62.778827185209657</v>
      </c>
      <c r="AQ287" s="55">
        <f t="shared" si="352"/>
        <v>64.084626790662014</v>
      </c>
      <c r="AR287" s="55">
        <f t="shared" si="352"/>
        <v>65.417587027907786</v>
      </c>
      <c r="AS287" s="55">
        <f t="shared" si="352"/>
        <v>66.778272838088256</v>
      </c>
      <c r="AT287" s="55">
        <f t="shared" si="352"/>
        <v>68.167260913120501</v>
      </c>
      <c r="AU287" s="55">
        <f t="shared" si="352"/>
        <v>69.585139940113393</v>
      </c>
      <c r="AV287" s="55">
        <f t="shared" si="352"/>
        <v>71.032510850867752</v>
      </c>
      <c r="AW287" s="55">
        <f t="shared" si="352"/>
        <v>72.509987076565807</v>
      </c>
      <c r="AX287" s="55">
        <f t="shared" si="352"/>
        <v>74.018194807758377</v>
      </c>
      <c r="AY287" s="55">
        <f t="shared" si="352"/>
        <v>75.557773259759728</v>
      </c>
      <c r="AZ287" s="55">
        <f t="shared" si="352"/>
        <v>77.129374943562723</v>
      </c>
      <c r="BA287" s="55">
        <f t="shared" si="352"/>
        <v>78.733665942388839</v>
      </c>
      <c r="BB287" s="55">
        <f t="shared" si="352"/>
        <v>80.371326193990512</v>
      </c>
      <c r="BC287" s="55">
        <f t="shared" si="352"/>
        <v>82.043049778825534</v>
      </c>
      <c r="BD287" s="55">
        <f t="shared" si="352"/>
        <v>83.74954521422508</v>
      </c>
      <c r="BE287" s="55">
        <f t="shared" si="352"/>
        <v>85.491535754680982</v>
      </c>
      <c r="BF287" s="55">
        <f t="shared" si="352"/>
        <v>87.269759698378337</v>
      </c>
      <c r="BG287" s="55">
        <f t="shared" si="352"/>
        <v>89.084970700104591</v>
      </c>
      <c r="BH287" s="55">
        <f t="shared" si="352"/>
        <v>90.937938090666762</v>
      </c>
      <c r="BI287" s="55">
        <f t="shared" si="352"/>
        <v>92.829447202952622</v>
      </c>
      <c r="BJ287" s="55">
        <f t="shared" si="352"/>
        <v>94.760299704774042</v>
      </c>
    </row>
    <row r="288" spans="1:62" x14ac:dyDescent="0.3">
      <c r="A288" s="53" t="str">
        <f t="shared" si="310"/>
        <v>project 110</v>
      </c>
      <c r="C288" s="55">
        <f t="shared" ref="C288:AH288" si="353">IF(AND(C$127&gt;=$K77,C$127&lt;=$L77),$G77*(1+$H77)^(C$127-$B$5),0)</f>
        <v>0</v>
      </c>
      <c r="D288" s="55">
        <f t="shared" si="353"/>
        <v>0</v>
      </c>
      <c r="E288" s="55">
        <f t="shared" si="353"/>
        <v>0</v>
      </c>
      <c r="F288" s="55">
        <f t="shared" si="353"/>
        <v>0</v>
      </c>
      <c r="G288" s="55">
        <f t="shared" si="353"/>
        <v>0</v>
      </c>
      <c r="H288" s="55">
        <f t="shared" si="353"/>
        <v>0</v>
      </c>
      <c r="I288" s="55">
        <f t="shared" si="353"/>
        <v>0</v>
      </c>
      <c r="J288" s="55">
        <f t="shared" si="353"/>
        <v>0</v>
      </c>
      <c r="K288" s="55">
        <f t="shared" si="353"/>
        <v>0</v>
      </c>
      <c r="L288" s="55">
        <f t="shared" si="353"/>
        <v>0</v>
      </c>
      <c r="M288" s="55">
        <f t="shared" si="353"/>
        <v>0</v>
      </c>
      <c r="N288" s="55">
        <f t="shared" si="353"/>
        <v>0</v>
      </c>
      <c r="O288" s="55">
        <f t="shared" si="353"/>
        <v>0</v>
      </c>
      <c r="P288" s="55">
        <f t="shared" si="353"/>
        <v>0</v>
      </c>
      <c r="Q288" s="55">
        <f t="shared" si="353"/>
        <v>0</v>
      </c>
      <c r="R288" s="55">
        <f t="shared" si="353"/>
        <v>0</v>
      </c>
      <c r="S288" s="55">
        <f t="shared" si="353"/>
        <v>0</v>
      </c>
      <c r="T288" s="55">
        <f t="shared" si="353"/>
        <v>0</v>
      </c>
      <c r="U288" s="55">
        <f t="shared" si="353"/>
        <v>0</v>
      </c>
      <c r="V288" s="55">
        <f t="shared" si="353"/>
        <v>0</v>
      </c>
      <c r="W288" s="55">
        <f t="shared" si="353"/>
        <v>31.844107157100421</v>
      </c>
      <c r="X288" s="55">
        <f t="shared" si="353"/>
        <v>32.659316300322196</v>
      </c>
      <c r="Y288" s="55">
        <f t="shared" si="353"/>
        <v>33.495394797610444</v>
      </c>
      <c r="Z288" s="55">
        <f t="shared" si="353"/>
        <v>34.352876904429273</v>
      </c>
      <c r="AA288" s="55">
        <f t="shared" si="353"/>
        <v>35.232310553182664</v>
      </c>
      <c r="AB288" s="55">
        <f t="shared" si="353"/>
        <v>36.134257703344147</v>
      </c>
      <c r="AC288" s="55">
        <f t="shared" si="353"/>
        <v>37.059294700549763</v>
      </c>
      <c r="AD288" s="55">
        <f t="shared" si="353"/>
        <v>38.008012644883834</v>
      </c>
      <c r="AE288" s="55">
        <f t="shared" si="353"/>
        <v>38.981017768592871</v>
      </c>
      <c r="AF288" s="55">
        <f t="shared" si="353"/>
        <v>39.978931823468855</v>
      </c>
      <c r="AG288" s="55">
        <f t="shared" si="353"/>
        <v>41.002392478149659</v>
      </c>
      <c r="AH288" s="55">
        <f t="shared" si="353"/>
        <v>42.052053725590291</v>
      </c>
      <c r="AI288" s="55">
        <f t="shared" ref="AI288:BJ288" si="354">IF(AND(AI$127&gt;=$K77,AI$127&lt;=$L77),$G77*(1+$H77)^(AI$127-$B$5),0)</f>
        <v>43.128586300965409</v>
      </c>
      <c r="AJ288" s="55">
        <f t="shared" si="354"/>
        <v>44.232678110270129</v>
      </c>
      <c r="AK288" s="55">
        <f t="shared" si="354"/>
        <v>45.365034669893049</v>
      </c>
      <c r="AL288" s="55">
        <f t="shared" si="354"/>
        <v>46.526379557442318</v>
      </c>
      <c r="AM288" s="55">
        <f t="shared" si="354"/>
        <v>47.717454874112839</v>
      </c>
      <c r="AN288" s="55">
        <f t="shared" si="354"/>
        <v>48.939021718890132</v>
      </c>
      <c r="AO288" s="55">
        <f t="shared" si="354"/>
        <v>50.191860674893718</v>
      </c>
      <c r="AP288" s="55">
        <f t="shared" si="354"/>
        <v>51.476772308171007</v>
      </c>
      <c r="AQ288" s="55">
        <f t="shared" si="354"/>
        <v>52.794577679260193</v>
      </c>
      <c r="AR288" s="55">
        <f t="shared" si="354"/>
        <v>54.146118867849253</v>
      </c>
      <c r="AS288" s="55">
        <f t="shared" si="354"/>
        <v>55.532259510866204</v>
      </c>
      <c r="AT288" s="55">
        <f t="shared" si="354"/>
        <v>56.953885354344379</v>
      </c>
      <c r="AU288" s="55">
        <f t="shared" si="354"/>
        <v>58.411904819415611</v>
      </c>
      <c r="AV288" s="55">
        <f t="shared" si="354"/>
        <v>59.907249582792652</v>
      </c>
      <c r="AW288" s="55">
        <f t="shared" si="354"/>
        <v>61.440875172112158</v>
      </c>
      <c r="AX288" s="55">
        <f t="shared" si="354"/>
        <v>63.013761576518235</v>
      </c>
      <c r="AY288" s="55">
        <f t="shared" si="354"/>
        <v>64.626913872877097</v>
      </c>
      <c r="AZ288" s="55">
        <f t="shared" si="354"/>
        <v>66.281362868022754</v>
      </c>
      <c r="BA288" s="55">
        <f t="shared" si="354"/>
        <v>67.97816575744416</v>
      </c>
      <c r="BB288" s="55">
        <f t="shared" si="354"/>
        <v>69.718406800834728</v>
      </c>
      <c r="BC288" s="55">
        <f t="shared" si="354"/>
        <v>71.503198014936103</v>
      </c>
      <c r="BD288" s="55">
        <f t="shared" si="354"/>
        <v>73.333679884118482</v>
      </c>
      <c r="BE288" s="55">
        <f t="shared" si="354"/>
        <v>75.211022089151911</v>
      </c>
      <c r="BF288" s="55">
        <f t="shared" si="354"/>
        <v>77.136424254634207</v>
      </c>
      <c r="BG288" s="55">
        <f t="shared" si="354"/>
        <v>79.111116715552853</v>
      </c>
      <c r="BH288" s="55">
        <f t="shared" si="354"/>
        <v>81.136361303471006</v>
      </c>
      <c r="BI288" s="55">
        <f t="shared" si="354"/>
        <v>83.213452152839892</v>
      </c>
      <c r="BJ288" s="55">
        <f t="shared" si="354"/>
        <v>85.343716527952594</v>
      </c>
    </row>
    <row r="289" spans="1:62" x14ac:dyDescent="0.3">
      <c r="A289" s="53" t="str">
        <f t="shared" si="310"/>
        <v>project 112</v>
      </c>
      <c r="C289" s="55">
        <f t="shared" ref="C289:AH289" si="355">IF(AND(C$127&gt;=$K78,C$127&lt;=$L78),$G78*(1+$H78)^(C$127-$B$5),0)</f>
        <v>0</v>
      </c>
      <c r="D289" s="55">
        <f t="shared" si="355"/>
        <v>0</v>
      </c>
      <c r="E289" s="55">
        <f t="shared" si="355"/>
        <v>0</v>
      </c>
      <c r="F289" s="55">
        <f t="shared" si="355"/>
        <v>0</v>
      </c>
      <c r="G289" s="55">
        <f t="shared" si="355"/>
        <v>0</v>
      </c>
      <c r="H289" s="55">
        <f t="shared" si="355"/>
        <v>0</v>
      </c>
      <c r="I289" s="55">
        <f t="shared" si="355"/>
        <v>0</v>
      </c>
      <c r="J289" s="55">
        <f t="shared" si="355"/>
        <v>0</v>
      </c>
      <c r="K289" s="55">
        <f t="shared" si="355"/>
        <v>0</v>
      </c>
      <c r="L289" s="55">
        <f t="shared" si="355"/>
        <v>0</v>
      </c>
      <c r="M289" s="55">
        <f t="shared" si="355"/>
        <v>0</v>
      </c>
      <c r="N289" s="55">
        <f t="shared" si="355"/>
        <v>0</v>
      </c>
      <c r="O289" s="55">
        <f t="shared" si="355"/>
        <v>0</v>
      </c>
      <c r="P289" s="55">
        <f t="shared" si="355"/>
        <v>0</v>
      </c>
      <c r="Q289" s="55">
        <f t="shared" si="355"/>
        <v>0</v>
      </c>
      <c r="R289" s="55">
        <f t="shared" si="355"/>
        <v>0</v>
      </c>
      <c r="S289" s="55">
        <f t="shared" si="355"/>
        <v>0</v>
      </c>
      <c r="T289" s="55">
        <f t="shared" si="355"/>
        <v>0</v>
      </c>
      <c r="U289" s="55">
        <f t="shared" si="355"/>
        <v>0</v>
      </c>
      <c r="V289" s="55">
        <f t="shared" si="355"/>
        <v>0</v>
      </c>
      <c r="W289" s="55">
        <f t="shared" si="355"/>
        <v>33.257431051851732</v>
      </c>
      <c r="X289" s="55">
        <f t="shared" si="355"/>
        <v>33.942534131519871</v>
      </c>
      <c r="Y289" s="55">
        <f t="shared" si="355"/>
        <v>34.641750334629187</v>
      </c>
      <c r="Z289" s="55">
        <f t="shared" si="355"/>
        <v>35.355370391522548</v>
      </c>
      <c r="AA289" s="55">
        <f t="shared" si="355"/>
        <v>36.083691021587903</v>
      </c>
      <c r="AB289" s="55">
        <f t="shared" si="355"/>
        <v>36.827015056632611</v>
      </c>
      <c r="AC289" s="55">
        <f t="shared" si="355"/>
        <v>37.585651566799243</v>
      </c>
      <c r="AD289" s="55">
        <f t="shared" si="355"/>
        <v>38.359915989075304</v>
      </c>
      <c r="AE289" s="55">
        <f t="shared" si="355"/>
        <v>39.150130258450254</v>
      </c>
      <c r="AF289" s="55">
        <f t="shared" si="355"/>
        <v>39.956622941774327</v>
      </c>
      <c r="AG289" s="55">
        <f t="shared" si="355"/>
        <v>40.779729374374874</v>
      </c>
      <c r="AH289" s="55">
        <f t="shared" si="355"/>
        <v>41.619791799486997</v>
      </c>
      <c r="AI289" s="55">
        <f t="shared" ref="AI289:BJ289" si="356">IF(AND(AI$127&gt;=$K78,AI$127&lt;=$L78),$G78*(1+$H78)^(AI$127-$B$5),0)</f>
        <v>42.477159510556419</v>
      </c>
      <c r="AJ289" s="55">
        <f t="shared" si="356"/>
        <v>43.352188996473878</v>
      </c>
      <c r="AK289" s="55">
        <f t="shared" si="356"/>
        <v>44.245244089801247</v>
      </c>
      <c r="AL289" s="55">
        <f t="shared" si="356"/>
        <v>45.156696118051144</v>
      </c>
      <c r="AM289" s="55">
        <f t="shared" si="356"/>
        <v>46.086924058082992</v>
      </c>
      <c r="AN289" s="55">
        <f t="shared" si="356"/>
        <v>47.0363146936795</v>
      </c>
      <c r="AO289" s="55">
        <f t="shared" si="356"/>
        <v>48.005262776369293</v>
      </c>
      <c r="AP289" s="55">
        <f t="shared" si="356"/>
        <v>48.994171189562508</v>
      </c>
      <c r="AQ289" s="55">
        <f t="shared" si="356"/>
        <v>50.003451116067481</v>
      </c>
      <c r="AR289" s="55">
        <f t="shared" si="356"/>
        <v>51.033522209058475</v>
      </c>
      <c r="AS289" s="55">
        <f t="shared" si="356"/>
        <v>52.084812766565072</v>
      </c>
      <c r="AT289" s="55">
        <f t="shared" si="356"/>
        <v>53.157759909556304</v>
      </c>
      <c r="AU289" s="55">
        <f t="shared" si="356"/>
        <v>54.252809763693165</v>
      </c>
      <c r="AV289" s="55">
        <f t="shared" si="356"/>
        <v>55.370417644825238</v>
      </c>
      <c r="AW289" s="55">
        <f t="shared" si="356"/>
        <v>56.511048248308633</v>
      </c>
      <c r="AX289" s="55">
        <f t="shared" si="356"/>
        <v>57.675175842223794</v>
      </c>
      <c r="AY289" s="55">
        <f t="shared" si="356"/>
        <v>58.863284464573596</v>
      </c>
      <c r="AZ289" s="55">
        <f t="shared" si="356"/>
        <v>60.075868124543796</v>
      </c>
      <c r="BA289" s="55">
        <f t="shared" si="356"/>
        <v>61.313431007909401</v>
      </c>
      <c r="BB289" s="55">
        <f t="shared" si="356"/>
        <v>62.576487686672337</v>
      </c>
      <c r="BC289" s="55">
        <f t="shared" si="356"/>
        <v>63.865563333017782</v>
      </c>
      <c r="BD289" s="55">
        <f t="shared" si="356"/>
        <v>65.181193937677932</v>
      </c>
      <c r="BE289" s="55">
        <f t="shared" si="356"/>
        <v>66.523926532794107</v>
      </c>
      <c r="BF289" s="55">
        <f t="shared" si="356"/>
        <v>67.894319419369666</v>
      </c>
      <c r="BG289" s="55">
        <f t="shared" si="356"/>
        <v>69.292942399408673</v>
      </c>
      <c r="BH289" s="55">
        <f t="shared" si="356"/>
        <v>70.720377012836479</v>
      </c>
      <c r="BI289" s="55">
        <f t="shared" si="356"/>
        <v>72.177216779300906</v>
      </c>
      <c r="BJ289" s="55">
        <f t="shared" si="356"/>
        <v>73.664067444954497</v>
      </c>
    </row>
    <row r="290" spans="1:62" x14ac:dyDescent="0.3">
      <c r="A290" s="53" t="str">
        <f t="shared" si="310"/>
        <v>project 116</v>
      </c>
      <c r="C290" s="55">
        <f t="shared" ref="C290:AH290" si="357">IF(AND(C$127&gt;=$K79,C$127&lt;=$L79),$G79*(1+$H79)^(C$127-$B$5),0)</f>
        <v>0</v>
      </c>
      <c r="D290" s="55">
        <f t="shared" si="357"/>
        <v>0</v>
      </c>
      <c r="E290" s="55">
        <f t="shared" si="357"/>
        <v>0</v>
      </c>
      <c r="F290" s="55">
        <f t="shared" si="357"/>
        <v>0</v>
      </c>
      <c r="G290" s="55">
        <f t="shared" si="357"/>
        <v>0</v>
      </c>
      <c r="H290" s="55">
        <f t="shared" si="357"/>
        <v>18.856071323265649</v>
      </c>
      <c r="I290" s="55">
        <f t="shared" si="357"/>
        <v>19.04463203649831</v>
      </c>
      <c r="J290" s="55">
        <f t="shared" si="357"/>
        <v>19.235078356863287</v>
      </c>
      <c r="K290" s="55">
        <f t="shared" si="357"/>
        <v>19.427429140431926</v>
      </c>
      <c r="L290" s="55">
        <f t="shared" si="357"/>
        <v>19.621703431836245</v>
      </c>
      <c r="M290" s="55">
        <f t="shared" si="357"/>
        <v>19.817920466154607</v>
      </c>
      <c r="N290" s="55">
        <f t="shared" si="357"/>
        <v>20.01609967081615</v>
      </c>
      <c r="O290" s="55">
        <f t="shared" si="357"/>
        <v>20.216260667524313</v>
      </c>
      <c r="P290" s="55">
        <f t="shared" si="357"/>
        <v>20.418423274199554</v>
      </c>
      <c r="Q290" s="55">
        <f t="shared" si="357"/>
        <v>20.622607506941556</v>
      </c>
      <c r="R290" s="55">
        <f t="shared" si="357"/>
        <v>20.828833582010965</v>
      </c>
      <c r="S290" s="55">
        <f t="shared" si="357"/>
        <v>21.03712191783108</v>
      </c>
      <c r="T290" s="55">
        <f t="shared" si="357"/>
        <v>21.247493137009393</v>
      </c>
      <c r="U290" s="55">
        <f t="shared" si="357"/>
        <v>21.459968068379485</v>
      </c>
      <c r="V290" s="55">
        <f t="shared" si="357"/>
        <v>21.674567749063275</v>
      </c>
      <c r="W290" s="55">
        <f t="shared" si="357"/>
        <v>21.891313426553911</v>
      </c>
      <c r="X290" s="55">
        <f t="shared" si="357"/>
        <v>22.110226560819449</v>
      </c>
      <c r="Y290" s="55">
        <f t="shared" si="357"/>
        <v>22.331328826427647</v>
      </c>
      <c r="Z290" s="55">
        <f t="shared" si="357"/>
        <v>22.554642114691919</v>
      </c>
      <c r="AA290" s="55">
        <f t="shared" si="357"/>
        <v>22.780188535838846</v>
      </c>
      <c r="AB290" s="55">
        <f t="shared" si="357"/>
        <v>23.007990421197235</v>
      </c>
      <c r="AC290" s="55">
        <f t="shared" si="357"/>
        <v>23.238070325409208</v>
      </c>
      <c r="AD290" s="55">
        <f t="shared" si="357"/>
        <v>23.470451028663291</v>
      </c>
      <c r="AE290" s="55">
        <f t="shared" si="357"/>
        <v>23.705155538949928</v>
      </c>
      <c r="AF290" s="55">
        <f t="shared" si="357"/>
        <v>23.942207094339427</v>
      </c>
      <c r="AG290" s="55">
        <f t="shared" si="357"/>
        <v>24.181629165282828</v>
      </c>
      <c r="AH290" s="55">
        <f t="shared" si="357"/>
        <v>24.423445456935646</v>
      </c>
      <c r="AI290" s="55">
        <f t="shared" ref="AI290:BJ290" si="358">IF(AND(AI$127&gt;=$K79,AI$127&lt;=$L79),$G79*(1+$H79)^(AI$127-$B$5),0)</f>
        <v>24.667679911505008</v>
      </c>
      <c r="AJ290" s="55">
        <f t="shared" si="358"/>
        <v>24.914356710620059</v>
      </c>
      <c r="AK290" s="55">
        <f t="shared" si="358"/>
        <v>25.163500277726261</v>
      </c>
      <c r="AL290" s="55">
        <f t="shared" si="358"/>
        <v>25.41513528050352</v>
      </c>
      <c r="AM290" s="55">
        <f t="shared" si="358"/>
        <v>25.669286633308555</v>
      </c>
      <c r="AN290" s="55">
        <f t="shared" si="358"/>
        <v>25.925979499641642</v>
      </c>
      <c r="AO290" s="55">
        <f t="shared" si="358"/>
        <v>26.185239294638063</v>
      </c>
      <c r="AP290" s="55">
        <f t="shared" si="358"/>
        <v>26.447091687584436</v>
      </c>
      <c r="AQ290" s="55">
        <f t="shared" si="358"/>
        <v>26.711562604460287</v>
      </c>
      <c r="AR290" s="55">
        <f t="shared" si="358"/>
        <v>26.97867823050489</v>
      </c>
      <c r="AS290" s="55">
        <f t="shared" si="358"/>
        <v>27.248465012809945</v>
      </c>
      <c r="AT290" s="55">
        <f t="shared" si="358"/>
        <v>27.520949662938037</v>
      </c>
      <c r="AU290" s="55">
        <f t="shared" si="358"/>
        <v>27.796159159567416</v>
      </c>
      <c r="AV290" s="55">
        <f t="shared" si="358"/>
        <v>0</v>
      </c>
      <c r="AW290" s="55">
        <f t="shared" si="358"/>
        <v>0</v>
      </c>
      <c r="AX290" s="55">
        <f t="shared" si="358"/>
        <v>0</v>
      </c>
      <c r="AY290" s="55">
        <f t="shared" si="358"/>
        <v>0</v>
      </c>
      <c r="AZ290" s="55">
        <f t="shared" si="358"/>
        <v>0</v>
      </c>
      <c r="BA290" s="55">
        <f t="shared" si="358"/>
        <v>0</v>
      </c>
      <c r="BB290" s="55">
        <f t="shared" si="358"/>
        <v>0</v>
      </c>
      <c r="BC290" s="55">
        <f t="shared" si="358"/>
        <v>0</v>
      </c>
      <c r="BD290" s="55">
        <f t="shared" si="358"/>
        <v>0</v>
      </c>
      <c r="BE290" s="55">
        <f t="shared" si="358"/>
        <v>0</v>
      </c>
      <c r="BF290" s="55">
        <f t="shared" si="358"/>
        <v>0</v>
      </c>
      <c r="BG290" s="55">
        <f t="shared" si="358"/>
        <v>0</v>
      </c>
      <c r="BH290" s="55">
        <f t="shared" si="358"/>
        <v>0</v>
      </c>
      <c r="BI290" s="55">
        <f t="shared" si="358"/>
        <v>0</v>
      </c>
      <c r="BJ290" s="55">
        <f t="shared" si="358"/>
        <v>0</v>
      </c>
    </row>
    <row r="291" spans="1:62" x14ac:dyDescent="0.3">
      <c r="A291" s="53" t="str">
        <f t="shared" si="310"/>
        <v>project 119</v>
      </c>
      <c r="C291" s="55">
        <f t="shared" ref="C291:AH291" si="359">IF(AND(C$127&gt;=$K80,C$127&lt;=$L80),$G80*(1+$H80)^(C$127-$B$5),0)</f>
        <v>0</v>
      </c>
      <c r="D291" s="55">
        <f t="shared" si="359"/>
        <v>0</v>
      </c>
      <c r="E291" s="55">
        <f t="shared" si="359"/>
        <v>0</v>
      </c>
      <c r="F291" s="55">
        <f t="shared" si="359"/>
        <v>0</v>
      </c>
      <c r="G291" s="55">
        <f t="shared" si="359"/>
        <v>0</v>
      </c>
      <c r="H291" s="55">
        <f t="shared" si="359"/>
        <v>0</v>
      </c>
      <c r="I291" s="55">
        <f t="shared" si="359"/>
        <v>0</v>
      </c>
      <c r="J291" s="55">
        <f t="shared" si="359"/>
        <v>0</v>
      </c>
      <c r="K291" s="55">
        <f t="shared" si="359"/>
        <v>10.0458208295037</v>
      </c>
      <c r="L291" s="55">
        <f t="shared" si="359"/>
        <v>10.211576873190511</v>
      </c>
      <c r="M291" s="55">
        <f t="shared" si="359"/>
        <v>10.380067891598156</v>
      </c>
      <c r="N291" s="55">
        <f t="shared" si="359"/>
        <v>10.551339011809524</v>
      </c>
      <c r="O291" s="55">
        <f t="shared" si="359"/>
        <v>10.725436105504382</v>
      </c>
      <c r="P291" s="55">
        <f t="shared" si="359"/>
        <v>10.902405801245203</v>
      </c>
      <c r="Q291" s="55">
        <f t="shared" si="359"/>
        <v>11.082295496965751</v>
      </c>
      <c r="R291" s="55">
        <f t="shared" si="359"/>
        <v>11.265153372665685</v>
      </c>
      <c r="S291" s="55">
        <f t="shared" si="359"/>
        <v>11.451028403314671</v>
      </c>
      <c r="T291" s="55">
        <f t="shared" si="359"/>
        <v>11.639970371969364</v>
      </c>
      <c r="U291" s="55">
        <f t="shared" si="359"/>
        <v>11.832029883106859</v>
      </c>
      <c r="V291" s="55">
        <f t="shared" si="359"/>
        <v>12.02725837617812</v>
      </c>
      <c r="W291" s="55">
        <f t="shared" si="359"/>
        <v>12.225708139385059</v>
      </c>
      <c r="X291" s="55">
        <f t="shared" si="359"/>
        <v>12.427432323684911</v>
      </c>
      <c r="Y291" s="55">
        <f t="shared" si="359"/>
        <v>12.632484957025714</v>
      </c>
      <c r="Z291" s="55">
        <f t="shared" si="359"/>
        <v>12.840920958816637</v>
      </c>
      <c r="AA291" s="55">
        <f t="shared" si="359"/>
        <v>13.052796154637116</v>
      </c>
      <c r="AB291" s="55">
        <f t="shared" si="359"/>
        <v>13.268167291188627</v>
      </c>
      <c r="AC291" s="55">
        <f t="shared" si="359"/>
        <v>13.48709205149324</v>
      </c>
      <c r="AD291" s="55">
        <f t="shared" si="359"/>
        <v>13.709629070342878</v>
      </c>
      <c r="AE291" s="55">
        <f t="shared" si="359"/>
        <v>13.935837950003537</v>
      </c>
      <c r="AF291" s="55">
        <f t="shared" si="359"/>
        <v>14.165779276178593</v>
      </c>
      <c r="AG291" s="55">
        <f t="shared" si="359"/>
        <v>14.399514634235544</v>
      </c>
      <c r="AH291" s="55">
        <f t="shared" si="359"/>
        <v>14.637106625700428</v>
      </c>
      <c r="AI291" s="55">
        <f t="shared" ref="AI291:BJ291" si="360">IF(AND(AI$127&gt;=$K80,AI$127&lt;=$L80),$G80*(1+$H80)^(AI$127-$B$5),0)</f>
        <v>14.878618885024487</v>
      </c>
      <c r="AJ291" s="55">
        <f t="shared" si="360"/>
        <v>15.124116096627391</v>
      </c>
      <c r="AK291" s="55">
        <f t="shared" si="360"/>
        <v>15.373664012221743</v>
      </c>
      <c r="AL291" s="55">
        <f t="shared" si="360"/>
        <v>15.627329468423401</v>
      </c>
      <c r="AM291" s="55">
        <f t="shared" si="360"/>
        <v>15.88518040465239</v>
      </c>
      <c r="AN291" s="55">
        <f t="shared" si="360"/>
        <v>16.14728588132915</v>
      </c>
      <c r="AO291" s="55">
        <f t="shared" si="360"/>
        <v>16.413716098371083</v>
      </c>
      <c r="AP291" s="55">
        <f t="shared" si="360"/>
        <v>16.684542413994205</v>
      </c>
      <c r="AQ291" s="55">
        <f t="shared" si="360"/>
        <v>16.959837363825116</v>
      </c>
      <c r="AR291" s="55">
        <f t="shared" si="360"/>
        <v>17.239674680328228</v>
      </c>
      <c r="AS291" s="55">
        <f t="shared" si="360"/>
        <v>17.524129312553644</v>
      </c>
      <c r="AT291" s="55">
        <f t="shared" si="360"/>
        <v>17.81327744621078</v>
      </c>
      <c r="AU291" s="55">
        <f t="shared" si="360"/>
        <v>18.107196524073256</v>
      </c>
      <c r="AV291" s="55">
        <f t="shared" si="360"/>
        <v>18.405965266720465</v>
      </c>
      <c r="AW291" s="55">
        <f t="shared" si="360"/>
        <v>18.709663693621355</v>
      </c>
      <c r="AX291" s="55">
        <f t="shared" si="360"/>
        <v>19.018373144566109</v>
      </c>
      <c r="AY291" s="55">
        <f t="shared" si="360"/>
        <v>0</v>
      </c>
      <c r="AZ291" s="55">
        <f t="shared" si="360"/>
        <v>0</v>
      </c>
      <c r="BA291" s="55">
        <f t="shared" si="360"/>
        <v>0</v>
      </c>
      <c r="BB291" s="55">
        <f t="shared" si="360"/>
        <v>0</v>
      </c>
      <c r="BC291" s="55">
        <f t="shared" si="360"/>
        <v>0</v>
      </c>
      <c r="BD291" s="55">
        <f t="shared" si="360"/>
        <v>0</v>
      </c>
      <c r="BE291" s="55">
        <f t="shared" si="360"/>
        <v>0</v>
      </c>
      <c r="BF291" s="55">
        <f t="shared" si="360"/>
        <v>0</v>
      </c>
      <c r="BG291" s="55">
        <f t="shared" si="360"/>
        <v>0</v>
      </c>
      <c r="BH291" s="55">
        <f t="shared" si="360"/>
        <v>0</v>
      </c>
      <c r="BI291" s="55">
        <f t="shared" si="360"/>
        <v>0</v>
      </c>
      <c r="BJ291" s="55">
        <f t="shared" si="360"/>
        <v>0</v>
      </c>
    </row>
    <row r="292" spans="1:62" x14ac:dyDescent="0.3">
      <c r="A292" s="53" t="str">
        <f t="shared" si="310"/>
        <v>project 120</v>
      </c>
      <c r="C292" s="55">
        <f t="shared" ref="C292:AH292" si="361">IF(AND(C$127&gt;=$K81,C$127&lt;=$L81),$G81*(1+$H81)^(C$127-$B$5),0)</f>
        <v>0</v>
      </c>
      <c r="D292" s="55">
        <f t="shared" si="361"/>
        <v>0</v>
      </c>
      <c r="E292" s="55">
        <f t="shared" si="361"/>
        <v>0</v>
      </c>
      <c r="F292" s="55">
        <f t="shared" si="361"/>
        <v>0</v>
      </c>
      <c r="G292" s="55">
        <f t="shared" si="361"/>
        <v>0</v>
      </c>
      <c r="H292" s="55">
        <f t="shared" si="361"/>
        <v>0</v>
      </c>
      <c r="I292" s="55">
        <f t="shared" si="361"/>
        <v>24.559419457265214</v>
      </c>
      <c r="J292" s="55">
        <f t="shared" si="361"/>
        <v>24.814837419620776</v>
      </c>
      <c r="K292" s="55">
        <f t="shared" si="361"/>
        <v>25.072911728784824</v>
      </c>
      <c r="L292" s="55">
        <f t="shared" si="361"/>
        <v>25.333670010764187</v>
      </c>
      <c r="M292" s="55">
        <f t="shared" si="361"/>
        <v>25.597140178876131</v>
      </c>
      <c r="N292" s="55">
        <f t="shared" si="361"/>
        <v>25.86335043673644</v>
      </c>
      <c r="O292" s="55">
        <f t="shared" si="361"/>
        <v>26.132329281278494</v>
      </c>
      <c r="P292" s="55">
        <f t="shared" si="361"/>
        <v>26.404105505803791</v>
      </c>
      <c r="Q292" s="55">
        <f t="shared" si="361"/>
        <v>26.678708203064147</v>
      </c>
      <c r="R292" s="55">
        <f t="shared" si="361"/>
        <v>26.956166768376015</v>
      </c>
      <c r="S292" s="55">
        <f t="shared" si="361"/>
        <v>27.236510902767115</v>
      </c>
      <c r="T292" s="55">
        <f t="shared" si="361"/>
        <v>27.519770616155892</v>
      </c>
      <c r="U292" s="55">
        <f t="shared" si="361"/>
        <v>27.80597623056391</v>
      </c>
      <c r="V292" s="55">
        <f t="shared" si="361"/>
        <v>28.095158383361778</v>
      </c>
      <c r="W292" s="55">
        <f t="shared" si="361"/>
        <v>28.387348030548733</v>
      </c>
      <c r="X292" s="55">
        <f t="shared" si="361"/>
        <v>28.682576450066442</v>
      </c>
      <c r="Y292" s="55">
        <f t="shared" si="361"/>
        <v>28.980875245147125</v>
      </c>
      <c r="Z292" s="55">
        <f t="shared" si="361"/>
        <v>29.282276347696655</v>
      </c>
      <c r="AA292" s="55">
        <f t="shared" si="361"/>
        <v>29.586812021712692</v>
      </c>
      <c r="AB292" s="55">
        <f t="shared" si="361"/>
        <v>29.894514866738508</v>
      </c>
      <c r="AC292" s="55">
        <f t="shared" si="361"/>
        <v>30.205417821352583</v>
      </c>
      <c r="AD292" s="55">
        <f t="shared" si="361"/>
        <v>30.519554166694643</v>
      </c>
      <c r="AE292" s="55">
        <f t="shared" si="361"/>
        <v>30.836957530028265</v>
      </c>
      <c r="AF292" s="55">
        <f t="shared" si="361"/>
        <v>31.157661888340559</v>
      </c>
      <c r="AG292" s="55">
        <f t="shared" si="361"/>
        <v>31.481701571979293</v>
      </c>
      <c r="AH292" s="55">
        <f t="shared" si="361"/>
        <v>31.809111268327882</v>
      </c>
      <c r="AI292" s="55">
        <f t="shared" ref="AI292:BJ292" si="362">IF(AND(AI$127&gt;=$K81,AI$127&lt;=$L81),$G81*(1+$H81)^(AI$127-$B$5),0)</f>
        <v>32.139926025518477</v>
      </c>
      <c r="AJ292" s="55">
        <f t="shared" si="362"/>
        <v>32.474181256183869</v>
      </c>
      <c r="AK292" s="55">
        <f t="shared" si="362"/>
        <v>32.811912741248179</v>
      </c>
      <c r="AL292" s="55">
        <f t="shared" si="362"/>
        <v>33.153156633757163</v>
      </c>
      <c r="AM292" s="55">
        <f t="shared" si="362"/>
        <v>33.497949462748224</v>
      </c>
      <c r="AN292" s="55">
        <f t="shared" si="362"/>
        <v>33.84632813716081</v>
      </c>
      <c r="AO292" s="55">
        <f t="shared" si="362"/>
        <v>34.198329949787272</v>
      </c>
      <c r="AP292" s="55">
        <f t="shared" si="362"/>
        <v>34.553992581265064</v>
      </c>
      <c r="AQ292" s="55">
        <f t="shared" si="362"/>
        <v>34.913354104110205</v>
      </c>
      <c r="AR292" s="55">
        <f t="shared" si="362"/>
        <v>35.276452986792961</v>
      </c>
      <c r="AS292" s="55">
        <f t="shared" si="362"/>
        <v>35.643328097855601</v>
      </c>
      <c r="AT292" s="55">
        <f t="shared" si="362"/>
        <v>36.014018710073287</v>
      </c>
      <c r="AU292" s="55">
        <f t="shared" si="362"/>
        <v>36.388564504658049</v>
      </c>
      <c r="AV292" s="55">
        <f t="shared" si="362"/>
        <v>36.767005575506495</v>
      </c>
      <c r="AW292" s="55">
        <f t="shared" si="362"/>
        <v>0</v>
      </c>
      <c r="AX292" s="55">
        <f t="shared" si="362"/>
        <v>0</v>
      </c>
      <c r="AY292" s="55">
        <f t="shared" si="362"/>
        <v>0</v>
      </c>
      <c r="AZ292" s="55">
        <f t="shared" si="362"/>
        <v>0</v>
      </c>
      <c r="BA292" s="55">
        <f t="shared" si="362"/>
        <v>0</v>
      </c>
      <c r="BB292" s="55">
        <f t="shared" si="362"/>
        <v>0</v>
      </c>
      <c r="BC292" s="55">
        <f t="shared" si="362"/>
        <v>0</v>
      </c>
      <c r="BD292" s="55">
        <f t="shared" si="362"/>
        <v>0</v>
      </c>
      <c r="BE292" s="55">
        <f t="shared" si="362"/>
        <v>0</v>
      </c>
      <c r="BF292" s="55">
        <f t="shared" si="362"/>
        <v>0</v>
      </c>
      <c r="BG292" s="55">
        <f t="shared" si="362"/>
        <v>0</v>
      </c>
      <c r="BH292" s="55">
        <f t="shared" si="362"/>
        <v>0</v>
      </c>
      <c r="BI292" s="55">
        <f t="shared" si="362"/>
        <v>0</v>
      </c>
      <c r="BJ292" s="55">
        <f t="shared" si="362"/>
        <v>0</v>
      </c>
    </row>
    <row r="293" spans="1:62" x14ac:dyDescent="0.3">
      <c r="A293" s="53" t="str">
        <f t="shared" si="310"/>
        <v>project 121</v>
      </c>
      <c r="C293" s="55">
        <f t="shared" ref="C293:AH293" si="363">IF(AND(C$127&gt;=$K82,C$127&lt;=$L82),$G82*(1+$H82)^(C$127-$B$5),0)</f>
        <v>0</v>
      </c>
      <c r="D293" s="55">
        <f t="shared" si="363"/>
        <v>0</v>
      </c>
      <c r="E293" s="55">
        <f t="shared" si="363"/>
        <v>0</v>
      </c>
      <c r="F293" s="55">
        <f t="shared" si="363"/>
        <v>0</v>
      </c>
      <c r="G293" s="55">
        <f t="shared" si="363"/>
        <v>0</v>
      </c>
      <c r="H293" s="55">
        <f t="shared" si="363"/>
        <v>0</v>
      </c>
      <c r="I293" s="55">
        <f t="shared" si="363"/>
        <v>0</v>
      </c>
      <c r="J293" s="55">
        <f t="shared" si="363"/>
        <v>0</v>
      </c>
      <c r="K293" s="55">
        <f t="shared" si="363"/>
        <v>0</v>
      </c>
      <c r="L293" s="55">
        <f t="shared" si="363"/>
        <v>0</v>
      </c>
      <c r="M293" s="55">
        <f t="shared" si="363"/>
        <v>0</v>
      </c>
      <c r="N293" s="55">
        <f t="shared" si="363"/>
        <v>0</v>
      </c>
      <c r="O293" s="55">
        <f t="shared" si="363"/>
        <v>0</v>
      </c>
      <c r="P293" s="55">
        <f t="shared" si="363"/>
        <v>0</v>
      </c>
      <c r="Q293" s="55">
        <f t="shared" si="363"/>
        <v>0</v>
      </c>
      <c r="R293" s="55">
        <f t="shared" si="363"/>
        <v>0</v>
      </c>
      <c r="S293" s="55">
        <f t="shared" si="363"/>
        <v>0</v>
      </c>
      <c r="T293" s="55">
        <f t="shared" si="363"/>
        <v>0</v>
      </c>
      <c r="U293" s="55">
        <f t="shared" si="363"/>
        <v>0</v>
      </c>
      <c r="V293" s="55">
        <f t="shared" si="363"/>
        <v>0</v>
      </c>
      <c r="W293" s="55">
        <f t="shared" si="363"/>
        <v>15.58903583738527</v>
      </c>
      <c r="X293" s="55">
        <f t="shared" si="363"/>
        <v>16.034882262334484</v>
      </c>
      <c r="Y293" s="55">
        <f t="shared" si="363"/>
        <v>16.493479895037254</v>
      </c>
      <c r="Z293" s="55">
        <f t="shared" si="363"/>
        <v>16.96519342003532</v>
      </c>
      <c r="AA293" s="55">
        <f t="shared" si="363"/>
        <v>17.450397951848323</v>
      </c>
      <c r="AB293" s="55">
        <f t="shared" si="363"/>
        <v>17.949479333271185</v>
      </c>
      <c r="AC293" s="55">
        <f t="shared" si="363"/>
        <v>18.462834442202745</v>
      </c>
      <c r="AD293" s="55">
        <f t="shared" si="363"/>
        <v>18.990871507249736</v>
      </c>
      <c r="AE293" s="55">
        <f t="shared" si="363"/>
        <v>19.534010432357078</v>
      </c>
      <c r="AF293" s="55">
        <f t="shared" si="363"/>
        <v>20.092683130722492</v>
      </c>
      <c r="AG293" s="55">
        <f t="shared" si="363"/>
        <v>20.667333868261153</v>
      </c>
      <c r="AH293" s="55">
        <f t="shared" si="363"/>
        <v>21.258419616893423</v>
      </c>
      <c r="AI293" s="55">
        <f t="shared" ref="AI293:BJ293" si="364">IF(AND(AI$127&gt;=$K82,AI$127&lt;=$L82),$G82*(1+$H82)^(AI$127-$B$5),0)</f>
        <v>21.866410417936567</v>
      </c>
      <c r="AJ293" s="55">
        <f t="shared" si="364"/>
        <v>22.491789755889553</v>
      </c>
      <c r="AK293" s="55">
        <f t="shared" si="364"/>
        <v>23.135054942907992</v>
      </c>
      <c r="AL293" s="55">
        <f t="shared" si="364"/>
        <v>23.796717514275162</v>
      </c>
      <c r="AM293" s="55">
        <f t="shared" si="364"/>
        <v>24.477303635183429</v>
      </c>
      <c r="AN293" s="55">
        <f t="shared" si="364"/>
        <v>25.177354519149674</v>
      </c>
      <c r="AO293" s="55">
        <f t="shared" si="364"/>
        <v>25.897426858397356</v>
      </c>
      <c r="AP293" s="55">
        <f t="shared" si="364"/>
        <v>26.638093266547514</v>
      </c>
      <c r="AQ293" s="55">
        <f t="shared" si="364"/>
        <v>27.399942733970772</v>
      </c>
      <c r="AR293" s="55">
        <f t="shared" si="364"/>
        <v>28.183581096162339</v>
      </c>
      <c r="AS293" s="55">
        <f t="shared" si="364"/>
        <v>28.989631515512578</v>
      </c>
      <c r="AT293" s="55">
        <f t="shared" si="364"/>
        <v>29.818734976856231</v>
      </c>
      <c r="AU293" s="55">
        <f t="shared" si="364"/>
        <v>30.671550797194321</v>
      </c>
      <c r="AV293" s="55">
        <f t="shared" si="364"/>
        <v>31.548757149994078</v>
      </c>
      <c r="AW293" s="55">
        <f t="shared" si="364"/>
        <v>32.451051604483908</v>
      </c>
      <c r="AX293" s="55">
        <f t="shared" si="364"/>
        <v>33.379151680372146</v>
      </c>
      <c r="AY293" s="55">
        <f t="shared" si="364"/>
        <v>34.333795418430782</v>
      </c>
      <c r="AZ293" s="55">
        <f t="shared" si="364"/>
        <v>35.315741967397898</v>
      </c>
      <c r="BA293" s="55">
        <f t="shared" si="364"/>
        <v>36.325772187665478</v>
      </c>
      <c r="BB293" s="55">
        <f t="shared" si="364"/>
        <v>37.364689272232702</v>
      </c>
      <c r="BC293" s="55">
        <f t="shared" si="364"/>
        <v>38.433319385418564</v>
      </c>
      <c r="BD293" s="55">
        <f t="shared" si="364"/>
        <v>39.53251231984153</v>
      </c>
      <c r="BE293" s="55">
        <f t="shared" si="364"/>
        <v>40.663142172189005</v>
      </c>
      <c r="BF293" s="55">
        <f t="shared" si="364"/>
        <v>41.826108038313606</v>
      </c>
      <c r="BG293" s="55">
        <f t="shared" si="364"/>
        <v>43.022334728209358</v>
      </c>
      <c r="BH293" s="55">
        <f t="shared" si="364"/>
        <v>44.252773501436153</v>
      </c>
      <c r="BI293" s="55">
        <f t="shared" si="364"/>
        <v>45.518402823577226</v>
      </c>
      <c r="BJ293" s="55">
        <f t="shared" si="364"/>
        <v>46.82022914433152</v>
      </c>
    </row>
    <row r="294" spans="1:62" x14ac:dyDescent="0.3">
      <c r="A294" s="53" t="str">
        <f t="shared" si="310"/>
        <v>project 125</v>
      </c>
      <c r="C294" s="55">
        <f t="shared" ref="C294:AH294" si="365">IF(AND(C$127&gt;=$K83,C$127&lt;=$L83),$G83*(1+$H83)^(C$127-$B$5),0)</f>
        <v>0</v>
      </c>
      <c r="D294" s="55">
        <f t="shared" si="365"/>
        <v>0</v>
      </c>
      <c r="E294" s="55">
        <f t="shared" si="365"/>
        <v>0</v>
      </c>
      <c r="F294" s="55">
        <f t="shared" si="365"/>
        <v>0</v>
      </c>
      <c r="G294" s="55">
        <f t="shared" si="365"/>
        <v>0</v>
      </c>
      <c r="H294" s="55">
        <f t="shared" si="365"/>
        <v>0</v>
      </c>
      <c r="I294" s="55">
        <f t="shared" si="365"/>
        <v>0</v>
      </c>
      <c r="J294" s="55">
        <f t="shared" si="365"/>
        <v>0</v>
      </c>
      <c r="K294" s="55">
        <f t="shared" si="365"/>
        <v>0</v>
      </c>
      <c r="L294" s="55">
        <f t="shared" si="365"/>
        <v>0</v>
      </c>
      <c r="M294" s="55">
        <f t="shared" si="365"/>
        <v>0</v>
      </c>
      <c r="N294" s="55">
        <f t="shared" si="365"/>
        <v>0</v>
      </c>
      <c r="O294" s="55">
        <f t="shared" si="365"/>
        <v>0</v>
      </c>
      <c r="P294" s="55">
        <f t="shared" si="365"/>
        <v>0</v>
      </c>
      <c r="Q294" s="55">
        <f t="shared" si="365"/>
        <v>0</v>
      </c>
      <c r="R294" s="55">
        <f t="shared" si="365"/>
        <v>0</v>
      </c>
      <c r="S294" s="55">
        <f t="shared" si="365"/>
        <v>0</v>
      </c>
      <c r="T294" s="55">
        <f t="shared" si="365"/>
        <v>0</v>
      </c>
      <c r="U294" s="55">
        <f t="shared" si="365"/>
        <v>0</v>
      </c>
      <c r="V294" s="55">
        <f t="shared" si="365"/>
        <v>0</v>
      </c>
      <c r="W294" s="55">
        <f t="shared" si="365"/>
        <v>18.198538366452233</v>
      </c>
      <c r="X294" s="55">
        <f t="shared" si="365"/>
        <v>18.700818025366317</v>
      </c>
      <c r="Y294" s="55">
        <f t="shared" si="365"/>
        <v>19.216960602866429</v>
      </c>
      <c r="Z294" s="55">
        <f t="shared" si="365"/>
        <v>19.747348715505545</v>
      </c>
      <c r="AA294" s="55">
        <f t="shared" si="365"/>
        <v>20.292375540053499</v>
      </c>
      <c r="AB294" s="55">
        <f t="shared" si="365"/>
        <v>20.852445104958974</v>
      </c>
      <c r="AC294" s="55">
        <f t="shared" si="365"/>
        <v>21.427972589855845</v>
      </c>
      <c r="AD294" s="55">
        <f t="shared" si="365"/>
        <v>22.019384633335875</v>
      </c>
      <c r="AE294" s="55">
        <f t="shared" si="365"/>
        <v>22.627119649215945</v>
      </c>
      <c r="AF294" s="55">
        <f t="shared" si="365"/>
        <v>23.251628151534305</v>
      </c>
      <c r="AG294" s="55">
        <f t="shared" si="365"/>
        <v>23.893373088516654</v>
      </c>
      <c r="AH294" s="55">
        <f t="shared" si="365"/>
        <v>24.552830185759717</v>
      </c>
      <c r="AI294" s="55">
        <f t="shared" ref="AI294:BJ294" si="366">IF(AND(AI$127&gt;=$K83,AI$127&lt;=$L83),$G83*(1+$H83)^(AI$127-$B$5),0)</f>
        <v>25.230488298886684</v>
      </c>
      <c r="AJ294" s="55">
        <f t="shared" si="366"/>
        <v>25.92684977593596</v>
      </c>
      <c r="AK294" s="55">
        <f t="shared" si="366"/>
        <v>26.642430829751792</v>
      </c>
      <c r="AL294" s="55">
        <f t="shared" si="366"/>
        <v>27.377761920652947</v>
      </c>
      <c r="AM294" s="55">
        <f t="shared" si="366"/>
        <v>28.13338814966297</v>
      </c>
      <c r="AN294" s="55">
        <f t="shared" si="366"/>
        <v>28.909869662593671</v>
      </c>
      <c r="AO294" s="55">
        <f t="shared" si="366"/>
        <v>29.707782065281261</v>
      </c>
      <c r="AP294" s="55">
        <f t="shared" si="366"/>
        <v>30.527716850283028</v>
      </c>
      <c r="AQ294" s="55">
        <f t="shared" si="366"/>
        <v>31.370281835350838</v>
      </c>
      <c r="AR294" s="55">
        <f t="shared" si="366"/>
        <v>32.236101614006522</v>
      </c>
      <c r="AS294" s="55">
        <f t="shared" si="366"/>
        <v>33.125818018553112</v>
      </c>
      <c r="AT294" s="55">
        <f t="shared" si="366"/>
        <v>34.04009059586518</v>
      </c>
      <c r="AU294" s="55">
        <f t="shared" si="366"/>
        <v>34.979597096311061</v>
      </c>
      <c r="AV294" s="55">
        <f t="shared" si="366"/>
        <v>35.945033976169249</v>
      </c>
      <c r="AW294" s="55">
        <f t="shared" si="366"/>
        <v>36.937116913911531</v>
      </c>
      <c r="AX294" s="55">
        <f t="shared" si="366"/>
        <v>37.95658134073549</v>
      </c>
      <c r="AY294" s="55">
        <f t="shared" si="366"/>
        <v>39.004182985739789</v>
      </c>
      <c r="AZ294" s="55">
        <f t="shared" si="366"/>
        <v>40.080698436146207</v>
      </c>
      <c r="BA294" s="55">
        <f t="shared" si="366"/>
        <v>41.186925712983857</v>
      </c>
      <c r="BB294" s="55">
        <f t="shared" si="366"/>
        <v>42.323684862662205</v>
      </c>
      <c r="BC294" s="55">
        <f t="shared" si="366"/>
        <v>43.4918185648717</v>
      </c>
      <c r="BD294" s="55">
        <f t="shared" si="366"/>
        <v>44.692192757262156</v>
      </c>
      <c r="BE294" s="55">
        <f t="shared" si="366"/>
        <v>45.925697277362595</v>
      </c>
      <c r="BF294" s="55">
        <f t="shared" si="366"/>
        <v>47.193246522217805</v>
      </c>
      <c r="BG294" s="55">
        <f t="shared" si="366"/>
        <v>48.495780126231018</v>
      </c>
      <c r="BH294" s="55">
        <f t="shared" si="366"/>
        <v>49.834263657714992</v>
      </c>
      <c r="BI294" s="55">
        <f t="shared" si="366"/>
        <v>51.209689334667935</v>
      </c>
      <c r="BJ294" s="55">
        <f t="shared" si="366"/>
        <v>52.623076760304784</v>
      </c>
    </row>
    <row r="295" spans="1:62" x14ac:dyDescent="0.3">
      <c r="A295" s="53" t="str">
        <f t="shared" si="310"/>
        <v>project 126</v>
      </c>
      <c r="C295" s="55">
        <f t="shared" ref="C295:AH295" si="367">IF(AND(C$127&gt;=$K84,C$127&lt;=$L84),$G84*(1+$H84)^(C$127-$B$5),0)</f>
        <v>0</v>
      </c>
      <c r="D295" s="55">
        <f t="shared" si="367"/>
        <v>0</v>
      </c>
      <c r="E295" s="55">
        <f t="shared" si="367"/>
        <v>0</v>
      </c>
      <c r="F295" s="55">
        <f t="shared" si="367"/>
        <v>0</v>
      </c>
      <c r="G295" s="55">
        <f t="shared" si="367"/>
        <v>0</v>
      </c>
      <c r="H295" s="55">
        <f t="shared" si="367"/>
        <v>0</v>
      </c>
      <c r="I295" s="55">
        <f t="shared" si="367"/>
        <v>0</v>
      </c>
      <c r="J295" s="55">
        <f t="shared" si="367"/>
        <v>0</v>
      </c>
      <c r="K295" s="55">
        <f t="shared" si="367"/>
        <v>0</v>
      </c>
      <c r="L295" s="55">
        <f t="shared" si="367"/>
        <v>0</v>
      </c>
      <c r="M295" s="55">
        <f t="shared" si="367"/>
        <v>0</v>
      </c>
      <c r="N295" s="55">
        <f t="shared" si="367"/>
        <v>0</v>
      </c>
      <c r="O295" s="55">
        <f t="shared" si="367"/>
        <v>0</v>
      </c>
      <c r="P295" s="55">
        <f t="shared" si="367"/>
        <v>0</v>
      </c>
      <c r="Q295" s="55">
        <f t="shared" si="367"/>
        <v>0</v>
      </c>
      <c r="R295" s="55">
        <f t="shared" si="367"/>
        <v>0</v>
      </c>
      <c r="S295" s="55">
        <f t="shared" si="367"/>
        <v>0</v>
      </c>
      <c r="T295" s="55">
        <f t="shared" si="367"/>
        <v>0</v>
      </c>
      <c r="U295" s="55">
        <f t="shared" si="367"/>
        <v>0</v>
      </c>
      <c r="V295" s="55">
        <f t="shared" si="367"/>
        <v>0</v>
      </c>
      <c r="W295" s="55">
        <f t="shared" si="367"/>
        <v>19.197327771585705</v>
      </c>
      <c r="X295" s="55">
        <f t="shared" si="367"/>
        <v>19.707976690309888</v>
      </c>
      <c r="Y295" s="55">
        <f t="shared" si="367"/>
        <v>20.232208870272128</v>
      </c>
      <c r="Z295" s="55">
        <f t="shared" si="367"/>
        <v>20.770385626221366</v>
      </c>
      <c r="AA295" s="55">
        <f t="shared" si="367"/>
        <v>21.322877883878849</v>
      </c>
      <c r="AB295" s="55">
        <f t="shared" si="367"/>
        <v>21.890066435590025</v>
      </c>
      <c r="AC295" s="55">
        <f t="shared" si="367"/>
        <v>22.472342202776719</v>
      </c>
      <c r="AD295" s="55">
        <f t="shared" si="367"/>
        <v>23.070106505370582</v>
      </c>
      <c r="AE295" s="55">
        <f t="shared" si="367"/>
        <v>23.683771338413436</v>
      </c>
      <c r="AF295" s="55">
        <f t="shared" si="367"/>
        <v>24.313759656015232</v>
      </c>
      <c r="AG295" s="55">
        <f t="shared" si="367"/>
        <v>24.960505662865231</v>
      </c>
      <c r="AH295" s="55">
        <f t="shared" si="367"/>
        <v>25.624455113497451</v>
      </c>
      <c r="AI295" s="55">
        <f t="shared" ref="AI295:BJ295" si="368">IF(AND(AI$127&gt;=$K84,AI$127&lt;=$L84),$G84*(1+$H84)^(AI$127-$B$5),0)</f>
        <v>26.306065619516481</v>
      </c>
      <c r="AJ295" s="55">
        <f t="shared" si="368"/>
        <v>27.005806964995617</v>
      </c>
      <c r="AK295" s="55">
        <f t="shared" si="368"/>
        <v>27.724161430264502</v>
      </c>
      <c r="AL295" s="55">
        <f t="shared" si="368"/>
        <v>28.461624124309534</v>
      </c>
      <c r="AM295" s="55">
        <f t="shared" si="368"/>
        <v>29.218703326016161</v>
      </c>
      <c r="AN295" s="55">
        <f t="shared" si="368"/>
        <v>29.995920834488196</v>
      </c>
      <c r="AO295" s="55">
        <f t="shared" si="368"/>
        <v>30.793812328685576</v>
      </c>
      <c r="AP295" s="55">
        <f t="shared" si="368"/>
        <v>31.612927736628613</v>
      </c>
      <c r="AQ295" s="55">
        <f t="shared" si="368"/>
        <v>32.453831614422924</v>
      </c>
      <c r="AR295" s="55">
        <f t="shared" si="368"/>
        <v>33.31710353536657</v>
      </c>
      <c r="AS295" s="55">
        <f t="shared" si="368"/>
        <v>34.203338489407329</v>
      </c>
      <c r="AT295" s="55">
        <f t="shared" si="368"/>
        <v>35.113147293225559</v>
      </c>
      <c r="AU295" s="55">
        <f t="shared" si="368"/>
        <v>36.047157011225352</v>
      </c>
      <c r="AV295" s="55">
        <f t="shared" si="368"/>
        <v>37.006011387723944</v>
      </c>
      <c r="AW295" s="55">
        <f t="shared" si="368"/>
        <v>37.990371290637398</v>
      </c>
      <c r="AX295" s="55">
        <f t="shared" si="368"/>
        <v>39.000915166968362</v>
      </c>
      <c r="AY295" s="55">
        <f t="shared" si="368"/>
        <v>40.038339510409713</v>
      </c>
      <c r="AZ295" s="55">
        <f t="shared" si="368"/>
        <v>41.103359341386607</v>
      </c>
      <c r="BA295" s="55">
        <f t="shared" si="368"/>
        <v>42.196708699867486</v>
      </c>
      <c r="BB295" s="55">
        <f t="shared" si="368"/>
        <v>43.319141151283965</v>
      </c>
      <c r="BC295" s="55">
        <f t="shared" si="368"/>
        <v>44.471430305908108</v>
      </c>
      <c r="BD295" s="55">
        <f t="shared" si="368"/>
        <v>45.654370352045269</v>
      </c>
      <c r="BE295" s="55">
        <f t="shared" si="368"/>
        <v>46.868776603409671</v>
      </c>
      <c r="BF295" s="55">
        <f t="shared" si="368"/>
        <v>48.115486061060359</v>
      </c>
      <c r="BG295" s="55">
        <f t="shared" si="368"/>
        <v>49.395357990284552</v>
      </c>
      <c r="BH295" s="55">
        <f t="shared" si="368"/>
        <v>50.70927451282612</v>
      </c>
      <c r="BI295" s="55">
        <f t="shared" si="368"/>
        <v>52.058141214867298</v>
      </c>
      <c r="BJ295" s="55">
        <f t="shared" si="368"/>
        <v>53.442887771182768</v>
      </c>
    </row>
    <row r="296" spans="1:62" x14ac:dyDescent="0.3">
      <c r="A296" s="53" t="str">
        <f t="shared" si="310"/>
        <v>project 128</v>
      </c>
      <c r="C296" s="55">
        <f t="shared" ref="C296:AH296" si="369">IF(AND(C$127&gt;=$K85,C$127&lt;=$L85),$G85*(1+$H85)^(C$127-$B$5),0)</f>
        <v>0</v>
      </c>
      <c r="D296" s="55">
        <f t="shared" si="369"/>
        <v>0</v>
      </c>
      <c r="E296" s="55">
        <f t="shared" si="369"/>
        <v>0</v>
      </c>
      <c r="F296" s="55">
        <f t="shared" si="369"/>
        <v>0</v>
      </c>
      <c r="G296" s="55">
        <f t="shared" si="369"/>
        <v>0</v>
      </c>
      <c r="H296" s="55">
        <f t="shared" si="369"/>
        <v>0</v>
      </c>
      <c r="I296" s="55">
        <f t="shared" si="369"/>
        <v>0</v>
      </c>
      <c r="J296" s="55">
        <f t="shared" si="369"/>
        <v>3.033473950586747</v>
      </c>
      <c r="K296" s="55">
        <f t="shared" si="369"/>
        <v>3.0826162285862519</v>
      </c>
      <c r="L296" s="55">
        <f t="shared" si="369"/>
        <v>3.1325546114893488</v>
      </c>
      <c r="M296" s="55">
        <f t="shared" si="369"/>
        <v>3.1833019961954765</v>
      </c>
      <c r="N296" s="55">
        <f t="shared" si="369"/>
        <v>3.2348714885338432</v>
      </c>
      <c r="O296" s="55">
        <f t="shared" si="369"/>
        <v>3.2872764066480911</v>
      </c>
      <c r="P296" s="55">
        <f t="shared" si="369"/>
        <v>3.3405302844357903</v>
      </c>
      <c r="Q296" s="55">
        <f t="shared" si="369"/>
        <v>3.3946468750436498</v>
      </c>
      <c r="R296" s="55">
        <f t="shared" si="369"/>
        <v>3.4496401544193573</v>
      </c>
      <c r="S296" s="55">
        <f t="shared" si="369"/>
        <v>3.5055243249209505</v>
      </c>
      <c r="T296" s="55">
        <f t="shared" si="369"/>
        <v>3.5623138189846699</v>
      </c>
      <c r="U296" s="55">
        <f t="shared" si="369"/>
        <v>3.6200233028522213</v>
      </c>
      <c r="V296" s="55">
        <f t="shared" si="369"/>
        <v>3.6786676803584273</v>
      </c>
      <c r="W296" s="55">
        <f t="shared" si="369"/>
        <v>3.7382620967802334</v>
      </c>
      <c r="X296" s="55">
        <f t="shared" si="369"/>
        <v>3.7988219427480732</v>
      </c>
      <c r="Y296" s="55">
        <f t="shared" si="369"/>
        <v>3.8603628582205913</v>
      </c>
      <c r="Z296" s="55">
        <f t="shared" si="369"/>
        <v>3.9229007365237654</v>
      </c>
      <c r="AA296" s="55">
        <f t="shared" si="369"/>
        <v>3.9864517284554499</v>
      </c>
      <c r="AB296" s="55">
        <f t="shared" si="369"/>
        <v>4.0510322464564279</v>
      </c>
      <c r="AC296" s="55">
        <f t="shared" si="369"/>
        <v>4.1166589688490225</v>
      </c>
      <c r="AD296" s="55">
        <f t="shared" si="369"/>
        <v>4.1833488441443771</v>
      </c>
      <c r="AE296" s="55">
        <f t="shared" si="369"/>
        <v>4.251119095419515</v>
      </c>
      <c r="AF296" s="55">
        <f t="shared" si="369"/>
        <v>4.3199872247653106</v>
      </c>
      <c r="AG296" s="55">
        <f t="shared" si="369"/>
        <v>4.3899710178065092</v>
      </c>
      <c r="AH296" s="55">
        <f t="shared" si="369"/>
        <v>4.4610885482949749</v>
      </c>
      <c r="AI296" s="55">
        <f t="shared" ref="AI296:BJ296" si="370">IF(AND(AI$127&gt;=$K85,AI$127&lt;=$L85),$G85*(1+$H85)^(AI$127-$B$5),0)</f>
        <v>4.533358182777353</v>
      </c>
      <c r="AJ296" s="55">
        <f t="shared" si="370"/>
        <v>4.6067985853383462</v>
      </c>
      <c r="AK296" s="55">
        <f t="shared" si="370"/>
        <v>4.6814287224208266</v>
      </c>
      <c r="AL296" s="55">
        <f t="shared" si="370"/>
        <v>4.7572678677240443</v>
      </c>
      <c r="AM296" s="55">
        <f t="shared" si="370"/>
        <v>4.8343356071811732</v>
      </c>
      <c r="AN296" s="55">
        <f t="shared" si="370"/>
        <v>4.9126518440175078</v>
      </c>
      <c r="AO296" s="55">
        <f t="shared" si="370"/>
        <v>4.9922368038905915</v>
      </c>
      <c r="AP296" s="55">
        <f t="shared" si="370"/>
        <v>5.0731110401136199</v>
      </c>
      <c r="AQ296" s="55">
        <f t="shared" si="370"/>
        <v>5.15529543896346</v>
      </c>
      <c r="AR296" s="55">
        <f t="shared" si="370"/>
        <v>5.2388112250746675</v>
      </c>
      <c r="AS296" s="55">
        <f t="shared" si="370"/>
        <v>5.3236799669208779</v>
      </c>
      <c r="AT296" s="55">
        <f t="shared" si="370"/>
        <v>5.4099235823849954</v>
      </c>
      <c r="AU296" s="55">
        <f t="shared" si="370"/>
        <v>5.497564344419632</v>
      </c>
      <c r="AV296" s="55">
        <f t="shared" si="370"/>
        <v>5.5866248867992292</v>
      </c>
      <c r="AW296" s="55">
        <f t="shared" si="370"/>
        <v>5.6771282099653764</v>
      </c>
      <c r="AX296" s="55">
        <f t="shared" si="370"/>
        <v>0</v>
      </c>
      <c r="AY296" s="55">
        <f t="shared" si="370"/>
        <v>0</v>
      </c>
      <c r="AZ296" s="55">
        <f t="shared" si="370"/>
        <v>0</v>
      </c>
      <c r="BA296" s="55">
        <f t="shared" si="370"/>
        <v>0</v>
      </c>
      <c r="BB296" s="55">
        <f t="shared" si="370"/>
        <v>0</v>
      </c>
      <c r="BC296" s="55">
        <f t="shared" si="370"/>
        <v>0</v>
      </c>
      <c r="BD296" s="55">
        <f t="shared" si="370"/>
        <v>0</v>
      </c>
      <c r="BE296" s="55">
        <f t="shared" si="370"/>
        <v>0</v>
      </c>
      <c r="BF296" s="55">
        <f t="shared" si="370"/>
        <v>0</v>
      </c>
      <c r="BG296" s="55">
        <f t="shared" si="370"/>
        <v>0</v>
      </c>
      <c r="BH296" s="55">
        <f t="shared" si="370"/>
        <v>0</v>
      </c>
      <c r="BI296" s="55">
        <f t="shared" si="370"/>
        <v>0</v>
      </c>
      <c r="BJ296" s="55">
        <f t="shared" si="370"/>
        <v>0</v>
      </c>
    </row>
    <row r="297" spans="1:62" x14ac:dyDescent="0.3">
      <c r="A297" s="53" t="str">
        <f t="shared" si="310"/>
        <v>project 130</v>
      </c>
      <c r="C297" s="55">
        <f t="shared" ref="C297:AH297" si="371">IF(AND(C$127&gt;=$K86,C$127&lt;=$L86),$G86*(1+$H86)^(C$127-$B$5),0)</f>
        <v>0</v>
      </c>
      <c r="D297" s="55">
        <f t="shared" si="371"/>
        <v>0</v>
      </c>
      <c r="E297" s="55">
        <f t="shared" si="371"/>
        <v>0</v>
      </c>
      <c r="F297" s="55">
        <f t="shared" si="371"/>
        <v>0</v>
      </c>
      <c r="G297" s="55">
        <f t="shared" si="371"/>
        <v>0</v>
      </c>
      <c r="H297" s="55">
        <f t="shared" si="371"/>
        <v>0</v>
      </c>
      <c r="I297" s="55">
        <f t="shared" si="371"/>
        <v>0</v>
      </c>
      <c r="J297" s="55">
        <f t="shared" si="371"/>
        <v>0</v>
      </c>
      <c r="K297" s="55">
        <f t="shared" si="371"/>
        <v>4.3991746943695791</v>
      </c>
      <c r="L297" s="55">
        <f t="shared" si="371"/>
        <v>4.4484454509465188</v>
      </c>
      <c r="M297" s="55">
        <f t="shared" si="371"/>
        <v>4.4982680399971198</v>
      </c>
      <c r="N297" s="55">
        <f t="shared" si="371"/>
        <v>4.5486486420450882</v>
      </c>
      <c r="O297" s="55">
        <f t="shared" si="371"/>
        <v>4.5995935068359932</v>
      </c>
      <c r="P297" s="55">
        <f t="shared" si="371"/>
        <v>4.6511089541125568</v>
      </c>
      <c r="Q297" s="55">
        <f t="shared" si="371"/>
        <v>4.7032013743986179</v>
      </c>
      <c r="R297" s="55">
        <f t="shared" si="371"/>
        <v>4.7558772297918841</v>
      </c>
      <c r="S297" s="55">
        <f t="shared" si="371"/>
        <v>4.8091430547655527</v>
      </c>
      <c r="T297" s="55">
        <f t="shared" si="371"/>
        <v>4.8630054569789269</v>
      </c>
      <c r="U297" s="55">
        <f t="shared" si="371"/>
        <v>4.9174711180970911</v>
      </c>
      <c r="V297" s="55">
        <f t="shared" si="371"/>
        <v>4.9725467946197792</v>
      </c>
      <c r="W297" s="55">
        <f t="shared" si="371"/>
        <v>5.0282393187195211</v>
      </c>
      <c r="X297" s="55">
        <f t="shared" si="371"/>
        <v>5.0845555990891791</v>
      </c>
      <c r="Y297" s="55">
        <f t="shared" si="371"/>
        <v>5.1415026217989794</v>
      </c>
      <c r="Z297" s="55">
        <f t="shared" si="371"/>
        <v>5.1990874511631286</v>
      </c>
      <c r="AA297" s="55">
        <f t="shared" si="371"/>
        <v>5.2573172306161551</v>
      </c>
      <c r="AB297" s="55">
        <f t="shared" si="371"/>
        <v>5.316199183599057</v>
      </c>
      <c r="AC297" s="55">
        <f t="shared" si="371"/>
        <v>5.3757406144553661</v>
      </c>
      <c r="AD297" s="55">
        <f t="shared" si="371"/>
        <v>5.4359489093372666</v>
      </c>
      <c r="AE297" s="55">
        <f t="shared" si="371"/>
        <v>5.4968315371218441</v>
      </c>
      <c r="AF297" s="55">
        <f t="shared" si="371"/>
        <v>5.5583960503376098</v>
      </c>
      <c r="AG297" s="55">
        <f t="shared" si="371"/>
        <v>5.6206500861013904</v>
      </c>
      <c r="AH297" s="55">
        <f t="shared" si="371"/>
        <v>5.6836013670657284</v>
      </c>
      <c r="AI297" s="55">
        <f t="shared" ref="AI297:BJ297" si="372">IF(AND(AI$127&gt;=$K86,AI$127&lt;=$L86),$G86*(1+$H86)^(AI$127-$B$5),0)</f>
        <v>5.7472577023768636</v>
      </c>
      <c r="AJ297" s="55">
        <f t="shared" si="372"/>
        <v>5.8116269886434848</v>
      </c>
      <c r="AK297" s="55">
        <f t="shared" si="372"/>
        <v>5.8767172109162926</v>
      </c>
      <c r="AL297" s="55">
        <f t="shared" si="372"/>
        <v>5.9425364436785548</v>
      </c>
      <c r="AM297" s="55">
        <f t="shared" si="372"/>
        <v>6.0090928518477558</v>
      </c>
      <c r="AN297" s="55">
        <f t="shared" si="372"/>
        <v>6.0763946917884502</v>
      </c>
      <c r="AO297" s="55">
        <f t="shared" si="372"/>
        <v>6.144450312336482</v>
      </c>
      <c r="AP297" s="55">
        <f t="shared" si="372"/>
        <v>6.2132681558346521</v>
      </c>
      <c r="AQ297" s="55">
        <f t="shared" si="372"/>
        <v>6.2828567591799995</v>
      </c>
      <c r="AR297" s="55">
        <f t="shared" si="372"/>
        <v>6.3532247548828158</v>
      </c>
      <c r="AS297" s="55">
        <f t="shared" si="372"/>
        <v>6.4243808721375038</v>
      </c>
      <c r="AT297" s="55">
        <f t="shared" si="372"/>
        <v>6.4963339379054448</v>
      </c>
      <c r="AU297" s="55">
        <f t="shared" si="372"/>
        <v>6.5690928780099851</v>
      </c>
      <c r="AV297" s="55">
        <f t="shared" si="372"/>
        <v>6.6426667182436976</v>
      </c>
      <c r="AW297" s="55">
        <f t="shared" si="372"/>
        <v>6.7170645854880275</v>
      </c>
      <c r="AX297" s="55">
        <f t="shared" si="372"/>
        <v>6.7922957088454963</v>
      </c>
      <c r="AY297" s="55">
        <f t="shared" si="372"/>
        <v>0</v>
      </c>
      <c r="AZ297" s="55">
        <f t="shared" si="372"/>
        <v>0</v>
      </c>
      <c r="BA297" s="55">
        <f t="shared" si="372"/>
        <v>0</v>
      </c>
      <c r="BB297" s="55">
        <f t="shared" si="372"/>
        <v>0</v>
      </c>
      <c r="BC297" s="55">
        <f t="shared" si="372"/>
        <v>0</v>
      </c>
      <c r="BD297" s="55">
        <f t="shared" si="372"/>
        <v>0</v>
      </c>
      <c r="BE297" s="55">
        <f t="shared" si="372"/>
        <v>0</v>
      </c>
      <c r="BF297" s="55">
        <f t="shared" si="372"/>
        <v>0</v>
      </c>
      <c r="BG297" s="55">
        <f t="shared" si="372"/>
        <v>0</v>
      </c>
      <c r="BH297" s="55">
        <f t="shared" si="372"/>
        <v>0</v>
      </c>
      <c r="BI297" s="55">
        <f t="shared" si="372"/>
        <v>0</v>
      </c>
      <c r="BJ297" s="55">
        <f t="shared" si="372"/>
        <v>0</v>
      </c>
    </row>
    <row r="298" spans="1:62" x14ac:dyDescent="0.3">
      <c r="A298" s="53" t="str">
        <f t="shared" si="310"/>
        <v>project 133</v>
      </c>
      <c r="C298" s="55">
        <f t="shared" ref="C298:AH298" si="373">IF(AND(C$127&gt;=$K87,C$127&lt;=$L87),$G87*(1+$H87)^(C$127-$B$5),0)</f>
        <v>0</v>
      </c>
      <c r="D298" s="55">
        <f t="shared" si="373"/>
        <v>0</v>
      </c>
      <c r="E298" s="55">
        <f t="shared" si="373"/>
        <v>0</v>
      </c>
      <c r="F298" s="55">
        <f t="shared" si="373"/>
        <v>0</v>
      </c>
      <c r="G298" s="55">
        <f t="shared" si="373"/>
        <v>0</v>
      </c>
      <c r="H298" s="55">
        <f t="shared" si="373"/>
        <v>0</v>
      </c>
      <c r="I298" s="55">
        <f t="shared" si="373"/>
        <v>0</v>
      </c>
      <c r="J298" s="55">
        <f t="shared" si="373"/>
        <v>0</v>
      </c>
      <c r="K298" s="55">
        <f t="shared" si="373"/>
        <v>0</v>
      </c>
      <c r="L298" s="55">
        <f t="shared" si="373"/>
        <v>0</v>
      </c>
      <c r="M298" s="55">
        <f t="shared" si="373"/>
        <v>0</v>
      </c>
      <c r="N298" s="55">
        <f t="shared" si="373"/>
        <v>0</v>
      </c>
      <c r="O298" s="55">
        <f t="shared" si="373"/>
        <v>0</v>
      </c>
      <c r="P298" s="55">
        <f t="shared" si="373"/>
        <v>0</v>
      </c>
      <c r="Q298" s="55">
        <f t="shared" si="373"/>
        <v>0</v>
      </c>
      <c r="R298" s="55">
        <f t="shared" si="373"/>
        <v>0</v>
      </c>
      <c r="S298" s="55">
        <f t="shared" si="373"/>
        <v>0</v>
      </c>
      <c r="T298" s="55">
        <f t="shared" si="373"/>
        <v>0</v>
      </c>
      <c r="U298" s="55">
        <f t="shared" si="373"/>
        <v>0</v>
      </c>
      <c r="V298" s="55">
        <f t="shared" si="373"/>
        <v>0</v>
      </c>
      <c r="W298" s="55">
        <f t="shared" si="373"/>
        <v>4.5002718273626439</v>
      </c>
      <c r="X298" s="55">
        <f t="shared" si="373"/>
        <v>4.624479329797853</v>
      </c>
      <c r="Y298" s="55">
        <f t="shared" si="373"/>
        <v>4.7521149593002745</v>
      </c>
      <c r="Z298" s="55">
        <f t="shared" si="373"/>
        <v>4.8832733321769624</v>
      </c>
      <c r="AA298" s="55">
        <f t="shared" si="373"/>
        <v>5.0180516761450473</v>
      </c>
      <c r="AB298" s="55">
        <f t="shared" si="373"/>
        <v>5.1565499024066499</v>
      </c>
      <c r="AC298" s="55">
        <f t="shared" si="373"/>
        <v>5.2988706797130742</v>
      </c>
      <c r="AD298" s="55">
        <f t="shared" si="373"/>
        <v>5.4451195104731571</v>
      </c>
      <c r="AE298" s="55">
        <f t="shared" si="373"/>
        <v>5.5954048089622166</v>
      </c>
      <c r="AF298" s="55">
        <f t="shared" si="373"/>
        <v>5.7498379816895735</v>
      </c>
      <c r="AG298" s="55">
        <f t="shared" si="373"/>
        <v>5.9085335099842062</v>
      </c>
      <c r="AH298" s="55">
        <f t="shared" si="373"/>
        <v>6.0716090348597707</v>
      </c>
      <c r="AI298" s="55">
        <f t="shared" ref="AI298:BJ298" si="374">IF(AND(AI$127&gt;=$K87,AI$127&lt;=$L87),$G87*(1+$H87)^(AI$127-$B$5),0)</f>
        <v>6.239185444221901</v>
      </c>
      <c r="AJ298" s="55">
        <f t="shared" si="374"/>
        <v>6.4113869624824256</v>
      </c>
      <c r="AK298" s="55">
        <f t="shared" si="374"/>
        <v>6.5883412426469405</v>
      </c>
      <c r="AL298" s="55">
        <f t="shared" si="374"/>
        <v>6.7701794609439974</v>
      </c>
      <c r="AM298" s="55">
        <f t="shared" si="374"/>
        <v>6.957036414066053</v>
      </c>
      <c r="AN298" s="55">
        <f t="shared" si="374"/>
        <v>7.1490506190942762</v>
      </c>
      <c r="AO298" s="55">
        <f t="shared" si="374"/>
        <v>7.3463644161812791</v>
      </c>
      <c r="AP298" s="55">
        <f t="shared" si="374"/>
        <v>7.5491240740678833</v>
      </c>
      <c r="AQ298" s="55">
        <f t="shared" si="374"/>
        <v>7.7574798985121571</v>
      </c>
      <c r="AR298" s="55">
        <f t="shared" si="374"/>
        <v>7.9715863437110936</v>
      </c>
      <c r="AS298" s="55">
        <f t="shared" si="374"/>
        <v>8.1916021267975214</v>
      </c>
      <c r="AT298" s="55">
        <f t="shared" si="374"/>
        <v>8.4176903454971335</v>
      </c>
      <c r="AU298" s="55">
        <f t="shared" si="374"/>
        <v>8.6500185990328546</v>
      </c>
      <c r="AV298" s="55">
        <f t="shared" si="374"/>
        <v>8.8887591123661629</v>
      </c>
      <c r="AW298" s="55">
        <f t="shared" si="374"/>
        <v>9.1340888638674702</v>
      </c>
      <c r="AX298" s="55">
        <f t="shared" si="374"/>
        <v>9.3861897165102128</v>
      </c>
      <c r="AY298" s="55">
        <f t="shared" si="374"/>
        <v>9.6452485526858958</v>
      </c>
      <c r="AZ298" s="55">
        <f t="shared" si="374"/>
        <v>9.9114574127400257</v>
      </c>
      <c r="BA298" s="55">
        <f t="shared" si="374"/>
        <v>10.185013637331654</v>
      </c>
      <c r="BB298" s="55">
        <f t="shared" si="374"/>
        <v>10.466120013722007</v>
      </c>
      <c r="BC298" s="55">
        <f t="shared" si="374"/>
        <v>10.754984926100738</v>
      </c>
      <c r="BD298" s="55">
        <f t="shared" si="374"/>
        <v>11.051822510061116</v>
      </c>
      <c r="BE298" s="55">
        <f t="shared" si="374"/>
        <v>11.356852811338806</v>
      </c>
      <c r="BF298" s="55">
        <f t="shared" si="374"/>
        <v>11.670301948931757</v>
      </c>
      <c r="BG298" s="55">
        <f t="shared" si="374"/>
        <v>11.992402282722274</v>
      </c>
      <c r="BH298" s="55">
        <f t="shared" si="374"/>
        <v>12.323392585725408</v>
      </c>
      <c r="BI298" s="55">
        <f t="shared" si="374"/>
        <v>12.663518221091431</v>
      </c>
      <c r="BJ298" s="55">
        <f t="shared" si="374"/>
        <v>13.013031323993559</v>
      </c>
    </row>
    <row r="299" spans="1:62" x14ac:dyDescent="0.3">
      <c r="A299" s="53" t="str">
        <f t="shared" ref="A299:A330" si="375">A88</f>
        <v>project 135</v>
      </c>
      <c r="C299" s="55">
        <f t="shared" ref="C299:AH299" si="376">IF(AND(C$127&gt;=$K88,C$127&lt;=$L88),$G88*(1+$H88)^(C$127-$B$5),0)</f>
        <v>0</v>
      </c>
      <c r="D299" s="55">
        <f t="shared" si="376"/>
        <v>0</v>
      </c>
      <c r="E299" s="55">
        <f t="shared" si="376"/>
        <v>0</v>
      </c>
      <c r="F299" s="55">
        <f t="shared" si="376"/>
        <v>0</v>
      </c>
      <c r="G299" s="55">
        <f t="shared" si="376"/>
        <v>0</v>
      </c>
      <c r="H299" s="55">
        <f t="shared" si="376"/>
        <v>0</v>
      </c>
      <c r="I299" s="55">
        <f t="shared" si="376"/>
        <v>0</v>
      </c>
      <c r="J299" s="55">
        <f t="shared" si="376"/>
        <v>0</v>
      </c>
      <c r="K299" s="55">
        <f t="shared" si="376"/>
        <v>0</v>
      </c>
      <c r="L299" s="55">
        <f t="shared" si="376"/>
        <v>0</v>
      </c>
      <c r="M299" s="55">
        <f t="shared" si="376"/>
        <v>0</v>
      </c>
      <c r="N299" s="55">
        <f t="shared" si="376"/>
        <v>0</v>
      </c>
      <c r="O299" s="55">
        <f t="shared" si="376"/>
        <v>0</v>
      </c>
      <c r="P299" s="55">
        <f t="shared" si="376"/>
        <v>0</v>
      </c>
      <c r="Q299" s="55">
        <f t="shared" si="376"/>
        <v>0</v>
      </c>
      <c r="R299" s="55">
        <f t="shared" si="376"/>
        <v>0</v>
      </c>
      <c r="S299" s="55">
        <f t="shared" si="376"/>
        <v>0</v>
      </c>
      <c r="T299" s="55">
        <f t="shared" si="376"/>
        <v>0</v>
      </c>
      <c r="U299" s="55">
        <f t="shared" si="376"/>
        <v>0</v>
      </c>
      <c r="V299" s="55">
        <f t="shared" si="376"/>
        <v>0</v>
      </c>
      <c r="W299" s="55">
        <f t="shared" si="376"/>
        <v>3.3077189159721949</v>
      </c>
      <c r="X299" s="55">
        <f t="shared" si="376"/>
        <v>3.4033119926437911</v>
      </c>
      <c r="Y299" s="55">
        <f t="shared" si="376"/>
        <v>3.5016677092311967</v>
      </c>
      <c r="Z299" s="55">
        <f t="shared" si="376"/>
        <v>3.602865906027978</v>
      </c>
      <c r="AA299" s="55">
        <f t="shared" si="376"/>
        <v>3.7069887307121863</v>
      </c>
      <c r="AB299" s="55">
        <f t="shared" si="376"/>
        <v>3.8141207050297679</v>
      </c>
      <c r="AC299" s="55">
        <f t="shared" si="376"/>
        <v>3.9243487934051284</v>
      </c>
      <c r="AD299" s="55">
        <f t="shared" si="376"/>
        <v>4.0377624735345359</v>
      </c>
      <c r="AE299" s="55">
        <f t="shared" si="376"/>
        <v>4.1544538090196834</v>
      </c>
      <c r="AF299" s="55">
        <f t="shared" si="376"/>
        <v>4.2745175241003528</v>
      </c>
      <c r="AG299" s="55">
        <f t="shared" si="376"/>
        <v>4.3980510805468525</v>
      </c>
      <c r="AH299" s="55">
        <f t="shared" si="376"/>
        <v>4.525154756774656</v>
      </c>
      <c r="AI299" s="55">
        <f t="shared" ref="AI299:BJ299" si="377">IF(AND(AI$127&gt;=$K88,AI$127&lt;=$L88),$G88*(1+$H88)^(AI$127-$B$5),0)</f>
        <v>4.6559317292454434</v>
      </c>
      <c r="AJ299" s="55">
        <f t="shared" si="377"/>
        <v>4.7904881562206363</v>
      </c>
      <c r="AK299" s="55">
        <f t="shared" si="377"/>
        <v>4.928933263935412</v>
      </c>
      <c r="AL299" s="55">
        <f t="shared" si="377"/>
        <v>5.0713794352631458</v>
      </c>
      <c r="AM299" s="55">
        <f t="shared" si="377"/>
        <v>5.2179423009422505</v>
      </c>
      <c r="AN299" s="55">
        <f t="shared" si="377"/>
        <v>5.3687408334394808</v>
      </c>
      <c r="AO299" s="55">
        <f t="shared" si="377"/>
        <v>5.5238974435258816</v>
      </c>
      <c r="AP299" s="55">
        <f t="shared" si="377"/>
        <v>5.6835380796437791</v>
      </c>
      <c r="AQ299" s="55">
        <f t="shared" si="377"/>
        <v>5.8477923301454844</v>
      </c>
      <c r="AR299" s="55">
        <f t="shared" si="377"/>
        <v>6.0167935284866889</v>
      </c>
      <c r="AS299" s="55">
        <f t="shared" si="377"/>
        <v>6.1906788614599533</v>
      </c>
      <c r="AT299" s="55">
        <f t="shared" si="377"/>
        <v>6.3695894805561446</v>
      </c>
      <c r="AU299" s="55">
        <f t="shared" si="377"/>
        <v>6.5536706165442169</v>
      </c>
      <c r="AV299" s="55">
        <f t="shared" si="377"/>
        <v>6.7430716973623444</v>
      </c>
      <c r="AW299" s="55">
        <f t="shared" si="377"/>
        <v>6.9379464694161168</v>
      </c>
      <c r="AX299" s="55">
        <f t="shared" si="377"/>
        <v>7.1384531223822414</v>
      </c>
      <c r="AY299" s="55">
        <f t="shared" si="377"/>
        <v>7.3447544176190878</v>
      </c>
      <c r="AZ299" s="55">
        <f t="shared" si="377"/>
        <v>7.5570178202882792</v>
      </c>
      <c r="BA299" s="55">
        <f t="shared" si="377"/>
        <v>7.7754156352946096</v>
      </c>
      <c r="BB299" s="55">
        <f t="shared" si="377"/>
        <v>8.0001251471546233</v>
      </c>
      <c r="BC299" s="55">
        <f t="shared" si="377"/>
        <v>8.231328763907392</v>
      </c>
      <c r="BD299" s="55">
        <f t="shared" si="377"/>
        <v>8.4692141651843151</v>
      </c>
      <c r="BE299" s="55">
        <f t="shared" si="377"/>
        <v>8.7139744545581408</v>
      </c>
      <c r="BF299" s="55">
        <f t="shared" si="377"/>
        <v>8.9658083162948703</v>
      </c>
      <c r="BG299" s="55">
        <f t="shared" si="377"/>
        <v>9.2249201766357931</v>
      </c>
      <c r="BH299" s="55">
        <f t="shared" si="377"/>
        <v>9.4915203697405648</v>
      </c>
      <c r="BI299" s="55">
        <f t="shared" si="377"/>
        <v>9.7658253084260664</v>
      </c>
      <c r="BJ299" s="55">
        <f t="shared" si="377"/>
        <v>10.04805765983958</v>
      </c>
    </row>
    <row r="300" spans="1:62" x14ac:dyDescent="0.3">
      <c r="A300" s="53" t="str">
        <f t="shared" si="375"/>
        <v>project 137</v>
      </c>
      <c r="C300" s="55">
        <f t="shared" ref="C300:AH300" si="378">IF(AND(C$127&gt;=$K89,C$127&lt;=$L89),$G89*(1+$H89)^(C$127-$B$5),0)</f>
        <v>0</v>
      </c>
      <c r="D300" s="55">
        <f t="shared" si="378"/>
        <v>0</v>
      </c>
      <c r="E300" s="55">
        <f t="shared" si="378"/>
        <v>0</v>
      </c>
      <c r="F300" s="55">
        <f t="shared" si="378"/>
        <v>5.2224150840352896</v>
      </c>
      <c r="G300" s="55">
        <f t="shared" si="378"/>
        <v>5.283517340518503</v>
      </c>
      <c r="H300" s="55">
        <f t="shared" si="378"/>
        <v>5.3453344934025688</v>
      </c>
      <c r="I300" s="55">
        <f t="shared" si="378"/>
        <v>5.4078749069753806</v>
      </c>
      <c r="J300" s="55">
        <f t="shared" si="378"/>
        <v>5.471147043386992</v>
      </c>
      <c r="K300" s="55">
        <f t="shared" si="378"/>
        <v>5.5351594637946206</v>
      </c>
      <c r="L300" s="55">
        <f t="shared" si="378"/>
        <v>5.5999208295210172</v>
      </c>
      <c r="M300" s="55">
        <f t="shared" si="378"/>
        <v>5.6654399032264138</v>
      </c>
      <c r="N300" s="55">
        <f t="shared" si="378"/>
        <v>5.7317255500941622</v>
      </c>
      <c r="O300" s="55">
        <f t="shared" si="378"/>
        <v>5.7987867390302652</v>
      </c>
      <c r="P300" s="55">
        <f t="shared" si="378"/>
        <v>5.8666325438769196</v>
      </c>
      <c r="Q300" s="55">
        <f t="shared" si="378"/>
        <v>5.9352721446402796</v>
      </c>
      <c r="R300" s="55">
        <f t="shared" si="378"/>
        <v>6.0047148287325705</v>
      </c>
      <c r="S300" s="55">
        <f t="shared" si="378"/>
        <v>6.0749699922287421</v>
      </c>
      <c r="T300" s="55">
        <f t="shared" si="378"/>
        <v>6.146047141137819</v>
      </c>
      <c r="U300" s="55">
        <f t="shared" si="378"/>
        <v>6.2179558926891323</v>
      </c>
      <c r="V300" s="55">
        <f t="shared" si="378"/>
        <v>6.2907059766335953</v>
      </c>
      <c r="W300" s="55">
        <f t="shared" si="378"/>
        <v>6.364307236560208</v>
      </c>
      <c r="X300" s="55">
        <f t="shared" si="378"/>
        <v>6.4387696312279621</v>
      </c>
      <c r="Y300" s="55">
        <f t="shared" si="378"/>
        <v>6.5141032359133311</v>
      </c>
      <c r="Z300" s="55">
        <f t="shared" si="378"/>
        <v>6.5903182437735168</v>
      </c>
      <c r="AA300" s="55">
        <f t="shared" si="378"/>
        <v>6.6674249672256671</v>
      </c>
      <c r="AB300" s="55">
        <f t="shared" si="378"/>
        <v>6.7454338393422075</v>
      </c>
      <c r="AC300" s="55">
        <f t="shared" si="378"/>
        <v>6.8243554152625112</v>
      </c>
      <c r="AD300" s="55">
        <f t="shared" si="378"/>
        <v>6.9042003736210829</v>
      </c>
      <c r="AE300" s="55">
        <f t="shared" si="378"/>
        <v>6.9849795179924516</v>
      </c>
      <c r="AF300" s="55">
        <f t="shared" si="378"/>
        <v>7.066703778352962</v>
      </c>
      <c r="AG300" s="55">
        <f t="shared" si="378"/>
        <v>7.1493842125596929</v>
      </c>
      <c r="AH300" s="55">
        <f t="shared" si="378"/>
        <v>7.2330320078466404</v>
      </c>
      <c r="AI300" s="55">
        <f t="shared" ref="AI300:BJ300" si="379">IF(AND(AI$127&gt;=$K89,AI$127&lt;=$L89),$G89*(1+$H89)^(AI$127-$B$5),0)</f>
        <v>7.3176584823384481</v>
      </c>
      <c r="AJ300" s="55">
        <f t="shared" si="379"/>
        <v>7.4032750865818073</v>
      </c>
      <c r="AK300" s="55">
        <f t="shared" si="379"/>
        <v>7.4898934050948167</v>
      </c>
      <c r="AL300" s="55">
        <f t="shared" si="379"/>
        <v>7.5775251579344252</v>
      </c>
      <c r="AM300" s="55">
        <f t="shared" si="379"/>
        <v>7.6661822022822594</v>
      </c>
      <c r="AN300" s="55">
        <f t="shared" si="379"/>
        <v>7.7558765340489613</v>
      </c>
      <c r="AO300" s="55">
        <f t="shared" si="379"/>
        <v>7.8466202894973343</v>
      </c>
      <c r="AP300" s="55">
        <f t="shared" si="379"/>
        <v>7.9384257468844535</v>
      </c>
      <c r="AQ300" s="55">
        <f t="shared" si="379"/>
        <v>8.0313053281230022</v>
      </c>
      <c r="AR300" s="55">
        <f t="shared" si="379"/>
        <v>8.1252716004620407</v>
      </c>
      <c r="AS300" s="55">
        <f t="shared" si="379"/>
        <v>8.2203372781874471</v>
      </c>
      <c r="AT300" s="55">
        <f t="shared" si="379"/>
        <v>0</v>
      </c>
      <c r="AU300" s="55">
        <f t="shared" si="379"/>
        <v>0</v>
      </c>
      <c r="AV300" s="55">
        <f t="shared" si="379"/>
        <v>0</v>
      </c>
      <c r="AW300" s="55">
        <f t="shared" si="379"/>
        <v>0</v>
      </c>
      <c r="AX300" s="55">
        <f t="shared" si="379"/>
        <v>0</v>
      </c>
      <c r="AY300" s="55">
        <f t="shared" si="379"/>
        <v>0</v>
      </c>
      <c r="AZ300" s="55">
        <f t="shared" si="379"/>
        <v>0</v>
      </c>
      <c r="BA300" s="55">
        <f t="shared" si="379"/>
        <v>0</v>
      </c>
      <c r="BB300" s="55">
        <f t="shared" si="379"/>
        <v>0</v>
      </c>
      <c r="BC300" s="55">
        <f t="shared" si="379"/>
        <v>0</v>
      </c>
      <c r="BD300" s="55">
        <f t="shared" si="379"/>
        <v>0</v>
      </c>
      <c r="BE300" s="55">
        <f t="shared" si="379"/>
        <v>0</v>
      </c>
      <c r="BF300" s="55">
        <f t="shared" si="379"/>
        <v>0</v>
      </c>
      <c r="BG300" s="55">
        <f t="shared" si="379"/>
        <v>0</v>
      </c>
      <c r="BH300" s="55">
        <f t="shared" si="379"/>
        <v>0</v>
      </c>
      <c r="BI300" s="55">
        <f t="shared" si="379"/>
        <v>0</v>
      </c>
      <c r="BJ300" s="55">
        <f t="shared" si="379"/>
        <v>0</v>
      </c>
    </row>
    <row r="301" spans="1:62" x14ac:dyDescent="0.3">
      <c r="A301" s="53" t="str">
        <f t="shared" si="375"/>
        <v>project 142</v>
      </c>
      <c r="C301" s="55">
        <f t="shared" ref="C301:AH301" si="380">IF(AND(C$127&gt;=$K90,C$127&lt;=$L90),$G90*(1+$H90)^(C$127-$B$5),0)</f>
        <v>0</v>
      </c>
      <c r="D301" s="55">
        <f t="shared" si="380"/>
        <v>0</v>
      </c>
      <c r="E301" s="55">
        <f t="shared" si="380"/>
        <v>0</v>
      </c>
      <c r="F301" s="55">
        <f t="shared" si="380"/>
        <v>0</v>
      </c>
      <c r="G301" s="55">
        <f t="shared" si="380"/>
        <v>0</v>
      </c>
      <c r="H301" s="55">
        <f t="shared" si="380"/>
        <v>0</v>
      </c>
      <c r="I301" s="55">
        <f t="shared" si="380"/>
        <v>0</v>
      </c>
      <c r="J301" s="55">
        <f t="shared" si="380"/>
        <v>0</v>
      </c>
      <c r="K301" s="55">
        <f t="shared" si="380"/>
        <v>0</v>
      </c>
      <c r="L301" s="55">
        <f t="shared" si="380"/>
        <v>0</v>
      </c>
      <c r="M301" s="55">
        <f t="shared" si="380"/>
        <v>0</v>
      </c>
      <c r="N301" s="55">
        <f t="shared" si="380"/>
        <v>0</v>
      </c>
      <c r="O301" s="55">
        <f t="shared" si="380"/>
        <v>0</v>
      </c>
      <c r="P301" s="55">
        <f t="shared" si="380"/>
        <v>0</v>
      </c>
      <c r="Q301" s="55">
        <f t="shared" si="380"/>
        <v>0</v>
      </c>
      <c r="R301" s="55">
        <f t="shared" si="380"/>
        <v>0</v>
      </c>
      <c r="S301" s="55">
        <f t="shared" si="380"/>
        <v>0</v>
      </c>
      <c r="T301" s="55">
        <f t="shared" si="380"/>
        <v>0</v>
      </c>
      <c r="U301" s="55">
        <f t="shared" si="380"/>
        <v>0</v>
      </c>
      <c r="V301" s="55">
        <f t="shared" si="380"/>
        <v>0</v>
      </c>
      <c r="W301" s="55">
        <f t="shared" si="380"/>
        <v>2.051771322621605</v>
      </c>
      <c r="X301" s="55">
        <f t="shared" si="380"/>
        <v>2.092191217677251</v>
      </c>
      <c r="Y301" s="55">
        <f t="shared" si="380"/>
        <v>2.1334073846654924</v>
      </c>
      <c r="Z301" s="55">
        <f t="shared" si="380"/>
        <v>2.1754355101434029</v>
      </c>
      <c r="AA301" s="55">
        <f t="shared" si="380"/>
        <v>2.2182915896932283</v>
      </c>
      <c r="AB301" s="55">
        <f t="shared" si="380"/>
        <v>2.2619919340101848</v>
      </c>
      <c r="AC301" s="55">
        <f t="shared" si="380"/>
        <v>2.3065531751101855</v>
      </c>
      <c r="AD301" s="55">
        <f t="shared" si="380"/>
        <v>2.3519922726598561</v>
      </c>
      <c r="AE301" s="55">
        <f t="shared" si="380"/>
        <v>2.3983265204312558</v>
      </c>
      <c r="AF301" s="55">
        <f t="shared" si="380"/>
        <v>2.4455735528837517</v>
      </c>
      <c r="AG301" s="55">
        <f t="shared" si="380"/>
        <v>2.4937513518755616</v>
      </c>
      <c r="AH301" s="55">
        <f t="shared" si="380"/>
        <v>2.5428782535075101</v>
      </c>
      <c r="AI301" s="55">
        <f t="shared" ref="AI301:BJ301" si="381">IF(AND(AI$127&gt;=$K90,AI$127&lt;=$L90),$G90*(1+$H90)^(AI$127-$B$5),0)</f>
        <v>2.5929729551016081</v>
      </c>
      <c r="AJ301" s="55">
        <f t="shared" si="381"/>
        <v>2.6440545223171097</v>
      </c>
      <c r="AK301" s="55">
        <f t="shared" si="381"/>
        <v>2.6961423964067568</v>
      </c>
      <c r="AL301" s="55">
        <f t="shared" si="381"/>
        <v>2.7492564016159697</v>
      </c>
      <c r="AM301" s="55">
        <f t="shared" si="381"/>
        <v>2.8034167527278049</v>
      </c>
      <c r="AN301" s="55">
        <f t="shared" si="381"/>
        <v>2.858644062756543</v>
      </c>
      <c r="AO301" s="55">
        <f t="shared" si="381"/>
        <v>2.9149593507928468</v>
      </c>
      <c r="AP301" s="55">
        <f t="shared" si="381"/>
        <v>2.9723840500034657</v>
      </c>
      <c r="AQ301" s="55">
        <f t="shared" si="381"/>
        <v>3.0309400157885342</v>
      </c>
      <c r="AR301" s="55">
        <f t="shared" si="381"/>
        <v>3.0906495340995686</v>
      </c>
      <c r="AS301" s="55">
        <f t="shared" si="381"/>
        <v>3.1515353299213298</v>
      </c>
      <c r="AT301" s="55">
        <f t="shared" si="381"/>
        <v>3.2136205759207801</v>
      </c>
      <c r="AU301" s="55">
        <f t="shared" si="381"/>
        <v>3.27692890126642</v>
      </c>
      <c r="AV301" s="55">
        <f t="shared" si="381"/>
        <v>3.3414844006213684</v>
      </c>
      <c r="AW301" s="55">
        <f t="shared" si="381"/>
        <v>3.4073116433136095</v>
      </c>
      <c r="AX301" s="55">
        <f t="shared" si="381"/>
        <v>3.4744356826868872</v>
      </c>
      <c r="AY301" s="55">
        <f t="shared" si="381"/>
        <v>3.5428820656358195</v>
      </c>
      <c r="AZ301" s="55">
        <f t="shared" si="381"/>
        <v>3.6126768423288453</v>
      </c>
      <c r="BA301" s="55">
        <f t="shared" si="381"/>
        <v>3.6838465761227233</v>
      </c>
      <c r="BB301" s="55">
        <f t="shared" si="381"/>
        <v>3.7564183536723412</v>
      </c>
      <c r="BC301" s="55">
        <f t="shared" si="381"/>
        <v>3.8304197952396866</v>
      </c>
      <c r="BD301" s="55">
        <f t="shared" si="381"/>
        <v>3.9058790652059088</v>
      </c>
      <c r="BE301" s="55">
        <f t="shared" si="381"/>
        <v>3.9828248827904646</v>
      </c>
      <c r="BF301" s="55">
        <f t="shared" si="381"/>
        <v>4.0612865329814367</v>
      </c>
      <c r="BG301" s="55">
        <f t="shared" si="381"/>
        <v>4.1412938776811723</v>
      </c>
      <c r="BH301" s="55">
        <f t="shared" si="381"/>
        <v>4.222877367071491</v>
      </c>
      <c r="BI301" s="55">
        <f t="shared" si="381"/>
        <v>4.3060680512027991</v>
      </c>
      <c r="BJ301" s="55">
        <f t="shared" si="381"/>
        <v>4.3908975918114947</v>
      </c>
    </row>
    <row r="302" spans="1:62" x14ac:dyDescent="0.3">
      <c r="A302" s="53" t="str">
        <f t="shared" si="375"/>
        <v>project 144</v>
      </c>
      <c r="C302" s="55">
        <f t="shared" ref="C302:AH302" si="382">IF(AND(C$127&gt;=$K91,C$127&lt;=$L91),$G91*(1+$H91)^(C$127-$B$5),0)</f>
        <v>0</v>
      </c>
      <c r="D302" s="55">
        <f t="shared" si="382"/>
        <v>0</v>
      </c>
      <c r="E302" s="55">
        <f t="shared" si="382"/>
        <v>0</v>
      </c>
      <c r="F302" s="55">
        <f t="shared" si="382"/>
        <v>0</v>
      </c>
      <c r="G302" s="55">
        <f t="shared" si="382"/>
        <v>0</v>
      </c>
      <c r="H302" s="55">
        <f t="shared" si="382"/>
        <v>2.6889297491614044</v>
      </c>
      <c r="I302" s="55">
        <f t="shared" si="382"/>
        <v>2.7195835483018445</v>
      </c>
      <c r="J302" s="55">
        <f t="shared" si="382"/>
        <v>2.7505868007524854</v>
      </c>
      <c r="K302" s="55">
        <f t="shared" si="382"/>
        <v>2.7819434902810642</v>
      </c>
      <c r="L302" s="55">
        <f t="shared" si="382"/>
        <v>2.813657646070268</v>
      </c>
      <c r="M302" s="55">
        <f t="shared" si="382"/>
        <v>2.8457333432354699</v>
      </c>
      <c r="N302" s="55">
        <f t="shared" si="382"/>
        <v>2.8781747033483538</v>
      </c>
      <c r="O302" s="55">
        <f t="shared" si="382"/>
        <v>2.9109858949665255</v>
      </c>
      <c r="P302" s="55">
        <f t="shared" si="382"/>
        <v>2.9441711341691441</v>
      </c>
      <c r="Q302" s="55">
        <f t="shared" si="382"/>
        <v>2.9777346850986732</v>
      </c>
      <c r="R302" s="55">
        <f t="shared" si="382"/>
        <v>3.0116808605087972</v>
      </c>
      <c r="S302" s="55">
        <f t="shared" si="382"/>
        <v>3.0460140223185985</v>
      </c>
      <c r="T302" s="55">
        <f t="shared" si="382"/>
        <v>3.0807385821730309</v>
      </c>
      <c r="U302" s="55">
        <f t="shared" si="382"/>
        <v>3.1158590020098034</v>
      </c>
      <c r="V302" s="55">
        <f t="shared" si="382"/>
        <v>3.1513797946327151</v>
      </c>
      <c r="W302" s="55">
        <f t="shared" si="382"/>
        <v>3.1873055242915282</v>
      </c>
      <c r="X302" s="55">
        <f t="shared" si="382"/>
        <v>3.2236408072684521</v>
      </c>
      <c r="Y302" s="55">
        <f t="shared" si="382"/>
        <v>3.2603903124713125</v>
      </c>
      <c r="Z302" s="55">
        <f t="shared" si="382"/>
        <v>3.2975587620334852</v>
      </c>
      <c r="AA302" s="55">
        <f t="shared" si="382"/>
        <v>3.3351509319206678</v>
      </c>
      <c r="AB302" s="55">
        <f t="shared" si="382"/>
        <v>3.3731716525445634</v>
      </c>
      <c r="AC302" s="55">
        <f t="shared" si="382"/>
        <v>3.4116258093835721</v>
      </c>
      <c r="AD302" s="55">
        <f t="shared" si="382"/>
        <v>3.4505183436105447</v>
      </c>
      <c r="AE302" s="55">
        <f t="shared" si="382"/>
        <v>3.4898542527277052</v>
      </c>
      <c r="AF302" s="55">
        <f t="shared" si="382"/>
        <v>3.5296385912088013</v>
      </c>
      <c r="AG302" s="55">
        <f t="shared" si="382"/>
        <v>3.5698764711485826</v>
      </c>
      <c r="AH302" s="55">
        <f t="shared" si="382"/>
        <v>3.6105730629196753</v>
      </c>
      <c r="AI302" s="55">
        <f t="shared" ref="AI302:BJ302" si="383">IF(AND(AI$127&gt;=$K91,AI$127&lt;=$L91),$G91*(1+$H91)^(AI$127-$B$5),0)</f>
        <v>3.6517335958369608</v>
      </c>
      <c r="AJ302" s="55">
        <f t="shared" si="383"/>
        <v>3.6933633588295027</v>
      </c>
      <c r="AK302" s="55">
        <f t="shared" si="383"/>
        <v>3.7354677011201591</v>
      </c>
      <c r="AL302" s="55">
        <f t="shared" si="383"/>
        <v>3.7780520329129286</v>
      </c>
      <c r="AM302" s="55">
        <f t="shared" si="383"/>
        <v>3.8211218260881368</v>
      </c>
      <c r="AN302" s="55">
        <f t="shared" si="383"/>
        <v>3.8646826149055418</v>
      </c>
      <c r="AO302" s="55">
        <f t="shared" si="383"/>
        <v>3.9087399967154655</v>
      </c>
      <c r="AP302" s="55">
        <f t="shared" si="383"/>
        <v>3.953299632678021</v>
      </c>
      <c r="AQ302" s="55">
        <f t="shared" si="383"/>
        <v>3.9983672484905517</v>
      </c>
      <c r="AR302" s="55">
        <f t="shared" si="383"/>
        <v>4.0439486351233436</v>
      </c>
      <c r="AS302" s="55">
        <f t="shared" si="383"/>
        <v>4.0900496495637508</v>
      </c>
      <c r="AT302" s="55">
        <f t="shared" si="383"/>
        <v>4.1366762155687775</v>
      </c>
      <c r="AU302" s="55">
        <f t="shared" si="383"/>
        <v>4.1838343244262619</v>
      </c>
      <c r="AV302" s="55">
        <f t="shared" si="383"/>
        <v>0</v>
      </c>
      <c r="AW302" s="55">
        <f t="shared" si="383"/>
        <v>0</v>
      </c>
      <c r="AX302" s="55">
        <f t="shared" si="383"/>
        <v>0</v>
      </c>
      <c r="AY302" s="55">
        <f t="shared" si="383"/>
        <v>0</v>
      </c>
      <c r="AZ302" s="55">
        <f t="shared" si="383"/>
        <v>0</v>
      </c>
      <c r="BA302" s="55">
        <f t="shared" si="383"/>
        <v>0</v>
      </c>
      <c r="BB302" s="55">
        <f t="shared" si="383"/>
        <v>0</v>
      </c>
      <c r="BC302" s="55">
        <f t="shared" si="383"/>
        <v>0</v>
      </c>
      <c r="BD302" s="55">
        <f t="shared" si="383"/>
        <v>0</v>
      </c>
      <c r="BE302" s="55">
        <f t="shared" si="383"/>
        <v>0</v>
      </c>
      <c r="BF302" s="55">
        <f t="shared" si="383"/>
        <v>0</v>
      </c>
      <c r="BG302" s="55">
        <f t="shared" si="383"/>
        <v>0</v>
      </c>
      <c r="BH302" s="55">
        <f t="shared" si="383"/>
        <v>0</v>
      </c>
      <c r="BI302" s="55">
        <f t="shared" si="383"/>
        <v>0</v>
      </c>
      <c r="BJ302" s="55">
        <f t="shared" si="383"/>
        <v>0</v>
      </c>
    </row>
    <row r="303" spans="1:62" x14ac:dyDescent="0.3">
      <c r="A303" s="53" t="str">
        <f t="shared" si="375"/>
        <v>project 145</v>
      </c>
      <c r="C303" s="55">
        <f t="shared" ref="C303:AH303" si="384">IF(AND(C$127&gt;=$K92,C$127&lt;=$L92),$G92*(1+$H92)^(C$127-$B$5),0)</f>
        <v>0</v>
      </c>
      <c r="D303" s="55">
        <f t="shared" si="384"/>
        <v>0</v>
      </c>
      <c r="E303" s="55">
        <f t="shared" si="384"/>
        <v>0</v>
      </c>
      <c r="F303" s="55">
        <f t="shared" si="384"/>
        <v>0</v>
      </c>
      <c r="G303" s="55">
        <f t="shared" si="384"/>
        <v>0</v>
      </c>
      <c r="H303" s="55">
        <f t="shared" si="384"/>
        <v>0</v>
      </c>
      <c r="I303" s="55">
        <f t="shared" si="384"/>
        <v>0</v>
      </c>
      <c r="J303" s="55">
        <f t="shared" si="384"/>
        <v>0</v>
      </c>
      <c r="K303" s="55">
        <f t="shared" si="384"/>
        <v>0</v>
      </c>
      <c r="L303" s="55">
        <f t="shared" si="384"/>
        <v>0</v>
      </c>
      <c r="M303" s="55">
        <f t="shared" si="384"/>
        <v>0</v>
      </c>
      <c r="N303" s="55">
        <f t="shared" si="384"/>
        <v>0</v>
      </c>
      <c r="O303" s="55">
        <f t="shared" si="384"/>
        <v>0</v>
      </c>
      <c r="P303" s="55">
        <f t="shared" si="384"/>
        <v>0</v>
      </c>
      <c r="Q303" s="55">
        <f t="shared" si="384"/>
        <v>0</v>
      </c>
      <c r="R303" s="55">
        <f t="shared" si="384"/>
        <v>0</v>
      </c>
      <c r="S303" s="55">
        <f t="shared" si="384"/>
        <v>0</v>
      </c>
      <c r="T303" s="55">
        <f t="shared" si="384"/>
        <v>0</v>
      </c>
      <c r="U303" s="55">
        <f t="shared" si="384"/>
        <v>0</v>
      </c>
      <c r="V303" s="55">
        <f t="shared" si="384"/>
        <v>0</v>
      </c>
      <c r="W303" s="55">
        <f t="shared" si="384"/>
        <v>1.6520231871039603</v>
      </c>
      <c r="X303" s="55">
        <f t="shared" si="384"/>
        <v>1.6936541714189799</v>
      </c>
      <c r="Y303" s="55">
        <f t="shared" si="384"/>
        <v>1.7363342565387381</v>
      </c>
      <c r="Z303" s="55">
        <f t="shared" si="384"/>
        <v>1.7800898798035139</v>
      </c>
      <c r="AA303" s="55">
        <f t="shared" si="384"/>
        <v>1.8249481447745621</v>
      </c>
      <c r="AB303" s="55">
        <f t="shared" si="384"/>
        <v>1.8709368380228806</v>
      </c>
      <c r="AC303" s="55">
        <f t="shared" si="384"/>
        <v>1.9180844463410571</v>
      </c>
      <c r="AD303" s="55">
        <f t="shared" si="384"/>
        <v>1.9664201743888514</v>
      </c>
      <c r="AE303" s="55">
        <f t="shared" si="384"/>
        <v>2.0159739627834505</v>
      </c>
      <c r="AF303" s="55">
        <f t="shared" si="384"/>
        <v>2.0667765066455934</v>
      </c>
      <c r="AG303" s="55">
        <f t="shared" si="384"/>
        <v>2.1188592746130621</v>
      </c>
      <c r="AH303" s="55">
        <f t="shared" si="384"/>
        <v>2.1722545283333106</v>
      </c>
      <c r="AI303" s="55">
        <f t="shared" ref="AI303:BJ303" si="385">IF(AND(AI$127&gt;=$K92,AI$127&lt;=$L92),$G92*(1+$H92)^(AI$127-$B$5),0)</f>
        <v>2.2269953424473097</v>
      </c>
      <c r="AJ303" s="55">
        <f t="shared" si="385"/>
        <v>2.2831156250769817</v>
      </c>
      <c r="AK303" s="55">
        <f t="shared" si="385"/>
        <v>2.3406501388289214</v>
      </c>
      <c r="AL303" s="55">
        <f t="shared" si="385"/>
        <v>2.39963452232741</v>
      </c>
      <c r="AM303" s="55">
        <f t="shared" si="385"/>
        <v>2.4601053122900605</v>
      </c>
      <c r="AN303" s="55">
        <f t="shared" si="385"/>
        <v>2.5220999661597698</v>
      </c>
      <c r="AO303" s="55">
        <f t="shared" si="385"/>
        <v>2.5856568853069954</v>
      </c>
      <c r="AP303" s="55">
        <f t="shared" si="385"/>
        <v>2.6508154388167311</v>
      </c>
      <c r="AQ303" s="55">
        <f t="shared" si="385"/>
        <v>2.7176159878749124</v>
      </c>
      <c r="AR303" s="55">
        <f t="shared" si="385"/>
        <v>2.78609991076936</v>
      </c>
      <c r="AS303" s="55">
        <f t="shared" si="385"/>
        <v>2.8563096285207474</v>
      </c>
      <c r="AT303" s="55">
        <f t="shared" si="385"/>
        <v>2.9282886311594698</v>
      </c>
      <c r="AU303" s="55">
        <f t="shared" si="385"/>
        <v>3.0020815046646883</v>
      </c>
      <c r="AV303" s="55">
        <f t="shared" si="385"/>
        <v>3.0777339585822383</v>
      </c>
      <c r="AW303" s="55">
        <f t="shared" si="385"/>
        <v>3.1552928543385104</v>
      </c>
      <c r="AX303" s="55">
        <f t="shared" si="385"/>
        <v>3.2348062342678401</v>
      </c>
      <c r="AY303" s="55">
        <f t="shared" si="385"/>
        <v>3.3163233513713894</v>
      </c>
      <c r="AZ303" s="55">
        <f t="shared" si="385"/>
        <v>3.3998946998259476</v>
      </c>
      <c r="BA303" s="55">
        <f t="shared" si="385"/>
        <v>3.4855720462615611</v>
      </c>
      <c r="BB303" s="55">
        <f t="shared" si="385"/>
        <v>3.5734084618273521</v>
      </c>
      <c r="BC303" s="55">
        <f t="shared" si="385"/>
        <v>3.6634583550654014</v>
      </c>
      <c r="BD303" s="55">
        <f t="shared" si="385"/>
        <v>3.7557775056130493</v>
      </c>
      <c r="BE303" s="55">
        <f t="shared" si="385"/>
        <v>3.8504230987544976</v>
      </c>
      <c r="BF303" s="55">
        <f t="shared" si="385"/>
        <v>3.9474537608431102</v>
      </c>
      <c r="BG303" s="55">
        <f t="shared" si="385"/>
        <v>4.0469295956163558</v>
      </c>
      <c r="BH303" s="55">
        <f t="shared" si="385"/>
        <v>4.1489122214258867</v>
      </c>
      <c r="BI303" s="55">
        <f t="shared" si="385"/>
        <v>4.2534648094058189</v>
      </c>
      <c r="BJ303" s="55">
        <f t="shared" si="385"/>
        <v>4.3606521226028443</v>
      </c>
    </row>
    <row r="304" spans="1:62" x14ac:dyDescent="0.3">
      <c r="A304" s="53" t="str">
        <f t="shared" si="375"/>
        <v>project 146</v>
      </c>
      <c r="C304" s="55">
        <f t="shared" ref="C304:AH304" si="386">IF(AND(C$127&gt;=$K93,C$127&lt;=$L93),$G93*(1+$H93)^(C$127-$B$5),0)</f>
        <v>0</v>
      </c>
      <c r="D304" s="55">
        <f t="shared" si="386"/>
        <v>0</v>
      </c>
      <c r="E304" s="55">
        <f t="shared" si="386"/>
        <v>0</v>
      </c>
      <c r="F304" s="55">
        <f t="shared" si="386"/>
        <v>0</v>
      </c>
      <c r="G304" s="55">
        <f t="shared" si="386"/>
        <v>0</v>
      </c>
      <c r="H304" s="55">
        <f t="shared" si="386"/>
        <v>0</v>
      </c>
      <c r="I304" s="55">
        <f t="shared" si="386"/>
        <v>0</v>
      </c>
      <c r="J304" s="55">
        <f t="shared" si="386"/>
        <v>0</v>
      </c>
      <c r="K304" s="55">
        <f t="shared" si="386"/>
        <v>0</v>
      </c>
      <c r="L304" s="55">
        <f t="shared" si="386"/>
        <v>0</v>
      </c>
      <c r="M304" s="55">
        <f t="shared" si="386"/>
        <v>0</v>
      </c>
      <c r="N304" s="55">
        <f t="shared" si="386"/>
        <v>0</v>
      </c>
      <c r="O304" s="55">
        <f t="shared" si="386"/>
        <v>0</v>
      </c>
      <c r="P304" s="55">
        <f t="shared" si="386"/>
        <v>0</v>
      </c>
      <c r="Q304" s="55">
        <f t="shared" si="386"/>
        <v>0</v>
      </c>
      <c r="R304" s="55">
        <f t="shared" si="386"/>
        <v>0</v>
      </c>
      <c r="S304" s="55">
        <f t="shared" si="386"/>
        <v>0</v>
      </c>
      <c r="T304" s="55">
        <f t="shared" si="386"/>
        <v>0</v>
      </c>
      <c r="U304" s="55">
        <f t="shared" si="386"/>
        <v>0</v>
      </c>
      <c r="V304" s="55">
        <f t="shared" si="386"/>
        <v>0</v>
      </c>
      <c r="W304" s="55">
        <f t="shared" si="386"/>
        <v>1.8639707478424017</v>
      </c>
      <c r="X304" s="55">
        <f t="shared" si="386"/>
        <v>1.9111292077628144</v>
      </c>
      <c r="Y304" s="55">
        <f t="shared" si="386"/>
        <v>1.9594807767192139</v>
      </c>
      <c r="Z304" s="55">
        <f t="shared" si="386"/>
        <v>2.0090556403702102</v>
      </c>
      <c r="AA304" s="55">
        <f t="shared" si="386"/>
        <v>2.059884748071577</v>
      </c>
      <c r="AB304" s="55">
        <f t="shared" si="386"/>
        <v>2.111999832197788</v>
      </c>
      <c r="AC304" s="55">
        <f t="shared" si="386"/>
        <v>2.1654334279523928</v>
      </c>
      <c r="AD304" s="55">
        <f t="shared" si="386"/>
        <v>2.2202188936795886</v>
      </c>
      <c r="AE304" s="55">
        <f t="shared" si="386"/>
        <v>2.2763904316896824</v>
      </c>
      <c r="AF304" s="55">
        <f t="shared" si="386"/>
        <v>2.333983109611431</v>
      </c>
      <c r="AG304" s="55">
        <f t="shared" si="386"/>
        <v>2.3930328822846012</v>
      </c>
      <c r="AH304" s="55">
        <f t="shared" si="386"/>
        <v>2.4535766142064017</v>
      </c>
      <c r="AI304" s="55">
        <f t="shared" ref="AI304:BJ304" si="387">IF(AND(AI$127&gt;=$K93,AI$127&lt;=$L93),$G93*(1+$H93)^(AI$127-$B$5),0)</f>
        <v>2.5156521025458241</v>
      </c>
      <c r="AJ304" s="55">
        <f t="shared" si="387"/>
        <v>2.5792981007402336</v>
      </c>
      <c r="AK304" s="55">
        <f t="shared" si="387"/>
        <v>2.6445543426889619</v>
      </c>
      <c r="AL304" s="55">
        <f t="shared" si="387"/>
        <v>2.711461567558993</v>
      </c>
      <c r="AM304" s="55">
        <f t="shared" si="387"/>
        <v>2.7800615452182362</v>
      </c>
      <c r="AN304" s="55">
        <f t="shared" si="387"/>
        <v>2.8503971023122578</v>
      </c>
      <c r="AO304" s="55">
        <f t="shared" si="387"/>
        <v>2.9225121490007582</v>
      </c>
      <c r="AP304" s="55">
        <f t="shared" si="387"/>
        <v>2.9964517063704776</v>
      </c>
      <c r="AQ304" s="55">
        <f t="shared" si="387"/>
        <v>3.0722619345416513</v>
      </c>
      <c r="AR304" s="55">
        <f t="shared" si="387"/>
        <v>3.1499901614855559</v>
      </c>
      <c r="AS304" s="55">
        <f t="shared" si="387"/>
        <v>3.2296849125711411</v>
      </c>
      <c r="AT304" s="55">
        <f t="shared" si="387"/>
        <v>3.3113959408591915</v>
      </c>
      <c r="AU304" s="55">
        <f t="shared" si="387"/>
        <v>3.3951742581629292</v>
      </c>
      <c r="AV304" s="55">
        <f t="shared" si="387"/>
        <v>3.4810721668944513</v>
      </c>
      <c r="AW304" s="55">
        <f t="shared" si="387"/>
        <v>3.5691432927168814</v>
      </c>
      <c r="AX304" s="55">
        <f t="shared" si="387"/>
        <v>3.6594426180226187</v>
      </c>
      <c r="AY304" s="55">
        <f t="shared" si="387"/>
        <v>3.7520265162585917</v>
      </c>
      <c r="AZ304" s="55">
        <f t="shared" si="387"/>
        <v>3.8469527871199349</v>
      </c>
      <c r="BA304" s="55">
        <f t="shared" si="387"/>
        <v>3.9442806926340701</v>
      </c>
      <c r="BB304" s="55">
        <f t="shared" si="387"/>
        <v>4.0440709941577122</v>
      </c>
      <c r="BC304" s="55">
        <f t="shared" si="387"/>
        <v>4.146385990309903</v>
      </c>
      <c r="BD304" s="55">
        <f t="shared" si="387"/>
        <v>4.2512895558647434</v>
      </c>
      <c r="BE304" s="55">
        <f t="shared" si="387"/>
        <v>4.3588471816281222</v>
      </c>
      <c r="BF304" s="55">
        <f t="shared" si="387"/>
        <v>4.4691260153233143</v>
      </c>
      <c r="BG304" s="55">
        <f t="shared" si="387"/>
        <v>4.5821949035109961</v>
      </c>
      <c r="BH304" s="55">
        <f t="shared" si="387"/>
        <v>4.6981244345698236</v>
      </c>
      <c r="BI304" s="55">
        <f t="shared" si="387"/>
        <v>4.8169869827644414</v>
      </c>
      <c r="BJ304" s="55">
        <f t="shared" si="387"/>
        <v>4.9388567534283823</v>
      </c>
    </row>
    <row r="305" spans="1:62" x14ac:dyDescent="0.3">
      <c r="A305" s="53" t="str">
        <f t="shared" si="375"/>
        <v>project 148</v>
      </c>
      <c r="C305" s="55">
        <f t="shared" ref="C305:AH305" si="388">IF(AND(C$127&gt;=$K94,C$127&lt;=$L94),$G94*(1+$H94)^(C$127-$B$5),0)</f>
        <v>0</v>
      </c>
      <c r="D305" s="55">
        <f t="shared" si="388"/>
        <v>0</v>
      </c>
      <c r="E305" s="55">
        <f t="shared" si="388"/>
        <v>0</v>
      </c>
      <c r="F305" s="55">
        <f t="shared" si="388"/>
        <v>0</v>
      </c>
      <c r="G305" s="55">
        <f t="shared" si="388"/>
        <v>0.89696328549444526</v>
      </c>
      <c r="H305" s="55">
        <f t="shared" si="388"/>
        <v>0.90826502289167521</v>
      </c>
      <c r="I305" s="55">
        <f t="shared" si="388"/>
        <v>0.91970916218011023</v>
      </c>
      <c r="J305" s="55">
        <f t="shared" si="388"/>
        <v>0.9312974976235795</v>
      </c>
      <c r="K305" s="55">
        <f t="shared" si="388"/>
        <v>0.94303184609363655</v>
      </c>
      <c r="L305" s="55">
        <f t="shared" si="388"/>
        <v>0.95491404735441621</v>
      </c>
      <c r="M305" s="55">
        <f t="shared" si="388"/>
        <v>0.96694596435108182</v>
      </c>
      <c r="N305" s="55">
        <f t="shared" si="388"/>
        <v>0.97912948350190543</v>
      </c>
      <c r="O305" s="55">
        <f t="shared" si="388"/>
        <v>0.99146651499402927</v>
      </c>
      <c r="P305" s="55">
        <f t="shared" si="388"/>
        <v>1.003958993082954</v>
      </c>
      <c r="Q305" s="55">
        <f t="shared" si="388"/>
        <v>1.016608876395799</v>
      </c>
      <c r="R305" s="55">
        <f t="shared" si="388"/>
        <v>1.0294181482383862</v>
      </c>
      <c r="S305" s="55">
        <f t="shared" si="388"/>
        <v>1.0423888169061897</v>
      </c>
      <c r="T305" s="55">
        <f t="shared" si="388"/>
        <v>1.0555229159992077</v>
      </c>
      <c r="U305" s="55">
        <f t="shared" si="388"/>
        <v>1.0688225047407975</v>
      </c>
      <c r="V305" s="55">
        <f t="shared" si="388"/>
        <v>1.0822896683005316</v>
      </c>
      <c r="W305" s="55">
        <f t="shared" si="388"/>
        <v>1.0959265181211182</v>
      </c>
      <c r="X305" s="55">
        <f t="shared" si="388"/>
        <v>1.1097351922494443</v>
      </c>
      <c r="Y305" s="55">
        <f t="shared" si="388"/>
        <v>1.1237178556717868</v>
      </c>
      <c r="Z305" s="55">
        <f t="shared" si="388"/>
        <v>1.1378767006532513</v>
      </c>
      <c r="AA305" s="55">
        <f t="shared" si="388"/>
        <v>1.1522139470814823</v>
      </c>
      <c r="AB305" s="55">
        <f t="shared" si="388"/>
        <v>1.1667318428147087</v>
      </c>
      <c r="AC305" s="55">
        <f t="shared" si="388"/>
        <v>1.1814326640341739</v>
      </c>
      <c r="AD305" s="55">
        <f t="shared" si="388"/>
        <v>1.1963187156010047</v>
      </c>
      <c r="AE305" s="55">
        <f t="shared" si="388"/>
        <v>1.211392331417577</v>
      </c>
      <c r="AF305" s="55">
        <f t="shared" si="388"/>
        <v>1.2266558747934384</v>
      </c>
      <c r="AG305" s="55">
        <f t="shared" si="388"/>
        <v>1.2421117388158356</v>
      </c>
      <c r="AH305" s="55">
        <f t="shared" si="388"/>
        <v>1.257762346724915</v>
      </c>
      <c r="AI305" s="55">
        <f t="shared" ref="AI305:BJ305" si="389">IF(AND(AI$127&gt;=$K94,AI$127&lt;=$L94),$G94*(1+$H94)^(AI$127-$B$5),0)</f>
        <v>1.2736101522936487</v>
      </c>
      <c r="AJ305" s="55">
        <f t="shared" si="389"/>
        <v>1.2896576402125486</v>
      </c>
      <c r="AK305" s="55">
        <f t="shared" si="389"/>
        <v>1.3059073264792267</v>
      </c>
      <c r="AL305" s="55">
        <f t="shared" si="389"/>
        <v>1.3223617587928649</v>
      </c>
      <c r="AM305" s="55">
        <f t="shared" si="389"/>
        <v>1.3390235169536546</v>
      </c>
      <c r="AN305" s="55">
        <f t="shared" si="389"/>
        <v>1.3558952132672708</v>
      </c>
      <c r="AO305" s="55">
        <f t="shared" si="389"/>
        <v>1.3729794929544381</v>
      </c>
      <c r="AP305" s="55">
        <f t="shared" si="389"/>
        <v>1.3902790345656639</v>
      </c>
      <c r="AQ305" s="55">
        <f t="shared" si="389"/>
        <v>1.4077965504011911</v>
      </c>
      <c r="AR305" s="55">
        <f t="shared" si="389"/>
        <v>1.425534786936246</v>
      </c>
      <c r="AS305" s="55">
        <f t="shared" si="389"/>
        <v>1.4434965252516425</v>
      </c>
      <c r="AT305" s="55">
        <f t="shared" si="389"/>
        <v>1.4616845814698134</v>
      </c>
      <c r="AU305" s="55">
        <f t="shared" si="389"/>
        <v>0</v>
      </c>
      <c r="AV305" s="55">
        <f t="shared" si="389"/>
        <v>0</v>
      </c>
      <c r="AW305" s="55">
        <f t="shared" si="389"/>
        <v>0</v>
      </c>
      <c r="AX305" s="55">
        <f t="shared" si="389"/>
        <v>0</v>
      </c>
      <c r="AY305" s="55">
        <f t="shared" si="389"/>
        <v>0</v>
      </c>
      <c r="AZ305" s="55">
        <f t="shared" si="389"/>
        <v>0</v>
      </c>
      <c r="BA305" s="55">
        <f t="shared" si="389"/>
        <v>0</v>
      </c>
      <c r="BB305" s="55">
        <f t="shared" si="389"/>
        <v>0</v>
      </c>
      <c r="BC305" s="55">
        <f t="shared" si="389"/>
        <v>0</v>
      </c>
      <c r="BD305" s="55">
        <f t="shared" si="389"/>
        <v>0</v>
      </c>
      <c r="BE305" s="55">
        <f t="shared" si="389"/>
        <v>0</v>
      </c>
      <c r="BF305" s="55">
        <f t="shared" si="389"/>
        <v>0</v>
      </c>
      <c r="BG305" s="55">
        <f t="shared" si="389"/>
        <v>0</v>
      </c>
      <c r="BH305" s="55">
        <f t="shared" si="389"/>
        <v>0</v>
      </c>
      <c r="BI305" s="55">
        <f t="shared" si="389"/>
        <v>0</v>
      </c>
      <c r="BJ305" s="55">
        <f t="shared" si="389"/>
        <v>0</v>
      </c>
    </row>
    <row r="306" spans="1:62" x14ac:dyDescent="0.3">
      <c r="A306" s="53" t="str">
        <f t="shared" si="375"/>
        <v>project 149</v>
      </c>
      <c r="C306" s="55">
        <f t="shared" ref="C306:AH306" si="390">IF(AND(C$127&gt;=$K95,C$127&lt;=$L95),$G95*(1+$H95)^(C$127-$B$5),0)</f>
        <v>0</v>
      </c>
      <c r="D306" s="55">
        <f t="shared" si="390"/>
        <v>0</v>
      </c>
      <c r="E306" s="55">
        <f t="shared" si="390"/>
        <v>0</v>
      </c>
      <c r="F306" s="55">
        <f t="shared" si="390"/>
        <v>0</v>
      </c>
      <c r="G306" s="55">
        <f t="shared" si="390"/>
        <v>0</v>
      </c>
      <c r="H306" s="55">
        <f t="shared" si="390"/>
        <v>0</v>
      </c>
      <c r="I306" s="55">
        <f t="shared" si="390"/>
        <v>0</v>
      </c>
      <c r="J306" s="55">
        <f t="shared" si="390"/>
        <v>0</v>
      </c>
      <c r="K306" s="55">
        <f t="shared" si="390"/>
        <v>0</v>
      </c>
      <c r="L306" s="55">
        <f t="shared" si="390"/>
        <v>0</v>
      </c>
      <c r="M306" s="55">
        <f t="shared" si="390"/>
        <v>0</v>
      </c>
      <c r="N306" s="55">
        <f t="shared" si="390"/>
        <v>0</v>
      </c>
      <c r="O306" s="55">
        <f t="shared" si="390"/>
        <v>0</v>
      </c>
      <c r="P306" s="55">
        <f t="shared" si="390"/>
        <v>0</v>
      </c>
      <c r="Q306" s="55">
        <f t="shared" si="390"/>
        <v>0</v>
      </c>
      <c r="R306" s="55">
        <f t="shared" si="390"/>
        <v>0</v>
      </c>
      <c r="S306" s="55">
        <f t="shared" si="390"/>
        <v>0</v>
      </c>
      <c r="T306" s="55">
        <f t="shared" si="390"/>
        <v>0</v>
      </c>
      <c r="U306" s="55">
        <f t="shared" si="390"/>
        <v>0</v>
      </c>
      <c r="V306" s="55">
        <f t="shared" si="390"/>
        <v>0</v>
      </c>
      <c r="W306" s="55">
        <f t="shared" si="390"/>
        <v>1.9926993983885897</v>
      </c>
      <c r="X306" s="55">
        <f t="shared" si="390"/>
        <v>2.0315570366571674</v>
      </c>
      <c r="Y306" s="55">
        <f t="shared" si="390"/>
        <v>2.0711723988719823</v>
      </c>
      <c r="Z306" s="55">
        <f t="shared" si="390"/>
        <v>2.1115602606499864</v>
      </c>
      <c r="AA306" s="55">
        <f t="shared" si="390"/>
        <v>2.1527356857326612</v>
      </c>
      <c r="AB306" s="55">
        <f t="shared" si="390"/>
        <v>2.1947140316044482</v>
      </c>
      <c r="AC306" s="55">
        <f t="shared" si="390"/>
        <v>2.2375109552207353</v>
      </c>
      <c r="AD306" s="55">
        <f t="shared" si="390"/>
        <v>2.2811424188475398</v>
      </c>
      <c r="AE306" s="55">
        <f t="shared" si="390"/>
        <v>2.3256246960150668</v>
      </c>
      <c r="AF306" s="55">
        <f t="shared" si="390"/>
        <v>2.3709743775873608</v>
      </c>
      <c r="AG306" s="55">
        <f t="shared" si="390"/>
        <v>2.4172083779503146</v>
      </c>
      <c r="AH306" s="55">
        <f t="shared" si="390"/>
        <v>2.4643439413203465</v>
      </c>
      <c r="AI306" s="55">
        <f t="shared" ref="AI306:BJ306" si="391">IF(AND(AI$127&gt;=$K95,AI$127&lt;=$L95),$G95*(1+$H95)^(AI$127-$B$5),0)</f>
        <v>2.5123986481760929</v>
      </c>
      <c r="AJ306" s="55">
        <f t="shared" si="391"/>
        <v>2.5613904218155268</v>
      </c>
      <c r="AK306" s="55">
        <f t="shared" si="391"/>
        <v>2.61133753504093</v>
      </c>
      <c r="AL306" s="55">
        <f t="shared" si="391"/>
        <v>2.6622586169742286</v>
      </c>
      <c r="AM306" s="55">
        <f t="shared" si="391"/>
        <v>2.7141726600052265</v>
      </c>
      <c r="AN306" s="55">
        <f t="shared" si="391"/>
        <v>2.7670990268753277</v>
      </c>
      <c r="AO306" s="55">
        <f t="shared" si="391"/>
        <v>2.8210574578993972</v>
      </c>
      <c r="AP306" s="55">
        <f t="shared" si="391"/>
        <v>2.8760680783284358</v>
      </c>
      <c r="AQ306" s="55">
        <f t="shared" si="391"/>
        <v>2.9321514058558411</v>
      </c>
      <c r="AR306" s="55">
        <f t="shared" si="391"/>
        <v>2.9893283582700301</v>
      </c>
      <c r="AS306" s="55">
        <f t="shared" si="391"/>
        <v>3.0476202612562959</v>
      </c>
      <c r="AT306" s="55">
        <f t="shared" si="391"/>
        <v>3.1070488563507941</v>
      </c>
      <c r="AU306" s="55">
        <f t="shared" si="391"/>
        <v>3.1676363090496347</v>
      </c>
      <c r="AV306" s="55">
        <f t="shared" si="391"/>
        <v>3.2294052170761027</v>
      </c>
      <c r="AW306" s="55">
        <f t="shared" si="391"/>
        <v>3.2923786188090873</v>
      </c>
      <c r="AX306" s="55">
        <f t="shared" si="391"/>
        <v>3.3565800018758645</v>
      </c>
      <c r="AY306" s="55">
        <f t="shared" si="391"/>
        <v>3.4220333119124438</v>
      </c>
      <c r="AZ306" s="55">
        <f t="shared" si="391"/>
        <v>3.4887629614947371</v>
      </c>
      <c r="BA306" s="55">
        <f t="shared" si="391"/>
        <v>3.5567938392438845</v>
      </c>
      <c r="BB306" s="55">
        <f t="shared" si="391"/>
        <v>3.626151319109141</v>
      </c>
      <c r="BC306" s="55">
        <f t="shared" si="391"/>
        <v>3.69686126983177</v>
      </c>
      <c r="BD306" s="55">
        <f t="shared" si="391"/>
        <v>3.768950064593489</v>
      </c>
      <c r="BE306" s="55">
        <f t="shared" si="391"/>
        <v>3.8424445908530629</v>
      </c>
      <c r="BF306" s="55">
        <f t="shared" si="391"/>
        <v>3.9173722603746977</v>
      </c>
      <c r="BG306" s="55">
        <f t="shared" si="391"/>
        <v>3.9937610194520055</v>
      </c>
      <c r="BH306" s="55">
        <f t="shared" si="391"/>
        <v>4.0716393593313187</v>
      </c>
      <c r="BI306" s="55">
        <f t="shared" si="391"/>
        <v>4.1510363268382804</v>
      </c>
      <c r="BJ306" s="55">
        <f t="shared" si="391"/>
        <v>4.2319815352116272</v>
      </c>
    </row>
    <row r="307" spans="1:62" x14ac:dyDescent="0.3">
      <c r="A307" s="53" t="str">
        <f t="shared" si="375"/>
        <v>project 150</v>
      </c>
      <c r="C307" s="55">
        <f t="shared" ref="C307:AH307" si="392">IF(AND(C$127&gt;=$K96,C$127&lt;=$L96),$G96*(1+$H96)^(C$127-$B$5),0)</f>
        <v>0</v>
      </c>
      <c r="D307" s="55">
        <f t="shared" si="392"/>
        <v>0</v>
      </c>
      <c r="E307" s="55">
        <f t="shared" si="392"/>
        <v>0</v>
      </c>
      <c r="F307" s="55">
        <f t="shared" si="392"/>
        <v>0</v>
      </c>
      <c r="G307" s="55">
        <f t="shared" si="392"/>
        <v>0</v>
      </c>
      <c r="H307" s="55">
        <f t="shared" si="392"/>
        <v>0</v>
      </c>
      <c r="I307" s="55">
        <f t="shared" si="392"/>
        <v>0</v>
      </c>
      <c r="J307" s="55">
        <f t="shared" si="392"/>
        <v>0</v>
      </c>
      <c r="K307" s="55">
        <f t="shared" si="392"/>
        <v>0</v>
      </c>
      <c r="L307" s="55">
        <f t="shared" si="392"/>
        <v>0</v>
      </c>
      <c r="M307" s="55">
        <f t="shared" si="392"/>
        <v>0</v>
      </c>
      <c r="N307" s="55">
        <f t="shared" si="392"/>
        <v>0</v>
      </c>
      <c r="O307" s="55">
        <f t="shared" si="392"/>
        <v>0</v>
      </c>
      <c r="P307" s="55">
        <f t="shared" si="392"/>
        <v>0</v>
      </c>
      <c r="Q307" s="55">
        <f t="shared" si="392"/>
        <v>0</v>
      </c>
      <c r="R307" s="55">
        <f t="shared" si="392"/>
        <v>0</v>
      </c>
      <c r="S307" s="55">
        <f t="shared" si="392"/>
        <v>0</v>
      </c>
      <c r="T307" s="55">
        <f t="shared" si="392"/>
        <v>0</v>
      </c>
      <c r="U307" s="55">
        <f t="shared" si="392"/>
        <v>0</v>
      </c>
      <c r="V307" s="55">
        <f t="shared" si="392"/>
        <v>0</v>
      </c>
      <c r="W307" s="55">
        <f t="shared" si="392"/>
        <v>2.6761901515610331</v>
      </c>
      <c r="X307" s="55">
        <f t="shared" si="392"/>
        <v>2.7323901447438144</v>
      </c>
      <c r="Y307" s="55">
        <f t="shared" si="392"/>
        <v>2.7897703377834344</v>
      </c>
      <c r="Z307" s="55">
        <f t="shared" si="392"/>
        <v>2.8483555148768862</v>
      </c>
      <c r="AA307" s="55">
        <f t="shared" si="392"/>
        <v>2.9081709806893001</v>
      </c>
      <c r="AB307" s="55">
        <f t="shared" si="392"/>
        <v>2.9692425712837749</v>
      </c>
      <c r="AC307" s="55">
        <f t="shared" si="392"/>
        <v>3.031596665280734</v>
      </c>
      <c r="AD307" s="55">
        <f t="shared" si="392"/>
        <v>3.0952601952516297</v>
      </c>
      <c r="AE307" s="55">
        <f t="shared" si="392"/>
        <v>3.1602606593519127</v>
      </c>
      <c r="AF307" s="55">
        <f t="shared" si="392"/>
        <v>3.2266261331983022</v>
      </c>
      <c r="AG307" s="55">
        <f t="shared" si="392"/>
        <v>3.2943852819954671</v>
      </c>
      <c r="AH307" s="55">
        <f t="shared" si="392"/>
        <v>3.363567372917371</v>
      </c>
      <c r="AI307" s="55">
        <f t="shared" ref="AI307:BJ307" si="393">IF(AND(AI$127&gt;=$K96,AI$127&lt;=$L96),$G96*(1+$H96)^(AI$127-$B$5),0)</f>
        <v>3.4342022877486356</v>
      </c>
      <c r="AJ307" s="55">
        <f t="shared" si="393"/>
        <v>3.5063205357913563</v>
      </c>
      <c r="AK307" s="55">
        <f t="shared" si="393"/>
        <v>3.5799532670429741</v>
      </c>
      <c r="AL307" s="55">
        <f t="shared" si="393"/>
        <v>3.6551322856508768</v>
      </c>
      <c r="AM307" s="55">
        <f t="shared" si="393"/>
        <v>3.7318900636495447</v>
      </c>
      <c r="AN307" s="55">
        <f t="shared" si="393"/>
        <v>3.8102597549861841</v>
      </c>
      <c r="AO307" s="55">
        <f t="shared" si="393"/>
        <v>3.8902752098408939</v>
      </c>
      <c r="AP307" s="55">
        <f t="shared" si="393"/>
        <v>3.9719709892475521</v>
      </c>
      <c r="AQ307" s="55">
        <f t="shared" si="393"/>
        <v>4.0553823800217508</v>
      </c>
      <c r="AR307" s="55">
        <f t="shared" si="393"/>
        <v>4.1405454100022059</v>
      </c>
      <c r="AS307" s="55">
        <f t="shared" si="393"/>
        <v>4.2274968636122523</v>
      </c>
      <c r="AT307" s="55">
        <f t="shared" si="393"/>
        <v>4.3162742977481097</v>
      </c>
      <c r="AU307" s="55">
        <f t="shared" si="393"/>
        <v>4.4069160580008182</v>
      </c>
      <c r="AV307" s="55">
        <f t="shared" si="393"/>
        <v>4.4994612952188353</v>
      </c>
      <c r="AW307" s="55">
        <f t="shared" si="393"/>
        <v>4.5939499824184304</v>
      </c>
      <c r="AX307" s="55">
        <f t="shared" si="393"/>
        <v>4.6904229320492172</v>
      </c>
      <c r="AY307" s="55">
        <f t="shared" si="393"/>
        <v>4.7889218136222498</v>
      </c>
      <c r="AZ307" s="55">
        <f t="shared" si="393"/>
        <v>4.8894891717083171</v>
      </c>
      <c r="BA307" s="55">
        <f t="shared" si="393"/>
        <v>4.9921684443141903</v>
      </c>
      <c r="BB307" s="55">
        <f t="shared" si="393"/>
        <v>5.0970039816447885</v>
      </c>
      <c r="BC307" s="55">
        <f t="shared" si="393"/>
        <v>5.2040410652593279</v>
      </c>
      <c r="BD307" s="55">
        <f t="shared" si="393"/>
        <v>5.3133259276297728</v>
      </c>
      <c r="BE307" s="55">
        <f t="shared" si="393"/>
        <v>5.4249057721099989</v>
      </c>
      <c r="BF307" s="55">
        <f t="shared" si="393"/>
        <v>5.5388287933243081</v>
      </c>
      <c r="BG307" s="55">
        <f t="shared" si="393"/>
        <v>5.655144197984117</v>
      </c>
      <c r="BH307" s="55">
        <f t="shared" si="393"/>
        <v>5.7739022261417832</v>
      </c>
      <c r="BI307" s="55">
        <f t="shared" si="393"/>
        <v>5.8951541728907593</v>
      </c>
      <c r="BJ307" s="55">
        <f t="shared" si="393"/>
        <v>6.0189524105214653</v>
      </c>
    </row>
    <row r="308" spans="1:62" x14ac:dyDescent="0.3">
      <c r="A308" s="53" t="str">
        <f t="shared" si="375"/>
        <v>project 153</v>
      </c>
      <c r="C308" s="55">
        <f t="shared" ref="C308:AH308" si="394">IF(AND(C$127&gt;=$K97,C$127&lt;=$L97),$G97*(1+$H97)^(C$127-$B$5),0)</f>
        <v>0</v>
      </c>
      <c r="D308" s="55">
        <f t="shared" si="394"/>
        <v>0</v>
      </c>
      <c r="E308" s="55">
        <f t="shared" si="394"/>
        <v>1.1907031213746999</v>
      </c>
      <c r="F308" s="55">
        <f t="shared" si="394"/>
        <v>1.208920879131733</v>
      </c>
      <c r="G308" s="55">
        <f t="shared" si="394"/>
        <v>1.2274173685824483</v>
      </c>
      <c r="H308" s="55">
        <f t="shared" si="394"/>
        <v>1.2461968543217601</v>
      </c>
      <c r="I308" s="55">
        <f t="shared" si="394"/>
        <v>1.2652636661928829</v>
      </c>
      <c r="J308" s="55">
        <f t="shared" si="394"/>
        <v>1.2846222002856342</v>
      </c>
      <c r="K308" s="55">
        <f t="shared" si="394"/>
        <v>1.3042769199500044</v>
      </c>
      <c r="L308" s="55">
        <f t="shared" si="394"/>
        <v>1.3242323568252397</v>
      </c>
      <c r="M308" s="55">
        <f t="shared" si="394"/>
        <v>1.3444931118846657</v>
      </c>
      <c r="N308" s="55">
        <f t="shared" si="394"/>
        <v>1.3650638564965012</v>
      </c>
      <c r="O308" s="55">
        <f t="shared" si="394"/>
        <v>1.3859493335008979</v>
      </c>
      <c r="P308" s="55">
        <f t="shared" si="394"/>
        <v>1.4071543583034618</v>
      </c>
      <c r="Q308" s="55">
        <f t="shared" si="394"/>
        <v>1.4286838199855045</v>
      </c>
      <c r="R308" s="55">
        <f t="shared" si="394"/>
        <v>1.450542682431283</v>
      </c>
      <c r="S308" s="55">
        <f t="shared" si="394"/>
        <v>1.4727359854724815</v>
      </c>
      <c r="T308" s="55">
        <f t="shared" si="394"/>
        <v>1.4952688460502106</v>
      </c>
      <c r="U308" s="55">
        <f t="shared" si="394"/>
        <v>1.5181464593947789</v>
      </c>
      <c r="V308" s="55">
        <f t="shared" si="394"/>
        <v>1.5413741002235193</v>
      </c>
      <c r="W308" s="55">
        <f t="shared" si="394"/>
        <v>1.5649571239569389</v>
      </c>
      <c r="X308" s="55">
        <f t="shared" si="394"/>
        <v>1.5889009679534805</v>
      </c>
      <c r="Y308" s="55">
        <f t="shared" si="394"/>
        <v>1.6132111527631683</v>
      </c>
      <c r="Z308" s="55">
        <f t="shared" si="394"/>
        <v>1.6378932834004452</v>
      </c>
      <c r="AA308" s="55">
        <f t="shared" si="394"/>
        <v>1.6629530506364718</v>
      </c>
      <c r="AB308" s="55">
        <f t="shared" si="394"/>
        <v>1.6883962323112103</v>
      </c>
      <c r="AC308" s="55">
        <f t="shared" si="394"/>
        <v>1.7142286946655716</v>
      </c>
      <c r="AD308" s="55">
        <f t="shared" si="394"/>
        <v>1.740456393693955</v>
      </c>
      <c r="AE308" s="55">
        <f t="shared" si="394"/>
        <v>1.7670853765174728</v>
      </c>
      <c r="AF308" s="55">
        <f t="shared" si="394"/>
        <v>1.7941217827781901</v>
      </c>
      <c r="AG308" s="55">
        <f t="shared" si="394"/>
        <v>1.8215718460546966</v>
      </c>
      <c r="AH308" s="55">
        <f t="shared" si="394"/>
        <v>1.8494418952993334</v>
      </c>
      <c r="AI308" s="55">
        <f t="shared" ref="AI308:BJ308" si="395">IF(AND(AI$127&gt;=$K97,AI$127&lt;=$L97),$G97*(1+$H97)^(AI$127-$B$5),0)</f>
        <v>1.877738356297413</v>
      </c>
      <c r="AJ308" s="55">
        <f t="shared" si="395"/>
        <v>1.9064677531487637</v>
      </c>
      <c r="AK308" s="55">
        <f t="shared" si="395"/>
        <v>1.93563670977194</v>
      </c>
      <c r="AL308" s="55">
        <f t="shared" si="395"/>
        <v>1.9652519514314508</v>
      </c>
      <c r="AM308" s="55">
        <f t="shared" si="395"/>
        <v>1.995320306288352</v>
      </c>
      <c r="AN308" s="55">
        <f t="shared" si="395"/>
        <v>2.0258487069745641</v>
      </c>
      <c r="AO308" s="55">
        <f t="shared" si="395"/>
        <v>2.0568441921912748</v>
      </c>
      <c r="AP308" s="55">
        <f t="shared" si="395"/>
        <v>2.0883139083318012</v>
      </c>
      <c r="AQ308" s="55">
        <f t="shared" si="395"/>
        <v>2.1202651111292776</v>
      </c>
      <c r="AR308" s="55">
        <f t="shared" si="395"/>
        <v>2.1527051673295561</v>
      </c>
      <c r="AS308" s="55">
        <f t="shared" si="395"/>
        <v>0</v>
      </c>
      <c r="AT308" s="55">
        <f t="shared" si="395"/>
        <v>0</v>
      </c>
      <c r="AU308" s="55">
        <f t="shared" si="395"/>
        <v>0</v>
      </c>
      <c r="AV308" s="55">
        <f t="shared" si="395"/>
        <v>0</v>
      </c>
      <c r="AW308" s="55">
        <f t="shared" si="395"/>
        <v>0</v>
      </c>
      <c r="AX308" s="55">
        <f t="shared" si="395"/>
        <v>0</v>
      </c>
      <c r="AY308" s="55">
        <f t="shared" si="395"/>
        <v>0</v>
      </c>
      <c r="AZ308" s="55">
        <f t="shared" si="395"/>
        <v>0</v>
      </c>
      <c r="BA308" s="55">
        <f t="shared" si="395"/>
        <v>0</v>
      </c>
      <c r="BB308" s="55">
        <f t="shared" si="395"/>
        <v>0</v>
      </c>
      <c r="BC308" s="55">
        <f t="shared" si="395"/>
        <v>0</v>
      </c>
      <c r="BD308" s="55">
        <f t="shared" si="395"/>
        <v>0</v>
      </c>
      <c r="BE308" s="55">
        <f t="shared" si="395"/>
        <v>0</v>
      </c>
      <c r="BF308" s="55">
        <f t="shared" si="395"/>
        <v>0</v>
      </c>
      <c r="BG308" s="55">
        <f t="shared" si="395"/>
        <v>0</v>
      </c>
      <c r="BH308" s="55">
        <f t="shared" si="395"/>
        <v>0</v>
      </c>
      <c r="BI308" s="55">
        <f t="shared" si="395"/>
        <v>0</v>
      </c>
      <c r="BJ308" s="55">
        <f t="shared" si="395"/>
        <v>0</v>
      </c>
    </row>
    <row r="309" spans="1:62" x14ac:dyDescent="0.3">
      <c r="A309" s="53" t="str">
        <f t="shared" si="375"/>
        <v>project 156</v>
      </c>
      <c r="C309" s="55">
        <f t="shared" ref="C309:AH309" si="396">IF(AND(C$127&gt;=$K98,C$127&lt;=$L98),$G98*(1+$H98)^(C$127-$B$5),0)</f>
        <v>0</v>
      </c>
      <c r="D309" s="55">
        <f t="shared" si="396"/>
        <v>0</v>
      </c>
      <c r="E309" s="55">
        <f t="shared" si="396"/>
        <v>0</v>
      </c>
      <c r="F309" s="55">
        <f t="shared" si="396"/>
        <v>0</v>
      </c>
      <c r="G309" s="55">
        <f t="shared" si="396"/>
        <v>0</v>
      </c>
      <c r="H309" s="55">
        <f t="shared" si="396"/>
        <v>0</v>
      </c>
      <c r="I309" s="55">
        <f t="shared" si="396"/>
        <v>0</v>
      </c>
      <c r="J309" s="55">
        <f t="shared" si="396"/>
        <v>0</v>
      </c>
      <c r="K309" s="55">
        <f t="shared" si="396"/>
        <v>0</v>
      </c>
      <c r="L309" s="55">
        <f t="shared" si="396"/>
        <v>0</v>
      </c>
      <c r="M309" s="55">
        <f t="shared" si="396"/>
        <v>0</v>
      </c>
      <c r="N309" s="55">
        <f t="shared" si="396"/>
        <v>0</v>
      </c>
      <c r="O309" s="55">
        <f t="shared" si="396"/>
        <v>0</v>
      </c>
      <c r="P309" s="55">
        <f t="shared" si="396"/>
        <v>0</v>
      </c>
      <c r="Q309" s="55">
        <f t="shared" si="396"/>
        <v>0</v>
      </c>
      <c r="R309" s="55">
        <f t="shared" si="396"/>
        <v>0</v>
      </c>
      <c r="S309" s="55">
        <f t="shared" si="396"/>
        <v>0</v>
      </c>
      <c r="T309" s="55">
        <f t="shared" si="396"/>
        <v>0</v>
      </c>
      <c r="U309" s="55">
        <f t="shared" si="396"/>
        <v>0</v>
      </c>
      <c r="V309" s="55">
        <f t="shared" si="396"/>
        <v>0</v>
      </c>
      <c r="W309" s="55">
        <f t="shared" si="396"/>
        <v>3.2833973910244709</v>
      </c>
      <c r="X309" s="55">
        <f t="shared" si="396"/>
        <v>3.3733624795385415</v>
      </c>
      <c r="Y309" s="55">
        <f t="shared" si="396"/>
        <v>3.4657926114778981</v>
      </c>
      <c r="Z309" s="55">
        <f t="shared" si="396"/>
        <v>3.5607553290323937</v>
      </c>
      <c r="AA309" s="55">
        <f t="shared" si="396"/>
        <v>3.6583200250478809</v>
      </c>
      <c r="AB309" s="55">
        <f t="shared" si="396"/>
        <v>3.7585579937341933</v>
      </c>
      <c r="AC309" s="55">
        <f t="shared" si="396"/>
        <v>3.8615424827625109</v>
      </c>
      <c r="AD309" s="55">
        <f t="shared" si="396"/>
        <v>3.9673487467902042</v>
      </c>
      <c r="AE309" s="55">
        <f t="shared" si="396"/>
        <v>4.0760541024522556</v>
      </c>
      <c r="AF309" s="55">
        <f t="shared" si="396"/>
        <v>4.1877379848594485</v>
      </c>
      <c r="AG309" s="55">
        <f t="shared" si="396"/>
        <v>4.3024820056445972</v>
      </c>
      <c r="AH309" s="55">
        <f t="shared" si="396"/>
        <v>4.4203700125992604</v>
      </c>
      <c r="AI309" s="55">
        <f t="shared" ref="AI309:BJ309" si="397">IF(AND(AI$127&gt;=$K98,AI$127&lt;=$L98),$G98*(1+$H98)^(AI$127-$B$5),0)</f>
        <v>4.5414881509444802</v>
      </c>
      <c r="AJ309" s="55">
        <f t="shared" si="397"/>
        <v>4.6659249262803595</v>
      </c>
      <c r="AK309" s="55">
        <f t="shared" si="397"/>
        <v>4.7937712692604419</v>
      </c>
      <c r="AL309" s="55">
        <f t="shared" si="397"/>
        <v>4.925120602038179</v>
      </c>
      <c r="AM309" s="55">
        <f t="shared" si="397"/>
        <v>5.060068906534025</v>
      </c>
      <c r="AN309" s="55">
        <f t="shared" si="397"/>
        <v>5.198714794573057</v>
      </c>
      <c r="AO309" s="55">
        <f t="shared" si="397"/>
        <v>5.3411595799443603</v>
      </c>
      <c r="AP309" s="55">
        <f t="shared" si="397"/>
        <v>5.4875073524348359</v>
      </c>
      <c r="AQ309" s="55">
        <f t="shared" si="397"/>
        <v>5.6378650538915513</v>
      </c>
      <c r="AR309" s="55">
        <f t="shared" si="397"/>
        <v>5.7923425563681796</v>
      </c>
      <c r="AS309" s="55">
        <f t="shared" si="397"/>
        <v>5.9510527424126698</v>
      </c>
      <c r="AT309" s="55">
        <f t="shared" si="397"/>
        <v>6.1141115875547776</v>
      </c>
      <c r="AU309" s="55">
        <f t="shared" si="397"/>
        <v>6.2816382450537773</v>
      </c>
      <c r="AV309" s="55">
        <f t="shared" si="397"/>
        <v>6.4537551329682517</v>
      </c>
      <c r="AW309" s="55">
        <f t="shared" si="397"/>
        <v>6.6305880236115824</v>
      </c>
      <c r="AX309" s="55">
        <f t="shared" si="397"/>
        <v>6.8122661354585423</v>
      </c>
      <c r="AY309" s="55">
        <f t="shared" si="397"/>
        <v>6.9989222275701062</v>
      </c>
      <c r="AZ309" s="55">
        <f t="shared" si="397"/>
        <v>7.1906926966055273</v>
      </c>
      <c r="BA309" s="55">
        <f t="shared" si="397"/>
        <v>7.3877176764925201</v>
      </c>
      <c r="BB309" s="55">
        <f t="shared" si="397"/>
        <v>7.5901411408284165</v>
      </c>
      <c r="BC309" s="55">
        <f t="shared" si="397"/>
        <v>7.7981110080871145</v>
      </c>
      <c r="BD309" s="55">
        <f t="shared" si="397"/>
        <v>8.0117792497087006</v>
      </c>
      <c r="BE309" s="55">
        <f t="shared" si="397"/>
        <v>8.2313020011507216</v>
      </c>
      <c r="BF309" s="55">
        <f t="shared" si="397"/>
        <v>8.4568396759822537</v>
      </c>
      <c r="BG309" s="55">
        <f t="shared" si="397"/>
        <v>8.6885570831041665</v>
      </c>
      <c r="BH309" s="55">
        <f t="shared" si="397"/>
        <v>8.9266235471812223</v>
      </c>
      <c r="BI309" s="55">
        <f t="shared" si="397"/>
        <v>9.1712130323739895</v>
      </c>
      <c r="BJ309" s="55">
        <f t="shared" si="397"/>
        <v>9.4225042694610384</v>
      </c>
    </row>
    <row r="310" spans="1:62" x14ac:dyDescent="0.3">
      <c r="A310" s="53" t="str">
        <f t="shared" si="375"/>
        <v>project 157</v>
      </c>
      <c r="C310" s="55">
        <f t="shared" ref="C310:AH310" si="398">IF(AND(C$127&gt;=$K99,C$127&lt;=$L99),$G99*(1+$H99)^(C$127-$B$5),0)</f>
        <v>0</v>
      </c>
      <c r="D310" s="55">
        <f t="shared" si="398"/>
        <v>0</v>
      </c>
      <c r="E310" s="55">
        <f t="shared" si="398"/>
        <v>0</v>
      </c>
      <c r="F310" s="55">
        <f t="shared" si="398"/>
        <v>0</v>
      </c>
      <c r="G310" s="55">
        <f t="shared" si="398"/>
        <v>0</v>
      </c>
      <c r="H310" s="55">
        <f t="shared" si="398"/>
        <v>0</v>
      </c>
      <c r="I310" s="55">
        <f t="shared" si="398"/>
        <v>0</v>
      </c>
      <c r="J310" s="55">
        <f t="shared" si="398"/>
        <v>0</v>
      </c>
      <c r="K310" s="55">
        <f t="shared" si="398"/>
        <v>0</v>
      </c>
      <c r="L310" s="55">
        <f t="shared" si="398"/>
        <v>0</v>
      </c>
      <c r="M310" s="55">
        <f t="shared" si="398"/>
        <v>0</v>
      </c>
      <c r="N310" s="55">
        <f t="shared" si="398"/>
        <v>0</v>
      </c>
      <c r="O310" s="55">
        <f t="shared" si="398"/>
        <v>0</v>
      </c>
      <c r="P310" s="55">
        <f t="shared" si="398"/>
        <v>0</v>
      </c>
      <c r="Q310" s="55">
        <f t="shared" si="398"/>
        <v>0</v>
      </c>
      <c r="R310" s="55">
        <f t="shared" si="398"/>
        <v>0</v>
      </c>
      <c r="S310" s="55">
        <f t="shared" si="398"/>
        <v>0</v>
      </c>
      <c r="T310" s="55">
        <f t="shared" si="398"/>
        <v>0</v>
      </c>
      <c r="U310" s="55">
        <f t="shared" si="398"/>
        <v>0</v>
      </c>
      <c r="V310" s="55">
        <f t="shared" si="398"/>
        <v>0</v>
      </c>
      <c r="W310" s="55">
        <f t="shared" si="398"/>
        <v>1.1842759162747247</v>
      </c>
      <c r="X310" s="55">
        <f t="shared" si="398"/>
        <v>1.2061850207258071</v>
      </c>
      <c r="Y310" s="55">
        <f t="shared" si="398"/>
        <v>1.2284994436092347</v>
      </c>
      <c r="Z310" s="55">
        <f t="shared" si="398"/>
        <v>1.2512266833160055</v>
      </c>
      <c r="AA310" s="55">
        <f t="shared" si="398"/>
        <v>1.2743743769573519</v>
      </c>
      <c r="AB310" s="55">
        <f t="shared" si="398"/>
        <v>1.2979503029310631</v>
      </c>
      <c r="AC310" s="55">
        <f t="shared" si="398"/>
        <v>1.3219623835352876</v>
      </c>
      <c r="AD310" s="55">
        <f t="shared" si="398"/>
        <v>1.3464186876306903</v>
      </c>
      <c r="AE310" s="55">
        <f t="shared" si="398"/>
        <v>1.3713274333518581</v>
      </c>
      <c r="AF310" s="55">
        <f t="shared" si="398"/>
        <v>1.3966969908688678</v>
      </c>
      <c r="AG310" s="55">
        <f t="shared" si="398"/>
        <v>1.4225358851999417</v>
      </c>
      <c r="AH310" s="55">
        <f t="shared" si="398"/>
        <v>1.4488527990761406</v>
      </c>
      <c r="AI310" s="55">
        <f t="shared" ref="AI310:BJ310" si="399">IF(AND(AI$127&gt;=$K99,AI$127&lt;=$L99),$G99*(1+$H99)^(AI$127-$B$5),0)</f>
        <v>1.4756565758590494</v>
      </c>
      <c r="AJ310" s="55">
        <f t="shared" si="399"/>
        <v>1.502956222512442</v>
      </c>
      <c r="AK310" s="55">
        <f t="shared" si="399"/>
        <v>1.5307609126289221</v>
      </c>
      <c r="AL310" s="55">
        <f t="shared" si="399"/>
        <v>1.5590799895125573</v>
      </c>
      <c r="AM310" s="55">
        <f t="shared" si="399"/>
        <v>1.5879229693185397</v>
      </c>
      <c r="AN310" s="55">
        <f t="shared" si="399"/>
        <v>1.6172995442509326</v>
      </c>
      <c r="AO310" s="55">
        <f t="shared" si="399"/>
        <v>1.6472195858195748</v>
      </c>
      <c r="AP310" s="55">
        <f t="shared" si="399"/>
        <v>1.677693148157237</v>
      </c>
      <c r="AQ310" s="55">
        <f t="shared" si="399"/>
        <v>1.7087304713981462</v>
      </c>
      <c r="AR310" s="55">
        <f t="shared" si="399"/>
        <v>1.7403419851190118</v>
      </c>
      <c r="AS310" s="55">
        <f t="shared" si="399"/>
        <v>1.7725383118437137</v>
      </c>
      <c r="AT310" s="55">
        <f t="shared" si="399"/>
        <v>1.805330270612822</v>
      </c>
      <c r="AU310" s="55">
        <f t="shared" si="399"/>
        <v>1.8387288806191595</v>
      </c>
      <c r="AV310" s="55">
        <f t="shared" si="399"/>
        <v>1.8727453649106141</v>
      </c>
      <c r="AW310" s="55">
        <f t="shared" si="399"/>
        <v>1.9073911541614605</v>
      </c>
      <c r="AX310" s="55">
        <f t="shared" si="399"/>
        <v>1.9426778905134476</v>
      </c>
      <c r="AY310" s="55">
        <f t="shared" si="399"/>
        <v>1.9786174314879468</v>
      </c>
      <c r="AZ310" s="55">
        <f t="shared" si="399"/>
        <v>2.0152218539704734</v>
      </c>
      <c r="BA310" s="55">
        <f t="shared" si="399"/>
        <v>2.0525034582689274</v>
      </c>
      <c r="BB310" s="55">
        <f t="shared" si="399"/>
        <v>2.0904747722469024</v>
      </c>
      <c r="BC310" s="55">
        <f t="shared" si="399"/>
        <v>2.1291485555334706</v>
      </c>
      <c r="BD310" s="55">
        <f t="shared" si="399"/>
        <v>2.1685378038108398</v>
      </c>
      <c r="BE310" s="55">
        <f t="shared" si="399"/>
        <v>2.2086557531813402</v>
      </c>
      <c r="BF310" s="55">
        <f t="shared" si="399"/>
        <v>2.249515884615195</v>
      </c>
      <c r="BG310" s="55">
        <f t="shared" si="399"/>
        <v>2.2911319284805765</v>
      </c>
      <c r="BH310" s="55">
        <f t="shared" si="399"/>
        <v>2.3335178691574674</v>
      </c>
      <c r="BI310" s="55">
        <f t="shared" si="399"/>
        <v>2.3766879497368807</v>
      </c>
      <c r="BJ310" s="55">
        <f t="shared" si="399"/>
        <v>2.4206566768070128</v>
      </c>
    </row>
    <row r="311" spans="1:62" x14ac:dyDescent="0.3">
      <c r="A311" s="53" t="str">
        <f t="shared" si="375"/>
        <v>project 158</v>
      </c>
      <c r="C311" s="55">
        <f t="shared" ref="C311:AH311" si="400">IF(AND(C$127&gt;=$K100,C$127&lt;=$L100),$G100*(1+$H100)^(C$127-$B$5),0)</f>
        <v>0</v>
      </c>
      <c r="D311" s="55">
        <f t="shared" si="400"/>
        <v>0</v>
      </c>
      <c r="E311" s="55">
        <f t="shared" si="400"/>
        <v>0</v>
      </c>
      <c r="F311" s="55">
        <f t="shared" si="400"/>
        <v>0.52530972988184488</v>
      </c>
      <c r="G311" s="55">
        <f t="shared" si="400"/>
        <v>0.53276912804616705</v>
      </c>
      <c r="H311" s="55">
        <f t="shared" si="400"/>
        <v>0.54033444966442268</v>
      </c>
      <c r="I311" s="55">
        <f t="shared" si="400"/>
        <v>0.54800719884965743</v>
      </c>
      <c r="J311" s="55">
        <f t="shared" si="400"/>
        <v>0.55578890107332257</v>
      </c>
      <c r="K311" s="55">
        <f t="shared" si="400"/>
        <v>0.5636811034685637</v>
      </c>
      <c r="L311" s="55">
        <f t="shared" si="400"/>
        <v>0.57168537513781725</v>
      </c>
      <c r="M311" s="55">
        <f t="shared" si="400"/>
        <v>0.57980330746477438</v>
      </c>
      <c r="N311" s="55">
        <f t="shared" si="400"/>
        <v>0.58803651443077409</v>
      </c>
      <c r="O311" s="55">
        <f t="shared" si="400"/>
        <v>0.59638663293569116</v>
      </c>
      <c r="P311" s="55">
        <f t="shared" si="400"/>
        <v>0.60485532312337786</v>
      </c>
      <c r="Q311" s="55">
        <f t="shared" si="400"/>
        <v>0.61344426871172986</v>
      </c>
      <c r="R311" s="55">
        <f t="shared" si="400"/>
        <v>0.62215517732743653</v>
      </c>
      <c r="S311" s="55">
        <f t="shared" si="400"/>
        <v>0.63098978084548607</v>
      </c>
      <c r="T311" s="55">
        <f t="shared" si="400"/>
        <v>0.63994983573349185</v>
      </c>
      <c r="U311" s="55">
        <f t="shared" si="400"/>
        <v>0.64903712340090747</v>
      </c>
      <c r="V311" s="55">
        <f t="shared" si="400"/>
        <v>0.65825345055320039</v>
      </c>
      <c r="W311" s="55">
        <f t="shared" si="400"/>
        <v>0.66760064955105591</v>
      </c>
      <c r="X311" s="55">
        <f t="shared" si="400"/>
        <v>0.67708057877468086</v>
      </c>
      <c r="Y311" s="55">
        <f t="shared" si="400"/>
        <v>0.68669512299328139</v>
      </c>
      <c r="Z311" s="55">
        <f t="shared" si="400"/>
        <v>0.69644619373978589</v>
      </c>
      <c r="AA311" s="55">
        <f t="shared" si="400"/>
        <v>0.70633572969089087</v>
      </c>
      <c r="AB311" s="55">
        <f t="shared" si="400"/>
        <v>0.71636569705250153</v>
      </c>
      <c r="AC311" s="55">
        <f t="shared" si="400"/>
        <v>0.72653808995064706</v>
      </c>
      <c r="AD311" s="55">
        <f t="shared" si="400"/>
        <v>0.73685493082794629</v>
      </c>
      <c r="AE311" s="55">
        <f t="shared" si="400"/>
        <v>0.74731827084570313</v>
      </c>
      <c r="AF311" s="55">
        <f t="shared" si="400"/>
        <v>0.75793019029171205</v>
      </c>
      <c r="AG311" s="55">
        <f t="shared" si="400"/>
        <v>0.76869279899385434</v>
      </c>
      <c r="AH311" s="55">
        <f t="shared" si="400"/>
        <v>0.77960823673956725</v>
      </c>
      <c r="AI311" s="55">
        <f t="shared" ref="AI311:BJ311" si="401">IF(AND(AI$127&gt;=$K100,AI$127&lt;=$L100),$G100*(1+$H100)^(AI$127-$B$5),0)</f>
        <v>0.79067867370126899</v>
      </c>
      <c r="AJ311" s="55">
        <f t="shared" si="401"/>
        <v>0.80190631086782693</v>
      </c>
      <c r="AK311" s="55">
        <f t="shared" si="401"/>
        <v>0.81329338048215005</v>
      </c>
      <c r="AL311" s="55">
        <f t="shared" si="401"/>
        <v>0.82484214648499654</v>
      </c>
      <c r="AM311" s="55">
        <f t="shared" si="401"/>
        <v>0.83655490496508367</v>
      </c>
      <c r="AN311" s="55">
        <f t="shared" si="401"/>
        <v>0.84843398461558783</v>
      </c>
      <c r="AO311" s="55">
        <f t="shared" si="401"/>
        <v>0.86048174719712922</v>
      </c>
      <c r="AP311" s="55">
        <f t="shared" si="401"/>
        <v>0.87270058800732841</v>
      </c>
      <c r="AQ311" s="55">
        <f t="shared" si="401"/>
        <v>0.88509293635703234</v>
      </c>
      <c r="AR311" s="55">
        <f t="shared" si="401"/>
        <v>0.89766125605330227</v>
      </c>
      <c r="AS311" s="55">
        <f t="shared" si="401"/>
        <v>0.91040804588925917</v>
      </c>
      <c r="AT311" s="55">
        <f t="shared" si="401"/>
        <v>0</v>
      </c>
      <c r="AU311" s="55">
        <f t="shared" si="401"/>
        <v>0</v>
      </c>
      <c r="AV311" s="55">
        <f t="shared" si="401"/>
        <v>0</v>
      </c>
      <c r="AW311" s="55">
        <f t="shared" si="401"/>
        <v>0</v>
      </c>
      <c r="AX311" s="55">
        <f t="shared" si="401"/>
        <v>0</v>
      </c>
      <c r="AY311" s="55">
        <f t="shared" si="401"/>
        <v>0</v>
      </c>
      <c r="AZ311" s="55">
        <f t="shared" si="401"/>
        <v>0</v>
      </c>
      <c r="BA311" s="55">
        <f t="shared" si="401"/>
        <v>0</v>
      </c>
      <c r="BB311" s="55">
        <f t="shared" si="401"/>
        <v>0</v>
      </c>
      <c r="BC311" s="55">
        <f t="shared" si="401"/>
        <v>0</v>
      </c>
      <c r="BD311" s="55">
        <f t="shared" si="401"/>
        <v>0</v>
      </c>
      <c r="BE311" s="55">
        <f t="shared" si="401"/>
        <v>0</v>
      </c>
      <c r="BF311" s="55">
        <f t="shared" si="401"/>
        <v>0</v>
      </c>
      <c r="BG311" s="55">
        <f t="shared" si="401"/>
        <v>0</v>
      </c>
      <c r="BH311" s="55">
        <f t="shared" si="401"/>
        <v>0</v>
      </c>
      <c r="BI311" s="55">
        <f t="shared" si="401"/>
        <v>0</v>
      </c>
      <c r="BJ311" s="55">
        <f t="shared" si="401"/>
        <v>0</v>
      </c>
    </row>
    <row r="312" spans="1:62" x14ac:dyDescent="0.3">
      <c r="A312" s="53" t="str">
        <f t="shared" si="375"/>
        <v>project 161</v>
      </c>
      <c r="C312" s="55">
        <f t="shared" ref="C312:AH312" si="402">IF(AND(C$127&gt;=$K101,C$127&lt;=$L101),$G101*(1+$H101)^(C$127-$B$5),0)</f>
        <v>0</v>
      </c>
      <c r="D312" s="55">
        <f t="shared" si="402"/>
        <v>0</v>
      </c>
      <c r="E312" s="55">
        <f t="shared" si="402"/>
        <v>0</v>
      </c>
      <c r="F312" s="55">
        <f t="shared" si="402"/>
        <v>0</v>
      </c>
      <c r="G312" s="55">
        <f t="shared" si="402"/>
        <v>0</v>
      </c>
      <c r="H312" s="55">
        <f t="shared" si="402"/>
        <v>0</v>
      </c>
      <c r="I312" s="55">
        <f t="shared" si="402"/>
        <v>0</v>
      </c>
      <c r="J312" s="55">
        <f t="shared" si="402"/>
        <v>0</v>
      </c>
      <c r="K312" s="55">
        <f t="shared" si="402"/>
        <v>0</v>
      </c>
      <c r="L312" s="55">
        <f t="shared" si="402"/>
        <v>0</v>
      </c>
      <c r="M312" s="55">
        <f t="shared" si="402"/>
        <v>0</v>
      </c>
      <c r="N312" s="55">
        <f t="shared" si="402"/>
        <v>0</v>
      </c>
      <c r="O312" s="55">
        <f t="shared" si="402"/>
        <v>0</v>
      </c>
      <c r="P312" s="55">
        <f t="shared" si="402"/>
        <v>0</v>
      </c>
      <c r="Q312" s="55">
        <f t="shared" si="402"/>
        <v>0</v>
      </c>
      <c r="R312" s="55">
        <f t="shared" si="402"/>
        <v>0</v>
      </c>
      <c r="S312" s="55">
        <f t="shared" si="402"/>
        <v>0</v>
      </c>
      <c r="T312" s="55">
        <f t="shared" si="402"/>
        <v>0</v>
      </c>
      <c r="U312" s="55">
        <f t="shared" si="402"/>
        <v>0</v>
      </c>
      <c r="V312" s="55">
        <f t="shared" si="402"/>
        <v>0</v>
      </c>
      <c r="W312" s="55">
        <f t="shared" si="402"/>
        <v>1.0895406059051411</v>
      </c>
      <c r="X312" s="55">
        <f t="shared" si="402"/>
        <v>1.1122030505079679</v>
      </c>
      <c r="Y312" s="55">
        <f t="shared" si="402"/>
        <v>1.1353368739585337</v>
      </c>
      <c r="Z312" s="55">
        <f t="shared" si="402"/>
        <v>1.1589518809368711</v>
      </c>
      <c r="AA312" s="55">
        <f t="shared" si="402"/>
        <v>1.1830580800603578</v>
      </c>
      <c r="AB312" s="55">
        <f t="shared" si="402"/>
        <v>1.2076656881256134</v>
      </c>
      <c r="AC312" s="55">
        <f t="shared" si="402"/>
        <v>1.232785134438626</v>
      </c>
      <c r="AD312" s="55">
        <f t="shared" si="402"/>
        <v>1.2584270652349494</v>
      </c>
      <c r="AE312" s="55">
        <f t="shared" si="402"/>
        <v>1.2846023481918363</v>
      </c>
      <c r="AF312" s="55">
        <f t="shared" si="402"/>
        <v>1.3113220770342264</v>
      </c>
      <c r="AG312" s="55">
        <f t="shared" si="402"/>
        <v>1.3385975762365385</v>
      </c>
      <c r="AH312" s="55">
        <f t="shared" si="402"/>
        <v>1.3664404058222586</v>
      </c>
      <c r="AI312" s="55">
        <f t="shared" ref="AI312:BJ312" si="403">IF(AND(AI$127&gt;=$K101,AI$127&lt;=$L101),$G101*(1+$H101)^(AI$127-$B$5),0)</f>
        <v>1.394862366263361</v>
      </c>
      <c r="AJ312" s="55">
        <f t="shared" si="403"/>
        <v>1.4238755034816388</v>
      </c>
      <c r="AK312" s="55">
        <f t="shared" si="403"/>
        <v>1.4534921139540571</v>
      </c>
      <c r="AL312" s="55">
        <f t="shared" si="403"/>
        <v>1.4837247499243014</v>
      </c>
      <c r="AM312" s="55">
        <f t="shared" si="403"/>
        <v>1.5145862247227269</v>
      </c>
      <c r="AN312" s="55">
        <f t="shared" si="403"/>
        <v>1.5460896181969594</v>
      </c>
      <c r="AO312" s="55">
        <f t="shared" si="403"/>
        <v>1.578248282255456</v>
      </c>
      <c r="AP312" s="55">
        <f t="shared" si="403"/>
        <v>1.6110758465263697</v>
      </c>
      <c r="AQ312" s="55">
        <f t="shared" si="403"/>
        <v>1.644586224134118</v>
      </c>
      <c r="AR312" s="55">
        <f t="shared" si="403"/>
        <v>1.6787936175961076</v>
      </c>
      <c r="AS312" s="55">
        <f t="shared" si="403"/>
        <v>1.7137125248421066</v>
      </c>
      <c r="AT312" s="55">
        <f t="shared" si="403"/>
        <v>1.7493577453588225</v>
      </c>
      <c r="AU312" s="55">
        <f t="shared" si="403"/>
        <v>1.7857443864622855</v>
      </c>
      <c r="AV312" s="55">
        <f t="shared" si="403"/>
        <v>1.8228878697007012</v>
      </c>
      <c r="AW312" s="55">
        <f t="shared" si="403"/>
        <v>1.8608039373904761</v>
      </c>
      <c r="AX312" s="55">
        <f t="shared" si="403"/>
        <v>1.8995086592881978</v>
      </c>
      <c r="AY312" s="55">
        <f t="shared" si="403"/>
        <v>1.9390184394013918</v>
      </c>
      <c r="AZ312" s="55">
        <f t="shared" si="403"/>
        <v>1.9793500229409409</v>
      </c>
      <c r="BA312" s="55">
        <f t="shared" si="403"/>
        <v>2.0205205034181124</v>
      </c>
      <c r="BB312" s="55">
        <f t="shared" si="403"/>
        <v>2.0625473298892087</v>
      </c>
      <c r="BC312" s="55">
        <f t="shared" si="403"/>
        <v>2.1054483143509048</v>
      </c>
      <c r="BD312" s="55">
        <f t="shared" si="403"/>
        <v>2.1492416392894031</v>
      </c>
      <c r="BE312" s="55">
        <f t="shared" si="403"/>
        <v>2.1939458653866231</v>
      </c>
      <c r="BF312" s="55">
        <f t="shared" si="403"/>
        <v>2.2395799393866644</v>
      </c>
      <c r="BG312" s="55">
        <f t="shared" si="403"/>
        <v>2.2861632021259068</v>
      </c>
      <c r="BH312" s="55">
        <f t="shared" si="403"/>
        <v>2.3337153967301258</v>
      </c>
      <c r="BI312" s="55">
        <f t="shared" si="403"/>
        <v>2.3822566769821121</v>
      </c>
      <c r="BJ312" s="55">
        <f t="shared" si="403"/>
        <v>2.4318076158633399</v>
      </c>
    </row>
    <row r="313" spans="1:62" x14ac:dyDescent="0.3">
      <c r="A313" s="53" t="str">
        <f t="shared" si="375"/>
        <v>project 162</v>
      </c>
      <c r="C313" s="55">
        <f t="shared" ref="C313:AH313" si="404">IF(AND(C$127&gt;=$K102,C$127&lt;=$L102),$G102*(1+$H102)^(C$127-$B$5),0)</f>
        <v>0</v>
      </c>
      <c r="D313" s="55">
        <f t="shared" si="404"/>
        <v>0</v>
      </c>
      <c r="E313" s="55">
        <f t="shared" si="404"/>
        <v>0</v>
      </c>
      <c r="F313" s="55">
        <f t="shared" si="404"/>
        <v>0</v>
      </c>
      <c r="G313" s="55">
        <f t="shared" si="404"/>
        <v>0</v>
      </c>
      <c r="H313" s="55">
        <f t="shared" si="404"/>
        <v>0</v>
      </c>
      <c r="I313" s="55">
        <f t="shared" si="404"/>
        <v>0</v>
      </c>
      <c r="J313" s="55">
        <f t="shared" si="404"/>
        <v>0</v>
      </c>
      <c r="K313" s="55">
        <f t="shared" si="404"/>
        <v>0</v>
      </c>
      <c r="L313" s="55">
        <f t="shared" si="404"/>
        <v>0</v>
      </c>
      <c r="M313" s="55">
        <f t="shared" si="404"/>
        <v>0</v>
      </c>
      <c r="N313" s="55">
        <f t="shared" si="404"/>
        <v>0</v>
      </c>
      <c r="O313" s="55">
        <f t="shared" si="404"/>
        <v>0</v>
      </c>
      <c r="P313" s="55">
        <f t="shared" si="404"/>
        <v>0</v>
      </c>
      <c r="Q313" s="55">
        <f t="shared" si="404"/>
        <v>0</v>
      </c>
      <c r="R313" s="55">
        <f t="shared" si="404"/>
        <v>0</v>
      </c>
      <c r="S313" s="55">
        <f t="shared" si="404"/>
        <v>0</v>
      </c>
      <c r="T313" s="55">
        <f t="shared" si="404"/>
        <v>0</v>
      </c>
      <c r="U313" s="55">
        <f t="shared" si="404"/>
        <v>0</v>
      </c>
      <c r="V313" s="55">
        <f t="shared" si="404"/>
        <v>0</v>
      </c>
      <c r="W313" s="55">
        <f t="shared" si="404"/>
        <v>1.9580920318037085</v>
      </c>
      <c r="X313" s="55">
        <f t="shared" si="404"/>
        <v>2.0062610957860798</v>
      </c>
      <c r="Y313" s="55">
        <f t="shared" si="404"/>
        <v>2.0556151187424168</v>
      </c>
      <c r="Z313" s="55">
        <f t="shared" si="404"/>
        <v>2.1061832506634799</v>
      </c>
      <c r="AA313" s="55">
        <f t="shared" si="404"/>
        <v>2.157995358629802</v>
      </c>
      <c r="AB313" s="55">
        <f t="shared" si="404"/>
        <v>2.2110820444520951</v>
      </c>
      <c r="AC313" s="55">
        <f t="shared" si="404"/>
        <v>2.2654746627456168</v>
      </c>
      <c r="AD313" s="55">
        <f t="shared" si="404"/>
        <v>2.321205339449159</v>
      </c>
      <c r="AE313" s="55">
        <f t="shared" si="404"/>
        <v>2.3783069907996084</v>
      </c>
      <c r="AF313" s="55">
        <f t="shared" si="404"/>
        <v>2.4368133427732785</v>
      </c>
      <c r="AG313" s="55">
        <f t="shared" si="404"/>
        <v>2.4967589510055013</v>
      </c>
      <c r="AH313" s="55">
        <f t="shared" si="404"/>
        <v>2.5581792212002363</v>
      </c>
      <c r="AI313" s="55">
        <f t="shared" ref="AI313:BJ313" si="405">IF(AND(AI$127&gt;=$K102,AI$127&lt;=$L102),$G102*(1+$H102)^(AI$127-$B$5),0)</f>
        <v>2.6211104300417629</v>
      </c>
      <c r="AJ313" s="55">
        <f t="shared" si="405"/>
        <v>2.6855897466207903</v>
      </c>
      <c r="AK313" s="55">
        <f t="shared" si="405"/>
        <v>2.7516552543876616</v>
      </c>
      <c r="AL313" s="55">
        <f t="shared" si="405"/>
        <v>2.8193459736455977</v>
      </c>
      <c r="AM313" s="55">
        <f t="shared" si="405"/>
        <v>2.8887018845972801</v>
      </c>
      <c r="AN313" s="55">
        <f t="shared" si="405"/>
        <v>2.9597639509583726</v>
      </c>
      <c r="AO313" s="55">
        <f t="shared" si="405"/>
        <v>3.0325741441519485</v>
      </c>
      <c r="AP313" s="55">
        <f t="shared" si="405"/>
        <v>3.1071754680980859</v>
      </c>
      <c r="AQ313" s="55">
        <f t="shared" si="405"/>
        <v>3.1836119846132998</v>
      </c>
      <c r="AR313" s="55">
        <f t="shared" si="405"/>
        <v>3.2619288394347867</v>
      </c>
      <c r="AS313" s="55">
        <f t="shared" si="405"/>
        <v>3.3421722888848824</v>
      </c>
      <c r="AT313" s="55">
        <f t="shared" si="405"/>
        <v>3.4243897271914503</v>
      </c>
      <c r="AU313" s="55">
        <f t="shared" si="405"/>
        <v>3.5086297144803607</v>
      </c>
      <c r="AV313" s="55">
        <f t="shared" si="405"/>
        <v>3.594942005456577</v>
      </c>
      <c r="AW313" s="55">
        <f t="shared" si="405"/>
        <v>3.6833775787908087</v>
      </c>
      <c r="AX313" s="55">
        <f t="shared" si="405"/>
        <v>3.7739886672290623</v>
      </c>
      <c r="AY313" s="55">
        <f t="shared" si="405"/>
        <v>3.8668287884428985</v>
      </c>
      <c r="AZ313" s="55">
        <f t="shared" si="405"/>
        <v>3.9619527766385936</v>
      </c>
      <c r="BA313" s="55">
        <f t="shared" si="405"/>
        <v>4.0594168149439032</v>
      </c>
      <c r="BB313" s="55">
        <f t="shared" si="405"/>
        <v>4.1592784685915225</v>
      </c>
      <c r="BC313" s="55">
        <f t="shared" si="405"/>
        <v>4.2615967189188746</v>
      </c>
      <c r="BD313" s="55">
        <f t="shared" si="405"/>
        <v>4.3664319982042787</v>
      </c>
      <c r="BE313" s="55">
        <f t="shared" si="405"/>
        <v>4.473846225360103</v>
      </c>
      <c r="BF313" s="55">
        <f t="shared" si="405"/>
        <v>4.583902842503961</v>
      </c>
      <c r="BG313" s="55">
        <f t="shared" si="405"/>
        <v>4.6966668524295603</v>
      </c>
      <c r="BH313" s="55">
        <f t="shared" si="405"/>
        <v>4.812204856999327</v>
      </c>
      <c r="BI313" s="55">
        <f t="shared" si="405"/>
        <v>4.9305850964815106</v>
      </c>
      <c r="BJ313" s="55">
        <f t="shared" si="405"/>
        <v>5.0518774898549559</v>
      </c>
    </row>
    <row r="314" spans="1:62" x14ac:dyDescent="0.3">
      <c r="A314" s="53" t="str">
        <f t="shared" si="375"/>
        <v>project 166</v>
      </c>
      <c r="C314" s="55">
        <f t="shared" ref="C314:AH314" si="406">IF(AND(C$127&gt;=$K103,C$127&lt;=$L103),$G103*(1+$H103)^(C$127-$B$5),0)</f>
        <v>0</v>
      </c>
      <c r="D314" s="55">
        <f t="shared" si="406"/>
        <v>0</v>
      </c>
      <c r="E314" s="55">
        <f t="shared" si="406"/>
        <v>0</v>
      </c>
      <c r="F314" s="55">
        <f t="shared" si="406"/>
        <v>0</v>
      </c>
      <c r="G314" s="55">
        <f t="shared" si="406"/>
        <v>0.92768597206634562</v>
      </c>
      <c r="H314" s="55">
        <f t="shared" si="406"/>
        <v>0.94067357567527454</v>
      </c>
      <c r="I314" s="55">
        <f t="shared" si="406"/>
        <v>0.95384300573472836</v>
      </c>
      <c r="J314" s="55">
        <f t="shared" si="406"/>
        <v>0.96719680781501449</v>
      </c>
      <c r="K314" s="55">
        <f t="shared" si="406"/>
        <v>0.98073756312442495</v>
      </c>
      <c r="L314" s="55">
        <f t="shared" si="406"/>
        <v>0.99446788900816707</v>
      </c>
      <c r="M314" s="55">
        <f t="shared" si="406"/>
        <v>1.0083904394542815</v>
      </c>
      <c r="N314" s="55">
        <f t="shared" si="406"/>
        <v>1.0225079056066413</v>
      </c>
      <c r="O314" s="55">
        <f t="shared" si="406"/>
        <v>1.0368230162851344</v>
      </c>
      <c r="P314" s="55">
        <f t="shared" si="406"/>
        <v>1.0513385385131264</v>
      </c>
      <c r="Q314" s="55">
        <f t="shared" si="406"/>
        <v>1.0660572780523101</v>
      </c>
      <c r="R314" s="55">
        <f t="shared" si="406"/>
        <v>1.0809820799450427</v>
      </c>
      <c r="S314" s="55">
        <f t="shared" si="406"/>
        <v>1.0961158290642734</v>
      </c>
      <c r="T314" s="55">
        <f t="shared" si="406"/>
        <v>1.1114614506711733</v>
      </c>
      <c r="U314" s="55">
        <f t="shared" si="406"/>
        <v>1.1270219109805699</v>
      </c>
      <c r="V314" s="55">
        <f t="shared" si="406"/>
        <v>1.1428002177342977</v>
      </c>
      <c r="W314" s="55">
        <f t="shared" si="406"/>
        <v>1.158799420782578</v>
      </c>
      <c r="X314" s="55">
        <f t="shared" si="406"/>
        <v>1.1750226126735344</v>
      </c>
      <c r="Y314" s="55">
        <f t="shared" si="406"/>
        <v>1.1914729292509638</v>
      </c>
      <c r="Z314" s="55">
        <f t="shared" si="406"/>
        <v>1.2081535502604774</v>
      </c>
      <c r="AA314" s="55">
        <f t="shared" si="406"/>
        <v>1.2250676999641241</v>
      </c>
      <c r="AB314" s="55">
        <f t="shared" si="406"/>
        <v>1.2422186477636221</v>
      </c>
      <c r="AC314" s="55">
        <f t="shared" si="406"/>
        <v>1.259609708832313</v>
      </c>
      <c r="AD314" s="55">
        <f t="shared" si="406"/>
        <v>1.2772442447559653</v>
      </c>
      <c r="AE314" s="55">
        <f t="shared" si="406"/>
        <v>1.295125664182549</v>
      </c>
      <c r="AF314" s="55">
        <f t="shared" si="406"/>
        <v>1.3132574234811047</v>
      </c>
      <c r="AG314" s="55">
        <f t="shared" si="406"/>
        <v>1.3316430274098403</v>
      </c>
      <c r="AH314" s="55">
        <f t="shared" si="406"/>
        <v>1.3502860297935781</v>
      </c>
      <c r="AI314" s="55">
        <f t="shared" ref="AI314:BJ314" si="407">IF(AND(AI$127&gt;=$K103,AI$127&lt;=$L103),$G103*(1+$H103)^(AI$127-$B$5),0)</f>
        <v>1.3691900342106884</v>
      </c>
      <c r="AJ314" s="55">
        <f t="shared" si="407"/>
        <v>1.3883586946896382</v>
      </c>
      <c r="AK314" s="55">
        <f t="shared" si="407"/>
        <v>1.4077957164152932</v>
      </c>
      <c r="AL314" s="55">
        <f t="shared" si="407"/>
        <v>1.4275048564451074</v>
      </c>
      <c r="AM314" s="55">
        <f t="shared" si="407"/>
        <v>1.447489924435339</v>
      </c>
      <c r="AN314" s="55">
        <f t="shared" si="407"/>
        <v>1.4677547833774338</v>
      </c>
      <c r="AO314" s="55">
        <f t="shared" si="407"/>
        <v>1.4883033503447181</v>
      </c>
      <c r="AP314" s="55">
        <f t="shared" si="407"/>
        <v>1.5091395972495441</v>
      </c>
      <c r="AQ314" s="55">
        <f t="shared" si="407"/>
        <v>1.530267551611038</v>
      </c>
      <c r="AR314" s="55">
        <f t="shared" si="407"/>
        <v>1.5516912973335926</v>
      </c>
      <c r="AS314" s="55">
        <f t="shared" si="407"/>
        <v>1.573414975496263</v>
      </c>
      <c r="AT314" s="55">
        <f t="shared" si="407"/>
        <v>1.5954427851532107</v>
      </c>
      <c r="AU314" s="55">
        <f t="shared" si="407"/>
        <v>0</v>
      </c>
      <c r="AV314" s="55">
        <f t="shared" si="407"/>
        <v>0</v>
      </c>
      <c r="AW314" s="55">
        <f t="shared" si="407"/>
        <v>0</v>
      </c>
      <c r="AX314" s="55">
        <f t="shared" si="407"/>
        <v>0</v>
      </c>
      <c r="AY314" s="55">
        <f t="shared" si="407"/>
        <v>0</v>
      </c>
      <c r="AZ314" s="55">
        <f t="shared" si="407"/>
        <v>0</v>
      </c>
      <c r="BA314" s="55">
        <f t="shared" si="407"/>
        <v>0</v>
      </c>
      <c r="BB314" s="55">
        <f t="shared" si="407"/>
        <v>0</v>
      </c>
      <c r="BC314" s="55">
        <f t="shared" si="407"/>
        <v>0</v>
      </c>
      <c r="BD314" s="55">
        <f t="shared" si="407"/>
        <v>0</v>
      </c>
      <c r="BE314" s="55">
        <f t="shared" si="407"/>
        <v>0</v>
      </c>
      <c r="BF314" s="55">
        <f t="shared" si="407"/>
        <v>0</v>
      </c>
      <c r="BG314" s="55">
        <f t="shared" si="407"/>
        <v>0</v>
      </c>
      <c r="BH314" s="55">
        <f t="shared" si="407"/>
        <v>0</v>
      </c>
      <c r="BI314" s="55">
        <f t="shared" si="407"/>
        <v>0</v>
      </c>
      <c r="BJ314" s="55">
        <f t="shared" si="407"/>
        <v>0</v>
      </c>
    </row>
    <row r="315" spans="1:62" x14ac:dyDescent="0.3">
      <c r="A315" s="53" t="str">
        <f t="shared" si="375"/>
        <v>project 167</v>
      </c>
      <c r="C315" s="55">
        <f t="shared" ref="C315:AH315" si="408">IF(AND(C$127&gt;=$K104,C$127&lt;=$L104),$G104*(1+$H104)^(C$127-$B$5),0)</f>
        <v>0</v>
      </c>
      <c r="D315" s="55">
        <f t="shared" si="408"/>
        <v>0</v>
      </c>
      <c r="E315" s="55">
        <f t="shared" si="408"/>
        <v>0</v>
      </c>
      <c r="F315" s="55">
        <f t="shared" si="408"/>
        <v>0</v>
      </c>
      <c r="G315" s="55">
        <f t="shared" si="408"/>
        <v>0</v>
      </c>
      <c r="H315" s="55">
        <f t="shared" si="408"/>
        <v>0</v>
      </c>
      <c r="I315" s="55">
        <f t="shared" si="408"/>
        <v>0</v>
      </c>
      <c r="J315" s="55">
        <f t="shared" si="408"/>
        <v>0</v>
      </c>
      <c r="K315" s="55">
        <f t="shared" si="408"/>
        <v>0</v>
      </c>
      <c r="L315" s="55">
        <f t="shared" si="408"/>
        <v>0.53150542756937935</v>
      </c>
      <c r="M315" s="55">
        <f t="shared" si="408"/>
        <v>0.54011581549600329</v>
      </c>
      <c r="N315" s="55">
        <f t="shared" si="408"/>
        <v>0.54886569170703858</v>
      </c>
      <c r="O315" s="55">
        <f t="shared" si="408"/>
        <v>0.55775731591269251</v>
      </c>
      <c r="P315" s="55">
        <f t="shared" si="408"/>
        <v>0.5667929844304781</v>
      </c>
      <c r="Q315" s="55">
        <f t="shared" si="408"/>
        <v>0.57597503077825185</v>
      </c>
      <c r="R315" s="55">
        <f t="shared" si="408"/>
        <v>0.58530582627685956</v>
      </c>
      <c r="S315" s="55">
        <f t="shared" si="408"/>
        <v>0.59478778066254467</v>
      </c>
      <c r="T315" s="55">
        <f t="shared" si="408"/>
        <v>0.60442334270927789</v>
      </c>
      <c r="U315" s="55">
        <f t="shared" si="408"/>
        <v>0.61421500086116809</v>
      </c>
      <c r="V315" s="55">
        <f t="shared" si="408"/>
        <v>0.62416528387511916</v>
      </c>
      <c r="W315" s="55">
        <f t="shared" si="408"/>
        <v>0.63427676147389589</v>
      </c>
      <c r="X315" s="55">
        <f t="shared" si="408"/>
        <v>0.64455204500977303</v>
      </c>
      <c r="Y315" s="55">
        <f t="shared" si="408"/>
        <v>0.65499378813893128</v>
      </c>
      <c r="Z315" s="55">
        <f t="shared" si="408"/>
        <v>0.66560468750678203</v>
      </c>
      <c r="AA315" s="55">
        <f t="shared" si="408"/>
        <v>0.67638748344439181</v>
      </c>
      <c r="AB315" s="55">
        <f t="shared" si="408"/>
        <v>0.687344960676191</v>
      </c>
      <c r="AC315" s="55">
        <f t="shared" si="408"/>
        <v>0.69847994903914534</v>
      </c>
      <c r="AD315" s="55">
        <f t="shared" si="408"/>
        <v>0.70979532421357949</v>
      </c>
      <c r="AE315" s="55">
        <f t="shared" si="408"/>
        <v>0.72129400846583935</v>
      </c>
      <c r="AF315" s="55">
        <f t="shared" si="408"/>
        <v>0.73297897140298585</v>
      </c>
      <c r="AG315" s="55">
        <f t="shared" si="408"/>
        <v>0.74485323073971432</v>
      </c>
      <c r="AH315" s="55">
        <f t="shared" si="408"/>
        <v>0.75691985307769771</v>
      </c>
      <c r="AI315" s="55">
        <f t="shared" ref="AI315:BJ315" si="409">IF(AND(AI$127&gt;=$K104,AI$127&lt;=$L104),$G104*(1+$H104)^(AI$127-$B$5),0)</f>
        <v>0.76918195469755635</v>
      </c>
      <c r="AJ315" s="55">
        <f t="shared" si="409"/>
        <v>0.78164270236365674</v>
      </c>
      <c r="AK315" s="55">
        <f t="shared" si="409"/>
        <v>0.79430531414194794</v>
      </c>
      <c r="AL315" s="55">
        <f t="shared" si="409"/>
        <v>0.80717306023104751</v>
      </c>
      <c r="AM315" s="55">
        <f t="shared" si="409"/>
        <v>0.82024926380679042</v>
      </c>
      <c r="AN315" s="55">
        <f t="shared" si="409"/>
        <v>0.83353730188046038</v>
      </c>
      <c r="AO315" s="55">
        <f t="shared" si="409"/>
        <v>0.8470406061709238</v>
      </c>
      <c r="AP315" s="55">
        <f t="shared" si="409"/>
        <v>0.86076266399089274</v>
      </c>
      <c r="AQ315" s="55">
        <f t="shared" si="409"/>
        <v>0.87470701914754523</v>
      </c>
      <c r="AR315" s="55">
        <f t="shared" si="409"/>
        <v>0.88887727285773543</v>
      </c>
      <c r="AS315" s="55">
        <f t="shared" si="409"/>
        <v>0.90327708467803081</v>
      </c>
      <c r="AT315" s="55">
        <f t="shared" si="409"/>
        <v>0.91791017344981485</v>
      </c>
      <c r="AU315" s="55">
        <f t="shared" si="409"/>
        <v>0.93278031825970176</v>
      </c>
      <c r="AV315" s="55">
        <f t="shared" si="409"/>
        <v>0.94789135941550884</v>
      </c>
      <c r="AW315" s="55">
        <f t="shared" si="409"/>
        <v>0.96324719943803994</v>
      </c>
      <c r="AX315" s="55">
        <f t="shared" si="409"/>
        <v>0.97885180406893635</v>
      </c>
      <c r="AY315" s="55">
        <f t="shared" si="409"/>
        <v>0.99470920329485291</v>
      </c>
      <c r="AZ315" s="55">
        <f t="shared" si="409"/>
        <v>0</v>
      </c>
      <c r="BA315" s="55">
        <f t="shared" si="409"/>
        <v>0</v>
      </c>
      <c r="BB315" s="55">
        <f t="shared" si="409"/>
        <v>0</v>
      </c>
      <c r="BC315" s="55">
        <f t="shared" si="409"/>
        <v>0</v>
      </c>
      <c r="BD315" s="55">
        <f t="shared" si="409"/>
        <v>0</v>
      </c>
      <c r="BE315" s="55">
        <f t="shared" si="409"/>
        <v>0</v>
      </c>
      <c r="BF315" s="55">
        <f t="shared" si="409"/>
        <v>0</v>
      </c>
      <c r="BG315" s="55">
        <f t="shared" si="409"/>
        <v>0</v>
      </c>
      <c r="BH315" s="55">
        <f t="shared" si="409"/>
        <v>0</v>
      </c>
      <c r="BI315" s="55">
        <f t="shared" si="409"/>
        <v>0</v>
      </c>
      <c r="BJ315" s="55">
        <f t="shared" si="409"/>
        <v>0</v>
      </c>
    </row>
    <row r="316" spans="1:62" x14ac:dyDescent="0.3">
      <c r="A316" s="53" t="str">
        <f t="shared" si="375"/>
        <v>project 168</v>
      </c>
      <c r="C316" s="55">
        <f t="shared" ref="C316:AH316" si="410">IF(AND(C$127&gt;=$K105,C$127&lt;=$L105),$G105*(1+$H105)^(C$127-$B$5),0)</f>
        <v>0</v>
      </c>
      <c r="D316" s="55">
        <f t="shared" si="410"/>
        <v>0</v>
      </c>
      <c r="E316" s="55">
        <f t="shared" si="410"/>
        <v>0</v>
      </c>
      <c r="F316" s="55">
        <f t="shared" si="410"/>
        <v>0</v>
      </c>
      <c r="G316" s="55">
        <f t="shared" si="410"/>
        <v>0</v>
      </c>
      <c r="H316" s="55">
        <f t="shared" si="410"/>
        <v>0</v>
      </c>
      <c r="I316" s="55">
        <f t="shared" si="410"/>
        <v>0</v>
      </c>
      <c r="J316" s="55">
        <f t="shared" si="410"/>
        <v>0</v>
      </c>
      <c r="K316" s="55">
        <f t="shared" si="410"/>
        <v>0</v>
      </c>
      <c r="L316" s="55">
        <f t="shared" si="410"/>
        <v>0</v>
      </c>
      <c r="M316" s="55">
        <f t="shared" si="410"/>
        <v>0</v>
      </c>
      <c r="N316" s="55">
        <f t="shared" si="410"/>
        <v>0</v>
      </c>
      <c r="O316" s="55">
        <f t="shared" si="410"/>
        <v>0</v>
      </c>
      <c r="P316" s="55">
        <f t="shared" si="410"/>
        <v>0</v>
      </c>
      <c r="Q316" s="55">
        <f t="shared" si="410"/>
        <v>0</v>
      </c>
      <c r="R316" s="55">
        <f t="shared" si="410"/>
        <v>0</v>
      </c>
      <c r="S316" s="55">
        <f t="shared" si="410"/>
        <v>0</v>
      </c>
      <c r="T316" s="55">
        <f t="shared" si="410"/>
        <v>0</v>
      </c>
      <c r="U316" s="55">
        <f t="shared" si="410"/>
        <v>0</v>
      </c>
      <c r="V316" s="55">
        <f t="shared" si="410"/>
        <v>0</v>
      </c>
      <c r="W316" s="55">
        <f t="shared" si="410"/>
        <v>0.73768190420926616</v>
      </c>
      <c r="X316" s="55">
        <f t="shared" si="410"/>
        <v>0.75973859314512326</v>
      </c>
      <c r="Y316" s="55">
        <f t="shared" si="410"/>
        <v>0.78245477708016264</v>
      </c>
      <c r="Z316" s="55">
        <f t="shared" si="410"/>
        <v>0.80585017491485944</v>
      </c>
      <c r="AA316" s="55">
        <f t="shared" si="410"/>
        <v>0.82994509514481374</v>
      </c>
      <c r="AB316" s="55">
        <f t="shared" si="410"/>
        <v>0.85476045348964369</v>
      </c>
      <c r="AC316" s="55">
        <f t="shared" si="410"/>
        <v>0.88031779104898411</v>
      </c>
      <c r="AD316" s="55">
        <f t="shared" si="410"/>
        <v>0.90663929300134893</v>
      </c>
      <c r="AE316" s="55">
        <f t="shared" si="410"/>
        <v>0.93374780786208944</v>
      </c>
      <c r="AF316" s="55">
        <f t="shared" si="410"/>
        <v>0.96166686731716566</v>
      </c>
      <c r="AG316" s="55">
        <f t="shared" si="410"/>
        <v>0.99042070664994908</v>
      </c>
      <c r="AH316" s="55">
        <f t="shared" si="410"/>
        <v>1.0200342857787827</v>
      </c>
      <c r="AI316" s="55">
        <f t="shared" ref="AI316:BJ316" si="411">IF(AND(AI$127&gt;=$K105,AI$127&lt;=$L105),$G105*(1+$H105)^(AI$127-$B$5),0)</f>
        <v>1.0505333109235684</v>
      </c>
      <c r="AJ316" s="55">
        <f t="shared" si="411"/>
        <v>1.0819442569201829</v>
      </c>
      <c r="AK316" s="55">
        <f t="shared" si="411"/>
        <v>1.1142943902020968</v>
      </c>
      <c r="AL316" s="55">
        <f t="shared" si="411"/>
        <v>1.1476117924691394</v>
      </c>
      <c r="AM316" s="55">
        <f t="shared" si="411"/>
        <v>1.1819253850639668</v>
      </c>
      <c r="AN316" s="55">
        <f t="shared" si="411"/>
        <v>1.2172649540773794</v>
      </c>
      <c r="AO316" s="55">
        <f t="shared" si="411"/>
        <v>1.2536611762042933</v>
      </c>
      <c r="AP316" s="55">
        <f t="shared" si="411"/>
        <v>1.2911456453728016</v>
      </c>
      <c r="AQ316" s="55">
        <f t="shared" si="411"/>
        <v>1.3297509001694483</v>
      </c>
      <c r="AR316" s="55">
        <f t="shared" si="411"/>
        <v>1.3695104520845149</v>
      </c>
      <c r="AS316" s="55">
        <f t="shared" si="411"/>
        <v>1.4104588146018422</v>
      </c>
      <c r="AT316" s="55">
        <f t="shared" si="411"/>
        <v>1.4526315331584374</v>
      </c>
      <c r="AU316" s="55">
        <f t="shared" si="411"/>
        <v>1.4960652159998749</v>
      </c>
      <c r="AV316" s="55">
        <f t="shared" si="411"/>
        <v>1.5407975659582711</v>
      </c>
      <c r="AW316" s="55">
        <f t="shared" si="411"/>
        <v>1.5868674131804235</v>
      </c>
      <c r="AX316" s="55">
        <f t="shared" si="411"/>
        <v>1.6343147488345182</v>
      </c>
      <c r="AY316" s="55">
        <f t="shared" si="411"/>
        <v>1.6831807598246704</v>
      </c>
      <c r="AZ316" s="55">
        <f t="shared" si="411"/>
        <v>1.7335078645434279</v>
      </c>
      <c r="BA316" s="55">
        <f t="shared" si="411"/>
        <v>1.7853397496932768</v>
      </c>
      <c r="BB316" s="55">
        <f t="shared" si="411"/>
        <v>1.8387214082091059</v>
      </c>
      <c r="BC316" s="55">
        <f t="shared" si="411"/>
        <v>1.8936991783145583</v>
      </c>
      <c r="BD316" s="55">
        <f t="shared" si="411"/>
        <v>1.9503207837461638</v>
      </c>
      <c r="BE316" s="55">
        <f t="shared" si="411"/>
        <v>2.0086353751801744</v>
      </c>
      <c r="BF316" s="55">
        <f t="shared" si="411"/>
        <v>2.0686935728980611</v>
      </c>
      <c r="BG316" s="55">
        <f t="shared" si="411"/>
        <v>2.1305475107277134</v>
      </c>
      <c r="BH316" s="55">
        <f t="shared" si="411"/>
        <v>2.1942508812984718</v>
      </c>
      <c r="BI316" s="55">
        <f t="shared" si="411"/>
        <v>2.259858982649297</v>
      </c>
      <c r="BJ316" s="55">
        <f t="shared" si="411"/>
        <v>2.3274287662305109</v>
      </c>
    </row>
    <row r="317" spans="1:62" x14ac:dyDescent="0.3">
      <c r="A317" s="53" t="str">
        <f t="shared" si="375"/>
        <v>project 171</v>
      </c>
      <c r="C317" s="55">
        <f t="shared" ref="C317:AH317" si="412">IF(AND(C$127&gt;=$K106,C$127&lt;=$L106),$G106*(1+$H106)^(C$127-$B$5),0)</f>
        <v>0</v>
      </c>
      <c r="D317" s="55">
        <f t="shared" si="412"/>
        <v>0</v>
      </c>
      <c r="E317" s="55">
        <f t="shared" si="412"/>
        <v>0</v>
      </c>
      <c r="F317" s="55">
        <f t="shared" si="412"/>
        <v>0</v>
      </c>
      <c r="G317" s="55">
        <f t="shared" si="412"/>
        <v>0</v>
      </c>
      <c r="H317" s="55">
        <f t="shared" si="412"/>
        <v>0</v>
      </c>
      <c r="I317" s="55">
        <f t="shared" si="412"/>
        <v>0</v>
      </c>
      <c r="J317" s="55">
        <f t="shared" si="412"/>
        <v>0</v>
      </c>
      <c r="K317" s="55">
        <f t="shared" si="412"/>
        <v>0</v>
      </c>
      <c r="L317" s="55">
        <f t="shared" si="412"/>
        <v>0</v>
      </c>
      <c r="M317" s="55">
        <f t="shared" si="412"/>
        <v>0</v>
      </c>
      <c r="N317" s="55">
        <f t="shared" si="412"/>
        <v>0</v>
      </c>
      <c r="O317" s="55">
        <f t="shared" si="412"/>
        <v>0</v>
      </c>
      <c r="P317" s="55">
        <f t="shared" si="412"/>
        <v>0</v>
      </c>
      <c r="Q317" s="55">
        <f t="shared" si="412"/>
        <v>0</v>
      </c>
      <c r="R317" s="55">
        <f t="shared" si="412"/>
        <v>0</v>
      </c>
      <c r="S317" s="55">
        <f t="shared" si="412"/>
        <v>0</v>
      </c>
      <c r="T317" s="55">
        <f t="shared" si="412"/>
        <v>0</v>
      </c>
      <c r="U317" s="55">
        <f t="shared" si="412"/>
        <v>0</v>
      </c>
      <c r="V317" s="55">
        <f t="shared" si="412"/>
        <v>0</v>
      </c>
      <c r="W317" s="55">
        <f t="shared" si="412"/>
        <v>0.51779237363711172</v>
      </c>
      <c r="X317" s="55">
        <f t="shared" si="412"/>
        <v>0.52970159823076524</v>
      </c>
      <c r="Y317" s="55">
        <f t="shared" si="412"/>
        <v>0.54188473499007284</v>
      </c>
      <c r="Z317" s="55">
        <f t="shared" si="412"/>
        <v>0.55434808389484436</v>
      </c>
      <c r="AA317" s="55">
        <f t="shared" si="412"/>
        <v>0.56709808982442578</v>
      </c>
      <c r="AB317" s="55">
        <f t="shared" si="412"/>
        <v>0.58014134589038746</v>
      </c>
      <c r="AC317" s="55">
        <f t="shared" si="412"/>
        <v>0.5934845968458663</v>
      </c>
      <c r="AD317" s="55">
        <f t="shared" si="412"/>
        <v>0.60713474257332123</v>
      </c>
      <c r="AE317" s="55">
        <f t="shared" si="412"/>
        <v>0.62109884165250762</v>
      </c>
      <c r="AF317" s="55">
        <f t="shared" si="412"/>
        <v>0.63538411501051517</v>
      </c>
      <c r="AG317" s="55">
        <f t="shared" si="412"/>
        <v>0.64999794965575708</v>
      </c>
      <c r="AH317" s="55">
        <f t="shared" si="412"/>
        <v>0.66494790249783919</v>
      </c>
      <c r="AI317" s="55">
        <f t="shared" ref="AI317:BJ317" si="413">IF(AND(AI$127&gt;=$K106,AI$127&lt;=$L106),$G106*(1+$H106)^(AI$127-$B$5),0)</f>
        <v>0.68024170425528951</v>
      </c>
      <c r="AJ317" s="55">
        <f t="shared" si="413"/>
        <v>0.6958872634531611</v>
      </c>
      <c r="AK317" s="55">
        <f t="shared" si="413"/>
        <v>0.71189267051258376</v>
      </c>
      <c r="AL317" s="55">
        <f t="shared" si="413"/>
        <v>0.72826620193437308</v>
      </c>
      <c r="AM317" s="55">
        <f t="shared" si="413"/>
        <v>0.74501632457886358</v>
      </c>
      <c r="AN317" s="55">
        <f t="shared" si="413"/>
        <v>0.76215170004417743</v>
      </c>
      <c r="AO317" s="55">
        <f t="shared" si="413"/>
        <v>0.77968118914519358</v>
      </c>
      <c r="AP317" s="55">
        <f t="shared" si="413"/>
        <v>0.79761385649553285</v>
      </c>
      <c r="AQ317" s="55">
        <f t="shared" si="413"/>
        <v>0.81595897519492999</v>
      </c>
      <c r="AR317" s="55">
        <f t="shared" si="413"/>
        <v>0.83472603162441317</v>
      </c>
      <c r="AS317" s="55">
        <f t="shared" si="413"/>
        <v>0.85392473035177463</v>
      </c>
      <c r="AT317" s="55">
        <f t="shared" si="413"/>
        <v>0.87356499914986541</v>
      </c>
      <c r="AU317" s="55">
        <f t="shared" si="413"/>
        <v>0.89365699413031219</v>
      </c>
      <c r="AV317" s="55">
        <f t="shared" si="413"/>
        <v>0.91421110499530933</v>
      </c>
      <c r="AW317" s="55">
        <f t="shared" si="413"/>
        <v>0.93523796041020146</v>
      </c>
      <c r="AX317" s="55">
        <f t="shared" si="413"/>
        <v>0.95674843349963579</v>
      </c>
      <c r="AY317" s="55">
        <f t="shared" si="413"/>
        <v>0.97875364747012727</v>
      </c>
      <c r="AZ317" s="55">
        <f t="shared" si="413"/>
        <v>1.0012649813619401</v>
      </c>
      <c r="BA317" s="55">
        <f t="shared" si="413"/>
        <v>1.0242940759332648</v>
      </c>
      <c r="BB317" s="55">
        <f t="shared" si="413"/>
        <v>1.0478528396797298</v>
      </c>
      <c r="BC317" s="55">
        <f t="shared" si="413"/>
        <v>1.0719534549923633</v>
      </c>
      <c r="BD317" s="55">
        <f t="shared" si="413"/>
        <v>1.0966083844571874</v>
      </c>
      <c r="BE317" s="55">
        <f t="shared" si="413"/>
        <v>1.1218303772997029</v>
      </c>
      <c r="BF317" s="55">
        <f t="shared" si="413"/>
        <v>1.1476324759775958</v>
      </c>
      <c r="BG317" s="55">
        <f t="shared" si="413"/>
        <v>1.1740280229250806</v>
      </c>
      <c r="BH317" s="55">
        <f t="shared" si="413"/>
        <v>1.2010306674523572</v>
      </c>
      <c r="BI317" s="55">
        <f t="shared" si="413"/>
        <v>1.2286543728037613</v>
      </c>
      <c r="BJ317" s="55">
        <f t="shared" si="413"/>
        <v>1.2569134233782477</v>
      </c>
    </row>
    <row r="318" spans="1:62" x14ac:dyDescent="0.3">
      <c r="A318" s="53" t="str">
        <f t="shared" si="375"/>
        <v>project 175</v>
      </c>
      <c r="C318" s="55">
        <f t="shared" ref="C318:AH318" si="414">IF(AND(C$127&gt;=$K107,C$127&lt;=$L107),$G107*(1+$H107)^(C$127-$B$5),0)</f>
        <v>0</v>
      </c>
      <c r="D318" s="55">
        <f t="shared" si="414"/>
        <v>0</v>
      </c>
      <c r="E318" s="55">
        <f t="shared" si="414"/>
        <v>0</v>
      </c>
      <c r="F318" s="55">
        <f t="shared" si="414"/>
        <v>0</v>
      </c>
      <c r="G318" s="55">
        <f t="shared" si="414"/>
        <v>0</v>
      </c>
      <c r="H318" s="55">
        <f t="shared" si="414"/>
        <v>0</v>
      </c>
      <c r="I318" s="55">
        <f t="shared" si="414"/>
        <v>0</v>
      </c>
      <c r="J318" s="55">
        <f t="shared" si="414"/>
        <v>0</v>
      </c>
      <c r="K318" s="55">
        <f t="shared" si="414"/>
        <v>0</v>
      </c>
      <c r="L318" s="55">
        <f t="shared" si="414"/>
        <v>0</v>
      </c>
      <c r="M318" s="55">
        <f t="shared" si="414"/>
        <v>0</v>
      </c>
      <c r="N318" s="55">
        <f t="shared" si="414"/>
        <v>0</v>
      </c>
      <c r="O318" s="55">
        <f t="shared" si="414"/>
        <v>0</v>
      </c>
      <c r="P318" s="55">
        <f t="shared" si="414"/>
        <v>0</v>
      </c>
      <c r="Q318" s="55">
        <f t="shared" si="414"/>
        <v>0</v>
      </c>
      <c r="R318" s="55">
        <f t="shared" si="414"/>
        <v>0</v>
      </c>
      <c r="S318" s="55">
        <f t="shared" si="414"/>
        <v>0</v>
      </c>
      <c r="T318" s="55">
        <f t="shared" si="414"/>
        <v>0</v>
      </c>
      <c r="U318" s="55">
        <f t="shared" si="414"/>
        <v>0</v>
      </c>
      <c r="V318" s="55">
        <f t="shared" si="414"/>
        <v>0</v>
      </c>
      <c r="W318" s="55">
        <f t="shared" si="414"/>
        <v>0.44531820338972539</v>
      </c>
      <c r="X318" s="55">
        <f t="shared" si="414"/>
        <v>0.4536901856134522</v>
      </c>
      <c r="Y318" s="55">
        <f t="shared" si="414"/>
        <v>0.46221956110298512</v>
      </c>
      <c r="Z318" s="55">
        <f t="shared" si="414"/>
        <v>0.47090928885172123</v>
      </c>
      <c r="AA318" s="55">
        <f t="shared" si="414"/>
        <v>0.47976238348213346</v>
      </c>
      <c r="AB318" s="55">
        <f t="shared" si="414"/>
        <v>0.48878191629159756</v>
      </c>
      <c r="AC318" s="55">
        <f t="shared" si="414"/>
        <v>0.4979710163178796</v>
      </c>
      <c r="AD318" s="55">
        <f t="shared" si="414"/>
        <v>0.50733287142465566</v>
      </c>
      <c r="AE318" s="55">
        <f t="shared" si="414"/>
        <v>0.51687072940743917</v>
      </c>
      <c r="AF318" s="55">
        <f t="shared" si="414"/>
        <v>0.52658789912029902</v>
      </c>
      <c r="AG318" s="55">
        <f t="shared" si="414"/>
        <v>0.53648775162376061</v>
      </c>
      <c r="AH318" s="55">
        <f t="shared" si="414"/>
        <v>0.54657372135428728</v>
      </c>
      <c r="AI318" s="55">
        <f t="shared" ref="AI318:BJ318" si="415">IF(AND(AI$127&gt;=$K107,AI$127&lt;=$L107),$G107*(1+$H107)^(AI$127-$B$5),0)</f>
        <v>0.55684930731574778</v>
      </c>
      <c r="AJ318" s="55">
        <f t="shared" si="415"/>
        <v>0.56731807429328385</v>
      </c>
      <c r="AK318" s="55">
        <f t="shared" si="415"/>
        <v>0.57798365408999752</v>
      </c>
      <c r="AL318" s="55">
        <f t="shared" si="415"/>
        <v>0.58884974678688951</v>
      </c>
      <c r="AM318" s="55">
        <f t="shared" si="415"/>
        <v>0.59992012202648293</v>
      </c>
      <c r="AN318" s="55">
        <f t="shared" si="415"/>
        <v>0.6111986203205807</v>
      </c>
      <c r="AO318" s="55">
        <f t="shared" si="415"/>
        <v>0.62268915438260775</v>
      </c>
      <c r="AP318" s="55">
        <f t="shared" si="415"/>
        <v>0.63439571048500076</v>
      </c>
      <c r="AQ318" s="55">
        <f t="shared" si="415"/>
        <v>0.64632234984211867</v>
      </c>
      <c r="AR318" s="55">
        <f t="shared" si="415"/>
        <v>0.65847321001915049</v>
      </c>
      <c r="AS318" s="55">
        <f t="shared" si="415"/>
        <v>0.67085250636751048</v>
      </c>
      <c r="AT318" s="55">
        <f t="shared" si="415"/>
        <v>0.68346453348721958</v>
      </c>
      <c r="AU318" s="55">
        <f t="shared" si="415"/>
        <v>0.6963136667167793</v>
      </c>
      <c r="AV318" s="55">
        <f t="shared" si="415"/>
        <v>0.70940436365105464</v>
      </c>
      <c r="AW318" s="55">
        <f t="shared" si="415"/>
        <v>0.72274116568769453</v>
      </c>
      <c r="AX318" s="55">
        <f t="shared" si="415"/>
        <v>0.73632869960262315</v>
      </c>
      <c r="AY318" s="55">
        <f t="shared" si="415"/>
        <v>0.75017167915515226</v>
      </c>
      <c r="AZ318" s="55">
        <f t="shared" si="415"/>
        <v>0.76427490672326914</v>
      </c>
      <c r="BA318" s="55">
        <f t="shared" si="415"/>
        <v>0.77864327496966657</v>
      </c>
      <c r="BB318" s="55">
        <f t="shared" si="415"/>
        <v>0.79328176853909615</v>
      </c>
      <c r="BC318" s="55">
        <f t="shared" si="415"/>
        <v>0.80819546578763113</v>
      </c>
      <c r="BD318" s="55">
        <f t="shared" si="415"/>
        <v>0.82338954054443847</v>
      </c>
      <c r="BE318" s="55">
        <f t="shared" si="415"/>
        <v>0.83886926390667405</v>
      </c>
      <c r="BF318" s="55">
        <f t="shared" si="415"/>
        <v>0.85464000606811952</v>
      </c>
      <c r="BG318" s="55">
        <f t="shared" si="415"/>
        <v>0.87070723818220008</v>
      </c>
      <c r="BH318" s="55">
        <f t="shared" si="415"/>
        <v>0.88707653426002531</v>
      </c>
      <c r="BI318" s="55">
        <f t="shared" si="415"/>
        <v>0.90375357310411375</v>
      </c>
      <c r="BJ318" s="55">
        <f t="shared" si="415"/>
        <v>0.92074414027847096</v>
      </c>
    </row>
    <row r="319" spans="1:62" x14ac:dyDescent="0.3">
      <c r="A319" s="53" t="str">
        <f t="shared" si="375"/>
        <v>project 176</v>
      </c>
      <c r="C319" s="55">
        <f t="shared" ref="C319:AH319" si="416">IF(AND(C$127&gt;=$K108,C$127&lt;=$L108),$G108*(1+$H108)^(C$127-$B$5),0)</f>
        <v>0</v>
      </c>
      <c r="D319" s="55">
        <f t="shared" si="416"/>
        <v>0</v>
      </c>
      <c r="E319" s="55">
        <f t="shared" si="416"/>
        <v>0</v>
      </c>
      <c r="F319" s="55">
        <f t="shared" si="416"/>
        <v>0</v>
      </c>
      <c r="G319" s="55">
        <f t="shared" si="416"/>
        <v>0</v>
      </c>
      <c r="H319" s="55">
        <f t="shared" si="416"/>
        <v>0</v>
      </c>
      <c r="I319" s="55">
        <f t="shared" si="416"/>
        <v>0</v>
      </c>
      <c r="J319" s="55">
        <f t="shared" si="416"/>
        <v>0</v>
      </c>
      <c r="K319" s="55">
        <f t="shared" si="416"/>
        <v>0</v>
      </c>
      <c r="L319" s="55">
        <f t="shared" si="416"/>
        <v>0</v>
      </c>
      <c r="M319" s="55">
        <f t="shared" si="416"/>
        <v>0</v>
      </c>
      <c r="N319" s="55">
        <f t="shared" si="416"/>
        <v>0</v>
      </c>
      <c r="O319" s="55">
        <f t="shared" si="416"/>
        <v>0</v>
      </c>
      <c r="P319" s="55">
        <f t="shared" si="416"/>
        <v>0</v>
      </c>
      <c r="Q319" s="55">
        <f t="shared" si="416"/>
        <v>0</v>
      </c>
      <c r="R319" s="55">
        <f t="shared" si="416"/>
        <v>0</v>
      </c>
      <c r="S319" s="55">
        <f t="shared" si="416"/>
        <v>0</v>
      </c>
      <c r="T319" s="55">
        <f t="shared" si="416"/>
        <v>0</v>
      </c>
      <c r="U319" s="55">
        <f t="shared" si="416"/>
        <v>0</v>
      </c>
      <c r="V319" s="55">
        <f t="shared" si="416"/>
        <v>0</v>
      </c>
      <c r="W319" s="55">
        <f t="shared" si="416"/>
        <v>0.28928504252740228</v>
      </c>
      <c r="X319" s="55">
        <f t="shared" si="416"/>
        <v>0.2951864573949613</v>
      </c>
      <c r="Y319" s="55">
        <f t="shared" si="416"/>
        <v>0.30120826112581855</v>
      </c>
      <c r="Z319" s="55">
        <f t="shared" si="416"/>
        <v>0.30735290965278522</v>
      </c>
      <c r="AA319" s="55">
        <f t="shared" si="416"/>
        <v>0.31362290900970208</v>
      </c>
      <c r="AB319" s="55">
        <f t="shared" si="416"/>
        <v>0.32002081635349994</v>
      </c>
      <c r="AC319" s="55">
        <f t="shared" si="416"/>
        <v>0.32654924100711141</v>
      </c>
      <c r="AD319" s="55">
        <f t="shared" si="416"/>
        <v>0.33321084552365643</v>
      </c>
      <c r="AE319" s="55">
        <f t="shared" si="416"/>
        <v>0.34000834677233904</v>
      </c>
      <c r="AF319" s="55">
        <f t="shared" si="416"/>
        <v>0.34694451704649476</v>
      </c>
      <c r="AG319" s="55">
        <f t="shared" si="416"/>
        <v>0.35402218519424328</v>
      </c>
      <c r="AH319" s="55">
        <f t="shared" si="416"/>
        <v>0.36124423777220582</v>
      </c>
      <c r="AI319" s="55">
        <f t="shared" ref="AI319:BJ319" si="417">IF(AND(AI$127&gt;=$K108,AI$127&lt;=$L108),$G108*(1+$H108)^(AI$127-$B$5),0)</f>
        <v>0.3686136202227589</v>
      </c>
      <c r="AJ319" s="55">
        <f t="shared" si="417"/>
        <v>0.37613333807530319</v>
      </c>
      <c r="AK319" s="55">
        <f t="shared" si="417"/>
        <v>0.38380645817203934</v>
      </c>
      <c r="AL319" s="55">
        <f t="shared" si="417"/>
        <v>0.39163610991874903</v>
      </c>
      <c r="AM319" s="55">
        <f t="shared" si="417"/>
        <v>0.39962548656109148</v>
      </c>
      <c r="AN319" s="55">
        <f t="shared" si="417"/>
        <v>0.40777784648693771</v>
      </c>
      <c r="AO319" s="55">
        <f t="shared" si="417"/>
        <v>0.4160965145552713</v>
      </c>
      <c r="AP319" s="55">
        <f t="shared" si="417"/>
        <v>0.4245848834521988</v>
      </c>
      <c r="AQ319" s="55">
        <f t="shared" si="417"/>
        <v>0.43324641507462369</v>
      </c>
      <c r="AR319" s="55">
        <f t="shared" si="417"/>
        <v>0.44208464194214592</v>
      </c>
      <c r="AS319" s="55">
        <f t="shared" si="417"/>
        <v>0.45110316863776584</v>
      </c>
      <c r="AT319" s="55">
        <f t="shared" si="417"/>
        <v>0.46030567327797617</v>
      </c>
      <c r="AU319" s="55">
        <f t="shared" si="417"/>
        <v>0.46969590901284697</v>
      </c>
      <c r="AV319" s="55">
        <f t="shared" si="417"/>
        <v>0.47927770555670901</v>
      </c>
      <c r="AW319" s="55">
        <f t="shared" si="417"/>
        <v>0.48905497075006588</v>
      </c>
      <c r="AX319" s="55">
        <f t="shared" si="417"/>
        <v>0.49903169215336735</v>
      </c>
      <c r="AY319" s="55">
        <f t="shared" si="417"/>
        <v>0.50921193867329606</v>
      </c>
      <c r="AZ319" s="55">
        <f t="shared" si="417"/>
        <v>0.5195998622222312</v>
      </c>
      <c r="BA319" s="55">
        <f t="shared" si="417"/>
        <v>0.53019969941156475</v>
      </c>
      <c r="BB319" s="55">
        <f t="shared" si="417"/>
        <v>0.54101577327956063</v>
      </c>
      <c r="BC319" s="55">
        <f t="shared" si="417"/>
        <v>0.55205249505446385</v>
      </c>
      <c r="BD319" s="55">
        <f t="shared" si="417"/>
        <v>0.56331436595357487</v>
      </c>
      <c r="BE319" s="55">
        <f t="shared" si="417"/>
        <v>0.57480597901902786</v>
      </c>
      <c r="BF319" s="55">
        <f t="shared" si="417"/>
        <v>0.58653202099101598</v>
      </c>
      <c r="BG319" s="55">
        <f t="shared" si="417"/>
        <v>0.59849727421923271</v>
      </c>
      <c r="BH319" s="55">
        <f t="shared" si="417"/>
        <v>0.610706618613305</v>
      </c>
      <c r="BI319" s="55">
        <f t="shared" si="417"/>
        <v>0.62316503363301645</v>
      </c>
      <c r="BJ319" s="55">
        <f t="shared" si="417"/>
        <v>0.63587760031912999</v>
      </c>
    </row>
    <row r="320" spans="1:62" x14ac:dyDescent="0.3">
      <c r="A320" s="53" t="str">
        <f t="shared" si="375"/>
        <v>project 180</v>
      </c>
      <c r="C320" s="55">
        <f t="shared" ref="C320:AH320" si="418">IF(AND(C$127&gt;=$K109,C$127&lt;=$L109),$G109*(1+$H109)^(C$127-$B$5),0)</f>
        <v>0</v>
      </c>
      <c r="D320" s="55">
        <f t="shared" si="418"/>
        <v>0</v>
      </c>
      <c r="E320" s="55">
        <f t="shared" si="418"/>
        <v>0.20305217465932152</v>
      </c>
      <c r="F320" s="55">
        <f t="shared" si="418"/>
        <v>0.2055700216250971</v>
      </c>
      <c r="G320" s="55">
        <f t="shared" si="418"/>
        <v>0.20811908989324829</v>
      </c>
      <c r="H320" s="55">
        <f t="shared" si="418"/>
        <v>0.21069976660792453</v>
      </c>
      <c r="I320" s="55">
        <f t="shared" si="418"/>
        <v>0.21331244371386279</v>
      </c>
      <c r="J320" s="55">
        <f t="shared" si="418"/>
        <v>0.21595751801591467</v>
      </c>
      <c r="K320" s="55">
        <f t="shared" si="418"/>
        <v>0.21863539123931197</v>
      </c>
      <c r="L320" s="55">
        <f t="shared" si="418"/>
        <v>0.22134647009067945</v>
      </c>
      <c r="M320" s="55">
        <f t="shared" si="418"/>
        <v>0.22409116631980386</v>
      </c>
      <c r="N320" s="55">
        <f t="shared" si="418"/>
        <v>0.22686989678216943</v>
      </c>
      <c r="O320" s="55">
        <f t="shared" si="418"/>
        <v>0.22968308350226829</v>
      </c>
      <c r="P320" s="55">
        <f t="shared" si="418"/>
        <v>0.23253115373769639</v>
      </c>
      <c r="Q320" s="55">
        <f t="shared" si="418"/>
        <v>0.2354145400440438</v>
      </c>
      <c r="R320" s="55">
        <f t="shared" si="418"/>
        <v>0.23833368034058994</v>
      </c>
      <c r="S320" s="55">
        <f t="shared" si="418"/>
        <v>0.24128901797681321</v>
      </c>
      <c r="T320" s="55">
        <f t="shared" si="418"/>
        <v>0.2442810017997257</v>
      </c>
      <c r="U320" s="55">
        <f t="shared" si="418"/>
        <v>0.24731008622204226</v>
      </c>
      <c r="V320" s="55">
        <f t="shared" si="418"/>
        <v>0.25037673129119559</v>
      </c>
      <c r="W320" s="55">
        <f t="shared" si="418"/>
        <v>0.25348140275920633</v>
      </c>
      <c r="X320" s="55">
        <f t="shared" si="418"/>
        <v>0.25662457215342049</v>
      </c>
      <c r="Y320" s="55">
        <f t="shared" si="418"/>
        <v>0.2598067168481229</v>
      </c>
      <c r="Z320" s="55">
        <f t="shared" si="418"/>
        <v>0.26302832013703958</v>
      </c>
      <c r="AA320" s="55">
        <f t="shared" si="418"/>
        <v>0.26628987130673887</v>
      </c>
      <c r="AB320" s="55">
        <f t="shared" si="418"/>
        <v>0.2695918657109424</v>
      </c>
      <c r="AC320" s="55">
        <f t="shared" si="418"/>
        <v>0.27293480484575805</v>
      </c>
      <c r="AD320" s="55">
        <f t="shared" si="418"/>
        <v>0.27631919642584551</v>
      </c>
      <c r="AE320" s="55">
        <f t="shared" si="418"/>
        <v>0.27974555446152594</v>
      </c>
      <c r="AF320" s="55">
        <f t="shared" si="418"/>
        <v>0.28321439933684878</v>
      </c>
      <c r="AG320" s="55">
        <f t="shared" si="418"/>
        <v>0.28672625788862571</v>
      </c>
      <c r="AH320" s="55">
        <f t="shared" si="418"/>
        <v>0.29028166348644463</v>
      </c>
      <c r="AI320" s="55">
        <f t="shared" ref="AI320:BJ320" si="419">IF(AND(AI$127&gt;=$K109,AI$127&lt;=$L109),$G109*(1+$H109)^(AI$127-$B$5),0)</f>
        <v>0.29388115611367654</v>
      </c>
      <c r="AJ320" s="55">
        <f t="shared" si="419"/>
        <v>0.29752528244948606</v>
      </c>
      <c r="AK320" s="55">
        <f t="shared" si="419"/>
        <v>0.30121459595185968</v>
      </c>
      <c r="AL320" s="55">
        <f t="shared" si="419"/>
        <v>0.30494965694166276</v>
      </c>
      <c r="AM320" s="55">
        <f t="shared" si="419"/>
        <v>0.30873103268773933</v>
      </c>
      <c r="AN320" s="55">
        <f t="shared" si="419"/>
        <v>0.31255929749306727</v>
      </c>
      <c r="AO320" s="55">
        <f t="shared" si="419"/>
        <v>0.31643503278198126</v>
      </c>
      <c r="AP320" s="55">
        <f t="shared" si="419"/>
        <v>0.3203588271884778</v>
      </c>
      <c r="AQ320" s="55">
        <f t="shared" si="419"/>
        <v>0.3243312766456149</v>
      </c>
      <c r="AR320" s="55">
        <f t="shared" si="419"/>
        <v>0.32835298447602052</v>
      </c>
      <c r="AS320" s="55">
        <f t="shared" si="419"/>
        <v>0</v>
      </c>
      <c r="AT320" s="55">
        <f t="shared" si="419"/>
        <v>0</v>
      </c>
      <c r="AU320" s="55">
        <f t="shared" si="419"/>
        <v>0</v>
      </c>
      <c r="AV320" s="55">
        <f t="shared" si="419"/>
        <v>0</v>
      </c>
      <c r="AW320" s="55">
        <f t="shared" si="419"/>
        <v>0</v>
      </c>
      <c r="AX320" s="55">
        <f t="shared" si="419"/>
        <v>0</v>
      </c>
      <c r="AY320" s="55">
        <f t="shared" si="419"/>
        <v>0</v>
      </c>
      <c r="AZ320" s="55">
        <f t="shared" si="419"/>
        <v>0</v>
      </c>
      <c r="BA320" s="55">
        <f t="shared" si="419"/>
        <v>0</v>
      </c>
      <c r="BB320" s="55">
        <f t="shared" si="419"/>
        <v>0</v>
      </c>
      <c r="BC320" s="55">
        <f t="shared" si="419"/>
        <v>0</v>
      </c>
      <c r="BD320" s="55">
        <f t="shared" si="419"/>
        <v>0</v>
      </c>
      <c r="BE320" s="55">
        <f t="shared" si="419"/>
        <v>0</v>
      </c>
      <c r="BF320" s="55">
        <f t="shared" si="419"/>
        <v>0</v>
      </c>
      <c r="BG320" s="55">
        <f t="shared" si="419"/>
        <v>0</v>
      </c>
      <c r="BH320" s="55">
        <f t="shared" si="419"/>
        <v>0</v>
      </c>
      <c r="BI320" s="55">
        <f t="shared" si="419"/>
        <v>0</v>
      </c>
      <c r="BJ320" s="55">
        <f t="shared" si="419"/>
        <v>0</v>
      </c>
    </row>
    <row r="321" spans="1:62" x14ac:dyDescent="0.3">
      <c r="A321" s="53" t="str">
        <f t="shared" si="375"/>
        <v>project 181</v>
      </c>
      <c r="C321" s="55">
        <f t="shared" ref="C321:AH321" si="420">IF(AND(C$127&gt;=$K110,C$127&lt;=$L110),$G110*(1+$H110)^(C$127-$B$5),0)</f>
        <v>0</v>
      </c>
      <c r="D321" s="55">
        <f t="shared" si="420"/>
        <v>0.13275571165354239</v>
      </c>
      <c r="E321" s="55">
        <f t="shared" si="420"/>
        <v>0.13468066947251875</v>
      </c>
      <c r="F321" s="55">
        <f t="shared" si="420"/>
        <v>0.13663353917987026</v>
      </c>
      <c r="G321" s="55">
        <f t="shared" si="420"/>
        <v>0.1386147254979784</v>
      </c>
      <c r="H321" s="55">
        <f t="shared" si="420"/>
        <v>0.14062463901769909</v>
      </c>
      <c r="I321" s="55">
        <f t="shared" si="420"/>
        <v>0.14266369628345574</v>
      </c>
      <c r="J321" s="55">
        <f t="shared" si="420"/>
        <v>0.14473231987956583</v>
      </c>
      <c r="K321" s="55">
        <f t="shared" si="420"/>
        <v>0.14683093851781956</v>
      </c>
      <c r="L321" s="55">
        <f t="shared" si="420"/>
        <v>0.14895998712632794</v>
      </c>
      <c r="M321" s="55">
        <f t="shared" si="420"/>
        <v>0.15111990693965968</v>
      </c>
      <c r="N321" s="55">
        <f t="shared" si="420"/>
        <v>0.15331114559028475</v>
      </c>
      <c r="O321" s="55">
        <f t="shared" si="420"/>
        <v>0.15553415720134392</v>
      </c>
      <c r="P321" s="55">
        <f t="shared" si="420"/>
        <v>0.1577894024807634</v>
      </c>
      <c r="Q321" s="55">
        <f t="shared" si="420"/>
        <v>0.16007734881673447</v>
      </c>
      <c r="R321" s="55">
        <f t="shared" si="420"/>
        <v>0.16239847037457708</v>
      </c>
      <c r="S321" s="55">
        <f t="shared" si="420"/>
        <v>0.1647532481950085</v>
      </c>
      <c r="T321" s="55">
        <f t="shared" si="420"/>
        <v>0.16714217029383613</v>
      </c>
      <c r="U321" s="55">
        <f t="shared" si="420"/>
        <v>0.16956573176309678</v>
      </c>
      <c r="V321" s="55">
        <f t="shared" si="420"/>
        <v>0.17202443487366165</v>
      </c>
      <c r="W321" s="55">
        <f t="shared" si="420"/>
        <v>0.17451878917932978</v>
      </c>
      <c r="X321" s="55">
        <f t="shared" si="420"/>
        <v>0.17704931162243004</v>
      </c>
      <c r="Y321" s="55">
        <f t="shared" si="420"/>
        <v>0.17961652664095529</v>
      </c>
      <c r="Z321" s="55">
        <f t="shared" si="420"/>
        <v>0.18222096627724912</v>
      </c>
      <c r="AA321" s="55">
        <f t="shared" si="420"/>
        <v>0.18486317028826926</v>
      </c>
      <c r="AB321" s="55">
        <f t="shared" si="420"/>
        <v>0.18754368625744916</v>
      </c>
      <c r="AC321" s="55">
        <f t="shared" si="420"/>
        <v>0.19026306970818219</v>
      </c>
      <c r="AD321" s="55">
        <f t="shared" si="420"/>
        <v>0.19302188421895081</v>
      </c>
      <c r="AE321" s="55">
        <f t="shared" si="420"/>
        <v>0.19582070154012565</v>
      </c>
      <c r="AF321" s="55">
        <f t="shared" si="420"/>
        <v>0.19866010171245746</v>
      </c>
      <c r="AG321" s="55">
        <f t="shared" si="420"/>
        <v>0.20154067318728811</v>
      </c>
      <c r="AH321" s="55">
        <f t="shared" si="420"/>
        <v>0.20446301294850375</v>
      </c>
      <c r="AI321" s="55">
        <f t="shared" ref="AI321:BJ321" si="421">IF(AND(AI$127&gt;=$K110,AI$127&lt;=$L110),$G110*(1+$H110)^(AI$127-$B$5),0)</f>
        <v>0.20742772663625711</v>
      </c>
      <c r="AJ321" s="55">
        <f t="shared" si="421"/>
        <v>0.21043542867248283</v>
      </c>
      <c r="AK321" s="55">
        <f t="shared" si="421"/>
        <v>0.21348674238823384</v>
      </c>
      <c r="AL321" s="55">
        <f t="shared" si="421"/>
        <v>0.2165823001528632</v>
      </c>
      <c r="AM321" s="55">
        <f t="shared" si="421"/>
        <v>0.21972274350507978</v>
      </c>
      <c r="AN321" s="55">
        <f t="shared" si="421"/>
        <v>0.22290872328590339</v>
      </c>
      <c r="AO321" s="55">
        <f t="shared" si="421"/>
        <v>0.22614089977354901</v>
      </c>
      <c r="AP321" s="55">
        <f t="shared" si="421"/>
        <v>0.22941994282026548</v>
      </c>
      <c r="AQ321" s="55">
        <f t="shared" si="421"/>
        <v>0.23274653199115936</v>
      </c>
      <c r="AR321" s="55">
        <f t="shared" si="421"/>
        <v>0</v>
      </c>
      <c r="AS321" s="55">
        <f t="shared" si="421"/>
        <v>0</v>
      </c>
      <c r="AT321" s="55">
        <f t="shared" si="421"/>
        <v>0</v>
      </c>
      <c r="AU321" s="55">
        <f t="shared" si="421"/>
        <v>0</v>
      </c>
      <c r="AV321" s="55">
        <f t="shared" si="421"/>
        <v>0</v>
      </c>
      <c r="AW321" s="55">
        <f t="shared" si="421"/>
        <v>0</v>
      </c>
      <c r="AX321" s="55">
        <f t="shared" si="421"/>
        <v>0</v>
      </c>
      <c r="AY321" s="55">
        <f t="shared" si="421"/>
        <v>0</v>
      </c>
      <c r="AZ321" s="55">
        <f t="shared" si="421"/>
        <v>0</v>
      </c>
      <c r="BA321" s="55">
        <f t="shared" si="421"/>
        <v>0</v>
      </c>
      <c r="BB321" s="55">
        <f t="shared" si="421"/>
        <v>0</v>
      </c>
      <c r="BC321" s="55">
        <f t="shared" si="421"/>
        <v>0</v>
      </c>
      <c r="BD321" s="55">
        <f t="shared" si="421"/>
        <v>0</v>
      </c>
      <c r="BE321" s="55">
        <f t="shared" si="421"/>
        <v>0</v>
      </c>
      <c r="BF321" s="55">
        <f t="shared" si="421"/>
        <v>0</v>
      </c>
      <c r="BG321" s="55">
        <f t="shared" si="421"/>
        <v>0</v>
      </c>
      <c r="BH321" s="55">
        <f t="shared" si="421"/>
        <v>0</v>
      </c>
      <c r="BI321" s="55">
        <f t="shared" si="421"/>
        <v>0</v>
      </c>
      <c r="BJ321" s="55">
        <f t="shared" si="421"/>
        <v>0</v>
      </c>
    </row>
    <row r="322" spans="1:62" x14ac:dyDescent="0.3">
      <c r="A322" s="53" t="str">
        <f t="shared" si="375"/>
        <v>project 182</v>
      </c>
      <c r="C322" s="55">
        <f t="shared" ref="C322:AH322" si="422">IF(AND(C$127&gt;=$K111,C$127&lt;=$L111),$G111*(1+$H111)^(C$127-$B$5),0)</f>
        <v>0</v>
      </c>
      <c r="D322" s="55">
        <f t="shared" si="422"/>
        <v>0</v>
      </c>
      <c r="E322" s="55">
        <f t="shared" si="422"/>
        <v>0</v>
      </c>
      <c r="F322" s="55">
        <f t="shared" si="422"/>
        <v>0</v>
      </c>
      <c r="G322" s="55">
        <f t="shared" si="422"/>
        <v>0</v>
      </c>
      <c r="H322" s="55">
        <f t="shared" si="422"/>
        <v>0</v>
      </c>
      <c r="I322" s="55">
        <f t="shared" si="422"/>
        <v>0</v>
      </c>
      <c r="J322" s="55">
        <f t="shared" si="422"/>
        <v>0</v>
      </c>
      <c r="K322" s="55">
        <f t="shared" si="422"/>
        <v>0</v>
      </c>
      <c r="L322" s="55">
        <f t="shared" si="422"/>
        <v>0</v>
      </c>
      <c r="M322" s="55">
        <f t="shared" si="422"/>
        <v>0</v>
      </c>
      <c r="N322" s="55">
        <f t="shared" si="422"/>
        <v>0.15238314541992307</v>
      </c>
      <c r="O322" s="55">
        <f t="shared" si="422"/>
        <v>0.15494318226297779</v>
      </c>
      <c r="P322" s="55">
        <f t="shared" si="422"/>
        <v>0.1575462277249958</v>
      </c>
      <c r="Q322" s="55">
        <f t="shared" si="422"/>
        <v>0.16019300435077571</v>
      </c>
      <c r="R322" s="55">
        <f t="shared" si="422"/>
        <v>0.16288424682386871</v>
      </c>
      <c r="S322" s="55">
        <f t="shared" si="422"/>
        <v>0.16562070217050973</v>
      </c>
      <c r="T322" s="55">
        <f t="shared" si="422"/>
        <v>0.16840312996697426</v>
      </c>
      <c r="U322" s="55">
        <f t="shared" si="422"/>
        <v>0.17123230255041944</v>
      </c>
      <c r="V322" s="55">
        <f t="shared" si="422"/>
        <v>0.17410900523326645</v>
      </c>
      <c r="W322" s="55">
        <f t="shared" si="422"/>
        <v>0.17703403652118532</v>
      </c>
      <c r="X322" s="55">
        <f t="shared" si="422"/>
        <v>0.18000820833474124</v>
      </c>
      <c r="Y322" s="55">
        <f t="shared" si="422"/>
        <v>0.18303234623476486</v>
      </c>
      <c r="Z322" s="55">
        <f t="shared" si="422"/>
        <v>0.18610728965150891</v>
      </c>
      <c r="AA322" s="55">
        <f t="shared" si="422"/>
        <v>0.18923389211765426</v>
      </c>
      <c r="AB322" s="55">
        <f t="shared" si="422"/>
        <v>0.19241302150523079</v>
      </c>
      <c r="AC322" s="55">
        <f t="shared" si="422"/>
        <v>0.19564556026651869</v>
      </c>
      <c r="AD322" s="55">
        <f t="shared" si="422"/>
        <v>0.19893240567899614</v>
      </c>
      <c r="AE322" s="55">
        <f t="shared" si="422"/>
        <v>0.2022744700944033</v>
      </c>
      <c r="AF322" s="55">
        <f t="shared" si="422"/>
        <v>0.20567268119198928</v>
      </c>
      <c r="AG322" s="55">
        <f t="shared" si="422"/>
        <v>0.20912798223601467</v>
      </c>
      <c r="AH322" s="55">
        <f t="shared" si="422"/>
        <v>0.21264133233757967</v>
      </c>
      <c r="AI322" s="55">
        <f t="shared" ref="AI322:BJ322" si="423">IF(AND(AI$127&gt;=$K111,AI$127&lt;=$L111),$G111*(1+$H111)^(AI$127-$B$5),0)</f>
        <v>0.21621370672085105</v>
      </c>
      <c r="AJ322" s="55">
        <f t="shared" si="423"/>
        <v>0.21984609699376131</v>
      </c>
      <c r="AK322" s="55">
        <f t="shared" si="423"/>
        <v>0.22353951142325648</v>
      </c>
      <c r="AL322" s="55">
        <f t="shared" si="423"/>
        <v>0.22729497521516717</v>
      </c>
      <c r="AM322" s="55">
        <f t="shared" si="423"/>
        <v>0.23111353079878197</v>
      </c>
      <c r="AN322" s="55">
        <f t="shared" si="423"/>
        <v>0.23499623811620152</v>
      </c>
      <c r="AO322" s="55">
        <f t="shared" si="423"/>
        <v>0.23894417491655368</v>
      </c>
      <c r="AP322" s="55">
        <f t="shared" si="423"/>
        <v>0.24295843705515174</v>
      </c>
      <c r="AQ322" s="55">
        <f t="shared" si="423"/>
        <v>0.24704013879767828</v>
      </c>
      <c r="AR322" s="55">
        <f t="shared" si="423"/>
        <v>0.25119041312947926</v>
      </c>
      <c r="AS322" s="55">
        <f t="shared" si="423"/>
        <v>0.25541041207005449</v>
      </c>
      <c r="AT322" s="55">
        <f t="shared" si="423"/>
        <v>0.25970130699283139</v>
      </c>
      <c r="AU322" s="55">
        <f t="shared" si="423"/>
        <v>0.26406428895031098</v>
      </c>
      <c r="AV322" s="55">
        <f t="shared" si="423"/>
        <v>0.26850056900467612</v>
      </c>
      <c r="AW322" s="55">
        <f t="shared" si="423"/>
        <v>0.27301137856395469</v>
      </c>
      <c r="AX322" s="55">
        <f t="shared" si="423"/>
        <v>0.27759796972382911</v>
      </c>
      <c r="AY322" s="55">
        <f t="shared" si="423"/>
        <v>0.28226161561518948</v>
      </c>
      <c r="AZ322" s="55">
        <f t="shared" si="423"/>
        <v>0.28700361075752456</v>
      </c>
      <c r="BA322" s="55">
        <f t="shared" si="423"/>
        <v>0.29182527141825099</v>
      </c>
      <c r="BB322" s="55">
        <f t="shared" si="423"/>
        <v>0</v>
      </c>
      <c r="BC322" s="55">
        <f t="shared" si="423"/>
        <v>0</v>
      </c>
      <c r="BD322" s="55">
        <f t="shared" si="423"/>
        <v>0</v>
      </c>
      <c r="BE322" s="55">
        <f t="shared" si="423"/>
        <v>0</v>
      </c>
      <c r="BF322" s="55">
        <f t="shared" si="423"/>
        <v>0</v>
      </c>
      <c r="BG322" s="55">
        <f t="shared" si="423"/>
        <v>0</v>
      </c>
      <c r="BH322" s="55">
        <f t="shared" si="423"/>
        <v>0</v>
      </c>
      <c r="BI322" s="55">
        <f t="shared" si="423"/>
        <v>0</v>
      </c>
      <c r="BJ322" s="55">
        <f t="shared" si="423"/>
        <v>0</v>
      </c>
    </row>
    <row r="323" spans="1:62" x14ac:dyDescent="0.3">
      <c r="A323" s="53" t="str">
        <f t="shared" si="375"/>
        <v>project 184</v>
      </c>
      <c r="C323" s="55">
        <f t="shared" ref="C323:AH323" si="424">IF(AND(C$127&gt;=$K112,C$127&lt;=$L112),$G112*(1+$H112)^(C$127-$B$5),0)</f>
        <v>0</v>
      </c>
      <c r="D323" s="55">
        <f t="shared" si="424"/>
        <v>0</v>
      </c>
      <c r="E323" s="55">
        <f t="shared" si="424"/>
        <v>0</v>
      </c>
      <c r="F323" s="55">
        <f t="shared" si="424"/>
        <v>0</v>
      </c>
      <c r="G323" s="55">
        <f t="shared" si="424"/>
        <v>0</v>
      </c>
      <c r="H323" s="55">
        <f t="shared" si="424"/>
        <v>0</v>
      </c>
      <c r="I323" s="55">
        <f t="shared" si="424"/>
        <v>0</v>
      </c>
      <c r="J323" s="55">
        <f t="shared" si="424"/>
        <v>0</v>
      </c>
      <c r="K323" s="55">
        <f t="shared" si="424"/>
        <v>0</v>
      </c>
      <c r="L323" s="55">
        <f t="shared" si="424"/>
        <v>0</v>
      </c>
      <c r="M323" s="55">
        <f t="shared" si="424"/>
        <v>0</v>
      </c>
      <c r="N323" s="55">
        <f t="shared" si="424"/>
        <v>0</v>
      </c>
      <c r="O323" s="55">
        <f t="shared" si="424"/>
        <v>0</v>
      </c>
      <c r="P323" s="55">
        <f t="shared" si="424"/>
        <v>0</v>
      </c>
      <c r="Q323" s="55">
        <f t="shared" si="424"/>
        <v>0</v>
      </c>
      <c r="R323" s="55">
        <f t="shared" si="424"/>
        <v>0</v>
      </c>
      <c r="S323" s="55">
        <f t="shared" si="424"/>
        <v>0</v>
      </c>
      <c r="T323" s="55">
        <f t="shared" si="424"/>
        <v>0</v>
      </c>
      <c r="U323" s="55">
        <f t="shared" si="424"/>
        <v>0</v>
      </c>
      <c r="V323" s="55">
        <f t="shared" si="424"/>
        <v>0</v>
      </c>
      <c r="W323" s="55">
        <f t="shared" si="424"/>
        <v>0.41897954814090138</v>
      </c>
      <c r="X323" s="55">
        <f t="shared" si="424"/>
        <v>0.42811330229037309</v>
      </c>
      <c r="Y323" s="55">
        <f t="shared" si="424"/>
        <v>0.43744617228030325</v>
      </c>
      <c r="Z323" s="55">
        <f t="shared" si="424"/>
        <v>0.44698249883601388</v>
      </c>
      <c r="AA323" s="55">
        <f t="shared" si="424"/>
        <v>0.45672671731063902</v>
      </c>
      <c r="AB323" s="55">
        <f t="shared" si="424"/>
        <v>0.46668335974801095</v>
      </c>
      <c r="AC323" s="55">
        <f t="shared" si="424"/>
        <v>0.47685705699051767</v>
      </c>
      <c r="AD323" s="55">
        <f t="shared" si="424"/>
        <v>0.48725254083291097</v>
      </c>
      <c r="AE323" s="55">
        <f t="shared" si="424"/>
        <v>0.49787464622306848</v>
      </c>
      <c r="AF323" s="55">
        <f t="shared" si="424"/>
        <v>0.50872831351073144</v>
      </c>
      <c r="AG323" s="55">
        <f t="shared" si="424"/>
        <v>0.51981859074526549</v>
      </c>
      <c r="AH323" s="55">
        <f t="shared" si="424"/>
        <v>0.5311506360235122</v>
      </c>
      <c r="AI323" s="55">
        <f t="shared" ref="AI323:BJ323" si="425">IF(AND(AI$127&gt;=$K112,AI$127&lt;=$L112),$G112*(1+$H112)^(AI$127-$B$5),0)</f>
        <v>0.5427297198888249</v>
      </c>
      <c r="AJ323" s="55">
        <f t="shared" si="425"/>
        <v>0.55456122778240136</v>
      </c>
      <c r="AK323" s="55">
        <f t="shared" si="425"/>
        <v>0.56665066254805774</v>
      </c>
      <c r="AL323" s="55">
        <f t="shared" si="425"/>
        <v>0.57900364699160545</v>
      </c>
      <c r="AM323" s="55">
        <f t="shared" si="425"/>
        <v>0.59162592649602253</v>
      </c>
      <c r="AN323" s="55">
        <f t="shared" si="425"/>
        <v>0.60452337169363579</v>
      </c>
      <c r="AO323" s="55">
        <f t="shared" si="425"/>
        <v>0.61770198119655728</v>
      </c>
      <c r="AP323" s="55">
        <f t="shared" si="425"/>
        <v>0.63116788438664218</v>
      </c>
      <c r="AQ323" s="55">
        <f t="shared" si="425"/>
        <v>0.64492734426627107</v>
      </c>
      <c r="AR323" s="55">
        <f t="shared" si="425"/>
        <v>0.65898676037127568</v>
      </c>
      <c r="AS323" s="55">
        <f t="shared" si="425"/>
        <v>0.67335267174736968</v>
      </c>
      <c r="AT323" s="55">
        <f t="shared" si="425"/>
        <v>0.68803175999146238</v>
      </c>
      <c r="AU323" s="55">
        <f t="shared" si="425"/>
        <v>0.7030308523592762</v>
      </c>
      <c r="AV323" s="55">
        <f t="shared" si="425"/>
        <v>0.71835692494070869</v>
      </c>
      <c r="AW323" s="55">
        <f t="shared" si="425"/>
        <v>0.73401710590441616</v>
      </c>
      <c r="AX323" s="55">
        <f t="shared" si="425"/>
        <v>0.75001867881313256</v>
      </c>
      <c r="AY323" s="55">
        <f t="shared" si="425"/>
        <v>0.76636908601125886</v>
      </c>
      <c r="AZ323" s="55">
        <f t="shared" si="425"/>
        <v>0.78307593208630444</v>
      </c>
      <c r="BA323" s="55">
        <f t="shared" si="425"/>
        <v>0.80014698740578583</v>
      </c>
      <c r="BB323" s="55">
        <f t="shared" si="425"/>
        <v>0.81759019173123204</v>
      </c>
      <c r="BC323" s="55">
        <f t="shared" si="425"/>
        <v>0.835413657910973</v>
      </c>
      <c r="BD323" s="55">
        <f t="shared" si="425"/>
        <v>0.85362567565343228</v>
      </c>
      <c r="BE323" s="55">
        <f t="shared" si="425"/>
        <v>0.87223471538267716</v>
      </c>
      <c r="BF323" s="55">
        <f t="shared" si="425"/>
        <v>0.89124943217801955</v>
      </c>
      <c r="BG323" s="55">
        <f t="shared" si="425"/>
        <v>0.91067866979950052</v>
      </c>
      <c r="BH323" s="55">
        <f t="shared" si="425"/>
        <v>0.93053146480112958</v>
      </c>
      <c r="BI323" s="55">
        <f t="shared" si="425"/>
        <v>0.9508170507337943</v>
      </c>
      <c r="BJ323" s="55">
        <f t="shared" si="425"/>
        <v>0.97154486243979121</v>
      </c>
    </row>
    <row r="324" spans="1:62" x14ac:dyDescent="0.3">
      <c r="A324" s="53" t="str">
        <f t="shared" si="375"/>
        <v>project 186</v>
      </c>
      <c r="C324" s="55">
        <f t="shared" ref="C324:AH324" si="426">IF(AND(C$127&gt;=$K113,C$127&lt;=$L113),$G113*(1+$H113)^(C$127-$B$5),0)</f>
        <v>0</v>
      </c>
      <c r="D324" s="55">
        <f t="shared" si="426"/>
        <v>0</v>
      </c>
      <c r="E324" s="55">
        <f t="shared" si="426"/>
        <v>0</v>
      </c>
      <c r="F324" s="55">
        <f t="shared" si="426"/>
        <v>0</v>
      </c>
      <c r="G324" s="55">
        <f t="shared" si="426"/>
        <v>0</v>
      </c>
      <c r="H324" s="55">
        <f t="shared" si="426"/>
        <v>0</v>
      </c>
      <c r="I324" s="55">
        <f t="shared" si="426"/>
        <v>0</v>
      </c>
      <c r="J324" s="55">
        <f t="shared" si="426"/>
        <v>0</v>
      </c>
      <c r="K324" s="55">
        <f t="shared" si="426"/>
        <v>7.1746627117608694E-2</v>
      </c>
      <c r="L324" s="55">
        <f t="shared" si="426"/>
        <v>7.279412787352578E-2</v>
      </c>
      <c r="M324" s="55">
        <f t="shared" si="426"/>
        <v>7.3856922140479245E-2</v>
      </c>
      <c r="N324" s="55">
        <f t="shared" si="426"/>
        <v>7.4935233203730245E-2</v>
      </c>
      <c r="O324" s="55">
        <f t="shared" si="426"/>
        <v>7.6029287608504692E-2</v>
      </c>
      <c r="P324" s="55">
        <f t="shared" si="426"/>
        <v>7.7139315207588863E-2</v>
      </c>
      <c r="Q324" s="55">
        <f t="shared" si="426"/>
        <v>7.8265549209619659E-2</v>
      </c>
      <c r="R324" s="55">
        <f t="shared" si="426"/>
        <v>7.9408226228080095E-2</v>
      </c>
      <c r="S324" s="55">
        <f t="shared" si="426"/>
        <v>8.0567586331010063E-2</v>
      </c>
      <c r="T324" s="55">
        <f t="shared" si="426"/>
        <v>8.1743873091442792E-2</v>
      </c>
      <c r="U324" s="55">
        <f t="shared" si="426"/>
        <v>8.2937333638577859E-2</v>
      </c>
      <c r="V324" s="55">
        <f t="shared" si="426"/>
        <v>8.4148218709701073E-2</v>
      </c>
      <c r="W324" s="55">
        <f t="shared" si="426"/>
        <v>8.5376782702862711E-2</v>
      </c>
      <c r="X324" s="55">
        <f t="shared" si="426"/>
        <v>8.6623283730324505E-2</v>
      </c>
      <c r="Y324" s="55">
        <f t="shared" si="426"/>
        <v>8.7887983672787232E-2</v>
      </c>
      <c r="Z324" s="55">
        <f t="shared" si="426"/>
        <v>8.9171148234409914E-2</v>
      </c>
      <c r="AA324" s="55">
        <f t="shared" si="426"/>
        <v>9.0473046998632303E-2</v>
      </c>
      <c r="AB324" s="55">
        <f t="shared" si="426"/>
        <v>9.1793953484812313E-2</v>
      </c>
      <c r="AC324" s="55">
        <f t="shared" si="426"/>
        <v>9.3134145205690577E-2</v>
      </c>
      <c r="AD324" s="55">
        <f t="shared" si="426"/>
        <v>9.4493903725693648E-2</v>
      </c>
      <c r="AE324" s="55">
        <f t="shared" si="426"/>
        <v>9.5873514720088759E-2</v>
      </c>
      <c r="AF324" s="55">
        <f t="shared" si="426"/>
        <v>9.7273268035002053E-2</v>
      </c>
      <c r="AG324" s="55">
        <f t="shared" si="426"/>
        <v>9.8693457748313076E-2</v>
      </c>
      <c r="AH324" s="55">
        <f t="shared" si="426"/>
        <v>0.10013438223143843</v>
      </c>
      <c r="AI324" s="55">
        <f t="shared" ref="AI324:BJ324" si="427">IF(AND(AI$127&gt;=$K113,AI$127&lt;=$L113),$G113*(1+$H113)^(AI$127-$B$5),0)</f>
        <v>0.10159634421201744</v>
      </c>
      <c r="AJ324" s="55">
        <f t="shared" si="427"/>
        <v>0.10307965083751289</v>
      </c>
      <c r="AK324" s="55">
        <f t="shared" si="427"/>
        <v>0.10458461373974057</v>
      </c>
      <c r="AL324" s="55">
        <f t="shared" si="427"/>
        <v>0.10611154910034076</v>
      </c>
      <c r="AM324" s="55">
        <f t="shared" si="427"/>
        <v>0.10766077771720574</v>
      </c>
      <c r="AN324" s="55">
        <f t="shared" si="427"/>
        <v>0.10923262507187692</v>
      </c>
      <c r="AO324" s="55">
        <f t="shared" si="427"/>
        <v>0.11082742139792631</v>
      </c>
      <c r="AP324" s="55">
        <f t="shared" si="427"/>
        <v>0.11244550175033603</v>
      </c>
      <c r="AQ324" s="55">
        <f t="shared" si="427"/>
        <v>0.11408720607589093</v>
      </c>
      <c r="AR324" s="55">
        <f t="shared" si="427"/>
        <v>0.11575287928459892</v>
      </c>
      <c r="AS324" s="55">
        <f t="shared" si="427"/>
        <v>0.11744287132215406</v>
      </c>
      <c r="AT324" s="55">
        <f t="shared" si="427"/>
        <v>0.1191575372434575</v>
      </c>
      <c r="AU324" s="55">
        <f t="shared" si="427"/>
        <v>0.12089723728721197</v>
      </c>
      <c r="AV324" s="55">
        <f t="shared" si="427"/>
        <v>0.12266233695160526</v>
      </c>
      <c r="AW324" s="55">
        <f t="shared" si="427"/>
        <v>0.12445320707109868</v>
      </c>
      <c r="AX324" s="55">
        <f t="shared" si="427"/>
        <v>0.1262702238943367</v>
      </c>
      <c r="AY324" s="55">
        <f t="shared" si="427"/>
        <v>0</v>
      </c>
      <c r="AZ324" s="55">
        <f t="shared" si="427"/>
        <v>0</v>
      </c>
      <c r="BA324" s="55">
        <f t="shared" si="427"/>
        <v>0</v>
      </c>
      <c r="BB324" s="55">
        <f t="shared" si="427"/>
        <v>0</v>
      </c>
      <c r="BC324" s="55">
        <f t="shared" si="427"/>
        <v>0</v>
      </c>
      <c r="BD324" s="55">
        <f t="shared" si="427"/>
        <v>0</v>
      </c>
      <c r="BE324" s="55">
        <f t="shared" si="427"/>
        <v>0</v>
      </c>
      <c r="BF324" s="55">
        <f t="shared" si="427"/>
        <v>0</v>
      </c>
      <c r="BG324" s="55">
        <f t="shared" si="427"/>
        <v>0</v>
      </c>
      <c r="BH324" s="55">
        <f t="shared" si="427"/>
        <v>0</v>
      </c>
      <c r="BI324" s="55">
        <f t="shared" si="427"/>
        <v>0</v>
      </c>
      <c r="BJ324" s="55">
        <f t="shared" si="427"/>
        <v>0</v>
      </c>
    </row>
    <row r="325" spans="1:62" x14ac:dyDescent="0.3">
      <c r="A325" s="53" t="str">
        <f t="shared" si="375"/>
        <v>project 188</v>
      </c>
      <c r="C325" s="55">
        <f t="shared" ref="C325:AH325" si="428">IF(AND(C$127&gt;=$K114,C$127&lt;=$L114),$G114*(1+$H114)^(C$127-$B$5),0)</f>
        <v>0</v>
      </c>
      <c r="D325" s="55">
        <f t="shared" si="428"/>
        <v>0</v>
      </c>
      <c r="E325" s="55">
        <f t="shared" si="428"/>
        <v>0</v>
      </c>
      <c r="F325" s="55">
        <f t="shared" si="428"/>
        <v>0</v>
      </c>
      <c r="G325" s="55">
        <f t="shared" si="428"/>
        <v>0</v>
      </c>
      <c r="H325" s="55">
        <f t="shared" si="428"/>
        <v>7.1136047807188227E-2</v>
      </c>
      <c r="I325" s="55">
        <f t="shared" si="428"/>
        <v>7.2160406895611748E-2</v>
      </c>
      <c r="J325" s="55">
        <f t="shared" si="428"/>
        <v>7.3199516754908572E-2</v>
      </c>
      <c r="K325" s="55">
        <f t="shared" si="428"/>
        <v>7.4253589796179256E-2</v>
      </c>
      <c r="L325" s="55">
        <f t="shared" si="428"/>
        <v>7.532284148924423E-2</v>
      </c>
      <c r="M325" s="55">
        <f t="shared" si="428"/>
        <v>7.6407490406689357E-2</v>
      </c>
      <c r="N325" s="55">
        <f t="shared" si="428"/>
        <v>7.7507758268545682E-2</v>
      </c>
      <c r="O325" s="55">
        <f t="shared" si="428"/>
        <v>7.8623869987612754E-2</v>
      </c>
      <c r="P325" s="55">
        <f t="shared" si="428"/>
        <v>7.9756053715434372E-2</v>
      </c>
      <c r="Q325" s="55">
        <f t="shared" si="428"/>
        <v>8.090454088893663E-2</v>
      </c>
      <c r="R325" s="55">
        <f t="shared" si="428"/>
        <v>8.2069566277737316E-2</v>
      </c>
      <c r="S325" s="55">
        <f t="shared" si="428"/>
        <v>8.3251368032136744E-2</v>
      </c>
      <c r="T325" s="55">
        <f t="shared" si="428"/>
        <v>8.445018773179952E-2</v>
      </c>
      <c r="U325" s="55">
        <f t="shared" si="428"/>
        <v>8.5666270435137443E-2</v>
      </c>
      <c r="V325" s="55">
        <f t="shared" si="428"/>
        <v>8.689986472940342E-2</v>
      </c>
      <c r="W325" s="55">
        <f t="shared" si="428"/>
        <v>8.8151222781506819E-2</v>
      </c>
      <c r="X325" s="55">
        <f t="shared" si="428"/>
        <v>8.9420600389560526E-2</v>
      </c>
      <c r="Y325" s="55">
        <f t="shared" si="428"/>
        <v>9.0708257035170201E-2</v>
      </c>
      <c r="Z325" s="55">
        <f t="shared" si="428"/>
        <v>9.2014455936476669E-2</v>
      </c>
      <c r="AA325" s="55">
        <f t="shared" si="428"/>
        <v>9.3339464101961936E-2</v>
      </c>
      <c r="AB325" s="55">
        <f t="shared" si="428"/>
        <v>9.4683552385030179E-2</v>
      </c>
      <c r="AC325" s="55">
        <f t="shared" si="428"/>
        <v>9.6046995539374638E-2</v>
      </c>
      <c r="AD325" s="55">
        <f t="shared" si="428"/>
        <v>9.743007227514161E-2</v>
      </c>
      <c r="AE325" s="55">
        <f t="shared" si="428"/>
        <v>9.8833065315903662E-2</v>
      </c>
      <c r="AF325" s="55">
        <f t="shared" si="428"/>
        <v>0.10025626145645268</v>
      </c>
      <c r="AG325" s="55">
        <f t="shared" si="428"/>
        <v>0.10169995162142559</v>
      </c>
      <c r="AH325" s="55">
        <f t="shared" si="428"/>
        <v>0.10316443092477413</v>
      </c>
      <c r="AI325" s="55">
        <f t="shared" ref="AI325:BJ325" si="429">IF(AND(AI$127&gt;=$K114,AI$127&lt;=$L114),$G114*(1+$H114)^(AI$127-$B$5),0)</f>
        <v>0.1046499987300909</v>
      </c>
      <c r="AJ325" s="55">
        <f t="shared" si="429"/>
        <v>0.10615695871180419</v>
      </c>
      <c r="AK325" s="55">
        <f t="shared" si="429"/>
        <v>0.10768561891725419</v>
      </c>
      <c r="AL325" s="55">
        <f t="shared" si="429"/>
        <v>0.10923629182966264</v>
      </c>
      <c r="AM325" s="55">
        <f t="shared" si="429"/>
        <v>0.11080929443200981</v>
      </c>
      <c r="AN325" s="55">
        <f t="shared" si="429"/>
        <v>0.11240494827183073</v>
      </c>
      <c r="AO325" s="55">
        <f t="shared" si="429"/>
        <v>0.11402357952694511</v>
      </c>
      <c r="AP325" s="55">
        <f t="shared" si="429"/>
        <v>0.11566551907213313</v>
      </c>
      <c r="AQ325" s="55">
        <f t="shared" si="429"/>
        <v>0.11733110254677186</v>
      </c>
      <c r="AR325" s="55">
        <f t="shared" si="429"/>
        <v>0.11902067042344536</v>
      </c>
      <c r="AS325" s="55">
        <f t="shared" si="429"/>
        <v>0.120734568077543</v>
      </c>
      <c r="AT325" s="55">
        <f t="shared" si="429"/>
        <v>0.12247314585785959</v>
      </c>
      <c r="AU325" s="55">
        <f t="shared" si="429"/>
        <v>0.12423675915821279</v>
      </c>
      <c r="AV325" s="55">
        <f t="shared" si="429"/>
        <v>0</v>
      </c>
      <c r="AW325" s="55">
        <f t="shared" si="429"/>
        <v>0</v>
      </c>
      <c r="AX325" s="55">
        <f t="shared" si="429"/>
        <v>0</v>
      </c>
      <c r="AY325" s="55">
        <f t="shared" si="429"/>
        <v>0</v>
      </c>
      <c r="AZ325" s="55">
        <f t="shared" si="429"/>
        <v>0</v>
      </c>
      <c r="BA325" s="55">
        <f t="shared" si="429"/>
        <v>0</v>
      </c>
      <c r="BB325" s="55">
        <f t="shared" si="429"/>
        <v>0</v>
      </c>
      <c r="BC325" s="55">
        <f t="shared" si="429"/>
        <v>0</v>
      </c>
      <c r="BD325" s="55">
        <f t="shared" si="429"/>
        <v>0</v>
      </c>
      <c r="BE325" s="55">
        <f t="shared" si="429"/>
        <v>0</v>
      </c>
      <c r="BF325" s="55">
        <f t="shared" si="429"/>
        <v>0</v>
      </c>
      <c r="BG325" s="55">
        <f t="shared" si="429"/>
        <v>0</v>
      </c>
      <c r="BH325" s="55">
        <f t="shared" si="429"/>
        <v>0</v>
      </c>
      <c r="BI325" s="55">
        <f t="shared" si="429"/>
        <v>0</v>
      </c>
      <c r="BJ325" s="55">
        <f t="shared" si="429"/>
        <v>0</v>
      </c>
    </row>
    <row r="326" spans="1:62" x14ac:dyDescent="0.3">
      <c r="A326" s="53" t="str">
        <f t="shared" si="375"/>
        <v>project 190</v>
      </c>
      <c r="C326" s="55">
        <f t="shared" ref="C326:AH326" si="430">IF(AND(C$127&gt;=$K115,C$127&lt;=$L115),$G115*(1+$H115)^(C$127-$B$5),0)</f>
        <v>0</v>
      </c>
      <c r="D326" s="55">
        <f t="shared" si="430"/>
        <v>5.8495128460587943E-2</v>
      </c>
      <c r="E326" s="55">
        <f t="shared" si="430"/>
        <v>5.916197292503865E-2</v>
      </c>
      <c r="F326" s="55">
        <f t="shared" si="430"/>
        <v>5.9836419416384089E-2</v>
      </c>
      <c r="G326" s="55">
        <f t="shared" si="430"/>
        <v>6.0518554597730881E-2</v>
      </c>
      <c r="H326" s="55">
        <f t="shared" si="430"/>
        <v>6.1208466120145015E-2</v>
      </c>
      <c r="I326" s="55">
        <f t="shared" si="430"/>
        <v>6.1906242633914678E-2</v>
      </c>
      <c r="J326" s="55">
        <f t="shared" si="430"/>
        <v>6.2611973799941295E-2</v>
      </c>
      <c r="K326" s="55">
        <f t="shared" si="430"/>
        <v>6.3325750301260642E-2</v>
      </c>
      <c r="L326" s="55">
        <f t="shared" si="430"/>
        <v>6.4047663854695014E-2</v>
      </c>
      <c r="M326" s="55">
        <f t="shared" si="430"/>
        <v>6.4777807222638553E-2</v>
      </c>
      <c r="N326" s="55">
        <f t="shared" si="430"/>
        <v>6.551627422497662E-2</v>
      </c>
      <c r="O326" s="55">
        <f t="shared" si="430"/>
        <v>6.6263159751141359E-2</v>
      </c>
      <c r="P326" s="55">
        <f t="shared" si="430"/>
        <v>6.7018559772304379E-2</v>
      </c>
      <c r="Q326" s="55">
        <f t="shared" si="430"/>
        <v>6.7782571353708659E-2</v>
      </c>
      <c r="R326" s="55">
        <f t="shared" si="430"/>
        <v>6.855529266714093E-2</v>
      </c>
      <c r="S326" s="55">
        <f t="shared" si="430"/>
        <v>6.933682300354635E-2</v>
      </c>
      <c r="T326" s="55">
        <f t="shared" si="430"/>
        <v>7.0127262785786793E-2</v>
      </c>
      <c r="U326" s="55">
        <f t="shared" si="430"/>
        <v>7.0926713581544759E-2</v>
      </c>
      <c r="V326" s="55">
        <f t="shared" si="430"/>
        <v>7.1735278116374368E-2</v>
      </c>
      <c r="W326" s="55">
        <f t="shared" si="430"/>
        <v>7.2553060286901047E-2</v>
      </c>
      <c r="X326" s="55">
        <f t="shared" si="430"/>
        <v>7.3380165174171716E-2</v>
      </c>
      <c r="Y326" s="55">
        <f t="shared" si="430"/>
        <v>7.421669905715729E-2</v>
      </c>
      <c r="Z326" s="55">
        <f t="shared" si="430"/>
        <v>7.5062769426408868E-2</v>
      </c>
      <c r="AA326" s="55">
        <f t="shared" si="430"/>
        <v>7.5918484997869948E-2</v>
      </c>
      <c r="AB326" s="55">
        <f t="shared" si="430"/>
        <v>7.6783955726845668E-2</v>
      </c>
      <c r="AC326" s="55">
        <f t="shared" si="430"/>
        <v>7.7659292822131729E-2</v>
      </c>
      <c r="AD326" s="55">
        <f t="shared" si="430"/>
        <v>7.8544608760304016E-2</v>
      </c>
      <c r="AE326" s="55">
        <f t="shared" si="430"/>
        <v>7.94400173001715E-2</v>
      </c>
      <c r="AF326" s="55">
        <f t="shared" si="430"/>
        <v>8.0345633497393446E-2</v>
      </c>
      <c r="AG326" s="55">
        <f t="shared" si="430"/>
        <v>8.1261573719263763E-2</v>
      </c>
      <c r="AH326" s="55">
        <f t="shared" si="430"/>
        <v>8.2187955659663345E-2</v>
      </c>
      <c r="AI326" s="55">
        <f t="shared" ref="AI326:BJ326" si="431">IF(AND(AI$127&gt;=$K115,AI$127&lt;=$L115),$G115*(1+$H115)^(AI$127-$B$5),0)</f>
        <v>8.3124898354183532E-2</v>
      </c>
      <c r="AJ326" s="55">
        <f t="shared" si="431"/>
        <v>8.4072522195421232E-2</v>
      </c>
      <c r="AK326" s="55">
        <f t="shared" si="431"/>
        <v>8.5030948948449037E-2</v>
      </c>
      <c r="AL326" s="55">
        <f t="shared" si="431"/>
        <v>8.6000301766461354E-2</v>
      </c>
      <c r="AM326" s="55">
        <f t="shared" si="431"/>
        <v>8.6980705206599035E-2</v>
      </c>
      <c r="AN326" s="55">
        <f t="shared" si="431"/>
        <v>8.7972285245954268E-2</v>
      </c>
      <c r="AO326" s="55">
        <f t="shared" si="431"/>
        <v>8.8975169297758158E-2</v>
      </c>
      <c r="AP326" s="55">
        <f t="shared" si="431"/>
        <v>8.9989486227752588E-2</v>
      </c>
      <c r="AQ326" s="55">
        <f t="shared" si="431"/>
        <v>9.1015366370748987E-2</v>
      </c>
      <c r="AR326" s="55">
        <f t="shared" si="431"/>
        <v>0</v>
      </c>
      <c r="AS326" s="55">
        <f t="shared" si="431"/>
        <v>0</v>
      </c>
      <c r="AT326" s="55">
        <f t="shared" si="431"/>
        <v>0</v>
      </c>
      <c r="AU326" s="55">
        <f t="shared" si="431"/>
        <v>0</v>
      </c>
      <c r="AV326" s="55">
        <f t="shared" si="431"/>
        <v>0</v>
      </c>
      <c r="AW326" s="55">
        <f t="shared" si="431"/>
        <v>0</v>
      </c>
      <c r="AX326" s="55">
        <f t="shared" si="431"/>
        <v>0</v>
      </c>
      <c r="AY326" s="55">
        <f t="shared" si="431"/>
        <v>0</v>
      </c>
      <c r="AZ326" s="55">
        <f t="shared" si="431"/>
        <v>0</v>
      </c>
      <c r="BA326" s="55">
        <f t="shared" si="431"/>
        <v>0</v>
      </c>
      <c r="BB326" s="55">
        <f t="shared" si="431"/>
        <v>0</v>
      </c>
      <c r="BC326" s="55">
        <f t="shared" si="431"/>
        <v>0</v>
      </c>
      <c r="BD326" s="55">
        <f t="shared" si="431"/>
        <v>0</v>
      </c>
      <c r="BE326" s="55">
        <f t="shared" si="431"/>
        <v>0</v>
      </c>
      <c r="BF326" s="55">
        <f t="shared" si="431"/>
        <v>0</v>
      </c>
      <c r="BG326" s="55">
        <f t="shared" si="431"/>
        <v>0</v>
      </c>
      <c r="BH326" s="55">
        <f t="shared" si="431"/>
        <v>0</v>
      </c>
      <c r="BI326" s="55">
        <f t="shared" si="431"/>
        <v>0</v>
      </c>
      <c r="BJ326" s="55">
        <f t="shared" si="431"/>
        <v>0</v>
      </c>
    </row>
    <row r="327" spans="1:62" x14ac:dyDescent="0.3">
      <c r="A327" s="53" t="str">
        <f t="shared" si="375"/>
        <v>project 192</v>
      </c>
      <c r="C327" s="55">
        <f t="shared" ref="C327:AH327" si="432">IF(AND(C$127&gt;=$K116,C$127&lt;=$L116),$G116*(1+$H116)^(C$127-$B$5),0)</f>
        <v>0</v>
      </c>
      <c r="D327" s="55">
        <f t="shared" si="432"/>
        <v>0</v>
      </c>
      <c r="E327" s="55">
        <f t="shared" si="432"/>
        <v>0</v>
      </c>
      <c r="F327" s="55">
        <f t="shared" si="432"/>
        <v>0</v>
      </c>
      <c r="G327" s="55">
        <f t="shared" si="432"/>
        <v>0</v>
      </c>
      <c r="H327" s="55">
        <f t="shared" si="432"/>
        <v>0</v>
      </c>
      <c r="I327" s="55">
        <f t="shared" si="432"/>
        <v>0</v>
      </c>
      <c r="J327" s="55">
        <f t="shared" si="432"/>
        <v>0</v>
      </c>
      <c r="K327" s="55">
        <f t="shared" si="432"/>
        <v>0</v>
      </c>
      <c r="L327" s="55">
        <f t="shared" si="432"/>
        <v>0</v>
      </c>
      <c r="M327" s="55">
        <f t="shared" si="432"/>
        <v>0</v>
      </c>
      <c r="N327" s="55">
        <f t="shared" si="432"/>
        <v>0</v>
      </c>
      <c r="O327" s="55">
        <f t="shared" si="432"/>
        <v>0</v>
      </c>
      <c r="P327" s="55">
        <f t="shared" si="432"/>
        <v>0</v>
      </c>
      <c r="Q327" s="55">
        <f t="shared" si="432"/>
        <v>0</v>
      </c>
      <c r="R327" s="55">
        <f t="shared" si="432"/>
        <v>0</v>
      </c>
      <c r="S327" s="55">
        <f t="shared" si="432"/>
        <v>0</v>
      </c>
      <c r="T327" s="55">
        <f t="shared" si="432"/>
        <v>0</v>
      </c>
      <c r="U327" s="55">
        <f t="shared" si="432"/>
        <v>0</v>
      </c>
      <c r="V327" s="55">
        <f t="shared" si="432"/>
        <v>0</v>
      </c>
      <c r="W327" s="55">
        <f t="shared" si="432"/>
        <v>7.3903329485522584E-2</v>
      </c>
      <c r="X327" s="55">
        <f t="shared" si="432"/>
        <v>7.557354473189537E-2</v>
      </c>
      <c r="Y327" s="55">
        <f t="shared" si="432"/>
        <v>7.7281506842836217E-2</v>
      </c>
      <c r="Z327" s="55">
        <f t="shared" si="432"/>
        <v>7.9028068897484316E-2</v>
      </c>
      <c r="AA327" s="55">
        <f t="shared" si="432"/>
        <v>8.0814103254567463E-2</v>
      </c>
      <c r="AB327" s="55">
        <f t="shared" si="432"/>
        <v>8.2640501988120674E-2</v>
      </c>
      <c r="AC327" s="55">
        <f t="shared" si="432"/>
        <v>8.4508177333052215E-2</v>
      </c>
      <c r="AD327" s="55">
        <f t="shared" si="432"/>
        <v>8.6418062140779184E-2</v>
      </c>
      <c r="AE327" s="55">
        <f t="shared" si="432"/>
        <v>8.8371110345160792E-2</v>
      </c>
      <c r="AF327" s="55">
        <f t="shared" si="432"/>
        <v>9.0368297438961423E-2</v>
      </c>
      <c r="AG327" s="55">
        <f t="shared" si="432"/>
        <v>9.2410620961081963E-2</v>
      </c>
      <c r="AH327" s="55">
        <f t="shared" si="432"/>
        <v>9.4499100994802396E-2</v>
      </c>
      <c r="AI327" s="55">
        <f t="shared" ref="AI327:BJ327" si="433">IF(AND(AI$127&gt;=$K116,AI$127&lt;=$L116),$G116*(1+$H116)^(AI$127-$B$5),0)</f>
        <v>9.663478067728494E-2</v>
      </c>
      <c r="AJ327" s="55">
        <f t="shared" si="433"/>
        <v>9.8818726720591582E-2</v>
      </c>
      <c r="AK327" s="55">
        <f t="shared" si="433"/>
        <v>0.10105202994447696</v>
      </c>
      <c r="AL327" s="55">
        <f t="shared" si="433"/>
        <v>0.10333580582122212</v>
      </c>
      <c r="AM327" s="55">
        <f t="shared" si="433"/>
        <v>0.10567119503278175</v>
      </c>
      <c r="AN327" s="55">
        <f t="shared" si="433"/>
        <v>0.10805936404052262</v>
      </c>
      <c r="AO327" s="55">
        <f t="shared" si="433"/>
        <v>0.11050150566783842</v>
      </c>
      <c r="AP327" s="55">
        <f t="shared" si="433"/>
        <v>0.11299883969593158</v>
      </c>
      <c r="AQ327" s="55">
        <f t="shared" si="433"/>
        <v>0.11555261347305962</v>
      </c>
      <c r="AR327" s="55">
        <f t="shared" si="433"/>
        <v>0.11816410253755076</v>
      </c>
      <c r="AS327" s="55">
        <f t="shared" si="433"/>
        <v>0.1208346112548994</v>
      </c>
      <c r="AT327" s="55">
        <f t="shared" si="433"/>
        <v>0.12356547346926014</v>
      </c>
      <c r="AU327" s="55">
        <f t="shared" si="433"/>
        <v>0.12635805316966542</v>
      </c>
      <c r="AV327" s="55">
        <f t="shared" si="433"/>
        <v>0.12921374517129985</v>
      </c>
      <c r="AW327" s="55">
        <f t="shared" si="433"/>
        <v>0.13213397581217126</v>
      </c>
      <c r="AX327" s="55">
        <f t="shared" si="433"/>
        <v>0.1351202036655263</v>
      </c>
      <c r="AY327" s="55">
        <f t="shared" si="433"/>
        <v>0.13817392026836717</v>
      </c>
      <c r="AZ327" s="55">
        <f t="shared" si="433"/>
        <v>0.14129665086643228</v>
      </c>
      <c r="BA327" s="55">
        <f t="shared" si="433"/>
        <v>0.14448995517601365</v>
      </c>
      <c r="BB327" s="55">
        <f t="shared" si="433"/>
        <v>0.14775542816299153</v>
      </c>
      <c r="BC327" s="55">
        <f t="shared" si="433"/>
        <v>0.15109470083947515</v>
      </c>
      <c r="BD327" s="55">
        <f t="shared" si="433"/>
        <v>0.15450944107844727</v>
      </c>
      <c r="BE327" s="55">
        <f t="shared" si="433"/>
        <v>0.1580013544468202</v>
      </c>
      <c r="BF327" s="55">
        <f t="shared" si="433"/>
        <v>0.16157218505731832</v>
      </c>
      <c r="BG327" s="55">
        <f t="shared" si="433"/>
        <v>0.16522371643961373</v>
      </c>
      <c r="BH327" s="55">
        <f t="shared" si="433"/>
        <v>0.16895777243114898</v>
      </c>
      <c r="BI327" s="55">
        <f t="shared" si="433"/>
        <v>0.17277621808809296</v>
      </c>
      <c r="BJ327" s="55">
        <f t="shared" si="433"/>
        <v>0.17668096061688385</v>
      </c>
    </row>
    <row r="328" spans="1:62" x14ac:dyDescent="0.3">
      <c r="A328" s="53" t="str">
        <f t="shared" si="375"/>
        <v>project 193</v>
      </c>
      <c r="C328" s="55">
        <f t="shared" ref="C328:AH328" si="434">IF(AND(C$127&gt;=$K117,C$127&lt;=$L117),$G117*(1+$H117)^(C$127-$B$5),0)</f>
        <v>0</v>
      </c>
      <c r="D328" s="55">
        <f t="shared" si="434"/>
        <v>5.7450855800203524E-2</v>
      </c>
      <c r="E328" s="55">
        <f t="shared" si="434"/>
        <v>5.8289638294886488E-2</v>
      </c>
      <c r="F328" s="55">
        <f t="shared" si="434"/>
        <v>5.9140667013991823E-2</v>
      </c>
      <c r="G328" s="55">
        <f t="shared" si="434"/>
        <v>6.0004120752396105E-2</v>
      </c>
      <c r="H328" s="55">
        <f t="shared" si="434"/>
        <v>6.0880180915381076E-2</v>
      </c>
      <c r="I328" s="55">
        <f t="shared" si="434"/>
        <v>6.1769031556745638E-2</v>
      </c>
      <c r="J328" s="55">
        <f t="shared" si="434"/>
        <v>6.267085941747412E-2</v>
      </c>
      <c r="K328" s="55">
        <f t="shared" si="434"/>
        <v>6.3585853964969241E-2</v>
      </c>
      <c r="L328" s="55">
        <f t="shared" si="434"/>
        <v>6.4514207432857781E-2</v>
      </c>
      <c r="M328" s="55">
        <f t="shared" si="434"/>
        <v>6.5456114861377493E-2</v>
      </c>
      <c r="N328" s="55">
        <f t="shared" si="434"/>
        <v>6.6411774138353599E-2</v>
      </c>
      <c r="O328" s="55">
        <f t="shared" si="434"/>
        <v>6.7381386040773553E-2</v>
      </c>
      <c r="P328" s="55">
        <f t="shared" si="434"/>
        <v>6.8365154276968848E-2</v>
      </c>
      <c r="Q328" s="55">
        <f t="shared" si="434"/>
        <v>6.9363285529412594E-2</v>
      </c>
      <c r="R328" s="55">
        <f t="shared" si="434"/>
        <v>7.0375989498142E-2</v>
      </c>
      <c r="S328" s="55">
        <f t="shared" si="434"/>
        <v>7.1403478944814885E-2</v>
      </c>
      <c r="T328" s="55">
        <f t="shared" si="434"/>
        <v>7.2445969737409174E-2</v>
      </c>
      <c r="U328" s="55">
        <f t="shared" si="434"/>
        <v>7.3503680895575338E-2</v>
      </c>
      <c r="V328" s="55">
        <f t="shared" si="434"/>
        <v>7.4576834636650727E-2</v>
      </c>
      <c r="W328" s="55">
        <f t="shared" si="434"/>
        <v>7.5665656422345823E-2</v>
      </c>
      <c r="X328" s="55">
        <f t="shared" si="434"/>
        <v>7.6770375006112071E-2</v>
      </c>
      <c r="Y328" s="55">
        <f t="shared" si="434"/>
        <v>7.7891222481201297E-2</v>
      </c>
      <c r="Z328" s="55">
        <f t="shared" si="434"/>
        <v>7.9028434329426828E-2</v>
      </c>
      <c r="AA328" s="55">
        <f t="shared" si="434"/>
        <v>8.0182249470636457E-2</v>
      </c>
      <c r="AB328" s="55">
        <f t="shared" si="434"/>
        <v>8.1352910312907742E-2</v>
      </c>
      <c r="AC328" s="55">
        <f t="shared" si="434"/>
        <v>8.2540662803476189E-2</v>
      </c>
      <c r="AD328" s="55">
        <f t="shared" si="434"/>
        <v>8.3745756480406941E-2</v>
      </c>
      <c r="AE328" s="55">
        <f t="shared" si="434"/>
        <v>8.4968444525020864E-2</v>
      </c>
      <c r="AF328" s="55">
        <f t="shared" si="434"/>
        <v>8.6208983815086168E-2</v>
      </c>
      <c r="AG328" s="55">
        <f t="shared" si="434"/>
        <v>8.7467634978786415E-2</v>
      </c>
      <c r="AH328" s="55">
        <f t="shared" si="434"/>
        <v>8.874466244947668E-2</v>
      </c>
      <c r="AI328" s="55">
        <f t="shared" ref="AI328:BJ328" si="435">IF(AND(AI$127&gt;=$K117,AI$127&lt;=$L117),$G117*(1+$H117)^(AI$127-$B$5),0)</f>
        <v>9.0040334521239052E-2</v>
      </c>
      <c r="AJ328" s="55">
        <f t="shared" si="435"/>
        <v>9.135492340524913E-2</v>
      </c>
      <c r="AK328" s="55">
        <f t="shared" si="435"/>
        <v>9.2688705286965753E-2</v>
      </c>
      <c r="AL328" s="55">
        <f t="shared" si="435"/>
        <v>9.4041960384155437E-2</v>
      </c>
      <c r="AM328" s="55">
        <f t="shared" si="435"/>
        <v>9.5414973005764112E-2</v>
      </c>
      <c r="AN328" s="55">
        <f t="shared" si="435"/>
        <v>9.6808031611648263E-2</v>
      </c>
      <c r="AO328" s="55">
        <f t="shared" si="435"/>
        <v>9.8221428873178307E-2</v>
      </c>
      <c r="AP328" s="55">
        <f t="shared" si="435"/>
        <v>9.9655461734726711E-2</v>
      </c>
      <c r="AQ328" s="55">
        <f t="shared" si="435"/>
        <v>0.10111043147605371</v>
      </c>
      <c r="AR328" s="55">
        <f t="shared" si="435"/>
        <v>0</v>
      </c>
      <c r="AS328" s="55">
        <f t="shared" si="435"/>
        <v>0</v>
      </c>
      <c r="AT328" s="55">
        <f t="shared" si="435"/>
        <v>0</v>
      </c>
      <c r="AU328" s="55">
        <f t="shared" si="435"/>
        <v>0</v>
      </c>
      <c r="AV328" s="55">
        <f t="shared" si="435"/>
        <v>0</v>
      </c>
      <c r="AW328" s="55">
        <f t="shared" si="435"/>
        <v>0</v>
      </c>
      <c r="AX328" s="55">
        <f t="shared" si="435"/>
        <v>0</v>
      </c>
      <c r="AY328" s="55">
        <f t="shared" si="435"/>
        <v>0</v>
      </c>
      <c r="AZ328" s="55">
        <f t="shared" si="435"/>
        <v>0</v>
      </c>
      <c r="BA328" s="55">
        <f t="shared" si="435"/>
        <v>0</v>
      </c>
      <c r="BB328" s="55">
        <f t="shared" si="435"/>
        <v>0</v>
      </c>
      <c r="BC328" s="55">
        <f t="shared" si="435"/>
        <v>0</v>
      </c>
      <c r="BD328" s="55">
        <f t="shared" si="435"/>
        <v>0</v>
      </c>
      <c r="BE328" s="55">
        <f t="shared" si="435"/>
        <v>0</v>
      </c>
      <c r="BF328" s="55">
        <f t="shared" si="435"/>
        <v>0</v>
      </c>
      <c r="BG328" s="55">
        <f t="shared" si="435"/>
        <v>0</v>
      </c>
      <c r="BH328" s="55">
        <f t="shared" si="435"/>
        <v>0</v>
      </c>
      <c r="BI328" s="55">
        <f t="shared" si="435"/>
        <v>0</v>
      </c>
      <c r="BJ328" s="55">
        <f t="shared" si="435"/>
        <v>0</v>
      </c>
    </row>
    <row r="329" spans="1:62" x14ac:dyDescent="0.3">
      <c r="A329" s="53" t="str">
        <f t="shared" si="375"/>
        <v>project 195</v>
      </c>
      <c r="C329" s="55">
        <f t="shared" ref="C329:AH329" si="436">IF(AND(C$127&gt;=$K118,C$127&lt;=$L118),$G118*(1+$H118)^(C$127-$B$5),0)</f>
        <v>0</v>
      </c>
      <c r="D329" s="55">
        <f t="shared" si="436"/>
        <v>0</v>
      </c>
      <c r="E329" s="55">
        <f t="shared" si="436"/>
        <v>0</v>
      </c>
      <c r="F329" s="55">
        <f t="shared" si="436"/>
        <v>0</v>
      </c>
      <c r="G329" s="55">
        <f t="shared" si="436"/>
        <v>0</v>
      </c>
      <c r="H329" s="55">
        <f t="shared" si="436"/>
        <v>0</v>
      </c>
      <c r="I329" s="55">
        <f t="shared" si="436"/>
        <v>0</v>
      </c>
      <c r="J329" s="55">
        <f t="shared" si="436"/>
        <v>0</v>
      </c>
      <c r="K329" s="55">
        <f t="shared" si="436"/>
        <v>0</v>
      </c>
      <c r="L329" s="55">
        <f t="shared" si="436"/>
        <v>0</v>
      </c>
      <c r="M329" s="55">
        <f t="shared" si="436"/>
        <v>0</v>
      </c>
      <c r="N329" s="55">
        <f t="shared" si="436"/>
        <v>0</v>
      </c>
      <c r="O329" s="55">
        <f t="shared" si="436"/>
        <v>0</v>
      </c>
      <c r="P329" s="55">
        <f t="shared" si="436"/>
        <v>0</v>
      </c>
      <c r="Q329" s="55">
        <f t="shared" si="436"/>
        <v>0</v>
      </c>
      <c r="R329" s="55">
        <f t="shared" si="436"/>
        <v>0</v>
      </c>
      <c r="S329" s="55">
        <f t="shared" si="436"/>
        <v>0</v>
      </c>
      <c r="T329" s="55">
        <f t="shared" si="436"/>
        <v>0</v>
      </c>
      <c r="U329" s="55">
        <f t="shared" si="436"/>
        <v>0</v>
      </c>
      <c r="V329" s="55">
        <f t="shared" si="436"/>
        <v>0</v>
      </c>
      <c r="W329" s="55">
        <f t="shared" si="436"/>
        <v>0.10621283225502792</v>
      </c>
      <c r="X329" s="55">
        <f t="shared" si="436"/>
        <v>0.1091974128413942</v>
      </c>
      <c r="Y329" s="55">
        <f t="shared" si="436"/>
        <v>0.11226586014223738</v>
      </c>
      <c r="Z329" s="55">
        <f t="shared" si="436"/>
        <v>0.11542053081223426</v>
      </c>
      <c r="AA329" s="55">
        <f t="shared" si="436"/>
        <v>0.11866384772805806</v>
      </c>
      <c r="AB329" s="55">
        <f t="shared" si="436"/>
        <v>0.12199830184921648</v>
      </c>
      <c r="AC329" s="55">
        <f t="shared" si="436"/>
        <v>0.12542645413117945</v>
      </c>
      <c r="AD329" s="55">
        <f t="shared" si="436"/>
        <v>0.12895093749226563</v>
      </c>
      <c r="AE329" s="55">
        <f t="shared" si="436"/>
        <v>0.13257445883579827</v>
      </c>
      <c r="AF329" s="55">
        <f t="shared" si="436"/>
        <v>0.13629980112908419</v>
      </c>
      <c r="AG329" s="55">
        <f t="shared" si="436"/>
        <v>0.14012982554081146</v>
      </c>
      <c r="AH329" s="55">
        <f t="shared" si="436"/>
        <v>0.14406747363850828</v>
      </c>
      <c r="AI329" s="55">
        <f t="shared" ref="AI329:BJ329" si="437">IF(AND(AI$127&gt;=$K118,AI$127&lt;=$L118),$G118*(1+$H118)^(AI$127-$B$5),0)</f>
        <v>0.14811576964775036</v>
      </c>
      <c r="AJ329" s="55">
        <f t="shared" si="437"/>
        <v>0.15227782277485216</v>
      </c>
      <c r="AK329" s="55">
        <f t="shared" si="437"/>
        <v>0.1565568295948255</v>
      </c>
      <c r="AL329" s="55">
        <f t="shared" si="437"/>
        <v>0.16095607650644012</v>
      </c>
      <c r="AM329" s="55">
        <f t="shared" si="437"/>
        <v>0.16547894225627105</v>
      </c>
      <c r="AN329" s="55">
        <f t="shared" si="437"/>
        <v>0.17012890053367227</v>
      </c>
      <c r="AO329" s="55">
        <f t="shared" si="437"/>
        <v>0.17490952263866844</v>
      </c>
      <c r="AP329" s="55">
        <f t="shared" si="437"/>
        <v>0.17982448022481506</v>
      </c>
      <c r="AQ329" s="55">
        <f t="shared" si="437"/>
        <v>0.18487754811913237</v>
      </c>
      <c r="AR329" s="55">
        <f t="shared" si="437"/>
        <v>0.19007260722128</v>
      </c>
      <c r="AS329" s="55">
        <f t="shared" si="437"/>
        <v>0.19541364748419793</v>
      </c>
      <c r="AT329" s="55">
        <f t="shared" si="437"/>
        <v>0.20090477097850393</v>
      </c>
      <c r="AU329" s="55">
        <f t="shared" si="437"/>
        <v>0.20655019504299987</v>
      </c>
      <c r="AV329" s="55">
        <f t="shared" si="437"/>
        <v>0.21235425552370818</v>
      </c>
      <c r="AW329" s="55">
        <f t="shared" si="437"/>
        <v>0.21832141010392436</v>
      </c>
      <c r="AX329" s="55">
        <f t="shared" si="437"/>
        <v>0.22445624172784467</v>
      </c>
      <c r="AY329" s="55">
        <f t="shared" si="437"/>
        <v>0.23076346212039711</v>
      </c>
      <c r="AZ329" s="55">
        <f t="shared" si="437"/>
        <v>0.23724791540598028</v>
      </c>
      <c r="BA329" s="55">
        <f t="shared" si="437"/>
        <v>0.24391458182888834</v>
      </c>
      <c r="BB329" s="55">
        <f t="shared" si="437"/>
        <v>0.25076858157828008</v>
      </c>
      <c r="BC329" s="55">
        <f t="shared" si="437"/>
        <v>0.25781517872062976</v>
      </c>
      <c r="BD329" s="55">
        <f t="shared" si="437"/>
        <v>0.26505978524267942</v>
      </c>
      <c r="BE329" s="55">
        <f t="shared" si="437"/>
        <v>0.27250796520799869</v>
      </c>
      <c r="BF329" s="55">
        <f t="shared" si="437"/>
        <v>0.28016543903034347</v>
      </c>
      <c r="BG329" s="55">
        <f t="shared" si="437"/>
        <v>0.28803808786709617</v>
      </c>
      <c r="BH329" s="55">
        <f t="shared" si="437"/>
        <v>0.29613195813616155</v>
      </c>
      <c r="BI329" s="55">
        <f t="shared" si="437"/>
        <v>0.30445326615978768</v>
      </c>
      <c r="BJ329" s="55">
        <f t="shared" si="437"/>
        <v>0.31300840293887777</v>
      </c>
    </row>
    <row r="330" spans="1:62" x14ac:dyDescent="0.3">
      <c r="A330" s="53" t="str">
        <f t="shared" si="375"/>
        <v>project 200</v>
      </c>
      <c r="C330" s="55">
        <f t="shared" ref="C330:AH330" si="438">IF(AND(C$127&gt;=$K119,C$127&lt;=$L119),$G119*(1+$H119)^(C$127-$B$5),0)</f>
        <v>0</v>
      </c>
      <c r="D330" s="55">
        <f t="shared" si="438"/>
        <v>0</v>
      </c>
      <c r="E330" s="55">
        <f t="shared" si="438"/>
        <v>0</v>
      </c>
      <c r="F330" s="55">
        <f t="shared" si="438"/>
        <v>0</v>
      </c>
      <c r="G330" s="55">
        <f t="shared" si="438"/>
        <v>0</v>
      </c>
      <c r="H330" s="55">
        <f t="shared" si="438"/>
        <v>0</v>
      </c>
      <c r="I330" s="55">
        <f t="shared" si="438"/>
        <v>0</v>
      </c>
      <c r="J330" s="55">
        <f t="shared" si="438"/>
        <v>0</v>
      </c>
      <c r="K330" s="55">
        <f t="shared" si="438"/>
        <v>0</v>
      </c>
      <c r="L330" s="55">
        <f t="shared" si="438"/>
        <v>0</v>
      </c>
      <c r="M330" s="55">
        <f t="shared" si="438"/>
        <v>0</v>
      </c>
      <c r="N330" s="55">
        <f t="shared" si="438"/>
        <v>0</v>
      </c>
      <c r="O330" s="55">
        <f t="shared" si="438"/>
        <v>0</v>
      </c>
      <c r="P330" s="55">
        <f t="shared" si="438"/>
        <v>0</v>
      </c>
      <c r="Q330" s="55">
        <f t="shared" si="438"/>
        <v>0</v>
      </c>
      <c r="R330" s="55">
        <f t="shared" si="438"/>
        <v>0</v>
      </c>
      <c r="S330" s="55">
        <f t="shared" si="438"/>
        <v>0</v>
      </c>
      <c r="T330" s="55">
        <f t="shared" si="438"/>
        <v>0</v>
      </c>
      <c r="U330" s="55">
        <f t="shared" si="438"/>
        <v>0</v>
      </c>
      <c r="V330" s="55">
        <f t="shared" si="438"/>
        <v>0</v>
      </c>
      <c r="W330" s="55">
        <f t="shared" si="438"/>
        <v>9.8992697712447578E-2</v>
      </c>
      <c r="X330" s="55">
        <f t="shared" si="438"/>
        <v>0.10168529909022614</v>
      </c>
      <c r="Y330" s="55">
        <f t="shared" si="438"/>
        <v>0.10445113922548029</v>
      </c>
      <c r="Z330" s="55">
        <f t="shared" si="438"/>
        <v>0.10729221021241335</v>
      </c>
      <c r="AA330" s="55">
        <f t="shared" si="438"/>
        <v>0.11021055833019096</v>
      </c>
      <c r="AB330" s="55">
        <f t="shared" si="438"/>
        <v>0.11320828551677213</v>
      </c>
      <c r="AC330" s="55">
        <f t="shared" si="438"/>
        <v>0.11628755088282833</v>
      </c>
      <c r="AD330" s="55">
        <f t="shared" si="438"/>
        <v>0.11945057226684125</v>
      </c>
      <c r="AE330" s="55">
        <f t="shared" si="438"/>
        <v>0.12269962783249931</v>
      </c>
      <c r="AF330" s="55">
        <f t="shared" si="438"/>
        <v>0.12603705770954329</v>
      </c>
      <c r="AG330" s="55">
        <f t="shared" si="438"/>
        <v>0.12946526567924285</v>
      </c>
      <c r="AH330" s="55">
        <f t="shared" si="438"/>
        <v>0.13298672090571825</v>
      </c>
      <c r="AI330" s="55">
        <f t="shared" ref="AI330:BJ330" si="439">IF(AND(AI$127&gt;=$K119,AI$127&lt;=$L119),$G119*(1+$H119)^(AI$127-$B$5),0)</f>
        <v>0.13660395971435377</v>
      </c>
      <c r="AJ330" s="55">
        <f t="shared" si="439"/>
        <v>0.14031958741858419</v>
      </c>
      <c r="AK330" s="55">
        <f t="shared" si="439"/>
        <v>0.14413628019636965</v>
      </c>
      <c r="AL330" s="55">
        <f t="shared" si="439"/>
        <v>0.14805678701771091</v>
      </c>
      <c r="AM330" s="55">
        <f t="shared" si="439"/>
        <v>0.15208393162459263</v>
      </c>
      <c r="AN330" s="55">
        <f t="shared" si="439"/>
        <v>0.15622061456478151</v>
      </c>
      <c r="AO330" s="55">
        <f t="shared" si="439"/>
        <v>0.16046981528094356</v>
      </c>
      <c r="AP330" s="55">
        <f t="shared" si="439"/>
        <v>0.16483459425658523</v>
      </c>
      <c r="AQ330" s="55">
        <f t="shared" si="439"/>
        <v>0.16931809522036431</v>
      </c>
      <c r="AR330" s="55">
        <f t="shared" si="439"/>
        <v>0.1739235474103582</v>
      </c>
      <c r="AS330" s="55">
        <f t="shared" si="439"/>
        <v>0.17865426789991995</v>
      </c>
      <c r="AT330" s="55">
        <f t="shared" si="439"/>
        <v>0.18351366398679775</v>
      </c>
      <c r="AU330" s="55">
        <f t="shared" si="439"/>
        <v>0.18850523564723859</v>
      </c>
      <c r="AV330" s="55">
        <f t="shared" si="439"/>
        <v>0.19363257805684347</v>
      </c>
      <c r="AW330" s="55">
        <f t="shared" si="439"/>
        <v>0.19889938417998959</v>
      </c>
      <c r="AX330" s="55">
        <f t="shared" si="439"/>
        <v>0.20430944742968532</v>
      </c>
      <c r="AY330" s="55">
        <f t="shared" si="439"/>
        <v>0.20986666439977272</v>
      </c>
      <c r="AZ330" s="55">
        <f t="shared" si="439"/>
        <v>0.21557503767144651</v>
      </c>
      <c r="BA330" s="55">
        <f t="shared" si="439"/>
        <v>0.22143867869610986</v>
      </c>
      <c r="BB330" s="55">
        <f t="shared" si="439"/>
        <v>0.22746181075664404</v>
      </c>
      <c r="BC330" s="55">
        <f t="shared" si="439"/>
        <v>0.23364877200922468</v>
      </c>
      <c r="BD330" s="55">
        <f t="shared" si="439"/>
        <v>0.2400040186078756</v>
      </c>
      <c r="BE330" s="55">
        <f t="shared" si="439"/>
        <v>0.24653212791400983</v>
      </c>
      <c r="BF330" s="55">
        <f t="shared" si="439"/>
        <v>0.25323780179327082</v>
      </c>
      <c r="BG330" s="55">
        <f t="shared" si="439"/>
        <v>0.26012587000204779</v>
      </c>
      <c r="BH330" s="55">
        <f t="shared" si="439"/>
        <v>0.2672012936661034</v>
      </c>
      <c r="BI330" s="55">
        <f t="shared" si="439"/>
        <v>0.27446916885382144</v>
      </c>
      <c r="BJ330" s="55">
        <f t="shared" si="439"/>
        <v>0.28193473024664528</v>
      </c>
    </row>
    <row r="331" spans="1:62" x14ac:dyDescent="0.3">
      <c r="A331" s="53" t="str">
        <f t="shared" ref="A331:A362" si="440">A120</f>
        <v>project 204</v>
      </c>
      <c r="C331" s="55">
        <f t="shared" ref="C331:AH331" si="441">IF(AND(C$127&gt;=$K120,C$127&lt;=$L120),$G120*(1+$H120)^(C$127-$B$5),0)</f>
        <v>0</v>
      </c>
      <c r="D331" s="55">
        <f t="shared" si="441"/>
        <v>0</v>
      </c>
      <c r="E331" s="55">
        <f t="shared" si="441"/>
        <v>0</v>
      </c>
      <c r="F331" s="55">
        <f t="shared" si="441"/>
        <v>0</v>
      </c>
      <c r="G331" s="55">
        <f t="shared" si="441"/>
        <v>1.3713563125367102E-2</v>
      </c>
      <c r="H331" s="55">
        <f t="shared" si="441"/>
        <v>1.3869897744996289E-2</v>
      </c>
      <c r="I331" s="55">
        <f t="shared" si="441"/>
        <v>1.4028014579289249E-2</v>
      </c>
      <c r="J331" s="55">
        <f t="shared" si="441"/>
        <v>1.4187933945493144E-2</v>
      </c>
      <c r="K331" s="55">
        <f t="shared" si="441"/>
        <v>1.4349676392471769E-2</v>
      </c>
      <c r="L331" s="55">
        <f t="shared" si="441"/>
        <v>1.4513262703345946E-2</v>
      </c>
      <c r="M331" s="55">
        <f t="shared" si="441"/>
        <v>1.4678713898164093E-2</v>
      </c>
      <c r="N331" s="55">
        <f t="shared" si="441"/>
        <v>1.4846051236603163E-2</v>
      </c>
      <c r="O331" s="55">
        <f t="shared" si="441"/>
        <v>1.501529622070044E-2</v>
      </c>
      <c r="P331" s="55">
        <f t="shared" si="441"/>
        <v>1.5186470597616427E-2</v>
      </c>
      <c r="Q331" s="55">
        <f t="shared" si="441"/>
        <v>1.5359596362429258E-2</v>
      </c>
      <c r="R331" s="55">
        <f t="shared" si="441"/>
        <v>1.5534695760960948E-2</v>
      </c>
      <c r="S331" s="55">
        <f t="shared" si="441"/>
        <v>1.5711791292635908E-2</v>
      </c>
      <c r="T331" s="55">
        <f t="shared" si="441"/>
        <v>1.5890905713371959E-2</v>
      </c>
      <c r="U331" s="55">
        <f t="shared" si="441"/>
        <v>1.6072062038504399E-2</v>
      </c>
      <c r="V331" s="55">
        <f t="shared" si="441"/>
        <v>1.6255283545743349E-2</v>
      </c>
      <c r="W331" s="55">
        <f t="shared" si="441"/>
        <v>1.6440593778164824E-2</v>
      </c>
      <c r="X331" s="55">
        <f t="shared" si="441"/>
        <v>1.6628016547235905E-2</v>
      </c>
      <c r="Y331" s="55">
        <f t="shared" si="441"/>
        <v>1.6817575935874397E-2</v>
      </c>
      <c r="Z331" s="55">
        <f t="shared" si="441"/>
        <v>1.7009296301543363E-2</v>
      </c>
      <c r="AA331" s="55">
        <f t="shared" si="441"/>
        <v>1.720320227938096E-2</v>
      </c>
      <c r="AB331" s="55">
        <f t="shared" si="441"/>
        <v>1.7399318785365905E-2</v>
      </c>
      <c r="AC331" s="55">
        <f t="shared" si="441"/>
        <v>1.7597671019519076E-2</v>
      </c>
      <c r="AD331" s="55">
        <f t="shared" si="441"/>
        <v>1.7798284469141595E-2</v>
      </c>
      <c r="AE331" s="55">
        <f t="shared" si="441"/>
        <v>1.800118491208981E-2</v>
      </c>
      <c r="AF331" s="55">
        <f t="shared" si="441"/>
        <v>1.8206398420087633E-2</v>
      </c>
      <c r="AG331" s="55">
        <f t="shared" si="441"/>
        <v>1.8413951362076641E-2</v>
      </c>
      <c r="AH331" s="55">
        <f t="shared" si="441"/>
        <v>1.8623870407604309E-2</v>
      </c>
      <c r="AI331" s="55">
        <f t="shared" ref="AI331:BJ331" si="442">IF(AND(AI$127&gt;=$K120,AI$127&lt;=$L120),$G120*(1+$H120)^(AI$127-$B$5),0)</f>
        <v>1.8836182530251003E-2</v>
      </c>
      <c r="AJ331" s="55">
        <f t="shared" si="442"/>
        <v>1.9050915011095865E-2</v>
      </c>
      <c r="AK331" s="55">
        <f t="shared" si="442"/>
        <v>1.9268095442222362E-2</v>
      </c>
      <c r="AL331" s="55">
        <f t="shared" si="442"/>
        <v>1.9487751730263694E-2</v>
      </c>
      <c r="AM331" s="55">
        <f t="shared" si="442"/>
        <v>1.9709912099988704E-2</v>
      </c>
      <c r="AN331" s="55">
        <f t="shared" si="442"/>
        <v>1.9934605097928576E-2</v>
      </c>
      <c r="AO331" s="55">
        <f t="shared" si="442"/>
        <v>2.0161859596044964E-2</v>
      </c>
      <c r="AP331" s="55">
        <f t="shared" si="442"/>
        <v>2.0391704795439874E-2</v>
      </c>
      <c r="AQ331" s="55">
        <f t="shared" si="442"/>
        <v>2.0624170230107895E-2</v>
      </c>
      <c r="AR331" s="55">
        <f t="shared" si="442"/>
        <v>2.0859285770731123E-2</v>
      </c>
      <c r="AS331" s="55">
        <f t="shared" si="442"/>
        <v>2.109708162851746E-2</v>
      </c>
      <c r="AT331" s="55">
        <f t="shared" si="442"/>
        <v>2.133758835908256E-2</v>
      </c>
      <c r="AU331" s="55">
        <f t="shared" si="442"/>
        <v>0</v>
      </c>
      <c r="AV331" s="55">
        <f t="shared" si="442"/>
        <v>0</v>
      </c>
      <c r="AW331" s="55">
        <f t="shared" si="442"/>
        <v>0</v>
      </c>
      <c r="AX331" s="55">
        <f t="shared" si="442"/>
        <v>0</v>
      </c>
      <c r="AY331" s="55">
        <f t="shared" si="442"/>
        <v>0</v>
      </c>
      <c r="AZ331" s="55">
        <f t="shared" si="442"/>
        <v>0</v>
      </c>
      <c r="BA331" s="55">
        <f t="shared" si="442"/>
        <v>0</v>
      </c>
      <c r="BB331" s="55">
        <f t="shared" si="442"/>
        <v>0</v>
      </c>
      <c r="BC331" s="55">
        <f t="shared" si="442"/>
        <v>0</v>
      </c>
      <c r="BD331" s="55">
        <f t="shared" si="442"/>
        <v>0</v>
      </c>
      <c r="BE331" s="55">
        <f t="shared" si="442"/>
        <v>0</v>
      </c>
      <c r="BF331" s="55">
        <f t="shared" si="442"/>
        <v>0</v>
      </c>
      <c r="BG331" s="55">
        <f t="shared" si="442"/>
        <v>0</v>
      </c>
      <c r="BH331" s="55">
        <f t="shared" si="442"/>
        <v>0</v>
      </c>
      <c r="BI331" s="55">
        <f t="shared" si="442"/>
        <v>0</v>
      </c>
      <c r="BJ331" s="55">
        <f t="shared" si="442"/>
        <v>0</v>
      </c>
    </row>
    <row r="332" spans="1:62" x14ac:dyDescent="0.3">
      <c r="A332" s="53" t="str">
        <f t="shared" si="440"/>
        <v>project 211</v>
      </c>
      <c r="C332" s="55">
        <f t="shared" ref="C332:AH332" si="443">IF(AND(C$127&gt;=$K121,C$127&lt;=$L121),$G121*(1+$H121)^(C$127-$B$5),0)</f>
        <v>0</v>
      </c>
      <c r="D332" s="55">
        <f t="shared" si="443"/>
        <v>8.7865450802867787E-3</v>
      </c>
      <c r="E332" s="55">
        <f t="shared" si="443"/>
        <v>8.9165859474750215E-3</v>
      </c>
      <c r="F332" s="55">
        <f t="shared" si="443"/>
        <v>9.0485514194976521E-3</v>
      </c>
      <c r="G332" s="55">
        <f t="shared" si="443"/>
        <v>9.1824699805062165E-3</v>
      </c>
      <c r="H332" s="55">
        <f t="shared" si="443"/>
        <v>9.3183705362177068E-3</v>
      </c>
      <c r="I332" s="55">
        <f t="shared" si="443"/>
        <v>9.4562824201537277E-3</v>
      </c>
      <c r="J332" s="55">
        <f t="shared" si="443"/>
        <v>9.5962353999720033E-3</v>
      </c>
      <c r="K332" s="55">
        <f t="shared" si="443"/>
        <v>9.7382596838915866E-3</v>
      </c>
      <c r="L332" s="55">
        <f t="shared" si="443"/>
        <v>9.8823859272131817E-3</v>
      </c>
      <c r="M332" s="55">
        <f t="shared" si="443"/>
        <v>1.0028645238935936E-2</v>
      </c>
      <c r="N332" s="55">
        <f t="shared" si="443"/>
        <v>1.0177069188472188E-2</v>
      </c>
      <c r="O332" s="55">
        <f t="shared" si="443"/>
        <v>1.0327689812461575E-2</v>
      </c>
      <c r="P332" s="55">
        <f t="shared" si="443"/>
        <v>1.0480539621686005E-2</v>
      </c>
      <c r="Q332" s="55">
        <f t="shared" si="443"/>
        <v>1.0635651608086957E-2</v>
      </c>
      <c r="R332" s="55">
        <f t="shared" si="443"/>
        <v>1.0793059251886646E-2</v>
      </c>
      <c r="S332" s="55">
        <f t="shared" si="443"/>
        <v>1.0952796528814564E-2</v>
      </c>
      <c r="T332" s="55">
        <f t="shared" si="443"/>
        <v>1.1114897917441019E-2</v>
      </c>
      <c r="U332" s="55">
        <f t="shared" si="443"/>
        <v>1.1279398406619144E-2</v>
      </c>
      <c r="V332" s="55">
        <f t="shared" si="443"/>
        <v>1.144633350303711E-2</v>
      </c>
      <c r="W332" s="55">
        <f t="shared" si="443"/>
        <v>1.1615739238882056E-2</v>
      </c>
      <c r="X332" s="55">
        <f t="shared" si="443"/>
        <v>1.1787652179617511E-2</v>
      </c>
      <c r="Y332" s="55">
        <f t="shared" si="443"/>
        <v>1.1962109431875848E-2</v>
      </c>
      <c r="Z332" s="55">
        <f t="shared" si="443"/>
        <v>1.213914865146761E-2</v>
      </c>
      <c r="AA332" s="55">
        <f t="shared" si="443"/>
        <v>1.2318808051509329E-2</v>
      </c>
      <c r="AB332" s="55">
        <f t="shared" si="443"/>
        <v>1.2501126410671666E-2</v>
      </c>
      <c r="AC332" s="55">
        <f t="shared" si="443"/>
        <v>1.2686143081549604E-2</v>
      </c>
      <c r="AD332" s="55">
        <f t="shared" si="443"/>
        <v>1.2873897999156539E-2</v>
      </c>
      <c r="AE332" s="55">
        <f t="shared" si="443"/>
        <v>1.3064431689544053E-2</v>
      </c>
      <c r="AF332" s="55">
        <f t="shared" si="443"/>
        <v>1.3257785278549306E-2</v>
      </c>
      <c r="AG332" s="55">
        <f t="shared" si="443"/>
        <v>1.3454000500671835E-2</v>
      </c>
      <c r="AH332" s="55">
        <f t="shared" si="443"/>
        <v>1.3653119708081777E-2</v>
      </c>
      <c r="AI332" s="55">
        <f t="shared" ref="AI332:BJ332" si="444">IF(AND(AI$127&gt;=$K121,AI$127&lt;=$L121),$G121*(1+$H121)^(AI$127-$B$5),0)</f>
        <v>1.3855185879761384E-2</v>
      </c>
      <c r="AJ332" s="55">
        <f t="shared" si="444"/>
        <v>1.4060242630781851E-2</v>
      </c>
      <c r="AK332" s="55">
        <f t="shared" si="444"/>
        <v>1.4268334221717421E-2</v>
      </c>
      <c r="AL332" s="55">
        <f t="shared" si="444"/>
        <v>1.4479505568198839E-2</v>
      </c>
      <c r="AM332" s="55">
        <f t="shared" si="444"/>
        <v>1.4693802250608179E-2</v>
      </c>
      <c r="AN332" s="55">
        <f t="shared" si="444"/>
        <v>1.491127052391718E-2</v>
      </c>
      <c r="AO332" s="55">
        <f t="shared" si="444"/>
        <v>1.5131957327671152E-2</v>
      </c>
      <c r="AP332" s="55">
        <f t="shared" si="444"/>
        <v>1.5355910296120686E-2</v>
      </c>
      <c r="AQ332" s="55">
        <f t="shared" si="444"/>
        <v>1.5583177768503268E-2</v>
      </c>
      <c r="AR332" s="55">
        <f t="shared" si="444"/>
        <v>0</v>
      </c>
      <c r="AS332" s="55">
        <f t="shared" si="444"/>
        <v>0</v>
      </c>
      <c r="AT332" s="55">
        <f t="shared" si="444"/>
        <v>0</v>
      </c>
      <c r="AU332" s="55">
        <f t="shared" si="444"/>
        <v>0</v>
      </c>
      <c r="AV332" s="55">
        <f t="shared" si="444"/>
        <v>0</v>
      </c>
      <c r="AW332" s="55">
        <f t="shared" si="444"/>
        <v>0</v>
      </c>
      <c r="AX332" s="55">
        <f t="shared" si="444"/>
        <v>0</v>
      </c>
      <c r="AY332" s="55">
        <f t="shared" si="444"/>
        <v>0</v>
      </c>
      <c r="AZ332" s="55">
        <f t="shared" si="444"/>
        <v>0</v>
      </c>
      <c r="BA332" s="55">
        <f t="shared" si="444"/>
        <v>0</v>
      </c>
      <c r="BB332" s="55">
        <f t="shared" si="444"/>
        <v>0</v>
      </c>
      <c r="BC332" s="55">
        <f t="shared" si="444"/>
        <v>0</v>
      </c>
      <c r="BD332" s="55">
        <f t="shared" si="444"/>
        <v>0</v>
      </c>
      <c r="BE332" s="55">
        <f t="shared" si="444"/>
        <v>0</v>
      </c>
      <c r="BF332" s="55">
        <f t="shared" si="444"/>
        <v>0</v>
      </c>
      <c r="BG332" s="55">
        <f t="shared" si="444"/>
        <v>0</v>
      </c>
      <c r="BH332" s="55">
        <f t="shared" si="444"/>
        <v>0</v>
      </c>
      <c r="BI332" s="55">
        <f t="shared" si="444"/>
        <v>0</v>
      </c>
      <c r="BJ332" s="55">
        <f t="shared" si="444"/>
        <v>0</v>
      </c>
    </row>
    <row r="333" spans="1:62" x14ac:dyDescent="0.3">
      <c r="A333" s="53" t="str">
        <f t="shared" si="440"/>
        <v>project 213</v>
      </c>
      <c r="C333" s="55">
        <f t="shared" ref="C333:AH333" si="445">IF(AND(C$127&gt;=$K122,C$127&lt;=$L122),$G122*(1+$H122)^(C$127-$B$5),0)</f>
        <v>0</v>
      </c>
      <c r="D333" s="55">
        <f t="shared" si="445"/>
        <v>0</v>
      </c>
      <c r="E333" s="55">
        <f t="shared" si="445"/>
        <v>0</v>
      </c>
      <c r="F333" s="55">
        <f t="shared" si="445"/>
        <v>0</v>
      </c>
      <c r="G333" s="55">
        <f t="shared" si="445"/>
        <v>0</v>
      </c>
      <c r="H333" s="55">
        <f t="shared" si="445"/>
        <v>0</v>
      </c>
      <c r="I333" s="55">
        <f t="shared" si="445"/>
        <v>0</v>
      </c>
      <c r="J333" s="55">
        <f t="shared" si="445"/>
        <v>0</v>
      </c>
      <c r="K333" s="55">
        <f t="shared" si="445"/>
        <v>0</v>
      </c>
      <c r="L333" s="55">
        <f t="shared" si="445"/>
        <v>0</v>
      </c>
      <c r="M333" s="55">
        <f t="shared" si="445"/>
        <v>0</v>
      </c>
      <c r="N333" s="55">
        <f t="shared" si="445"/>
        <v>0</v>
      </c>
      <c r="O333" s="55">
        <f t="shared" si="445"/>
        <v>0</v>
      </c>
      <c r="P333" s="55">
        <f t="shared" si="445"/>
        <v>0</v>
      </c>
      <c r="Q333" s="55">
        <f t="shared" si="445"/>
        <v>0</v>
      </c>
      <c r="R333" s="55">
        <f t="shared" si="445"/>
        <v>0</v>
      </c>
      <c r="S333" s="55">
        <f t="shared" si="445"/>
        <v>0</v>
      </c>
      <c r="T333" s="55">
        <f t="shared" si="445"/>
        <v>0</v>
      </c>
      <c r="U333" s="55">
        <f t="shared" si="445"/>
        <v>0</v>
      </c>
      <c r="V333" s="55">
        <f t="shared" si="445"/>
        <v>0</v>
      </c>
      <c r="W333" s="55">
        <f t="shared" si="445"/>
        <v>5.279560978677233E-3</v>
      </c>
      <c r="X333" s="55">
        <f t="shared" si="445"/>
        <v>5.4031027055782806E-3</v>
      </c>
      <c r="Y333" s="55">
        <f t="shared" si="445"/>
        <v>5.5295353088888125E-3</v>
      </c>
      <c r="Z333" s="55">
        <f t="shared" si="445"/>
        <v>5.6589264351168105E-3</v>
      </c>
      <c r="AA333" s="55">
        <f t="shared" si="445"/>
        <v>5.7913453136985453E-3</v>
      </c>
      <c r="AB333" s="55">
        <f t="shared" si="445"/>
        <v>5.926862794039092E-3</v>
      </c>
      <c r="AC333" s="55">
        <f t="shared" si="445"/>
        <v>6.0655513834196075E-3</v>
      </c>
      <c r="AD333" s="55">
        <f t="shared" si="445"/>
        <v>6.207485285791626E-3</v>
      </c>
      <c r="AE333" s="55">
        <f t="shared" si="445"/>
        <v>6.3527404414791509E-3</v>
      </c>
      <c r="AF333" s="55">
        <f t="shared" si="445"/>
        <v>6.5013945678097642E-3</v>
      </c>
      <c r="AG333" s="55">
        <f t="shared" si="445"/>
        <v>6.6535272006965117E-3</v>
      </c>
      <c r="AH333" s="55">
        <f t="shared" si="445"/>
        <v>6.8092197371928112E-3</v>
      </c>
      <c r="AI333" s="55">
        <f t="shared" ref="AI333:BJ333" si="446">IF(AND(AI$127&gt;=$K122,AI$127&lt;=$L122),$G122*(1+$H122)^(AI$127-$B$5),0)</f>
        <v>6.9685554790431233E-3</v>
      </c>
      <c r="AJ333" s="55">
        <f t="shared" si="446"/>
        <v>7.1316196772527327E-3</v>
      </c>
      <c r="AK333" s="55">
        <f t="shared" si="446"/>
        <v>7.2984995777004482E-3</v>
      </c>
      <c r="AL333" s="55">
        <f t="shared" si="446"/>
        <v>7.4692844678186394E-3</v>
      </c>
      <c r="AM333" s="55">
        <f t="shared" si="446"/>
        <v>7.6440657243655955E-3</v>
      </c>
      <c r="AN333" s="55">
        <f t="shared" si="446"/>
        <v>7.8229368623157509E-3</v>
      </c>
      <c r="AO333" s="55">
        <f t="shared" si="446"/>
        <v>8.00599358489394E-3</v>
      </c>
      <c r="AP333" s="55">
        <f t="shared" si="446"/>
        <v>8.1933338347804589E-3</v>
      </c>
      <c r="AQ333" s="55">
        <f t="shared" si="446"/>
        <v>8.3850578465143218E-3</v>
      </c>
      <c r="AR333" s="55">
        <f t="shared" si="446"/>
        <v>8.5812682001227582E-3</v>
      </c>
      <c r="AS333" s="55">
        <f t="shared" si="446"/>
        <v>8.7820698760056326E-3</v>
      </c>
      <c r="AT333" s="55">
        <f t="shared" si="446"/>
        <v>8.9875703111041618E-3</v>
      </c>
      <c r="AU333" s="55">
        <f t="shared" si="446"/>
        <v>9.1978794563840009E-3</v>
      </c>
      <c r="AV333" s="55">
        <f t="shared" si="446"/>
        <v>9.4131098356633885E-3</v>
      </c>
      <c r="AW333" s="55">
        <f t="shared" si="446"/>
        <v>9.6333766058179122E-3</v>
      </c>
      <c r="AX333" s="55">
        <f t="shared" si="446"/>
        <v>9.858797618394052E-3</v>
      </c>
      <c r="AY333" s="55">
        <f t="shared" si="446"/>
        <v>1.0089493482664474E-2</v>
      </c>
      <c r="AZ333" s="55">
        <f t="shared" si="446"/>
        <v>1.0325587630158823E-2</v>
      </c>
      <c r="BA333" s="55">
        <f t="shared" si="446"/>
        <v>1.056720638070454E-2</v>
      </c>
      <c r="BB333" s="55">
        <f t="shared" si="446"/>
        <v>1.0814479010013029E-2</v>
      </c>
      <c r="BC333" s="55">
        <f t="shared" si="446"/>
        <v>1.1067537818847333E-2</v>
      </c>
      <c r="BD333" s="55">
        <f t="shared" si="446"/>
        <v>1.1326518203808362E-2</v>
      </c>
      <c r="BE333" s="55">
        <f t="shared" si="446"/>
        <v>1.1591558729777478E-2</v>
      </c>
      <c r="BF333" s="55">
        <f t="shared" si="446"/>
        <v>1.1862801204054273E-2</v>
      </c>
      <c r="BG333" s="55">
        <f t="shared" si="446"/>
        <v>1.2140390752229143E-2</v>
      </c>
      <c r="BH333" s="55">
        <f t="shared" si="446"/>
        <v>1.2424475895831308E-2</v>
      </c>
      <c r="BI333" s="55">
        <f t="shared" si="446"/>
        <v>1.2715208631793762E-2</v>
      </c>
      <c r="BJ333" s="55">
        <f t="shared" si="446"/>
        <v>1.3012744513777734E-2</v>
      </c>
    </row>
    <row r="334" spans="1:62" x14ac:dyDescent="0.3">
      <c r="A334" s="53" t="str">
        <f t="shared" si="440"/>
        <v>project 218</v>
      </c>
      <c r="C334" s="55">
        <f t="shared" ref="C334:AH334" si="447">IF(AND(C$127&gt;=$K123,C$127&lt;=$L123),$G123*(1+$H123)^(C$127-$B$5),0)</f>
        <v>0</v>
      </c>
      <c r="D334" s="55">
        <f t="shared" si="447"/>
        <v>0</v>
      </c>
      <c r="E334" s="55">
        <f t="shared" si="447"/>
        <v>0</v>
      </c>
      <c r="F334" s="55">
        <f t="shared" si="447"/>
        <v>0</v>
      </c>
      <c r="G334" s="55">
        <f t="shared" si="447"/>
        <v>0</v>
      </c>
      <c r="H334" s="55">
        <f t="shared" si="447"/>
        <v>0.35520688764668068</v>
      </c>
      <c r="I334" s="55">
        <f t="shared" si="447"/>
        <v>0.36028634614002819</v>
      </c>
      <c r="J334" s="55">
        <f t="shared" si="447"/>
        <v>0.36543844088983063</v>
      </c>
      <c r="K334" s="55">
        <f t="shared" si="447"/>
        <v>0.37066421059455512</v>
      </c>
      <c r="L334" s="55">
        <f t="shared" si="447"/>
        <v>0.37596470880605726</v>
      </c>
      <c r="M334" s="55">
        <f t="shared" si="447"/>
        <v>0.38134100414198391</v>
      </c>
      <c r="N334" s="55">
        <f t="shared" si="447"/>
        <v>0.38679418050121428</v>
      </c>
      <c r="O334" s="55">
        <f t="shared" si="447"/>
        <v>0.39232533728238161</v>
      </c>
      <c r="P334" s="55">
        <f t="shared" si="447"/>
        <v>0.39793558960551961</v>
      </c>
      <c r="Q334" s="55">
        <f t="shared" si="447"/>
        <v>0.4036260685368786</v>
      </c>
      <c r="R334" s="55">
        <f t="shared" si="447"/>
        <v>0.40939792131695596</v>
      </c>
      <c r="S334" s="55">
        <f t="shared" si="447"/>
        <v>0.41525231159178838</v>
      </c>
      <c r="T334" s="55">
        <f t="shared" si="447"/>
        <v>0.42119041964755094</v>
      </c>
      <c r="U334" s="55">
        <f t="shared" si="447"/>
        <v>0.42721344264851091</v>
      </c>
      <c r="V334" s="55">
        <f t="shared" si="447"/>
        <v>0.43332259487838465</v>
      </c>
      <c r="W334" s="55">
        <f t="shared" si="447"/>
        <v>0.43951910798514543</v>
      </c>
      <c r="X334" s="55">
        <f t="shared" si="447"/>
        <v>0.44580423122933305</v>
      </c>
      <c r="Y334" s="55">
        <f t="shared" si="447"/>
        <v>0.45217923173591251</v>
      </c>
      <c r="Z334" s="55">
        <f t="shared" si="447"/>
        <v>0.45864539474973604</v>
      </c>
      <c r="AA334" s="55">
        <f t="shared" si="447"/>
        <v>0.4652040238946572</v>
      </c>
      <c r="AB334" s="55">
        <f t="shared" si="447"/>
        <v>0.4718564414363508</v>
      </c>
      <c r="AC334" s="55">
        <f t="shared" si="447"/>
        <v>0.47860398854889064</v>
      </c>
      <c r="AD334" s="55">
        <f t="shared" si="447"/>
        <v>0.48544802558513983</v>
      </c>
      <c r="AE334" s="55">
        <f t="shared" si="447"/>
        <v>0.49238993235100725</v>
      </c>
      <c r="AF334" s="55">
        <f t="shared" si="447"/>
        <v>0.49943110838362659</v>
      </c>
      <c r="AG334" s="55">
        <f t="shared" si="447"/>
        <v>0.50657297323351258</v>
      </c>
      <c r="AH334" s="55">
        <f t="shared" si="447"/>
        <v>0.51381696675075172</v>
      </c>
      <c r="AI334" s="55">
        <f t="shared" ref="AI334:BJ334" si="448">IF(AND(AI$127&gt;=$K123,AI$127&lt;=$L123),$G123*(1+$H123)^(AI$127-$B$5),0)</f>
        <v>0.52116454937528744</v>
      </c>
      <c r="AJ334" s="55">
        <f t="shared" si="448"/>
        <v>0.52861720243135402</v>
      </c>
      <c r="AK334" s="55">
        <f t="shared" si="448"/>
        <v>0.53617642842612234</v>
      </c>
      <c r="AL334" s="55">
        <f t="shared" si="448"/>
        <v>0.54384375135261598</v>
      </c>
      <c r="AM334" s="55">
        <f t="shared" si="448"/>
        <v>0.55162071699695825</v>
      </c>
      <c r="AN334" s="55">
        <f t="shared" si="448"/>
        <v>0.55950889325001474</v>
      </c>
      <c r="AO334" s="55">
        <f t="shared" si="448"/>
        <v>0.56750987042348999</v>
      </c>
      <c r="AP334" s="55">
        <f t="shared" si="448"/>
        <v>0.57562526157054594</v>
      </c>
      <c r="AQ334" s="55">
        <f t="shared" si="448"/>
        <v>0.58385670281100466</v>
      </c>
      <c r="AR334" s="55">
        <f t="shared" si="448"/>
        <v>0.59220585366120204</v>
      </c>
      <c r="AS334" s="55">
        <f t="shared" si="448"/>
        <v>0.60067439736855721</v>
      </c>
      <c r="AT334" s="55">
        <f t="shared" si="448"/>
        <v>0.60926404125092759</v>
      </c>
      <c r="AU334" s="55">
        <f t="shared" si="448"/>
        <v>0.6179765170408158</v>
      </c>
      <c r="AV334" s="55">
        <f t="shared" si="448"/>
        <v>0</v>
      </c>
      <c r="AW334" s="55">
        <f t="shared" si="448"/>
        <v>0</v>
      </c>
      <c r="AX334" s="55">
        <f t="shared" si="448"/>
        <v>0</v>
      </c>
      <c r="AY334" s="55">
        <f t="shared" si="448"/>
        <v>0</v>
      </c>
      <c r="AZ334" s="55">
        <f t="shared" si="448"/>
        <v>0</v>
      </c>
      <c r="BA334" s="55">
        <f t="shared" si="448"/>
        <v>0</v>
      </c>
      <c r="BB334" s="55">
        <f t="shared" si="448"/>
        <v>0</v>
      </c>
      <c r="BC334" s="55">
        <f t="shared" si="448"/>
        <v>0</v>
      </c>
      <c r="BD334" s="55">
        <f t="shared" si="448"/>
        <v>0</v>
      </c>
      <c r="BE334" s="55">
        <f t="shared" si="448"/>
        <v>0</v>
      </c>
      <c r="BF334" s="55">
        <f t="shared" si="448"/>
        <v>0</v>
      </c>
      <c r="BG334" s="55">
        <f t="shared" si="448"/>
        <v>0</v>
      </c>
      <c r="BH334" s="55">
        <f t="shared" si="448"/>
        <v>0</v>
      </c>
      <c r="BI334" s="55">
        <f t="shared" si="448"/>
        <v>0</v>
      </c>
      <c r="BJ334" s="55">
        <f t="shared" si="448"/>
        <v>0</v>
      </c>
    </row>
    <row r="335" spans="1:62" x14ac:dyDescent="0.3">
      <c r="A335" s="4" t="s">
        <v>253</v>
      </c>
      <c r="C335" s="30">
        <f t="shared" ref="C335:AH335" si="449">SUM(C235:C334)</f>
        <v>0</v>
      </c>
      <c r="D335" s="30">
        <f t="shared" si="449"/>
        <v>0.33262728311079665</v>
      </c>
      <c r="E335" s="30">
        <f t="shared" si="449"/>
        <v>7.1610543108412834</v>
      </c>
      <c r="F335" s="30">
        <f t="shared" si="449"/>
        <v>16.187121896989751</v>
      </c>
      <c r="G335" s="30">
        <f t="shared" si="449"/>
        <v>24.633192576780235</v>
      </c>
      <c r="H335" s="30">
        <f t="shared" si="449"/>
        <v>48.224632214880359</v>
      </c>
      <c r="I335" s="30">
        <f t="shared" si="449"/>
        <v>73.343050971808367</v>
      </c>
      <c r="J335" s="30">
        <f t="shared" si="449"/>
        <v>77.198945902142341</v>
      </c>
      <c r="K335" s="30">
        <f t="shared" si="449"/>
        <v>92.595433256716248</v>
      </c>
      <c r="L335" s="30">
        <f t="shared" si="449"/>
        <v>148.52054610612507</v>
      </c>
      <c r="M335" s="30">
        <f t="shared" si="449"/>
        <v>150.3602887651279</v>
      </c>
      <c r="N335" s="30">
        <f t="shared" si="449"/>
        <v>152.37583448862577</v>
      </c>
      <c r="O335" s="30">
        <f t="shared" si="449"/>
        <v>154.2652810165188</v>
      </c>
      <c r="P335" s="30">
        <f t="shared" si="449"/>
        <v>156.17880253292446</v>
      </c>
      <c r="Q335" s="30">
        <f t="shared" si="449"/>
        <v>158.1167119555696</v>
      </c>
      <c r="R335" s="30">
        <f t="shared" si="449"/>
        <v>160.07932639859675</v>
      </c>
      <c r="S335" s="30">
        <f t="shared" si="449"/>
        <v>163.02165266140693</v>
      </c>
      <c r="T335" s="30">
        <f t="shared" si="449"/>
        <v>165.04629272140258</v>
      </c>
      <c r="U335" s="30">
        <f t="shared" si="449"/>
        <v>167.09675699219781</v>
      </c>
      <c r="V335" s="30">
        <f t="shared" si="449"/>
        <v>169.17338168534533</v>
      </c>
      <c r="W335" s="30">
        <f t="shared" si="449"/>
        <v>471.65221306162272</v>
      </c>
      <c r="X335" s="30">
        <f t="shared" si="449"/>
        <v>481.19535615883206</v>
      </c>
      <c r="Y335" s="30">
        <f t="shared" si="449"/>
        <v>490.95197779912098</v>
      </c>
      <c r="Z335" s="30">
        <f t="shared" si="449"/>
        <v>500.92719253209094</v>
      </c>
      <c r="AA335" s="30">
        <f t="shared" si="449"/>
        <v>511.12624316031673</v>
      </c>
      <c r="AB335" s="30">
        <f t="shared" si="449"/>
        <v>521.55450405214731</v>
      </c>
      <c r="AC335" s="30">
        <f t="shared" si="449"/>
        <v>532.21748454188048</v>
      </c>
      <c r="AD335" s="30">
        <f t="shared" si="449"/>
        <v>543.12083241964967</v>
      </c>
      <c r="AE335" s="30">
        <f t="shared" si="449"/>
        <v>554.27033751342992</v>
      </c>
      <c r="AF335" s="30">
        <f t="shared" si="449"/>
        <v>565.67193536562888</v>
      </c>
      <c r="AG335" s="30">
        <f t="shared" si="449"/>
        <v>577.33171100679658</v>
      </c>
      <c r="AH335" s="30">
        <f t="shared" si="449"/>
        <v>589.25590282905682</v>
      </c>
      <c r="AI335" s="30">
        <f t="shared" ref="AI335:BN335" si="450">SUM(AI235:AI334)</f>
        <v>601.45090656193599</v>
      </c>
      <c r="AJ335" s="30">
        <f t="shared" si="450"/>
        <v>613.92327935333674</v>
      </c>
      <c r="AK335" s="30">
        <f t="shared" si="450"/>
        <v>626.67974395847</v>
      </c>
      <c r="AL335" s="30">
        <f t="shared" si="450"/>
        <v>639.7271930396571</v>
      </c>
      <c r="AM335" s="30">
        <f t="shared" si="450"/>
        <v>653.0726935799596</v>
      </c>
      <c r="AN335" s="30">
        <f t="shared" si="450"/>
        <v>666.72349141371421</v>
      </c>
      <c r="AO335" s="30">
        <f t="shared" si="450"/>
        <v>680.68701587708983</v>
      </c>
      <c r="AP335" s="30">
        <f t="shared" si="450"/>
        <v>694.97088458191809</v>
      </c>
      <c r="AQ335" s="30">
        <f t="shared" si="450"/>
        <v>709.58290831608622</v>
      </c>
      <c r="AR335" s="30">
        <f t="shared" si="450"/>
        <v>723.94775449192412</v>
      </c>
      <c r="AS335" s="30">
        <f t="shared" si="450"/>
        <v>727.90325228754409</v>
      </c>
      <c r="AT335" s="30">
        <f t="shared" si="450"/>
        <v>728.42547220508004</v>
      </c>
      <c r="AU335" s="30">
        <f t="shared" si="450"/>
        <v>730.67439116888363</v>
      </c>
      <c r="AV335" s="30">
        <f t="shared" si="450"/>
        <v>711.1216299907278</v>
      </c>
      <c r="AW335" s="30">
        <f t="shared" si="450"/>
        <v>689.82601270574241</v>
      </c>
      <c r="AX335" s="30">
        <f t="shared" si="450"/>
        <v>699.90006068443665</v>
      </c>
      <c r="AY335" s="30">
        <f t="shared" si="450"/>
        <v>689.70622907804295</v>
      </c>
      <c r="AZ335" s="30">
        <f t="shared" si="450"/>
        <v>613.45617496833836</v>
      </c>
      <c r="BA335" s="30">
        <f t="shared" si="450"/>
        <v>628.76611408811777</v>
      </c>
      <c r="BB335" s="30">
        <f t="shared" si="450"/>
        <v>644.16830609585338</v>
      </c>
      <c r="BC335" s="30">
        <f t="shared" si="450"/>
        <v>660.26126516494992</v>
      </c>
      <c r="BD335" s="30">
        <f t="shared" si="450"/>
        <v>676.76347103846285</v>
      </c>
      <c r="BE335" s="30">
        <f t="shared" si="450"/>
        <v>693.6854987537813</v>
      </c>
      <c r="BF335" s="30">
        <f t="shared" si="450"/>
        <v>711.03820053676679</v>
      </c>
      <c r="BG335" s="30">
        <f t="shared" si="450"/>
        <v>727.28206376351238</v>
      </c>
      <c r="BH335" s="30">
        <f t="shared" si="450"/>
        <v>745.51089817735851</v>
      </c>
      <c r="BI335" s="30">
        <f t="shared" si="450"/>
        <v>764.20447023982945</v>
      </c>
      <c r="BJ335" s="30">
        <f t="shared" si="450"/>
        <v>783.37481369513978</v>
      </c>
    </row>
    <row r="337" spans="1:62" x14ac:dyDescent="0.3">
      <c r="A337" s="4" t="s">
        <v>254</v>
      </c>
    </row>
    <row r="338" spans="1:62" x14ac:dyDescent="0.3">
      <c r="A338" s="28" t="s">
        <v>255</v>
      </c>
      <c r="C338" s="55">
        <f t="shared" ref="C338:AH338" si="451">$B$4</f>
        <v>210</v>
      </c>
      <c r="D338" s="55">
        <f t="shared" si="451"/>
        <v>210</v>
      </c>
      <c r="E338" s="55">
        <f t="shared" si="451"/>
        <v>210</v>
      </c>
      <c r="F338" s="55">
        <f t="shared" si="451"/>
        <v>210</v>
      </c>
      <c r="G338" s="55">
        <f t="shared" si="451"/>
        <v>210</v>
      </c>
      <c r="H338" s="55">
        <f t="shared" si="451"/>
        <v>210</v>
      </c>
      <c r="I338" s="55">
        <f t="shared" si="451"/>
        <v>210</v>
      </c>
      <c r="J338" s="55">
        <f t="shared" si="451"/>
        <v>210</v>
      </c>
      <c r="K338" s="55">
        <f t="shared" si="451"/>
        <v>210</v>
      </c>
      <c r="L338" s="55">
        <f t="shared" si="451"/>
        <v>210</v>
      </c>
      <c r="M338" s="55">
        <f t="shared" si="451"/>
        <v>210</v>
      </c>
      <c r="N338" s="55">
        <f t="shared" si="451"/>
        <v>210</v>
      </c>
      <c r="O338" s="55">
        <f t="shared" si="451"/>
        <v>210</v>
      </c>
      <c r="P338" s="55">
        <f t="shared" si="451"/>
        <v>210</v>
      </c>
      <c r="Q338" s="55">
        <f t="shared" si="451"/>
        <v>210</v>
      </c>
      <c r="R338" s="55">
        <f t="shared" si="451"/>
        <v>210</v>
      </c>
      <c r="S338" s="55">
        <f t="shared" si="451"/>
        <v>210</v>
      </c>
      <c r="T338" s="55">
        <f t="shared" si="451"/>
        <v>210</v>
      </c>
      <c r="U338" s="55">
        <f t="shared" si="451"/>
        <v>210</v>
      </c>
      <c r="V338" s="55">
        <f t="shared" si="451"/>
        <v>210</v>
      </c>
      <c r="W338" s="55">
        <f t="shared" si="451"/>
        <v>210</v>
      </c>
      <c r="X338" s="55">
        <f t="shared" si="451"/>
        <v>210</v>
      </c>
      <c r="Y338" s="55">
        <f t="shared" si="451"/>
        <v>210</v>
      </c>
      <c r="Z338" s="55">
        <f t="shared" si="451"/>
        <v>210</v>
      </c>
      <c r="AA338" s="55">
        <f t="shared" si="451"/>
        <v>210</v>
      </c>
      <c r="AB338" s="55">
        <f t="shared" si="451"/>
        <v>210</v>
      </c>
      <c r="AC338" s="55">
        <f t="shared" si="451"/>
        <v>210</v>
      </c>
      <c r="AD338" s="55">
        <f t="shared" si="451"/>
        <v>210</v>
      </c>
      <c r="AE338" s="55">
        <f t="shared" si="451"/>
        <v>210</v>
      </c>
      <c r="AF338" s="55">
        <f t="shared" si="451"/>
        <v>210</v>
      </c>
      <c r="AG338" s="55">
        <f t="shared" si="451"/>
        <v>210</v>
      </c>
      <c r="AH338" s="55">
        <f t="shared" si="451"/>
        <v>210</v>
      </c>
      <c r="AI338" s="55">
        <f t="shared" ref="AI338:BJ338" si="452">$B$4</f>
        <v>210</v>
      </c>
      <c r="AJ338" s="55">
        <f t="shared" si="452"/>
        <v>210</v>
      </c>
      <c r="AK338" s="55">
        <f t="shared" si="452"/>
        <v>210</v>
      </c>
      <c r="AL338" s="55">
        <f t="shared" si="452"/>
        <v>210</v>
      </c>
      <c r="AM338" s="55">
        <f t="shared" si="452"/>
        <v>210</v>
      </c>
      <c r="AN338" s="55">
        <f t="shared" si="452"/>
        <v>210</v>
      </c>
      <c r="AO338" s="55">
        <f t="shared" si="452"/>
        <v>210</v>
      </c>
      <c r="AP338" s="55">
        <f t="shared" si="452"/>
        <v>210</v>
      </c>
      <c r="AQ338" s="55">
        <f t="shared" si="452"/>
        <v>210</v>
      </c>
      <c r="AR338" s="55">
        <f t="shared" si="452"/>
        <v>210</v>
      </c>
      <c r="AS338" s="55">
        <f t="shared" si="452"/>
        <v>210</v>
      </c>
      <c r="AT338" s="55">
        <f t="shared" si="452"/>
        <v>210</v>
      </c>
      <c r="AU338" s="55">
        <f t="shared" si="452"/>
        <v>210</v>
      </c>
      <c r="AV338" s="55">
        <f t="shared" si="452"/>
        <v>210</v>
      </c>
      <c r="AW338" s="55">
        <f t="shared" si="452"/>
        <v>210</v>
      </c>
      <c r="AX338" s="55">
        <f t="shared" si="452"/>
        <v>210</v>
      </c>
      <c r="AY338" s="55">
        <f t="shared" si="452"/>
        <v>210</v>
      </c>
      <c r="AZ338" s="55">
        <f t="shared" si="452"/>
        <v>210</v>
      </c>
      <c r="BA338" s="55">
        <f t="shared" si="452"/>
        <v>210</v>
      </c>
      <c r="BB338" s="55">
        <f t="shared" si="452"/>
        <v>210</v>
      </c>
      <c r="BC338" s="55">
        <f t="shared" si="452"/>
        <v>210</v>
      </c>
      <c r="BD338" s="55">
        <f t="shared" si="452"/>
        <v>210</v>
      </c>
      <c r="BE338" s="55">
        <f t="shared" si="452"/>
        <v>210</v>
      </c>
      <c r="BF338" s="55">
        <f t="shared" si="452"/>
        <v>210</v>
      </c>
      <c r="BG338" s="55">
        <f t="shared" si="452"/>
        <v>210</v>
      </c>
      <c r="BH338" s="55">
        <f t="shared" si="452"/>
        <v>210</v>
      </c>
      <c r="BI338" s="55">
        <f t="shared" si="452"/>
        <v>210</v>
      </c>
      <c r="BJ338" s="55">
        <f t="shared" si="452"/>
        <v>210</v>
      </c>
    </row>
    <row r="339" spans="1:62" x14ac:dyDescent="0.3">
      <c r="A339" s="28" t="s">
        <v>256</v>
      </c>
      <c r="C339" s="56">
        <f t="shared" ref="C339:AH339" si="453">IF(C$127&lt;=$B$14,1,0)</f>
        <v>1</v>
      </c>
      <c r="D339" s="56">
        <f t="shared" si="453"/>
        <v>1</v>
      </c>
      <c r="E339" s="56">
        <f t="shared" si="453"/>
        <v>1</v>
      </c>
      <c r="F339" s="56">
        <f t="shared" si="453"/>
        <v>1</v>
      </c>
      <c r="G339" s="56">
        <f t="shared" si="453"/>
        <v>1</v>
      </c>
      <c r="H339" s="56">
        <f t="shared" si="453"/>
        <v>1</v>
      </c>
      <c r="I339" s="56">
        <f t="shared" si="453"/>
        <v>1</v>
      </c>
      <c r="J339" s="56">
        <f t="shared" si="453"/>
        <v>1</v>
      </c>
      <c r="K339" s="56">
        <f t="shared" si="453"/>
        <v>1</v>
      </c>
      <c r="L339" s="56">
        <f t="shared" si="453"/>
        <v>1</v>
      </c>
      <c r="M339" s="56">
        <f t="shared" si="453"/>
        <v>1</v>
      </c>
      <c r="N339" s="56">
        <f t="shared" si="453"/>
        <v>1</v>
      </c>
      <c r="O339" s="56">
        <f t="shared" si="453"/>
        <v>1</v>
      </c>
      <c r="P339" s="56">
        <f t="shared" si="453"/>
        <v>1</v>
      </c>
      <c r="Q339" s="56">
        <f t="shared" si="453"/>
        <v>1</v>
      </c>
      <c r="R339" s="56">
        <f t="shared" si="453"/>
        <v>1</v>
      </c>
      <c r="S339" s="56">
        <f t="shared" si="453"/>
        <v>1</v>
      </c>
      <c r="T339" s="56">
        <f t="shared" si="453"/>
        <v>1</v>
      </c>
      <c r="U339" s="56">
        <f t="shared" si="453"/>
        <v>1</v>
      </c>
      <c r="V339" s="56">
        <f t="shared" si="453"/>
        <v>1</v>
      </c>
      <c r="W339" s="56">
        <f t="shared" si="453"/>
        <v>0</v>
      </c>
      <c r="X339" s="56">
        <f t="shared" si="453"/>
        <v>0</v>
      </c>
      <c r="Y339" s="56">
        <f t="shared" si="453"/>
        <v>0</v>
      </c>
      <c r="Z339" s="56">
        <f t="shared" si="453"/>
        <v>0</v>
      </c>
      <c r="AA339" s="56">
        <f t="shared" si="453"/>
        <v>0</v>
      </c>
      <c r="AB339" s="56">
        <f t="shared" si="453"/>
        <v>0</v>
      </c>
      <c r="AC339" s="56">
        <f t="shared" si="453"/>
        <v>0</v>
      </c>
      <c r="AD339" s="56">
        <f t="shared" si="453"/>
        <v>0</v>
      </c>
      <c r="AE339" s="56">
        <f t="shared" si="453"/>
        <v>0</v>
      </c>
      <c r="AF339" s="56">
        <f t="shared" si="453"/>
        <v>0</v>
      </c>
      <c r="AG339" s="56">
        <f t="shared" si="453"/>
        <v>0</v>
      </c>
      <c r="AH339" s="56">
        <f t="shared" si="453"/>
        <v>0</v>
      </c>
      <c r="AI339" s="56">
        <f t="shared" ref="AI339:BJ339" si="454">IF(AI$127&lt;=$B$14,1,0)</f>
        <v>0</v>
      </c>
      <c r="AJ339" s="56">
        <f t="shared" si="454"/>
        <v>0</v>
      </c>
      <c r="AK339" s="56">
        <f t="shared" si="454"/>
        <v>0</v>
      </c>
      <c r="AL339" s="56">
        <f t="shared" si="454"/>
        <v>0</v>
      </c>
      <c r="AM339" s="56">
        <f t="shared" si="454"/>
        <v>0</v>
      </c>
      <c r="AN339" s="56">
        <f t="shared" si="454"/>
        <v>0</v>
      </c>
      <c r="AO339" s="56">
        <f t="shared" si="454"/>
        <v>0</v>
      </c>
      <c r="AP339" s="56">
        <f t="shared" si="454"/>
        <v>0</v>
      </c>
      <c r="AQ339" s="56">
        <f t="shared" si="454"/>
        <v>0</v>
      </c>
      <c r="AR339" s="56">
        <f t="shared" si="454"/>
        <v>0</v>
      </c>
      <c r="AS339" s="56">
        <f t="shared" si="454"/>
        <v>0</v>
      </c>
      <c r="AT339" s="56">
        <f t="shared" si="454"/>
        <v>0</v>
      </c>
      <c r="AU339" s="56">
        <f t="shared" si="454"/>
        <v>0</v>
      </c>
      <c r="AV339" s="56">
        <f t="shared" si="454"/>
        <v>0</v>
      </c>
      <c r="AW339" s="56">
        <f t="shared" si="454"/>
        <v>0</v>
      </c>
      <c r="AX339" s="56">
        <f t="shared" si="454"/>
        <v>0</v>
      </c>
      <c r="AY339" s="56">
        <f t="shared" si="454"/>
        <v>0</v>
      </c>
      <c r="AZ339" s="56">
        <f t="shared" si="454"/>
        <v>0</v>
      </c>
      <c r="BA339" s="56">
        <f t="shared" si="454"/>
        <v>0</v>
      </c>
      <c r="BB339" s="56">
        <f t="shared" si="454"/>
        <v>0</v>
      </c>
      <c r="BC339" s="56">
        <f t="shared" si="454"/>
        <v>0</v>
      </c>
      <c r="BD339" s="56">
        <f t="shared" si="454"/>
        <v>0</v>
      </c>
      <c r="BE339" s="56">
        <f t="shared" si="454"/>
        <v>0</v>
      </c>
      <c r="BF339" s="56">
        <f t="shared" si="454"/>
        <v>0</v>
      </c>
      <c r="BG339" s="56">
        <f t="shared" si="454"/>
        <v>0</v>
      </c>
      <c r="BH339" s="56">
        <f t="shared" si="454"/>
        <v>0</v>
      </c>
      <c r="BI339" s="56">
        <f t="shared" si="454"/>
        <v>0</v>
      </c>
      <c r="BJ339" s="56">
        <f t="shared" si="454"/>
        <v>0</v>
      </c>
    </row>
    <row r="340" spans="1:62" x14ac:dyDescent="0.3">
      <c r="A340" s="28" t="s">
        <v>257</v>
      </c>
      <c r="C340" s="55">
        <f t="shared" ref="C340:AH340" si="455">C338*C339</f>
        <v>210</v>
      </c>
      <c r="D340" s="55">
        <f t="shared" si="455"/>
        <v>210</v>
      </c>
      <c r="E340" s="55">
        <f t="shared" si="455"/>
        <v>210</v>
      </c>
      <c r="F340" s="55">
        <f t="shared" si="455"/>
        <v>210</v>
      </c>
      <c r="G340" s="55">
        <f t="shared" si="455"/>
        <v>210</v>
      </c>
      <c r="H340" s="55">
        <f t="shared" si="455"/>
        <v>210</v>
      </c>
      <c r="I340" s="55">
        <f t="shared" si="455"/>
        <v>210</v>
      </c>
      <c r="J340" s="55">
        <f t="shared" si="455"/>
        <v>210</v>
      </c>
      <c r="K340" s="55">
        <f t="shared" si="455"/>
        <v>210</v>
      </c>
      <c r="L340" s="55">
        <f t="shared" si="455"/>
        <v>210</v>
      </c>
      <c r="M340" s="55">
        <f t="shared" si="455"/>
        <v>210</v>
      </c>
      <c r="N340" s="55">
        <f t="shared" si="455"/>
        <v>210</v>
      </c>
      <c r="O340" s="55">
        <f t="shared" si="455"/>
        <v>210</v>
      </c>
      <c r="P340" s="55">
        <f t="shared" si="455"/>
        <v>210</v>
      </c>
      <c r="Q340" s="55">
        <f t="shared" si="455"/>
        <v>210</v>
      </c>
      <c r="R340" s="55">
        <f t="shared" si="455"/>
        <v>210</v>
      </c>
      <c r="S340" s="55">
        <f t="shared" si="455"/>
        <v>210</v>
      </c>
      <c r="T340" s="55">
        <f t="shared" si="455"/>
        <v>210</v>
      </c>
      <c r="U340" s="55">
        <f t="shared" si="455"/>
        <v>210</v>
      </c>
      <c r="V340" s="55">
        <f t="shared" si="455"/>
        <v>210</v>
      </c>
      <c r="W340" s="55">
        <f t="shared" si="455"/>
        <v>0</v>
      </c>
      <c r="X340" s="55">
        <f t="shared" si="455"/>
        <v>0</v>
      </c>
      <c r="Y340" s="55">
        <f t="shared" si="455"/>
        <v>0</v>
      </c>
      <c r="Z340" s="55">
        <f t="shared" si="455"/>
        <v>0</v>
      </c>
      <c r="AA340" s="55">
        <f t="shared" si="455"/>
        <v>0</v>
      </c>
      <c r="AB340" s="55">
        <f t="shared" si="455"/>
        <v>0</v>
      </c>
      <c r="AC340" s="55">
        <f t="shared" si="455"/>
        <v>0</v>
      </c>
      <c r="AD340" s="55">
        <f t="shared" si="455"/>
        <v>0</v>
      </c>
      <c r="AE340" s="55">
        <f t="shared" si="455"/>
        <v>0</v>
      </c>
      <c r="AF340" s="55">
        <f t="shared" si="455"/>
        <v>0</v>
      </c>
      <c r="AG340" s="55">
        <f t="shared" si="455"/>
        <v>0</v>
      </c>
      <c r="AH340" s="55">
        <f t="shared" si="455"/>
        <v>0</v>
      </c>
      <c r="AI340" s="55">
        <f t="shared" ref="AI340:BN340" si="456">AI338*AI339</f>
        <v>0</v>
      </c>
      <c r="AJ340" s="55">
        <f t="shared" si="456"/>
        <v>0</v>
      </c>
      <c r="AK340" s="55">
        <f t="shared" si="456"/>
        <v>0</v>
      </c>
      <c r="AL340" s="55">
        <f t="shared" si="456"/>
        <v>0</v>
      </c>
      <c r="AM340" s="55">
        <f t="shared" si="456"/>
        <v>0</v>
      </c>
      <c r="AN340" s="55">
        <f t="shared" si="456"/>
        <v>0</v>
      </c>
      <c r="AO340" s="55">
        <f t="shared" si="456"/>
        <v>0</v>
      </c>
      <c r="AP340" s="55">
        <f t="shared" si="456"/>
        <v>0</v>
      </c>
      <c r="AQ340" s="55">
        <f t="shared" si="456"/>
        <v>0</v>
      </c>
      <c r="AR340" s="55">
        <f t="shared" si="456"/>
        <v>0</v>
      </c>
      <c r="AS340" s="55">
        <f t="shared" si="456"/>
        <v>0</v>
      </c>
      <c r="AT340" s="55">
        <f t="shared" si="456"/>
        <v>0</v>
      </c>
      <c r="AU340" s="55">
        <f t="shared" si="456"/>
        <v>0</v>
      </c>
      <c r="AV340" s="55">
        <f t="shared" si="456"/>
        <v>0</v>
      </c>
      <c r="AW340" s="55">
        <f t="shared" si="456"/>
        <v>0</v>
      </c>
      <c r="AX340" s="55">
        <f t="shared" si="456"/>
        <v>0</v>
      </c>
      <c r="AY340" s="55">
        <f t="shared" si="456"/>
        <v>0</v>
      </c>
      <c r="AZ340" s="55">
        <f t="shared" si="456"/>
        <v>0</v>
      </c>
      <c r="BA340" s="55">
        <f t="shared" si="456"/>
        <v>0</v>
      </c>
      <c r="BB340" s="55">
        <f t="shared" si="456"/>
        <v>0</v>
      </c>
      <c r="BC340" s="55">
        <f t="shared" si="456"/>
        <v>0</v>
      </c>
      <c r="BD340" s="55">
        <f t="shared" si="456"/>
        <v>0</v>
      </c>
      <c r="BE340" s="55">
        <f t="shared" si="456"/>
        <v>0</v>
      </c>
      <c r="BF340" s="55">
        <f t="shared" si="456"/>
        <v>0</v>
      </c>
      <c r="BG340" s="55">
        <f t="shared" si="456"/>
        <v>0</v>
      </c>
      <c r="BH340" s="55">
        <f t="shared" si="456"/>
        <v>0</v>
      </c>
      <c r="BI340" s="55">
        <f t="shared" si="456"/>
        <v>0</v>
      </c>
      <c r="BJ340" s="55">
        <f t="shared" si="456"/>
        <v>0</v>
      </c>
    </row>
    <row r="341" spans="1:62" x14ac:dyDescent="0.3">
      <c r="A341" s="28" t="s">
        <v>258</v>
      </c>
      <c r="C341" s="55">
        <f t="shared" ref="C341:AH341" si="457">C232</f>
        <v>167.99630100880512</v>
      </c>
      <c r="D341" s="55">
        <f t="shared" si="457"/>
        <v>238.18531251845118</v>
      </c>
      <c r="E341" s="55">
        <f t="shared" si="457"/>
        <v>223.71115974628347</v>
      </c>
      <c r="F341" s="55">
        <f t="shared" si="457"/>
        <v>203.40581969309989</v>
      </c>
      <c r="G341" s="55">
        <f t="shared" si="457"/>
        <v>200.85447329786123</v>
      </c>
      <c r="H341" s="55">
        <f t="shared" si="457"/>
        <v>225.86672035887673</v>
      </c>
      <c r="I341" s="55">
        <f t="shared" si="457"/>
        <v>208.67881643029239</v>
      </c>
      <c r="J341" s="55">
        <f t="shared" si="457"/>
        <v>131.78171788420065</v>
      </c>
      <c r="K341" s="55">
        <f t="shared" si="457"/>
        <v>42.523701854985987</v>
      </c>
      <c r="L341" s="55">
        <f t="shared" si="457"/>
        <v>3.38343105523921</v>
      </c>
      <c r="M341" s="55">
        <f t="shared" si="457"/>
        <v>3.5375706265955666</v>
      </c>
      <c r="N341" s="55">
        <f t="shared" si="457"/>
        <v>5.0604872787427722</v>
      </c>
      <c r="O341" s="55">
        <f t="shared" si="457"/>
        <v>11.224296091049132</v>
      </c>
      <c r="P341" s="55">
        <f t="shared" si="457"/>
        <v>25.055197868193581</v>
      </c>
      <c r="Q341" s="55">
        <f t="shared" si="457"/>
        <v>37.131595588242391</v>
      </c>
      <c r="R341" s="55">
        <f t="shared" si="457"/>
        <v>46.51447218302679</v>
      </c>
      <c r="S341" s="55">
        <f t="shared" si="457"/>
        <v>104.03576752546675</v>
      </c>
      <c r="T341" s="55">
        <f t="shared" si="457"/>
        <v>334.45892099898566</v>
      </c>
      <c r="U341" s="55">
        <f t="shared" si="457"/>
        <v>764.53361522123862</v>
      </c>
      <c r="V341" s="55">
        <f t="shared" si="457"/>
        <v>851.70755848436761</v>
      </c>
      <c r="W341" s="55">
        <f t="shared" si="457"/>
        <v>0</v>
      </c>
      <c r="X341" s="55">
        <f t="shared" si="457"/>
        <v>0</v>
      </c>
      <c r="Y341" s="55">
        <f t="shared" si="457"/>
        <v>0</v>
      </c>
      <c r="Z341" s="55">
        <f t="shared" si="457"/>
        <v>0</v>
      </c>
      <c r="AA341" s="55">
        <f t="shared" si="457"/>
        <v>0</v>
      </c>
      <c r="AB341" s="55">
        <f t="shared" si="457"/>
        <v>0</v>
      </c>
      <c r="AC341" s="55">
        <f t="shared" si="457"/>
        <v>0</v>
      </c>
      <c r="AD341" s="55">
        <f t="shared" si="457"/>
        <v>0</v>
      </c>
      <c r="AE341" s="55">
        <f t="shared" si="457"/>
        <v>0</v>
      </c>
      <c r="AF341" s="55">
        <f t="shared" si="457"/>
        <v>0</v>
      </c>
      <c r="AG341" s="55">
        <f t="shared" si="457"/>
        <v>0</v>
      </c>
      <c r="AH341" s="55">
        <f t="shared" si="457"/>
        <v>0</v>
      </c>
      <c r="AI341" s="55">
        <f t="shared" ref="AI341:BJ341" si="458">AI232</f>
        <v>0</v>
      </c>
      <c r="AJ341" s="55">
        <f t="shared" si="458"/>
        <v>0</v>
      </c>
      <c r="AK341" s="55">
        <f t="shared" si="458"/>
        <v>0</v>
      </c>
      <c r="AL341" s="55">
        <f t="shared" si="458"/>
        <v>0</v>
      </c>
      <c r="AM341" s="55">
        <f t="shared" si="458"/>
        <v>0</v>
      </c>
      <c r="AN341" s="55">
        <f t="shared" si="458"/>
        <v>0</v>
      </c>
      <c r="AO341" s="55">
        <f t="shared" si="458"/>
        <v>0</v>
      </c>
      <c r="AP341" s="55">
        <f t="shared" si="458"/>
        <v>0</v>
      </c>
      <c r="AQ341" s="55">
        <f t="shared" si="458"/>
        <v>0</v>
      </c>
      <c r="AR341" s="55">
        <f t="shared" si="458"/>
        <v>0</v>
      </c>
      <c r="AS341" s="55">
        <f t="shared" si="458"/>
        <v>0</v>
      </c>
      <c r="AT341" s="55">
        <f t="shared" si="458"/>
        <v>0</v>
      </c>
      <c r="AU341" s="55">
        <f t="shared" si="458"/>
        <v>0</v>
      </c>
      <c r="AV341" s="55">
        <f t="shared" si="458"/>
        <v>0</v>
      </c>
      <c r="AW341" s="55">
        <f t="shared" si="458"/>
        <v>0</v>
      </c>
      <c r="AX341" s="55">
        <f t="shared" si="458"/>
        <v>0</v>
      </c>
      <c r="AY341" s="55">
        <f t="shared" si="458"/>
        <v>0</v>
      </c>
      <c r="AZ341" s="55">
        <f t="shared" si="458"/>
        <v>0</v>
      </c>
      <c r="BA341" s="55">
        <f t="shared" si="458"/>
        <v>0</v>
      </c>
      <c r="BB341" s="55">
        <f t="shared" si="458"/>
        <v>0</v>
      </c>
      <c r="BC341" s="55">
        <f t="shared" si="458"/>
        <v>0</v>
      </c>
      <c r="BD341" s="55">
        <f t="shared" si="458"/>
        <v>0</v>
      </c>
      <c r="BE341" s="55">
        <f t="shared" si="458"/>
        <v>0</v>
      </c>
      <c r="BF341" s="55">
        <f t="shared" si="458"/>
        <v>0</v>
      </c>
      <c r="BG341" s="55">
        <f t="shared" si="458"/>
        <v>0</v>
      </c>
      <c r="BH341" s="55">
        <f t="shared" si="458"/>
        <v>0</v>
      </c>
      <c r="BI341" s="55">
        <f t="shared" si="458"/>
        <v>0</v>
      </c>
      <c r="BJ341" s="55">
        <f t="shared" si="458"/>
        <v>0</v>
      </c>
    </row>
    <row r="342" spans="1:62" x14ac:dyDescent="0.3">
      <c r="A342" s="28" t="s">
        <v>259</v>
      </c>
      <c r="C342" s="55">
        <f>0</f>
        <v>0</v>
      </c>
      <c r="D342" s="55">
        <f t="shared" ref="D342:AI342" si="459">C344</f>
        <v>42.003698991194881</v>
      </c>
      <c r="E342" s="55">
        <f t="shared" si="459"/>
        <v>13.818386472743697</v>
      </c>
      <c r="F342" s="55">
        <f t="shared" si="459"/>
        <v>0.10722672646022602</v>
      </c>
      <c r="G342" s="55">
        <f t="shared" si="459"/>
        <v>6.7014070333603399</v>
      </c>
      <c r="H342" s="55">
        <f t="shared" si="459"/>
        <v>15.846933735499107</v>
      </c>
      <c r="I342" s="55">
        <f t="shared" si="459"/>
        <v>-1.9786623377626711E-2</v>
      </c>
      <c r="J342" s="55">
        <f t="shared" si="459"/>
        <v>1.3013969463299873</v>
      </c>
      <c r="K342" s="55">
        <f t="shared" si="459"/>
        <v>79.519679062129342</v>
      </c>
      <c r="L342" s="55">
        <f t="shared" si="459"/>
        <v>246.99597720714337</v>
      </c>
      <c r="M342" s="55">
        <f t="shared" si="459"/>
        <v>453.61254615190416</v>
      </c>
      <c r="N342" s="55">
        <f t="shared" si="459"/>
        <v>660.07497552530856</v>
      </c>
      <c r="O342" s="55">
        <f t="shared" si="459"/>
        <v>865.01448824656575</v>
      </c>
      <c r="P342" s="55">
        <f t="shared" si="459"/>
        <v>1063.7901921555165</v>
      </c>
      <c r="Q342" s="55">
        <f t="shared" si="459"/>
        <v>1248.7349942873229</v>
      </c>
      <c r="R342" s="55">
        <f t="shared" si="459"/>
        <v>1421.6033986990806</v>
      </c>
      <c r="S342" s="55">
        <f t="shared" si="459"/>
        <v>1585.0889265160538</v>
      </c>
      <c r="T342" s="55">
        <f t="shared" si="459"/>
        <v>1691.053158990587</v>
      </c>
      <c r="U342" s="55">
        <f t="shared" si="459"/>
        <v>1566.5942379916014</v>
      </c>
      <c r="V342" s="55">
        <f t="shared" si="459"/>
        <v>1012.0606227703628</v>
      </c>
      <c r="W342" s="55">
        <f t="shared" si="459"/>
        <v>0</v>
      </c>
      <c r="X342" s="55">
        <f t="shared" si="459"/>
        <v>0</v>
      </c>
      <c r="Y342" s="55">
        <f t="shared" si="459"/>
        <v>0</v>
      </c>
      <c r="Z342" s="55">
        <f t="shared" si="459"/>
        <v>0</v>
      </c>
      <c r="AA342" s="55">
        <f t="shared" si="459"/>
        <v>0</v>
      </c>
      <c r="AB342" s="55">
        <f t="shared" si="459"/>
        <v>0</v>
      </c>
      <c r="AC342" s="55">
        <f t="shared" si="459"/>
        <v>0</v>
      </c>
      <c r="AD342" s="55">
        <f t="shared" si="459"/>
        <v>0</v>
      </c>
      <c r="AE342" s="55">
        <f t="shared" si="459"/>
        <v>0</v>
      </c>
      <c r="AF342" s="55">
        <f t="shared" si="459"/>
        <v>0</v>
      </c>
      <c r="AG342" s="55">
        <f t="shared" si="459"/>
        <v>0</v>
      </c>
      <c r="AH342" s="55">
        <f t="shared" si="459"/>
        <v>0</v>
      </c>
      <c r="AI342" s="55">
        <f t="shared" si="459"/>
        <v>0</v>
      </c>
      <c r="AJ342" s="55">
        <f t="shared" ref="AJ342:BJ342" si="460">AI344</f>
        <v>0</v>
      </c>
      <c r="AK342" s="55">
        <f t="shared" si="460"/>
        <v>0</v>
      </c>
      <c r="AL342" s="55">
        <f t="shared" si="460"/>
        <v>0</v>
      </c>
      <c r="AM342" s="55">
        <f t="shared" si="460"/>
        <v>0</v>
      </c>
      <c r="AN342" s="55">
        <f t="shared" si="460"/>
        <v>0</v>
      </c>
      <c r="AO342" s="55">
        <f t="shared" si="460"/>
        <v>0</v>
      </c>
      <c r="AP342" s="55">
        <f t="shared" si="460"/>
        <v>0</v>
      </c>
      <c r="AQ342" s="55">
        <f t="shared" si="460"/>
        <v>0</v>
      </c>
      <c r="AR342" s="55">
        <f t="shared" si="460"/>
        <v>0</v>
      </c>
      <c r="AS342" s="55">
        <f t="shared" si="460"/>
        <v>0</v>
      </c>
      <c r="AT342" s="55">
        <f t="shared" si="460"/>
        <v>0</v>
      </c>
      <c r="AU342" s="55">
        <f t="shared" si="460"/>
        <v>0</v>
      </c>
      <c r="AV342" s="55">
        <f t="shared" si="460"/>
        <v>0</v>
      </c>
      <c r="AW342" s="55">
        <f t="shared" si="460"/>
        <v>0</v>
      </c>
      <c r="AX342" s="55">
        <f t="shared" si="460"/>
        <v>0</v>
      </c>
      <c r="AY342" s="55">
        <f t="shared" si="460"/>
        <v>0</v>
      </c>
      <c r="AZ342" s="55">
        <f t="shared" si="460"/>
        <v>0</v>
      </c>
      <c r="BA342" s="55">
        <f t="shared" si="460"/>
        <v>0</v>
      </c>
      <c r="BB342" s="55">
        <f t="shared" si="460"/>
        <v>0</v>
      </c>
      <c r="BC342" s="55">
        <f t="shared" si="460"/>
        <v>0</v>
      </c>
      <c r="BD342" s="55">
        <f t="shared" si="460"/>
        <v>0</v>
      </c>
      <c r="BE342" s="55">
        <f t="shared" si="460"/>
        <v>0</v>
      </c>
      <c r="BF342" s="55">
        <f t="shared" si="460"/>
        <v>0</v>
      </c>
      <c r="BG342" s="55">
        <f t="shared" si="460"/>
        <v>0</v>
      </c>
      <c r="BH342" s="55">
        <f t="shared" si="460"/>
        <v>0</v>
      </c>
      <c r="BI342" s="55">
        <f t="shared" si="460"/>
        <v>0</v>
      </c>
      <c r="BJ342" s="55">
        <f t="shared" si="460"/>
        <v>0</v>
      </c>
    </row>
    <row r="343" spans="1:62" x14ac:dyDescent="0.3">
      <c r="A343" s="28" t="s">
        <v>260</v>
      </c>
      <c r="C343" s="55">
        <f t="shared" ref="C343:AH343" si="461">IF(C$127=$B$14,C342+C340-C341,0)</f>
        <v>0</v>
      </c>
      <c r="D343" s="55">
        <f t="shared" si="461"/>
        <v>0</v>
      </c>
      <c r="E343" s="55">
        <f t="shared" si="461"/>
        <v>0</v>
      </c>
      <c r="F343" s="55">
        <f t="shared" si="461"/>
        <v>0</v>
      </c>
      <c r="G343" s="55">
        <f t="shared" si="461"/>
        <v>0</v>
      </c>
      <c r="H343" s="55">
        <f t="shared" si="461"/>
        <v>0</v>
      </c>
      <c r="I343" s="55">
        <f t="shared" si="461"/>
        <v>0</v>
      </c>
      <c r="J343" s="55">
        <f t="shared" si="461"/>
        <v>0</v>
      </c>
      <c r="K343" s="55">
        <f t="shared" si="461"/>
        <v>0</v>
      </c>
      <c r="L343" s="55">
        <f t="shared" si="461"/>
        <v>0</v>
      </c>
      <c r="M343" s="55">
        <f t="shared" si="461"/>
        <v>0</v>
      </c>
      <c r="N343" s="55">
        <f t="shared" si="461"/>
        <v>0</v>
      </c>
      <c r="O343" s="55">
        <f t="shared" si="461"/>
        <v>0</v>
      </c>
      <c r="P343" s="55">
        <f t="shared" si="461"/>
        <v>0</v>
      </c>
      <c r="Q343" s="55">
        <f t="shared" si="461"/>
        <v>0</v>
      </c>
      <c r="R343" s="55">
        <f t="shared" si="461"/>
        <v>0</v>
      </c>
      <c r="S343" s="55">
        <f t="shared" si="461"/>
        <v>0</v>
      </c>
      <c r="T343" s="55">
        <f t="shared" si="461"/>
        <v>0</v>
      </c>
      <c r="U343" s="55">
        <f t="shared" si="461"/>
        <v>0</v>
      </c>
      <c r="V343" s="55">
        <f t="shared" si="461"/>
        <v>370.35306428599529</v>
      </c>
      <c r="W343" s="55">
        <f t="shared" si="461"/>
        <v>0</v>
      </c>
      <c r="X343" s="55">
        <f t="shared" si="461"/>
        <v>0</v>
      </c>
      <c r="Y343" s="55">
        <f t="shared" si="461"/>
        <v>0</v>
      </c>
      <c r="Z343" s="55">
        <f t="shared" si="461"/>
        <v>0</v>
      </c>
      <c r="AA343" s="55">
        <f t="shared" si="461"/>
        <v>0</v>
      </c>
      <c r="AB343" s="55">
        <f t="shared" si="461"/>
        <v>0</v>
      </c>
      <c r="AC343" s="55">
        <f t="shared" si="461"/>
        <v>0</v>
      </c>
      <c r="AD343" s="55">
        <f t="shared" si="461"/>
        <v>0</v>
      </c>
      <c r="AE343" s="55">
        <f t="shared" si="461"/>
        <v>0</v>
      </c>
      <c r="AF343" s="55">
        <f t="shared" si="461"/>
        <v>0</v>
      </c>
      <c r="AG343" s="55">
        <f t="shared" si="461"/>
        <v>0</v>
      </c>
      <c r="AH343" s="55">
        <f t="shared" si="461"/>
        <v>0</v>
      </c>
      <c r="AI343" s="55">
        <f t="shared" ref="AI343:BN343" si="462">IF(AI$127=$B$14,AI342+AI340-AI341,0)</f>
        <v>0</v>
      </c>
      <c r="AJ343" s="55">
        <f t="shared" si="462"/>
        <v>0</v>
      </c>
      <c r="AK343" s="55">
        <f t="shared" si="462"/>
        <v>0</v>
      </c>
      <c r="AL343" s="55">
        <f t="shared" si="462"/>
        <v>0</v>
      </c>
      <c r="AM343" s="55">
        <f t="shared" si="462"/>
        <v>0</v>
      </c>
      <c r="AN343" s="55">
        <f t="shared" si="462"/>
        <v>0</v>
      </c>
      <c r="AO343" s="55">
        <f t="shared" si="462"/>
        <v>0</v>
      </c>
      <c r="AP343" s="55">
        <f t="shared" si="462"/>
        <v>0</v>
      </c>
      <c r="AQ343" s="55">
        <f t="shared" si="462"/>
        <v>0</v>
      </c>
      <c r="AR343" s="55">
        <f t="shared" si="462"/>
        <v>0</v>
      </c>
      <c r="AS343" s="55">
        <f t="shared" si="462"/>
        <v>0</v>
      </c>
      <c r="AT343" s="55">
        <f t="shared" si="462"/>
        <v>0</v>
      </c>
      <c r="AU343" s="55">
        <f t="shared" si="462"/>
        <v>0</v>
      </c>
      <c r="AV343" s="55">
        <f t="shared" si="462"/>
        <v>0</v>
      </c>
      <c r="AW343" s="55">
        <f t="shared" si="462"/>
        <v>0</v>
      </c>
      <c r="AX343" s="55">
        <f t="shared" si="462"/>
        <v>0</v>
      </c>
      <c r="AY343" s="55">
        <f t="shared" si="462"/>
        <v>0</v>
      </c>
      <c r="AZ343" s="55">
        <f t="shared" si="462"/>
        <v>0</v>
      </c>
      <c r="BA343" s="55">
        <f t="shared" si="462"/>
        <v>0</v>
      </c>
      <c r="BB343" s="55">
        <f t="shared" si="462"/>
        <v>0</v>
      </c>
      <c r="BC343" s="55">
        <f t="shared" si="462"/>
        <v>0</v>
      </c>
      <c r="BD343" s="55">
        <f t="shared" si="462"/>
        <v>0</v>
      </c>
      <c r="BE343" s="55">
        <f t="shared" si="462"/>
        <v>0</v>
      </c>
      <c r="BF343" s="55">
        <f t="shared" si="462"/>
        <v>0</v>
      </c>
      <c r="BG343" s="55">
        <f t="shared" si="462"/>
        <v>0</v>
      </c>
      <c r="BH343" s="55">
        <f t="shared" si="462"/>
        <v>0</v>
      </c>
      <c r="BI343" s="55">
        <f t="shared" si="462"/>
        <v>0</v>
      </c>
      <c r="BJ343" s="55">
        <f t="shared" si="462"/>
        <v>0</v>
      </c>
    </row>
    <row r="344" spans="1:62" x14ac:dyDescent="0.3">
      <c r="A344" s="4" t="s">
        <v>261</v>
      </c>
      <c r="C344" s="55">
        <f t="shared" ref="C344:AH344" si="463">C342+C340-C341-C343</f>
        <v>42.003698991194881</v>
      </c>
      <c r="D344" s="55">
        <f t="shared" si="463"/>
        <v>13.818386472743697</v>
      </c>
      <c r="E344" s="55">
        <f t="shared" si="463"/>
        <v>0.10722672646022602</v>
      </c>
      <c r="F344" s="55">
        <f t="shared" si="463"/>
        <v>6.7014070333603399</v>
      </c>
      <c r="G344" s="55">
        <f t="shared" si="463"/>
        <v>15.846933735499107</v>
      </c>
      <c r="H344" s="55">
        <f t="shared" si="463"/>
        <v>-1.9786623377626711E-2</v>
      </c>
      <c r="I344" s="55">
        <f t="shared" si="463"/>
        <v>1.3013969463299873</v>
      </c>
      <c r="J344" s="55">
        <f t="shared" si="463"/>
        <v>79.519679062129342</v>
      </c>
      <c r="K344" s="55">
        <f t="shared" si="463"/>
        <v>246.99597720714337</v>
      </c>
      <c r="L344" s="55">
        <f t="shared" si="463"/>
        <v>453.61254615190416</v>
      </c>
      <c r="M344" s="55">
        <f t="shared" si="463"/>
        <v>660.07497552530856</v>
      </c>
      <c r="N344" s="55">
        <f t="shared" si="463"/>
        <v>865.01448824656575</v>
      </c>
      <c r="O344" s="55">
        <f t="shared" si="463"/>
        <v>1063.7901921555165</v>
      </c>
      <c r="P344" s="55">
        <f t="shared" si="463"/>
        <v>1248.7349942873229</v>
      </c>
      <c r="Q344" s="55">
        <f t="shared" si="463"/>
        <v>1421.6033986990806</v>
      </c>
      <c r="R344" s="55">
        <f t="shared" si="463"/>
        <v>1585.0889265160538</v>
      </c>
      <c r="S344" s="55">
        <f t="shared" si="463"/>
        <v>1691.053158990587</v>
      </c>
      <c r="T344" s="55">
        <f t="shared" si="463"/>
        <v>1566.5942379916014</v>
      </c>
      <c r="U344" s="55">
        <f t="shared" si="463"/>
        <v>1012.0606227703628</v>
      </c>
      <c r="V344" s="55">
        <f t="shared" si="463"/>
        <v>0</v>
      </c>
      <c r="W344" s="55">
        <f t="shared" si="463"/>
        <v>0</v>
      </c>
      <c r="X344" s="55">
        <f t="shared" si="463"/>
        <v>0</v>
      </c>
      <c r="Y344" s="55">
        <f t="shared" si="463"/>
        <v>0</v>
      </c>
      <c r="Z344" s="55">
        <f t="shared" si="463"/>
        <v>0</v>
      </c>
      <c r="AA344" s="55">
        <f t="shared" si="463"/>
        <v>0</v>
      </c>
      <c r="AB344" s="55">
        <f t="shared" si="463"/>
        <v>0</v>
      </c>
      <c r="AC344" s="55">
        <f t="shared" si="463"/>
        <v>0</v>
      </c>
      <c r="AD344" s="55">
        <f t="shared" si="463"/>
        <v>0</v>
      </c>
      <c r="AE344" s="55">
        <f t="shared" si="463"/>
        <v>0</v>
      </c>
      <c r="AF344" s="55">
        <f t="shared" si="463"/>
        <v>0</v>
      </c>
      <c r="AG344" s="55">
        <f t="shared" si="463"/>
        <v>0</v>
      </c>
      <c r="AH344" s="55">
        <f t="shared" si="463"/>
        <v>0</v>
      </c>
      <c r="AI344" s="55">
        <f t="shared" ref="AI344:BN344" si="464">AI342+AI340-AI341-AI343</f>
        <v>0</v>
      </c>
      <c r="AJ344" s="55">
        <f t="shared" si="464"/>
        <v>0</v>
      </c>
      <c r="AK344" s="55">
        <f t="shared" si="464"/>
        <v>0</v>
      </c>
      <c r="AL344" s="55">
        <f t="shared" si="464"/>
        <v>0</v>
      </c>
      <c r="AM344" s="55">
        <f t="shared" si="464"/>
        <v>0</v>
      </c>
      <c r="AN344" s="55">
        <f t="shared" si="464"/>
        <v>0</v>
      </c>
      <c r="AO344" s="55">
        <f t="shared" si="464"/>
        <v>0</v>
      </c>
      <c r="AP344" s="55">
        <f t="shared" si="464"/>
        <v>0</v>
      </c>
      <c r="AQ344" s="55">
        <f t="shared" si="464"/>
        <v>0</v>
      </c>
      <c r="AR344" s="55">
        <f t="shared" si="464"/>
        <v>0</v>
      </c>
      <c r="AS344" s="55">
        <f t="shared" si="464"/>
        <v>0</v>
      </c>
      <c r="AT344" s="55">
        <f t="shared" si="464"/>
        <v>0</v>
      </c>
      <c r="AU344" s="55">
        <f t="shared" si="464"/>
        <v>0</v>
      </c>
      <c r="AV344" s="55">
        <f t="shared" si="464"/>
        <v>0</v>
      </c>
      <c r="AW344" s="55">
        <f t="shared" si="464"/>
        <v>0</v>
      </c>
      <c r="AX344" s="55">
        <f t="shared" si="464"/>
        <v>0</v>
      </c>
      <c r="AY344" s="55">
        <f t="shared" si="464"/>
        <v>0</v>
      </c>
      <c r="AZ344" s="55">
        <f t="shared" si="464"/>
        <v>0</v>
      </c>
      <c r="BA344" s="55">
        <f t="shared" si="464"/>
        <v>0</v>
      </c>
      <c r="BB344" s="55">
        <f t="shared" si="464"/>
        <v>0</v>
      </c>
      <c r="BC344" s="55">
        <f t="shared" si="464"/>
        <v>0</v>
      </c>
      <c r="BD344" s="55">
        <f t="shared" si="464"/>
        <v>0</v>
      </c>
      <c r="BE344" s="55">
        <f t="shared" si="464"/>
        <v>0</v>
      </c>
      <c r="BF344" s="55">
        <f t="shared" si="464"/>
        <v>0</v>
      </c>
      <c r="BG344" s="55">
        <f t="shared" si="464"/>
        <v>0</v>
      </c>
      <c r="BH344" s="55">
        <f t="shared" si="464"/>
        <v>0</v>
      </c>
      <c r="BI344" s="55">
        <f t="shared" si="464"/>
        <v>0</v>
      </c>
      <c r="BJ344" s="55">
        <f t="shared" si="464"/>
        <v>0</v>
      </c>
    </row>
    <row r="345" spans="1:62" x14ac:dyDescent="0.3">
      <c r="A345" s="28" t="s">
        <v>262</v>
      </c>
      <c r="C345" s="56">
        <f t="shared" ref="C345:AH345" si="465">IF(C$127&lt;$B$14,1,0)</f>
        <v>1</v>
      </c>
      <c r="D345" s="56">
        <f t="shared" si="465"/>
        <v>1</v>
      </c>
      <c r="E345" s="56">
        <f t="shared" si="465"/>
        <v>1</v>
      </c>
      <c r="F345" s="56">
        <f t="shared" si="465"/>
        <v>1</v>
      </c>
      <c r="G345" s="56">
        <f t="shared" si="465"/>
        <v>1</v>
      </c>
      <c r="H345" s="56">
        <f t="shared" si="465"/>
        <v>1</v>
      </c>
      <c r="I345" s="56">
        <f t="shared" si="465"/>
        <v>1</v>
      </c>
      <c r="J345" s="56">
        <f t="shared" si="465"/>
        <v>1</v>
      </c>
      <c r="K345" s="56">
        <f t="shared" si="465"/>
        <v>1</v>
      </c>
      <c r="L345" s="56">
        <f t="shared" si="465"/>
        <v>1</v>
      </c>
      <c r="M345" s="56">
        <f t="shared" si="465"/>
        <v>1</v>
      </c>
      <c r="N345" s="56">
        <f t="shared" si="465"/>
        <v>1</v>
      </c>
      <c r="O345" s="56">
        <f t="shared" si="465"/>
        <v>1</v>
      </c>
      <c r="P345" s="56">
        <f t="shared" si="465"/>
        <v>1</v>
      </c>
      <c r="Q345" s="56">
        <f t="shared" si="465"/>
        <v>1</v>
      </c>
      <c r="R345" s="56">
        <f t="shared" si="465"/>
        <v>1</v>
      </c>
      <c r="S345" s="56">
        <f t="shared" si="465"/>
        <v>1</v>
      </c>
      <c r="T345" s="56">
        <f t="shared" si="465"/>
        <v>1</v>
      </c>
      <c r="U345" s="56">
        <f t="shared" si="465"/>
        <v>1</v>
      </c>
      <c r="V345" s="56">
        <f t="shared" si="465"/>
        <v>0</v>
      </c>
      <c r="W345" s="56">
        <f t="shared" si="465"/>
        <v>0</v>
      </c>
      <c r="X345" s="56">
        <f t="shared" si="465"/>
        <v>0</v>
      </c>
      <c r="Y345" s="56">
        <f t="shared" si="465"/>
        <v>0</v>
      </c>
      <c r="Z345" s="56">
        <f t="shared" si="465"/>
        <v>0</v>
      </c>
      <c r="AA345" s="56">
        <f t="shared" si="465"/>
        <v>0</v>
      </c>
      <c r="AB345" s="56">
        <f t="shared" si="465"/>
        <v>0</v>
      </c>
      <c r="AC345" s="56">
        <f t="shared" si="465"/>
        <v>0</v>
      </c>
      <c r="AD345" s="56">
        <f t="shared" si="465"/>
        <v>0</v>
      </c>
      <c r="AE345" s="56">
        <f t="shared" si="465"/>
        <v>0</v>
      </c>
      <c r="AF345" s="56">
        <f t="shared" si="465"/>
        <v>0</v>
      </c>
      <c r="AG345" s="56">
        <f t="shared" si="465"/>
        <v>0</v>
      </c>
      <c r="AH345" s="56">
        <f t="shared" si="465"/>
        <v>0</v>
      </c>
      <c r="AI345" s="56">
        <f t="shared" ref="AI345:BJ345" si="466">IF(AI$127&lt;$B$14,1,0)</f>
        <v>0</v>
      </c>
      <c r="AJ345" s="56">
        <f t="shared" si="466"/>
        <v>0</v>
      </c>
      <c r="AK345" s="56">
        <f t="shared" si="466"/>
        <v>0</v>
      </c>
      <c r="AL345" s="56">
        <f t="shared" si="466"/>
        <v>0</v>
      </c>
      <c r="AM345" s="56">
        <f t="shared" si="466"/>
        <v>0</v>
      </c>
      <c r="AN345" s="56">
        <f t="shared" si="466"/>
        <v>0</v>
      </c>
      <c r="AO345" s="56">
        <f t="shared" si="466"/>
        <v>0</v>
      </c>
      <c r="AP345" s="56">
        <f t="shared" si="466"/>
        <v>0</v>
      </c>
      <c r="AQ345" s="56">
        <f t="shared" si="466"/>
        <v>0</v>
      </c>
      <c r="AR345" s="56">
        <f t="shared" si="466"/>
        <v>0</v>
      </c>
      <c r="AS345" s="56">
        <f t="shared" si="466"/>
        <v>0</v>
      </c>
      <c r="AT345" s="56">
        <f t="shared" si="466"/>
        <v>0</v>
      </c>
      <c r="AU345" s="56">
        <f t="shared" si="466"/>
        <v>0</v>
      </c>
      <c r="AV345" s="56">
        <f t="shared" si="466"/>
        <v>0</v>
      </c>
      <c r="AW345" s="56">
        <f t="shared" si="466"/>
        <v>0</v>
      </c>
      <c r="AX345" s="56">
        <f t="shared" si="466"/>
        <v>0</v>
      </c>
      <c r="AY345" s="56">
        <f t="shared" si="466"/>
        <v>0</v>
      </c>
      <c r="AZ345" s="56">
        <f t="shared" si="466"/>
        <v>0</v>
      </c>
      <c r="BA345" s="56">
        <f t="shared" si="466"/>
        <v>0</v>
      </c>
      <c r="BB345" s="56">
        <f t="shared" si="466"/>
        <v>0</v>
      </c>
      <c r="BC345" s="56">
        <f t="shared" si="466"/>
        <v>0</v>
      </c>
      <c r="BD345" s="56">
        <f t="shared" si="466"/>
        <v>0</v>
      </c>
      <c r="BE345" s="56">
        <f t="shared" si="466"/>
        <v>0</v>
      </c>
      <c r="BF345" s="56">
        <f t="shared" si="466"/>
        <v>0</v>
      </c>
      <c r="BG345" s="56">
        <f t="shared" si="466"/>
        <v>0</v>
      </c>
      <c r="BH345" s="56">
        <f t="shared" si="466"/>
        <v>0</v>
      </c>
      <c r="BI345" s="56">
        <f t="shared" si="466"/>
        <v>0</v>
      </c>
      <c r="BJ345" s="56">
        <f t="shared" si="466"/>
        <v>0</v>
      </c>
    </row>
    <row r="346" spans="1:62" x14ac:dyDescent="0.3">
      <c r="A346" s="4" t="s">
        <v>263</v>
      </c>
      <c r="C346" s="55">
        <f t="shared" ref="C346:AH346" si="467">C344*C345</f>
        <v>42.003698991194881</v>
      </c>
      <c r="D346" s="55">
        <f t="shared" si="467"/>
        <v>13.818386472743697</v>
      </c>
      <c r="E346" s="55">
        <f t="shared" si="467"/>
        <v>0.10722672646022602</v>
      </c>
      <c r="F346" s="55">
        <f t="shared" si="467"/>
        <v>6.7014070333603399</v>
      </c>
      <c r="G346" s="55">
        <f t="shared" si="467"/>
        <v>15.846933735499107</v>
      </c>
      <c r="H346" s="55">
        <f t="shared" si="467"/>
        <v>-1.9786623377626711E-2</v>
      </c>
      <c r="I346" s="55">
        <f t="shared" si="467"/>
        <v>1.3013969463299873</v>
      </c>
      <c r="J346" s="55">
        <f t="shared" si="467"/>
        <v>79.519679062129342</v>
      </c>
      <c r="K346" s="55">
        <f t="shared" si="467"/>
        <v>246.99597720714337</v>
      </c>
      <c r="L346" s="55">
        <f t="shared" si="467"/>
        <v>453.61254615190416</v>
      </c>
      <c r="M346" s="55">
        <f t="shared" si="467"/>
        <v>660.07497552530856</v>
      </c>
      <c r="N346" s="55">
        <f t="shared" si="467"/>
        <v>865.01448824656575</v>
      </c>
      <c r="O346" s="55">
        <f t="shared" si="467"/>
        <v>1063.7901921555165</v>
      </c>
      <c r="P346" s="55">
        <f t="shared" si="467"/>
        <v>1248.7349942873229</v>
      </c>
      <c r="Q346" s="55">
        <f t="shared" si="467"/>
        <v>1421.6033986990806</v>
      </c>
      <c r="R346" s="55">
        <f t="shared" si="467"/>
        <v>1585.0889265160538</v>
      </c>
      <c r="S346" s="55">
        <f t="shared" si="467"/>
        <v>1691.053158990587</v>
      </c>
      <c r="T346" s="55">
        <f t="shared" si="467"/>
        <v>1566.5942379916014</v>
      </c>
      <c r="U346" s="55">
        <f t="shared" si="467"/>
        <v>1012.0606227703628</v>
      </c>
      <c r="V346" s="55">
        <f t="shared" si="467"/>
        <v>0</v>
      </c>
      <c r="W346" s="55">
        <f t="shared" si="467"/>
        <v>0</v>
      </c>
      <c r="X346" s="55">
        <f t="shared" si="467"/>
        <v>0</v>
      </c>
      <c r="Y346" s="55">
        <f t="shared" si="467"/>
        <v>0</v>
      </c>
      <c r="Z346" s="55">
        <f t="shared" si="467"/>
        <v>0</v>
      </c>
      <c r="AA346" s="55">
        <f t="shared" si="467"/>
        <v>0</v>
      </c>
      <c r="AB346" s="55">
        <f t="shared" si="467"/>
        <v>0</v>
      </c>
      <c r="AC346" s="55">
        <f t="shared" si="467"/>
        <v>0</v>
      </c>
      <c r="AD346" s="55">
        <f t="shared" si="467"/>
        <v>0</v>
      </c>
      <c r="AE346" s="55">
        <f t="shared" si="467"/>
        <v>0</v>
      </c>
      <c r="AF346" s="55">
        <f t="shared" si="467"/>
        <v>0</v>
      </c>
      <c r="AG346" s="55">
        <f t="shared" si="467"/>
        <v>0</v>
      </c>
      <c r="AH346" s="55">
        <f t="shared" si="467"/>
        <v>0</v>
      </c>
      <c r="AI346" s="55">
        <f t="shared" ref="AI346:BN346" si="468">AI344*AI345</f>
        <v>0</v>
      </c>
      <c r="AJ346" s="55">
        <f t="shared" si="468"/>
        <v>0</v>
      </c>
      <c r="AK346" s="55">
        <f t="shared" si="468"/>
        <v>0</v>
      </c>
      <c r="AL346" s="55">
        <f t="shared" si="468"/>
        <v>0</v>
      </c>
      <c r="AM346" s="55">
        <f t="shared" si="468"/>
        <v>0</v>
      </c>
      <c r="AN346" s="55">
        <f t="shared" si="468"/>
        <v>0</v>
      </c>
      <c r="AO346" s="55">
        <f t="shared" si="468"/>
        <v>0</v>
      </c>
      <c r="AP346" s="55">
        <f t="shared" si="468"/>
        <v>0</v>
      </c>
      <c r="AQ346" s="55">
        <f t="shared" si="468"/>
        <v>0</v>
      </c>
      <c r="AR346" s="55">
        <f t="shared" si="468"/>
        <v>0</v>
      </c>
      <c r="AS346" s="55">
        <f t="shared" si="468"/>
        <v>0</v>
      </c>
      <c r="AT346" s="55">
        <f t="shared" si="468"/>
        <v>0</v>
      </c>
      <c r="AU346" s="55">
        <f t="shared" si="468"/>
        <v>0</v>
      </c>
      <c r="AV346" s="55">
        <f t="shared" si="468"/>
        <v>0</v>
      </c>
      <c r="AW346" s="55">
        <f t="shared" si="468"/>
        <v>0</v>
      </c>
      <c r="AX346" s="55">
        <f t="shared" si="468"/>
        <v>0</v>
      </c>
      <c r="AY346" s="55">
        <f t="shared" si="468"/>
        <v>0</v>
      </c>
      <c r="AZ346" s="55">
        <f t="shared" si="468"/>
        <v>0</v>
      </c>
      <c r="BA346" s="55">
        <f t="shared" si="468"/>
        <v>0</v>
      </c>
      <c r="BB346" s="55">
        <f t="shared" si="468"/>
        <v>0</v>
      </c>
      <c r="BC346" s="55">
        <f t="shared" si="468"/>
        <v>0</v>
      </c>
      <c r="BD346" s="55">
        <f t="shared" si="468"/>
        <v>0</v>
      </c>
      <c r="BE346" s="55">
        <f t="shared" si="468"/>
        <v>0</v>
      </c>
      <c r="BF346" s="55">
        <f t="shared" si="468"/>
        <v>0</v>
      </c>
      <c r="BG346" s="55">
        <f t="shared" si="468"/>
        <v>0</v>
      </c>
      <c r="BH346" s="55">
        <f t="shared" si="468"/>
        <v>0</v>
      </c>
      <c r="BI346" s="55">
        <f t="shared" si="468"/>
        <v>0</v>
      </c>
      <c r="BJ346" s="55">
        <f t="shared" si="468"/>
        <v>0</v>
      </c>
    </row>
    <row r="347" spans="1:62" x14ac:dyDescent="0.3">
      <c r="A347" s="28" t="s">
        <v>264</v>
      </c>
      <c r="C347" s="55">
        <f t="shared" ref="C347:AH347" si="469">$M$5</f>
        <v>35.445</v>
      </c>
      <c r="D347" s="55">
        <f t="shared" si="469"/>
        <v>35.445</v>
      </c>
      <c r="E347" s="55">
        <f t="shared" si="469"/>
        <v>35.445</v>
      </c>
      <c r="F347" s="55">
        <f t="shared" si="469"/>
        <v>35.445</v>
      </c>
      <c r="G347" s="55">
        <f t="shared" si="469"/>
        <v>35.445</v>
      </c>
      <c r="H347" s="55">
        <f t="shared" si="469"/>
        <v>35.445</v>
      </c>
      <c r="I347" s="55">
        <f t="shared" si="469"/>
        <v>35.445</v>
      </c>
      <c r="J347" s="55">
        <f t="shared" si="469"/>
        <v>35.445</v>
      </c>
      <c r="K347" s="55">
        <f t="shared" si="469"/>
        <v>35.445</v>
      </c>
      <c r="L347" s="55">
        <f t="shared" si="469"/>
        <v>35.445</v>
      </c>
      <c r="M347" s="55">
        <f t="shared" si="469"/>
        <v>35.445</v>
      </c>
      <c r="N347" s="55">
        <f t="shared" si="469"/>
        <v>35.445</v>
      </c>
      <c r="O347" s="55">
        <f t="shared" si="469"/>
        <v>35.445</v>
      </c>
      <c r="P347" s="55">
        <f t="shared" si="469"/>
        <v>35.445</v>
      </c>
      <c r="Q347" s="55">
        <f t="shared" si="469"/>
        <v>35.445</v>
      </c>
      <c r="R347" s="55">
        <f t="shared" si="469"/>
        <v>35.445</v>
      </c>
      <c r="S347" s="55">
        <f t="shared" si="469"/>
        <v>35.445</v>
      </c>
      <c r="T347" s="55">
        <f t="shared" si="469"/>
        <v>35.445</v>
      </c>
      <c r="U347" s="55">
        <f t="shared" si="469"/>
        <v>35.445</v>
      </c>
      <c r="V347" s="55">
        <f t="shared" si="469"/>
        <v>35.445</v>
      </c>
      <c r="W347" s="55">
        <f t="shared" si="469"/>
        <v>35.445</v>
      </c>
      <c r="X347" s="55">
        <f t="shared" si="469"/>
        <v>35.445</v>
      </c>
      <c r="Y347" s="55">
        <f t="shared" si="469"/>
        <v>35.445</v>
      </c>
      <c r="Z347" s="55">
        <f t="shared" si="469"/>
        <v>35.445</v>
      </c>
      <c r="AA347" s="55">
        <f t="shared" si="469"/>
        <v>35.445</v>
      </c>
      <c r="AB347" s="55">
        <f t="shared" si="469"/>
        <v>35.445</v>
      </c>
      <c r="AC347" s="55">
        <f t="shared" si="469"/>
        <v>35.445</v>
      </c>
      <c r="AD347" s="55">
        <f t="shared" si="469"/>
        <v>35.445</v>
      </c>
      <c r="AE347" s="55">
        <f t="shared" si="469"/>
        <v>35.445</v>
      </c>
      <c r="AF347" s="55">
        <f t="shared" si="469"/>
        <v>35.445</v>
      </c>
      <c r="AG347" s="55">
        <f t="shared" si="469"/>
        <v>35.445</v>
      </c>
      <c r="AH347" s="55">
        <f t="shared" si="469"/>
        <v>35.445</v>
      </c>
      <c r="AI347" s="55">
        <f t="shared" ref="AI347:BJ347" si="470">$M$5</f>
        <v>35.445</v>
      </c>
      <c r="AJ347" s="55">
        <f t="shared" si="470"/>
        <v>35.445</v>
      </c>
      <c r="AK347" s="55">
        <f t="shared" si="470"/>
        <v>35.445</v>
      </c>
      <c r="AL347" s="55">
        <f t="shared" si="470"/>
        <v>35.445</v>
      </c>
      <c r="AM347" s="55">
        <f t="shared" si="470"/>
        <v>35.445</v>
      </c>
      <c r="AN347" s="55">
        <f t="shared" si="470"/>
        <v>35.445</v>
      </c>
      <c r="AO347" s="55">
        <f t="shared" si="470"/>
        <v>35.445</v>
      </c>
      <c r="AP347" s="55">
        <f t="shared" si="470"/>
        <v>35.445</v>
      </c>
      <c r="AQ347" s="55">
        <f t="shared" si="470"/>
        <v>35.445</v>
      </c>
      <c r="AR347" s="55">
        <f t="shared" si="470"/>
        <v>35.445</v>
      </c>
      <c r="AS347" s="55">
        <f t="shared" si="470"/>
        <v>35.445</v>
      </c>
      <c r="AT347" s="55">
        <f t="shared" si="470"/>
        <v>35.445</v>
      </c>
      <c r="AU347" s="55">
        <f t="shared" si="470"/>
        <v>35.445</v>
      </c>
      <c r="AV347" s="55">
        <f t="shared" si="470"/>
        <v>35.445</v>
      </c>
      <c r="AW347" s="55">
        <f t="shared" si="470"/>
        <v>35.445</v>
      </c>
      <c r="AX347" s="55">
        <f t="shared" si="470"/>
        <v>35.445</v>
      </c>
      <c r="AY347" s="55">
        <f t="shared" si="470"/>
        <v>35.445</v>
      </c>
      <c r="AZ347" s="55">
        <f t="shared" si="470"/>
        <v>35.445</v>
      </c>
      <c r="BA347" s="55">
        <f t="shared" si="470"/>
        <v>35.445</v>
      </c>
      <c r="BB347" s="55">
        <f t="shared" si="470"/>
        <v>35.445</v>
      </c>
      <c r="BC347" s="55">
        <f t="shared" si="470"/>
        <v>35.445</v>
      </c>
      <c r="BD347" s="55">
        <f t="shared" si="470"/>
        <v>35.445</v>
      </c>
      <c r="BE347" s="55">
        <f t="shared" si="470"/>
        <v>35.445</v>
      </c>
      <c r="BF347" s="55">
        <f t="shared" si="470"/>
        <v>35.445</v>
      </c>
      <c r="BG347" s="55">
        <f t="shared" si="470"/>
        <v>35.445</v>
      </c>
      <c r="BH347" s="55">
        <f t="shared" si="470"/>
        <v>35.445</v>
      </c>
      <c r="BI347" s="55">
        <f t="shared" si="470"/>
        <v>35.445</v>
      </c>
      <c r="BJ347" s="55">
        <f t="shared" si="470"/>
        <v>35.445</v>
      </c>
    </row>
    <row r="348" spans="1:62" x14ac:dyDescent="0.3">
      <c r="A348" s="28" t="s">
        <v>265</v>
      </c>
      <c r="C348" s="55">
        <f t="shared" ref="C348:AH348" si="471">MAX(0,C346-C347)</f>
        <v>6.5586989911948805</v>
      </c>
      <c r="D348" s="55">
        <f t="shared" si="471"/>
        <v>0</v>
      </c>
      <c r="E348" s="55">
        <f t="shared" si="471"/>
        <v>0</v>
      </c>
      <c r="F348" s="55">
        <f t="shared" si="471"/>
        <v>0</v>
      </c>
      <c r="G348" s="55">
        <f t="shared" si="471"/>
        <v>0</v>
      </c>
      <c r="H348" s="55">
        <f t="shared" si="471"/>
        <v>0</v>
      </c>
      <c r="I348" s="55">
        <f t="shared" si="471"/>
        <v>0</v>
      </c>
      <c r="J348" s="55">
        <f t="shared" si="471"/>
        <v>44.074679062129341</v>
      </c>
      <c r="K348" s="55">
        <f t="shared" si="471"/>
        <v>211.55097720714338</v>
      </c>
      <c r="L348" s="55">
        <f t="shared" si="471"/>
        <v>418.16754615190416</v>
      </c>
      <c r="M348" s="55">
        <f t="shared" si="471"/>
        <v>624.62997552530851</v>
      </c>
      <c r="N348" s="55">
        <f t="shared" si="471"/>
        <v>829.5694882465657</v>
      </c>
      <c r="O348" s="55">
        <f t="shared" si="471"/>
        <v>1028.3451921555165</v>
      </c>
      <c r="P348" s="55">
        <f t="shared" si="471"/>
        <v>1213.289994287323</v>
      </c>
      <c r="Q348" s="55">
        <f t="shared" si="471"/>
        <v>1386.1583986990806</v>
      </c>
      <c r="R348" s="55">
        <f t="shared" si="471"/>
        <v>1549.6439265160539</v>
      </c>
      <c r="S348" s="55">
        <f t="shared" si="471"/>
        <v>1655.6081589905871</v>
      </c>
      <c r="T348" s="55">
        <f t="shared" si="471"/>
        <v>1531.1492379916015</v>
      </c>
      <c r="U348" s="55">
        <f t="shared" si="471"/>
        <v>976.61562277036273</v>
      </c>
      <c r="V348" s="55">
        <f t="shared" si="471"/>
        <v>0</v>
      </c>
      <c r="W348" s="55">
        <f t="shared" si="471"/>
        <v>0</v>
      </c>
      <c r="X348" s="55">
        <f t="shared" si="471"/>
        <v>0</v>
      </c>
      <c r="Y348" s="55">
        <f t="shared" si="471"/>
        <v>0</v>
      </c>
      <c r="Z348" s="55">
        <f t="shared" si="471"/>
        <v>0</v>
      </c>
      <c r="AA348" s="55">
        <f t="shared" si="471"/>
        <v>0</v>
      </c>
      <c r="AB348" s="55">
        <f t="shared" si="471"/>
        <v>0</v>
      </c>
      <c r="AC348" s="55">
        <f t="shared" si="471"/>
        <v>0</v>
      </c>
      <c r="AD348" s="55">
        <f t="shared" si="471"/>
        <v>0</v>
      </c>
      <c r="AE348" s="55">
        <f t="shared" si="471"/>
        <v>0</v>
      </c>
      <c r="AF348" s="55">
        <f t="shared" si="471"/>
        <v>0</v>
      </c>
      <c r="AG348" s="55">
        <f t="shared" si="471"/>
        <v>0</v>
      </c>
      <c r="AH348" s="55">
        <f t="shared" si="471"/>
        <v>0</v>
      </c>
      <c r="AI348" s="55">
        <f t="shared" ref="AI348:BN348" si="472">MAX(0,AI346-AI347)</f>
        <v>0</v>
      </c>
      <c r="AJ348" s="55">
        <f t="shared" si="472"/>
        <v>0</v>
      </c>
      <c r="AK348" s="55">
        <f t="shared" si="472"/>
        <v>0</v>
      </c>
      <c r="AL348" s="55">
        <f t="shared" si="472"/>
        <v>0</v>
      </c>
      <c r="AM348" s="55">
        <f t="shared" si="472"/>
        <v>0</v>
      </c>
      <c r="AN348" s="55">
        <f t="shared" si="472"/>
        <v>0</v>
      </c>
      <c r="AO348" s="55">
        <f t="shared" si="472"/>
        <v>0</v>
      </c>
      <c r="AP348" s="55">
        <f t="shared" si="472"/>
        <v>0</v>
      </c>
      <c r="AQ348" s="55">
        <f t="shared" si="472"/>
        <v>0</v>
      </c>
      <c r="AR348" s="55">
        <f t="shared" si="472"/>
        <v>0</v>
      </c>
      <c r="AS348" s="55">
        <f t="shared" si="472"/>
        <v>0</v>
      </c>
      <c r="AT348" s="55">
        <f t="shared" si="472"/>
        <v>0</v>
      </c>
      <c r="AU348" s="55">
        <f t="shared" si="472"/>
        <v>0</v>
      </c>
      <c r="AV348" s="55">
        <f t="shared" si="472"/>
        <v>0</v>
      </c>
      <c r="AW348" s="55">
        <f t="shared" si="472"/>
        <v>0</v>
      </c>
      <c r="AX348" s="55">
        <f t="shared" si="472"/>
        <v>0</v>
      </c>
      <c r="AY348" s="55">
        <f t="shared" si="472"/>
        <v>0</v>
      </c>
      <c r="AZ348" s="55">
        <f t="shared" si="472"/>
        <v>0</v>
      </c>
      <c r="BA348" s="55">
        <f t="shared" si="472"/>
        <v>0</v>
      </c>
      <c r="BB348" s="55">
        <f t="shared" si="472"/>
        <v>0</v>
      </c>
      <c r="BC348" s="55">
        <f t="shared" si="472"/>
        <v>0</v>
      </c>
      <c r="BD348" s="55">
        <f t="shared" si="472"/>
        <v>0</v>
      </c>
      <c r="BE348" s="55">
        <f t="shared" si="472"/>
        <v>0</v>
      </c>
      <c r="BF348" s="55">
        <f t="shared" si="472"/>
        <v>0</v>
      </c>
      <c r="BG348" s="55">
        <f t="shared" si="472"/>
        <v>0</v>
      </c>
      <c r="BH348" s="55">
        <f t="shared" si="472"/>
        <v>0</v>
      </c>
      <c r="BI348" s="55">
        <f t="shared" si="472"/>
        <v>0</v>
      </c>
      <c r="BJ348" s="55">
        <f t="shared" si="472"/>
        <v>0</v>
      </c>
    </row>
    <row r="349" spans="1:62" x14ac:dyDescent="0.3">
      <c r="A349" s="28" t="s">
        <v>266</v>
      </c>
      <c r="C349" s="55">
        <f t="shared" ref="C349:AH349" si="473">MIN(MAX(0,C348-($M$5-$M$5)),($M$6-$M$5))</f>
        <v>6.5586989911948805</v>
      </c>
      <c r="D349" s="55">
        <f t="shared" si="473"/>
        <v>0</v>
      </c>
      <c r="E349" s="55">
        <f t="shared" si="473"/>
        <v>0</v>
      </c>
      <c r="F349" s="55">
        <f t="shared" si="473"/>
        <v>0</v>
      </c>
      <c r="G349" s="55">
        <f t="shared" si="473"/>
        <v>0</v>
      </c>
      <c r="H349" s="55">
        <f t="shared" si="473"/>
        <v>0</v>
      </c>
      <c r="I349" s="55">
        <f t="shared" si="473"/>
        <v>0</v>
      </c>
      <c r="J349" s="55">
        <f t="shared" si="473"/>
        <v>11.814999999999998</v>
      </c>
      <c r="K349" s="55">
        <f t="shared" si="473"/>
        <v>11.814999999999998</v>
      </c>
      <c r="L349" s="55">
        <f t="shared" si="473"/>
        <v>11.814999999999998</v>
      </c>
      <c r="M349" s="55">
        <f t="shared" si="473"/>
        <v>11.814999999999998</v>
      </c>
      <c r="N349" s="55">
        <f t="shared" si="473"/>
        <v>11.814999999999998</v>
      </c>
      <c r="O349" s="55">
        <f t="shared" si="473"/>
        <v>11.814999999999998</v>
      </c>
      <c r="P349" s="55">
        <f t="shared" si="473"/>
        <v>11.814999999999998</v>
      </c>
      <c r="Q349" s="55">
        <f t="shared" si="473"/>
        <v>11.814999999999998</v>
      </c>
      <c r="R349" s="55">
        <f t="shared" si="473"/>
        <v>11.814999999999998</v>
      </c>
      <c r="S349" s="55">
        <f t="shared" si="473"/>
        <v>11.814999999999998</v>
      </c>
      <c r="T349" s="55">
        <f t="shared" si="473"/>
        <v>11.814999999999998</v>
      </c>
      <c r="U349" s="55">
        <f t="shared" si="473"/>
        <v>11.814999999999998</v>
      </c>
      <c r="V349" s="55">
        <f t="shared" si="473"/>
        <v>0</v>
      </c>
      <c r="W349" s="55">
        <f t="shared" si="473"/>
        <v>0</v>
      </c>
      <c r="X349" s="55">
        <f t="shared" si="473"/>
        <v>0</v>
      </c>
      <c r="Y349" s="55">
        <f t="shared" si="473"/>
        <v>0</v>
      </c>
      <c r="Z349" s="55">
        <f t="shared" si="473"/>
        <v>0</v>
      </c>
      <c r="AA349" s="55">
        <f t="shared" si="473"/>
        <v>0</v>
      </c>
      <c r="AB349" s="55">
        <f t="shared" si="473"/>
        <v>0</v>
      </c>
      <c r="AC349" s="55">
        <f t="shared" si="473"/>
        <v>0</v>
      </c>
      <c r="AD349" s="55">
        <f t="shared" si="473"/>
        <v>0</v>
      </c>
      <c r="AE349" s="55">
        <f t="shared" si="473"/>
        <v>0</v>
      </c>
      <c r="AF349" s="55">
        <f t="shared" si="473"/>
        <v>0</v>
      </c>
      <c r="AG349" s="55">
        <f t="shared" si="473"/>
        <v>0</v>
      </c>
      <c r="AH349" s="55">
        <f t="shared" si="473"/>
        <v>0</v>
      </c>
      <c r="AI349" s="55">
        <f t="shared" ref="AI349:BN349" si="474">MIN(MAX(0,AI348-($M$5-$M$5)),($M$6-$M$5))</f>
        <v>0</v>
      </c>
      <c r="AJ349" s="55">
        <f t="shared" si="474"/>
        <v>0</v>
      </c>
      <c r="AK349" s="55">
        <f t="shared" si="474"/>
        <v>0</v>
      </c>
      <c r="AL349" s="55">
        <f t="shared" si="474"/>
        <v>0</v>
      </c>
      <c r="AM349" s="55">
        <f t="shared" si="474"/>
        <v>0</v>
      </c>
      <c r="AN349" s="55">
        <f t="shared" si="474"/>
        <v>0</v>
      </c>
      <c r="AO349" s="55">
        <f t="shared" si="474"/>
        <v>0</v>
      </c>
      <c r="AP349" s="55">
        <f t="shared" si="474"/>
        <v>0</v>
      </c>
      <c r="AQ349" s="55">
        <f t="shared" si="474"/>
        <v>0</v>
      </c>
      <c r="AR349" s="55">
        <f t="shared" si="474"/>
        <v>0</v>
      </c>
      <c r="AS349" s="55">
        <f t="shared" si="474"/>
        <v>0</v>
      </c>
      <c r="AT349" s="55">
        <f t="shared" si="474"/>
        <v>0</v>
      </c>
      <c r="AU349" s="55">
        <f t="shared" si="474"/>
        <v>0</v>
      </c>
      <c r="AV349" s="55">
        <f t="shared" si="474"/>
        <v>0</v>
      </c>
      <c r="AW349" s="55">
        <f t="shared" si="474"/>
        <v>0</v>
      </c>
      <c r="AX349" s="55">
        <f t="shared" si="474"/>
        <v>0</v>
      </c>
      <c r="AY349" s="55">
        <f t="shared" si="474"/>
        <v>0</v>
      </c>
      <c r="AZ349" s="55">
        <f t="shared" si="474"/>
        <v>0</v>
      </c>
      <c r="BA349" s="55">
        <f t="shared" si="474"/>
        <v>0</v>
      </c>
      <c r="BB349" s="55">
        <f t="shared" si="474"/>
        <v>0</v>
      </c>
      <c r="BC349" s="55">
        <f t="shared" si="474"/>
        <v>0</v>
      </c>
      <c r="BD349" s="55">
        <f t="shared" si="474"/>
        <v>0</v>
      </c>
      <c r="BE349" s="55">
        <f t="shared" si="474"/>
        <v>0</v>
      </c>
      <c r="BF349" s="55">
        <f t="shared" si="474"/>
        <v>0</v>
      </c>
      <c r="BG349" s="55">
        <f t="shared" si="474"/>
        <v>0</v>
      </c>
      <c r="BH349" s="55">
        <f t="shared" si="474"/>
        <v>0</v>
      </c>
      <c r="BI349" s="55">
        <f t="shared" si="474"/>
        <v>0</v>
      </c>
      <c r="BJ349" s="55">
        <f t="shared" si="474"/>
        <v>0</v>
      </c>
    </row>
    <row r="350" spans="1:62" x14ac:dyDescent="0.3">
      <c r="A350" s="28" t="s">
        <v>267</v>
      </c>
      <c r="C350" s="55">
        <f t="shared" ref="C350:AH350" si="475">MIN(MAX(0,C348-($M$6-$M$5)),($M$7-$M$6))</f>
        <v>0</v>
      </c>
      <c r="D350" s="55">
        <f t="shared" si="475"/>
        <v>0</v>
      </c>
      <c r="E350" s="55">
        <f t="shared" si="475"/>
        <v>0</v>
      </c>
      <c r="F350" s="55">
        <f t="shared" si="475"/>
        <v>0</v>
      </c>
      <c r="G350" s="55">
        <f t="shared" si="475"/>
        <v>0</v>
      </c>
      <c r="H350" s="55">
        <f t="shared" si="475"/>
        <v>0</v>
      </c>
      <c r="I350" s="55">
        <f t="shared" si="475"/>
        <v>0</v>
      </c>
      <c r="J350" s="55">
        <f t="shared" si="475"/>
        <v>11.815100000000001</v>
      </c>
      <c r="K350" s="55">
        <f t="shared" si="475"/>
        <v>11.815100000000001</v>
      </c>
      <c r="L350" s="55">
        <f t="shared" si="475"/>
        <v>11.815100000000001</v>
      </c>
      <c r="M350" s="55">
        <f t="shared" si="475"/>
        <v>11.815100000000001</v>
      </c>
      <c r="N350" s="55">
        <f t="shared" si="475"/>
        <v>11.815100000000001</v>
      </c>
      <c r="O350" s="55">
        <f t="shared" si="475"/>
        <v>11.815100000000001</v>
      </c>
      <c r="P350" s="55">
        <f t="shared" si="475"/>
        <v>11.815100000000001</v>
      </c>
      <c r="Q350" s="55">
        <f t="shared" si="475"/>
        <v>11.815100000000001</v>
      </c>
      <c r="R350" s="55">
        <f t="shared" si="475"/>
        <v>11.815100000000001</v>
      </c>
      <c r="S350" s="55">
        <f t="shared" si="475"/>
        <v>11.815100000000001</v>
      </c>
      <c r="T350" s="55">
        <f t="shared" si="475"/>
        <v>11.815100000000001</v>
      </c>
      <c r="U350" s="55">
        <f t="shared" si="475"/>
        <v>11.815100000000001</v>
      </c>
      <c r="V350" s="55">
        <f t="shared" si="475"/>
        <v>0</v>
      </c>
      <c r="W350" s="55">
        <f t="shared" si="475"/>
        <v>0</v>
      </c>
      <c r="X350" s="55">
        <f t="shared" si="475"/>
        <v>0</v>
      </c>
      <c r="Y350" s="55">
        <f t="shared" si="475"/>
        <v>0</v>
      </c>
      <c r="Z350" s="55">
        <f t="shared" si="475"/>
        <v>0</v>
      </c>
      <c r="AA350" s="55">
        <f t="shared" si="475"/>
        <v>0</v>
      </c>
      <c r="AB350" s="55">
        <f t="shared" si="475"/>
        <v>0</v>
      </c>
      <c r="AC350" s="55">
        <f t="shared" si="475"/>
        <v>0</v>
      </c>
      <c r="AD350" s="55">
        <f t="shared" si="475"/>
        <v>0</v>
      </c>
      <c r="AE350" s="55">
        <f t="shared" si="475"/>
        <v>0</v>
      </c>
      <c r="AF350" s="55">
        <f t="shared" si="475"/>
        <v>0</v>
      </c>
      <c r="AG350" s="55">
        <f t="shared" si="475"/>
        <v>0</v>
      </c>
      <c r="AH350" s="55">
        <f t="shared" si="475"/>
        <v>0</v>
      </c>
      <c r="AI350" s="55">
        <f t="shared" ref="AI350:BJ350" si="476">MIN(MAX(0,AI348-($M$6-$M$5)),($M$7-$M$6))</f>
        <v>0</v>
      </c>
      <c r="AJ350" s="55">
        <f t="shared" si="476"/>
        <v>0</v>
      </c>
      <c r="AK350" s="55">
        <f t="shared" si="476"/>
        <v>0</v>
      </c>
      <c r="AL350" s="55">
        <f t="shared" si="476"/>
        <v>0</v>
      </c>
      <c r="AM350" s="55">
        <f t="shared" si="476"/>
        <v>0</v>
      </c>
      <c r="AN350" s="55">
        <f t="shared" si="476"/>
        <v>0</v>
      </c>
      <c r="AO350" s="55">
        <f t="shared" si="476"/>
        <v>0</v>
      </c>
      <c r="AP350" s="55">
        <f t="shared" si="476"/>
        <v>0</v>
      </c>
      <c r="AQ350" s="55">
        <f t="shared" si="476"/>
        <v>0</v>
      </c>
      <c r="AR350" s="55">
        <f t="shared" si="476"/>
        <v>0</v>
      </c>
      <c r="AS350" s="55">
        <f t="shared" si="476"/>
        <v>0</v>
      </c>
      <c r="AT350" s="55">
        <f t="shared" si="476"/>
        <v>0</v>
      </c>
      <c r="AU350" s="55">
        <f t="shared" si="476"/>
        <v>0</v>
      </c>
      <c r="AV350" s="55">
        <f t="shared" si="476"/>
        <v>0</v>
      </c>
      <c r="AW350" s="55">
        <f t="shared" si="476"/>
        <v>0</v>
      </c>
      <c r="AX350" s="55">
        <f t="shared" si="476"/>
        <v>0</v>
      </c>
      <c r="AY350" s="55">
        <f t="shared" si="476"/>
        <v>0</v>
      </c>
      <c r="AZ350" s="55">
        <f t="shared" si="476"/>
        <v>0</v>
      </c>
      <c r="BA350" s="55">
        <f t="shared" si="476"/>
        <v>0</v>
      </c>
      <c r="BB350" s="55">
        <f t="shared" si="476"/>
        <v>0</v>
      </c>
      <c r="BC350" s="55">
        <f t="shared" si="476"/>
        <v>0</v>
      </c>
      <c r="BD350" s="55">
        <f t="shared" si="476"/>
        <v>0</v>
      </c>
      <c r="BE350" s="55">
        <f t="shared" si="476"/>
        <v>0</v>
      </c>
      <c r="BF350" s="55">
        <f t="shared" si="476"/>
        <v>0</v>
      </c>
      <c r="BG350" s="55">
        <f t="shared" si="476"/>
        <v>0</v>
      </c>
      <c r="BH350" s="55">
        <f t="shared" si="476"/>
        <v>0</v>
      </c>
      <c r="BI350" s="55">
        <f t="shared" si="476"/>
        <v>0</v>
      </c>
      <c r="BJ350" s="55">
        <f t="shared" si="476"/>
        <v>0</v>
      </c>
    </row>
    <row r="351" spans="1:62" x14ac:dyDescent="0.3">
      <c r="A351" s="28" t="s">
        <v>268</v>
      </c>
      <c r="C351" s="55">
        <f t="shared" ref="C351:AH351" si="477">MIN(MAX(0,C348-($M$7-$M$5)),($M$8-$M$7))</f>
        <v>0</v>
      </c>
      <c r="D351" s="55">
        <f t="shared" si="477"/>
        <v>0</v>
      </c>
      <c r="E351" s="55">
        <f t="shared" si="477"/>
        <v>0</v>
      </c>
      <c r="F351" s="55">
        <f t="shared" si="477"/>
        <v>0</v>
      </c>
      <c r="G351" s="55">
        <f t="shared" si="477"/>
        <v>0</v>
      </c>
      <c r="H351" s="55">
        <f t="shared" si="477"/>
        <v>0</v>
      </c>
      <c r="I351" s="55">
        <f t="shared" si="477"/>
        <v>0</v>
      </c>
      <c r="J351" s="55">
        <f t="shared" si="477"/>
        <v>11.815000000000005</v>
      </c>
      <c r="K351" s="55">
        <f t="shared" si="477"/>
        <v>11.815000000000005</v>
      </c>
      <c r="L351" s="55">
        <f t="shared" si="477"/>
        <v>11.815000000000005</v>
      </c>
      <c r="M351" s="55">
        <f t="shared" si="477"/>
        <v>11.815000000000005</v>
      </c>
      <c r="N351" s="55">
        <f t="shared" si="477"/>
        <v>11.815000000000005</v>
      </c>
      <c r="O351" s="55">
        <f t="shared" si="477"/>
        <v>11.815000000000005</v>
      </c>
      <c r="P351" s="55">
        <f t="shared" si="477"/>
        <v>11.815000000000005</v>
      </c>
      <c r="Q351" s="55">
        <f t="shared" si="477"/>
        <v>11.815000000000005</v>
      </c>
      <c r="R351" s="55">
        <f t="shared" si="477"/>
        <v>11.815000000000005</v>
      </c>
      <c r="S351" s="55">
        <f t="shared" si="477"/>
        <v>11.815000000000005</v>
      </c>
      <c r="T351" s="55">
        <f t="shared" si="477"/>
        <v>11.815000000000005</v>
      </c>
      <c r="U351" s="55">
        <f t="shared" si="477"/>
        <v>11.815000000000005</v>
      </c>
      <c r="V351" s="55">
        <f t="shared" si="477"/>
        <v>0</v>
      </c>
      <c r="W351" s="55">
        <f t="shared" si="477"/>
        <v>0</v>
      </c>
      <c r="X351" s="55">
        <f t="shared" si="477"/>
        <v>0</v>
      </c>
      <c r="Y351" s="55">
        <f t="shared" si="477"/>
        <v>0</v>
      </c>
      <c r="Z351" s="55">
        <f t="shared" si="477"/>
        <v>0</v>
      </c>
      <c r="AA351" s="55">
        <f t="shared" si="477"/>
        <v>0</v>
      </c>
      <c r="AB351" s="55">
        <f t="shared" si="477"/>
        <v>0</v>
      </c>
      <c r="AC351" s="55">
        <f t="shared" si="477"/>
        <v>0</v>
      </c>
      <c r="AD351" s="55">
        <f t="shared" si="477"/>
        <v>0</v>
      </c>
      <c r="AE351" s="55">
        <f t="shared" si="477"/>
        <v>0</v>
      </c>
      <c r="AF351" s="55">
        <f t="shared" si="477"/>
        <v>0</v>
      </c>
      <c r="AG351" s="55">
        <f t="shared" si="477"/>
        <v>0</v>
      </c>
      <c r="AH351" s="55">
        <f t="shared" si="477"/>
        <v>0</v>
      </c>
      <c r="AI351" s="55">
        <f t="shared" ref="AI351:BJ351" si="478">MIN(MAX(0,AI348-($M$7-$M$5)),($M$8-$M$7))</f>
        <v>0</v>
      </c>
      <c r="AJ351" s="55">
        <f t="shared" si="478"/>
        <v>0</v>
      </c>
      <c r="AK351" s="55">
        <f t="shared" si="478"/>
        <v>0</v>
      </c>
      <c r="AL351" s="55">
        <f t="shared" si="478"/>
        <v>0</v>
      </c>
      <c r="AM351" s="55">
        <f t="shared" si="478"/>
        <v>0</v>
      </c>
      <c r="AN351" s="55">
        <f t="shared" si="478"/>
        <v>0</v>
      </c>
      <c r="AO351" s="55">
        <f t="shared" si="478"/>
        <v>0</v>
      </c>
      <c r="AP351" s="55">
        <f t="shared" si="478"/>
        <v>0</v>
      </c>
      <c r="AQ351" s="55">
        <f t="shared" si="478"/>
        <v>0</v>
      </c>
      <c r="AR351" s="55">
        <f t="shared" si="478"/>
        <v>0</v>
      </c>
      <c r="AS351" s="55">
        <f t="shared" si="478"/>
        <v>0</v>
      </c>
      <c r="AT351" s="55">
        <f t="shared" si="478"/>
        <v>0</v>
      </c>
      <c r="AU351" s="55">
        <f t="shared" si="478"/>
        <v>0</v>
      </c>
      <c r="AV351" s="55">
        <f t="shared" si="478"/>
        <v>0</v>
      </c>
      <c r="AW351" s="55">
        <f t="shared" si="478"/>
        <v>0</v>
      </c>
      <c r="AX351" s="55">
        <f t="shared" si="478"/>
        <v>0</v>
      </c>
      <c r="AY351" s="55">
        <f t="shared" si="478"/>
        <v>0</v>
      </c>
      <c r="AZ351" s="55">
        <f t="shared" si="478"/>
        <v>0</v>
      </c>
      <c r="BA351" s="55">
        <f t="shared" si="478"/>
        <v>0</v>
      </c>
      <c r="BB351" s="55">
        <f t="shared" si="478"/>
        <v>0</v>
      </c>
      <c r="BC351" s="55">
        <f t="shared" si="478"/>
        <v>0</v>
      </c>
      <c r="BD351" s="55">
        <f t="shared" si="478"/>
        <v>0</v>
      </c>
      <c r="BE351" s="55">
        <f t="shared" si="478"/>
        <v>0</v>
      </c>
      <c r="BF351" s="55">
        <f t="shared" si="478"/>
        <v>0</v>
      </c>
      <c r="BG351" s="55">
        <f t="shared" si="478"/>
        <v>0</v>
      </c>
      <c r="BH351" s="55">
        <f t="shared" si="478"/>
        <v>0</v>
      </c>
      <c r="BI351" s="55">
        <f t="shared" si="478"/>
        <v>0</v>
      </c>
      <c r="BJ351" s="55">
        <f t="shared" si="478"/>
        <v>0</v>
      </c>
    </row>
    <row r="352" spans="1:62" x14ac:dyDescent="0.3">
      <c r="A352" s="28" t="s">
        <v>269</v>
      </c>
      <c r="C352" s="55">
        <f t="shared" ref="C352:AH352" si="479">MAX(0,C348-($M$8-$M$5))</f>
        <v>0</v>
      </c>
      <c r="D352" s="55">
        <f t="shared" si="479"/>
        <v>0</v>
      </c>
      <c r="E352" s="55">
        <f t="shared" si="479"/>
        <v>0</v>
      </c>
      <c r="F352" s="55">
        <f t="shared" si="479"/>
        <v>0</v>
      </c>
      <c r="G352" s="55">
        <f t="shared" si="479"/>
        <v>0</v>
      </c>
      <c r="H352" s="55">
        <f t="shared" si="479"/>
        <v>0</v>
      </c>
      <c r="I352" s="55">
        <f t="shared" si="479"/>
        <v>0</v>
      </c>
      <c r="J352" s="55">
        <f t="shared" si="479"/>
        <v>8.6295790621293378</v>
      </c>
      <c r="K352" s="55">
        <f t="shared" si="479"/>
        <v>176.10587720714338</v>
      </c>
      <c r="L352" s="55">
        <f t="shared" si="479"/>
        <v>382.72244615190414</v>
      </c>
      <c r="M352" s="55">
        <f t="shared" si="479"/>
        <v>589.18487552530848</v>
      </c>
      <c r="N352" s="55">
        <f t="shared" si="479"/>
        <v>794.12438824656567</v>
      </c>
      <c r="O352" s="55">
        <f t="shared" si="479"/>
        <v>992.90009215551652</v>
      </c>
      <c r="P352" s="55">
        <f t="shared" si="479"/>
        <v>1177.8448942873231</v>
      </c>
      <c r="Q352" s="55">
        <f t="shared" si="479"/>
        <v>1350.7132986990807</v>
      </c>
      <c r="R352" s="55">
        <f t="shared" si="479"/>
        <v>1514.1988265160539</v>
      </c>
      <c r="S352" s="55">
        <f t="shared" si="479"/>
        <v>1620.1630589905872</v>
      </c>
      <c r="T352" s="55">
        <f t="shared" si="479"/>
        <v>1495.7041379916016</v>
      </c>
      <c r="U352" s="55">
        <f t="shared" si="479"/>
        <v>941.17052277036271</v>
      </c>
      <c r="V352" s="55">
        <f t="shared" si="479"/>
        <v>0</v>
      </c>
      <c r="W352" s="55">
        <f t="shared" si="479"/>
        <v>0</v>
      </c>
      <c r="X352" s="55">
        <f t="shared" si="479"/>
        <v>0</v>
      </c>
      <c r="Y352" s="55">
        <f t="shared" si="479"/>
        <v>0</v>
      </c>
      <c r="Z352" s="55">
        <f t="shared" si="479"/>
        <v>0</v>
      </c>
      <c r="AA352" s="55">
        <f t="shared" si="479"/>
        <v>0</v>
      </c>
      <c r="AB352" s="55">
        <f t="shared" si="479"/>
        <v>0</v>
      </c>
      <c r="AC352" s="55">
        <f t="shared" si="479"/>
        <v>0</v>
      </c>
      <c r="AD352" s="55">
        <f t="shared" si="479"/>
        <v>0</v>
      </c>
      <c r="AE352" s="55">
        <f t="shared" si="479"/>
        <v>0</v>
      </c>
      <c r="AF352" s="55">
        <f t="shared" si="479"/>
        <v>0</v>
      </c>
      <c r="AG352" s="55">
        <f t="shared" si="479"/>
        <v>0</v>
      </c>
      <c r="AH352" s="55">
        <f t="shared" si="479"/>
        <v>0</v>
      </c>
      <c r="AI352" s="55">
        <f t="shared" ref="AI352:BJ352" si="480">MAX(0,AI348-($M$8-$M$5))</f>
        <v>0</v>
      </c>
      <c r="AJ352" s="55">
        <f t="shared" si="480"/>
        <v>0</v>
      </c>
      <c r="AK352" s="55">
        <f t="shared" si="480"/>
        <v>0</v>
      </c>
      <c r="AL352" s="55">
        <f t="shared" si="480"/>
        <v>0</v>
      </c>
      <c r="AM352" s="55">
        <f t="shared" si="480"/>
        <v>0</v>
      </c>
      <c r="AN352" s="55">
        <f t="shared" si="480"/>
        <v>0</v>
      </c>
      <c r="AO352" s="55">
        <f t="shared" si="480"/>
        <v>0</v>
      </c>
      <c r="AP352" s="55">
        <f t="shared" si="480"/>
        <v>0</v>
      </c>
      <c r="AQ352" s="55">
        <f t="shared" si="480"/>
        <v>0</v>
      </c>
      <c r="AR352" s="55">
        <f t="shared" si="480"/>
        <v>0</v>
      </c>
      <c r="AS352" s="55">
        <f t="shared" si="480"/>
        <v>0</v>
      </c>
      <c r="AT352" s="55">
        <f t="shared" si="480"/>
        <v>0</v>
      </c>
      <c r="AU352" s="55">
        <f t="shared" si="480"/>
        <v>0</v>
      </c>
      <c r="AV352" s="55">
        <f t="shared" si="480"/>
        <v>0</v>
      </c>
      <c r="AW352" s="55">
        <f t="shared" si="480"/>
        <v>0</v>
      </c>
      <c r="AX352" s="55">
        <f t="shared" si="480"/>
        <v>0</v>
      </c>
      <c r="AY352" s="55">
        <f t="shared" si="480"/>
        <v>0</v>
      </c>
      <c r="AZ352" s="55">
        <f t="shared" si="480"/>
        <v>0</v>
      </c>
      <c r="BA352" s="55">
        <f t="shared" si="480"/>
        <v>0</v>
      </c>
      <c r="BB352" s="55">
        <f t="shared" si="480"/>
        <v>0</v>
      </c>
      <c r="BC352" s="55">
        <f t="shared" si="480"/>
        <v>0</v>
      </c>
      <c r="BD352" s="55">
        <f t="shared" si="480"/>
        <v>0</v>
      </c>
      <c r="BE352" s="55">
        <f t="shared" si="480"/>
        <v>0</v>
      </c>
      <c r="BF352" s="55">
        <f t="shared" si="480"/>
        <v>0</v>
      </c>
      <c r="BG352" s="55">
        <f t="shared" si="480"/>
        <v>0</v>
      </c>
      <c r="BH352" s="55">
        <f t="shared" si="480"/>
        <v>0</v>
      </c>
      <c r="BI352" s="55">
        <f t="shared" si="480"/>
        <v>0</v>
      </c>
      <c r="BJ352" s="55">
        <f t="shared" si="480"/>
        <v>0</v>
      </c>
    </row>
    <row r="353" spans="1:62" x14ac:dyDescent="0.3">
      <c r="A353" s="4" t="s">
        <v>270</v>
      </c>
      <c r="C353" s="57">
        <f t="shared" ref="C353:AH353" si="481">$B$12*($O$5*C349+$O$6*C350+$O$7*C351+$O$8*C352)</f>
        <v>0</v>
      </c>
      <c r="D353" s="57">
        <f t="shared" si="481"/>
        <v>0</v>
      </c>
      <c r="E353" s="57">
        <f t="shared" si="481"/>
        <v>0</v>
      </c>
      <c r="F353" s="57">
        <f t="shared" si="481"/>
        <v>0</v>
      </c>
      <c r="G353" s="57">
        <f t="shared" si="481"/>
        <v>0</v>
      </c>
      <c r="H353" s="57">
        <f t="shared" si="481"/>
        <v>0</v>
      </c>
      <c r="I353" s="57">
        <f t="shared" si="481"/>
        <v>0</v>
      </c>
      <c r="J353" s="57">
        <f t="shared" si="481"/>
        <v>0</v>
      </c>
      <c r="K353" s="57">
        <f t="shared" si="481"/>
        <v>0</v>
      </c>
      <c r="L353" s="57">
        <f t="shared" si="481"/>
        <v>0</v>
      </c>
      <c r="M353" s="57">
        <f t="shared" si="481"/>
        <v>0</v>
      </c>
      <c r="N353" s="57">
        <f t="shared" si="481"/>
        <v>0</v>
      </c>
      <c r="O353" s="57">
        <f t="shared" si="481"/>
        <v>0</v>
      </c>
      <c r="P353" s="57">
        <f t="shared" si="481"/>
        <v>0</v>
      </c>
      <c r="Q353" s="57">
        <f t="shared" si="481"/>
        <v>0</v>
      </c>
      <c r="R353" s="57">
        <f t="shared" si="481"/>
        <v>0</v>
      </c>
      <c r="S353" s="57">
        <f t="shared" si="481"/>
        <v>0</v>
      </c>
      <c r="T353" s="57">
        <f t="shared" si="481"/>
        <v>0</v>
      </c>
      <c r="U353" s="57">
        <f t="shared" si="481"/>
        <v>0</v>
      </c>
      <c r="V353" s="57">
        <f t="shared" si="481"/>
        <v>0</v>
      </c>
      <c r="W353" s="57">
        <f t="shared" si="481"/>
        <v>0</v>
      </c>
      <c r="X353" s="57">
        <f t="shared" si="481"/>
        <v>0</v>
      </c>
      <c r="Y353" s="57">
        <f t="shared" si="481"/>
        <v>0</v>
      </c>
      <c r="Z353" s="57">
        <f t="shared" si="481"/>
        <v>0</v>
      </c>
      <c r="AA353" s="57">
        <f t="shared" si="481"/>
        <v>0</v>
      </c>
      <c r="AB353" s="57">
        <f t="shared" si="481"/>
        <v>0</v>
      </c>
      <c r="AC353" s="57">
        <f t="shared" si="481"/>
        <v>0</v>
      </c>
      <c r="AD353" s="57">
        <f t="shared" si="481"/>
        <v>0</v>
      </c>
      <c r="AE353" s="57">
        <f t="shared" si="481"/>
        <v>0</v>
      </c>
      <c r="AF353" s="57">
        <f t="shared" si="481"/>
        <v>0</v>
      </c>
      <c r="AG353" s="57">
        <f t="shared" si="481"/>
        <v>0</v>
      </c>
      <c r="AH353" s="57">
        <f t="shared" si="481"/>
        <v>0</v>
      </c>
      <c r="AI353" s="57">
        <f t="shared" ref="AI353:BN353" si="482">$B$12*($O$5*AI349+$O$6*AI350+$O$7*AI351+$O$8*AI352)</f>
        <v>0</v>
      </c>
      <c r="AJ353" s="57">
        <f t="shared" si="482"/>
        <v>0</v>
      </c>
      <c r="AK353" s="57">
        <f t="shared" si="482"/>
        <v>0</v>
      </c>
      <c r="AL353" s="57">
        <f t="shared" si="482"/>
        <v>0</v>
      </c>
      <c r="AM353" s="57">
        <f t="shared" si="482"/>
        <v>0</v>
      </c>
      <c r="AN353" s="57">
        <f t="shared" si="482"/>
        <v>0</v>
      </c>
      <c r="AO353" s="57">
        <f t="shared" si="482"/>
        <v>0</v>
      </c>
      <c r="AP353" s="57">
        <f t="shared" si="482"/>
        <v>0</v>
      </c>
      <c r="AQ353" s="57">
        <f t="shared" si="482"/>
        <v>0</v>
      </c>
      <c r="AR353" s="57">
        <f t="shared" si="482"/>
        <v>0</v>
      </c>
      <c r="AS353" s="57">
        <f t="shared" si="482"/>
        <v>0</v>
      </c>
      <c r="AT353" s="57">
        <f t="shared" si="482"/>
        <v>0</v>
      </c>
      <c r="AU353" s="57">
        <f t="shared" si="482"/>
        <v>0</v>
      </c>
      <c r="AV353" s="57">
        <f t="shared" si="482"/>
        <v>0</v>
      </c>
      <c r="AW353" s="57">
        <f t="shared" si="482"/>
        <v>0</v>
      </c>
      <c r="AX353" s="57">
        <f t="shared" si="482"/>
        <v>0</v>
      </c>
      <c r="AY353" s="57">
        <f t="shared" si="482"/>
        <v>0</v>
      </c>
      <c r="AZ353" s="57">
        <f t="shared" si="482"/>
        <v>0</v>
      </c>
      <c r="BA353" s="57">
        <f t="shared" si="482"/>
        <v>0</v>
      </c>
      <c r="BB353" s="57">
        <f t="shared" si="482"/>
        <v>0</v>
      </c>
      <c r="BC353" s="57">
        <f t="shared" si="482"/>
        <v>0</v>
      </c>
      <c r="BD353" s="57">
        <f t="shared" si="482"/>
        <v>0</v>
      </c>
      <c r="BE353" s="57">
        <f t="shared" si="482"/>
        <v>0</v>
      </c>
      <c r="BF353" s="57">
        <f t="shared" si="482"/>
        <v>0</v>
      </c>
      <c r="BG353" s="57">
        <f t="shared" si="482"/>
        <v>0</v>
      </c>
      <c r="BH353" s="57">
        <f t="shared" si="482"/>
        <v>0</v>
      </c>
      <c r="BI353" s="57">
        <f t="shared" si="482"/>
        <v>0</v>
      </c>
      <c r="BJ353" s="57">
        <f t="shared" si="482"/>
        <v>0</v>
      </c>
    </row>
    <row r="354" spans="1:62" x14ac:dyDescent="0.3">
      <c r="A354" s="28" t="s">
        <v>271</v>
      </c>
      <c r="C354" s="58">
        <f t="shared" ref="C354:AH354" si="483">IF(C338=0,0,C344/C338)</f>
        <v>0.20001761424378514</v>
      </c>
      <c r="D354" s="58">
        <f t="shared" si="483"/>
        <v>6.5801840346398563E-2</v>
      </c>
      <c r="E354" s="58">
        <f t="shared" si="483"/>
        <v>5.1060345933440958E-4</v>
      </c>
      <c r="F354" s="58">
        <f t="shared" si="483"/>
        <v>3.1911462063620666E-2</v>
      </c>
      <c r="G354" s="58">
        <f t="shared" si="483"/>
        <v>7.546158921666242E-2</v>
      </c>
      <c r="H354" s="58">
        <f t="shared" si="483"/>
        <v>-9.422201608393672E-5</v>
      </c>
      <c r="I354" s="58">
        <f t="shared" si="483"/>
        <v>6.1971283158570823E-3</v>
      </c>
      <c r="J354" s="58">
        <f t="shared" si="483"/>
        <v>0.37866513839109212</v>
      </c>
      <c r="K354" s="58">
        <f t="shared" si="483"/>
        <v>1.176171320034016</v>
      </c>
      <c r="L354" s="58">
        <f t="shared" si="483"/>
        <v>2.1600597435804958</v>
      </c>
      <c r="M354" s="58">
        <f t="shared" si="483"/>
        <v>3.1432141691681359</v>
      </c>
      <c r="N354" s="58">
        <f t="shared" si="483"/>
        <v>4.1191166106979322</v>
      </c>
      <c r="O354" s="58">
        <f t="shared" si="483"/>
        <v>5.065667581692936</v>
      </c>
      <c r="P354" s="58">
        <f t="shared" si="483"/>
        <v>5.9463571156539183</v>
      </c>
      <c r="Q354" s="58">
        <f t="shared" si="483"/>
        <v>6.7695399938051457</v>
      </c>
      <c r="R354" s="58">
        <f t="shared" si="483"/>
        <v>7.5480425072193036</v>
      </c>
      <c r="S354" s="58">
        <f t="shared" si="483"/>
        <v>8.0526340904313667</v>
      </c>
      <c r="T354" s="58">
        <f t="shared" si="483"/>
        <v>7.4599725618647685</v>
      </c>
      <c r="U354" s="58">
        <f t="shared" si="483"/>
        <v>4.8193362989064896</v>
      </c>
      <c r="V354" s="58">
        <f t="shared" si="483"/>
        <v>0</v>
      </c>
      <c r="W354" s="58">
        <f t="shared" si="483"/>
        <v>0</v>
      </c>
      <c r="X354" s="58">
        <f t="shared" si="483"/>
        <v>0</v>
      </c>
      <c r="Y354" s="58">
        <f t="shared" si="483"/>
        <v>0</v>
      </c>
      <c r="Z354" s="58">
        <f t="shared" si="483"/>
        <v>0</v>
      </c>
      <c r="AA354" s="58">
        <f t="shared" si="483"/>
        <v>0</v>
      </c>
      <c r="AB354" s="58">
        <f t="shared" si="483"/>
        <v>0</v>
      </c>
      <c r="AC354" s="58">
        <f t="shared" si="483"/>
        <v>0</v>
      </c>
      <c r="AD354" s="58">
        <f t="shared" si="483"/>
        <v>0</v>
      </c>
      <c r="AE354" s="58">
        <f t="shared" si="483"/>
        <v>0</v>
      </c>
      <c r="AF354" s="58">
        <f t="shared" si="483"/>
        <v>0</v>
      </c>
      <c r="AG354" s="58">
        <f t="shared" si="483"/>
        <v>0</v>
      </c>
      <c r="AH354" s="58">
        <f t="shared" si="483"/>
        <v>0</v>
      </c>
      <c r="AI354" s="58">
        <f t="shared" ref="AI354:BJ354" si="484">IF(AI338=0,0,AI344/AI338)</f>
        <v>0</v>
      </c>
      <c r="AJ354" s="58">
        <f t="shared" si="484"/>
        <v>0</v>
      </c>
      <c r="AK354" s="58">
        <f t="shared" si="484"/>
        <v>0</v>
      </c>
      <c r="AL354" s="58">
        <f t="shared" si="484"/>
        <v>0</v>
      </c>
      <c r="AM354" s="58">
        <f t="shared" si="484"/>
        <v>0</v>
      </c>
      <c r="AN354" s="58">
        <f t="shared" si="484"/>
        <v>0</v>
      </c>
      <c r="AO354" s="58">
        <f t="shared" si="484"/>
        <v>0</v>
      </c>
      <c r="AP354" s="58">
        <f t="shared" si="484"/>
        <v>0</v>
      </c>
      <c r="AQ354" s="58">
        <f t="shared" si="484"/>
        <v>0</v>
      </c>
      <c r="AR354" s="58">
        <f t="shared" si="484"/>
        <v>0</v>
      </c>
      <c r="AS354" s="58">
        <f t="shared" si="484"/>
        <v>0</v>
      </c>
      <c r="AT354" s="58">
        <f t="shared" si="484"/>
        <v>0</v>
      </c>
      <c r="AU354" s="58">
        <f t="shared" si="484"/>
        <v>0</v>
      </c>
      <c r="AV354" s="58">
        <f t="shared" si="484"/>
        <v>0</v>
      </c>
      <c r="AW354" s="58">
        <f t="shared" si="484"/>
        <v>0</v>
      </c>
      <c r="AX354" s="58">
        <f t="shared" si="484"/>
        <v>0</v>
      </c>
      <c r="AY354" s="58">
        <f t="shared" si="484"/>
        <v>0</v>
      </c>
      <c r="AZ354" s="58">
        <f t="shared" si="484"/>
        <v>0</v>
      </c>
      <c r="BA354" s="58">
        <f t="shared" si="484"/>
        <v>0</v>
      </c>
      <c r="BB354" s="58">
        <f t="shared" si="484"/>
        <v>0</v>
      </c>
      <c r="BC354" s="58">
        <f t="shared" si="484"/>
        <v>0</v>
      </c>
      <c r="BD354" s="58">
        <f t="shared" si="484"/>
        <v>0</v>
      </c>
      <c r="BE354" s="58">
        <f t="shared" si="484"/>
        <v>0</v>
      </c>
      <c r="BF354" s="58">
        <f t="shared" si="484"/>
        <v>0</v>
      </c>
      <c r="BG354" s="58">
        <f t="shared" si="484"/>
        <v>0</v>
      </c>
      <c r="BH354" s="58">
        <f t="shared" si="484"/>
        <v>0</v>
      </c>
      <c r="BI354" s="58">
        <f t="shared" si="484"/>
        <v>0</v>
      </c>
      <c r="BJ354" s="58">
        <f t="shared" si="484"/>
        <v>0</v>
      </c>
    </row>
    <row r="355" spans="1:62" x14ac:dyDescent="0.3">
      <c r="A355" s="28" t="s">
        <v>272</v>
      </c>
      <c r="C355" s="58">
        <f t="shared" ref="C355:AH355" si="485">IF(C232&gt;0,SUMPRODUCT(C132:C231,$S$24:$S$123)/C232,NA())</f>
        <v>2.9961056647280917</v>
      </c>
      <c r="D355" s="58">
        <f t="shared" si="485"/>
        <v>3.2025483618417141</v>
      </c>
      <c r="E355" s="58">
        <f t="shared" si="485"/>
        <v>3.6326529422676344</v>
      </c>
      <c r="F355" s="58">
        <f t="shared" si="485"/>
        <v>3.4579359481760417</v>
      </c>
      <c r="G355" s="58">
        <f t="shared" si="485"/>
        <v>3.7323753224842098</v>
      </c>
      <c r="H355" s="58">
        <f t="shared" si="485"/>
        <v>3.5344457200372115</v>
      </c>
      <c r="I355" s="58">
        <f t="shared" si="485"/>
        <v>3.2599808321505357</v>
      </c>
      <c r="J355" s="58">
        <f t="shared" si="485"/>
        <v>3.8871055019304084</v>
      </c>
      <c r="K355" s="58">
        <f t="shared" si="485"/>
        <v>3.7784220830896</v>
      </c>
      <c r="L355" s="58">
        <f t="shared" si="485"/>
        <v>3.2032235409776484</v>
      </c>
      <c r="M355" s="58">
        <f t="shared" si="485"/>
        <v>3.1851854307738257</v>
      </c>
      <c r="N355" s="58">
        <f t="shared" si="485"/>
        <v>4.5248458786699777</v>
      </c>
      <c r="O355" s="58">
        <f t="shared" si="485"/>
        <v>4.193805032074911</v>
      </c>
      <c r="P355" s="58">
        <f t="shared" si="485"/>
        <v>5.0719883745758052</v>
      </c>
      <c r="Q355" s="58">
        <f t="shared" si="485"/>
        <v>4.9362796519681513</v>
      </c>
      <c r="R355" s="58">
        <f t="shared" si="485"/>
        <v>5.5395129791715734</v>
      </c>
      <c r="S355" s="58">
        <f t="shared" si="485"/>
        <v>6.4247212126595361</v>
      </c>
      <c r="T355" s="58">
        <f t="shared" si="485"/>
        <v>5.9590759458852052</v>
      </c>
      <c r="U355" s="58">
        <f t="shared" si="485"/>
        <v>5.7092329201799039</v>
      </c>
      <c r="V355" s="58">
        <f t="shared" si="485"/>
        <v>5.3488087977511078</v>
      </c>
      <c r="W355" s="58" t="e">
        <f t="shared" si="485"/>
        <v>#N/A</v>
      </c>
      <c r="X355" s="58" t="e">
        <f t="shared" si="485"/>
        <v>#N/A</v>
      </c>
      <c r="Y355" s="58" t="e">
        <f t="shared" si="485"/>
        <v>#N/A</v>
      </c>
      <c r="Z355" s="58" t="e">
        <f t="shared" si="485"/>
        <v>#N/A</v>
      </c>
      <c r="AA355" s="58" t="e">
        <f t="shared" si="485"/>
        <v>#N/A</v>
      </c>
      <c r="AB355" s="58" t="e">
        <f t="shared" si="485"/>
        <v>#N/A</v>
      </c>
      <c r="AC355" s="58" t="e">
        <f t="shared" si="485"/>
        <v>#N/A</v>
      </c>
      <c r="AD355" s="58" t="e">
        <f t="shared" si="485"/>
        <v>#N/A</v>
      </c>
      <c r="AE355" s="58" t="e">
        <f t="shared" si="485"/>
        <v>#N/A</v>
      </c>
      <c r="AF355" s="58" t="e">
        <f t="shared" si="485"/>
        <v>#N/A</v>
      </c>
      <c r="AG355" s="58" t="e">
        <f t="shared" si="485"/>
        <v>#N/A</v>
      </c>
      <c r="AH355" s="58" t="e">
        <f t="shared" si="485"/>
        <v>#N/A</v>
      </c>
      <c r="AI355" s="58" t="e">
        <f t="shared" ref="AI355:BJ355" si="486">IF(AI232&gt;0,SUMPRODUCT(AI132:AI231,$S$24:$S$123)/AI232,NA())</f>
        <v>#N/A</v>
      </c>
      <c r="AJ355" s="58" t="e">
        <f t="shared" si="486"/>
        <v>#N/A</v>
      </c>
      <c r="AK355" s="58" t="e">
        <f t="shared" si="486"/>
        <v>#N/A</v>
      </c>
      <c r="AL355" s="58" t="e">
        <f t="shared" si="486"/>
        <v>#N/A</v>
      </c>
      <c r="AM355" s="58" t="e">
        <f t="shared" si="486"/>
        <v>#N/A</v>
      </c>
      <c r="AN355" s="58" t="e">
        <f t="shared" si="486"/>
        <v>#N/A</v>
      </c>
      <c r="AO355" s="58" t="e">
        <f t="shared" si="486"/>
        <v>#N/A</v>
      </c>
      <c r="AP355" s="58" t="e">
        <f t="shared" si="486"/>
        <v>#N/A</v>
      </c>
      <c r="AQ355" s="58" t="e">
        <f t="shared" si="486"/>
        <v>#N/A</v>
      </c>
      <c r="AR355" s="58" t="e">
        <f t="shared" si="486"/>
        <v>#N/A</v>
      </c>
      <c r="AS355" s="58" t="e">
        <f t="shared" si="486"/>
        <v>#N/A</v>
      </c>
      <c r="AT355" s="58" t="e">
        <f t="shared" si="486"/>
        <v>#N/A</v>
      </c>
      <c r="AU355" s="58" t="e">
        <f t="shared" si="486"/>
        <v>#N/A</v>
      </c>
      <c r="AV355" s="58" t="e">
        <f t="shared" si="486"/>
        <v>#N/A</v>
      </c>
      <c r="AW355" s="58" t="e">
        <f t="shared" si="486"/>
        <v>#N/A</v>
      </c>
      <c r="AX355" s="58" t="e">
        <f t="shared" si="486"/>
        <v>#N/A</v>
      </c>
      <c r="AY355" s="58" t="e">
        <f t="shared" si="486"/>
        <v>#N/A</v>
      </c>
      <c r="AZ355" s="58" t="e">
        <f t="shared" si="486"/>
        <v>#N/A</v>
      </c>
      <c r="BA355" s="58" t="e">
        <f t="shared" si="486"/>
        <v>#N/A</v>
      </c>
      <c r="BB355" s="58" t="e">
        <f t="shared" si="486"/>
        <v>#N/A</v>
      </c>
      <c r="BC355" s="58" t="e">
        <f t="shared" si="486"/>
        <v>#N/A</v>
      </c>
      <c r="BD355" s="58" t="e">
        <f t="shared" si="486"/>
        <v>#N/A</v>
      </c>
      <c r="BE355" s="58" t="e">
        <f t="shared" si="486"/>
        <v>#N/A</v>
      </c>
      <c r="BF355" s="58" t="e">
        <f t="shared" si="486"/>
        <v>#N/A</v>
      </c>
      <c r="BG355" s="58" t="e">
        <f t="shared" si="486"/>
        <v>#N/A</v>
      </c>
      <c r="BH355" s="58" t="e">
        <f t="shared" si="486"/>
        <v>#N/A</v>
      </c>
      <c r="BI355" s="58" t="e">
        <f t="shared" si="486"/>
        <v>#N/A</v>
      </c>
      <c r="BJ355" s="58" t="e">
        <f t="shared" si="486"/>
        <v>#N/A</v>
      </c>
    </row>
    <row r="356" spans="1:62" x14ac:dyDescent="0.3">
      <c r="A356" s="28" t="s">
        <v>273</v>
      </c>
      <c r="C356" s="58">
        <f t="shared" ref="C356:AH356" si="487">IF(SUMIF($I$24:$I$123,C$127,$E$24:$E$123)&gt;0,SUMPRODUCT(($I$24:$I$123=C$127)*$E$24:$E$123*$S$24:$S$123)/SUMIF($I$24:$I$123,C$127,$E$24:$E$123),NA())</f>
        <v>3.5082317971461596</v>
      </c>
      <c r="D356" s="58">
        <f t="shared" si="487"/>
        <v>1.2816446901562384</v>
      </c>
      <c r="E356" s="58">
        <f t="shared" si="487"/>
        <v>2.1608059950027272</v>
      </c>
      <c r="F356" s="58">
        <f t="shared" si="487"/>
        <v>1.434424026868184</v>
      </c>
      <c r="G356" s="58">
        <f t="shared" si="487"/>
        <v>4.9242882740901353</v>
      </c>
      <c r="H356" s="58">
        <f t="shared" si="487"/>
        <v>1.5677358587741452</v>
      </c>
      <c r="I356" s="58">
        <f t="shared" si="487"/>
        <v>1.3321839656310692</v>
      </c>
      <c r="J356" s="58" t="e">
        <f t="shared" si="487"/>
        <v>#N/A</v>
      </c>
      <c r="K356" s="58" t="e">
        <f t="shared" si="487"/>
        <v>#N/A</v>
      </c>
      <c r="L356" s="58" t="e">
        <f t="shared" si="487"/>
        <v>#N/A</v>
      </c>
      <c r="M356" s="58" t="e">
        <f t="shared" si="487"/>
        <v>#N/A</v>
      </c>
      <c r="N356" s="58">
        <f t="shared" si="487"/>
        <v>5.677783489464443</v>
      </c>
      <c r="O356" s="58">
        <f t="shared" si="487"/>
        <v>4.5426903755747086</v>
      </c>
      <c r="P356" s="58">
        <f t="shared" si="487"/>
        <v>3.4823051053827787</v>
      </c>
      <c r="Q356" s="58">
        <f t="shared" si="487"/>
        <v>9.9766920235962662</v>
      </c>
      <c r="R356" s="58">
        <f t="shared" si="487"/>
        <v>4.3549044843963465</v>
      </c>
      <c r="S356" s="58">
        <f t="shared" si="487"/>
        <v>7.8413385740058201</v>
      </c>
      <c r="T356" s="58">
        <f t="shared" si="487"/>
        <v>5.1229486351783233</v>
      </c>
      <c r="U356" s="58">
        <f t="shared" si="487"/>
        <v>7.8189491100289175</v>
      </c>
      <c r="V356" s="58">
        <f t="shared" si="487"/>
        <v>3.7315425175302197</v>
      </c>
      <c r="W356" s="58" t="e">
        <f t="shared" si="487"/>
        <v>#N/A</v>
      </c>
      <c r="X356" s="58" t="e">
        <f t="shared" si="487"/>
        <v>#N/A</v>
      </c>
      <c r="Y356" s="58" t="e">
        <f t="shared" si="487"/>
        <v>#N/A</v>
      </c>
      <c r="Z356" s="58" t="e">
        <f t="shared" si="487"/>
        <v>#N/A</v>
      </c>
      <c r="AA356" s="58" t="e">
        <f t="shared" si="487"/>
        <v>#N/A</v>
      </c>
      <c r="AB356" s="58" t="e">
        <f t="shared" si="487"/>
        <v>#N/A</v>
      </c>
      <c r="AC356" s="58" t="e">
        <f t="shared" si="487"/>
        <v>#N/A</v>
      </c>
      <c r="AD356" s="58" t="e">
        <f t="shared" si="487"/>
        <v>#N/A</v>
      </c>
      <c r="AE356" s="58" t="e">
        <f t="shared" si="487"/>
        <v>#N/A</v>
      </c>
      <c r="AF356" s="58" t="e">
        <f t="shared" si="487"/>
        <v>#N/A</v>
      </c>
      <c r="AG356" s="58" t="e">
        <f t="shared" si="487"/>
        <v>#N/A</v>
      </c>
      <c r="AH356" s="58" t="e">
        <f t="shared" si="487"/>
        <v>#N/A</v>
      </c>
      <c r="AI356" s="58" t="e">
        <f t="shared" ref="AI356:BJ356" si="488">IF(SUMIF($I$24:$I$123,AI$127,$E$24:$E$123)&gt;0,SUMPRODUCT(($I$24:$I$123=AI$127)*$E$24:$E$123*$S$24:$S$123)/SUMIF($I$24:$I$123,AI$127,$E$24:$E$123),NA())</f>
        <v>#N/A</v>
      </c>
      <c r="AJ356" s="58" t="e">
        <f t="shared" si="488"/>
        <v>#N/A</v>
      </c>
      <c r="AK356" s="58" t="e">
        <f t="shared" si="488"/>
        <v>#N/A</v>
      </c>
      <c r="AL356" s="58" t="e">
        <f t="shared" si="488"/>
        <v>#N/A</v>
      </c>
      <c r="AM356" s="58" t="e">
        <f t="shared" si="488"/>
        <v>#N/A</v>
      </c>
      <c r="AN356" s="58" t="e">
        <f t="shared" si="488"/>
        <v>#N/A</v>
      </c>
      <c r="AO356" s="58" t="e">
        <f t="shared" si="488"/>
        <v>#N/A</v>
      </c>
      <c r="AP356" s="58" t="e">
        <f t="shared" si="488"/>
        <v>#N/A</v>
      </c>
      <c r="AQ356" s="58" t="e">
        <f t="shared" si="488"/>
        <v>#N/A</v>
      </c>
      <c r="AR356" s="58" t="e">
        <f t="shared" si="488"/>
        <v>#N/A</v>
      </c>
      <c r="AS356" s="58" t="e">
        <f t="shared" si="488"/>
        <v>#N/A</v>
      </c>
      <c r="AT356" s="58" t="e">
        <f t="shared" si="488"/>
        <v>#N/A</v>
      </c>
      <c r="AU356" s="58" t="e">
        <f t="shared" si="488"/>
        <v>#N/A</v>
      </c>
      <c r="AV356" s="58" t="e">
        <f t="shared" si="488"/>
        <v>#N/A</v>
      </c>
      <c r="AW356" s="58" t="e">
        <f t="shared" si="488"/>
        <v>#N/A</v>
      </c>
      <c r="AX356" s="58" t="e">
        <f t="shared" si="488"/>
        <v>#N/A</v>
      </c>
      <c r="AY356" s="58" t="e">
        <f t="shared" si="488"/>
        <v>#N/A</v>
      </c>
      <c r="AZ356" s="58" t="e">
        <f t="shared" si="488"/>
        <v>#N/A</v>
      </c>
      <c r="BA356" s="58" t="e">
        <f t="shared" si="488"/>
        <v>#N/A</v>
      </c>
      <c r="BB356" s="58" t="e">
        <f t="shared" si="488"/>
        <v>#N/A</v>
      </c>
      <c r="BC356" s="58" t="e">
        <f t="shared" si="488"/>
        <v>#N/A</v>
      </c>
      <c r="BD356" s="58" t="e">
        <f t="shared" si="488"/>
        <v>#N/A</v>
      </c>
      <c r="BE356" s="58" t="e">
        <f t="shared" si="488"/>
        <v>#N/A</v>
      </c>
      <c r="BF356" s="58" t="e">
        <f t="shared" si="488"/>
        <v>#N/A</v>
      </c>
      <c r="BG356" s="58" t="e">
        <f t="shared" si="488"/>
        <v>#N/A</v>
      </c>
      <c r="BH356" s="58" t="e">
        <f t="shared" si="488"/>
        <v>#N/A</v>
      </c>
      <c r="BI356" s="58" t="e">
        <f t="shared" si="488"/>
        <v>#N/A</v>
      </c>
      <c r="BJ356" s="58" t="e">
        <f t="shared" si="488"/>
        <v>#N/A</v>
      </c>
    </row>
    <row r="357" spans="1:62" x14ac:dyDescent="0.3">
      <c r="A357" s="28" t="s">
        <v>274</v>
      </c>
      <c r="C357" s="58">
        <f>IF(SUMPRODUCT($C$232:C$232,$C$129:C$129)&gt;0,SUMPRODUCT($C$335:C$335,$C$129:C$129)/SUMPRODUCT($C$232:C$232,$C$129:C$129),NA())</f>
        <v>0</v>
      </c>
      <c r="D357" s="58">
        <f>IF(SUMPRODUCT($C$232:D$232,$C$129:D$129)&gt;0,SUMPRODUCT($C$335:D$335,$C$129:D$129)/SUMPRODUCT($C$232:D$232,$C$129:D$129),NA())</f>
        <v>8.1219424891152542E-4</v>
      </c>
      <c r="E357" s="58">
        <f>IF(SUMPRODUCT($C$232:E$232,$C$129:E$129)&gt;0,SUMPRODUCT($C$335:E$335,$C$129:E$129)/SUMPRODUCT($C$232:E$232,$C$129:E$129),NA())</f>
        <v>1.1692898576160432E-2</v>
      </c>
      <c r="F357" s="58">
        <f>IF(SUMPRODUCT($C$232:F$232,$C$129:F$129)&gt;0,SUMPRODUCT($C$335:F$335,$C$129:F$129)/SUMPRODUCT($C$232:F$232,$C$129:F$129),NA())</f>
        <v>2.7793013921759681E-2</v>
      </c>
      <c r="G357" s="58">
        <f>IF(SUMPRODUCT($C$232:G$232,$C$129:G$129)&gt;0,SUMPRODUCT($C$335:G$335,$C$129:G$129)/SUMPRODUCT($C$232:G$232,$C$129:G$129),NA())</f>
        <v>4.5503420893102907E-2</v>
      </c>
      <c r="H357" s="58">
        <f>IF(SUMPRODUCT($C$232:H$232,$C$129:H$129)&gt;0,SUMPRODUCT($C$335:H$335,$C$129:H$129)/SUMPRODUCT($C$232:H$232,$C$129:H$129),NA())</f>
        <v>7.4184456905298388E-2</v>
      </c>
      <c r="I357" s="58">
        <f>IF(SUMPRODUCT($C$232:I$232,$C$129:I$129)&gt;0,SUMPRODUCT($C$335:I$335,$C$129:I$129)/SUMPRODUCT($C$232:I$232,$C$129:I$129),NA())</f>
        <v>0.11131837539291431</v>
      </c>
      <c r="J357" s="58">
        <f>IF(SUMPRODUCT($C$232:J$232,$C$129:J$129)&gt;0,SUMPRODUCT($C$335:J$335,$C$129:J$129)/SUMPRODUCT($C$232:J$232,$C$129:J$129),NA())</f>
        <v>0.14764822505187825</v>
      </c>
      <c r="K357" s="58">
        <f>IF(SUMPRODUCT($C$232:K$232,$C$129:K$129)&gt;0,SUMPRODUCT($C$335:K$335,$C$129:K$129)/SUMPRODUCT($C$232:K$232,$C$129:K$129),NA())</f>
        <v>0.19565273527505295</v>
      </c>
      <c r="L357" s="58">
        <f>IF(SUMPRODUCT($C$232:L$232,$C$129:L$129)&gt;0,SUMPRODUCT($C$335:L$335,$C$129:L$129)/SUMPRODUCT($C$232:L$232,$C$129:L$129),NA())</f>
        <v>0.27612239710541558</v>
      </c>
      <c r="M357" s="58">
        <f>IF(SUMPRODUCT($C$232:M$232,$C$129:M$129)&gt;0,SUMPRODUCT($C$335:M$335,$C$129:M$129)/SUMPRODUCT($C$232:M$232,$C$129:M$129),NA())</f>
        <v>0.35567769982811032</v>
      </c>
      <c r="N357" s="58">
        <f>IF(SUMPRODUCT($C$232:N$232,$C$129:N$129)&gt;0,SUMPRODUCT($C$335:N$335,$C$129:N$129)/SUMPRODUCT($C$232:N$232,$C$129:N$129),NA())</f>
        <v>0.43408851501692941</v>
      </c>
      <c r="O357" s="58">
        <f>IF(SUMPRODUCT($C$232:O$232,$C$129:O$129)&gt;0,SUMPRODUCT($C$335:O$335,$C$129:O$129)/SUMPRODUCT($C$232:O$232,$C$129:O$129),NA())</f>
        <v>0.50992335491313145</v>
      </c>
      <c r="P357" s="58">
        <f>IF(SUMPRODUCT($C$232:P$232,$C$129:P$129)&gt;0,SUMPRODUCT($C$335:P$335,$C$129:P$129)/SUMPRODUCT($C$232:P$232,$C$129:P$129),NA())</f>
        <v>0.58041110804815166</v>
      </c>
      <c r="Q357" s="58">
        <f>IF(SUMPRODUCT($C$232:Q$232,$C$129:Q$129)&gt;0,SUMPRODUCT($C$335:Q$335,$C$129:Q$129)/SUMPRODUCT($C$232:Q$232,$C$129:Q$129),NA())</f>
        <v>0.64506488838082954</v>
      </c>
      <c r="R357" s="58">
        <f>IF(SUMPRODUCT($C$232:R$232,$C$129:R$129)&gt;0,SUMPRODUCT($C$335:R$335,$C$129:R$129)/SUMPRODUCT($C$232:R$232,$C$129:R$129),NA())</f>
        <v>0.70416245842442426</v>
      </c>
      <c r="S357" s="58">
        <f>IF(SUMPRODUCT($C$232:S$232,$C$129:S$129)&gt;0,SUMPRODUCT($C$335:S$335,$C$129:S$129)/SUMPRODUCT($C$232:S$232,$C$129:S$129),NA())</f>
        <v>0.74237487378947253</v>
      </c>
      <c r="T357" s="58">
        <f>IF(SUMPRODUCT($C$232:T$232,$C$129:T$129)&gt;0,SUMPRODUCT($C$335:T$335,$C$129:T$129)/SUMPRODUCT($C$232:T$232,$C$129:T$129),NA())</f>
        <v>0.71188692396626996</v>
      </c>
      <c r="U357" s="58">
        <f>IF(SUMPRODUCT($C$232:U$232,$C$129:U$129)&gt;0,SUMPRODUCT($C$335:U$335,$C$129:U$129)/SUMPRODUCT($C$232:U$232,$C$129:U$129),NA())</f>
        <v>0.60563293206018298</v>
      </c>
      <c r="V357" s="58">
        <f>IF(SUMPRODUCT($C$232:V$232,$C$129:V$129)&gt;0,SUMPRODUCT($C$335:V$335,$C$129:V$129)/SUMPRODUCT($C$232:V$232,$C$129:V$129),NA())</f>
        <v>0.52812367200786503</v>
      </c>
      <c r="W357" s="58">
        <f>IF(SUMPRODUCT($C$232:W$232,$C$129:W$129)&gt;0,SUMPRODUCT($C$335:W$335,$C$129:W$129)/SUMPRODUCT($C$232:W$232,$C$129:W$129),NA())</f>
        <v>0.63151536324159141</v>
      </c>
      <c r="X357" s="58">
        <f>IF(SUMPRODUCT($C$232:X$232,$C$129:X$129)&gt;0,SUMPRODUCT($C$335:X$335,$C$129:X$129)/SUMPRODUCT($C$232:X$232,$C$129:X$129),NA())</f>
        <v>0.73493071619573269</v>
      </c>
      <c r="Y357" s="58">
        <f>IF(SUMPRODUCT($C$232:Y$232,$C$129:Y$129)&gt;0,SUMPRODUCT($C$335:Y$335,$C$129:Y$129)/SUMPRODUCT($C$232:Y$232,$C$129:Y$129),NA())</f>
        <v>0.83837403202675376</v>
      </c>
      <c r="Z357" s="58">
        <f>IF(SUMPRODUCT($C$232:Z$232,$C$129:Z$129)&gt;0,SUMPRODUCT($C$335:Z$335,$C$129:Z$129)/SUMPRODUCT($C$232:Z$232,$C$129:Z$129),NA())</f>
        <v>0.94184960866680356</v>
      </c>
      <c r="AA357" s="58">
        <f>IF(SUMPRODUCT($C$232:AA$232,$C$129:AA$129)&gt;0,SUMPRODUCT($C$335:AA$335,$C$129:AA$129)/SUMPRODUCT($C$232:AA$232,$C$129:AA$129),NA())</f>
        <v>1.0453617411318028</v>
      </c>
      <c r="AB357" s="58">
        <f>IF(SUMPRODUCT($C$232:AB$232,$C$129:AB$129)&gt;0,SUMPRODUCT($C$335:AB$335,$C$129:AB$129)/SUMPRODUCT($C$232:AB$232,$C$129:AB$129),NA())</f>
        <v>1.1489147218280709</v>
      </c>
      <c r="AC357" s="58">
        <f>IF(SUMPRODUCT($C$232:AC$232,$C$129:AC$129)&gt;0,SUMPRODUCT($C$335:AC$335,$C$129:AC$129)/SUMPRODUCT($C$232:AC$232,$C$129:AC$129),NA())</f>
        <v>1.2525128408575559</v>
      </c>
      <c r="AD357" s="58">
        <f>IF(SUMPRODUCT($C$232:AD$232,$C$129:AD$129)&gt;0,SUMPRODUCT($C$335:AD$335,$C$129:AD$129)/SUMPRODUCT($C$232:AD$232,$C$129:AD$129),NA())</f>
        <v>1.356160386321736</v>
      </c>
      <c r="AE357" s="58">
        <f>IF(SUMPRODUCT($C$232:AE$232,$C$129:AE$129)&gt;0,SUMPRODUCT($C$335:AE$335,$C$129:AE$129)/SUMPRODUCT($C$232:AE$232,$C$129:AE$129),NA())</f>
        <v>1.4598616446242478</v>
      </c>
      <c r="AF357" s="58">
        <f>IF(SUMPRODUCT($C$232:AF$232,$C$129:AF$129)&gt;0,SUMPRODUCT($C$335:AF$335,$C$129:AF$129)/SUMPRODUCT($C$232:AF$232,$C$129:AF$129),NA())</f>
        <v>1.5636209007723052</v>
      </c>
      <c r="AG357" s="58">
        <f>IF(SUMPRODUCT($C$232:AG$232,$C$129:AG$129)&gt;0,SUMPRODUCT($C$335:AG$335,$C$129:AG$129)/SUMPRODUCT($C$232:AG$232,$C$129:AG$129),NA())</f>
        <v>1.6674424386769688</v>
      </c>
      <c r="AH357" s="58">
        <f>IF(SUMPRODUCT($C$232:AH$232,$C$129:AH$129)&gt;0,SUMPRODUCT($C$335:AH$335,$C$129:AH$129)/SUMPRODUCT($C$232:AH$232,$C$129:AH$129),NA())</f>
        <v>1.7718423055053996</v>
      </c>
      <c r="AI357" s="58">
        <f>IF(SUMPRODUCT($C$232:AI$232,$C$129:AI$129)&gt;0,SUMPRODUCT($C$335:AI$335,$C$129:AI$129)/SUMPRODUCT($C$232:AI$232,$C$129:AI$129),NA())</f>
        <v>1.8768280046020311</v>
      </c>
      <c r="AJ357" s="58">
        <f>IF(SUMPRODUCT($C$232:AJ$232,$C$129:AJ$129)&gt;0,SUMPRODUCT($C$335:AJ$335,$C$129:AJ$129)/SUMPRODUCT($C$232:AJ$232,$C$129:AJ$129),NA())</f>
        <v>1.9824071203021252</v>
      </c>
      <c r="AK357" s="58">
        <f>IF(SUMPRODUCT($C$232:AK$232,$C$129:AK$129)&gt;0,SUMPRODUCT($C$335:AK$335,$C$129:AK$129)/SUMPRODUCT($C$232:AK$232,$C$129:AK$129),NA())</f>
        <v>2.0885873189526643</v>
      </c>
      <c r="AL357" s="58">
        <f>IF(SUMPRODUCT($C$232:AL$232,$C$129:AL$129)&gt;0,SUMPRODUCT($C$335:AL$335,$C$129:AL$129)/SUMPRODUCT($C$232:AL$232,$C$129:AL$129),NA())</f>
        <v>2.1953763499454007</v>
      </c>
      <c r="AM357" s="58">
        <f>IF(SUMPRODUCT($C$232:AM$232,$C$129:AM$129)&gt;0,SUMPRODUCT($C$335:AM$335,$C$129:AM$129)/SUMPRODUCT($C$232:AM$232,$C$129:AM$129),NA())</f>
        <v>2.3027820467622377</v>
      </c>
      <c r="AN357" s="58">
        <f>IF(SUMPRODUCT($C$232:AN$232,$C$129:AN$129)&gt;0,SUMPRODUCT($C$335:AN$335,$C$129:AN$129)/SUMPRODUCT($C$232:AN$232,$C$129:AN$129),NA())</f>
        <v>2.4108123280331228</v>
      </c>
      <c r="AO357" s="58">
        <f>IF(SUMPRODUCT($C$232:AO$232,$C$129:AO$129)&gt;0,SUMPRODUCT($C$335:AO$335,$C$129:AO$129)/SUMPRODUCT($C$232:AO$232,$C$129:AO$129),NA())</f>
        <v>2.5194751986066293</v>
      </c>
      <c r="AP357" s="58">
        <f>IF(SUMPRODUCT($C$232:AP$232,$C$129:AP$129)&gt;0,SUMPRODUCT($C$335:AP$335,$C$129:AP$129)/SUMPRODUCT($C$232:AP$232,$C$129:AP$129),NA())</f>
        <v>2.6287787506334048</v>
      </c>
      <c r="AQ357" s="58">
        <f>IF(SUMPRODUCT($C$232:AQ$232,$C$129:AQ$129)&gt;0,SUMPRODUCT($C$335:AQ$335,$C$129:AQ$129)/SUMPRODUCT($C$232:AQ$232,$C$129:AQ$129),NA())</f>
        <v>2.7387311646626764</v>
      </c>
      <c r="AR357" s="58">
        <f>IF(SUMPRODUCT($C$232:AR$232,$C$129:AR$129)&gt;0,SUMPRODUCT($C$335:AR$335,$C$129:AR$129)/SUMPRODUCT($C$232:AR$232,$C$129:AR$129),NA())</f>
        <v>2.8492516557094278</v>
      </c>
      <c r="AS357" s="58">
        <f>IF(SUMPRODUCT($C$232:AS$232,$C$129:AS$129)&gt;0,SUMPRODUCT($C$335:AS$335,$C$129:AS$129)/SUMPRODUCT($C$232:AS$232,$C$129:AS$129),NA())</f>
        <v>2.958733775603775</v>
      </c>
      <c r="AT357" s="58">
        <f>IF(SUMPRODUCT($C$232:AT$232,$C$129:AT$129)&gt;0,SUMPRODUCT($C$335:AT$335,$C$129:AT$129)/SUMPRODUCT($C$232:AT$232,$C$129:AT$129),NA())</f>
        <v>3.0666753181602555</v>
      </c>
      <c r="AU357" s="58">
        <f>IF(SUMPRODUCT($C$232:AU$232,$C$129:AU$129)&gt;0,SUMPRODUCT($C$335:AU$335,$C$129:AU$129)/SUMPRODUCT($C$232:AU$232,$C$129:AU$129),NA())</f>
        <v>3.1733499960309453</v>
      </c>
      <c r="AV357" s="58">
        <f>IF(SUMPRODUCT($C$232:AV$232,$C$129:AV$129)&gt;0,SUMPRODUCT($C$335:AV$335,$C$129:AV$129)/SUMPRODUCT($C$232:AV$232,$C$129:AV$129),NA())</f>
        <v>3.2756357851715738</v>
      </c>
      <c r="AW357" s="58">
        <f>IF(SUMPRODUCT($C$232:AW$232,$C$129:AW$129)&gt;0,SUMPRODUCT($C$335:AW$335,$C$129:AW$129)/SUMPRODUCT($C$232:AW$232,$C$129:AW$129),NA())</f>
        <v>3.3733921258905815</v>
      </c>
      <c r="AX357" s="58">
        <f>IF(SUMPRODUCT($C$232:AX$232,$C$129:AX$129)&gt;0,SUMPRODUCT($C$335:AX$335,$C$129:AX$129)/SUMPRODUCT($C$232:AX$232,$C$129:AX$129),NA())</f>
        <v>3.4711103032999171</v>
      </c>
      <c r="AY357" s="58">
        <f>IF(SUMPRODUCT($C$232:AY$232,$C$129:AY$129)&gt;0,SUMPRODUCT($C$335:AY$335,$C$129:AY$129)/SUMPRODUCT($C$232:AY$232,$C$129:AY$129),NA())</f>
        <v>3.5659821672041456</v>
      </c>
      <c r="AZ357" s="58">
        <f>IF(SUMPRODUCT($C$232:AZ$232,$C$129:AZ$129)&gt;0,SUMPRODUCT($C$335:AZ$335,$C$129:AZ$129)/SUMPRODUCT($C$232:AZ$232,$C$129:AZ$129),NA())</f>
        <v>3.6491184849324281</v>
      </c>
      <c r="BA357" s="58">
        <f>IF(SUMPRODUCT($C$232:BA$232,$C$129:BA$129)&gt;0,SUMPRODUCT($C$335:BA$335,$C$129:BA$129)/SUMPRODUCT($C$232:BA$232,$C$129:BA$129),NA())</f>
        <v>3.7330703460835792</v>
      </c>
      <c r="BB357" s="58">
        <f>IF(SUMPRODUCT($C$232:BB$232,$C$129:BB$129)&gt;0,SUMPRODUCT($C$335:BB$335,$C$129:BB$129)/SUMPRODUCT($C$232:BB$232,$C$129:BB$129),NA())</f>
        <v>3.8178076244749466</v>
      </c>
      <c r="BC357" s="58">
        <f>IF(SUMPRODUCT($C$232:BC$232,$C$129:BC$129)&gt;0,SUMPRODUCT($C$335:BC$335,$C$129:BC$129)/SUMPRODUCT($C$232:BC$232,$C$129:BC$129),NA())</f>
        <v>3.9033782950695208</v>
      </c>
      <c r="BD357" s="58">
        <f>IF(SUMPRODUCT($C$232:BD$232,$C$129:BD$129)&gt;0,SUMPRODUCT($C$335:BD$335,$C$129:BD$129)/SUMPRODUCT($C$232:BD$232,$C$129:BD$129),NA())</f>
        <v>3.9897914741199645</v>
      </c>
      <c r="BE357" s="58">
        <f>IF(SUMPRODUCT($C$232:BE$232,$C$129:BE$129)&gt;0,SUMPRODUCT($C$335:BE$335,$C$129:BE$129)/SUMPRODUCT($C$232:BE$232,$C$129:BE$129),NA())</f>
        <v>4.0770563845074594</v>
      </c>
      <c r="BF357" s="58">
        <f>IF(SUMPRODUCT($C$232:BF$232,$C$129:BF$129)&gt;0,SUMPRODUCT($C$335:BF$335,$C$129:BF$129)/SUMPRODUCT($C$232:BF$232,$C$129:BF$129),NA())</f>
        <v>4.1651823570462323</v>
      </c>
      <c r="BG357" s="58">
        <f>IF(SUMPRODUCT($C$232:BG$232,$C$129:BG$129)&gt;0,SUMPRODUCT($C$335:BG$335,$C$129:BG$129)/SUMPRODUCT($C$232:BG$232,$C$129:BG$129),NA())</f>
        <v>4.2539894847467847</v>
      </c>
      <c r="BH357" s="58">
        <f>IF(SUMPRODUCT($C$232:BH$232,$C$129:BH$129)&gt;0,SUMPRODUCT($C$335:BH$335,$C$129:BH$129)/SUMPRODUCT($C$232:BH$232,$C$129:BH$129),NA())</f>
        <v>4.3436771876635554</v>
      </c>
      <c r="BI357" s="58">
        <f>IF(SUMPRODUCT($C$232:BI$232,$C$129:BI$129)&gt;0,SUMPRODUCT($C$335:BI$335,$C$129:BI$129)/SUMPRODUCT($C$232:BI$232,$C$129:BI$129),NA())</f>
        <v>4.4342551269618395</v>
      </c>
      <c r="BJ357" s="58">
        <f>IF(SUMPRODUCT($C$232:BJ$232,$C$129:BJ$129)&gt;0,SUMPRODUCT($C$335:BJ$335,$C$129:BJ$129)/SUMPRODUCT($C$232:BJ$232,$C$129:BJ$129),NA())</f>
        <v>4.5257330771288338</v>
      </c>
    </row>
  </sheetData>
  <mergeCells count="14">
    <mergeCell ref="D17:I17"/>
    <mergeCell ref="D12:I12"/>
    <mergeCell ref="D6:I6"/>
    <mergeCell ref="D16:I16"/>
    <mergeCell ref="D7:I7"/>
    <mergeCell ref="D8:I8"/>
    <mergeCell ref="D15:I15"/>
    <mergeCell ref="D11:I11"/>
    <mergeCell ref="D10:I10"/>
    <mergeCell ref="D13:I13"/>
    <mergeCell ref="D14:I14"/>
    <mergeCell ref="D4:I4"/>
    <mergeCell ref="D5:I5"/>
    <mergeCell ref="D9:I9"/>
  </mergeCells>
  <conditionalFormatting sqref="C132:BJ231">
    <cfRule type="cellIs" dxfId="9" priority="5" operator="greaterThan">
      <formula>0</formula>
    </cfRule>
  </conditionalFormatting>
  <conditionalFormatting sqref="C235:BJ334">
    <cfRule type="cellIs" dxfId="8" priority="6" operator="greaterThan">
      <formula>0</formula>
    </cfRule>
  </conditionalFormatting>
  <conditionalFormatting sqref="C341:BJ341">
    <cfRule type="expression" dxfId="7" priority="9">
      <formula>C341&gt;C338+0.005</formula>
    </cfRule>
  </conditionalFormatting>
  <conditionalFormatting sqref="C344:BJ344">
    <cfRule type="cellIs" dxfId="6" priority="7" operator="lessThan">
      <formula>-0.5</formula>
    </cfRule>
  </conditionalFormatting>
  <conditionalFormatting sqref="C348:BJ348">
    <cfRule type="cellIs" dxfId="5" priority="8" operator="greaterThan">
      <formula>0.005</formula>
    </cfRule>
  </conditionalFormatting>
  <conditionalFormatting sqref="J4">
    <cfRule type="cellIs" dxfId="4" priority="1" operator="lessThan">
      <formula>-0.5</formula>
    </cfRule>
  </conditionalFormatting>
  <conditionalFormatting sqref="J16">
    <cfRule type="cellIs" dxfId="3" priority="2" operator="notBetween">
      <formula>-0.001</formula>
      <formula>0.001</formula>
    </cfRule>
  </conditionalFormatting>
  <conditionalFormatting sqref="N24:N123">
    <cfRule type="cellIs" dxfId="2" priority="4" operator="greaterThan">
      <formula>0</formula>
    </cfRule>
  </conditionalFormatting>
  <conditionalFormatting sqref="Q24:Q123">
    <cfRule type="cellIs" dxfId="1" priority="3" operator="notBetween">
      <formula>-0.05</formula>
      <formula>0.05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4.4" x14ac:dyDescent="0.3"/>
  <cols>
    <col min="1" max="1" width="5" customWidth="1"/>
    <col min="2" max="3" width="46" customWidth="1"/>
    <col min="4" max="4" width="95" customWidth="1"/>
  </cols>
  <sheetData>
    <row r="1" spans="1:4" ht="17.399999999999999" x14ac:dyDescent="0.3">
      <c r="A1" s="1" t="s">
        <v>281</v>
      </c>
    </row>
    <row r="2" spans="1:4" x14ac:dyDescent="0.3">
      <c r="A2" s="2" t="s">
        <v>282</v>
      </c>
    </row>
    <row r="4" spans="1:4" x14ac:dyDescent="0.3">
      <c r="A4" s="3" t="s">
        <v>283</v>
      </c>
      <c r="B4" s="3" t="s">
        <v>284</v>
      </c>
      <c r="C4" s="3" t="s">
        <v>285</v>
      </c>
      <c r="D4" s="3" t="s">
        <v>286</v>
      </c>
    </row>
    <row r="5" spans="1:4" ht="78" customHeight="1" x14ac:dyDescent="0.3">
      <c r="A5" s="59">
        <v>1</v>
      </c>
      <c r="B5" s="59" t="s">
        <v>287</v>
      </c>
      <c r="C5" s="60" t="str">
        <f>"Project 1 (BCR 7, +3%): "&amp;'Raw profile'!I24&amp;" (raw) -&gt; "&amp;'Growth profile'!I24&amp;" (growth)"</f>
        <v>Project 1 (BCR 7, +3%): 2026 (raw) -&gt; 2039 (growth)</v>
      </c>
      <c r="D5" s="61" t="s">
        <v>288</v>
      </c>
    </row>
    <row r="6" spans="1:4" ht="78" customHeight="1" x14ac:dyDescent="0.3">
      <c r="A6" s="59">
        <v>2</v>
      </c>
      <c r="B6" s="59" t="s">
        <v>289</v>
      </c>
      <c r="C6" s="61" t="s">
        <v>290</v>
      </c>
      <c r="D6" s="61" t="s">
        <v>291</v>
      </c>
    </row>
    <row r="7" spans="1:4" ht="78" customHeight="1" x14ac:dyDescent="0.3">
      <c r="A7" s="59">
        <v>3</v>
      </c>
      <c r="B7" s="59" t="s">
        <v>292</v>
      </c>
      <c r="C7" s="61" t="s">
        <v>293</v>
      </c>
      <c r="D7" s="61" t="s">
        <v>294</v>
      </c>
    </row>
    <row r="8" spans="1:4" ht="78" customHeight="1" x14ac:dyDescent="0.3">
      <c r="A8" s="59">
        <v>4</v>
      </c>
      <c r="B8" s="59" t="s">
        <v>295</v>
      </c>
      <c r="C8" s="61" t="s">
        <v>296</v>
      </c>
      <c r="D8" s="61" t="s">
        <v>297</v>
      </c>
    </row>
    <row r="9" spans="1:4" ht="78" customHeight="1" x14ac:dyDescent="0.3">
      <c r="A9" s="59">
        <v>5</v>
      </c>
      <c r="B9" s="59" t="s">
        <v>298</v>
      </c>
      <c r="C9" s="60" t="str">
        <f>"Avg balance carried: raw $"&amp;TEXT('Raw profile'!J6,"0")&amp;"M, growth $"&amp;TEXT('Growth profile'!J6,"0")&amp;"M; peak raw $"&amp;TEXT('Raw profile'!J5,"0")&amp;"M, growth $"&amp;TEXT('Growth profile'!J5,"0")&amp;"M; idle years: "&amp;'Growth profile'!J10</f>
        <v>Avg balance carried: raw $5M, growth $24M; peak raw $47M, growth $45M; idle years: 0</v>
      </c>
      <c r="D9" s="61" t="s">
        <v>299</v>
      </c>
    </row>
    <row r="10" spans="1:4" ht="78" customHeight="1" x14ac:dyDescent="0.3">
      <c r="A10" s="59">
        <v>6</v>
      </c>
      <c r="B10" s="59" t="s">
        <v>300</v>
      </c>
      <c r="C10" s="61" t="s">
        <v>301</v>
      </c>
      <c r="D10" s="61" t="s">
        <v>302</v>
      </c>
    </row>
    <row r="11" spans="1:4" ht="78" customHeight="1" x14ac:dyDescent="0.3">
      <c r="A11" s="59">
        <v>7</v>
      </c>
      <c r="B11" s="59" t="s">
        <v>303</v>
      </c>
      <c r="C11" s="60" t="str">
        <f>"project 28: "&amp;'Raw profile'!I38&amp;" (raw) -&gt; "&amp;'Growth profile'!I38&amp;" (growth)"</f>
        <v>project 28: 2026 (raw) -&gt; 2026 (growth)</v>
      </c>
      <c r="D11" s="61" t="s">
        <v>304</v>
      </c>
    </row>
    <row r="12" spans="1:4" ht="78" customHeight="1" x14ac:dyDescent="0.3">
      <c r="A12" s="59">
        <v>8</v>
      </c>
      <c r="B12" s="59" t="s">
        <v>305</v>
      </c>
      <c r="C12" s="61" t="s">
        <v>306</v>
      </c>
      <c r="D12" s="61" t="s">
        <v>307</v>
      </c>
    </row>
    <row r="13" spans="1:4" ht="78" customHeight="1" x14ac:dyDescent="0.3">
      <c r="A13" s="59">
        <v>9</v>
      </c>
      <c r="B13" s="59" t="s">
        <v>308</v>
      </c>
      <c r="C13" s="60" t="str">
        <f>"Total PV: raw $"&amp;TEXT('Raw profile'!J17,"#,##0")&amp;"M -&gt; growth $"&amp;TEXT('Growth profile'!J17,"#,##0")&amp;"M"</f>
        <v>Total PV: raw $7,410M -&gt; growth $13,627M</v>
      </c>
      <c r="D13" s="61" t="s">
        <v>309</v>
      </c>
    </row>
    <row r="14" spans="1:4" ht="78" customHeight="1" x14ac:dyDescent="0.3">
      <c r="A14" s="59">
        <v>10</v>
      </c>
      <c r="B14" s="59" t="s">
        <v>310</v>
      </c>
      <c r="C14" s="61" t="s">
        <v>311</v>
      </c>
      <c r="D14" s="61" t="s">
        <v>312</v>
      </c>
    </row>
    <row r="15" spans="1:4" ht="78" customHeight="1" x14ac:dyDescent="0.3">
      <c r="A15" s="59">
        <v>11</v>
      </c>
      <c r="B15" s="59" t="s">
        <v>313</v>
      </c>
      <c r="C15" s="61" t="s">
        <v>314</v>
      </c>
      <c r="D15" s="61" t="s">
        <v>315</v>
      </c>
    </row>
    <row r="16" spans="1:4" ht="78" customHeight="1" x14ac:dyDescent="0.3">
      <c r="A16" s="59">
        <v>12</v>
      </c>
      <c r="B16" s="59" t="s">
        <v>316</v>
      </c>
      <c r="C16" s="61" t="s">
        <v>317</v>
      </c>
      <c r="D16" s="61" t="s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15" width="14" customWidth="1"/>
  </cols>
  <sheetData>
    <row r="1" spans="1:9" ht="17.399999999999999" x14ac:dyDescent="0.3">
      <c r="A1" s="1" t="s">
        <v>319</v>
      </c>
    </row>
    <row r="2" spans="1:9" x14ac:dyDescent="0.3">
      <c r="A2" s="2" t="s">
        <v>320</v>
      </c>
    </row>
    <row r="3" spans="1:9" x14ac:dyDescent="0.3">
      <c r="B3" s="4" t="s">
        <v>321</v>
      </c>
      <c r="H3" s="4" t="s">
        <v>322</v>
      </c>
    </row>
    <row r="4" spans="1:9" ht="27.6" x14ac:dyDescent="0.3">
      <c r="A4" s="3" t="s">
        <v>118</v>
      </c>
      <c r="B4" s="3" t="s">
        <v>323</v>
      </c>
      <c r="C4" s="3" t="s">
        <v>324</v>
      </c>
      <c r="D4" s="3" t="s">
        <v>325</v>
      </c>
      <c r="E4" s="3" t="s">
        <v>326</v>
      </c>
      <c r="F4" s="3" t="s">
        <v>327</v>
      </c>
      <c r="H4" s="3" t="s">
        <v>328</v>
      </c>
      <c r="I4" s="3" t="s">
        <v>329</v>
      </c>
    </row>
    <row r="5" spans="1:9" x14ac:dyDescent="0.3">
      <c r="A5" s="28">
        <v>2026</v>
      </c>
      <c r="B5" s="62">
        <v>503.81566811326923</v>
      </c>
      <c r="C5" s="63">
        <v>1.5693717809777401</v>
      </c>
      <c r="D5" s="63">
        <v>1628.0284149477791</v>
      </c>
      <c r="E5" s="63">
        <v>327.83412764810362</v>
      </c>
      <c r="F5" s="62">
        <v>1533.4761585262081</v>
      </c>
      <c r="H5" s="55">
        <v>240.28604485285399</v>
      </c>
      <c r="I5" s="55">
        <v>421.93769031541979</v>
      </c>
    </row>
    <row r="6" spans="1:9" x14ac:dyDescent="0.3">
      <c r="A6" s="28">
        <v>2027</v>
      </c>
      <c r="B6" s="62">
        <v>509.89970710516059</v>
      </c>
      <c r="C6" s="62">
        <v>1.509009749646868</v>
      </c>
      <c r="D6" s="62">
        <v>1620.6161044768951</v>
      </c>
      <c r="E6" s="62">
        <v>327.34059120735827</v>
      </c>
      <c r="F6" s="62">
        <v>1545.3335614007781</v>
      </c>
      <c r="H6" s="55">
        <v>235.94139387345521</v>
      </c>
      <c r="I6" s="55">
        <v>414.59512348366809</v>
      </c>
    </row>
    <row r="7" spans="1:9" x14ac:dyDescent="0.3">
      <c r="A7" s="28">
        <v>2028</v>
      </c>
      <c r="B7" s="62">
        <v>516.12425147022691</v>
      </c>
      <c r="C7" s="62">
        <v>1.451092692716824</v>
      </c>
      <c r="D7" s="62">
        <v>1613.439925434262</v>
      </c>
      <c r="E7" s="62">
        <v>326.888707339738</v>
      </c>
      <c r="F7" s="62">
        <v>1557.478679947493</v>
      </c>
      <c r="H7" s="55">
        <v>231.702086677235</v>
      </c>
      <c r="I7" s="55">
        <v>407.43325016396477</v>
      </c>
    </row>
    <row r="8" spans="1:9" x14ac:dyDescent="0.3">
      <c r="A8" s="28">
        <v>2029</v>
      </c>
      <c r="B8" s="62">
        <v>522.49187365693592</v>
      </c>
      <c r="C8" s="62">
        <v>1.395522044841409</v>
      </c>
      <c r="D8" s="62">
        <v>1606.4979323028549</v>
      </c>
      <c r="E8" s="62">
        <v>326.47839217255319</v>
      </c>
      <c r="F8" s="62">
        <v>1569.915303610655</v>
      </c>
      <c r="H8" s="55">
        <v>227.56575984935</v>
      </c>
      <c r="I8" s="55">
        <v>400.44651448424781</v>
      </c>
    </row>
    <row r="9" spans="1:9" x14ac:dyDescent="0.3">
      <c r="A9" s="28">
        <v>2030</v>
      </c>
      <c r="B9" s="62">
        <v>529.0051889931209</v>
      </c>
      <c r="C9" s="62">
        <v>1.3422031985337419</v>
      </c>
      <c r="D9" s="62">
        <v>1599.788193378223</v>
      </c>
      <c r="E9" s="62">
        <v>326.10956220818292</v>
      </c>
      <c r="F9" s="62">
        <v>1582.64726480841</v>
      </c>
      <c r="H9" s="55">
        <v>223.5301007181553</v>
      </c>
      <c r="I9" s="55">
        <v>393.62954207857308</v>
      </c>
    </row>
    <row r="10" spans="1:9" x14ac:dyDescent="0.3">
      <c r="A10" s="28">
        <v>2031</v>
      </c>
      <c r="B10" s="62">
        <v>535.66685636734189</v>
      </c>
      <c r="C10" s="62">
        <v>1.2910453457646609</v>
      </c>
      <c r="D10" s="62">
        <v>1593.3087906738299</v>
      </c>
      <c r="E10" s="62">
        <v>325.78213432291682</v>
      </c>
      <c r="F10" s="62">
        <v>1595.6784393923169</v>
      </c>
      <c r="H10" s="55">
        <v>219.5928462951899</v>
      </c>
      <c r="I10" s="55">
        <v>386.97713420854069</v>
      </c>
    </row>
    <row r="11" spans="1:9" x14ac:dyDescent="0.3">
      <c r="A11" s="28">
        <v>2032</v>
      </c>
      <c r="B11" s="62">
        <v>542.47957892078296</v>
      </c>
      <c r="C11" s="62">
        <v>1.241961325882988</v>
      </c>
      <c r="D11" s="62">
        <v>1587.0578198270409</v>
      </c>
      <c r="E11" s="62">
        <v>325.49602576580128</v>
      </c>
      <c r="F11" s="62">
        <v>1609.01274711171</v>
      </c>
      <c r="H11" s="55">
        <v>215.7517822369073</v>
      </c>
      <c r="I11" s="55">
        <v>380.48426207059299</v>
      </c>
    </row>
    <row r="12" spans="1:9" x14ac:dyDescent="0.3">
      <c r="A12" s="28">
        <v>2033</v>
      </c>
      <c r="B12" s="62">
        <v>549.44610474984574</v>
      </c>
      <c r="C12" s="62">
        <v>1.1948674796059719</v>
      </c>
      <c r="D12" s="62">
        <v>1581.0333900057451</v>
      </c>
      <c r="E12" s="62">
        <v>325.25115415748968</v>
      </c>
      <c r="F12" s="62">
        <v>1622.654152082886</v>
      </c>
      <c r="H12" s="55">
        <v>212.00474182771231</v>
      </c>
      <c r="I12" s="55">
        <v>374.14606128343939</v>
      </c>
    </row>
    <row r="13" spans="1:9" x14ac:dyDescent="0.3">
      <c r="A13" s="28">
        <v>2034</v>
      </c>
      <c r="B13" s="62">
        <v>556.56922761960504</v>
      </c>
      <c r="C13" s="62">
        <v>1.1496835088381809</v>
      </c>
      <c r="D13" s="62">
        <v>1575.2336238156099</v>
      </c>
      <c r="E13" s="62">
        <v>325.04743748909669</v>
      </c>
      <c r="F13" s="62">
        <v>1636.606663263186</v>
      </c>
      <c r="H13" s="55">
        <v>208.34960498387059</v>
      </c>
      <c r="I13" s="55">
        <v>367.95782655003671</v>
      </c>
    </row>
    <row r="14" spans="1:9" x14ac:dyDescent="0.3">
      <c r="A14" s="28">
        <v>2035</v>
      </c>
      <c r="B14" s="62">
        <v>563.85178768828655</v>
      </c>
      <c r="C14" s="62">
        <v>1.1063323420867459</v>
      </c>
      <c r="D14" s="62">
        <v>1569.6566572079721</v>
      </c>
      <c r="E14" s="62">
        <v>324.8847941210571</v>
      </c>
      <c r="F14" s="62">
        <v>1650.874334930005</v>
      </c>
      <c r="H14" s="55">
        <v>204.7842972778696</v>
      </c>
      <c r="I14" s="55">
        <v>361.91500648872398</v>
      </c>
    </row>
    <row r="15" spans="1:9" x14ac:dyDescent="0.3">
      <c r="A15" s="28">
        <v>2036</v>
      </c>
      <c r="B15" s="62">
        <v>571.29667224293974</v>
      </c>
      <c r="C15" s="62">
        <v>1.0647400052500811</v>
      </c>
      <c r="D15" s="62">
        <v>1564.300639388342</v>
      </c>
      <c r="E15" s="62">
        <v>324.76314278198828</v>
      </c>
      <c r="F15" s="62">
        <v>1665.4612671647919</v>
      </c>
      <c r="H15" s="55">
        <v>201.30678898281471</v>
      </c>
      <c r="I15" s="55">
        <v>356.01319862826932</v>
      </c>
    </row>
    <row r="16" spans="1:9" x14ac:dyDescent="0.3">
      <c r="A16" s="28">
        <v>2037</v>
      </c>
      <c r="B16" s="62">
        <v>578.90681644647157</v>
      </c>
      <c r="C16" s="62">
        <v>1.024835497566045</v>
      </c>
      <c r="D16" s="62">
        <v>1559.163732725546</v>
      </c>
      <c r="E16" s="62">
        <v>324.68240256755678</v>
      </c>
      <c r="F16" s="63">
        <v>1680.3716063420809</v>
      </c>
      <c r="H16" s="55">
        <v>197.91509413645539</v>
      </c>
      <c r="I16" s="55">
        <v>350.24814456175511</v>
      </c>
    </row>
    <row r="17" spans="1:14" x14ac:dyDescent="0.3">
      <c r="A17" s="28">
        <v>2038</v>
      </c>
      <c r="B17" s="62">
        <v>586.68520409621669</v>
      </c>
      <c r="C17" s="62">
        <v>0.98655067251403983</v>
      </c>
      <c r="D17" s="62">
        <v>1517.0065777172431</v>
      </c>
      <c r="E17" s="62">
        <v>324.64249293934978</v>
      </c>
      <c r="F17" s="62">
        <v>1644.584083885059</v>
      </c>
      <c r="H17" s="55">
        <v>194.60726962444329</v>
      </c>
      <c r="I17" s="55">
        <v>344.61572525437572</v>
      </c>
    </row>
    <row r="18" spans="1:14" x14ac:dyDescent="0.3">
      <c r="A18" s="28">
        <v>2039</v>
      </c>
      <c r="B18" s="62">
        <v>594.6348683942191</v>
      </c>
      <c r="C18" s="62">
        <v>0.94982012347369871</v>
      </c>
      <c r="D18" s="62">
        <v>1475.134603463408</v>
      </c>
      <c r="E18" s="62">
        <v>324.64333372374898</v>
      </c>
      <c r="F18" s="62">
        <v>1608.610606654486</v>
      </c>
      <c r="H18" s="55">
        <v>191.3814142824308</v>
      </c>
      <c r="I18" s="55">
        <v>339.11195650037092</v>
      </c>
    </row>
    <row r="19" spans="1:14" x14ac:dyDescent="0.3">
      <c r="A19" s="28">
        <v>2040</v>
      </c>
      <c r="B19" s="63">
        <v>602.75889272939992</v>
      </c>
      <c r="C19" s="62">
        <v>0.91458107395065535</v>
      </c>
      <c r="D19" s="62">
        <v>1433.545880800114</v>
      </c>
      <c r="E19" s="62">
        <v>324.68484511081039</v>
      </c>
      <c r="F19" s="62">
        <v>1572.4502084147739</v>
      </c>
      <c r="H19" s="55">
        <v>188.2356680166304</v>
      </c>
      <c r="I19" s="55">
        <v>333.73298452447051</v>
      </c>
    </row>
    <row r="20" spans="1:14" x14ac:dyDescent="0.3">
      <c r="A20" s="28">
        <v>2041</v>
      </c>
      <c r="B20" s="62">
        <v>591.09960106972528</v>
      </c>
      <c r="C20" s="62">
        <v>0.88077327218743573</v>
      </c>
      <c r="D20" s="62">
        <v>1392.2384936136591</v>
      </c>
      <c r="E20" s="62">
        <v>316.45729400605842</v>
      </c>
      <c r="F20" s="62">
        <v>1536.1019179096979</v>
      </c>
      <c r="H20" s="55">
        <v>181.7802009136816</v>
      </c>
      <c r="I20" s="55">
        <v>317.74516254516658</v>
      </c>
    </row>
    <row r="21" spans="1:14" x14ac:dyDescent="0.3">
      <c r="A21" s="28">
        <v>2042</v>
      </c>
      <c r="B21" s="62">
        <v>579.32600262907351</v>
      </c>
      <c r="C21" s="62">
        <v>0.84833888998473261</v>
      </c>
      <c r="D21" s="62">
        <v>1351.210538752289</v>
      </c>
      <c r="E21" s="62">
        <v>308.25797469431302</v>
      </c>
      <c r="F21" s="62">
        <v>1499.564758836312</v>
      </c>
      <c r="H21" s="55">
        <v>175.45131159706509</v>
      </c>
      <c r="I21" s="55">
        <v>302.34589633839818</v>
      </c>
    </row>
    <row r="22" spans="1:14" x14ac:dyDescent="0.3">
      <c r="A22" s="28">
        <v>2043</v>
      </c>
      <c r="B22" s="62">
        <v>567.43697675272892</v>
      </c>
      <c r="C22" s="62">
        <v>0.81722242556528446</v>
      </c>
      <c r="D22" s="62">
        <v>1310.4601259385111</v>
      </c>
      <c r="E22" s="62">
        <v>300.08679030177439</v>
      </c>
      <c r="F22" s="62">
        <v>1462.837749818721</v>
      </c>
      <c r="H22" s="55">
        <v>169.24651814940191</v>
      </c>
      <c r="I22" s="55">
        <v>287.51563387449988</v>
      </c>
    </row>
    <row r="23" spans="1:14" x14ac:dyDescent="0.3">
      <c r="A23" s="28">
        <v>2044</v>
      </c>
      <c r="B23" s="62">
        <v>555.43139179916523</v>
      </c>
      <c r="C23" s="62">
        <v>0.7873706103192406</v>
      </c>
      <c r="D23" s="62">
        <v>1269.9853776820021</v>
      </c>
      <c r="E23" s="62">
        <v>291.94364428705342</v>
      </c>
      <c r="F23" s="62">
        <v>1425.919904381725</v>
      </c>
      <c r="H23" s="55">
        <v>163.1633873183595</v>
      </c>
      <c r="I23" s="55">
        <v>273.23543984801711</v>
      </c>
    </row>
    <row r="24" spans="1:14" x14ac:dyDescent="0.3">
      <c r="A24" s="28">
        <v>2045</v>
      </c>
      <c r="B24" s="62">
        <v>543.30810503233147</v>
      </c>
      <c r="C24" s="62">
        <v>0.74998790380980407</v>
      </c>
      <c r="D24" s="62">
        <v>1229.784429193111</v>
      </c>
      <c r="E24" s="62">
        <v>283.82844044003002</v>
      </c>
      <c r="F24" s="62">
        <v>1388.81023092432</v>
      </c>
      <c r="H24" s="55">
        <v>157.19953356243559</v>
      </c>
      <c r="I24" s="55">
        <v>259.4869767884399</v>
      </c>
    </row>
    <row r="25" spans="1:14" x14ac:dyDescent="0.3">
      <c r="A25" s="28">
        <v>2046</v>
      </c>
      <c r="B25" s="62">
        <v>531.06596251288158</v>
      </c>
      <c r="C25" s="62">
        <v>0.71407118579093365</v>
      </c>
      <c r="D25" s="62">
        <v>1189.855428296939</v>
      </c>
      <c r="E25" s="62">
        <v>275.74108288071699</v>
      </c>
      <c r="F25" s="62">
        <v>1351.5077326930691</v>
      </c>
      <c r="H25" s="55">
        <v>151.35261811545141</v>
      </c>
      <c r="I25" s="55">
        <v>246.25248673927749</v>
      </c>
      <c r="K25" s="4" t="s">
        <v>330</v>
      </c>
    </row>
    <row r="26" spans="1:14" ht="41.4" x14ac:dyDescent="0.3">
      <c r="A26" s="28">
        <v>2047</v>
      </c>
      <c r="B26" s="62">
        <v>518.70379898833903</v>
      </c>
      <c r="C26" s="62">
        <v>0.67956296651790138</v>
      </c>
      <c r="D26" s="62">
        <v>1150.1965353480059</v>
      </c>
      <c r="E26" s="62">
        <v>267.68147605812698</v>
      </c>
      <c r="F26" s="62">
        <v>1314.0114077553219</v>
      </c>
      <c r="H26" s="55">
        <v>145.62034806938851</v>
      </c>
      <c r="I26" s="55">
        <v>233.51477348855769</v>
      </c>
      <c r="K26" s="3" t="s">
        <v>66</v>
      </c>
      <c r="L26" s="3" t="s">
        <v>331</v>
      </c>
      <c r="M26" s="3" t="s">
        <v>332</v>
      </c>
      <c r="N26" s="3" t="s">
        <v>333</v>
      </c>
    </row>
    <row r="27" spans="1:14" x14ac:dyDescent="0.3">
      <c r="A27" s="28">
        <v>2048</v>
      </c>
      <c r="B27" s="62">
        <v>506.22043778218341</v>
      </c>
      <c r="C27" s="62">
        <v>0.64640801074577237</v>
      </c>
      <c r="D27" s="62">
        <v>1110.805923145492</v>
      </c>
      <c r="E27" s="62">
        <v>259.64952474914412</v>
      </c>
      <c r="F27" s="62">
        <v>1276.3202489723101</v>
      </c>
      <c r="H27" s="55">
        <v>140.0004754752091</v>
      </c>
      <c r="I27" s="55">
        <v>221.25718533434801</v>
      </c>
      <c r="K27" s="31">
        <v>0</v>
      </c>
      <c r="L27" s="64">
        <v>2026</v>
      </c>
      <c r="M27" s="64">
        <v>0</v>
      </c>
      <c r="N27" s="65">
        <v>240.2860448528541</v>
      </c>
    </row>
    <row r="28" spans="1:14" x14ac:dyDescent="0.3">
      <c r="A28" s="28">
        <v>2049</v>
      </c>
      <c r="B28" s="62">
        <v>493.61469068184971</v>
      </c>
      <c r="C28" s="62">
        <v>0.61455324931764821</v>
      </c>
      <c r="D28" s="62">
        <v>1071.489047064342</v>
      </c>
      <c r="E28" s="62">
        <v>251.6451340573978</v>
      </c>
      <c r="F28" s="62">
        <v>1238.2466084794801</v>
      </c>
      <c r="H28" s="55">
        <v>134.49079646130781</v>
      </c>
      <c r="I28" s="55">
        <v>209.4635983693656</v>
      </c>
      <c r="K28" s="31">
        <v>1.5E-3</v>
      </c>
      <c r="L28" s="64">
        <v>2026</v>
      </c>
      <c r="M28" s="64">
        <v>0</v>
      </c>
      <c r="N28" s="65">
        <v>248.77912139084981</v>
      </c>
    </row>
    <row r="29" spans="1:14" x14ac:dyDescent="0.3">
      <c r="A29" s="28">
        <v>2050</v>
      </c>
      <c r="B29" s="62">
        <v>480.88535782563042</v>
      </c>
      <c r="C29" s="62">
        <v>0.58394769422003889</v>
      </c>
      <c r="D29" s="62">
        <v>1032.2457690763499</v>
      </c>
      <c r="E29" s="62">
        <v>243.6682094121428</v>
      </c>
      <c r="F29" s="62">
        <v>1199.786604935344</v>
      </c>
      <c r="H29" s="55">
        <v>129.08915036924759</v>
      </c>
      <c r="I29" s="55">
        <v>198.1184002692286</v>
      </c>
      <c r="K29" s="31">
        <v>3.0000000000000001E-3</v>
      </c>
      <c r="L29" s="64">
        <v>2026</v>
      </c>
      <c r="M29" s="64">
        <v>0</v>
      </c>
      <c r="N29" s="65">
        <v>257.6350233865507</v>
      </c>
    </row>
    <row r="30" spans="1:14" x14ac:dyDescent="0.3">
      <c r="A30" s="28">
        <v>2051</v>
      </c>
      <c r="B30" s="62">
        <v>468.03122758846791</v>
      </c>
      <c r="C30" s="62">
        <v>0.55454235696939447</v>
      </c>
      <c r="D30" s="62">
        <v>993.07595141168417</v>
      </c>
      <c r="E30" s="62">
        <v>235.71865656714121</v>
      </c>
      <c r="F30" s="62">
        <v>1160.9363176114</v>
      </c>
      <c r="H30" s="55">
        <v>123.79341890644361</v>
      </c>
      <c r="I30" s="55">
        <v>187.20647456934429</v>
      </c>
      <c r="K30" s="31">
        <v>4.4999999999999997E-3</v>
      </c>
      <c r="L30" s="64">
        <v>2026</v>
      </c>
      <c r="M30" s="64">
        <v>0</v>
      </c>
      <c r="N30" s="65">
        <v>266.87104450621422</v>
      </c>
    </row>
    <row r="31" spans="1:14" x14ac:dyDescent="0.3">
      <c r="A31" s="28">
        <v>2052</v>
      </c>
      <c r="B31" s="62">
        <v>454.98713483548511</v>
      </c>
      <c r="C31" s="62">
        <v>0.52629017019916746</v>
      </c>
      <c r="D31" s="62">
        <v>953.97945655841067</v>
      </c>
      <c r="E31" s="62">
        <v>227.75735561448681</v>
      </c>
      <c r="F31" s="62">
        <v>1121.6917859924449</v>
      </c>
      <c r="H31" s="55">
        <v>118.5759494849618</v>
      </c>
      <c r="I31" s="55">
        <v>176.68835451248779</v>
      </c>
      <c r="K31" s="31">
        <v>6.0000000000000001E-3</v>
      </c>
      <c r="L31" s="64">
        <v>2026</v>
      </c>
      <c r="M31" s="64">
        <v>0</v>
      </c>
      <c r="N31" s="65">
        <v>276.50534920232388</v>
      </c>
    </row>
    <row r="32" spans="1:14" x14ac:dyDescent="0.3">
      <c r="A32" s="28">
        <v>2053</v>
      </c>
      <c r="B32" s="62">
        <v>441.75027223886229</v>
      </c>
      <c r="C32" s="62">
        <v>0.49914591232189082</v>
      </c>
      <c r="D32" s="62">
        <v>914.95614726200529</v>
      </c>
      <c r="E32" s="62">
        <v>219.78428919244431</v>
      </c>
      <c r="F32" s="62">
        <v>1082.049009372824</v>
      </c>
      <c r="H32" s="55">
        <v>113.4355855229107</v>
      </c>
      <c r="I32" s="55">
        <v>166.5514471363463</v>
      </c>
      <c r="K32" s="31">
        <v>7.4999999999999997E-3</v>
      </c>
      <c r="L32" s="64">
        <v>2026</v>
      </c>
      <c r="M32" s="64">
        <v>0</v>
      </c>
      <c r="N32" s="65">
        <v>286.55701765076719</v>
      </c>
    </row>
    <row r="33" spans="1:14" x14ac:dyDescent="0.3">
      <c r="A33" s="28">
        <v>2054</v>
      </c>
      <c r="B33" s="62">
        <v>428.317790983176</v>
      </c>
      <c r="C33" s="62">
        <v>0.47306613514568358</v>
      </c>
      <c r="D33" s="62">
        <v>876.00588652487397</v>
      </c>
      <c r="E33" s="62">
        <v>211.7994399136204</v>
      </c>
      <c r="F33" s="62">
        <v>1042.003946448591</v>
      </c>
      <c r="H33" s="55">
        <v>108.3711875307422</v>
      </c>
      <c r="I33" s="55">
        <v>156.78354285842499</v>
      </c>
      <c r="K33" s="31">
        <v>8.9999999999999993E-3</v>
      </c>
      <c r="L33" s="64">
        <v>2026</v>
      </c>
      <c r="M33" s="64">
        <v>0</v>
      </c>
      <c r="N33" s="65">
        <v>297.04609302480247</v>
      </c>
    </row>
    <row r="34" spans="1:14" x14ac:dyDescent="0.3">
      <c r="A34" s="28">
        <v>2055</v>
      </c>
      <c r="B34" s="62">
        <v>414.6868001522825</v>
      </c>
      <c r="C34" s="62">
        <v>0.44800909432932767</v>
      </c>
      <c r="D34" s="62">
        <v>837.12853760587143</v>
      </c>
      <c r="E34" s="62">
        <v>203.80279036492641</v>
      </c>
      <c r="F34" s="62">
        <v>1001.552514905521</v>
      </c>
      <c r="H34" s="55">
        <v>103.381632858655</v>
      </c>
      <c r="I34" s="55">
        <v>147.37280406440561</v>
      </c>
      <c r="K34" s="31">
        <v>1.0500000000000001E-2</v>
      </c>
      <c r="L34" s="64">
        <v>2026</v>
      </c>
      <c r="M34" s="64">
        <v>0</v>
      </c>
      <c r="N34" s="65">
        <v>307.99363122703983</v>
      </c>
    </row>
    <row r="35" spans="1:14" x14ac:dyDescent="0.3">
      <c r="A35" s="28">
        <v>2056</v>
      </c>
      <c r="B35" s="62">
        <v>400.85436610713941</v>
      </c>
      <c r="C35" s="62">
        <v>0.4238160894031911</v>
      </c>
      <c r="D35" s="62">
        <v>798.32396401982055</v>
      </c>
      <c r="E35" s="62">
        <v>195.7943231075397</v>
      </c>
      <c r="F35" s="62">
        <v>960.69059100294919</v>
      </c>
      <c r="H35" s="55">
        <v>98.465815447731615</v>
      </c>
      <c r="I35" s="55">
        <v>138.30775403250709</v>
      </c>
      <c r="K35" s="31">
        <v>1.2E-2</v>
      </c>
      <c r="L35" s="64">
        <v>2026</v>
      </c>
      <c r="M35" s="64">
        <v>0</v>
      </c>
      <c r="N35" s="65">
        <v>319.42175320684368</v>
      </c>
    </row>
    <row r="36" spans="1:14" x14ac:dyDescent="0.3">
      <c r="A36" s="28">
        <v>2057</v>
      </c>
      <c r="B36" s="62">
        <v>386.81751185443261</v>
      </c>
      <c r="C36" s="62">
        <v>0.40045732602623152</v>
      </c>
      <c r="D36" s="62">
        <v>759.59202953703414</v>
      </c>
      <c r="E36" s="62">
        <v>187.7740206768662</v>
      </c>
      <c r="F36" s="62">
        <v>919.41400915338613</v>
      </c>
      <c r="H36" s="55">
        <v>93.622645584752917</v>
      </c>
      <c r="I36" s="55">
        <v>129.5772661840081</v>
      </c>
      <c r="K36" s="31">
        <v>1.35E-2</v>
      </c>
      <c r="L36" s="64">
        <v>2026</v>
      </c>
      <c r="M36" s="64">
        <v>0</v>
      </c>
      <c r="N36" s="65">
        <v>331.35369999716681</v>
      </c>
    </row>
    <row r="37" spans="1:14" x14ac:dyDescent="0.3">
      <c r="A37" s="28">
        <v>2058</v>
      </c>
      <c r="B37" s="62">
        <v>372.57321640587293</v>
      </c>
      <c r="C37" s="62">
        <v>0.37790403724847749</v>
      </c>
      <c r="D37" s="62">
        <v>720.93259818283627</v>
      </c>
      <c r="E37" s="62">
        <v>179.7418655825021</v>
      </c>
      <c r="F37" s="62">
        <v>877.71856149786163</v>
      </c>
      <c r="H37" s="55">
        <v>88.851049660635994</v>
      </c>
      <c r="I37" s="55">
        <v>121.1705536503798</v>
      </c>
      <c r="K37" s="31">
        <v>1.4999999999999999E-2</v>
      </c>
      <c r="L37" s="64">
        <v>2026</v>
      </c>
      <c r="M37" s="64">
        <v>0</v>
      </c>
      <c r="N37" s="65">
        <v>343.81389061164339</v>
      </c>
    </row>
    <row r="38" spans="1:14" x14ac:dyDescent="0.3">
      <c r="A38" s="28">
        <v>2059</v>
      </c>
      <c r="B38" s="62">
        <v>358.1184141280242</v>
      </c>
      <c r="C38" s="62">
        <v>0.35612844808374938</v>
      </c>
      <c r="D38" s="62">
        <v>682.34553423708462</v>
      </c>
      <c r="E38" s="62">
        <v>171.69784030819559</v>
      </c>
      <c r="F38" s="62">
        <v>835.59999747696611</v>
      </c>
      <c r="H38" s="55">
        <v>84.149969932441948</v>
      </c>
      <c r="I38" s="55">
        <v>113.07715914775321</v>
      </c>
      <c r="K38" s="31">
        <v>1.6500000000000001E-2</v>
      </c>
      <c r="L38" s="64">
        <v>2026</v>
      </c>
      <c r="M38" s="64">
        <v>0</v>
      </c>
      <c r="N38" s="65">
        <v>356.82798295003983</v>
      </c>
    </row>
    <row r="39" spans="1:14" x14ac:dyDescent="0.3">
      <c r="A39" s="28">
        <v>2060</v>
      </c>
      <c r="B39" s="62">
        <v>343.44999408252261</v>
      </c>
      <c r="C39" s="62">
        <v>0.33510374130401199</v>
      </c>
      <c r="D39" s="62">
        <v>643.83070223369452</v>
      </c>
      <c r="E39" s="62">
        <v>163.6419273118087</v>
      </c>
      <c r="F39" s="62">
        <v>793.05402339753323</v>
      </c>
      <c r="H39" s="55">
        <v>79.51836428890104</v>
      </c>
      <c r="I39" s="55">
        <v>105.28694514972059</v>
      </c>
      <c r="K39" s="66">
        <v>1.7999999999999999E-2</v>
      </c>
      <c r="L39" s="67">
        <v>2040</v>
      </c>
      <c r="M39" s="67">
        <v>14</v>
      </c>
      <c r="N39" s="68">
        <v>374.69721746263059</v>
      </c>
    </row>
    <row r="40" spans="1:14" x14ac:dyDescent="0.3">
      <c r="A40" s="28">
        <v>2061</v>
      </c>
      <c r="B40" s="62">
        <v>328.56479935654562</v>
      </c>
      <c r="C40" s="62">
        <v>0.31480402441323108</v>
      </c>
      <c r="D40" s="62">
        <v>605.38796696016288</v>
      </c>
      <c r="E40" s="62">
        <v>155.57410902527951</v>
      </c>
      <c r="F40" s="62">
        <v>750.07630199492974</v>
      </c>
      <c r="H40" s="55">
        <v>74.955206019402596</v>
      </c>
      <c r="I40" s="55">
        <v>97.790084349730265</v>
      </c>
      <c r="K40" s="66">
        <v>1.95E-2</v>
      </c>
      <c r="L40" s="67">
        <v>2040</v>
      </c>
      <c r="M40" s="67">
        <v>14</v>
      </c>
      <c r="N40" s="68">
        <v>397.35910836860597</v>
      </c>
    </row>
    <row r="41" spans="1:14" x14ac:dyDescent="0.3">
      <c r="A41" s="28">
        <v>2062</v>
      </c>
      <c r="B41" s="62">
        <v>313.45962638338659</v>
      </c>
      <c r="C41" s="62">
        <v>0.29520429776006329</v>
      </c>
      <c r="D41" s="62">
        <v>567.01719345709409</v>
      </c>
      <c r="E41" s="62">
        <v>147.494367854583</v>
      </c>
      <c r="F41" s="62">
        <v>706.66245199090099</v>
      </c>
      <c r="H41" s="55">
        <v>70.459483586399202</v>
      </c>
      <c r="I41" s="55">
        <v>90.577050404589187</v>
      </c>
      <c r="K41" s="66">
        <v>2.1000000000000001E-2</v>
      </c>
      <c r="L41" s="67">
        <v>2040</v>
      </c>
      <c r="M41" s="67">
        <v>14</v>
      </c>
      <c r="N41" s="68">
        <v>421.47744047694738</v>
      </c>
    </row>
    <row r="42" spans="1:14" x14ac:dyDescent="0.3">
      <c r="A42" s="28">
        <v>2063</v>
      </c>
      <c r="B42" s="62">
        <v>298.13122425298889</v>
      </c>
      <c r="C42" s="62">
        <v>0.27628042375010808</v>
      </c>
      <c r="D42" s="62">
        <v>528.71824701772562</v>
      </c>
      <c r="E42" s="62">
        <v>139.40268617969329</v>
      </c>
      <c r="F42" s="62">
        <v>662.80804764692971</v>
      </c>
      <c r="H42" s="55">
        <v>66.03020040117417</v>
      </c>
      <c r="I42" s="55">
        <v>83.638608950838986</v>
      </c>
      <c r="K42" s="66">
        <v>2.2499999999999999E-2</v>
      </c>
      <c r="L42" s="67">
        <v>2040</v>
      </c>
      <c r="M42" s="67">
        <v>14</v>
      </c>
      <c r="N42" s="68">
        <v>447.15014032887342</v>
      </c>
    </row>
    <row r="43" spans="1:14" x14ac:dyDescent="0.3">
      <c r="A43" s="28">
        <v>2064</v>
      </c>
      <c r="B43" s="62">
        <v>282.57629401228968</v>
      </c>
      <c r="C43" s="62">
        <v>0.25800909711980657</v>
      </c>
      <c r="D43" s="62">
        <v>490.49099318745539</v>
      </c>
      <c r="E43" s="62">
        <v>131.2990463545452</v>
      </c>
      <c r="F43" s="62">
        <v>618.50861831306406</v>
      </c>
      <c r="H43" s="55">
        <v>61.666374602922922</v>
      </c>
      <c r="I43" s="55">
        <v>76.965808886007537</v>
      </c>
      <c r="K43" s="66">
        <v>2.4E-2</v>
      </c>
      <c r="L43" s="67">
        <v>2040</v>
      </c>
      <c r="M43" s="67">
        <v>14</v>
      </c>
      <c r="N43" s="68">
        <v>474.48191475233853</v>
      </c>
    </row>
    <row r="44" spans="1:14" x14ac:dyDescent="0.3">
      <c r="A44" s="28">
        <v>2065</v>
      </c>
      <c r="B44" s="62">
        <v>266.79148795522548</v>
      </c>
      <c r="C44" s="62">
        <v>0.24036781623537759</v>
      </c>
      <c r="D44" s="62">
        <v>452.33529776336991</v>
      </c>
      <c r="E44" s="62">
        <v>123.1834307069953</v>
      </c>
      <c r="F44" s="62">
        <v>573.75964797216511</v>
      </c>
      <c r="H44" s="55">
        <v>57.367038841099031</v>
      </c>
      <c r="I44" s="55">
        <v>70.549973906974387</v>
      </c>
      <c r="K44" s="66">
        <v>2.5499999999999998E-2</v>
      </c>
      <c r="L44" s="67">
        <v>2040</v>
      </c>
      <c r="M44" s="67">
        <v>14</v>
      </c>
      <c r="N44" s="68">
        <v>503.58472804146538</v>
      </c>
    </row>
    <row r="45" spans="1:14" x14ac:dyDescent="0.3">
      <c r="A45" s="28">
        <v>2066</v>
      </c>
      <c r="B45" s="62">
        <v>250.773408902244</v>
      </c>
      <c r="C45" s="62">
        <v>0.22333485538144601</v>
      </c>
      <c r="D45" s="62">
        <v>414.25102679377312</v>
      </c>
      <c r="E45" s="62">
        <v>115.0558215387841</v>
      </c>
      <c r="F45" s="62">
        <v>528.55657477953082</v>
      </c>
      <c r="H45" s="55">
        <v>53.131240060976978</v>
      </c>
      <c r="I45" s="55">
        <v>64.382694297914895</v>
      </c>
      <c r="K45" s="66">
        <v>2.7E-2</v>
      </c>
      <c r="L45" s="67">
        <v>2040</v>
      </c>
      <c r="M45" s="67">
        <v>14</v>
      </c>
      <c r="N45" s="68">
        <v>534.57831294307061</v>
      </c>
    </row>
    <row r="46" spans="1:14" x14ac:dyDescent="0.3">
      <c r="A46" s="28">
        <v>2067</v>
      </c>
      <c r="B46" s="62">
        <v>234.51860946916929</v>
      </c>
      <c r="C46" s="62">
        <v>0.20688923800523629</v>
      </c>
      <c r="D46" s="62">
        <v>376.23804657771518</v>
      </c>
      <c r="E46" s="62">
        <v>106.9162011254967</v>
      </c>
      <c r="F46" s="62">
        <v>482.8947905978481</v>
      </c>
      <c r="H46" s="55">
        <v>48.958039292383823</v>
      </c>
      <c r="I46" s="55">
        <v>58.455818960506527</v>
      </c>
      <c r="K46" s="66">
        <v>2.8500000000000001E-2</v>
      </c>
      <c r="L46" s="67">
        <v>2040</v>
      </c>
      <c r="M46" s="67">
        <v>14</v>
      </c>
      <c r="N46" s="68">
        <v>567.59071784497269</v>
      </c>
    </row>
    <row r="47" spans="1:14" x14ac:dyDescent="0.3">
      <c r="A47" s="28">
        <v>2068</v>
      </c>
      <c r="B47" s="62">
        <v>218.0235913252609</v>
      </c>
      <c r="C47" s="62">
        <v>0.19101071088337859</v>
      </c>
      <c r="D47" s="62">
        <v>338.29622366452469</v>
      </c>
      <c r="E47" s="62">
        <v>98.764551716524664</v>
      </c>
      <c r="F47" s="62">
        <v>436.76964052742522</v>
      </c>
      <c r="H47" s="55">
        <v>44.846511441553119</v>
      </c>
      <c r="I47" s="55">
        <v>52.761447679296928</v>
      </c>
      <c r="K47" s="66">
        <v>0.03</v>
      </c>
      <c r="L47" s="67">
        <v>2040</v>
      </c>
      <c r="M47" s="67">
        <v>14</v>
      </c>
      <c r="N47" s="68">
        <v>602.75889272940003</v>
      </c>
    </row>
    <row r="48" spans="1:14" x14ac:dyDescent="0.3">
      <c r="A48" s="28">
        <v>2069</v>
      </c>
      <c r="B48" s="62">
        <v>201.28480444030961</v>
      </c>
      <c r="C48" s="62">
        <v>0.175679719179516</v>
      </c>
      <c r="D48" s="62">
        <v>300.42542485333928</v>
      </c>
      <c r="E48" s="62">
        <v>90.600855535026994</v>
      </c>
      <c r="F48" s="62">
        <v>390.1764224316571</v>
      </c>
      <c r="H48" s="55">
        <v>40.795745086054893</v>
      </c>
      <c r="I48" s="55">
        <v>47.291923615338533</v>
      </c>
    </row>
    <row r="49" spans="1:14" x14ac:dyDescent="0.3">
      <c r="A49" s="28">
        <v>2070</v>
      </c>
      <c r="B49" s="62">
        <v>184.29864632060529</v>
      </c>
      <c r="C49" s="62">
        <v>0.1608773823619935</v>
      </c>
      <c r="D49" s="62">
        <v>262.62551719263791</v>
      </c>
      <c r="E49" s="62">
        <v>82.425094777891687</v>
      </c>
      <c r="F49" s="62">
        <v>343.1103864576757</v>
      </c>
      <c r="H49" s="55">
        <v>36.80484227275614</v>
      </c>
      <c r="I49" s="55">
        <v>42.03982602139785</v>
      </c>
    </row>
    <row r="50" spans="1:14" x14ac:dyDescent="0.3">
      <c r="A50" s="28">
        <v>2071</v>
      </c>
      <c r="B50" s="62">
        <v>167.06146123361469</v>
      </c>
      <c r="C50" s="62">
        <v>0.1465854709519718</v>
      </c>
      <c r="D50" s="62">
        <v>224.8963679797742</v>
      </c>
      <c r="E50" s="62">
        <v>74.237251615696536</v>
      </c>
      <c r="F50" s="62">
        <v>295.5667345521357</v>
      </c>
      <c r="H50" s="55">
        <v>32.872918318767233</v>
      </c>
      <c r="I50" s="55">
        <v>36.99796317224169</v>
      </c>
      <c r="K50" s="4" t="s">
        <v>334</v>
      </c>
    </row>
    <row r="51" spans="1:14" x14ac:dyDescent="0.3">
      <c r="A51" s="28">
        <v>2072</v>
      </c>
      <c r="B51" s="62">
        <v>149.56953942120049</v>
      </c>
      <c r="C51" s="62">
        <v>0.1327863840733301</v>
      </c>
      <c r="D51" s="62">
        <v>187.237844760511</v>
      </c>
      <c r="E51" s="62">
        <v>66.037308192670565</v>
      </c>
      <c r="F51" s="62">
        <v>247.54061997208629</v>
      </c>
      <c r="H51" s="55">
        <v>28.99910161532987</v>
      </c>
      <c r="I51" s="55">
        <v>32.159365503693529</v>
      </c>
      <c r="K51" s="3" t="s">
        <v>335</v>
      </c>
      <c r="L51" s="3" t="s">
        <v>336</v>
      </c>
      <c r="M51" s="3" t="s">
        <v>331</v>
      </c>
      <c r="N51" s="3" t="s">
        <v>337</v>
      </c>
    </row>
    <row r="52" spans="1:14" x14ac:dyDescent="0.3">
      <c r="A52" s="28">
        <v>2073</v>
      </c>
      <c r="B52" s="62">
        <v>131.8191163012138</v>
      </c>
      <c r="C52" s="62">
        <v>0.1194631277767106</v>
      </c>
      <c r="D52" s="62">
        <v>149.64981532855469</v>
      </c>
      <c r="E52" s="62">
        <v>57.825246626654909</v>
      </c>
      <c r="F52" s="62">
        <v>199.0271467908797</v>
      </c>
      <c r="H52" s="55">
        <v>25.18253343460341</v>
      </c>
      <c r="I52" s="55">
        <v>27.517278954336959</v>
      </c>
      <c r="K52" s="28">
        <v>35</v>
      </c>
      <c r="L52" s="28">
        <v>2060</v>
      </c>
      <c r="M52" s="28">
        <v>2026</v>
      </c>
      <c r="N52" s="28">
        <v>2071</v>
      </c>
    </row>
    <row r="53" spans="1:14" x14ac:dyDescent="0.3">
      <c r="A53" s="28">
        <v>2074</v>
      </c>
      <c r="B53" s="62">
        <v>113.80637165728631</v>
      </c>
      <c r="C53" s="62">
        <v>0.106599294111009</v>
      </c>
      <c r="D53" s="62">
        <v>112.1321477250918</v>
      </c>
      <c r="E53" s="62">
        <v>49.601049009063857</v>
      </c>
      <c r="F53" s="62">
        <v>150.0213693990658</v>
      </c>
      <c r="H53" s="55">
        <v>21.422367739306409</v>
      </c>
      <c r="I53" s="55">
        <v>23.06515850392228</v>
      </c>
      <c r="K53" s="28">
        <v>45</v>
      </c>
      <c r="L53" s="28">
        <v>2070</v>
      </c>
      <c r="M53" s="28">
        <v>2026</v>
      </c>
      <c r="N53" s="28">
        <v>2071</v>
      </c>
    </row>
    <row r="54" spans="1:14" x14ac:dyDescent="0.3">
      <c r="A54" s="28">
        <v>2075</v>
      </c>
      <c r="B54" s="62">
        <v>95.527428816650627</v>
      </c>
      <c r="C54" s="62">
        <v>9.417904091653842E-2</v>
      </c>
      <c r="D54" s="62">
        <v>74.684710238324968</v>
      </c>
      <c r="E54" s="62">
        <v>41.364697404845828</v>
      </c>
      <c r="F54" s="62">
        <v>100.51829200022161</v>
      </c>
      <c r="H54" s="55">
        <v>17.717770995171431</v>
      </c>
      <c r="I54" s="55">
        <v>18.79666190270612</v>
      </c>
      <c r="K54" s="28">
        <v>60</v>
      </c>
      <c r="L54" s="28">
        <v>2085</v>
      </c>
      <c r="M54" s="28">
        <v>2040</v>
      </c>
      <c r="N54" s="28">
        <v>2085</v>
      </c>
    </row>
    <row r="55" spans="1:14" x14ac:dyDescent="0.3">
      <c r="A55" s="28">
        <v>2076</v>
      </c>
      <c r="B55" s="62">
        <v>76.978353815808461</v>
      </c>
      <c r="C55" s="62">
        <v>8.2187072314980653E-2</v>
      </c>
      <c r="D55" s="62">
        <v>37.30737140301121</v>
      </c>
      <c r="E55" s="62">
        <v>33.116173852444227</v>
      </c>
      <c r="F55" s="62">
        <v>50.512868101665077</v>
      </c>
      <c r="H55" s="55">
        <v>14.06792198617145</v>
      </c>
      <c r="I55" s="55">
        <v>14.70564358612247</v>
      </c>
      <c r="K55" s="28">
        <v>80</v>
      </c>
      <c r="L55" s="28">
        <v>2105</v>
      </c>
      <c r="M55" s="28">
        <v>2060</v>
      </c>
      <c r="N55" s="28">
        <v>2105</v>
      </c>
    </row>
    <row r="56" spans="1:14" x14ac:dyDescent="0.3">
      <c r="A56" s="28">
        <v>2077</v>
      </c>
      <c r="B56" s="62">
        <v>58.155154553870112</v>
      </c>
      <c r="C56" s="62">
        <v>7.0608619872097295E-2</v>
      </c>
      <c r="D56" s="62">
        <v>0</v>
      </c>
      <c r="E56" s="62">
        <v>24.855460363758279</v>
      </c>
      <c r="F56" s="62">
        <v>0</v>
      </c>
      <c r="H56" s="55">
        <v>10.472011632476891</v>
      </c>
      <c r="I56" s="55">
        <v>10.786148769347481</v>
      </c>
      <c r="K56" s="28">
        <v>100</v>
      </c>
      <c r="L56" s="28">
        <v>2125</v>
      </c>
      <c r="M56" s="28">
        <v>2080</v>
      </c>
      <c r="N56" s="28">
        <v>2125</v>
      </c>
    </row>
    <row r="57" spans="1:14" x14ac:dyDescent="0.3">
      <c r="A57" s="28">
        <v>2078</v>
      </c>
      <c r="B57" s="62">
        <v>39.05377993338093</v>
      </c>
      <c r="C57" s="62">
        <v>5.9429424410003012E-2</v>
      </c>
      <c r="D57" s="62"/>
      <c r="E57" s="62">
        <v>16.582538924103829</v>
      </c>
      <c r="F57" s="62"/>
      <c r="H57" s="55">
        <v>6.9292428111029318</v>
      </c>
      <c r="I57" s="55">
        <v>7.0324077164791534</v>
      </c>
      <c r="K57" s="28">
        <v>150</v>
      </c>
      <c r="L57" s="28">
        <v>2175</v>
      </c>
      <c r="M57" s="28">
        <v>2130</v>
      </c>
      <c r="N57" s="28">
        <v>2175</v>
      </c>
    </row>
    <row r="58" spans="1:14" x14ac:dyDescent="0.3">
      <c r="A58" s="28">
        <v>2079</v>
      </c>
      <c r="B58" s="62">
        <v>19.67011898845103</v>
      </c>
      <c r="C58" s="62">
        <v>4.8635718446601639E-2</v>
      </c>
      <c r="D58" s="62"/>
      <c r="E58" s="62">
        <v>8.2973914921740306</v>
      </c>
      <c r="F58" s="62"/>
      <c r="H58" s="55">
        <v>3.4388301792074101</v>
      </c>
      <c r="I58" s="55">
        <v>3.4388301792074101</v>
      </c>
    </row>
    <row r="59" spans="1:14" x14ac:dyDescent="0.3">
      <c r="A59" s="28">
        <v>2080</v>
      </c>
      <c r="B59" s="62">
        <v>0</v>
      </c>
      <c r="C59" s="62">
        <v>3.8214209240558933E-2</v>
      </c>
      <c r="D59" s="62"/>
      <c r="E59" s="62">
        <v>0</v>
      </c>
      <c r="F59" s="62"/>
      <c r="H59" s="55">
        <v>0</v>
      </c>
      <c r="I59" s="55">
        <v>0</v>
      </c>
    </row>
    <row r="60" spans="1:14" x14ac:dyDescent="0.3">
      <c r="A60" s="28">
        <v>2081</v>
      </c>
      <c r="B60" s="62"/>
      <c r="C60" s="62">
        <v>2.815206242093149E-2</v>
      </c>
      <c r="D60" s="62"/>
      <c r="E60" s="62"/>
      <c r="F60" s="62"/>
    </row>
    <row r="61" spans="1:14" x14ac:dyDescent="0.3">
      <c r="A61" s="28">
        <v>2082</v>
      </c>
      <c r="B61" s="62"/>
      <c r="C61" s="62">
        <v>1.84368861812912E-2</v>
      </c>
      <c r="D61" s="62"/>
      <c r="E61" s="62"/>
      <c r="F61" s="62"/>
    </row>
    <row r="62" spans="1:14" x14ac:dyDescent="0.3">
      <c r="A62" s="28">
        <v>2083</v>
      </c>
      <c r="B62" s="62"/>
      <c r="C62" s="62">
        <v>9.0567160188798901E-3</v>
      </c>
      <c r="D62" s="62"/>
      <c r="E62" s="62"/>
      <c r="F62" s="62"/>
    </row>
    <row r="63" spans="1:14" x14ac:dyDescent="0.3">
      <c r="A63" s="28">
        <v>2084</v>
      </c>
      <c r="B63" s="62"/>
      <c r="C63" s="62">
        <v>0</v>
      </c>
      <c r="D63" s="62"/>
      <c r="E63" s="62"/>
      <c r="F63" s="62"/>
    </row>
    <row r="64" spans="1:14" x14ac:dyDescent="0.3">
      <c r="A64" s="28">
        <v>2085</v>
      </c>
      <c r="B64" s="62"/>
      <c r="C64" s="62"/>
      <c r="D64" s="62"/>
      <c r="E64" s="62"/>
      <c r="F64" s="62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5"/>
  <sheetViews>
    <sheetView workbookViewId="0"/>
  </sheetViews>
  <sheetFormatPr defaultRowHeight="14.4" x14ac:dyDescent="0.3"/>
  <cols>
    <col min="1" max="1" width="40" customWidth="1"/>
    <col min="2" max="6" width="18" customWidth="1"/>
  </cols>
  <sheetData>
    <row r="1" spans="1:6" ht="17.399999999999999" x14ac:dyDescent="0.3">
      <c r="A1" s="1" t="s">
        <v>338</v>
      </c>
    </row>
    <row r="2" spans="1:6" x14ac:dyDescent="0.3">
      <c r="A2" s="2" t="s">
        <v>339</v>
      </c>
    </row>
    <row r="4" spans="1:6" ht="27.6" x14ac:dyDescent="0.3">
      <c r="A4" s="3" t="s">
        <v>340</v>
      </c>
      <c r="B4" s="3" t="s">
        <v>341</v>
      </c>
      <c r="C4" s="3" t="s">
        <v>342</v>
      </c>
      <c r="D4" s="3" t="s">
        <v>343</v>
      </c>
      <c r="E4" s="3" t="s">
        <v>344</v>
      </c>
    </row>
    <row r="5" spans="1:6" x14ac:dyDescent="0.3">
      <c r="A5" s="4" t="s">
        <v>345</v>
      </c>
      <c r="B5" s="15" t="s">
        <v>346</v>
      </c>
      <c r="C5" s="15" t="s">
        <v>347</v>
      </c>
      <c r="D5" s="15" t="s">
        <v>346</v>
      </c>
      <c r="E5" s="15" t="s">
        <v>346</v>
      </c>
    </row>
    <row r="6" spans="1:6" x14ac:dyDescent="0.3">
      <c r="A6" s="4" t="s">
        <v>348</v>
      </c>
      <c r="B6" s="69">
        <v>0</v>
      </c>
      <c r="C6" s="69">
        <v>4.3749734628044111E-5</v>
      </c>
      <c r="D6" s="69">
        <v>0</v>
      </c>
      <c r="E6" s="69">
        <v>0</v>
      </c>
    </row>
    <row r="7" spans="1:6" x14ac:dyDescent="0.3">
      <c r="A7" s="4" t="s">
        <v>349</v>
      </c>
      <c r="B7" s="8">
        <v>329</v>
      </c>
      <c r="C7" s="8">
        <v>302</v>
      </c>
      <c r="D7" s="8">
        <v>152</v>
      </c>
      <c r="E7" s="8">
        <v>59</v>
      </c>
    </row>
    <row r="8" spans="1:6" x14ac:dyDescent="0.3">
      <c r="A8" s="4" t="s">
        <v>350</v>
      </c>
      <c r="B8" s="48">
        <v>7410.1203117174673</v>
      </c>
      <c r="C8" s="48">
        <v>7411.7381098990336</v>
      </c>
      <c r="D8" s="48">
        <v>13627.30292700389</v>
      </c>
      <c r="E8" s="48">
        <v>13893.82223870393</v>
      </c>
    </row>
    <row r="9" spans="1:6" x14ac:dyDescent="0.3">
      <c r="A9" s="4" t="s">
        <v>351</v>
      </c>
      <c r="B9" s="8">
        <v>2026</v>
      </c>
      <c r="C9" s="8">
        <v>2026</v>
      </c>
      <c r="D9" s="8">
        <v>2039</v>
      </c>
      <c r="E9" s="8">
        <v>2040</v>
      </c>
    </row>
    <row r="10" spans="1:6" x14ac:dyDescent="0.3">
      <c r="A10" s="4" t="s">
        <v>18</v>
      </c>
      <c r="B10" s="8">
        <v>2044</v>
      </c>
      <c r="C10" s="8">
        <v>2045</v>
      </c>
      <c r="D10" s="8">
        <v>2044</v>
      </c>
      <c r="E10" s="8">
        <v>2045</v>
      </c>
    </row>
    <row r="11" spans="1:6" x14ac:dyDescent="0.3">
      <c r="A11" s="4" t="s">
        <v>24</v>
      </c>
      <c r="B11" s="48">
        <v>47.265500192209089</v>
      </c>
      <c r="C11" s="48">
        <v>161.36742508159219</v>
      </c>
      <c r="D11" s="48">
        <v>44.683444391114897</v>
      </c>
      <c r="E11" s="48">
        <v>1691.053158990587</v>
      </c>
    </row>
    <row r="12" spans="1:6" x14ac:dyDescent="0.3">
      <c r="A12" s="4" t="s">
        <v>352</v>
      </c>
      <c r="B12" s="70">
        <v>1186958.502099945</v>
      </c>
      <c r="C12" s="70">
        <v>9307150664.6598816</v>
      </c>
      <c r="D12" s="70">
        <v>2331581.082137018</v>
      </c>
      <c r="E12" s="70">
        <v>1105920658084.572</v>
      </c>
    </row>
    <row r="13" spans="1:6" x14ac:dyDescent="0.3">
      <c r="A13" s="4" t="s">
        <v>353</v>
      </c>
      <c r="B13" s="8">
        <v>0</v>
      </c>
      <c r="C13" s="8">
        <v>0</v>
      </c>
      <c r="D13" s="8">
        <v>0</v>
      </c>
      <c r="E13" s="8">
        <v>0</v>
      </c>
    </row>
    <row r="15" spans="1:6" ht="27.6" x14ac:dyDescent="0.3">
      <c r="A15" s="3" t="s">
        <v>56</v>
      </c>
      <c r="B15" s="3" t="s">
        <v>66</v>
      </c>
      <c r="C15" s="3" t="s">
        <v>354</v>
      </c>
      <c r="D15" s="3" t="s">
        <v>355</v>
      </c>
      <c r="E15" s="3" t="s">
        <v>356</v>
      </c>
      <c r="F15" s="3" t="s">
        <v>357</v>
      </c>
    </row>
    <row r="16" spans="1:6" x14ac:dyDescent="0.3">
      <c r="A16" s="28" t="s">
        <v>145</v>
      </c>
      <c r="B16" s="31">
        <v>0.03</v>
      </c>
      <c r="C16" s="64">
        <v>2026</v>
      </c>
      <c r="D16" s="64">
        <v>2026</v>
      </c>
      <c r="E16" s="64">
        <v>2039</v>
      </c>
      <c r="F16" s="64">
        <v>2040</v>
      </c>
    </row>
    <row r="17" spans="1:6" x14ac:dyDescent="0.3">
      <c r="A17" s="28" t="s">
        <v>147</v>
      </c>
      <c r="B17" s="31">
        <v>1.4200000000000001E-2</v>
      </c>
      <c r="C17" s="64">
        <v>2026</v>
      </c>
      <c r="D17" s="64">
        <v>2026</v>
      </c>
      <c r="E17" s="64">
        <v>2026</v>
      </c>
      <c r="F17" s="64">
        <v>2026</v>
      </c>
    </row>
    <row r="18" spans="1:6" x14ac:dyDescent="0.3">
      <c r="A18" s="28" t="s">
        <v>148</v>
      </c>
      <c r="B18" s="31">
        <v>2.8899999999999999E-2</v>
      </c>
      <c r="C18" s="64">
        <v>2037</v>
      </c>
      <c r="D18" s="64">
        <v>2037</v>
      </c>
      <c r="E18" s="64">
        <v>2038</v>
      </c>
      <c r="F18" s="64">
        <v>2045</v>
      </c>
    </row>
    <row r="19" spans="1:6" x14ac:dyDescent="0.3">
      <c r="A19" s="28" t="s">
        <v>149</v>
      </c>
      <c r="B19" s="31">
        <v>2.75E-2</v>
      </c>
      <c r="C19" s="64">
        <v>2041</v>
      </c>
      <c r="D19" s="64">
        <v>2043</v>
      </c>
      <c r="E19" s="64">
        <v>2037</v>
      </c>
      <c r="F19" s="64">
        <v>2045</v>
      </c>
    </row>
    <row r="20" spans="1:6" x14ac:dyDescent="0.3">
      <c r="A20" s="28" t="s">
        <v>150</v>
      </c>
      <c r="B20" s="31">
        <v>1.6299999999999999E-2</v>
      </c>
      <c r="C20" s="64">
        <v>2043</v>
      </c>
      <c r="D20" s="64">
        <v>2043</v>
      </c>
      <c r="E20" s="64">
        <v>2026</v>
      </c>
      <c r="F20" s="64">
        <v>2029</v>
      </c>
    </row>
    <row r="21" spans="1:6" x14ac:dyDescent="0.3">
      <c r="A21" s="28" t="s">
        <v>151</v>
      </c>
      <c r="B21" s="31">
        <v>2.3099999999999999E-2</v>
      </c>
      <c r="C21" s="64">
        <v>2026</v>
      </c>
      <c r="D21" s="64">
        <v>2037</v>
      </c>
      <c r="E21" s="64">
        <v>2037</v>
      </c>
      <c r="F21" s="64">
        <v>2044</v>
      </c>
    </row>
    <row r="22" spans="1:6" x14ac:dyDescent="0.3">
      <c r="A22" s="28" t="s">
        <v>152</v>
      </c>
      <c r="B22" s="31">
        <v>1.7899999999999999E-2</v>
      </c>
      <c r="C22" s="64">
        <v>2037</v>
      </c>
      <c r="D22" s="64">
        <v>2040</v>
      </c>
      <c r="E22" s="64">
        <v>2026</v>
      </c>
      <c r="F22" s="64">
        <v>2045</v>
      </c>
    </row>
    <row r="23" spans="1:6" x14ac:dyDescent="0.3">
      <c r="A23" s="28" t="s">
        <v>153</v>
      </c>
      <c r="B23" s="31">
        <v>2.8299999999999999E-2</v>
      </c>
      <c r="C23" s="64">
        <v>2037</v>
      </c>
      <c r="D23" s="64">
        <v>2040</v>
      </c>
      <c r="E23" s="64">
        <v>2042</v>
      </c>
      <c r="F23" s="64">
        <v>2045</v>
      </c>
    </row>
    <row r="24" spans="1:6" x14ac:dyDescent="0.3">
      <c r="A24" s="28" t="s">
        <v>154</v>
      </c>
      <c r="B24" s="31">
        <v>1.9199999999999998E-2</v>
      </c>
      <c r="C24" s="64">
        <v>2026</v>
      </c>
      <c r="D24" s="64">
        <v>2037</v>
      </c>
      <c r="E24" s="64">
        <v>2035</v>
      </c>
      <c r="F24" s="64">
        <v>2044</v>
      </c>
    </row>
    <row r="25" spans="1:6" x14ac:dyDescent="0.3">
      <c r="A25" s="28" t="s">
        <v>155</v>
      </c>
      <c r="B25" s="31">
        <v>1.5299999999999999E-2</v>
      </c>
      <c r="C25" s="64">
        <v>2026</v>
      </c>
      <c r="D25" s="64">
        <v>2026</v>
      </c>
      <c r="E25" s="64">
        <v>2026</v>
      </c>
      <c r="F25" s="64">
        <v>2026</v>
      </c>
    </row>
    <row r="26" spans="1:6" x14ac:dyDescent="0.3">
      <c r="A26" s="28" t="s">
        <v>156</v>
      </c>
      <c r="B26" s="31">
        <v>1.49E-2</v>
      </c>
      <c r="C26" s="64">
        <v>2037</v>
      </c>
      <c r="D26" s="64">
        <v>2037</v>
      </c>
      <c r="E26" s="64">
        <v>2026</v>
      </c>
      <c r="F26" s="64">
        <v>2026</v>
      </c>
    </row>
    <row r="27" spans="1:6" x14ac:dyDescent="0.3">
      <c r="A27" s="28" t="s">
        <v>157</v>
      </c>
      <c r="B27" s="31">
        <v>2.12E-2</v>
      </c>
      <c r="C27" s="64">
        <v>2037</v>
      </c>
      <c r="D27" s="64">
        <v>2040</v>
      </c>
      <c r="E27" s="64">
        <v>2035</v>
      </c>
      <c r="F27" s="64">
        <v>2044</v>
      </c>
    </row>
    <row r="28" spans="1:6" x14ac:dyDescent="0.3">
      <c r="A28" s="28" t="s">
        <v>158</v>
      </c>
      <c r="B28" s="31">
        <v>1.5299999999999999E-2</v>
      </c>
      <c r="C28" s="64">
        <v>2026</v>
      </c>
      <c r="D28" s="64">
        <v>2029</v>
      </c>
      <c r="E28" s="64">
        <v>2026</v>
      </c>
      <c r="F28" s="64">
        <v>2026</v>
      </c>
    </row>
    <row r="29" spans="1:6" x14ac:dyDescent="0.3">
      <c r="A29" s="28" t="s">
        <v>159</v>
      </c>
      <c r="B29" s="31">
        <v>2.1700000000000001E-2</v>
      </c>
      <c r="C29" s="64">
        <v>2031</v>
      </c>
      <c r="D29" s="64">
        <v>2026</v>
      </c>
      <c r="E29" s="64">
        <v>2038</v>
      </c>
      <c r="F29" s="64">
        <v>2044</v>
      </c>
    </row>
    <row r="30" spans="1:6" x14ac:dyDescent="0.3">
      <c r="A30" s="28" t="s">
        <v>160</v>
      </c>
      <c r="B30" s="31">
        <v>-0.02</v>
      </c>
      <c r="C30" s="64">
        <v>2026</v>
      </c>
      <c r="D30" s="64">
        <v>2026</v>
      </c>
      <c r="E30" s="64">
        <v>2026</v>
      </c>
      <c r="F30" s="64">
        <v>2026</v>
      </c>
    </row>
    <row r="31" spans="1:6" x14ac:dyDescent="0.3">
      <c r="A31" s="28" t="s">
        <v>161</v>
      </c>
      <c r="B31" s="31">
        <v>1.7999999999999999E-2</v>
      </c>
      <c r="C31" s="64">
        <v>2032</v>
      </c>
      <c r="D31" s="64">
        <v>2030</v>
      </c>
      <c r="E31" s="64">
        <v>2034</v>
      </c>
      <c r="F31" s="64">
        <v>2044</v>
      </c>
    </row>
    <row r="32" spans="1:6" x14ac:dyDescent="0.3">
      <c r="A32" s="28" t="s">
        <v>162</v>
      </c>
      <c r="B32" s="31">
        <v>1.44E-2</v>
      </c>
      <c r="C32" s="64">
        <v>2026</v>
      </c>
      <c r="D32" s="64">
        <v>2026</v>
      </c>
      <c r="E32" s="64">
        <v>2026</v>
      </c>
      <c r="F32" s="64">
        <v>2026</v>
      </c>
    </row>
    <row r="33" spans="1:6" x14ac:dyDescent="0.3">
      <c r="A33" s="28" t="s">
        <v>163</v>
      </c>
      <c r="B33" s="31">
        <v>0.03</v>
      </c>
      <c r="C33" s="64">
        <v>2026</v>
      </c>
      <c r="D33" s="64">
        <v>2026</v>
      </c>
      <c r="E33" s="64">
        <v>2043</v>
      </c>
      <c r="F33" s="64">
        <v>2044</v>
      </c>
    </row>
    <row r="34" spans="1:6" x14ac:dyDescent="0.3">
      <c r="A34" s="28" t="s">
        <v>164</v>
      </c>
      <c r="B34" s="31">
        <v>2.0199999999999999E-2</v>
      </c>
      <c r="C34" s="64">
        <v>2037</v>
      </c>
      <c r="D34" s="64">
        <v>2037</v>
      </c>
      <c r="E34" s="64">
        <v>2034</v>
      </c>
      <c r="F34" s="64">
        <v>2044</v>
      </c>
    </row>
    <row r="35" spans="1:6" x14ac:dyDescent="0.3">
      <c r="A35" s="28" t="s">
        <v>165</v>
      </c>
      <c r="B35" s="31">
        <v>1.18E-2</v>
      </c>
      <c r="C35" s="64">
        <v>2036</v>
      </c>
      <c r="D35" s="64">
        <v>2036</v>
      </c>
      <c r="E35" s="64">
        <v>2026</v>
      </c>
      <c r="F35" s="64">
        <v>2026</v>
      </c>
    </row>
    <row r="36" spans="1:6" x14ac:dyDescent="0.3">
      <c r="A36" s="28" t="s">
        <v>166</v>
      </c>
      <c r="B36" s="31">
        <v>1.09E-2</v>
      </c>
      <c r="C36" s="64">
        <v>2042</v>
      </c>
      <c r="D36" s="64">
        <v>2042</v>
      </c>
      <c r="E36" s="64">
        <v>2026</v>
      </c>
      <c r="F36" s="64">
        <v>2026</v>
      </c>
    </row>
    <row r="37" spans="1:6" x14ac:dyDescent="0.3">
      <c r="A37" s="28" t="s">
        <v>167</v>
      </c>
      <c r="B37" s="31">
        <v>1.2200000000000001E-2</v>
      </c>
      <c r="C37" s="64">
        <v>2042</v>
      </c>
      <c r="D37" s="64">
        <v>2042</v>
      </c>
      <c r="E37" s="64">
        <v>2026</v>
      </c>
      <c r="F37" s="64">
        <v>2026</v>
      </c>
    </row>
    <row r="38" spans="1:6" x14ac:dyDescent="0.3">
      <c r="A38" s="28" t="s">
        <v>168</v>
      </c>
      <c r="B38" s="31">
        <v>2.2499999999999999E-2</v>
      </c>
      <c r="C38" s="64">
        <v>2031</v>
      </c>
      <c r="D38" s="64">
        <v>2029</v>
      </c>
      <c r="E38" s="64">
        <v>2036</v>
      </c>
      <c r="F38" s="64">
        <v>2044</v>
      </c>
    </row>
    <row r="39" spans="1:6" x14ac:dyDescent="0.3">
      <c r="A39" s="28" t="s">
        <v>169</v>
      </c>
      <c r="B39" s="31">
        <v>2.58E-2</v>
      </c>
      <c r="C39" s="64">
        <v>2031</v>
      </c>
      <c r="D39" s="64">
        <v>2040</v>
      </c>
      <c r="E39" s="64">
        <v>2037</v>
      </c>
      <c r="F39" s="64">
        <v>2045</v>
      </c>
    </row>
    <row r="40" spans="1:6" x14ac:dyDescent="0.3">
      <c r="A40" s="28" t="s">
        <v>170</v>
      </c>
      <c r="B40" s="31">
        <v>1.84E-2</v>
      </c>
      <c r="C40" s="64">
        <v>2026</v>
      </c>
      <c r="D40" s="64">
        <v>2037</v>
      </c>
      <c r="E40" s="64">
        <v>2035</v>
      </c>
      <c r="F40" s="64">
        <v>2045</v>
      </c>
    </row>
    <row r="41" spans="1:6" x14ac:dyDescent="0.3">
      <c r="A41" s="28" t="s">
        <v>171</v>
      </c>
      <c r="B41" s="31">
        <v>1.1299999999999999E-2</v>
      </c>
      <c r="C41" s="64">
        <v>2026</v>
      </c>
      <c r="D41" s="64">
        <v>2026</v>
      </c>
      <c r="E41" s="64">
        <v>2031</v>
      </c>
      <c r="F41" s="64">
        <v>2032</v>
      </c>
    </row>
    <row r="42" spans="1:6" x14ac:dyDescent="0.3">
      <c r="A42" s="28" t="s">
        <v>172</v>
      </c>
      <c r="B42" s="31">
        <v>1.7600000000000001E-2</v>
      </c>
      <c r="C42" s="64">
        <v>2037</v>
      </c>
      <c r="D42" s="64">
        <v>2037</v>
      </c>
      <c r="E42" s="64">
        <v>2033</v>
      </c>
      <c r="F42" s="64">
        <v>2044</v>
      </c>
    </row>
    <row r="43" spans="1:6" x14ac:dyDescent="0.3">
      <c r="A43" s="28" t="s">
        <v>173</v>
      </c>
      <c r="B43" s="31">
        <v>2.9899999999999999E-2</v>
      </c>
      <c r="C43" s="64">
        <v>2026</v>
      </c>
      <c r="D43" s="64">
        <v>2026</v>
      </c>
      <c r="E43" s="64">
        <v>2043</v>
      </c>
      <c r="F43" s="64">
        <v>2044</v>
      </c>
    </row>
    <row r="44" spans="1:6" x14ac:dyDescent="0.3">
      <c r="A44" s="28" t="s">
        <v>174</v>
      </c>
      <c r="B44" s="31">
        <v>2.06E-2</v>
      </c>
      <c r="C44" s="64">
        <v>2027</v>
      </c>
      <c r="D44" s="64">
        <v>2026</v>
      </c>
      <c r="E44" s="64">
        <v>2032</v>
      </c>
      <c r="F44" s="64">
        <v>2038</v>
      </c>
    </row>
    <row r="45" spans="1:6" x14ac:dyDescent="0.3">
      <c r="A45" s="28" t="s">
        <v>175</v>
      </c>
      <c r="B45" s="31">
        <v>2.9399999999999999E-2</v>
      </c>
      <c r="C45" s="64">
        <v>2032</v>
      </c>
      <c r="D45" s="64">
        <v>2030</v>
      </c>
      <c r="E45" s="64">
        <v>2040</v>
      </c>
      <c r="F45" s="64">
        <v>2041</v>
      </c>
    </row>
    <row r="46" spans="1:6" x14ac:dyDescent="0.3">
      <c r="A46" s="28" t="s">
        <v>176</v>
      </c>
      <c r="B46" s="31">
        <v>2.7199999999999998E-2</v>
      </c>
      <c r="C46" s="64">
        <v>2041</v>
      </c>
      <c r="D46" s="64">
        <v>2040</v>
      </c>
      <c r="E46" s="64">
        <v>2038</v>
      </c>
      <c r="F46" s="64">
        <v>2044</v>
      </c>
    </row>
    <row r="47" spans="1:6" x14ac:dyDescent="0.3">
      <c r="A47" s="28" t="s">
        <v>177</v>
      </c>
      <c r="B47" s="31">
        <v>1.0200000000000001E-2</v>
      </c>
      <c r="C47" s="64">
        <v>2037</v>
      </c>
      <c r="D47" s="64">
        <v>2037</v>
      </c>
      <c r="E47" s="64">
        <v>2026</v>
      </c>
      <c r="F47" s="64">
        <v>2026</v>
      </c>
    </row>
    <row r="48" spans="1:6" x14ac:dyDescent="0.3">
      <c r="A48" s="28" t="s">
        <v>178</v>
      </c>
      <c r="B48" s="31">
        <v>2.4400000000000002E-2</v>
      </c>
      <c r="C48" s="64">
        <v>2026</v>
      </c>
      <c r="D48" s="64">
        <v>2026</v>
      </c>
      <c r="E48" s="64">
        <v>2042</v>
      </c>
      <c r="F48" s="64">
        <v>2045</v>
      </c>
    </row>
    <row r="49" spans="1:6" x14ac:dyDescent="0.3">
      <c r="A49" s="28" t="s">
        <v>179</v>
      </c>
      <c r="B49" s="31">
        <v>2.3599999999999999E-2</v>
      </c>
      <c r="C49" s="64">
        <v>2039</v>
      </c>
      <c r="D49" s="64">
        <v>2039</v>
      </c>
      <c r="E49" s="64">
        <v>2033</v>
      </c>
      <c r="F49" s="64">
        <v>2042</v>
      </c>
    </row>
    <row r="50" spans="1:6" x14ac:dyDescent="0.3">
      <c r="A50" s="28" t="s">
        <v>180</v>
      </c>
      <c r="B50" s="31">
        <v>2.07E-2</v>
      </c>
      <c r="C50" s="64">
        <v>2041</v>
      </c>
      <c r="D50" s="64">
        <v>2041</v>
      </c>
      <c r="E50" s="64">
        <v>2035</v>
      </c>
      <c r="F50" s="64">
        <v>2045</v>
      </c>
    </row>
    <row r="51" spans="1:6" x14ac:dyDescent="0.3">
      <c r="A51" s="28" t="s">
        <v>181</v>
      </c>
      <c r="B51" s="31">
        <v>1.5299999999999999E-2</v>
      </c>
      <c r="C51" s="64">
        <v>2026</v>
      </c>
      <c r="D51" s="64">
        <v>2026</v>
      </c>
      <c r="E51" s="64">
        <v>2026</v>
      </c>
      <c r="F51" s="64">
        <v>2026</v>
      </c>
    </row>
    <row r="52" spans="1:6" x14ac:dyDescent="0.3">
      <c r="A52" s="28" t="s">
        <v>182</v>
      </c>
      <c r="B52" s="31">
        <v>2.2800000000000001E-2</v>
      </c>
      <c r="C52" s="64">
        <v>2040</v>
      </c>
      <c r="D52" s="64">
        <v>2040</v>
      </c>
      <c r="E52" s="64">
        <v>2033</v>
      </c>
      <c r="F52" s="64">
        <v>2041</v>
      </c>
    </row>
    <row r="53" spans="1:6" x14ac:dyDescent="0.3">
      <c r="A53" s="28" t="s">
        <v>183</v>
      </c>
      <c r="B53" s="31">
        <v>1.2200000000000001E-2</v>
      </c>
      <c r="C53" s="64">
        <v>2029</v>
      </c>
      <c r="D53" s="64">
        <v>2030</v>
      </c>
      <c r="E53" s="64">
        <v>2026</v>
      </c>
      <c r="F53" s="64">
        <v>2026</v>
      </c>
    </row>
    <row r="54" spans="1:6" x14ac:dyDescent="0.3">
      <c r="A54" s="28" t="s">
        <v>184</v>
      </c>
      <c r="B54" s="31">
        <v>1.8700000000000001E-2</v>
      </c>
      <c r="C54" s="64">
        <v>2031</v>
      </c>
      <c r="D54" s="64">
        <v>2033</v>
      </c>
      <c r="E54" s="64">
        <v>2037</v>
      </c>
      <c r="F54" s="64">
        <v>2045</v>
      </c>
    </row>
    <row r="55" spans="1:6" x14ac:dyDescent="0.3">
      <c r="A55" s="28" t="s">
        <v>185</v>
      </c>
      <c r="B55" s="31">
        <v>1.9099999999999999E-2</v>
      </c>
      <c r="C55" s="64">
        <v>2032</v>
      </c>
      <c r="D55" s="64">
        <v>2032</v>
      </c>
      <c r="E55" s="64">
        <v>2032</v>
      </c>
      <c r="F55" s="64">
        <v>2043</v>
      </c>
    </row>
    <row r="56" spans="1:6" x14ac:dyDescent="0.3">
      <c r="A56" s="28" t="s">
        <v>186</v>
      </c>
      <c r="B56" s="31">
        <v>2.9100000000000001E-2</v>
      </c>
      <c r="C56" s="64">
        <v>2026</v>
      </c>
      <c r="D56" s="64">
        <v>2030</v>
      </c>
      <c r="E56" s="64">
        <v>2042</v>
      </c>
      <c r="F56" s="64">
        <v>2045</v>
      </c>
    </row>
    <row r="57" spans="1:6" x14ac:dyDescent="0.3">
      <c r="A57" s="28" t="s">
        <v>187</v>
      </c>
      <c r="B57" s="31">
        <v>2.75E-2</v>
      </c>
      <c r="C57" s="64">
        <v>2030</v>
      </c>
      <c r="D57" s="64">
        <v>2030</v>
      </c>
      <c r="E57" s="64">
        <v>2037</v>
      </c>
      <c r="F57" s="64">
        <v>2043</v>
      </c>
    </row>
    <row r="58" spans="1:6" x14ac:dyDescent="0.3">
      <c r="A58" s="28" t="s">
        <v>188</v>
      </c>
      <c r="B58" s="31">
        <v>1.5299999999999999E-2</v>
      </c>
      <c r="C58" s="64">
        <v>2030</v>
      </c>
      <c r="D58" s="64">
        <v>2037</v>
      </c>
      <c r="E58" s="64">
        <v>2026</v>
      </c>
      <c r="F58" s="64">
        <v>2026</v>
      </c>
    </row>
    <row r="59" spans="1:6" x14ac:dyDescent="0.3">
      <c r="A59" s="28" t="s">
        <v>189</v>
      </c>
      <c r="B59" s="31">
        <v>0.02</v>
      </c>
      <c r="C59" s="64">
        <v>2035</v>
      </c>
      <c r="D59" s="64">
        <v>2038</v>
      </c>
      <c r="E59" s="64">
        <v>2032</v>
      </c>
      <c r="F59" s="64">
        <v>2042</v>
      </c>
    </row>
    <row r="60" spans="1:6" x14ac:dyDescent="0.3">
      <c r="A60" s="28" t="s">
        <v>190</v>
      </c>
      <c r="B60" s="31">
        <v>1.3599999999999999E-2</v>
      </c>
      <c r="C60" s="64">
        <v>2038</v>
      </c>
      <c r="D60" s="64">
        <v>2038</v>
      </c>
      <c r="E60" s="64">
        <v>2026</v>
      </c>
      <c r="F60" s="64">
        <v>2026</v>
      </c>
    </row>
    <row r="61" spans="1:6" x14ac:dyDescent="0.3">
      <c r="A61" s="28" t="s">
        <v>191</v>
      </c>
      <c r="B61" s="31">
        <v>2.8299999999999999E-2</v>
      </c>
      <c r="C61" s="64">
        <v>2041</v>
      </c>
      <c r="D61" s="64">
        <v>2040</v>
      </c>
      <c r="E61" s="64">
        <v>2038</v>
      </c>
      <c r="F61" s="64">
        <v>2045</v>
      </c>
    </row>
    <row r="62" spans="1:6" x14ac:dyDescent="0.3">
      <c r="A62" s="28" t="s">
        <v>192</v>
      </c>
      <c r="B62" s="31">
        <v>2.7400000000000001E-2</v>
      </c>
      <c r="C62" s="64">
        <v>2026</v>
      </c>
      <c r="D62" s="64">
        <v>2031</v>
      </c>
      <c r="E62" s="64">
        <v>2038</v>
      </c>
      <c r="F62" s="64">
        <v>2044</v>
      </c>
    </row>
    <row r="63" spans="1:6" x14ac:dyDescent="0.3">
      <c r="A63" s="28" t="s">
        <v>193</v>
      </c>
      <c r="B63" s="31">
        <v>1.6E-2</v>
      </c>
      <c r="C63" s="64">
        <v>2041</v>
      </c>
      <c r="D63" s="64">
        <v>2041</v>
      </c>
      <c r="E63" s="64">
        <v>2030</v>
      </c>
      <c r="F63" s="64">
        <v>2028</v>
      </c>
    </row>
    <row r="64" spans="1:6" x14ac:dyDescent="0.3">
      <c r="A64" s="28" t="s">
        <v>194</v>
      </c>
      <c r="B64" s="31">
        <v>2.2800000000000001E-2</v>
      </c>
      <c r="C64" s="64">
        <v>2041</v>
      </c>
      <c r="D64" s="64">
        <v>2041</v>
      </c>
      <c r="E64" s="64">
        <v>2033</v>
      </c>
      <c r="F64" s="64">
        <v>2043</v>
      </c>
    </row>
    <row r="65" spans="1:6" x14ac:dyDescent="0.3">
      <c r="A65" s="28" t="s">
        <v>195</v>
      </c>
      <c r="B65" s="31">
        <v>2.2200000000000001E-2</v>
      </c>
      <c r="C65" s="64">
        <v>2042</v>
      </c>
      <c r="D65" s="64">
        <v>2041</v>
      </c>
      <c r="E65" s="64">
        <v>2034</v>
      </c>
      <c r="F65" s="64">
        <v>2043</v>
      </c>
    </row>
    <row r="66" spans="1:6" x14ac:dyDescent="0.3">
      <c r="A66" s="28" t="s">
        <v>196</v>
      </c>
      <c r="B66" s="31">
        <v>1.3100000000000001E-2</v>
      </c>
      <c r="C66" s="64">
        <v>2026</v>
      </c>
      <c r="D66" s="64">
        <v>2026</v>
      </c>
      <c r="E66" s="64">
        <v>2026</v>
      </c>
      <c r="F66" s="64">
        <v>2026</v>
      </c>
    </row>
    <row r="67" spans="1:6" x14ac:dyDescent="0.3">
      <c r="A67" s="28" t="s">
        <v>197</v>
      </c>
      <c r="B67" s="31">
        <v>2.53E-2</v>
      </c>
      <c r="C67" s="64">
        <v>2028</v>
      </c>
      <c r="D67" s="64">
        <v>2028</v>
      </c>
      <c r="E67" s="64">
        <v>2033</v>
      </c>
      <c r="F67" s="64">
        <v>2037</v>
      </c>
    </row>
    <row r="68" spans="1:6" x14ac:dyDescent="0.3">
      <c r="A68" s="28" t="s">
        <v>198</v>
      </c>
      <c r="B68" s="31">
        <v>2.0799999999999999E-2</v>
      </c>
      <c r="C68" s="64">
        <v>2029</v>
      </c>
      <c r="D68" s="64">
        <v>2029</v>
      </c>
      <c r="E68" s="64">
        <v>2029</v>
      </c>
      <c r="F68" s="64">
        <v>2030</v>
      </c>
    </row>
    <row r="69" spans="1:6" x14ac:dyDescent="0.3">
      <c r="A69" s="28" t="s">
        <v>199</v>
      </c>
      <c r="B69" s="31">
        <v>2.5600000000000001E-2</v>
      </c>
      <c r="C69" s="64">
        <v>2033</v>
      </c>
      <c r="D69" s="64">
        <v>2034</v>
      </c>
      <c r="E69" s="64">
        <v>2032</v>
      </c>
      <c r="F69" s="64">
        <v>2038</v>
      </c>
    </row>
    <row r="70" spans="1:6" x14ac:dyDescent="0.3">
      <c r="A70" s="28" t="s">
        <v>200</v>
      </c>
      <c r="B70" s="31">
        <v>2.06E-2</v>
      </c>
      <c r="C70" s="64">
        <v>2032</v>
      </c>
      <c r="D70" s="64">
        <v>2032</v>
      </c>
      <c r="E70" s="64">
        <v>2035</v>
      </c>
      <c r="F70" s="64">
        <v>2043</v>
      </c>
    </row>
    <row r="71" spans="1:6" x14ac:dyDescent="0.3">
      <c r="A71" s="28" t="s">
        <v>201</v>
      </c>
      <c r="B71" s="31">
        <v>0.01</v>
      </c>
      <c r="C71" s="64">
        <v>2026</v>
      </c>
      <c r="D71" s="64">
        <v>2026</v>
      </c>
      <c r="E71" s="64">
        <v>2026</v>
      </c>
      <c r="F71" s="64">
        <v>2026</v>
      </c>
    </row>
    <row r="72" spans="1:6" x14ac:dyDescent="0.3">
      <c r="A72" s="28" t="s">
        <v>202</v>
      </c>
      <c r="B72" s="31">
        <v>1.6500000000000001E-2</v>
      </c>
      <c r="C72" s="64">
        <v>2037</v>
      </c>
      <c r="D72" s="64">
        <v>2034</v>
      </c>
      <c r="E72" s="64">
        <v>2029</v>
      </c>
      <c r="F72" s="64">
        <v>2028</v>
      </c>
    </row>
    <row r="73" spans="1:6" x14ac:dyDescent="0.3">
      <c r="A73" s="28" t="s">
        <v>203</v>
      </c>
      <c r="B73" s="31">
        <v>1.04E-2</v>
      </c>
      <c r="C73" s="64">
        <v>2026</v>
      </c>
      <c r="D73" s="64">
        <v>2026</v>
      </c>
      <c r="E73" s="64">
        <v>2026</v>
      </c>
      <c r="F73" s="64">
        <v>2026</v>
      </c>
    </row>
    <row r="74" spans="1:6" x14ac:dyDescent="0.3">
      <c r="A74" s="28" t="s">
        <v>204</v>
      </c>
      <c r="B74" s="31">
        <v>2.86E-2</v>
      </c>
      <c r="C74" s="64">
        <v>2037</v>
      </c>
      <c r="D74" s="64">
        <v>2037</v>
      </c>
      <c r="E74" s="64">
        <v>2042</v>
      </c>
      <c r="F74" s="64">
        <v>2043</v>
      </c>
    </row>
    <row r="75" spans="1:6" x14ac:dyDescent="0.3">
      <c r="A75" s="28" t="s">
        <v>205</v>
      </c>
      <c r="B75" s="31">
        <v>2.76E-2</v>
      </c>
      <c r="C75" s="64">
        <v>2026</v>
      </c>
      <c r="D75" s="64">
        <v>2026</v>
      </c>
      <c r="E75" s="64">
        <v>2042</v>
      </c>
      <c r="F75" s="64">
        <v>2044</v>
      </c>
    </row>
    <row r="76" spans="1:6" x14ac:dyDescent="0.3">
      <c r="A76" s="28" t="s">
        <v>206</v>
      </c>
      <c r="B76" s="31">
        <v>2.6599999999999999E-2</v>
      </c>
      <c r="C76" s="64">
        <v>2026</v>
      </c>
      <c r="D76" s="64">
        <v>2026</v>
      </c>
      <c r="E76" s="64">
        <v>2041</v>
      </c>
      <c r="F76" s="64">
        <v>2042</v>
      </c>
    </row>
    <row r="77" spans="1:6" x14ac:dyDescent="0.3">
      <c r="A77" s="28" t="s">
        <v>207</v>
      </c>
      <c r="B77" s="31">
        <v>1.6199999999999999E-2</v>
      </c>
      <c r="C77" s="64">
        <v>2039</v>
      </c>
      <c r="D77" s="64">
        <v>2039</v>
      </c>
      <c r="E77" s="64">
        <v>2029</v>
      </c>
      <c r="F77" s="64">
        <v>2028</v>
      </c>
    </row>
    <row r="78" spans="1:6" x14ac:dyDescent="0.3">
      <c r="A78" s="28" t="s">
        <v>208</v>
      </c>
      <c r="B78" s="31">
        <v>1.12E-2</v>
      </c>
      <c r="C78" s="64">
        <v>2035</v>
      </c>
      <c r="D78" s="64">
        <v>2035</v>
      </c>
      <c r="E78" s="64">
        <v>2026</v>
      </c>
      <c r="F78" s="64">
        <v>2026</v>
      </c>
    </row>
    <row r="79" spans="1:6" x14ac:dyDescent="0.3">
      <c r="A79" s="28" t="s">
        <v>209</v>
      </c>
      <c r="B79" s="31">
        <v>2.76E-2</v>
      </c>
      <c r="C79" s="64">
        <v>2037</v>
      </c>
      <c r="D79" s="64">
        <v>2038</v>
      </c>
      <c r="E79" s="64">
        <v>2033</v>
      </c>
      <c r="F79" s="64">
        <v>2039</v>
      </c>
    </row>
    <row r="80" spans="1:6" x14ac:dyDescent="0.3">
      <c r="A80" s="28" t="s">
        <v>210</v>
      </c>
      <c r="B80" s="31">
        <v>2.8899999999999999E-2</v>
      </c>
      <c r="C80" s="64">
        <v>2039</v>
      </c>
      <c r="D80" s="64">
        <v>2039</v>
      </c>
      <c r="E80" s="64">
        <v>2034</v>
      </c>
      <c r="F80" s="64">
        <v>2040</v>
      </c>
    </row>
    <row r="81" spans="1:6" x14ac:dyDescent="0.3">
      <c r="A81" s="28" t="s">
        <v>211</v>
      </c>
      <c r="B81" s="31">
        <v>1.17E-2</v>
      </c>
      <c r="C81" s="64">
        <v>2029</v>
      </c>
      <c r="D81" s="64">
        <v>2026</v>
      </c>
      <c r="E81" s="64">
        <v>2026</v>
      </c>
      <c r="F81" s="64">
        <v>2026</v>
      </c>
    </row>
    <row r="82" spans="1:6" x14ac:dyDescent="0.3">
      <c r="A82" s="28" t="s">
        <v>212</v>
      </c>
      <c r="B82" s="31">
        <v>1.9699999999999999E-2</v>
      </c>
      <c r="C82" s="64">
        <v>2041</v>
      </c>
      <c r="D82" s="64">
        <v>2041</v>
      </c>
      <c r="E82" s="64">
        <v>2033</v>
      </c>
      <c r="F82" s="64">
        <v>2043</v>
      </c>
    </row>
    <row r="83" spans="1:6" x14ac:dyDescent="0.3">
      <c r="A83" s="28" t="s">
        <v>213</v>
      </c>
      <c r="B83" s="31">
        <v>1.14E-2</v>
      </c>
      <c r="C83" s="64">
        <v>2027</v>
      </c>
      <c r="D83" s="64">
        <v>2027</v>
      </c>
      <c r="E83" s="64">
        <v>2026</v>
      </c>
      <c r="F83" s="64">
        <v>2026</v>
      </c>
    </row>
    <row r="84" spans="1:6" x14ac:dyDescent="0.3">
      <c r="A84" s="28" t="s">
        <v>214</v>
      </c>
      <c r="B84" s="31">
        <v>2.52E-2</v>
      </c>
      <c r="C84" s="64">
        <v>2039</v>
      </c>
      <c r="D84" s="64">
        <v>2039</v>
      </c>
      <c r="E84" s="64">
        <v>2031</v>
      </c>
      <c r="F84" s="64">
        <v>2041</v>
      </c>
    </row>
    <row r="85" spans="1:6" x14ac:dyDescent="0.3">
      <c r="A85" s="28" t="s">
        <v>215</v>
      </c>
      <c r="B85" s="31">
        <v>2.53E-2</v>
      </c>
      <c r="C85" s="64">
        <v>2039</v>
      </c>
      <c r="D85" s="64">
        <v>2039</v>
      </c>
      <c r="E85" s="64">
        <v>2032</v>
      </c>
      <c r="F85" s="64">
        <v>2040</v>
      </c>
    </row>
    <row r="86" spans="1:6" x14ac:dyDescent="0.3">
      <c r="A86" s="28" t="s">
        <v>216</v>
      </c>
      <c r="B86" s="31">
        <v>1.26E-2</v>
      </c>
      <c r="C86" s="64">
        <v>2041</v>
      </c>
      <c r="D86" s="64">
        <v>2040</v>
      </c>
      <c r="E86" s="64">
        <v>2026</v>
      </c>
      <c r="F86" s="64">
        <v>2026</v>
      </c>
    </row>
    <row r="87" spans="1:6" x14ac:dyDescent="0.3">
      <c r="A87" s="28" t="s">
        <v>217</v>
      </c>
      <c r="B87" s="31">
        <v>1.95E-2</v>
      </c>
      <c r="C87" s="64">
        <v>2036</v>
      </c>
      <c r="D87" s="64">
        <v>2036</v>
      </c>
      <c r="E87" s="64">
        <v>2033</v>
      </c>
      <c r="F87" s="64">
        <v>2043</v>
      </c>
    </row>
    <row r="88" spans="1:6" x14ac:dyDescent="0.3">
      <c r="A88" s="28" t="s">
        <v>218</v>
      </c>
      <c r="B88" s="31">
        <v>2.1000000000000001E-2</v>
      </c>
      <c r="C88" s="64">
        <v>2026</v>
      </c>
      <c r="D88" s="64">
        <v>2026</v>
      </c>
      <c r="E88" s="64">
        <v>2034</v>
      </c>
      <c r="F88" s="64">
        <v>2044</v>
      </c>
    </row>
    <row r="89" spans="1:6" x14ac:dyDescent="0.3">
      <c r="A89" s="28" t="s">
        <v>219</v>
      </c>
      <c r="B89" s="31">
        <v>1.5299999999999999E-2</v>
      </c>
      <c r="C89" s="64">
        <v>2026</v>
      </c>
      <c r="D89" s="64">
        <v>2031</v>
      </c>
      <c r="E89" s="64">
        <v>2026</v>
      </c>
      <c r="F89" s="64">
        <v>2026</v>
      </c>
    </row>
    <row r="90" spans="1:6" x14ac:dyDescent="0.3">
      <c r="A90" s="28" t="s">
        <v>220</v>
      </c>
      <c r="B90" s="31">
        <v>2.7400000000000001E-2</v>
      </c>
      <c r="C90" s="64">
        <v>2026</v>
      </c>
      <c r="D90" s="64">
        <v>2027</v>
      </c>
      <c r="E90" s="64">
        <v>2040</v>
      </c>
      <c r="F90" s="64">
        <v>2042</v>
      </c>
    </row>
    <row r="91" spans="1:6" x14ac:dyDescent="0.3">
      <c r="A91" s="28" t="s">
        <v>221</v>
      </c>
      <c r="B91" s="31">
        <v>1.8499999999999999E-2</v>
      </c>
      <c r="C91" s="64">
        <v>2036</v>
      </c>
      <c r="D91" s="64">
        <v>2037</v>
      </c>
      <c r="E91" s="64">
        <v>2033</v>
      </c>
      <c r="F91" s="64">
        <v>2043</v>
      </c>
    </row>
    <row r="92" spans="1:6" x14ac:dyDescent="0.3">
      <c r="A92" s="28" t="s">
        <v>222</v>
      </c>
      <c r="B92" s="31">
        <v>1.4200000000000001E-2</v>
      </c>
      <c r="C92" s="64">
        <v>2042</v>
      </c>
      <c r="D92" s="64">
        <v>2041</v>
      </c>
      <c r="E92" s="64">
        <v>2026</v>
      </c>
      <c r="F92" s="64">
        <v>2026</v>
      </c>
    </row>
    <row r="93" spans="1:6" x14ac:dyDescent="0.3">
      <c r="A93" s="28" t="s">
        <v>223</v>
      </c>
      <c r="B93" s="31">
        <v>2.0799999999999999E-2</v>
      </c>
      <c r="C93" s="64">
        <v>2037</v>
      </c>
      <c r="D93" s="64">
        <v>2037</v>
      </c>
      <c r="E93" s="64">
        <v>2035</v>
      </c>
      <c r="F93" s="64">
        <v>2045</v>
      </c>
    </row>
    <row r="94" spans="1:6" x14ac:dyDescent="0.3">
      <c r="A94" s="28" t="s">
        <v>224</v>
      </c>
      <c r="B94" s="31">
        <v>2.46E-2</v>
      </c>
      <c r="C94" s="64">
        <v>2027</v>
      </c>
      <c r="D94" s="64">
        <v>2026</v>
      </c>
      <c r="E94" s="64">
        <v>2041</v>
      </c>
      <c r="F94" s="64">
        <v>2043</v>
      </c>
    </row>
    <row r="95" spans="1:6" x14ac:dyDescent="0.3">
      <c r="A95" s="28" t="s">
        <v>225</v>
      </c>
      <c r="B95" s="31">
        <v>1.4E-2</v>
      </c>
      <c r="C95" s="64">
        <v>2029</v>
      </c>
      <c r="D95" s="64">
        <v>2029</v>
      </c>
      <c r="E95" s="64">
        <v>2026</v>
      </c>
      <c r="F95" s="64">
        <v>2026</v>
      </c>
    </row>
    <row r="96" spans="1:6" x14ac:dyDescent="0.3">
      <c r="A96" s="28" t="s">
        <v>226</v>
      </c>
      <c r="B96" s="31">
        <v>1.6199999999999999E-2</v>
      </c>
      <c r="C96" s="64">
        <v>2041</v>
      </c>
      <c r="D96" s="64">
        <v>2040</v>
      </c>
      <c r="E96" s="64">
        <v>2030</v>
      </c>
      <c r="F96" s="64">
        <v>2031</v>
      </c>
    </row>
    <row r="97" spans="1:6" x14ac:dyDescent="0.3">
      <c r="A97" s="28" t="s">
        <v>227</v>
      </c>
      <c r="B97" s="31">
        <v>2.9899999999999999E-2</v>
      </c>
      <c r="C97" s="64">
        <v>2040</v>
      </c>
      <c r="D97" s="64">
        <v>2038</v>
      </c>
      <c r="E97" s="64">
        <v>2035</v>
      </c>
      <c r="F97" s="64">
        <v>2041</v>
      </c>
    </row>
    <row r="98" spans="1:6" x14ac:dyDescent="0.3">
      <c r="A98" s="28" t="s">
        <v>228</v>
      </c>
      <c r="B98" s="31">
        <v>2.3E-2</v>
      </c>
      <c r="C98" s="64">
        <v>2039</v>
      </c>
      <c r="D98" s="64">
        <v>2038</v>
      </c>
      <c r="E98" s="64">
        <v>2033</v>
      </c>
      <c r="F98" s="64">
        <v>2043</v>
      </c>
    </row>
    <row r="99" spans="1:6" x14ac:dyDescent="0.3">
      <c r="A99" s="28" t="s">
        <v>229</v>
      </c>
      <c r="B99" s="31">
        <v>1.8800000000000001E-2</v>
      </c>
      <c r="C99" s="64">
        <v>2039</v>
      </c>
      <c r="D99" s="64">
        <v>2038</v>
      </c>
      <c r="E99" s="64">
        <v>2032</v>
      </c>
      <c r="F99" s="64">
        <v>2042</v>
      </c>
    </row>
    <row r="100" spans="1:6" x14ac:dyDescent="0.3">
      <c r="A100" s="28" t="s">
        <v>230</v>
      </c>
      <c r="B100" s="31">
        <v>2.0400000000000001E-2</v>
      </c>
      <c r="C100" s="64">
        <v>2043</v>
      </c>
      <c r="D100" s="64">
        <v>2042</v>
      </c>
      <c r="E100" s="64">
        <v>2034</v>
      </c>
      <c r="F100" s="64">
        <v>2044</v>
      </c>
    </row>
    <row r="101" spans="1:6" x14ac:dyDescent="0.3">
      <c r="A101" s="28" t="s">
        <v>231</v>
      </c>
      <c r="B101" s="31">
        <v>1.24E-2</v>
      </c>
      <c r="C101" s="64">
        <v>2040</v>
      </c>
      <c r="D101" s="64">
        <v>2039</v>
      </c>
      <c r="E101" s="64">
        <v>2026</v>
      </c>
      <c r="F101" s="64">
        <v>2026</v>
      </c>
    </row>
    <row r="102" spans="1:6" x14ac:dyDescent="0.3">
      <c r="A102" s="28" t="s">
        <v>232</v>
      </c>
      <c r="B102" s="31">
        <v>1.4500000000000001E-2</v>
      </c>
      <c r="C102" s="64">
        <v>2042</v>
      </c>
      <c r="D102" s="64">
        <v>2043</v>
      </c>
      <c r="E102" s="64">
        <v>2026</v>
      </c>
      <c r="F102" s="64">
        <v>2026</v>
      </c>
    </row>
    <row r="103" spans="1:6" x14ac:dyDescent="0.3">
      <c r="A103" s="28" t="s">
        <v>233</v>
      </c>
      <c r="B103" s="31">
        <v>1.6799999999999999E-2</v>
      </c>
      <c r="C103" s="64">
        <v>2039</v>
      </c>
      <c r="D103" s="64">
        <v>2039</v>
      </c>
      <c r="E103" s="64">
        <v>2030</v>
      </c>
      <c r="F103" s="64">
        <v>2031</v>
      </c>
    </row>
    <row r="104" spans="1:6" x14ac:dyDescent="0.3">
      <c r="A104" s="28" t="s">
        <v>234</v>
      </c>
      <c r="B104" s="31">
        <v>2.18E-2</v>
      </c>
      <c r="C104" s="64">
        <v>2026</v>
      </c>
      <c r="D104" s="64">
        <v>2029</v>
      </c>
      <c r="E104" s="64">
        <v>2037</v>
      </c>
      <c r="F104" s="64">
        <v>2045</v>
      </c>
    </row>
    <row r="105" spans="1:6" x14ac:dyDescent="0.3">
      <c r="A105" s="28" t="s">
        <v>235</v>
      </c>
      <c r="B105" s="31">
        <v>1.46E-2</v>
      </c>
      <c r="C105" s="64">
        <v>2042</v>
      </c>
      <c r="D105" s="64">
        <v>2042</v>
      </c>
      <c r="E105" s="64">
        <v>2031</v>
      </c>
      <c r="F105" s="64">
        <v>2031</v>
      </c>
    </row>
    <row r="106" spans="1:6" x14ac:dyDescent="0.3">
      <c r="A106" s="28" t="s">
        <v>236</v>
      </c>
      <c r="B106" s="31">
        <v>1.44E-2</v>
      </c>
      <c r="C106" s="64">
        <v>2041</v>
      </c>
      <c r="D106" s="64">
        <v>2039</v>
      </c>
      <c r="E106" s="64">
        <v>2026</v>
      </c>
      <c r="F106" s="64">
        <v>2028</v>
      </c>
    </row>
    <row r="107" spans="1:6" x14ac:dyDescent="0.3">
      <c r="A107" s="28" t="s">
        <v>237</v>
      </c>
      <c r="B107" s="31">
        <v>1.14E-2</v>
      </c>
      <c r="C107" s="64">
        <v>2037</v>
      </c>
      <c r="D107" s="64">
        <v>2040</v>
      </c>
      <c r="E107" s="64">
        <v>2026</v>
      </c>
      <c r="F107" s="64">
        <v>2026</v>
      </c>
    </row>
    <row r="108" spans="1:6" x14ac:dyDescent="0.3">
      <c r="A108" s="28" t="s">
        <v>238</v>
      </c>
      <c r="B108" s="31">
        <v>2.2599999999999999E-2</v>
      </c>
      <c r="C108" s="64">
        <v>2042</v>
      </c>
      <c r="D108" s="64">
        <v>2041</v>
      </c>
      <c r="E108" s="64">
        <v>2035</v>
      </c>
      <c r="F108" s="64">
        <v>2044</v>
      </c>
    </row>
    <row r="109" spans="1:6" x14ac:dyDescent="0.3">
      <c r="A109" s="28" t="s">
        <v>239</v>
      </c>
      <c r="B109" s="31">
        <v>1.46E-2</v>
      </c>
      <c r="C109" s="64">
        <v>2037</v>
      </c>
      <c r="D109" s="64">
        <v>2037</v>
      </c>
      <c r="E109" s="64">
        <v>2026</v>
      </c>
      <c r="F109" s="64">
        <v>2026</v>
      </c>
    </row>
    <row r="110" spans="1:6" x14ac:dyDescent="0.3">
      <c r="A110" s="28" t="s">
        <v>240</v>
      </c>
      <c r="B110" s="31">
        <v>2.81E-2</v>
      </c>
      <c r="C110" s="64">
        <v>2032</v>
      </c>
      <c r="D110" s="64">
        <v>2037</v>
      </c>
      <c r="E110" s="64">
        <v>2042</v>
      </c>
      <c r="F110" s="64">
        <v>2044</v>
      </c>
    </row>
    <row r="111" spans="1:6" x14ac:dyDescent="0.3">
      <c r="A111" s="28" t="s">
        <v>241</v>
      </c>
      <c r="B111" s="31">
        <v>2.7199999999999998E-2</v>
      </c>
      <c r="C111" s="64">
        <v>2026</v>
      </c>
      <c r="D111" s="64">
        <v>2030</v>
      </c>
      <c r="E111" s="64">
        <v>2039</v>
      </c>
      <c r="F111" s="64">
        <v>2044</v>
      </c>
    </row>
    <row r="112" spans="1:6" x14ac:dyDescent="0.3">
      <c r="A112" s="28" t="s">
        <v>242</v>
      </c>
      <c r="B112" s="31">
        <v>1.14E-2</v>
      </c>
      <c r="C112" s="64">
        <v>2040</v>
      </c>
      <c r="D112" s="64">
        <v>2029</v>
      </c>
      <c r="E112" s="64">
        <v>2032</v>
      </c>
      <c r="F112" s="64">
        <v>2027</v>
      </c>
    </row>
    <row r="113" spans="1:6" x14ac:dyDescent="0.3">
      <c r="A113" s="28" t="s">
        <v>243</v>
      </c>
      <c r="B113" s="31">
        <v>1.4800000000000001E-2</v>
      </c>
      <c r="C113" s="64">
        <v>2026</v>
      </c>
      <c r="D113" s="64">
        <v>2026</v>
      </c>
      <c r="E113" s="64">
        <v>2026</v>
      </c>
      <c r="F113" s="64">
        <v>2026</v>
      </c>
    </row>
    <row r="114" spans="1:6" x14ac:dyDescent="0.3">
      <c r="A114" s="28" t="s">
        <v>244</v>
      </c>
      <c r="B114" s="31">
        <v>2.3400000000000001E-2</v>
      </c>
      <c r="C114" s="64">
        <v>2031</v>
      </c>
      <c r="D114" s="64">
        <v>2029</v>
      </c>
      <c r="E114" s="64">
        <v>2036</v>
      </c>
      <c r="F114" s="64">
        <v>2044</v>
      </c>
    </row>
    <row r="115" spans="1:6" x14ac:dyDescent="0.3">
      <c r="A115" s="28" t="s">
        <v>245</v>
      </c>
      <c r="B115" s="31">
        <v>1.43E-2</v>
      </c>
      <c r="C115" s="64">
        <v>2041</v>
      </c>
      <c r="D115" s="64">
        <v>2041</v>
      </c>
      <c r="E115" s="64">
        <v>2029</v>
      </c>
      <c r="F115" s="64">
        <v>2028</v>
      </c>
    </row>
  </sheetData>
  <conditionalFormatting sqref="F16:F115">
    <cfRule type="expression" dxfId="0" priority="1">
      <formula>F16&lt;&gt;E16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"/>
  <sheetViews>
    <sheetView workbookViewId="0"/>
  </sheetViews>
  <sheetFormatPr defaultRowHeight="14.4" x14ac:dyDescent="0.3"/>
  <cols>
    <col min="1" max="1" width="22" customWidth="1"/>
    <col min="2" max="2" width="130" customWidth="1"/>
  </cols>
  <sheetData>
    <row r="1" spans="1:2" ht="17.399999999999999" x14ac:dyDescent="0.3">
      <c r="A1" s="1" t="s">
        <v>358</v>
      </c>
    </row>
    <row r="2" spans="1:2" x14ac:dyDescent="0.3">
      <c r="A2" s="2"/>
    </row>
    <row r="4" spans="1:2" ht="58.05" customHeight="1" x14ac:dyDescent="0.3">
      <c r="A4" s="4" t="s">
        <v>359</v>
      </c>
      <c r="B4" s="71" t="s">
        <v>360</v>
      </c>
    </row>
    <row r="5" spans="1:2" ht="58.05" customHeight="1" x14ac:dyDescent="0.3">
      <c r="A5" s="4" t="s">
        <v>361</v>
      </c>
      <c r="B5" s="71" t="s">
        <v>362</v>
      </c>
    </row>
    <row r="6" spans="1:2" ht="58.05" customHeight="1" x14ac:dyDescent="0.3">
      <c r="A6" s="4" t="s">
        <v>363</v>
      </c>
      <c r="B6" s="71" t="s">
        <v>364</v>
      </c>
    </row>
    <row r="7" spans="1:2" ht="58.05" customHeight="1" x14ac:dyDescent="0.3">
      <c r="A7" s="4" t="s">
        <v>365</v>
      </c>
      <c r="B7" s="71" t="s">
        <v>366</v>
      </c>
    </row>
    <row r="8" spans="1:2" ht="58.05" customHeight="1" x14ac:dyDescent="0.3">
      <c r="A8" s="4" t="s">
        <v>367</v>
      </c>
      <c r="B8" s="71" t="s">
        <v>368</v>
      </c>
    </row>
    <row r="9" spans="1:2" ht="58.05" customHeight="1" x14ac:dyDescent="0.3">
      <c r="A9" s="4" t="s">
        <v>369</v>
      </c>
      <c r="B9" s="71" t="s">
        <v>370</v>
      </c>
    </row>
    <row r="10" spans="1:2" ht="58.05" customHeight="1" x14ac:dyDescent="0.3">
      <c r="A10" s="4" t="s">
        <v>9</v>
      </c>
      <c r="B10" s="71" t="s">
        <v>371</v>
      </c>
    </row>
    <row r="11" spans="1:2" ht="58.05" customHeight="1" x14ac:dyDescent="0.3">
      <c r="A11" s="4" t="s">
        <v>255</v>
      </c>
      <c r="B11" s="71" t="s">
        <v>372</v>
      </c>
    </row>
    <row r="12" spans="1:2" ht="58.05" customHeight="1" x14ac:dyDescent="0.3">
      <c r="A12" s="4" t="s">
        <v>373</v>
      </c>
      <c r="B12" s="71" t="s">
        <v>374</v>
      </c>
    </row>
    <row r="13" spans="1:2" ht="58.05" customHeight="1" x14ac:dyDescent="0.3">
      <c r="A13" s="4" t="s">
        <v>375</v>
      </c>
      <c r="B13" s="71" t="s">
        <v>376</v>
      </c>
    </row>
    <row r="14" spans="1:2" ht="58.05" customHeight="1" x14ac:dyDescent="0.3">
      <c r="A14" s="4" t="s">
        <v>377</v>
      </c>
      <c r="B14" s="71" t="s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Gantt</vt:lpstr>
      <vt:lpstr>Comparison</vt:lpstr>
      <vt:lpstr>Raw profile</vt:lpstr>
      <vt:lpstr>Growth profile</vt:lpstr>
      <vt:lpstr>Growth (no penalty)</vt:lpstr>
      <vt:lpstr>Fringe cases</vt:lpstr>
      <vt:lpstr>PV by start year</vt:lpstr>
      <vt:lpstr>Pure PV sensitivity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Desilvestro</dc:creator>
  <cp:lastModifiedBy>Adrian Desilvestro</cp:lastModifiedBy>
  <dcterms:created xsi:type="dcterms:W3CDTF">2026-09-28T22:19:44Z</dcterms:created>
  <dcterms:modified xsi:type="dcterms:W3CDTF">2026-09-28T22:19:48Z</dcterms:modified>
</cp:coreProperties>
</file>